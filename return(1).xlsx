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PyProjects\FIEngine\bin-v4.0\"/>
    </mc:Choice>
  </mc:AlternateContent>
  <bookViews>
    <workbookView xWindow="-110" yWindow="-110" windowWidth="19430" windowHeight="10430" activeTab="3"/>
  </bookViews>
  <sheets>
    <sheet name="中国_中债国债到期收益率_1年" sheetId="1" r:id="rId1"/>
    <sheet name="Return" sheetId="3" r:id="rId2"/>
    <sheet name="PnL" sheetId="2" r:id="rId3"/>
    <sheet name="Charts" sheetId="4" r:id="rId4"/>
    <sheet name="summary" sheetId="5" r:id="rId5"/>
    <sheet name="Sheet1" sheetId="6" r:id="rId6"/>
  </sheets>
  <externalReferences>
    <externalReference r:id="rId7"/>
  </externalReferences>
  <calcPr calcId="162913" calcMode="manual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  <c r="B4" i="3"/>
  <c r="L4" i="2"/>
  <c r="P4" i="2"/>
  <c r="Q43" i="2"/>
  <c r="R3" i="2"/>
  <c r="V3" i="2"/>
  <c r="W43" i="2"/>
  <c r="AE43" i="2"/>
  <c r="AF43" i="2"/>
  <c r="F3" i="5"/>
  <c r="B3" i="5"/>
  <c r="Q66" i="2"/>
  <c r="W66" i="2"/>
  <c r="AE66" i="2"/>
  <c r="AF66" i="2"/>
  <c r="F4" i="5"/>
  <c r="B4" i="5"/>
  <c r="Q87" i="2"/>
  <c r="W87" i="2"/>
  <c r="AE87" i="2"/>
  <c r="AF87" i="2"/>
  <c r="F5" i="5"/>
  <c r="B5" i="5"/>
  <c r="Q105" i="2"/>
  <c r="W105" i="2"/>
  <c r="AE105" i="2"/>
  <c r="AF105" i="2"/>
  <c r="F6" i="5"/>
  <c r="B6" i="5"/>
  <c r="Q127" i="2"/>
  <c r="W127" i="2"/>
  <c r="AE127" i="2"/>
  <c r="AF127" i="2"/>
  <c r="F7" i="5"/>
  <c r="B7" i="5"/>
  <c r="Q149" i="2"/>
  <c r="W149" i="2"/>
  <c r="AE149" i="2"/>
  <c r="AF149" i="2"/>
  <c r="F8" i="5"/>
  <c r="B8" i="5"/>
  <c r="F9" i="5"/>
  <c r="B9" i="5"/>
  <c r="F10" i="5"/>
  <c r="B10" i="5"/>
  <c r="F11" i="5"/>
  <c r="B11" i="5"/>
  <c r="F12" i="5"/>
  <c r="B12" i="5"/>
  <c r="F13" i="5"/>
  <c r="B13" i="5"/>
  <c r="F14" i="5"/>
  <c r="B14" i="5"/>
  <c r="F15" i="5"/>
  <c r="B15" i="5"/>
  <c r="F16" i="5"/>
  <c r="B16" i="5"/>
  <c r="F17" i="5"/>
  <c r="B17" i="5"/>
  <c r="F18" i="5"/>
  <c r="B18" i="5"/>
  <c r="F19" i="5"/>
  <c r="B19" i="5"/>
  <c r="F21" i="5"/>
  <c r="B21" i="5"/>
  <c r="F22" i="5"/>
  <c r="B22" i="5"/>
  <c r="F23" i="5"/>
  <c r="B23" i="5"/>
  <c r="F24" i="5"/>
  <c r="B24" i="5"/>
  <c r="F25" i="5"/>
  <c r="B25" i="5"/>
  <c r="F26" i="5"/>
  <c r="B26" i="5"/>
  <c r="F27" i="5"/>
  <c r="B27" i="5"/>
  <c r="F28" i="5"/>
  <c r="B28" i="5"/>
  <c r="F29" i="5"/>
  <c r="B29" i="5"/>
  <c r="F30" i="5"/>
  <c r="B30" i="5"/>
  <c r="F31" i="5"/>
  <c r="B31" i="5"/>
  <c r="F32" i="5"/>
  <c r="B32" i="5"/>
  <c r="F33" i="5"/>
  <c r="B33" i="5"/>
  <c r="Q22" i="2"/>
  <c r="W22" i="2"/>
  <c r="AE22" i="2"/>
  <c r="AF22" i="2"/>
  <c r="F2" i="5"/>
  <c r="B2" i="5"/>
  <c r="F20" i="5"/>
  <c r="B20" i="5"/>
  <c r="F634" i="2"/>
  <c r="K2" i="1"/>
  <c r="I54" i="2"/>
  <c r="U55" i="2"/>
  <c r="J55" i="2"/>
  <c r="O405" i="1"/>
  <c r="P405" i="1"/>
  <c r="Q405" i="1"/>
  <c r="R405" i="1"/>
  <c r="O406" i="1"/>
  <c r="P406" i="1"/>
  <c r="Q406" i="1"/>
  <c r="R406" i="1"/>
  <c r="O407" i="1"/>
  <c r="P407" i="1"/>
  <c r="Q407" i="1"/>
  <c r="R407" i="1"/>
  <c r="O408" i="1"/>
  <c r="P408" i="1"/>
  <c r="Q408" i="1"/>
  <c r="R408" i="1"/>
  <c r="O409" i="1"/>
  <c r="P409" i="1"/>
  <c r="Q409" i="1"/>
  <c r="R409" i="1"/>
  <c r="O410" i="1"/>
  <c r="P410" i="1"/>
  <c r="Q410" i="1"/>
  <c r="R410" i="1"/>
  <c r="O411" i="1"/>
  <c r="P411" i="1"/>
  <c r="Q411" i="1"/>
  <c r="R411" i="1"/>
  <c r="O412" i="1"/>
  <c r="P412" i="1"/>
  <c r="Q412" i="1"/>
  <c r="R412" i="1"/>
  <c r="O413" i="1"/>
  <c r="P413" i="1"/>
  <c r="Q413" i="1"/>
  <c r="R413" i="1"/>
  <c r="O414" i="1"/>
  <c r="P414" i="1"/>
  <c r="Q414" i="1"/>
  <c r="R414" i="1"/>
  <c r="O415" i="1"/>
  <c r="P415" i="1"/>
  <c r="Q415" i="1"/>
  <c r="R415" i="1"/>
  <c r="O416" i="1"/>
  <c r="P416" i="1"/>
  <c r="Q416" i="1"/>
  <c r="R416" i="1"/>
  <c r="O417" i="1"/>
  <c r="P417" i="1"/>
  <c r="Q417" i="1"/>
  <c r="R417" i="1"/>
  <c r="O418" i="1"/>
  <c r="P418" i="1"/>
  <c r="Q418" i="1"/>
  <c r="R418" i="1"/>
  <c r="O419" i="1"/>
  <c r="P419" i="1"/>
  <c r="Q419" i="1"/>
  <c r="R419" i="1"/>
  <c r="O420" i="1"/>
  <c r="P420" i="1"/>
  <c r="Q420" i="1"/>
  <c r="R420" i="1"/>
  <c r="O421" i="1"/>
  <c r="P421" i="1"/>
  <c r="Q421" i="1"/>
  <c r="R421" i="1"/>
  <c r="O422" i="1"/>
  <c r="P422" i="1"/>
  <c r="Q422" i="1"/>
  <c r="R422" i="1"/>
  <c r="O423" i="1"/>
  <c r="P423" i="1"/>
  <c r="Q423" i="1"/>
  <c r="R423" i="1"/>
  <c r="O424" i="1"/>
  <c r="P424" i="1"/>
  <c r="Q424" i="1"/>
  <c r="R424" i="1"/>
  <c r="O425" i="1"/>
  <c r="P425" i="1"/>
  <c r="Q425" i="1"/>
  <c r="R425" i="1"/>
  <c r="O426" i="1"/>
  <c r="P426" i="1"/>
  <c r="Q426" i="1"/>
  <c r="R426" i="1"/>
  <c r="O427" i="1"/>
  <c r="P427" i="1"/>
  <c r="Q427" i="1"/>
  <c r="R427" i="1"/>
  <c r="O428" i="1"/>
  <c r="P428" i="1"/>
  <c r="Q428" i="1"/>
  <c r="R428" i="1"/>
  <c r="O429" i="1"/>
  <c r="P429" i="1"/>
  <c r="Q429" i="1"/>
  <c r="R429" i="1"/>
  <c r="O430" i="1"/>
  <c r="P430" i="1"/>
  <c r="Q430" i="1"/>
  <c r="R430" i="1"/>
  <c r="O431" i="1"/>
  <c r="P431" i="1"/>
  <c r="Q431" i="1"/>
  <c r="R431" i="1"/>
  <c r="O432" i="1"/>
  <c r="P432" i="1"/>
  <c r="Q432" i="1"/>
  <c r="R432" i="1"/>
  <c r="O433" i="1"/>
  <c r="P433" i="1"/>
  <c r="Q433" i="1"/>
  <c r="R433" i="1"/>
  <c r="O434" i="1"/>
  <c r="P434" i="1"/>
  <c r="Q434" i="1"/>
  <c r="R434" i="1"/>
  <c r="O435" i="1"/>
  <c r="P435" i="1"/>
  <c r="Q435" i="1"/>
  <c r="R435" i="1"/>
  <c r="O436" i="1"/>
  <c r="P436" i="1"/>
  <c r="Q436" i="1"/>
  <c r="R436" i="1"/>
  <c r="O437" i="1"/>
  <c r="P437" i="1"/>
  <c r="Q437" i="1"/>
  <c r="R437" i="1"/>
  <c r="O438" i="1"/>
  <c r="P438" i="1"/>
  <c r="Q438" i="1"/>
  <c r="R438" i="1"/>
  <c r="O439" i="1"/>
  <c r="P439" i="1"/>
  <c r="Q439" i="1"/>
  <c r="R439" i="1"/>
  <c r="O440" i="1"/>
  <c r="P440" i="1"/>
  <c r="Q440" i="1"/>
  <c r="R440" i="1"/>
  <c r="O441" i="1"/>
  <c r="P441" i="1"/>
  <c r="Q441" i="1"/>
  <c r="R441" i="1"/>
  <c r="O442" i="1"/>
  <c r="P442" i="1"/>
  <c r="Q442" i="1"/>
  <c r="R442" i="1"/>
  <c r="O443" i="1"/>
  <c r="P443" i="1"/>
  <c r="Q443" i="1"/>
  <c r="R443" i="1"/>
  <c r="O444" i="1"/>
  <c r="P444" i="1"/>
  <c r="Q444" i="1"/>
  <c r="R444" i="1"/>
  <c r="O445" i="1"/>
  <c r="P445" i="1"/>
  <c r="Q445" i="1"/>
  <c r="R445" i="1"/>
  <c r="O446" i="1"/>
  <c r="P446" i="1"/>
  <c r="Q446" i="1"/>
  <c r="R446" i="1"/>
  <c r="O447" i="1"/>
  <c r="P447" i="1"/>
  <c r="Q447" i="1"/>
  <c r="R447" i="1"/>
  <c r="O448" i="1"/>
  <c r="P448" i="1"/>
  <c r="Q448" i="1"/>
  <c r="R448" i="1"/>
  <c r="O449" i="1"/>
  <c r="P449" i="1"/>
  <c r="Q449" i="1"/>
  <c r="R449" i="1"/>
  <c r="O450" i="1"/>
  <c r="P450" i="1"/>
  <c r="Q450" i="1"/>
  <c r="R450" i="1"/>
  <c r="O451" i="1"/>
  <c r="P451" i="1"/>
  <c r="Q451" i="1"/>
  <c r="R451" i="1"/>
  <c r="O452" i="1"/>
  <c r="P452" i="1"/>
  <c r="Q452" i="1"/>
  <c r="R452" i="1"/>
  <c r="O453" i="1"/>
  <c r="P453" i="1"/>
  <c r="Q453" i="1"/>
  <c r="R453" i="1"/>
  <c r="O454" i="1"/>
  <c r="P454" i="1"/>
  <c r="Q454" i="1"/>
  <c r="R454" i="1"/>
  <c r="O455" i="1"/>
  <c r="P455" i="1"/>
  <c r="Q455" i="1"/>
  <c r="R455" i="1"/>
  <c r="O456" i="1"/>
  <c r="P456" i="1"/>
  <c r="Q456" i="1"/>
  <c r="R456" i="1"/>
  <c r="O457" i="1"/>
  <c r="P457" i="1"/>
  <c r="Q457" i="1"/>
  <c r="R457" i="1"/>
  <c r="O458" i="1"/>
  <c r="P458" i="1"/>
  <c r="Q458" i="1"/>
  <c r="R458" i="1"/>
  <c r="O459" i="1"/>
  <c r="P459" i="1"/>
  <c r="Q459" i="1"/>
  <c r="R459" i="1"/>
  <c r="O460" i="1"/>
  <c r="P460" i="1"/>
  <c r="Q460" i="1"/>
  <c r="R460" i="1"/>
  <c r="O461" i="1"/>
  <c r="P461" i="1"/>
  <c r="Q461" i="1"/>
  <c r="R461" i="1"/>
  <c r="O462" i="1"/>
  <c r="P462" i="1"/>
  <c r="Q462" i="1"/>
  <c r="R462" i="1"/>
  <c r="O463" i="1"/>
  <c r="P463" i="1"/>
  <c r="Q463" i="1"/>
  <c r="R463" i="1"/>
  <c r="O464" i="1"/>
  <c r="P464" i="1"/>
  <c r="Q464" i="1"/>
  <c r="R464" i="1"/>
  <c r="O465" i="1"/>
  <c r="P465" i="1"/>
  <c r="Q465" i="1"/>
  <c r="R465" i="1"/>
  <c r="O466" i="1"/>
  <c r="P466" i="1"/>
  <c r="Q466" i="1"/>
  <c r="R466" i="1"/>
  <c r="O467" i="1"/>
  <c r="P467" i="1"/>
  <c r="Q467" i="1"/>
  <c r="R467" i="1"/>
  <c r="O468" i="1"/>
  <c r="P468" i="1"/>
  <c r="Q468" i="1"/>
  <c r="R468" i="1"/>
  <c r="O469" i="1"/>
  <c r="P469" i="1"/>
  <c r="Q469" i="1"/>
  <c r="R469" i="1"/>
  <c r="O470" i="1"/>
  <c r="P470" i="1"/>
  <c r="Q470" i="1"/>
  <c r="R470" i="1"/>
  <c r="O471" i="1"/>
  <c r="P471" i="1"/>
  <c r="Q471" i="1"/>
  <c r="R471" i="1"/>
  <c r="O472" i="1"/>
  <c r="P472" i="1"/>
  <c r="Q472" i="1"/>
  <c r="R472" i="1"/>
  <c r="O473" i="1"/>
  <c r="P473" i="1"/>
  <c r="Q473" i="1"/>
  <c r="R473" i="1"/>
  <c r="O474" i="1"/>
  <c r="P474" i="1"/>
  <c r="Q474" i="1"/>
  <c r="R474" i="1"/>
  <c r="O475" i="1"/>
  <c r="P475" i="1"/>
  <c r="Q475" i="1"/>
  <c r="R475" i="1"/>
  <c r="O476" i="1"/>
  <c r="P476" i="1"/>
  <c r="Q476" i="1"/>
  <c r="R476" i="1"/>
  <c r="O477" i="1"/>
  <c r="P477" i="1"/>
  <c r="Q477" i="1"/>
  <c r="R477" i="1"/>
  <c r="O478" i="1"/>
  <c r="P478" i="1"/>
  <c r="Q478" i="1"/>
  <c r="R478" i="1"/>
  <c r="O479" i="1"/>
  <c r="P479" i="1"/>
  <c r="Q479" i="1"/>
  <c r="R479" i="1"/>
  <c r="O480" i="1"/>
  <c r="P480" i="1"/>
  <c r="Q480" i="1"/>
  <c r="R480" i="1"/>
  <c r="O481" i="1"/>
  <c r="P481" i="1"/>
  <c r="Q481" i="1"/>
  <c r="R481" i="1"/>
  <c r="O482" i="1"/>
  <c r="P482" i="1"/>
  <c r="Q482" i="1"/>
  <c r="R482" i="1"/>
  <c r="O483" i="1"/>
  <c r="P483" i="1"/>
  <c r="Q483" i="1"/>
  <c r="R483" i="1"/>
  <c r="O484" i="1"/>
  <c r="P484" i="1"/>
  <c r="Q484" i="1"/>
  <c r="R484" i="1"/>
  <c r="O485" i="1"/>
  <c r="P485" i="1"/>
  <c r="Q485" i="1"/>
  <c r="R485" i="1"/>
  <c r="O486" i="1"/>
  <c r="P486" i="1"/>
  <c r="Q486" i="1"/>
  <c r="R486" i="1"/>
  <c r="O487" i="1"/>
  <c r="P487" i="1"/>
  <c r="Q487" i="1"/>
  <c r="R487" i="1"/>
  <c r="O488" i="1"/>
  <c r="P488" i="1"/>
  <c r="Q488" i="1"/>
  <c r="R488" i="1"/>
  <c r="O489" i="1"/>
  <c r="P489" i="1"/>
  <c r="Q489" i="1"/>
  <c r="R489" i="1"/>
  <c r="O490" i="1"/>
  <c r="P490" i="1"/>
  <c r="Q490" i="1"/>
  <c r="R490" i="1"/>
  <c r="O491" i="1"/>
  <c r="P491" i="1"/>
  <c r="Q491" i="1"/>
  <c r="R491" i="1"/>
  <c r="O492" i="1"/>
  <c r="P492" i="1"/>
  <c r="Q492" i="1"/>
  <c r="R492" i="1"/>
  <c r="O493" i="1"/>
  <c r="P493" i="1"/>
  <c r="Q493" i="1"/>
  <c r="R493" i="1"/>
  <c r="O494" i="1"/>
  <c r="P494" i="1"/>
  <c r="Q494" i="1"/>
  <c r="R494" i="1"/>
  <c r="O495" i="1"/>
  <c r="P495" i="1"/>
  <c r="Q495" i="1"/>
  <c r="R495" i="1"/>
  <c r="O496" i="1"/>
  <c r="P496" i="1"/>
  <c r="Q496" i="1"/>
  <c r="R496" i="1"/>
  <c r="O497" i="1"/>
  <c r="P497" i="1"/>
  <c r="Q497" i="1"/>
  <c r="R497" i="1"/>
  <c r="O498" i="1"/>
  <c r="P498" i="1"/>
  <c r="Q498" i="1"/>
  <c r="R498" i="1"/>
  <c r="O499" i="1"/>
  <c r="P499" i="1"/>
  <c r="Q499" i="1"/>
  <c r="R499" i="1"/>
  <c r="O500" i="1"/>
  <c r="P500" i="1"/>
  <c r="Q500" i="1"/>
  <c r="R500" i="1"/>
  <c r="O501" i="1"/>
  <c r="P501" i="1"/>
  <c r="Q501" i="1"/>
  <c r="R501" i="1"/>
  <c r="O502" i="1"/>
  <c r="P502" i="1"/>
  <c r="Q502" i="1"/>
  <c r="R502" i="1"/>
  <c r="O503" i="1"/>
  <c r="P503" i="1"/>
  <c r="Q503" i="1"/>
  <c r="R503" i="1"/>
  <c r="O504" i="1"/>
  <c r="P504" i="1"/>
  <c r="Q504" i="1"/>
  <c r="R504" i="1"/>
  <c r="O505" i="1"/>
  <c r="P505" i="1"/>
  <c r="Q505" i="1"/>
  <c r="R505" i="1"/>
  <c r="O506" i="1"/>
  <c r="P506" i="1"/>
  <c r="Q506" i="1"/>
  <c r="R506" i="1"/>
  <c r="O507" i="1"/>
  <c r="P507" i="1"/>
  <c r="Q507" i="1"/>
  <c r="R507" i="1"/>
  <c r="O508" i="1"/>
  <c r="P508" i="1"/>
  <c r="Q508" i="1"/>
  <c r="R508" i="1"/>
  <c r="O509" i="1"/>
  <c r="P509" i="1"/>
  <c r="Q509" i="1"/>
  <c r="R509" i="1"/>
  <c r="O510" i="1"/>
  <c r="P510" i="1"/>
  <c r="Q510" i="1"/>
  <c r="R510" i="1"/>
  <c r="O511" i="1"/>
  <c r="P511" i="1"/>
  <c r="Q511" i="1"/>
  <c r="R511" i="1"/>
  <c r="O512" i="1"/>
  <c r="P512" i="1"/>
  <c r="Q512" i="1"/>
  <c r="R512" i="1"/>
  <c r="O513" i="1"/>
  <c r="P513" i="1"/>
  <c r="Q513" i="1"/>
  <c r="R513" i="1"/>
  <c r="O514" i="1"/>
  <c r="P514" i="1"/>
  <c r="Q514" i="1"/>
  <c r="R514" i="1"/>
  <c r="O515" i="1"/>
  <c r="P515" i="1"/>
  <c r="Q515" i="1"/>
  <c r="R515" i="1"/>
  <c r="O516" i="1"/>
  <c r="P516" i="1"/>
  <c r="Q516" i="1"/>
  <c r="R516" i="1"/>
  <c r="O517" i="1"/>
  <c r="P517" i="1"/>
  <c r="Q517" i="1"/>
  <c r="R517" i="1"/>
  <c r="O518" i="1"/>
  <c r="P518" i="1"/>
  <c r="Q518" i="1"/>
  <c r="R518" i="1"/>
  <c r="O519" i="1"/>
  <c r="P519" i="1"/>
  <c r="Q519" i="1"/>
  <c r="R519" i="1"/>
  <c r="O520" i="1"/>
  <c r="P520" i="1"/>
  <c r="Q520" i="1"/>
  <c r="R520" i="1"/>
  <c r="O521" i="1"/>
  <c r="P521" i="1"/>
  <c r="Q521" i="1"/>
  <c r="R521" i="1"/>
  <c r="O522" i="1"/>
  <c r="P522" i="1"/>
  <c r="Q522" i="1"/>
  <c r="R522" i="1"/>
  <c r="O523" i="1"/>
  <c r="P523" i="1"/>
  <c r="Q523" i="1"/>
  <c r="R523" i="1"/>
  <c r="O524" i="1"/>
  <c r="P524" i="1"/>
  <c r="Q524" i="1"/>
  <c r="R524" i="1"/>
  <c r="O525" i="1"/>
  <c r="P525" i="1"/>
  <c r="Q525" i="1"/>
  <c r="R525" i="1"/>
  <c r="O526" i="1"/>
  <c r="P526" i="1"/>
  <c r="Q526" i="1"/>
  <c r="R526" i="1"/>
  <c r="O527" i="1"/>
  <c r="P527" i="1"/>
  <c r="Q527" i="1"/>
  <c r="R527" i="1"/>
  <c r="O528" i="1"/>
  <c r="P528" i="1"/>
  <c r="Q528" i="1"/>
  <c r="R528" i="1"/>
  <c r="O529" i="1"/>
  <c r="P529" i="1"/>
  <c r="Q529" i="1"/>
  <c r="R529" i="1"/>
  <c r="O530" i="1"/>
  <c r="P530" i="1"/>
  <c r="Q530" i="1"/>
  <c r="R530" i="1"/>
  <c r="O531" i="1"/>
  <c r="P531" i="1"/>
  <c r="Q531" i="1"/>
  <c r="R531" i="1"/>
  <c r="O532" i="1"/>
  <c r="P532" i="1"/>
  <c r="Q532" i="1"/>
  <c r="R532" i="1"/>
  <c r="O533" i="1"/>
  <c r="P533" i="1"/>
  <c r="Q533" i="1"/>
  <c r="R533" i="1"/>
  <c r="O534" i="1"/>
  <c r="P534" i="1"/>
  <c r="Q534" i="1"/>
  <c r="R534" i="1"/>
  <c r="O535" i="1"/>
  <c r="P535" i="1"/>
  <c r="Q535" i="1"/>
  <c r="R535" i="1"/>
  <c r="O536" i="1"/>
  <c r="P536" i="1"/>
  <c r="Q536" i="1"/>
  <c r="R536" i="1"/>
  <c r="O537" i="1"/>
  <c r="P537" i="1"/>
  <c r="Q537" i="1"/>
  <c r="R537" i="1"/>
  <c r="O538" i="1"/>
  <c r="P538" i="1"/>
  <c r="Q538" i="1"/>
  <c r="R538" i="1"/>
  <c r="O539" i="1"/>
  <c r="P539" i="1"/>
  <c r="Q539" i="1"/>
  <c r="R539" i="1"/>
  <c r="O540" i="1"/>
  <c r="P540" i="1"/>
  <c r="Q540" i="1"/>
  <c r="R540" i="1"/>
  <c r="O541" i="1"/>
  <c r="P541" i="1"/>
  <c r="Q541" i="1"/>
  <c r="R541" i="1"/>
  <c r="O542" i="1"/>
  <c r="P542" i="1"/>
  <c r="Q542" i="1"/>
  <c r="R542" i="1"/>
  <c r="O543" i="1"/>
  <c r="P543" i="1"/>
  <c r="Q543" i="1"/>
  <c r="R543" i="1"/>
  <c r="O544" i="1"/>
  <c r="P544" i="1"/>
  <c r="Q544" i="1"/>
  <c r="R544" i="1"/>
  <c r="O545" i="1"/>
  <c r="P545" i="1"/>
  <c r="Q545" i="1"/>
  <c r="R545" i="1"/>
  <c r="O546" i="1"/>
  <c r="P546" i="1"/>
  <c r="Q546" i="1"/>
  <c r="R546" i="1"/>
  <c r="O547" i="1"/>
  <c r="P547" i="1"/>
  <c r="Q547" i="1"/>
  <c r="R547" i="1"/>
  <c r="O548" i="1"/>
  <c r="P548" i="1"/>
  <c r="Q548" i="1"/>
  <c r="R548" i="1"/>
  <c r="O549" i="1"/>
  <c r="P549" i="1"/>
  <c r="Q549" i="1"/>
  <c r="R549" i="1"/>
  <c r="O550" i="1"/>
  <c r="P550" i="1"/>
  <c r="Q550" i="1"/>
  <c r="R550" i="1"/>
  <c r="O551" i="1"/>
  <c r="P551" i="1"/>
  <c r="Q551" i="1"/>
  <c r="R551" i="1"/>
  <c r="O552" i="1"/>
  <c r="P552" i="1"/>
  <c r="Q552" i="1"/>
  <c r="R552" i="1"/>
  <c r="O553" i="1"/>
  <c r="P553" i="1"/>
  <c r="Q553" i="1"/>
  <c r="R553" i="1"/>
  <c r="O554" i="1"/>
  <c r="P554" i="1"/>
  <c r="Q554" i="1"/>
  <c r="R554" i="1"/>
  <c r="O555" i="1"/>
  <c r="P555" i="1"/>
  <c r="Q555" i="1"/>
  <c r="R555" i="1"/>
  <c r="O556" i="1"/>
  <c r="P556" i="1"/>
  <c r="Q556" i="1"/>
  <c r="R556" i="1"/>
  <c r="O557" i="1"/>
  <c r="P557" i="1"/>
  <c r="Q557" i="1"/>
  <c r="R557" i="1"/>
  <c r="O558" i="1"/>
  <c r="P558" i="1"/>
  <c r="Q558" i="1"/>
  <c r="R558" i="1"/>
  <c r="O559" i="1"/>
  <c r="P559" i="1"/>
  <c r="Q559" i="1"/>
  <c r="R559" i="1"/>
  <c r="O560" i="1"/>
  <c r="P560" i="1"/>
  <c r="Q560" i="1"/>
  <c r="R560" i="1"/>
  <c r="O561" i="1"/>
  <c r="P561" i="1"/>
  <c r="Q561" i="1"/>
  <c r="R561" i="1"/>
  <c r="O562" i="1"/>
  <c r="P562" i="1"/>
  <c r="Q562" i="1"/>
  <c r="R562" i="1"/>
  <c r="O563" i="1"/>
  <c r="P563" i="1"/>
  <c r="Q563" i="1"/>
  <c r="R563" i="1"/>
  <c r="O564" i="1"/>
  <c r="P564" i="1"/>
  <c r="Q564" i="1"/>
  <c r="R564" i="1"/>
  <c r="O565" i="1"/>
  <c r="P565" i="1"/>
  <c r="Q565" i="1"/>
  <c r="R565" i="1"/>
  <c r="O566" i="1"/>
  <c r="P566" i="1"/>
  <c r="Q566" i="1"/>
  <c r="R566" i="1"/>
  <c r="O567" i="1"/>
  <c r="P567" i="1"/>
  <c r="Q567" i="1"/>
  <c r="R567" i="1"/>
  <c r="O568" i="1"/>
  <c r="P568" i="1"/>
  <c r="Q568" i="1"/>
  <c r="R568" i="1"/>
  <c r="O569" i="1"/>
  <c r="P569" i="1"/>
  <c r="Q569" i="1"/>
  <c r="R569" i="1"/>
  <c r="O570" i="1"/>
  <c r="P570" i="1"/>
  <c r="Q570" i="1"/>
  <c r="R570" i="1"/>
  <c r="O571" i="1"/>
  <c r="P571" i="1"/>
  <c r="Q571" i="1"/>
  <c r="R571" i="1"/>
  <c r="O572" i="1"/>
  <c r="P572" i="1"/>
  <c r="Q572" i="1"/>
  <c r="R572" i="1"/>
  <c r="O573" i="1"/>
  <c r="P573" i="1"/>
  <c r="Q573" i="1"/>
  <c r="R573" i="1"/>
  <c r="O574" i="1"/>
  <c r="P574" i="1"/>
  <c r="Q574" i="1"/>
  <c r="R574" i="1"/>
  <c r="O575" i="1"/>
  <c r="P575" i="1"/>
  <c r="Q575" i="1"/>
  <c r="R575" i="1"/>
  <c r="O576" i="1"/>
  <c r="P576" i="1"/>
  <c r="Q576" i="1"/>
  <c r="R576" i="1"/>
  <c r="O577" i="1"/>
  <c r="P577" i="1"/>
  <c r="Q577" i="1"/>
  <c r="R577" i="1"/>
  <c r="O578" i="1"/>
  <c r="P578" i="1"/>
  <c r="Q578" i="1"/>
  <c r="R578" i="1"/>
  <c r="O579" i="1"/>
  <c r="P579" i="1"/>
  <c r="Q579" i="1"/>
  <c r="R579" i="1"/>
  <c r="O580" i="1"/>
  <c r="P580" i="1"/>
  <c r="Q580" i="1"/>
  <c r="R580" i="1"/>
  <c r="O581" i="1"/>
  <c r="P581" i="1"/>
  <c r="Q581" i="1"/>
  <c r="R581" i="1"/>
  <c r="O582" i="1"/>
  <c r="P582" i="1"/>
  <c r="Q582" i="1"/>
  <c r="R582" i="1"/>
  <c r="O583" i="1"/>
  <c r="P583" i="1"/>
  <c r="Q583" i="1"/>
  <c r="R583" i="1"/>
  <c r="O584" i="1"/>
  <c r="P584" i="1"/>
  <c r="Q584" i="1"/>
  <c r="R584" i="1"/>
  <c r="O585" i="1"/>
  <c r="P585" i="1"/>
  <c r="Q585" i="1"/>
  <c r="R585" i="1"/>
  <c r="O586" i="1"/>
  <c r="P586" i="1"/>
  <c r="Q586" i="1"/>
  <c r="R586" i="1"/>
  <c r="O587" i="1"/>
  <c r="P587" i="1"/>
  <c r="Q587" i="1"/>
  <c r="R587" i="1"/>
  <c r="O588" i="1"/>
  <c r="P588" i="1"/>
  <c r="Q588" i="1"/>
  <c r="R588" i="1"/>
  <c r="O589" i="1"/>
  <c r="P589" i="1"/>
  <c r="Q589" i="1"/>
  <c r="R589" i="1"/>
  <c r="O590" i="1"/>
  <c r="P590" i="1"/>
  <c r="Q590" i="1"/>
  <c r="R590" i="1"/>
  <c r="O591" i="1"/>
  <c r="P591" i="1"/>
  <c r="Q591" i="1"/>
  <c r="R591" i="1"/>
  <c r="O592" i="1"/>
  <c r="P592" i="1"/>
  <c r="Q592" i="1"/>
  <c r="R592" i="1"/>
  <c r="O593" i="1"/>
  <c r="P593" i="1"/>
  <c r="Q593" i="1"/>
  <c r="R593" i="1"/>
  <c r="O594" i="1"/>
  <c r="P594" i="1"/>
  <c r="Q594" i="1"/>
  <c r="R594" i="1"/>
  <c r="O595" i="1"/>
  <c r="P595" i="1"/>
  <c r="Q595" i="1"/>
  <c r="R595" i="1"/>
  <c r="O596" i="1"/>
  <c r="P596" i="1"/>
  <c r="Q596" i="1"/>
  <c r="R596" i="1"/>
  <c r="O597" i="1"/>
  <c r="P597" i="1"/>
  <c r="Q597" i="1"/>
  <c r="R597" i="1"/>
  <c r="O598" i="1"/>
  <c r="P598" i="1"/>
  <c r="Q598" i="1"/>
  <c r="R598" i="1"/>
  <c r="O599" i="1"/>
  <c r="P599" i="1"/>
  <c r="Q599" i="1"/>
  <c r="R599" i="1"/>
  <c r="O600" i="1"/>
  <c r="P600" i="1"/>
  <c r="Q600" i="1"/>
  <c r="R600" i="1"/>
  <c r="O601" i="1"/>
  <c r="P601" i="1"/>
  <c r="Q601" i="1"/>
  <c r="R601" i="1"/>
  <c r="O602" i="1"/>
  <c r="P602" i="1"/>
  <c r="Q602" i="1"/>
  <c r="R602" i="1"/>
  <c r="O603" i="1"/>
  <c r="P603" i="1"/>
  <c r="Q603" i="1"/>
  <c r="R603" i="1"/>
  <c r="O604" i="1"/>
  <c r="P604" i="1"/>
  <c r="Q604" i="1"/>
  <c r="R604" i="1"/>
  <c r="O605" i="1"/>
  <c r="P605" i="1"/>
  <c r="Q605" i="1"/>
  <c r="R605" i="1"/>
  <c r="O606" i="1"/>
  <c r="P606" i="1"/>
  <c r="Q606" i="1"/>
  <c r="R606" i="1"/>
  <c r="O607" i="1"/>
  <c r="P607" i="1"/>
  <c r="Q607" i="1"/>
  <c r="R607" i="1"/>
  <c r="O608" i="1"/>
  <c r="P608" i="1"/>
  <c r="Q608" i="1"/>
  <c r="R608" i="1"/>
  <c r="O609" i="1"/>
  <c r="P609" i="1"/>
  <c r="Q609" i="1"/>
  <c r="R609" i="1"/>
  <c r="O610" i="1"/>
  <c r="P610" i="1"/>
  <c r="Q610" i="1"/>
  <c r="R610" i="1"/>
  <c r="O611" i="1"/>
  <c r="P611" i="1"/>
  <c r="Q611" i="1"/>
  <c r="R611" i="1"/>
  <c r="O612" i="1"/>
  <c r="P612" i="1"/>
  <c r="Q612" i="1"/>
  <c r="R612" i="1"/>
  <c r="O613" i="1"/>
  <c r="P613" i="1"/>
  <c r="Q613" i="1"/>
  <c r="R613" i="1"/>
  <c r="O614" i="1"/>
  <c r="P614" i="1"/>
  <c r="Q614" i="1"/>
  <c r="R614" i="1"/>
  <c r="O615" i="1"/>
  <c r="P615" i="1"/>
  <c r="Q615" i="1"/>
  <c r="R615" i="1"/>
  <c r="O616" i="1"/>
  <c r="P616" i="1"/>
  <c r="Q616" i="1"/>
  <c r="R616" i="1"/>
  <c r="O617" i="1"/>
  <c r="P617" i="1"/>
  <c r="Q617" i="1"/>
  <c r="R617" i="1"/>
  <c r="O618" i="1"/>
  <c r="P618" i="1"/>
  <c r="Q618" i="1"/>
  <c r="R618" i="1"/>
  <c r="O619" i="1"/>
  <c r="P619" i="1"/>
  <c r="Q619" i="1"/>
  <c r="R619" i="1"/>
  <c r="O620" i="1"/>
  <c r="P620" i="1"/>
  <c r="Q620" i="1"/>
  <c r="R620" i="1"/>
  <c r="O621" i="1"/>
  <c r="P621" i="1"/>
  <c r="Q621" i="1"/>
  <c r="R621" i="1"/>
  <c r="O622" i="1"/>
  <c r="P622" i="1"/>
  <c r="Q622" i="1"/>
  <c r="R622" i="1"/>
  <c r="O623" i="1"/>
  <c r="P623" i="1"/>
  <c r="Q623" i="1"/>
  <c r="R623" i="1"/>
  <c r="O624" i="1"/>
  <c r="P624" i="1"/>
  <c r="Q624" i="1"/>
  <c r="R624" i="1"/>
  <c r="O625" i="1"/>
  <c r="P625" i="1"/>
  <c r="Q625" i="1"/>
  <c r="R625" i="1"/>
  <c r="O626" i="1"/>
  <c r="P626" i="1"/>
  <c r="Q626" i="1"/>
  <c r="R626" i="1"/>
  <c r="O627" i="1"/>
  <c r="P627" i="1"/>
  <c r="Q627" i="1"/>
  <c r="R627" i="1"/>
  <c r="O628" i="1"/>
  <c r="P628" i="1"/>
  <c r="Q628" i="1"/>
  <c r="R628" i="1"/>
  <c r="O629" i="1"/>
  <c r="P629" i="1"/>
  <c r="Q629" i="1"/>
  <c r="R629" i="1"/>
  <c r="O630" i="1"/>
  <c r="P630" i="1"/>
  <c r="Q630" i="1"/>
  <c r="R630" i="1"/>
  <c r="O631" i="1"/>
  <c r="P631" i="1"/>
  <c r="Q631" i="1"/>
  <c r="R631" i="1"/>
  <c r="O392" i="1"/>
  <c r="P392" i="1"/>
  <c r="Q392" i="1"/>
  <c r="R392" i="1"/>
  <c r="O393" i="1"/>
  <c r="P393" i="1"/>
  <c r="Q393" i="1"/>
  <c r="R393" i="1"/>
  <c r="O394" i="1"/>
  <c r="P394" i="1"/>
  <c r="Q394" i="1"/>
  <c r="R394" i="1"/>
  <c r="O395" i="1"/>
  <c r="P395" i="1"/>
  <c r="Q395" i="1"/>
  <c r="R395" i="1"/>
  <c r="O396" i="1"/>
  <c r="P396" i="1"/>
  <c r="Q396" i="1"/>
  <c r="R396" i="1"/>
  <c r="O397" i="1"/>
  <c r="P397" i="1"/>
  <c r="Q397" i="1"/>
  <c r="R397" i="1"/>
  <c r="O398" i="1"/>
  <c r="P398" i="1"/>
  <c r="Q398" i="1"/>
  <c r="R398" i="1"/>
  <c r="O399" i="1"/>
  <c r="P399" i="1"/>
  <c r="Q399" i="1"/>
  <c r="R399" i="1"/>
  <c r="O400" i="1"/>
  <c r="P400" i="1"/>
  <c r="Q400" i="1"/>
  <c r="R400" i="1"/>
  <c r="O401" i="1"/>
  <c r="P401" i="1"/>
  <c r="Q401" i="1"/>
  <c r="R401" i="1"/>
  <c r="O402" i="1"/>
  <c r="P402" i="1"/>
  <c r="Q402" i="1"/>
  <c r="R402" i="1"/>
  <c r="O403" i="1"/>
  <c r="P403" i="1"/>
  <c r="Q403" i="1"/>
  <c r="R403" i="1"/>
  <c r="O404" i="1"/>
  <c r="P404" i="1"/>
  <c r="Q404" i="1"/>
  <c r="R404" i="1"/>
  <c r="R391" i="1"/>
  <c r="Q391" i="1"/>
  <c r="P391" i="1"/>
  <c r="O391" i="1"/>
  <c r="S148" i="1"/>
  <c r="T148" i="1"/>
  <c r="U148" i="1"/>
  <c r="V148" i="1"/>
  <c r="S401" i="1"/>
  <c r="T401" i="1"/>
  <c r="U401" i="1"/>
  <c r="V401" i="1"/>
  <c r="S632" i="1"/>
  <c r="T632" i="1"/>
  <c r="U632" i="1"/>
  <c r="V632" i="1"/>
  <c r="S643" i="1"/>
  <c r="T643" i="1"/>
  <c r="U643" i="1"/>
  <c r="V643" i="1"/>
  <c r="B42" i="4"/>
  <c r="D42" i="4"/>
  <c r="C42" i="4"/>
  <c r="C37" i="4"/>
  <c r="D37" i="4"/>
  <c r="E23" i="5"/>
  <c r="E29" i="5"/>
  <c r="E32" i="5"/>
  <c r="C28" i="5"/>
  <c r="O634" i="1"/>
  <c r="S634" i="1"/>
  <c r="P634" i="1"/>
  <c r="T634" i="1"/>
  <c r="Q634" i="1"/>
  <c r="U634" i="1"/>
  <c r="R634" i="1"/>
  <c r="V634" i="1"/>
  <c r="O635" i="1"/>
  <c r="S635" i="1"/>
  <c r="P635" i="1"/>
  <c r="T635" i="1"/>
  <c r="Q635" i="1"/>
  <c r="U635" i="1"/>
  <c r="R635" i="1"/>
  <c r="V635" i="1"/>
  <c r="O636" i="1"/>
  <c r="S636" i="1"/>
  <c r="P636" i="1"/>
  <c r="T636" i="1"/>
  <c r="Q636" i="1"/>
  <c r="U636" i="1"/>
  <c r="R636" i="1"/>
  <c r="V636" i="1"/>
  <c r="O637" i="1"/>
  <c r="S637" i="1"/>
  <c r="P637" i="1"/>
  <c r="T637" i="1"/>
  <c r="Q637" i="1"/>
  <c r="U637" i="1"/>
  <c r="R637" i="1"/>
  <c r="V637" i="1"/>
  <c r="O638" i="1"/>
  <c r="S638" i="1"/>
  <c r="P638" i="1"/>
  <c r="T638" i="1"/>
  <c r="Q638" i="1"/>
  <c r="U638" i="1"/>
  <c r="R638" i="1"/>
  <c r="V638" i="1"/>
  <c r="O639" i="1"/>
  <c r="S639" i="1"/>
  <c r="P639" i="1"/>
  <c r="T639" i="1"/>
  <c r="Q639" i="1"/>
  <c r="U639" i="1"/>
  <c r="R639" i="1"/>
  <c r="V639" i="1"/>
  <c r="O640" i="1"/>
  <c r="S640" i="1"/>
  <c r="P640" i="1"/>
  <c r="T640" i="1"/>
  <c r="Q640" i="1"/>
  <c r="U640" i="1"/>
  <c r="R640" i="1"/>
  <c r="V640" i="1"/>
  <c r="O641" i="1"/>
  <c r="S641" i="1"/>
  <c r="P641" i="1"/>
  <c r="T641" i="1"/>
  <c r="Q641" i="1"/>
  <c r="U641" i="1"/>
  <c r="R641" i="1"/>
  <c r="V641" i="1"/>
  <c r="O642" i="1"/>
  <c r="S642" i="1"/>
  <c r="P642" i="1"/>
  <c r="T642" i="1"/>
  <c r="Q642" i="1"/>
  <c r="U642" i="1"/>
  <c r="R642" i="1"/>
  <c r="V642" i="1"/>
  <c r="R633" i="1"/>
  <c r="V633" i="1"/>
  <c r="Q633" i="1"/>
  <c r="U633" i="1"/>
  <c r="P633" i="1"/>
  <c r="T633" i="1"/>
  <c r="O633" i="1"/>
  <c r="S633" i="1"/>
  <c r="S403" i="1"/>
  <c r="T403" i="1"/>
  <c r="U403" i="1"/>
  <c r="V403" i="1"/>
  <c r="S404" i="1"/>
  <c r="T404" i="1"/>
  <c r="U404" i="1"/>
  <c r="V404" i="1"/>
  <c r="S405" i="1"/>
  <c r="T405" i="1"/>
  <c r="U405" i="1"/>
  <c r="V405" i="1"/>
  <c r="S406" i="1"/>
  <c r="T406" i="1"/>
  <c r="U406" i="1"/>
  <c r="V406" i="1"/>
  <c r="S407" i="1"/>
  <c r="T407" i="1"/>
  <c r="U407" i="1"/>
  <c r="V407" i="1"/>
  <c r="S408" i="1"/>
  <c r="T408" i="1"/>
  <c r="U408" i="1"/>
  <c r="V408" i="1"/>
  <c r="S409" i="1"/>
  <c r="T409" i="1"/>
  <c r="U409" i="1"/>
  <c r="V409" i="1"/>
  <c r="S410" i="1"/>
  <c r="T410" i="1"/>
  <c r="U410" i="1"/>
  <c r="V410" i="1"/>
  <c r="V411" i="1"/>
  <c r="S412" i="1"/>
  <c r="T412" i="1"/>
  <c r="U412" i="1"/>
  <c r="V412" i="1"/>
  <c r="S413" i="1"/>
  <c r="T413" i="1"/>
  <c r="U413" i="1"/>
  <c r="V413" i="1"/>
  <c r="S414" i="1"/>
  <c r="T414" i="1"/>
  <c r="U414" i="1"/>
  <c r="V414" i="1"/>
  <c r="S415" i="1"/>
  <c r="T415" i="1"/>
  <c r="U415" i="1"/>
  <c r="V415" i="1"/>
  <c r="S416" i="1"/>
  <c r="T416" i="1"/>
  <c r="U416" i="1"/>
  <c r="V416" i="1"/>
  <c r="S417" i="1"/>
  <c r="T417" i="1"/>
  <c r="U417" i="1"/>
  <c r="V417" i="1"/>
  <c r="S418" i="1"/>
  <c r="T418" i="1"/>
  <c r="U418" i="1"/>
  <c r="V418" i="1"/>
  <c r="S419" i="1"/>
  <c r="T419" i="1"/>
  <c r="U419" i="1"/>
  <c r="V419" i="1"/>
  <c r="S420" i="1"/>
  <c r="T420" i="1"/>
  <c r="U420" i="1"/>
  <c r="V420" i="1"/>
  <c r="S421" i="1"/>
  <c r="T421" i="1"/>
  <c r="U421" i="1"/>
  <c r="V421" i="1"/>
  <c r="S422" i="1"/>
  <c r="T422" i="1"/>
  <c r="U422" i="1"/>
  <c r="V422" i="1"/>
  <c r="S423" i="1"/>
  <c r="T423" i="1"/>
  <c r="U423" i="1"/>
  <c r="V423" i="1"/>
  <c r="S424" i="1"/>
  <c r="T424" i="1"/>
  <c r="U424" i="1"/>
  <c r="V424" i="1"/>
  <c r="S425" i="1"/>
  <c r="T425" i="1"/>
  <c r="U425" i="1"/>
  <c r="V425" i="1"/>
  <c r="V426" i="1"/>
  <c r="S427" i="1"/>
  <c r="T427" i="1"/>
  <c r="U427" i="1"/>
  <c r="V427" i="1"/>
  <c r="S428" i="1"/>
  <c r="T428" i="1"/>
  <c r="U428" i="1"/>
  <c r="V428" i="1"/>
  <c r="S429" i="1"/>
  <c r="T429" i="1"/>
  <c r="U429" i="1"/>
  <c r="V429" i="1"/>
  <c r="S430" i="1"/>
  <c r="T430" i="1"/>
  <c r="U430" i="1"/>
  <c r="V430" i="1"/>
  <c r="S431" i="1"/>
  <c r="T431" i="1"/>
  <c r="U431" i="1"/>
  <c r="V431" i="1"/>
  <c r="S432" i="1"/>
  <c r="T432" i="1"/>
  <c r="U432" i="1"/>
  <c r="V432" i="1"/>
  <c r="S433" i="1"/>
  <c r="T433" i="1"/>
  <c r="U433" i="1"/>
  <c r="V433" i="1"/>
  <c r="S434" i="1"/>
  <c r="T434" i="1"/>
  <c r="U434" i="1"/>
  <c r="V434" i="1"/>
  <c r="S435" i="1"/>
  <c r="T435" i="1"/>
  <c r="U435" i="1"/>
  <c r="V435" i="1"/>
  <c r="S436" i="1"/>
  <c r="T436" i="1"/>
  <c r="U436" i="1"/>
  <c r="V436" i="1"/>
  <c r="S437" i="1"/>
  <c r="T437" i="1"/>
  <c r="U437" i="1"/>
  <c r="V437" i="1"/>
  <c r="S438" i="1"/>
  <c r="T438" i="1"/>
  <c r="U438" i="1"/>
  <c r="V438" i="1"/>
  <c r="S439" i="1"/>
  <c r="T439" i="1"/>
  <c r="U439" i="1"/>
  <c r="V439" i="1"/>
  <c r="S440" i="1"/>
  <c r="T440" i="1"/>
  <c r="U440" i="1"/>
  <c r="V440" i="1"/>
  <c r="S441" i="1"/>
  <c r="T441" i="1"/>
  <c r="U441" i="1"/>
  <c r="V441" i="1"/>
  <c r="S442" i="1"/>
  <c r="T442" i="1"/>
  <c r="U442" i="1"/>
  <c r="V442" i="1"/>
  <c r="S443" i="1"/>
  <c r="T443" i="1"/>
  <c r="U443" i="1"/>
  <c r="V443" i="1"/>
  <c r="S444" i="1"/>
  <c r="T444" i="1"/>
  <c r="U444" i="1"/>
  <c r="V444" i="1"/>
  <c r="S445" i="1"/>
  <c r="T445" i="1"/>
  <c r="U445" i="1"/>
  <c r="V445" i="1"/>
  <c r="S446" i="1"/>
  <c r="T446" i="1"/>
  <c r="U446" i="1"/>
  <c r="V446" i="1"/>
  <c r="U447" i="1"/>
  <c r="V447" i="1"/>
  <c r="S448" i="1"/>
  <c r="T448" i="1"/>
  <c r="U448" i="1"/>
  <c r="V448" i="1"/>
  <c r="S449" i="1"/>
  <c r="T449" i="1"/>
  <c r="U449" i="1"/>
  <c r="V449" i="1"/>
  <c r="S450" i="1"/>
  <c r="T450" i="1"/>
  <c r="U450" i="1"/>
  <c r="V450" i="1"/>
  <c r="S451" i="1"/>
  <c r="T451" i="1"/>
  <c r="U451" i="1"/>
  <c r="V451" i="1"/>
  <c r="S452" i="1"/>
  <c r="T452" i="1"/>
  <c r="U452" i="1"/>
  <c r="V452" i="1"/>
  <c r="S453" i="1"/>
  <c r="T453" i="1"/>
  <c r="U453" i="1"/>
  <c r="V453" i="1"/>
  <c r="S454" i="1"/>
  <c r="T454" i="1"/>
  <c r="U454" i="1"/>
  <c r="V454" i="1"/>
  <c r="S455" i="1"/>
  <c r="T455" i="1"/>
  <c r="U455" i="1"/>
  <c r="V455" i="1"/>
  <c r="S456" i="1"/>
  <c r="T456" i="1"/>
  <c r="U456" i="1"/>
  <c r="V456" i="1"/>
  <c r="S457" i="1"/>
  <c r="T457" i="1"/>
  <c r="U457" i="1"/>
  <c r="V457" i="1"/>
  <c r="S458" i="1"/>
  <c r="T458" i="1"/>
  <c r="U458" i="1"/>
  <c r="V458" i="1"/>
  <c r="S459" i="1"/>
  <c r="T459" i="1"/>
  <c r="U459" i="1"/>
  <c r="V459" i="1"/>
  <c r="S460" i="1"/>
  <c r="T460" i="1"/>
  <c r="U460" i="1"/>
  <c r="V460" i="1"/>
  <c r="S461" i="1"/>
  <c r="T461" i="1"/>
  <c r="U461" i="1"/>
  <c r="V461" i="1"/>
  <c r="S462" i="1"/>
  <c r="T462" i="1"/>
  <c r="U462" i="1"/>
  <c r="V462" i="1"/>
  <c r="S463" i="1"/>
  <c r="T463" i="1"/>
  <c r="U463" i="1"/>
  <c r="V463" i="1"/>
  <c r="S464" i="1"/>
  <c r="T464" i="1"/>
  <c r="U464" i="1"/>
  <c r="V464" i="1"/>
  <c r="S465" i="1"/>
  <c r="T465" i="1"/>
  <c r="U465" i="1"/>
  <c r="V465" i="1"/>
  <c r="S466" i="1"/>
  <c r="T466" i="1"/>
  <c r="U466" i="1"/>
  <c r="V466" i="1"/>
  <c r="V467" i="1"/>
  <c r="S468" i="1"/>
  <c r="T468" i="1"/>
  <c r="U468" i="1"/>
  <c r="V468" i="1"/>
  <c r="S469" i="1"/>
  <c r="T469" i="1"/>
  <c r="U469" i="1"/>
  <c r="V469" i="1"/>
  <c r="S470" i="1"/>
  <c r="T470" i="1"/>
  <c r="U470" i="1"/>
  <c r="V470" i="1"/>
  <c r="S471" i="1"/>
  <c r="T471" i="1"/>
  <c r="U471" i="1"/>
  <c r="V471" i="1"/>
  <c r="S472" i="1"/>
  <c r="T472" i="1"/>
  <c r="U472" i="1"/>
  <c r="V472" i="1"/>
  <c r="S473" i="1"/>
  <c r="T473" i="1"/>
  <c r="U473" i="1"/>
  <c r="V473" i="1"/>
  <c r="S474" i="1"/>
  <c r="T474" i="1"/>
  <c r="U474" i="1"/>
  <c r="V474" i="1"/>
  <c r="S475" i="1"/>
  <c r="T475" i="1"/>
  <c r="U475" i="1"/>
  <c r="V475" i="1"/>
  <c r="S476" i="1"/>
  <c r="T476" i="1"/>
  <c r="U476" i="1"/>
  <c r="V476" i="1"/>
  <c r="S477" i="1"/>
  <c r="T477" i="1"/>
  <c r="U477" i="1"/>
  <c r="V477" i="1"/>
  <c r="S478" i="1"/>
  <c r="T478" i="1"/>
  <c r="U478" i="1"/>
  <c r="V478" i="1"/>
  <c r="S479" i="1"/>
  <c r="T479" i="1"/>
  <c r="U479" i="1"/>
  <c r="V479" i="1"/>
  <c r="S480" i="1"/>
  <c r="T480" i="1"/>
  <c r="U480" i="1"/>
  <c r="V480" i="1"/>
  <c r="S481" i="1"/>
  <c r="T481" i="1"/>
  <c r="U481" i="1"/>
  <c r="V481" i="1"/>
  <c r="S482" i="1"/>
  <c r="T482" i="1"/>
  <c r="U482" i="1"/>
  <c r="V482" i="1"/>
  <c r="S483" i="1"/>
  <c r="T483" i="1"/>
  <c r="U483" i="1"/>
  <c r="V483" i="1"/>
  <c r="S484" i="1"/>
  <c r="T484" i="1"/>
  <c r="U484" i="1"/>
  <c r="V484" i="1"/>
  <c r="S485" i="1"/>
  <c r="T485" i="1"/>
  <c r="U485" i="1"/>
  <c r="V485" i="1"/>
  <c r="V486" i="1"/>
  <c r="V487" i="1"/>
  <c r="S488" i="1"/>
  <c r="T488" i="1"/>
  <c r="U488" i="1"/>
  <c r="V488" i="1"/>
  <c r="S489" i="1"/>
  <c r="T489" i="1"/>
  <c r="U489" i="1"/>
  <c r="V489" i="1"/>
  <c r="S490" i="1"/>
  <c r="T490" i="1"/>
  <c r="U490" i="1"/>
  <c r="V490" i="1"/>
  <c r="S491" i="1"/>
  <c r="T491" i="1"/>
  <c r="U491" i="1"/>
  <c r="V491" i="1"/>
  <c r="S492" i="1"/>
  <c r="T492" i="1"/>
  <c r="U492" i="1"/>
  <c r="V492" i="1"/>
  <c r="S493" i="1"/>
  <c r="T493" i="1"/>
  <c r="U493" i="1"/>
  <c r="V493" i="1"/>
  <c r="S494" i="1"/>
  <c r="T494" i="1"/>
  <c r="U494" i="1"/>
  <c r="V494" i="1"/>
  <c r="S495" i="1"/>
  <c r="T495" i="1"/>
  <c r="U495" i="1"/>
  <c r="V495" i="1"/>
  <c r="S496" i="1"/>
  <c r="T496" i="1"/>
  <c r="U496" i="1"/>
  <c r="V496" i="1"/>
  <c r="S497" i="1"/>
  <c r="T497" i="1"/>
  <c r="U497" i="1"/>
  <c r="V497" i="1"/>
  <c r="S498" i="1"/>
  <c r="T498" i="1"/>
  <c r="U498" i="1"/>
  <c r="V498" i="1"/>
  <c r="S499" i="1"/>
  <c r="T499" i="1"/>
  <c r="U499" i="1"/>
  <c r="V499" i="1"/>
  <c r="S500" i="1"/>
  <c r="T500" i="1"/>
  <c r="U500" i="1"/>
  <c r="V500" i="1"/>
  <c r="S501" i="1"/>
  <c r="T501" i="1"/>
  <c r="U501" i="1"/>
  <c r="V501" i="1"/>
  <c r="S502" i="1"/>
  <c r="T502" i="1"/>
  <c r="U502" i="1"/>
  <c r="V502" i="1"/>
  <c r="S503" i="1"/>
  <c r="T503" i="1"/>
  <c r="U503" i="1"/>
  <c r="V503" i="1"/>
  <c r="S504" i="1"/>
  <c r="T504" i="1"/>
  <c r="U504" i="1"/>
  <c r="V504" i="1"/>
  <c r="S505" i="1"/>
  <c r="T505" i="1"/>
  <c r="U505" i="1"/>
  <c r="V505" i="1"/>
  <c r="V506" i="1"/>
  <c r="S507" i="1"/>
  <c r="T507" i="1"/>
  <c r="U507" i="1"/>
  <c r="V507" i="1"/>
  <c r="S508" i="1"/>
  <c r="T508" i="1"/>
  <c r="U508" i="1"/>
  <c r="V508" i="1"/>
  <c r="S509" i="1"/>
  <c r="T509" i="1"/>
  <c r="U509" i="1"/>
  <c r="V509" i="1"/>
  <c r="S510" i="1"/>
  <c r="T510" i="1"/>
  <c r="U510" i="1"/>
  <c r="V510" i="1"/>
  <c r="S511" i="1"/>
  <c r="T511" i="1"/>
  <c r="U511" i="1"/>
  <c r="V511" i="1"/>
  <c r="S512" i="1"/>
  <c r="T512" i="1"/>
  <c r="U512" i="1"/>
  <c r="V512" i="1"/>
  <c r="S513" i="1"/>
  <c r="T513" i="1"/>
  <c r="U513" i="1"/>
  <c r="V513" i="1"/>
  <c r="S514" i="1"/>
  <c r="T514" i="1"/>
  <c r="U514" i="1"/>
  <c r="V514" i="1"/>
  <c r="S515" i="1"/>
  <c r="T515" i="1"/>
  <c r="U515" i="1"/>
  <c r="V515" i="1"/>
  <c r="S516" i="1"/>
  <c r="T516" i="1"/>
  <c r="U516" i="1"/>
  <c r="V516" i="1"/>
  <c r="S517" i="1"/>
  <c r="T517" i="1"/>
  <c r="U517" i="1"/>
  <c r="V517" i="1"/>
  <c r="S518" i="1"/>
  <c r="T518" i="1"/>
  <c r="U518" i="1"/>
  <c r="V518" i="1"/>
  <c r="S519" i="1"/>
  <c r="T519" i="1"/>
  <c r="U519" i="1"/>
  <c r="V519" i="1"/>
  <c r="S520" i="1"/>
  <c r="T520" i="1"/>
  <c r="U520" i="1"/>
  <c r="V520" i="1"/>
  <c r="S521" i="1"/>
  <c r="T521" i="1"/>
  <c r="U521" i="1"/>
  <c r="V521" i="1"/>
  <c r="S522" i="1"/>
  <c r="T522" i="1"/>
  <c r="U522" i="1"/>
  <c r="V522" i="1"/>
  <c r="S523" i="1"/>
  <c r="T523" i="1"/>
  <c r="U523" i="1"/>
  <c r="V523" i="1"/>
  <c r="S524" i="1"/>
  <c r="T524" i="1"/>
  <c r="U524" i="1"/>
  <c r="V524" i="1"/>
  <c r="S525" i="1"/>
  <c r="T525" i="1"/>
  <c r="U525" i="1"/>
  <c r="V525" i="1"/>
  <c r="S526" i="1"/>
  <c r="T526" i="1"/>
  <c r="U526" i="1"/>
  <c r="V526" i="1"/>
  <c r="S527" i="1"/>
  <c r="T527" i="1"/>
  <c r="U527" i="1"/>
  <c r="V527" i="1"/>
  <c r="S528" i="1"/>
  <c r="T528" i="1"/>
  <c r="U528" i="1"/>
  <c r="V528" i="1"/>
  <c r="S529" i="1"/>
  <c r="V529" i="1"/>
  <c r="S530" i="1"/>
  <c r="T530" i="1"/>
  <c r="U530" i="1"/>
  <c r="V530" i="1"/>
  <c r="S531" i="1"/>
  <c r="T531" i="1"/>
  <c r="U531" i="1"/>
  <c r="V531" i="1"/>
  <c r="S532" i="1"/>
  <c r="T532" i="1"/>
  <c r="U532" i="1"/>
  <c r="V532" i="1"/>
  <c r="S533" i="1"/>
  <c r="T533" i="1"/>
  <c r="U533" i="1"/>
  <c r="V533" i="1"/>
  <c r="S534" i="1"/>
  <c r="T534" i="1"/>
  <c r="U534" i="1"/>
  <c r="V534" i="1"/>
  <c r="S535" i="1"/>
  <c r="T535" i="1"/>
  <c r="U535" i="1"/>
  <c r="V535" i="1"/>
  <c r="S536" i="1"/>
  <c r="T536" i="1"/>
  <c r="U536" i="1"/>
  <c r="V536" i="1"/>
  <c r="S537" i="1"/>
  <c r="T537" i="1"/>
  <c r="U537" i="1"/>
  <c r="V537" i="1"/>
  <c r="S538" i="1"/>
  <c r="T538" i="1"/>
  <c r="U538" i="1"/>
  <c r="V538" i="1"/>
  <c r="S539" i="1"/>
  <c r="T539" i="1"/>
  <c r="U539" i="1"/>
  <c r="V539" i="1"/>
  <c r="S540" i="1"/>
  <c r="T540" i="1"/>
  <c r="U540" i="1"/>
  <c r="V540" i="1"/>
  <c r="S541" i="1"/>
  <c r="T541" i="1"/>
  <c r="U541" i="1"/>
  <c r="V541" i="1"/>
  <c r="S542" i="1"/>
  <c r="T542" i="1"/>
  <c r="U542" i="1"/>
  <c r="V542" i="1"/>
  <c r="S543" i="1"/>
  <c r="T543" i="1"/>
  <c r="U543" i="1"/>
  <c r="V543" i="1"/>
  <c r="S544" i="1"/>
  <c r="T544" i="1"/>
  <c r="U544" i="1"/>
  <c r="V544" i="1"/>
  <c r="S545" i="1"/>
  <c r="T545" i="1"/>
  <c r="U545" i="1"/>
  <c r="V545" i="1"/>
  <c r="S546" i="1"/>
  <c r="T546" i="1"/>
  <c r="U546" i="1"/>
  <c r="V546" i="1"/>
  <c r="S547" i="1"/>
  <c r="T547" i="1"/>
  <c r="U547" i="1"/>
  <c r="V547" i="1"/>
  <c r="S548" i="1"/>
  <c r="T548" i="1"/>
  <c r="U548" i="1"/>
  <c r="V548" i="1"/>
  <c r="S549" i="1"/>
  <c r="T549" i="1"/>
  <c r="U549" i="1"/>
  <c r="V549" i="1"/>
  <c r="S550" i="1"/>
  <c r="T550" i="1"/>
  <c r="U550" i="1"/>
  <c r="V550" i="1"/>
  <c r="U551" i="1"/>
  <c r="V551" i="1"/>
  <c r="S552" i="1"/>
  <c r="T552" i="1"/>
  <c r="U552" i="1"/>
  <c r="V552" i="1"/>
  <c r="S553" i="1"/>
  <c r="T553" i="1"/>
  <c r="U553" i="1"/>
  <c r="V553" i="1"/>
  <c r="S554" i="1"/>
  <c r="T554" i="1"/>
  <c r="U554" i="1"/>
  <c r="V554" i="1"/>
  <c r="S555" i="1"/>
  <c r="T555" i="1"/>
  <c r="U555" i="1"/>
  <c r="V555" i="1"/>
  <c r="S556" i="1"/>
  <c r="T556" i="1"/>
  <c r="U556" i="1"/>
  <c r="V556" i="1"/>
  <c r="S557" i="1"/>
  <c r="T557" i="1"/>
  <c r="U557" i="1"/>
  <c r="V557" i="1"/>
  <c r="S558" i="1"/>
  <c r="T558" i="1"/>
  <c r="U558" i="1"/>
  <c r="V558" i="1"/>
  <c r="S559" i="1"/>
  <c r="T559" i="1"/>
  <c r="U559" i="1"/>
  <c r="V559" i="1"/>
  <c r="S560" i="1"/>
  <c r="T560" i="1"/>
  <c r="U560" i="1"/>
  <c r="V560" i="1"/>
  <c r="S561" i="1"/>
  <c r="T561" i="1"/>
  <c r="U561" i="1"/>
  <c r="V561" i="1"/>
  <c r="S562" i="1"/>
  <c r="T562" i="1"/>
  <c r="U562" i="1"/>
  <c r="V562" i="1"/>
  <c r="S563" i="1"/>
  <c r="T563" i="1"/>
  <c r="U563" i="1"/>
  <c r="V563" i="1"/>
  <c r="S564" i="1"/>
  <c r="T564" i="1"/>
  <c r="U564" i="1"/>
  <c r="V564" i="1"/>
  <c r="S565" i="1"/>
  <c r="T565" i="1"/>
  <c r="U565" i="1"/>
  <c r="V565" i="1"/>
  <c r="S566" i="1"/>
  <c r="T566" i="1"/>
  <c r="U566" i="1"/>
  <c r="V566" i="1"/>
  <c r="S567" i="1"/>
  <c r="T567" i="1"/>
  <c r="U567" i="1"/>
  <c r="V567" i="1"/>
  <c r="S568" i="1"/>
  <c r="T568" i="1"/>
  <c r="U568" i="1"/>
  <c r="V568" i="1"/>
  <c r="S569" i="1"/>
  <c r="T569" i="1"/>
  <c r="U569" i="1"/>
  <c r="V569" i="1"/>
  <c r="V570" i="1"/>
  <c r="S571" i="1"/>
  <c r="T571" i="1"/>
  <c r="U571" i="1"/>
  <c r="V571" i="1"/>
  <c r="S572" i="1"/>
  <c r="T572" i="1"/>
  <c r="U572" i="1"/>
  <c r="V572" i="1"/>
  <c r="S573" i="1"/>
  <c r="T573" i="1"/>
  <c r="U573" i="1"/>
  <c r="V573" i="1"/>
  <c r="S574" i="1"/>
  <c r="T574" i="1"/>
  <c r="U574" i="1"/>
  <c r="V574" i="1"/>
  <c r="S575" i="1"/>
  <c r="T575" i="1"/>
  <c r="U575" i="1"/>
  <c r="V575" i="1"/>
  <c r="S576" i="1"/>
  <c r="T576" i="1"/>
  <c r="U576" i="1"/>
  <c r="V576" i="1"/>
  <c r="S577" i="1"/>
  <c r="T577" i="1"/>
  <c r="U577" i="1"/>
  <c r="V577" i="1"/>
  <c r="S578" i="1"/>
  <c r="T578" i="1"/>
  <c r="U578" i="1"/>
  <c r="V578" i="1"/>
  <c r="S579" i="1"/>
  <c r="T579" i="1"/>
  <c r="U579" i="1"/>
  <c r="V579" i="1"/>
  <c r="S580" i="1"/>
  <c r="T580" i="1"/>
  <c r="U580" i="1"/>
  <c r="V580" i="1"/>
  <c r="S581" i="1"/>
  <c r="T581" i="1"/>
  <c r="U581" i="1"/>
  <c r="V581" i="1"/>
  <c r="S582" i="1"/>
  <c r="T582" i="1"/>
  <c r="U582" i="1"/>
  <c r="V582" i="1"/>
  <c r="S583" i="1"/>
  <c r="T583" i="1"/>
  <c r="U583" i="1"/>
  <c r="V583" i="1"/>
  <c r="S584" i="1"/>
  <c r="T584" i="1"/>
  <c r="U584" i="1"/>
  <c r="V584" i="1"/>
  <c r="S585" i="1"/>
  <c r="T585" i="1"/>
  <c r="U585" i="1"/>
  <c r="V585" i="1"/>
  <c r="S586" i="1"/>
  <c r="T586" i="1"/>
  <c r="U586" i="1"/>
  <c r="V586" i="1"/>
  <c r="V587" i="1"/>
  <c r="S588" i="1"/>
  <c r="T588" i="1"/>
  <c r="U588" i="1"/>
  <c r="V588" i="1"/>
  <c r="S589" i="1"/>
  <c r="T589" i="1"/>
  <c r="U589" i="1"/>
  <c r="V589" i="1"/>
  <c r="S590" i="1"/>
  <c r="T590" i="1"/>
  <c r="U590" i="1"/>
  <c r="V590" i="1"/>
  <c r="S591" i="1"/>
  <c r="T591" i="1"/>
  <c r="U591" i="1"/>
  <c r="V591" i="1"/>
  <c r="S592" i="1"/>
  <c r="T592" i="1"/>
  <c r="U592" i="1"/>
  <c r="V592" i="1"/>
  <c r="S593" i="1"/>
  <c r="T593" i="1"/>
  <c r="U593" i="1"/>
  <c r="V593" i="1"/>
  <c r="S594" i="1"/>
  <c r="T594" i="1"/>
  <c r="U594" i="1"/>
  <c r="V594" i="1"/>
  <c r="S595" i="1"/>
  <c r="T595" i="1"/>
  <c r="U595" i="1"/>
  <c r="V595" i="1"/>
  <c r="S596" i="1"/>
  <c r="T596" i="1"/>
  <c r="U596" i="1"/>
  <c r="V596" i="1"/>
  <c r="S597" i="1"/>
  <c r="T597" i="1"/>
  <c r="U597" i="1"/>
  <c r="V597" i="1"/>
  <c r="S598" i="1"/>
  <c r="T598" i="1"/>
  <c r="U598" i="1"/>
  <c r="V598" i="1"/>
  <c r="S599" i="1"/>
  <c r="T599" i="1"/>
  <c r="U599" i="1"/>
  <c r="V599" i="1"/>
  <c r="S600" i="1"/>
  <c r="T600" i="1"/>
  <c r="U600" i="1"/>
  <c r="V600" i="1"/>
  <c r="S601" i="1"/>
  <c r="T601" i="1"/>
  <c r="U601" i="1"/>
  <c r="V601" i="1"/>
  <c r="S602" i="1"/>
  <c r="T602" i="1"/>
  <c r="U602" i="1"/>
  <c r="V602" i="1"/>
  <c r="S603" i="1"/>
  <c r="T603" i="1"/>
  <c r="U603" i="1"/>
  <c r="V603" i="1"/>
  <c r="S604" i="1"/>
  <c r="T604" i="1"/>
  <c r="U604" i="1"/>
  <c r="V604" i="1"/>
  <c r="S605" i="1"/>
  <c r="T605" i="1"/>
  <c r="U605" i="1"/>
  <c r="V605" i="1"/>
  <c r="S606" i="1"/>
  <c r="T606" i="1"/>
  <c r="U606" i="1"/>
  <c r="V606" i="1"/>
  <c r="S607" i="1"/>
  <c r="T607" i="1"/>
  <c r="U607" i="1"/>
  <c r="V607" i="1"/>
  <c r="S608" i="1"/>
  <c r="T608" i="1"/>
  <c r="U608" i="1"/>
  <c r="V608" i="1"/>
  <c r="U609" i="1"/>
  <c r="V609" i="1"/>
  <c r="S610" i="1"/>
  <c r="T610" i="1"/>
  <c r="U610" i="1"/>
  <c r="V610" i="1"/>
  <c r="S611" i="1"/>
  <c r="T611" i="1"/>
  <c r="U611" i="1"/>
  <c r="V611" i="1"/>
  <c r="S612" i="1"/>
  <c r="T612" i="1"/>
  <c r="U612" i="1"/>
  <c r="V612" i="1"/>
  <c r="S613" i="1"/>
  <c r="T613" i="1"/>
  <c r="U613" i="1"/>
  <c r="V613" i="1"/>
  <c r="S614" i="1"/>
  <c r="T614" i="1"/>
  <c r="U614" i="1"/>
  <c r="V614" i="1"/>
  <c r="S615" i="1"/>
  <c r="T615" i="1"/>
  <c r="U615" i="1"/>
  <c r="V615" i="1"/>
  <c r="S616" i="1"/>
  <c r="T616" i="1"/>
  <c r="U616" i="1"/>
  <c r="V616" i="1"/>
  <c r="S617" i="1"/>
  <c r="T617" i="1"/>
  <c r="U617" i="1"/>
  <c r="V617" i="1"/>
  <c r="S618" i="1"/>
  <c r="T618" i="1"/>
  <c r="U618" i="1"/>
  <c r="V618" i="1"/>
  <c r="S619" i="1"/>
  <c r="T619" i="1"/>
  <c r="U619" i="1"/>
  <c r="V619" i="1"/>
  <c r="S620" i="1"/>
  <c r="T620" i="1"/>
  <c r="U620" i="1"/>
  <c r="V620" i="1"/>
  <c r="S621" i="1"/>
  <c r="T621" i="1"/>
  <c r="U621" i="1"/>
  <c r="V621" i="1"/>
  <c r="S622" i="1"/>
  <c r="T622" i="1"/>
  <c r="U622" i="1"/>
  <c r="V622" i="1"/>
  <c r="S623" i="1"/>
  <c r="T623" i="1"/>
  <c r="U623" i="1"/>
  <c r="V623" i="1"/>
  <c r="S624" i="1"/>
  <c r="T624" i="1"/>
  <c r="U624" i="1"/>
  <c r="V624" i="1"/>
  <c r="S625" i="1"/>
  <c r="T625" i="1"/>
  <c r="U625" i="1"/>
  <c r="V625" i="1"/>
  <c r="S626" i="1"/>
  <c r="T626" i="1"/>
  <c r="U626" i="1"/>
  <c r="V626" i="1"/>
  <c r="S627" i="1"/>
  <c r="T627" i="1"/>
  <c r="U627" i="1"/>
  <c r="V627" i="1"/>
  <c r="S628" i="1"/>
  <c r="T628" i="1"/>
  <c r="U628" i="1"/>
  <c r="V628" i="1"/>
  <c r="S629" i="1"/>
  <c r="T629" i="1"/>
  <c r="U629" i="1"/>
  <c r="V629" i="1"/>
  <c r="S630" i="1"/>
  <c r="T630" i="1"/>
  <c r="U630" i="1"/>
  <c r="V630" i="1"/>
  <c r="V631" i="1"/>
  <c r="V402" i="1"/>
  <c r="U402" i="1"/>
  <c r="T402" i="1"/>
  <c r="S402" i="1"/>
  <c r="O372" i="1"/>
  <c r="S372" i="1"/>
  <c r="P372" i="1"/>
  <c r="T372" i="1"/>
  <c r="Q372" i="1"/>
  <c r="U372" i="1"/>
  <c r="R372" i="1"/>
  <c r="V372" i="1"/>
  <c r="O373" i="1"/>
  <c r="S373" i="1"/>
  <c r="P373" i="1"/>
  <c r="T373" i="1"/>
  <c r="Q373" i="1"/>
  <c r="U373" i="1"/>
  <c r="R373" i="1"/>
  <c r="V373" i="1"/>
  <c r="O374" i="1"/>
  <c r="S374" i="1"/>
  <c r="P374" i="1"/>
  <c r="T374" i="1"/>
  <c r="Q374" i="1"/>
  <c r="U374" i="1"/>
  <c r="R374" i="1"/>
  <c r="V374" i="1"/>
  <c r="O375" i="1"/>
  <c r="S375" i="1"/>
  <c r="P375" i="1"/>
  <c r="T375" i="1"/>
  <c r="Q375" i="1"/>
  <c r="U375" i="1"/>
  <c r="R375" i="1"/>
  <c r="V375" i="1"/>
  <c r="O376" i="1"/>
  <c r="S376" i="1"/>
  <c r="P376" i="1"/>
  <c r="T376" i="1"/>
  <c r="Q376" i="1"/>
  <c r="U376" i="1"/>
  <c r="R376" i="1"/>
  <c r="V376" i="1"/>
  <c r="O377" i="1"/>
  <c r="S377" i="1"/>
  <c r="P377" i="1"/>
  <c r="T377" i="1"/>
  <c r="Q377" i="1"/>
  <c r="U377" i="1"/>
  <c r="R377" i="1"/>
  <c r="V377" i="1"/>
  <c r="O378" i="1"/>
  <c r="S378" i="1"/>
  <c r="P378" i="1"/>
  <c r="T378" i="1"/>
  <c r="Q378" i="1"/>
  <c r="U378" i="1"/>
  <c r="R378" i="1"/>
  <c r="V378" i="1"/>
  <c r="O379" i="1"/>
  <c r="S379" i="1"/>
  <c r="P379" i="1"/>
  <c r="T379" i="1"/>
  <c r="Q379" i="1"/>
  <c r="U379" i="1"/>
  <c r="R379" i="1"/>
  <c r="V379" i="1"/>
  <c r="O380" i="1"/>
  <c r="S380" i="1"/>
  <c r="P380" i="1"/>
  <c r="T380" i="1"/>
  <c r="Q380" i="1"/>
  <c r="U380" i="1"/>
  <c r="R380" i="1"/>
  <c r="V380" i="1"/>
  <c r="O381" i="1"/>
  <c r="S381" i="1"/>
  <c r="P381" i="1"/>
  <c r="T381" i="1"/>
  <c r="Q381" i="1"/>
  <c r="U381" i="1"/>
  <c r="R381" i="1"/>
  <c r="V381" i="1"/>
  <c r="O382" i="1"/>
  <c r="S382" i="1"/>
  <c r="P382" i="1"/>
  <c r="T382" i="1"/>
  <c r="Q382" i="1"/>
  <c r="U382" i="1"/>
  <c r="R382" i="1"/>
  <c r="V382" i="1"/>
  <c r="O383" i="1"/>
  <c r="S383" i="1"/>
  <c r="P383" i="1"/>
  <c r="T383" i="1"/>
  <c r="Q383" i="1"/>
  <c r="U383" i="1"/>
  <c r="R383" i="1"/>
  <c r="V383" i="1"/>
  <c r="O384" i="1"/>
  <c r="S384" i="1"/>
  <c r="P384" i="1"/>
  <c r="T384" i="1"/>
  <c r="Q384" i="1"/>
  <c r="U384" i="1"/>
  <c r="R384" i="1"/>
  <c r="V384" i="1"/>
  <c r="O385" i="1"/>
  <c r="S385" i="1"/>
  <c r="P385" i="1"/>
  <c r="T385" i="1"/>
  <c r="Q385" i="1"/>
  <c r="U385" i="1"/>
  <c r="R385" i="1"/>
  <c r="V385" i="1"/>
  <c r="O386" i="1"/>
  <c r="S386" i="1"/>
  <c r="P386" i="1"/>
  <c r="T386" i="1"/>
  <c r="Q386" i="1"/>
  <c r="U386" i="1"/>
  <c r="R386" i="1"/>
  <c r="V386" i="1"/>
  <c r="O387" i="1"/>
  <c r="S387" i="1"/>
  <c r="P387" i="1"/>
  <c r="T387" i="1"/>
  <c r="Q387" i="1"/>
  <c r="U387" i="1"/>
  <c r="R387" i="1"/>
  <c r="V387" i="1"/>
  <c r="O388" i="1"/>
  <c r="S388" i="1"/>
  <c r="P388" i="1"/>
  <c r="T388" i="1"/>
  <c r="Q388" i="1"/>
  <c r="U388" i="1"/>
  <c r="R388" i="1"/>
  <c r="V388" i="1"/>
  <c r="O389" i="1"/>
  <c r="P389" i="1"/>
  <c r="Q389" i="1"/>
  <c r="U389" i="1"/>
  <c r="R389" i="1"/>
  <c r="V389" i="1"/>
  <c r="S390" i="1"/>
  <c r="T390" i="1"/>
  <c r="U390" i="1"/>
  <c r="V390" i="1"/>
  <c r="S391" i="1"/>
  <c r="T391" i="1"/>
  <c r="U391" i="1"/>
  <c r="V391" i="1"/>
  <c r="S392" i="1"/>
  <c r="T392" i="1"/>
  <c r="U392" i="1"/>
  <c r="V392" i="1"/>
  <c r="S393" i="1"/>
  <c r="T393" i="1"/>
  <c r="U393" i="1"/>
  <c r="V393" i="1"/>
  <c r="S394" i="1"/>
  <c r="T394" i="1"/>
  <c r="U394" i="1"/>
  <c r="V394" i="1"/>
  <c r="S395" i="1"/>
  <c r="T395" i="1"/>
  <c r="U395" i="1"/>
  <c r="V395" i="1"/>
  <c r="S396" i="1"/>
  <c r="T396" i="1"/>
  <c r="U396" i="1"/>
  <c r="V396" i="1"/>
  <c r="S397" i="1"/>
  <c r="T397" i="1"/>
  <c r="U397" i="1"/>
  <c r="V397" i="1"/>
  <c r="S398" i="1"/>
  <c r="T398" i="1"/>
  <c r="U398" i="1"/>
  <c r="V398" i="1"/>
  <c r="S399" i="1"/>
  <c r="T399" i="1"/>
  <c r="U399" i="1"/>
  <c r="V399" i="1"/>
  <c r="S400" i="1"/>
  <c r="T400" i="1"/>
  <c r="U400" i="1"/>
  <c r="V400" i="1"/>
  <c r="O150" i="1"/>
  <c r="S150" i="1"/>
  <c r="P150" i="1"/>
  <c r="T150" i="1"/>
  <c r="Q150" i="1"/>
  <c r="U150" i="1"/>
  <c r="R150" i="1"/>
  <c r="V150" i="1"/>
  <c r="O151" i="1"/>
  <c r="S151" i="1"/>
  <c r="P151" i="1"/>
  <c r="T151" i="1"/>
  <c r="Q151" i="1"/>
  <c r="U151" i="1"/>
  <c r="R151" i="1"/>
  <c r="V151" i="1"/>
  <c r="O152" i="1"/>
  <c r="S152" i="1"/>
  <c r="P152" i="1"/>
  <c r="T152" i="1"/>
  <c r="Q152" i="1"/>
  <c r="U152" i="1"/>
  <c r="R152" i="1"/>
  <c r="V152" i="1"/>
  <c r="O153" i="1"/>
  <c r="S153" i="1"/>
  <c r="P153" i="1"/>
  <c r="T153" i="1"/>
  <c r="Q153" i="1"/>
  <c r="U153" i="1"/>
  <c r="R153" i="1"/>
  <c r="V153" i="1"/>
  <c r="O154" i="1"/>
  <c r="S154" i="1"/>
  <c r="P154" i="1"/>
  <c r="T154" i="1"/>
  <c r="Q154" i="1"/>
  <c r="U154" i="1"/>
  <c r="R154" i="1"/>
  <c r="V154" i="1"/>
  <c r="O155" i="1"/>
  <c r="S155" i="1"/>
  <c r="P155" i="1"/>
  <c r="T155" i="1"/>
  <c r="Q155" i="1"/>
  <c r="U155" i="1"/>
  <c r="R155" i="1"/>
  <c r="V155" i="1"/>
  <c r="O156" i="1"/>
  <c r="S156" i="1"/>
  <c r="P156" i="1"/>
  <c r="T156" i="1"/>
  <c r="Q156" i="1"/>
  <c r="U156" i="1"/>
  <c r="R156" i="1"/>
  <c r="V156" i="1"/>
  <c r="O157" i="1"/>
  <c r="S157" i="1"/>
  <c r="P157" i="1"/>
  <c r="T157" i="1"/>
  <c r="Q157" i="1"/>
  <c r="U157" i="1"/>
  <c r="R157" i="1"/>
  <c r="V157" i="1"/>
  <c r="O158" i="1"/>
  <c r="S158" i="1"/>
  <c r="P158" i="1"/>
  <c r="T158" i="1"/>
  <c r="Q158" i="1"/>
  <c r="U158" i="1"/>
  <c r="R158" i="1"/>
  <c r="V158" i="1"/>
  <c r="O159" i="1"/>
  <c r="S159" i="1"/>
  <c r="P159" i="1"/>
  <c r="T159" i="1"/>
  <c r="Q159" i="1"/>
  <c r="U159" i="1"/>
  <c r="R159" i="1"/>
  <c r="V159" i="1"/>
  <c r="O160" i="1"/>
  <c r="S160" i="1"/>
  <c r="P160" i="1"/>
  <c r="T160" i="1"/>
  <c r="Q160" i="1"/>
  <c r="U160" i="1"/>
  <c r="R160" i="1"/>
  <c r="V160" i="1"/>
  <c r="O161" i="1"/>
  <c r="S161" i="1"/>
  <c r="P161" i="1"/>
  <c r="T161" i="1"/>
  <c r="Q161" i="1"/>
  <c r="U161" i="1"/>
  <c r="R161" i="1"/>
  <c r="V161" i="1"/>
  <c r="O162" i="1"/>
  <c r="S162" i="1"/>
  <c r="P162" i="1"/>
  <c r="T162" i="1"/>
  <c r="Q162" i="1"/>
  <c r="U162" i="1"/>
  <c r="R162" i="1"/>
  <c r="V162" i="1"/>
  <c r="O163" i="1"/>
  <c r="P163" i="1"/>
  <c r="Q163" i="1"/>
  <c r="R163" i="1"/>
  <c r="V163" i="1"/>
  <c r="O164" i="1"/>
  <c r="S164" i="1"/>
  <c r="P164" i="1"/>
  <c r="T164" i="1"/>
  <c r="Q164" i="1"/>
  <c r="U164" i="1"/>
  <c r="R164" i="1"/>
  <c r="V164" i="1"/>
  <c r="O165" i="1"/>
  <c r="S165" i="1"/>
  <c r="P165" i="1"/>
  <c r="T165" i="1"/>
  <c r="Q165" i="1"/>
  <c r="U165" i="1"/>
  <c r="R165" i="1"/>
  <c r="V165" i="1"/>
  <c r="O166" i="1"/>
  <c r="S166" i="1"/>
  <c r="P166" i="1"/>
  <c r="T166" i="1"/>
  <c r="Q166" i="1"/>
  <c r="U166" i="1"/>
  <c r="R166" i="1"/>
  <c r="V166" i="1"/>
  <c r="O167" i="1"/>
  <c r="S167" i="1"/>
  <c r="P167" i="1"/>
  <c r="T167" i="1"/>
  <c r="Q167" i="1"/>
  <c r="U167" i="1"/>
  <c r="R167" i="1"/>
  <c r="V167" i="1"/>
  <c r="O168" i="1"/>
  <c r="S168" i="1"/>
  <c r="P168" i="1"/>
  <c r="T168" i="1"/>
  <c r="Q168" i="1"/>
  <c r="U168" i="1"/>
  <c r="R168" i="1"/>
  <c r="V168" i="1"/>
  <c r="O169" i="1"/>
  <c r="S169" i="1"/>
  <c r="P169" i="1"/>
  <c r="T169" i="1"/>
  <c r="Q169" i="1"/>
  <c r="U169" i="1"/>
  <c r="R169" i="1"/>
  <c r="V169" i="1"/>
  <c r="O170" i="1"/>
  <c r="S170" i="1"/>
  <c r="P170" i="1"/>
  <c r="T170" i="1"/>
  <c r="Q170" i="1"/>
  <c r="U170" i="1"/>
  <c r="R170" i="1"/>
  <c r="V170" i="1"/>
  <c r="O171" i="1"/>
  <c r="S171" i="1"/>
  <c r="P171" i="1"/>
  <c r="T171" i="1"/>
  <c r="Q171" i="1"/>
  <c r="U171" i="1"/>
  <c r="R171" i="1"/>
  <c r="V171" i="1"/>
  <c r="O172" i="1"/>
  <c r="S172" i="1"/>
  <c r="P172" i="1"/>
  <c r="T172" i="1"/>
  <c r="Q172" i="1"/>
  <c r="U172" i="1"/>
  <c r="R172" i="1"/>
  <c r="V172" i="1"/>
  <c r="O173" i="1"/>
  <c r="S173" i="1"/>
  <c r="P173" i="1"/>
  <c r="T173" i="1"/>
  <c r="Q173" i="1"/>
  <c r="U173" i="1"/>
  <c r="R173" i="1"/>
  <c r="V173" i="1"/>
  <c r="O174" i="1"/>
  <c r="S174" i="1"/>
  <c r="P174" i="1"/>
  <c r="T174" i="1"/>
  <c r="Q174" i="1"/>
  <c r="U174" i="1"/>
  <c r="R174" i="1"/>
  <c r="V174" i="1"/>
  <c r="O175" i="1"/>
  <c r="S175" i="1"/>
  <c r="P175" i="1"/>
  <c r="T175" i="1"/>
  <c r="Q175" i="1"/>
  <c r="U175" i="1"/>
  <c r="R175" i="1"/>
  <c r="V175" i="1"/>
  <c r="O176" i="1"/>
  <c r="S176" i="1"/>
  <c r="P176" i="1"/>
  <c r="T176" i="1"/>
  <c r="Q176" i="1"/>
  <c r="U176" i="1"/>
  <c r="R176" i="1"/>
  <c r="V176" i="1"/>
  <c r="O177" i="1"/>
  <c r="S177" i="1"/>
  <c r="P177" i="1"/>
  <c r="T177" i="1"/>
  <c r="Q177" i="1"/>
  <c r="U177" i="1"/>
  <c r="R177" i="1"/>
  <c r="V177" i="1"/>
  <c r="O178" i="1"/>
  <c r="S178" i="1"/>
  <c r="P178" i="1"/>
  <c r="T178" i="1"/>
  <c r="Q178" i="1"/>
  <c r="U178" i="1"/>
  <c r="R178" i="1"/>
  <c r="V178" i="1"/>
  <c r="O179" i="1"/>
  <c r="S179" i="1"/>
  <c r="P179" i="1"/>
  <c r="T179" i="1"/>
  <c r="Q179" i="1"/>
  <c r="U179" i="1"/>
  <c r="R179" i="1"/>
  <c r="V179" i="1"/>
  <c r="O180" i="1"/>
  <c r="S180" i="1"/>
  <c r="P180" i="1"/>
  <c r="T180" i="1"/>
  <c r="Q180" i="1"/>
  <c r="U180" i="1"/>
  <c r="R180" i="1"/>
  <c r="V180" i="1"/>
  <c r="O181" i="1"/>
  <c r="S181" i="1"/>
  <c r="P181" i="1"/>
  <c r="T181" i="1"/>
  <c r="Q181" i="1"/>
  <c r="U181" i="1"/>
  <c r="R181" i="1"/>
  <c r="V181" i="1"/>
  <c r="O182" i="1"/>
  <c r="S182" i="1"/>
  <c r="P182" i="1"/>
  <c r="T182" i="1"/>
  <c r="Q182" i="1"/>
  <c r="U182" i="1"/>
  <c r="R182" i="1"/>
  <c r="V182" i="1"/>
  <c r="O183" i="1"/>
  <c r="S183" i="1"/>
  <c r="P183" i="1"/>
  <c r="Q183" i="1"/>
  <c r="R183" i="1"/>
  <c r="V183" i="1"/>
  <c r="O184" i="1"/>
  <c r="S184" i="1"/>
  <c r="P184" i="1"/>
  <c r="T184" i="1"/>
  <c r="Q184" i="1"/>
  <c r="U184" i="1"/>
  <c r="R184" i="1"/>
  <c r="V184" i="1"/>
  <c r="O185" i="1"/>
  <c r="S185" i="1"/>
  <c r="P185" i="1"/>
  <c r="T185" i="1"/>
  <c r="Q185" i="1"/>
  <c r="U185" i="1"/>
  <c r="R185" i="1"/>
  <c r="V185" i="1"/>
  <c r="O186" i="1"/>
  <c r="S186" i="1"/>
  <c r="P186" i="1"/>
  <c r="T186" i="1"/>
  <c r="Q186" i="1"/>
  <c r="U186" i="1"/>
  <c r="R186" i="1"/>
  <c r="V186" i="1"/>
  <c r="O187" i="1"/>
  <c r="S187" i="1"/>
  <c r="P187" i="1"/>
  <c r="T187" i="1"/>
  <c r="Q187" i="1"/>
  <c r="U187" i="1"/>
  <c r="R187" i="1"/>
  <c r="V187" i="1"/>
  <c r="O188" i="1"/>
  <c r="S188" i="1"/>
  <c r="P188" i="1"/>
  <c r="T188" i="1"/>
  <c r="Q188" i="1"/>
  <c r="U188" i="1"/>
  <c r="R188" i="1"/>
  <c r="V188" i="1"/>
  <c r="O189" i="1"/>
  <c r="S189" i="1"/>
  <c r="P189" i="1"/>
  <c r="T189" i="1"/>
  <c r="Q189" i="1"/>
  <c r="U189" i="1"/>
  <c r="R189" i="1"/>
  <c r="V189" i="1"/>
  <c r="O190" i="1"/>
  <c r="S190" i="1"/>
  <c r="P190" i="1"/>
  <c r="T190" i="1"/>
  <c r="Q190" i="1"/>
  <c r="U190" i="1"/>
  <c r="R190" i="1"/>
  <c r="V190" i="1"/>
  <c r="O191" i="1"/>
  <c r="S191" i="1"/>
  <c r="P191" i="1"/>
  <c r="T191" i="1"/>
  <c r="Q191" i="1"/>
  <c r="U191" i="1"/>
  <c r="R191" i="1"/>
  <c r="V191" i="1"/>
  <c r="O192" i="1"/>
  <c r="S192" i="1"/>
  <c r="P192" i="1"/>
  <c r="T192" i="1"/>
  <c r="Q192" i="1"/>
  <c r="U192" i="1"/>
  <c r="R192" i="1"/>
  <c r="V192" i="1"/>
  <c r="O193" i="1"/>
  <c r="S193" i="1"/>
  <c r="P193" i="1"/>
  <c r="T193" i="1"/>
  <c r="Q193" i="1"/>
  <c r="U193" i="1"/>
  <c r="R193" i="1"/>
  <c r="V193" i="1"/>
  <c r="O194" i="1"/>
  <c r="S194" i="1"/>
  <c r="P194" i="1"/>
  <c r="T194" i="1"/>
  <c r="Q194" i="1"/>
  <c r="U194" i="1"/>
  <c r="R194" i="1"/>
  <c r="V194" i="1"/>
  <c r="O195" i="1"/>
  <c r="S195" i="1"/>
  <c r="P195" i="1"/>
  <c r="T195" i="1"/>
  <c r="Q195" i="1"/>
  <c r="U195" i="1"/>
  <c r="R195" i="1"/>
  <c r="V195" i="1"/>
  <c r="O196" i="1"/>
  <c r="S196" i="1"/>
  <c r="P196" i="1"/>
  <c r="T196" i="1"/>
  <c r="Q196" i="1"/>
  <c r="U196" i="1"/>
  <c r="R196" i="1"/>
  <c r="V196" i="1"/>
  <c r="O197" i="1"/>
  <c r="S197" i="1"/>
  <c r="P197" i="1"/>
  <c r="T197" i="1"/>
  <c r="Q197" i="1"/>
  <c r="U197" i="1"/>
  <c r="R197" i="1"/>
  <c r="V197" i="1"/>
  <c r="O198" i="1"/>
  <c r="S198" i="1"/>
  <c r="P198" i="1"/>
  <c r="T198" i="1"/>
  <c r="Q198" i="1"/>
  <c r="U198" i="1"/>
  <c r="R198" i="1"/>
  <c r="V198" i="1"/>
  <c r="O199" i="1"/>
  <c r="S199" i="1"/>
  <c r="P199" i="1"/>
  <c r="T199" i="1"/>
  <c r="Q199" i="1"/>
  <c r="U199" i="1"/>
  <c r="R199" i="1"/>
  <c r="V199" i="1"/>
  <c r="O200" i="1"/>
  <c r="S200" i="1"/>
  <c r="P200" i="1"/>
  <c r="T200" i="1"/>
  <c r="Q200" i="1"/>
  <c r="U200" i="1"/>
  <c r="R200" i="1"/>
  <c r="V200" i="1"/>
  <c r="O201" i="1"/>
  <c r="S201" i="1"/>
  <c r="P201" i="1"/>
  <c r="T201" i="1"/>
  <c r="Q201" i="1"/>
  <c r="U201" i="1"/>
  <c r="R201" i="1"/>
  <c r="V201" i="1"/>
  <c r="O202" i="1"/>
  <c r="S202" i="1"/>
  <c r="P202" i="1"/>
  <c r="T202" i="1"/>
  <c r="Q202" i="1"/>
  <c r="U202" i="1"/>
  <c r="R202" i="1"/>
  <c r="V202" i="1"/>
  <c r="O203" i="1"/>
  <c r="S203" i="1"/>
  <c r="P203" i="1"/>
  <c r="T203" i="1"/>
  <c r="Q203" i="1"/>
  <c r="U203" i="1"/>
  <c r="R203" i="1"/>
  <c r="V203" i="1"/>
  <c r="O204" i="1"/>
  <c r="S204" i="1"/>
  <c r="P204" i="1"/>
  <c r="T204" i="1"/>
  <c r="Q204" i="1"/>
  <c r="U204" i="1"/>
  <c r="R204" i="1"/>
  <c r="V204" i="1"/>
  <c r="O205" i="1"/>
  <c r="S205" i="1"/>
  <c r="P205" i="1"/>
  <c r="T205" i="1"/>
  <c r="Q205" i="1"/>
  <c r="U205" i="1"/>
  <c r="R205" i="1"/>
  <c r="V205" i="1"/>
  <c r="O206" i="1"/>
  <c r="P206" i="1"/>
  <c r="Q206" i="1"/>
  <c r="R206" i="1"/>
  <c r="V206" i="1"/>
  <c r="O207" i="1"/>
  <c r="S207" i="1"/>
  <c r="P207" i="1"/>
  <c r="T207" i="1"/>
  <c r="Q207" i="1"/>
  <c r="U207" i="1"/>
  <c r="R207" i="1"/>
  <c r="V207" i="1"/>
  <c r="O208" i="1"/>
  <c r="S208" i="1"/>
  <c r="P208" i="1"/>
  <c r="T208" i="1"/>
  <c r="Q208" i="1"/>
  <c r="U208" i="1"/>
  <c r="R208" i="1"/>
  <c r="V208" i="1"/>
  <c r="O209" i="1"/>
  <c r="S209" i="1"/>
  <c r="P209" i="1"/>
  <c r="T209" i="1"/>
  <c r="Q209" i="1"/>
  <c r="U209" i="1"/>
  <c r="R209" i="1"/>
  <c r="V209" i="1"/>
  <c r="O210" i="1"/>
  <c r="S210" i="1"/>
  <c r="P210" i="1"/>
  <c r="T210" i="1"/>
  <c r="Q210" i="1"/>
  <c r="U210" i="1"/>
  <c r="R210" i="1"/>
  <c r="V210" i="1"/>
  <c r="O211" i="1"/>
  <c r="S211" i="1"/>
  <c r="P211" i="1"/>
  <c r="T211" i="1"/>
  <c r="Q211" i="1"/>
  <c r="U211" i="1"/>
  <c r="R211" i="1"/>
  <c r="V211" i="1"/>
  <c r="O212" i="1"/>
  <c r="S212" i="1"/>
  <c r="P212" i="1"/>
  <c r="T212" i="1"/>
  <c r="Q212" i="1"/>
  <c r="U212" i="1"/>
  <c r="R212" i="1"/>
  <c r="V212" i="1"/>
  <c r="O213" i="1"/>
  <c r="S213" i="1"/>
  <c r="P213" i="1"/>
  <c r="T213" i="1"/>
  <c r="Q213" i="1"/>
  <c r="U213" i="1"/>
  <c r="R213" i="1"/>
  <c r="V213" i="1"/>
  <c r="O214" i="1"/>
  <c r="S214" i="1"/>
  <c r="P214" i="1"/>
  <c r="T214" i="1"/>
  <c r="Q214" i="1"/>
  <c r="U214" i="1"/>
  <c r="R214" i="1"/>
  <c r="V214" i="1"/>
  <c r="O215" i="1"/>
  <c r="S215" i="1"/>
  <c r="P215" i="1"/>
  <c r="T215" i="1"/>
  <c r="Q215" i="1"/>
  <c r="U215" i="1"/>
  <c r="R215" i="1"/>
  <c r="V215" i="1"/>
  <c r="O216" i="1"/>
  <c r="S216" i="1"/>
  <c r="P216" i="1"/>
  <c r="T216" i="1"/>
  <c r="Q216" i="1"/>
  <c r="U216" i="1"/>
  <c r="R216" i="1"/>
  <c r="V216" i="1"/>
  <c r="O217" i="1"/>
  <c r="S217" i="1"/>
  <c r="P217" i="1"/>
  <c r="T217" i="1"/>
  <c r="Q217" i="1"/>
  <c r="U217" i="1"/>
  <c r="R217" i="1"/>
  <c r="V217" i="1"/>
  <c r="O218" i="1"/>
  <c r="S218" i="1"/>
  <c r="P218" i="1"/>
  <c r="T218" i="1"/>
  <c r="Q218" i="1"/>
  <c r="U218" i="1"/>
  <c r="R218" i="1"/>
  <c r="V218" i="1"/>
  <c r="O219" i="1"/>
  <c r="S219" i="1"/>
  <c r="P219" i="1"/>
  <c r="T219" i="1"/>
  <c r="Q219" i="1"/>
  <c r="U219" i="1"/>
  <c r="R219" i="1"/>
  <c r="V219" i="1"/>
  <c r="O220" i="1"/>
  <c r="S220" i="1"/>
  <c r="P220" i="1"/>
  <c r="T220" i="1"/>
  <c r="Q220" i="1"/>
  <c r="U220" i="1"/>
  <c r="R220" i="1"/>
  <c r="V220" i="1"/>
  <c r="O221" i="1"/>
  <c r="S221" i="1"/>
  <c r="P221" i="1"/>
  <c r="T221" i="1"/>
  <c r="Q221" i="1"/>
  <c r="U221" i="1"/>
  <c r="R221" i="1"/>
  <c r="V221" i="1"/>
  <c r="O222" i="1"/>
  <c r="S222" i="1"/>
  <c r="P222" i="1"/>
  <c r="T222" i="1"/>
  <c r="Q222" i="1"/>
  <c r="U222" i="1"/>
  <c r="R222" i="1"/>
  <c r="V222" i="1"/>
  <c r="O223" i="1"/>
  <c r="S223" i="1"/>
  <c r="P223" i="1"/>
  <c r="T223" i="1"/>
  <c r="Q223" i="1"/>
  <c r="U223" i="1"/>
  <c r="R223" i="1"/>
  <c r="V223" i="1"/>
  <c r="O224" i="1"/>
  <c r="S224" i="1"/>
  <c r="P224" i="1"/>
  <c r="T224" i="1"/>
  <c r="Q224" i="1"/>
  <c r="U224" i="1"/>
  <c r="R224" i="1"/>
  <c r="V224" i="1"/>
  <c r="O225" i="1"/>
  <c r="P225" i="1"/>
  <c r="Q225" i="1"/>
  <c r="R225" i="1"/>
  <c r="V225" i="1"/>
  <c r="O226" i="1"/>
  <c r="S226" i="1"/>
  <c r="P226" i="1"/>
  <c r="T226" i="1"/>
  <c r="Q226" i="1"/>
  <c r="U226" i="1"/>
  <c r="R226" i="1"/>
  <c r="V226" i="1"/>
  <c r="O227" i="1"/>
  <c r="S227" i="1"/>
  <c r="P227" i="1"/>
  <c r="T227" i="1"/>
  <c r="Q227" i="1"/>
  <c r="U227" i="1"/>
  <c r="R227" i="1"/>
  <c r="V227" i="1"/>
  <c r="O228" i="1"/>
  <c r="S228" i="1"/>
  <c r="P228" i="1"/>
  <c r="T228" i="1"/>
  <c r="Q228" i="1"/>
  <c r="U228" i="1"/>
  <c r="R228" i="1"/>
  <c r="V228" i="1"/>
  <c r="O229" i="1"/>
  <c r="S229" i="1"/>
  <c r="P229" i="1"/>
  <c r="T229" i="1"/>
  <c r="Q229" i="1"/>
  <c r="U229" i="1"/>
  <c r="R229" i="1"/>
  <c r="V229" i="1"/>
  <c r="O230" i="1"/>
  <c r="S230" i="1"/>
  <c r="P230" i="1"/>
  <c r="T230" i="1"/>
  <c r="Q230" i="1"/>
  <c r="U230" i="1"/>
  <c r="R230" i="1"/>
  <c r="V230" i="1"/>
  <c r="O231" i="1"/>
  <c r="S231" i="1"/>
  <c r="P231" i="1"/>
  <c r="T231" i="1"/>
  <c r="Q231" i="1"/>
  <c r="U231" i="1"/>
  <c r="R231" i="1"/>
  <c r="V231" i="1"/>
  <c r="O232" i="1"/>
  <c r="S232" i="1"/>
  <c r="P232" i="1"/>
  <c r="T232" i="1"/>
  <c r="Q232" i="1"/>
  <c r="U232" i="1"/>
  <c r="R232" i="1"/>
  <c r="V232" i="1"/>
  <c r="O233" i="1"/>
  <c r="S233" i="1"/>
  <c r="P233" i="1"/>
  <c r="T233" i="1"/>
  <c r="Q233" i="1"/>
  <c r="U233" i="1"/>
  <c r="R233" i="1"/>
  <c r="V233" i="1"/>
  <c r="O234" i="1"/>
  <c r="S234" i="1"/>
  <c r="P234" i="1"/>
  <c r="T234" i="1"/>
  <c r="Q234" i="1"/>
  <c r="U234" i="1"/>
  <c r="R234" i="1"/>
  <c r="V234" i="1"/>
  <c r="O235" i="1"/>
  <c r="S235" i="1"/>
  <c r="P235" i="1"/>
  <c r="T235" i="1"/>
  <c r="Q235" i="1"/>
  <c r="U235" i="1"/>
  <c r="R235" i="1"/>
  <c r="V235" i="1"/>
  <c r="O236" i="1"/>
  <c r="S236" i="1"/>
  <c r="P236" i="1"/>
  <c r="T236" i="1"/>
  <c r="Q236" i="1"/>
  <c r="U236" i="1"/>
  <c r="R236" i="1"/>
  <c r="V236" i="1"/>
  <c r="O237" i="1"/>
  <c r="S237" i="1"/>
  <c r="P237" i="1"/>
  <c r="T237" i="1"/>
  <c r="Q237" i="1"/>
  <c r="U237" i="1"/>
  <c r="R237" i="1"/>
  <c r="V237" i="1"/>
  <c r="O238" i="1"/>
  <c r="S238" i="1"/>
  <c r="P238" i="1"/>
  <c r="T238" i="1"/>
  <c r="Q238" i="1"/>
  <c r="U238" i="1"/>
  <c r="R238" i="1"/>
  <c r="V238" i="1"/>
  <c r="O239" i="1"/>
  <c r="S239" i="1"/>
  <c r="P239" i="1"/>
  <c r="T239" i="1"/>
  <c r="Q239" i="1"/>
  <c r="U239" i="1"/>
  <c r="R239" i="1"/>
  <c r="V239" i="1"/>
  <c r="O240" i="1"/>
  <c r="S240" i="1"/>
  <c r="P240" i="1"/>
  <c r="T240" i="1"/>
  <c r="Q240" i="1"/>
  <c r="U240" i="1"/>
  <c r="R240" i="1"/>
  <c r="V240" i="1"/>
  <c r="O241" i="1"/>
  <c r="S241" i="1"/>
  <c r="P241" i="1"/>
  <c r="T241" i="1"/>
  <c r="Q241" i="1"/>
  <c r="U241" i="1"/>
  <c r="R241" i="1"/>
  <c r="V241" i="1"/>
  <c r="O242" i="1"/>
  <c r="S242" i="1"/>
  <c r="P242" i="1"/>
  <c r="T242" i="1"/>
  <c r="Q242" i="1"/>
  <c r="U242" i="1"/>
  <c r="R242" i="1"/>
  <c r="V242" i="1"/>
  <c r="O243" i="1"/>
  <c r="S243" i="1"/>
  <c r="P243" i="1"/>
  <c r="T243" i="1"/>
  <c r="Q243" i="1"/>
  <c r="U243" i="1"/>
  <c r="R243" i="1"/>
  <c r="V243" i="1"/>
  <c r="O244" i="1"/>
  <c r="S244" i="1"/>
  <c r="P244" i="1"/>
  <c r="T244" i="1"/>
  <c r="Q244" i="1"/>
  <c r="U244" i="1"/>
  <c r="R244" i="1"/>
  <c r="V244" i="1"/>
  <c r="O245" i="1"/>
  <c r="P245" i="1"/>
  <c r="Q245" i="1"/>
  <c r="R245" i="1"/>
  <c r="V245" i="1"/>
  <c r="O246" i="1"/>
  <c r="S246" i="1"/>
  <c r="P246" i="1"/>
  <c r="T246" i="1"/>
  <c r="Q246" i="1"/>
  <c r="U246" i="1"/>
  <c r="R246" i="1"/>
  <c r="V246" i="1"/>
  <c r="O247" i="1"/>
  <c r="S247" i="1"/>
  <c r="P247" i="1"/>
  <c r="T247" i="1"/>
  <c r="Q247" i="1"/>
  <c r="U247" i="1"/>
  <c r="R247" i="1"/>
  <c r="V247" i="1"/>
  <c r="O248" i="1"/>
  <c r="S248" i="1"/>
  <c r="P248" i="1"/>
  <c r="T248" i="1"/>
  <c r="Q248" i="1"/>
  <c r="U248" i="1"/>
  <c r="R248" i="1"/>
  <c r="V248" i="1"/>
  <c r="O249" i="1"/>
  <c r="S249" i="1"/>
  <c r="P249" i="1"/>
  <c r="T249" i="1"/>
  <c r="Q249" i="1"/>
  <c r="U249" i="1"/>
  <c r="R249" i="1"/>
  <c r="V249" i="1"/>
  <c r="O250" i="1"/>
  <c r="S250" i="1"/>
  <c r="P250" i="1"/>
  <c r="T250" i="1"/>
  <c r="Q250" i="1"/>
  <c r="U250" i="1"/>
  <c r="R250" i="1"/>
  <c r="V250" i="1"/>
  <c r="O251" i="1"/>
  <c r="S251" i="1"/>
  <c r="P251" i="1"/>
  <c r="T251" i="1"/>
  <c r="Q251" i="1"/>
  <c r="U251" i="1"/>
  <c r="R251" i="1"/>
  <c r="V251" i="1"/>
  <c r="O252" i="1"/>
  <c r="S252" i="1"/>
  <c r="P252" i="1"/>
  <c r="T252" i="1"/>
  <c r="Q252" i="1"/>
  <c r="U252" i="1"/>
  <c r="R252" i="1"/>
  <c r="V252" i="1"/>
  <c r="O253" i="1"/>
  <c r="S253" i="1"/>
  <c r="P253" i="1"/>
  <c r="T253" i="1"/>
  <c r="Q253" i="1"/>
  <c r="U253" i="1"/>
  <c r="R253" i="1"/>
  <c r="V253" i="1"/>
  <c r="O254" i="1"/>
  <c r="S254" i="1"/>
  <c r="P254" i="1"/>
  <c r="T254" i="1"/>
  <c r="Q254" i="1"/>
  <c r="U254" i="1"/>
  <c r="R254" i="1"/>
  <c r="V254" i="1"/>
  <c r="O255" i="1"/>
  <c r="S255" i="1"/>
  <c r="P255" i="1"/>
  <c r="T255" i="1"/>
  <c r="Q255" i="1"/>
  <c r="U255" i="1"/>
  <c r="R255" i="1"/>
  <c r="V255" i="1"/>
  <c r="O256" i="1"/>
  <c r="S256" i="1"/>
  <c r="P256" i="1"/>
  <c r="T256" i="1"/>
  <c r="Q256" i="1"/>
  <c r="U256" i="1"/>
  <c r="R256" i="1"/>
  <c r="V256" i="1"/>
  <c r="O257" i="1"/>
  <c r="S257" i="1"/>
  <c r="P257" i="1"/>
  <c r="T257" i="1"/>
  <c r="Q257" i="1"/>
  <c r="U257" i="1"/>
  <c r="R257" i="1"/>
  <c r="V257" i="1"/>
  <c r="O258" i="1"/>
  <c r="S258" i="1"/>
  <c r="P258" i="1"/>
  <c r="T258" i="1"/>
  <c r="Q258" i="1"/>
  <c r="U258" i="1"/>
  <c r="R258" i="1"/>
  <c r="V258" i="1"/>
  <c r="O259" i="1"/>
  <c r="S259" i="1"/>
  <c r="P259" i="1"/>
  <c r="T259" i="1"/>
  <c r="Q259" i="1"/>
  <c r="U259" i="1"/>
  <c r="R259" i="1"/>
  <c r="V259" i="1"/>
  <c r="O260" i="1"/>
  <c r="S260" i="1"/>
  <c r="P260" i="1"/>
  <c r="T260" i="1"/>
  <c r="Q260" i="1"/>
  <c r="U260" i="1"/>
  <c r="R260" i="1"/>
  <c r="V260" i="1"/>
  <c r="O261" i="1"/>
  <c r="S261" i="1"/>
  <c r="P261" i="1"/>
  <c r="T261" i="1"/>
  <c r="Q261" i="1"/>
  <c r="U261" i="1"/>
  <c r="R261" i="1"/>
  <c r="V261" i="1"/>
  <c r="O262" i="1"/>
  <c r="S262" i="1"/>
  <c r="P262" i="1"/>
  <c r="T262" i="1"/>
  <c r="Q262" i="1"/>
  <c r="U262" i="1"/>
  <c r="R262" i="1"/>
  <c r="V262" i="1"/>
  <c r="O263" i="1"/>
  <c r="S263" i="1"/>
  <c r="P263" i="1"/>
  <c r="T263" i="1"/>
  <c r="Q263" i="1"/>
  <c r="U263" i="1"/>
  <c r="R263" i="1"/>
  <c r="V263" i="1"/>
  <c r="O264" i="1"/>
  <c r="S264" i="1"/>
  <c r="P264" i="1"/>
  <c r="T264" i="1"/>
  <c r="Q264" i="1"/>
  <c r="U264" i="1"/>
  <c r="R264" i="1"/>
  <c r="V264" i="1"/>
  <c r="O265" i="1"/>
  <c r="P265" i="1"/>
  <c r="Q265" i="1"/>
  <c r="U265" i="1"/>
  <c r="R265" i="1"/>
  <c r="V265" i="1"/>
  <c r="O266" i="1"/>
  <c r="S266" i="1"/>
  <c r="P266" i="1"/>
  <c r="T266" i="1"/>
  <c r="Q266" i="1"/>
  <c r="U266" i="1"/>
  <c r="R266" i="1"/>
  <c r="V266" i="1"/>
  <c r="O267" i="1"/>
  <c r="S267" i="1"/>
  <c r="P267" i="1"/>
  <c r="T267" i="1"/>
  <c r="Q267" i="1"/>
  <c r="U267" i="1"/>
  <c r="R267" i="1"/>
  <c r="V267" i="1"/>
  <c r="O268" i="1"/>
  <c r="S268" i="1"/>
  <c r="P268" i="1"/>
  <c r="T268" i="1"/>
  <c r="Q268" i="1"/>
  <c r="U268" i="1"/>
  <c r="R268" i="1"/>
  <c r="V268" i="1"/>
  <c r="O269" i="1"/>
  <c r="S269" i="1"/>
  <c r="P269" i="1"/>
  <c r="T269" i="1"/>
  <c r="Q269" i="1"/>
  <c r="U269" i="1"/>
  <c r="R269" i="1"/>
  <c r="V269" i="1"/>
  <c r="O270" i="1"/>
  <c r="S270" i="1"/>
  <c r="P270" i="1"/>
  <c r="T270" i="1"/>
  <c r="Q270" i="1"/>
  <c r="U270" i="1"/>
  <c r="R270" i="1"/>
  <c r="V270" i="1"/>
  <c r="O271" i="1"/>
  <c r="S271" i="1"/>
  <c r="P271" i="1"/>
  <c r="T271" i="1"/>
  <c r="Q271" i="1"/>
  <c r="U271" i="1"/>
  <c r="R271" i="1"/>
  <c r="V271" i="1"/>
  <c r="O272" i="1"/>
  <c r="S272" i="1"/>
  <c r="P272" i="1"/>
  <c r="T272" i="1"/>
  <c r="Q272" i="1"/>
  <c r="U272" i="1"/>
  <c r="R272" i="1"/>
  <c r="V272" i="1"/>
  <c r="O273" i="1"/>
  <c r="S273" i="1"/>
  <c r="P273" i="1"/>
  <c r="T273" i="1"/>
  <c r="Q273" i="1"/>
  <c r="U273" i="1"/>
  <c r="R273" i="1"/>
  <c r="V273" i="1"/>
  <c r="O274" i="1"/>
  <c r="S274" i="1"/>
  <c r="P274" i="1"/>
  <c r="T274" i="1"/>
  <c r="Q274" i="1"/>
  <c r="U274" i="1"/>
  <c r="R274" i="1"/>
  <c r="V274" i="1"/>
  <c r="O275" i="1"/>
  <c r="S275" i="1"/>
  <c r="P275" i="1"/>
  <c r="T275" i="1"/>
  <c r="Q275" i="1"/>
  <c r="U275" i="1"/>
  <c r="R275" i="1"/>
  <c r="V275" i="1"/>
  <c r="O276" i="1"/>
  <c r="S276" i="1"/>
  <c r="P276" i="1"/>
  <c r="T276" i="1"/>
  <c r="Q276" i="1"/>
  <c r="U276" i="1"/>
  <c r="R276" i="1"/>
  <c r="V276" i="1"/>
  <c r="O277" i="1"/>
  <c r="S277" i="1"/>
  <c r="P277" i="1"/>
  <c r="T277" i="1"/>
  <c r="Q277" i="1"/>
  <c r="U277" i="1"/>
  <c r="R277" i="1"/>
  <c r="V277" i="1"/>
  <c r="O278" i="1"/>
  <c r="S278" i="1"/>
  <c r="P278" i="1"/>
  <c r="T278" i="1"/>
  <c r="Q278" i="1"/>
  <c r="U278" i="1"/>
  <c r="R278" i="1"/>
  <c r="V278" i="1"/>
  <c r="O279" i="1"/>
  <c r="S279" i="1"/>
  <c r="P279" i="1"/>
  <c r="T279" i="1"/>
  <c r="Q279" i="1"/>
  <c r="U279" i="1"/>
  <c r="R279" i="1"/>
  <c r="V279" i="1"/>
  <c r="O280" i="1"/>
  <c r="S280" i="1"/>
  <c r="P280" i="1"/>
  <c r="T280" i="1"/>
  <c r="Q280" i="1"/>
  <c r="U280" i="1"/>
  <c r="R280" i="1"/>
  <c r="V280" i="1"/>
  <c r="O281" i="1"/>
  <c r="S281" i="1"/>
  <c r="P281" i="1"/>
  <c r="T281" i="1"/>
  <c r="Q281" i="1"/>
  <c r="U281" i="1"/>
  <c r="R281" i="1"/>
  <c r="V281" i="1"/>
  <c r="O282" i="1"/>
  <c r="S282" i="1"/>
  <c r="P282" i="1"/>
  <c r="T282" i="1"/>
  <c r="Q282" i="1"/>
  <c r="U282" i="1"/>
  <c r="R282" i="1"/>
  <c r="V282" i="1"/>
  <c r="O283" i="1"/>
  <c r="S283" i="1"/>
  <c r="P283" i="1"/>
  <c r="T283" i="1"/>
  <c r="Q283" i="1"/>
  <c r="U283" i="1"/>
  <c r="R283" i="1"/>
  <c r="V283" i="1"/>
  <c r="O284" i="1"/>
  <c r="S284" i="1"/>
  <c r="P284" i="1"/>
  <c r="T284" i="1"/>
  <c r="Q284" i="1"/>
  <c r="U284" i="1"/>
  <c r="R284" i="1"/>
  <c r="V284" i="1"/>
  <c r="O285" i="1"/>
  <c r="S285" i="1"/>
  <c r="P285" i="1"/>
  <c r="T285" i="1"/>
  <c r="Q285" i="1"/>
  <c r="U285" i="1"/>
  <c r="R285" i="1"/>
  <c r="V285" i="1"/>
  <c r="O286" i="1"/>
  <c r="P286" i="1"/>
  <c r="Q286" i="1"/>
  <c r="R286" i="1"/>
  <c r="V286" i="1"/>
  <c r="O287" i="1"/>
  <c r="S287" i="1"/>
  <c r="P287" i="1"/>
  <c r="T287" i="1"/>
  <c r="Q287" i="1"/>
  <c r="U287" i="1"/>
  <c r="R287" i="1"/>
  <c r="V287" i="1"/>
  <c r="O288" i="1"/>
  <c r="S288" i="1"/>
  <c r="P288" i="1"/>
  <c r="T288" i="1"/>
  <c r="Q288" i="1"/>
  <c r="U288" i="1"/>
  <c r="R288" i="1"/>
  <c r="V288" i="1"/>
  <c r="O289" i="1"/>
  <c r="S289" i="1"/>
  <c r="P289" i="1"/>
  <c r="T289" i="1"/>
  <c r="Q289" i="1"/>
  <c r="U289" i="1"/>
  <c r="R289" i="1"/>
  <c r="V289" i="1"/>
  <c r="O290" i="1"/>
  <c r="S290" i="1"/>
  <c r="P290" i="1"/>
  <c r="T290" i="1"/>
  <c r="Q290" i="1"/>
  <c r="U290" i="1"/>
  <c r="R290" i="1"/>
  <c r="V290" i="1"/>
  <c r="O291" i="1"/>
  <c r="S291" i="1"/>
  <c r="P291" i="1"/>
  <c r="T291" i="1"/>
  <c r="Q291" i="1"/>
  <c r="U291" i="1"/>
  <c r="R291" i="1"/>
  <c r="V291" i="1"/>
  <c r="O292" i="1"/>
  <c r="S292" i="1"/>
  <c r="P292" i="1"/>
  <c r="T292" i="1"/>
  <c r="Q292" i="1"/>
  <c r="U292" i="1"/>
  <c r="R292" i="1"/>
  <c r="V292" i="1"/>
  <c r="O293" i="1"/>
  <c r="S293" i="1"/>
  <c r="P293" i="1"/>
  <c r="T293" i="1"/>
  <c r="Q293" i="1"/>
  <c r="U293" i="1"/>
  <c r="R293" i="1"/>
  <c r="V293" i="1"/>
  <c r="O294" i="1"/>
  <c r="S294" i="1"/>
  <c r="P294" i="1"/>
  <c r="T294" i="1"/>
  <c r="Q294" i="1"/>
  <c r="U294" i="1"/>
  <c r="R294" i="1"/>
  <c r="V294" i="1"/>
  <c r="O295" i="1"/>
  <c r="S295" i="1"/>
  <c r="P295" i="1"/>
  <c r="T295" i="1"/>
  <c r="Q295" i="1"/>
  <c r="U295" i="1"/>
  <c r="R295" i="1"/>
  <c r="V295" i="1"/>
  <c r="O296" i="1"/>
  <c r="S296" i="1"/>
  <c r="P296" i="1"/>
  <c r="T296" i="1"/>
  <c r="Q296" i="1"/>
  <c r="U296" i="1"/>
  <c r="R296" i="1"/>
  <c r="V296" i="1"/>
  <c r="O297" i="1"/>
  <c r="S297" i="1"/>
  <c r="P297" i="1"/>
  <c r="T297" i="1"/>
  <c r="Q297" i="1"/>
  <c r="U297" i="1"/>
  <c r="R297" i="1"/>
  <c r="V297" i="1"/>
  <c r="O298" i="1"/>
  <c r="S298" i="1"/>
  <c r="P298" i="1"/>
  <c r="T298" i="1"/>
  <c r="Q298" i="1"/>
  <c r="U298" i="1"/>
  <c r="R298" i="1"/>
  <c r="V298" i="1"/>
  <c r="O299" i="1"/>
  <c r="S299" i="1"/>
  <c r="P299" i="1"/>
  <c r="T299" i="1"/>
  <c r="Q299" i="1"/>
  <c r="U299" i="1"/>
  <c r="R299" i="1"/>
  <c r="V299" i="1"/>
  <c r="O300" i="1"/>
  <c r="S300" i="1"/>
  <c r="P300" i="1"/>
  <c r="T300" i="1"/>
  <c r="Q300" i="1"/>
  <c r="U300" i="1"/>
  <c r="R300" i="1"/>
  <c r="V300" i="1"/>
  <c r="O301" i="1"/>
  <c r="S301" i="1"/>
  <c r="P301" i="1"/>
  <c r="T301" i="1"/>
  <c r="Q301" i="1"/>
  <c r="U301" i="1"/>
  <c r="R301" i="1"/>
  <c r="V301" i="1"/>
  <c r="O302" i="1"/>
  <c r="S302" i="1"/>
  <c r="P302" i="1"/>
  <c r="T302" i="1"/>
  <c r="Q302" i="1"/>
  <c r="U302" i="1"/>
  <c r="R302" i="1"/>
  <c r="V302" i="1"/>
  <c r="O303" i="1"/>
  <c r="S303" i="1"/>
  <c r="P303" i="1"/>
  <c r="T303" i="1"/>
  <c r="Q303" i="1"/>
  <c r="U303" i="1"/>
  <c r="R303" i="1"/>
  <c r="V303" i="1"/>
  <c r="O304" i="1"/>
  <c r="S304" i="1"/>
  <c r="P304" i="1"/>
  <c r="T304" i="1"/>
  <c r="Q304" i="1"/>
  <c r="U304" i="1"/>
  <c r="R304" i="1"/>
  <c r="V304" i="1"/>
  <c r="O305" i="1"/>
  <c r="S305" i="1"/>
  <c r="P305" i="1"/>
  <c r="T305" i="1"/>
  <c r="Q305" i="1"/>
  <c r="U305" i="1"/>
  <c r="R305" i="1"/>
  <c r="V305" i="1"/>
  <c r="O306" i="1"/>
  <c r="S306" i="1"/>
  <c r="P306" i="1"/>
  <c r="T306" i="1"/>
  <c r="Q306" i="1"/>
  <c r="U306" i="1"/>
  <c r="R306" i="1"/>
  <c r="V306" i="1"/>
  <c r="O307" i="1"/>
  <c r="S307" i="1"/>
  <c r="P307" i="1"/>
  <c r="T307" i="1"/>
  <c r="Q307" i="1"/>
  <c r="U307" i="1"/>
  <c r="R307" i="1"/>
  <c r="V307" i="1"/>
  <c r="O308" i="1"/>
  <c r="S308" i="1"/>
  <c r="P308" i="1"/>
  <c r="T308" i="1"/>
  <c r="Q308" i="1"/>
  <c r="U308" i="1"/>
  <c r="R308" i="1"/>
  <c r="V308" i="1"/>
  <c r="O309" i="1"/>
  <c r="S309" i="1"/>
  <c r="P309" i="1"/>
  <c r="Q309" i="1"/>
  <c r="R309" i="1"/>
  <c r="V309" i="1"/>
  <c r="O310" i="1"/>
  <c r="S310" i="1"/>
  <c r="P310" i="1"/>
  <c r="T310" i="1"/>
  <c r="Q310" i="1"/>
  <c r="U310" i="1"/>
  <c r="R310" i="1"/>
  <c r="V310" i="1"/>
  <c r="O311" i="1"/>
  <c r="S311" i="1"/>
  <c r="P311" i="1"/>
  <c r="T311" i="1"/>
  <c r="Q311" i="1"/>
  <c r="U311" i="1"/>
  <c r="R311" i="1"/>
  <c r="V311" i="1"/>
  <c r="O312" i="1"/>
  <c r="S312" i="1"/>
  <c r="P312" i="1"/>
  <c r="T312" i="1"/>
  <c r="Q312" i="1"/>
  <c r="U312" i="1"/>
  <c r="R312" i="1"/>
  <c r="V312" i="1"/>
  <c r="O313" i="1"/>
  <c r="S313" i="1"/>
  <c r="P313" i="1"/>
  <c r="T313" i="1"/>
  <c r="Q313" i="1"/>
  <c r="U313" i="1"/>
  <c r="R313" i="1"/>
  <c r="V313" i="1"/>
  <c r="O314" i="1"/>
  <c r="S314" i="1"/>
  <c r="P314" i="1"/>
  <c r="T314" i="1"/>
  <c r="Q314" i="1"/>
  <c r="U314" i="1"/>
  <c r="R314" i="1"/>
  <c r="V314" i="1"/>
  <c r="O315" i="1"/>
  <c r="S315" i="1"/>
  <c r="P315" i="1"/>
  <c r="T315" i="1"/>
  <c r="Q315" i="1"/>
  <c r="U315" i="1"/>
  <c r="R315" i="1"/>
  <c r="V315" i="1"/>
  <c r="O316" i="1"/>
  <c r="S316" i="1"/>
  <c r="P316" i="1"/>
  <c r="T316" i="1"/>
  <c r="Q316" i="1"/>
  <c r="U316" i="1"/>
  <c r="R316" i="1"/>
  <c r="V316" i="1"/>
  <c r="O317" i="1"/>
  <c r="S317" i="1"/>
  <c r="P317" i="1"/>
  <c r="T317" i="1"/>
  <c r="Q317" i="1"/>
  <c r="U317" i="1"/>
  <c r="R317" i="1"/>
  <c r="V317" i="1"/>
  <c r="O318" i="1"/>
  <c r="S318" i="1"/>
  <c r="P318" i="1"/>
  <c r="T318" i="1"/>
  <c r="Q318" i="1"/>
  <c r="U318" i="1"/>
  <c r="R318" i="1"/>
  <c r="V318" i="1"/>
  <c r="O319" i="1"/>
  <c r="S319" i="1"/>
  <c r="P319" i="1"/>
  <c r="T319" i="1"/>
  <c r="Q319" i="1"/>
  <c r="U319" i="1"/>
  <c r="R319" i="1"/>
  <c r="V319" i="1"/>
  <c r="O320" i="1"/>
  <c r="S320" i="1"/>
  <c r="P320" i="1"/>
  <c r="T320" i="1"/>
  <c r="Q320" i="1"/>
  <c r="U320" i="1"/>
  <c r="R320" i="1"/>
  <c r="V320" i="1"/>
  <c r="O321" i="1"/>
  <c r="S321" i="1"/>
  <c r="P321" i="1"/>
  <c r="T321" i="1"/>
  <c r="Q321" i="1"/>
  <c r="U321" i="1"/>
  <c r="R321" i="1"/>
  <c r="V321" i="1"/>
  <c r="O322" i="1"/>
  <c r="S322" i="1"/>
  <c r="P322" i="1"/>
  <c r="T322" i="1"/>
  <c r="Q322" i="1"/>
  <c r="U322" i="1"/>
  <c r="R322" i="1"/>
  <c r="V322" i="1"/>
  <c r="O323" i="1"/>
  <c r="S323" i="1"/>
  <c r="P323" i="1"/>
  <c r="T323" i="1"/>
  <c r="Q323" i="1"/>
  <c r="U323" i="1"/>
  <c r="R323" i="1"/>
  <c r="V323" i="1"/>
  <c r="O324" i="1"/>
  <c r="S324" i="1"/>
  <c r="P324" i="1"/>
  <c r="T324" i="1"/>
  <c r="Q324" i="1"/>
  <c r="U324" i="1"/>
  <c r="R324" i="1"/>
  <c r="V324" i="1"/>
  <c r="O325" i="1"/>
  <c r="S325" i="1"/>
  <c r="P325" i="1"/>
  <c r="T325" i="1"/>
  <c r="Q325" i="1"/>
  <c r="U325" i="1"/>
  <c r="R325" i="1"/>
  <c r="V325" i="1"/>
  <c r="O326" i="1"/>
  <c r="S326" i="1"/>
  <c r="P326" i="1"/>
  <c r="T326" i="1"/>
  <c r="Q326" i="1"/>
  <c r="U326" i="1"/>
  <c r="R326" i="1"/>
  <c r="V326" i="1"/>
  <c r="O327" i="1"/>
  <c r="S327" i="1"/>
  <c r="P327" i="1"/>
  <c r="T327" i="1"/>
  <c r="Q327" i="1"/>
  <c r="U327" i="1"/>
  <c r="R327" i="1"/>
  <c r="V327" i="1"/>
  <c r="O328" i="1"/>
  <c r="S328" i="1"/>
  <c r="P328" i="1"/>
  <c r="T328" i="1"/>
  <c r="Q328" i="1"/>
  <c r="U328" i="1"/>
  <c r="R328" i="1"/>
  <c r="V328" i="1"/>
  <c r="O329" i="1"/>
  <c r="P329" i="1"/>
  <c r="Q329" i="1"/>
  <c r="R329" i="1"/>
  <c r="V329" i="1"/>
  <c r="O330" i="1"/>
  <c r="S330" i="1"/>
  <c r="P330" i="1"/>
  <c r="T330" i="1"/>
  <c r="Q330" i="1"/>
  <c r="U330" i="1"/>
  <c r="R330" i="1"/>
  <c r="V330" i="1"/>
  <c r="O331" i="1"/>
  <c r="S331" i="1"/>
  <c r="P331" i="1"/>
  <c r="T331" i="1"/>
  <c r="Q331" i="1"/>
  <c r="U331" i="1"/>
  <c r="R331" i="1"/>
  <c r="V331" i="1"/>
  <c r="O332" i="1"/>
  <c r="S332" i="1"/>
  <c r="P332" i="1"/>
  <c r="T332" i="1"/>
  <c r="Q332" i="1"/>
  <c r="U332" i="1"/>
  <c r="R332" i="1"/>
  <c r="V332" i="1"/>
  <c r="O333" i="1"/>
  <c r="S333" i="1"/>
  <c r="P333" i="1"/>
  <c r="T333" i="1"/>
  <c r="Q333" i="1"/>
  <c r="U333" i="1"/>
  <c r="R333" i="1"/>
  <c r="V333" i="1"/>
  <c r="O334" i="1"/>
  <c r="S334" i="1"/>
  <c r="P334" i="1"/>
  <c r="T334" i="1"/>
  <c r="Q334" i="1"/>
  <c r="U334" i="1"/>
  <c r="R334" i="1"/>
  <c r="V334" i="1"/>
  <c r="O335" i="1"/>
  <c r="S335" i="1"/>
  <c r="P335" i="1"/>
  <c r="T335" i="1"/>
  <c r="Q335" i="1"/>
  <c r="U335" i="1"/>
  <c r="R335" i="1"/>
  <c r="V335" i="1"/>
  <c r="O336" i="1"/>
  <c r="S336" i="1"/>
  <c r="P336" i="1"/>
  <c r="T336" i="1"/>
  <c r="Q336" i="1"/>
  <c r="U336" i="1"/>
  <c r="R336" i="1"/>
  <c r="V336" i="1"/>
  <c r="O337" i="1"/>
  <c r="S337" i="1"/>
  <c r="P337" i="1"/>
  <c r="T337" i="1"/>
  <c r="Q337" i="1"/>
  <c r="U337" i="1"/>
  <c r="R337" i="1"/>
  <c r="V337" i="1"/>
  <c r="O338" i="1"/>
  <c r="S338" i="1"/>
  <c r="P338" i="1"/>
  <c r="T338" i="1"/>
  <c r="Q338" i="1"/>
  <c r="U338" i="1"/>
  <c r="R338" i="1"/>
  <c r="V338" i="1"/>
  <c r="O339" i="1"/>
  <c r="S339" i="1"/>
  <c r="P339" i="1"/>
  <c r="T339" i="1"/>
  <c r="Q339" i="1"/>
  <c r="U339" i="1"/>
  <c r="R339" i="1"/>
  <c r="V339" i="1"/>
  <c r="O340" i="1"/>
  <c r="S340" i="1"/>
  <c r="P340" i="1"/>
  <c r="T340" i="1"/>
  <c r="Q340" i="1"/>
  <c r="U340" i="1"/>
  <c r="R340" i="1"/>
  <c r="V340" i="1"/>
  <c r="O341" i="1"/>
  <c r="S341" i="1"/>
  <c r="P341" i="1"/>
  <c r="T341" i="1"/>
  <c r="Q341" i="1"/>
  <c r="U341" i="1"/>
  <c r="R341" i="1"/>
  <c r="V341" i="1"/>
  <c r="O342" i="1"/>
  <c r="S342" i="1"/>
  <c r="P342" i="1"/>
  <c r="T342" i="1"/>
  <c r="Q342" i="1"/>
  <c r="U342" i="1"/>
  <c r="R342" i="1"/>
  <c r="V342" i="1"/>
  <c r="O343" i="1"/>
  <c r="S343" i="1"/>
  <c r="P343" i="1"/>
  <c r="T343" i="1"/>
  <c r="Q343" i="1"/>
  <c r="U343" i="1"/>
  <c r="R343" i="1"/>
  <c r="V343" i="1"/>
  <c r="O344" i="1"/>
  <c r="S344" i="1"/>
  <c r="P344" i="1"/>
  <c r="T344" i="1"/>
  <c r="Q344" i="1"/>
  <c r="U344" i="1"/>
  <c r="R344" i="1"/>
  <c r="V344" i="1"/>
  <c r="O345" i="1"/>
  <c r="S345" i="1"/>
  <c r="P345" i="1"/>
  <c r="T345" i="1"/>
  <c r="Q345" i="1"/>
  <c r="U345" i="1"/>
  <c r="R345" i="1"/>
  <c r="V345" i="1"/>
  <c r="O346" i="1"/>
  <c r="P346" i="1"/>
  <c r="Q346" i="1"/>
  <c r="R346" i="1"/>
  <c r="V346" i="1"/>
  <c r="O347" i="1"/>
  <c r="S347" i="1"/>
  <c r="P347" i="1"/>
  <c r="T347" i="1"/>
  <c r="Q347" i="1"/>
  <c r="U347" i="1"/>
  <c r="R347" i="1"/>
  <c r="V347" i="1"/>
  <c r="O348" i="1"/>
  <c r="S348" i="1"/>
  <c r="P348" i="1"/>
  <c r="T348" i="1"/>
  <c r="Q348" i="1"/>
  <c r="U348" i="1"/>
  <c r="R348" i="1"/>
  <c r="V348" i="1"/>
  <c r="O349" i="1"/>
  <c r="S349" i="1"/>
  <c r="P349" i="1"/>
  <c r="T349" i="1"/>
  <c r="Q349" i="1"/>
  <c r="U349" i="1"/>
  <c r="R349" i="1"/>
  <c r="V349" i="1"/>
  <c r="O350" i="1"/>
  <c r="S350" i="1"/>
  <c r="P350" i="1"/>
  <c r="T350" i="1"/>
  <c r="Q350" i="1"/>
  <c r="U350" i="1"/>
  <c r="R350" i="1"/>
  <c r="V350" i="1"/>
  <c r="O351" i="1"/>
  <c r="S351" i="1"/>
  <c r="P351" i="1"/>
  <c r="T351" i="1"/>
  <c r="Q351" i="1"/>
  <c r="U351" i="1"/>
  <c r="R351" i="1"/>
  <c r="V351" i="1"/>
  <c r="O352" i="1"/>
  <c r="S352" i="1"/>
  <c r="P352" i="1"/>
  <c r="T352" i="1"/>
  <c r="Q352" i="1"/>
  <c r="U352" i="1"/>
  <c r="R352" i="1"/>
  <c r="V352" i="1"/>
  <c r="O353" i="1"/>
  <c r="S353" i="1"/>
  <c r="P353" i="1"/>
  <c r="T353" i="1"/>
  <c r="Q353" i="1"/>
  <c r="U353" i="1"/>
  <c r="R353" i="1"/>
  <c r="V353" i="1"/>
  <c r="O354" i="1"/>
  <c r="S354" i="1"/>
  <c r="P354" i="1"/>
  <c r="T354" i="1"/>
  <c r="Q354" i="1"/>
  <c r="U354" i="1"/>
  <c r="R354" i="1"/>
  <c r="V354" i="1"/>
  <c r="O355" i="1"/>
  <c r="S355" i="1"/>
  <c r="P355" i="1"/>
  <c r="T355" i="1"/>
  <c r="Q355" i="1"/>
  <c r="U355" i="1"/>
  <c r="R355" i="1"/>
  <c r="V355" i="1"/>
  <c r="O356" i="1"/>
  <c r="S356" i="1"/>
  <c r="P356" i="1"/>
  <c r="T356" i="1"/>
  <c r="Q356" i="1"/>
  <c r="U356" i="1"/>
  <c r="R356" i="1"/>
  <c r="V356" i="1"/>
  <c r="O357" i="1"/>
  <c r="S357" i="1"/>
  <c r="P357" i="1"/>
  <c r="T357" i="1"/>
  <c r="Q357" i="1"/>
  <c r="U357" i="1"/>
  <c r="R357" i="1"/>
  <c r="V357" i="1"/>
  <c r="O358" i="1"/>
  <c r="S358" i="1"/>
  <c r="P358" i="1"/>
  <c r="T358" i="1"/>
  <c r="Q358" i="1"/>
  <c r="U358" i="1"/>
  <c r="R358" i="1"/>
  <c r="V358" i="1"/>
  <c r="O359" i="1"/>
  <c r="S359" i="1"/>
  <c r="P359" i="1"/>
  <c r="T359" i="1"/>
  <c r="Q359" i="1"/>
  <c r="U359" i="1"/>
  <c r="R359" i="1"/>
  <c r="V359" i="1"/>
  <c r="O360" i="1"/>
  <c r="S360" i="1"/>
  <c r="P360" i="1"/>
  <c r="T360" i="1"/>
  <c r="Q360" i="1"/>
  <c r="U360" i="1"/>
  <c r="R360" i="1"/>
  <c r="V360" i="1"/>
  <c r="O361" i="1"/>
  <c r="S361" i="1"/>
  <c r="P361" i="1"/>
  <c r="T361" i="1"/>
  <c r="Q361" i="1"/>
  <c r="U361" i="1"/>
  <c r="R361" i="1"/>
  <c r="V361" i="1"/>
  <c r="O362" i="1"/>
  <c r="S362" i="1"/>
  <c r="P362" i="1"/>
  <c r="T362" i="1"/>
  <c r="Q362" i="1"/>
  <c r="U362" i="1"/>
  <c r="R362" i="1"/>
  <c r="V362" i="1"/>
  <c r="O363" i="1"/>
  <c r="S363" i="1"/>
  <c r="P363" i="1"/>
  <c r="T363" i="1"/>
  <c r="Q363" i="1"/>
  <c r="U363" i="1"/>
  <c r="R363" i="1"/>
  <c r="V363" i="1"/>
  <c r="O364" i="1"/>
  <c r="S364" i="1"/>
  <c r="P364" i="1"/>
  <c r="T364" i="1"/>
  <c r="Q364" i="1"/>
  <c r="U364" i="1"/>
  <c r="R364" i="1"/>
  <c r="V364" i="1"/>
  <c r="O365" i="1"/>
  <c r="S365" i="1"/>
  <c r="P365" i="1"/>
  <c r="T365" i="1"/>
  <c r="Q365" i="1"/>
  <c r="U365" i="1"/>
  <c r="R365" i="1"/>
  <c r="V365" i="1"/>
  <c r="O366" i="1"/>
  <c r="S366" i="1"/>
  <c r="P366" i="1"/>
  <c r="T366" i="1"/>
  <c r="Q366" i="1"/>
  <c r="U366" i="1"/>
  <c r="R366" i="1"/>
  <c r="V366" i="1"/>
  <c r="O367" i="1"/>
  <c r="S367" i="1"/>
  <c r="P367" i="1"/>
  <c r="T367" i="1"/>
  <c r="Q367" i="1"/>
  <c r="U367" i="1"/>
  <c r="R367" i="1"/>
  <c r="V367" i="1"/>
  <c r="O368" i="1"/>
  <c r="P368" i="1"/>
  <c r="Q368" i="1"/>
  <c r="R368" i="1"/>
  <c r="V368" i="1"/>
  <c r="O369" i="1"/>
  <c r="S369" i="1"/>
  <c r="P369" i="1"/>
  <c r="T369" i="1"/>
  <c r="Q369" i="1"/>
  <c r="U369" i="1"/>
  <c r="R369" i="1"/>
  <c r="V369" i="1"/>
  <c r="O370" i="1"/>
  <c r="S370" i="1"/>
  <c r="P370" i="1"/>
  <c r="T370" i="1"/>
  <c r="Q370" i="1"/>
  <c r="U370" i="1"/>
  <c r="R370" i="1"/>
  <c r="V370" i="1"/>
  <c r="O371" i="1"/>
  <c r="S371" i="1"/>
  <c r="P371" i="1"/>
  <c r="T371" i="1"/>
  <c r="Q371" i="1"/>
  <c r="U371" i="1"/>
  <c r="R371" i="1"/>
  <c r="V371" i="1"/>
  <c r="R149" i="1"/>
  <c r="V149" i="1"/>
  <c r="Q149" i="1"/>
  <c r="U149" i="1"/>
  <c r="P149" i="1"/>
  <c r="T149" i="1"/>
  <c r="O149" i="1"/>
  <c r="S149" i="1"/>
  <c r="P4" i="1"/>
  <c r="T4" i="1"/>
  <c r="Q4" i="1"/>
  <c r="U4" i="1"/>
  <c r="R4" i="1"/>
  <c r="V4" i="1"/>
  <c r="P5" i="1"/>
  <c r="T5" i="1"/>
  <c r="Q5" i="1"/>
  <c r="U5" i="1"/>
  <c r="R5" i="1"/>
  <c r="V5" i="1"/>
  <c r="P6" i="1"/>
  <c r="T6" i="1"/>
  <c r="Q6" i="1"/>
  <c r="U6" i="1"/>
  <c r="R6" i="1"/>
  <c r="V6" i="1"/>
  <c r="P7" i="1"/>
  <c r="T7" i="1"/>
  <c r="Q7" i="1"/>
  <c r="U7" i="1"/>
  <c r="R7" i="1"/>
  <c r="V7" i="1"/>
  <c r="P8" i="1"/>
  <c r="T8" i="1"/>
  <c r="Q8" i="1"/>
  <c r="U8" i="1"/>
  <c r="R8" i="1"/>
  <c r="V8" i="1"/>
  <c r="P9" i="1"/>
  <c r="T9" i="1"/>
  <c r="Q9" i="1"/>
  <c r="U9" i="1"/>
  <c r="R9" i="1"/>
  <c r="V9" i="1"/>
  <c r="P10" i="1"/>
  <c r="T10" i="1"/>
  <c r="Q10" i="1"/>
  <c r="U10" i="1"/>
  <c r="R10" i="1"/>
  <c r="V10" i="1"/>
  <c r="P11" i="1"/>
  <c r="T11" i="1"/>
  <c r="Q11" i="1"/>
  <c r="U11" i="1"/>
  <c r="R11" i="1"/>
  <c r="V11" i="1"/>
  <c r="P12" i="1"/>
  <c r="T12" i="1"/>
  <c r="Q12" i="1"/>
  <c r="U12" i="1"/>
  <c r="R12" i="1"/>
  <c r="V12" i="1"/>
  <c r="P13" i="1"/>
  <c r="T13" i="1"/>
  <c r="Q13" i="1"/>
  <c r="U13" i="1"/>
  <c r="R13" i="1"/>
  <c r="V13" i="1"/>
  <c r="P14" i="1"/>
  <c r="T14" i="1"/>
  <c r="Q14" i="1"/>
  <c r="U14" i="1"/>
  <c r="R14" i="1"/>
  <c r="V14" i="1"/>
  <c r="P15" i="1"/>
  <c r="T15" i="1"/>
  <c r="Q15" i="1"/>
  <c r="U15" i="1"/>
  <c r="R15" i="1"/>
  <c r="V15" i="1"/>
  <c r="P16" i="1"/>
  <c r="T16" i="1"/>
  <c r="Q16" i="1"/>
  <c r="U16" i="1"/>
  <c r="R16" i="1"/>
  <c r="V16" i="1"/>
  <c r="P17" i="1"/>
  <c r="T17" i="1"/>
  <c r="Q17" i="1"/>
  <c r="U17" i="1"/>
  <c r="R17" i="1"/>
  <c r="V17" i="1"/>
  <c r="P18" i="1"/>
  <c r="T18" i="1"/>
  <c r="Q18" i="1"/>
  <c r="U18" i="1"/>
  <c r="R18" i="1"/>
  <c r="V18" i="1"/>
  <c r="P19" i="1"/>
  <c r="T19" i="1"/>
  <c r="Q19" i="1"/>
  <c r="U19" i="1"/>
  <c r="R19" i="1"/>
  <c r="V19" i="1"/>
  <c r="P20" i="1"/>
  <c r="T20" i="1"/>
  <c r="Q20" i="1"/>
  <c r="U20" i="1"/>
  <c r="R20" i="1"/>
  <c r="V20" i="1"/>
  <c r="P21" i="1"/>
  <c r="T21" i="1"/>
  <c r="Q21" i="1"/>
  <c r="U21" i="1"/>
  <c r="R21" i="1"/>
  <c r="V21" i="1"/>
  <c r="P22" i="1"/>
  <c r="Q22" i="1"/>
  <c r="R22" i="1"/>
  <c r="V22" i="1"/>
  <c r="P23" i="1"/>
  <c r="T23" i="1"/>
  <c r="Q23" i="1"/>
  <c r="U23" i="1"/>
  <c r="R23" i="1"/>
  <c r="V23" i="1"/>
  <c r="P24" i="1"/>
  <c r="T24" i="1"/>
  <c r="Q24" i="1"/>
  <c r="U24" i="1"/>
  <c r="R24" i="1"/>
  <c r="V24" i="1"/>
  <c r="P25" i="1"/>
  <c r="T25" i="1"/>
  <c r="Q25" i="1"/>
  <c r="U25" i="1"/>
  <c r="R25" i="1"/>
  <c r="V25" i="1"/>
  <c r="P26" i="1"/>
  <c r="T26" i="1"/>
  <c r="Q26" i="1"/>
  <c r="U26" i="1"/>
  <c r="R26" i="1"/>
  <c r="V26" i="1"/>
  <c r="P27" i="1"/>
  <c r="T27" i="1"/>
  <c r="Q27" i="1"/>
  <c r="U27" i="1"/>
  <c r="R27" i="1"/>
  <c r="V27" i="1"/>
  <c r="P28" i="1"/>
  <c r="T28" i="1"/>
  <c r="Q28" i="1"/>
  <c r="U28" i="1"/>
  <c r="R28" i="1"/>
  <c r="V28" i="1"/>
  <c r="P29" i="1"/>
  <c r="T29" i="1"/>
  <c r="Q29" i="1"/>
  <c r="U29" i="1"/>
  <c r="R29" i="1"/>
  <c r="V29" i="1"/>
  <c r="P30" i="1"/>
  <c r="T30" i="1"/>
  <c r="Q30" i="1"/>
  <c r="U30" i="1"/>
  <c r="R30" i="1"/>
  <c r="V30" i="1"/>
  <c r="P31" i="1"/>
  <c r="T31" i="1"/>
  <c r="Q31" i="1"/>
  <c r="U31" i="1"/>
  <c r="R31" i="1"/>
  <c r="V31" i="1"/>
  <c r="P32" i="1"/>
  <c r="T32" i="1"/>
  <c r="Q32" i="1"/>
  <c r="U32" i="1"/>
  <c r="R32" i="1"/>
  <c r="V32" i="1"/>
  <c r="P33" i="1"/>
  <c r="T33" i="1"/>
  <c r="Q33" i="1"/>
  <c r="U33" i="1"/>
  <c r="R33" i="1"/>
  <c r="V33" i="1"/>
  <c r="P34" i="1"/>
  <c r="T34" i="1"/>
  <c r="Q34" i="1"/>
  <c r="U34" i="1"/>
  <c r="R34" i="1"/>
  <c r="V34" i="1"/>
  <c r="P35" i="1"/>
  <c r="T35" i="1"/>
  <c r="Q35" i="1"/>
  <c r="U35" i="1"/>
  <c r="R35" i="1"/>
  <c r="V35" i="1"/>
  <c r="P36" i="1"/>
  <c r="T36" i="1"/>
  <c r="Q36" i="1"/>
  <c r="U36" i="1"/>
  <c r="R36" i="1"/>
  <c r="V36" i="1"/>
  <c r="P37" i="1"/>
  <c r="T37" i="1"/>
  <c r="Q37" i="1"/>
  <c r="U37" i="1"/>
  <c r="R37" i="1"/>
  <c r="V37" i="1"/>
  <c r="P38" i="1"/>
  <c r="T38" i="1"/>
  <c r="Q38" i="1"/>
  <c r="U38" i="1"/>
  <c r="R38" i="1"/>
  <c r="V38" i="1"/>
  <c r="P39" i="1"/>
  <c r="T39" i="1"/>
  <c r="Q39" i="1"/>
  <c r="U39" i="1"/>
  <c r="R39" i="1"/>
  <c r="V39" i="1"/>
  <c r="P40" i="1"/>
  <c r="T40" i="1"/>
  <c r="Q40" i="1"/>
  <c r="U40" i="1"/>
  <c r="R40" i="1"/>
  <c r="V40" i="1"/>
  <c r="P41" i="1"/>
  <c r="T41" i="1"/>
  <c r="Q41" i="1"/>
  <c r="U41" i="1"/>
  <c r="R41" i="1"/>
  <c r="V41" i="1"/>
  <c r="P42" i="1"/>
  <c r="T42" i="1"/>
  <c r="Q42" i="1"/>
  <c r="U42" i="1"/>
  <c r="R42" i="1"/>
  <c r="V42" i="1"/>
  <c r="P43" i="1"/>
  <c r="Q43" i="1"/>
  <c r="R43" i="1"/>
  <c r="V43" i="1"/>
  <c r="P44" i="1"/>
  <c r="T44" i="1"/>
  <c r="Q44" i="1"/>
  <c r="U44" i="1"/>
  <c r="R44" i="1"/>
  <c r="V44" i="1"/>
  <c r="P45" i="1"/>
  <c r="T45" i="1"/>
  <c r="Q45" i="1"/>
  <c r="U45" i="1"/>
  <c r="R45" i="1"/>
  <c r="V45" i="1"/>
  <c r="P46" i="1"/>
  <c r="T46" i="1"/>
  <c r="Q46" i="1"/>
  <c r="U46" i="1"/>
  <c r="R46" i="1"/>
  <c r="V46" i="1"/>
  <c r="P47" i="1"/>
  <c r="T47" i="1"/>
  <c r="Q47" i="1"/>
  <c r="U47" i="1"/>
  <c r="R47" i="1"/>
  <c r="V47" i="1"/>
  <c r="P48" i="1"/>
  <c r="T48" i="1"/>
  <c r="Q48" i="1"/>
  <c r="U48" i="1"/>
  <c r="R48" i="1"/>
  <c r="V48" i="1"/>
  <c r="P49" i="1"/>
  <c r="T49" i="1"/>
  <c r="Q49" i="1"/>
  <c r="U49" i="1"/>
  <c r="R49" i="1"/>
  <c r="V49" i="1"/>
  <c r="P50" i="1"/>
  <c r="T50" i="1"/>
  <c r="Q50" i="1"/>
  <c r="U50" i="1"/>
  <c r="R50" i="1"/>
  <c r="V50" i="1"/>
  <c r="P51" i="1"/>
  <c r="T51" i="1"/>
  <c r="Q51" i="1"/>
  <c r="U51" i="1"/>
  <c r="R51" i="1"/>
  <c r="V51" i="1"/>
  <c r="P52" i="1"/>
  <c r="T52" i="1"/>
  <c r="Q52" i="1"/>
  <c r="U52" i="1"/>
  <c r="R52" i="1"/>
  <c r="V52" i="1"/>
  <c r="P53" i="1"/>
  <c r="T53" i="1"/>
  <c r="Q53" i="1"/>
  <c r="U53" i="1"/>
  <c r="R53" i="1"/>
  <c r="V53" i="1"/>
  <c r="P54" i="1"/>
  <c r="T54" i="1"/>
  <c r="Q54" i="1"/>
  <c r="U54" i="1"/>
  <c r="R54" i="1"/>
  <c r="V54" i="1"/>
  <c r="P55" i="1"/>
  <c r="T55" i="1"/>
  <c r="Q55" i="1"/>
  <c r="U55" i="1"/>
  <c r="R55" i="1"/>
  <c r="V55" i="1"/>
  <c r="P56" i="1"/>
  <c r="T56" i="1"/>
  <c r="Q56" i="1"/>
  <c r="U56" i="1"/>
  <c r="R56" i="1"/>
  <c r="V56" i="1"/>
  <c r="P57" i="1"/>
  <c r="T57" i="1"/>
  <c r="Q57" i="1"/>
  <c r="U57" i="1"/>
  <c r="R57" i="1"/>
  <c r="V57" i="1"/>
  <c r="P58" i="1"/>
  <c r="T58" i="1"/>
  <c r="Q58" i="1"/>
  <c r="U58" i="1"/>
  <c r="R58" i="1"/>
  <c r="V58" i="1"/>
  <c r="P59" i="1"/>
  <c r="T59" i="1"/>
  <c r="Q59" i="1"/>
  <c r="U59" i="1"/>
  <c r="R59" i="1"/>
  <c r="V59" i="1"/>
  <c r="P60" i="1"/>
  <c r="T60" i="1"/>
  <c r="Q60" i="1"/>
  <c r="U60" i="1"/>
  <c r="R60" i="1"/>
  <c r="V60" i="1"/>
  <c r="P61" i="1"/>
  <c r="T61" i="1"/>
  <c r="Q61" i="1"/>
  <c r="U61" i="1"/>
  <c r="R61" i="1"/>
  <c r="V61" i="1"/>
  <c r="P62" i="1"/>
  <c r="T62" i="1"/>
  <c r="Q62" i="1"/>
  <c r="U62" i="1"/>
  <c r="R62" i="1"/>
  <c r="V62" i="1"/>
  <c r="P63" i="1"/>
  <c r="T63" i="1"/>
  <c r="Q63" i="1"/>
  <c r="U63" i="1"/>
  <c r="R63" i="1"/>
  <c r="V63" i="1"/>
  <c r="P64" i="1"/>
  <c r="T64" i="1"/>
  <c r="Q64" i="1"/>
  <c r="U64" i="1"/>
  <c r="R64" i="1"/>
  <c r="V64" i="1"/>
  <c r="P65" i="1"/>
  <c r="T65" i="1"/>
  <c r="Q65" i="1"/>
  <c r="U65" i="1"/>
  <c r="R65" i="1"/>
  <c r="V65" i="1"/>
  <c r="P66" i="1"/>
  <c r="Q66" i="1"/>
  <c r="R66" i="1"/>
  <c r="V66" i="1"/>
  <c r="P67" i="1"/>
  <c r="T67" i="1"/>
  <c r="Q67" i="1"/>
  <c r="U67" i="1"/>
  <c r="R67" i="1"/>
  <c r="V67" i="1"/>
  <c r="P68" i="1"/>
  <c r="T68" i="1"/>
  <c r="Q68" i="1"/>
  <c r="U68" i="1"/>
  <c r="R68" i="1"/>
  <c r="V68" i="1"/>
  <c r="P69" i="1"/>
  <c r="T69" i="1"/>
  <c r="Q69" i="1"/>
  <c r="U69" i="1"/>
  <c r="R69" i="1"/>
  <c r="V69" i="1"/>
  <c r="P70" i="1"/>
  <c r="T70" i="1"/>
  <c r="Q70" i="1"/>
  <c r="U70" i="1"/>
  <c r="R70" i="1"/>
  <c r="V70" i="1"/>
  <c r="P71" i="1"/>
  <c r="T71" i="1"/>
  <c r="Q71" i="1"/>
  <c r="U71" i="1"/>
  <c r="R71" i="1"/>
  <c r="V71" i="1"/>
  <c r="P72" i="1"/>
  <c r="T72" i="1"/>
  <c r="Q72" i="1"/>
  <c r="U72" i="1"/>
  <c r="R72" i="1"/>
  <c r="V72" i="1"/>
  <c r="P73" i="1"/>
  <c r="T73" i="1"/>
  <c r="Q73" i="1"/>
  <c r="U73" i="1"/>
  <c r="R73" i="1"/>
  <c r="V73" i="1"/>
  <c r="P74" i="1"/>
  <c r="T74" i="1"/>
  <c r="Q74" i="1"/>
  <c r="U74" i="1"/>
  <c r="R74" i="1"/>
  <c r="V74" i="1"/>
  <c r="P75" i="1"/>
  <c r="T75" i="1"/>
  <c r="Q75" i="1"/>
  <c r="U75" i="1"/>
  <c r="R75" i="1"/>
  <c r="V75" i="1"/>
  <c r="P76" i="1"/>
  <c r="T76" i="1"/>
  <c r="Q76" i="1"/>
  <c r="U76" i="1"/>
  <c r="R76" i="1"/>
  <c r="V76" i="1"/>
  <c r="P77" i="1"/>
  <c r="T77" i="1"/>
  <c r="Q77" i="1"/>
  <c r="U77" i="1"/>
  <c r="R77" i="1"/>
  <c r="V77" i="1"/>
  <c r="P78" i="1"/>
  <c r="T78" i="1"/>
  <c r="Q78" i="1"/>
  <c r="U78" i="1"/>
  <c r="R78" i="1"/>
  <c r="V78" i="1"/>
  <c r="P79" i="1"/>
  <c r="T79" i="1"/>
  <c r="Q79" i="1"/>
  <c r="U79" i="1"/>
  <c r="R79" i="1"/>
  <c r="V79" i="1"/>
  <c r="P80" i="1"/>
  <c r="T80" i="1"/>
  <c r="Q80" i="1"/>
  <c r="U80" i="1"/>
  <c r="R80" i="1"/>
  <c r="V80" i="1"/>
  <c r="P81" i="1"/>
  <c r="T81" i="1"/>
  <c r="Q81" i="1"/>
  <c r="U81" i="1"/>
  <c r="R81" i="1"/>
  <c r="V81" i="1"/>
  <c r="P82" i="1"/>
  <c r="T82" i="1"/>
  <c r="Q82" i="1"/>
  <c r="U82" i="1"/>
  <c r="R82" i="1"/>
  <c r="V82" i="1"/>
  <c r="P83" i="1"/>
  <c r="T83" i="1"/>
  <c r="Q83" i="1"/>
  <c r="U83" i="1"/>
  <c r="R83" i="1"/>
  <c r="V83" i="1"/>
  <c r="P84" i="1"/>
  <c r="T84" i="1"/>
  <c r="Q84" i="1"/>
  <c r="U84" i="1"/>
  <c r="R84" i="1"/>
  <c r="V84" i="1"/>
  <c r="P85" i="1"/>
  <c r="T85" i="1"/>
  <c r="Q85" i="1"/>
  <c r="U85" i="1"/>
  <c r="R85" i="1"/>
  <c r="V85" i="1"/>
  <c r="P86" i="1"/>
  <c r="T86" i="1"/>
  <c r="Q86" i="1"/>
  <c r="U86" i="1"/>
  <c r="R86" i="1"/>
  <c r="V86" i="1"/>
  <c r="P87" i="1"/>
  <c r="Q87" i="1"/>
  <c r="U87" i="1"/>
  <c r="R87" i="1"/>
  <c r="V87" i="1"/>
  <c r="P88" i="1"/>
  <c r="T88" i="1"/>
  <c r="Q88" i="1"/>
  <c r="U88" i="1"/>
  <c r="R88" i="1"/>
  <c r="V88" i="1"/>
  <c r="P89" i="1"/>
  <c r="T89" i="1"/>
  <c r="Q89" i="1"/>
  <c r="U89" i="1"/>
  <c r="R89" i="1"/>
  <c r="V89" i="1"/>
  <c r="P90" i="1"/>
  <c r="T90" i="1"/>
  <c r="Q90" i="1"/>
  <c r="U90" i="1"/>
  <c r="R90" i="1"/>
  <c r="V90" i="1"/>
  <c r="P91" i="1"/>
  <c r="T91" i="1"/>
  <c r="Q91" i="1"/>
  <c r="U91" i="1"/>
  <c r="R91" i="1"/>
  <c r="V91" i="1"/>
  <c r="P92" i="1"/>
  <c r="T92" i="1"/>
  <c r="Q92" i="1"/>
  <c r="U92" i="1"/>
  <c r="R92" i="1"/>
  <c r="V92" i="1"/>
  <c r="P93" i="1"/>
  <c r="T93" i="1"/>
  <c r="Q93" i="1"/>
  <c r="U93" i="1"/>
  <c r="R93" i="1"/>
  <c r="V93" i="1"/>
  <c r="P94" i="1"/>
  <c r="T94" i="1"/>
  <c r="Q94" i="1"/>
  <c r="U94" i="1"/>
  <c r="R94" i="1"/>
  <c r="V94" i="1"/>
  <c r="P95" i="1"/>
  <c r="T95" i="1"/>
  <c r="Q95" i="1"/>
  <c r="U95" i="1"/>
  <c r="R95" i="1"/>
  <c r="V95" i="1"/>
  <c r="P96" i="1"/>
  <c r="T96" i="1"/>
  <c r="Q96" i="1"/>
  <c r="U96" i="1"/>
  <c r="R96" i="1"/>
  <c r="V96" i="1"/>
  <c r="P97" i="1"/>
  <c r="T97" i="1"/>
  <c r="Q97" i="1"/>
  <c r="U97" i="1"/>
  <c r="R97" i="1"/>
  <c r="V97" i="1"/>
  <c r="P98" i="1"/>
  <c r="T98" i="1"/>
  <c r="Q98" i="1"/>
  <c r="U98" i="1"/>
  <c r="R98" i="1"/>
  <c r="V98" i="1"/>
  <c r="P99" i="1"/>
  <c r="T99" i="1"/>
  <c r="Q99" i="1"/>
  <c r="U99" i="1"/>
  <c r="R99" i="1"/>
  <c r="V99" i="1"/>
  <c r="P100" i="1"/>
  <c r="T100" i="1"/>
  <c r="Q100" i="1"/>
  <c r="U100" i="1"/>
  <c r="R100" i="1"/>
  <c r="V100" i="1"/>
  <c r="P101" i="1"/>
  <c r="T101" i="1"/>
  <c r="Q101" i="1"/>
  <c r="U101" i="1"/>
  <c r="R101" i="1"/>
  <c r="V101" i="1"/>
  <c r="P102" i="1"/>
  <c r="T102" i="1"/>
  <c r="Q102" i="1"/>
  <c r="U102" i="1"/>
  <c r="R102" i="1"/>
  <c r="V102" i="1"/>
  <c r="P103" i="1"/>
  <c r="Q103" i="1"/>
  <c r="R103" i="1"/>
  <c r="V103" i="1"/>
  <c r="P104" i="1"/>
  <c r="T104" i="1"/>
  <c r="Q104" i="1"/>
  <c r="U104" i="1"/>
  <c r="R104" i="1"/>
  <c r="V104" i="1"/>
  <c r="P105" i="1"/>
  <c r="T105" i="1"/>
  <c r="Q105" i="1"/>
  <c r="U105" i="1"/>
  <c r="R105" i="1"/>
  <c r="V105" i="1"/>
  <c r="P106" i="1"/>
  <c r="T106" i="1"/>
  <c r="Q106" i="1"/>
  <c r="U106" i="1"/>
  <c r="R106" i="1"/>
  <c r="V106" i="1"/>
  <c r="P107" i="1"/>
  <c r="T107" i="1"/>
  <c r="Q107" i="1"/>
  <c r="U107" i="1"/>
  <c r="R107" i="1"/>
  <c r="V107" i="1"/>
  <c r="P108" i="1"/>
  <c r="T108" i="1"/>
  <c r="Q108" i="1"/>
  <c r="U108" i="1"/>
  <c r="R108" i="1"/>
  <c r="V108" i="1"/>
  <c r="P109" i="1"/>
  <c r="T109" i="1"/>
  <c r="Q109" i="1"/>
  <c r="U109" i="1"/>
  <c r="R109" i="1"/>
  <c r="V109" i="1"/>
  <c r="P110" i="1"/>
  <c r="T110" i="1"/>
  <c r="Q110" i="1"/>
  <c r="U110" i="1"/>
  <c r="R110" i="1"/>
  <c r="V110" i="1"/>
  <c r="P111" i="1"/>
  <c r="T111" i="1"/>
  <c r="Q111" i="1"/>
  <c r="U111" i="1"/>
  <c r="R111" i="1"/>
  <c r="V111" i="1"/>
  <c r="P112" i="1"/>
  <c r="T112" i="1"/>
  <c r="Q112" i="1"/>
  <c r="U112" i="1"/>
  <c r="R112" i="1"/>
  <c r="V112" i="1"/>
  <c r="P113" i="1"/>
  <c r="T113" i="1"/>
  <c r="Q113" i="1"/>
  <c r="U113" i="1"/>
  <c r="R113" i="1"/>
  <c r="V113" i="1"/>
  <c r="P114" i="1"/>
  <c r="T114" i="1"/>
  <c r="Q114" i="1"/>
  <c r="U114" i="1"/>
  <c r="R114" i="1"/>
  <c r="V114" i="1"/>
  <c r="P115" i="1"/>
  <c r="T115" i="1"/>
  <c r="Q115" i="1"/>
  <c r="U115" i="1"/>
  <c r="R115" i="1"/>
  <c r="V115" i="1"/>
  <c r="P116" i="1"/>
  <c r="T116" i="1"/>
  <c r="Q116" i="1"/>
  <c r="U116" i="1"/>
  <c r="R116" i="1"/>
  <c r="V116" i="1"/>
  <c r="P117" i="1"/>
  <c r="T117" i="1"/>
  <c r="Q117" i="1"/>
  <c r="U117" i="1"/>
  <c r="R117" i="1"/>
  <c r="V117" i="1"/>
  <c r="P118" i="1"/>
  <c r="T118" i="1"/>
  <c r="Q118" i="1"/>
  <c r="U118" i="1"/>
  <c r="R118" i="1"/>
  <c r="V118" i="1"/>
  <c r="P119" i="1"/>
  <c r="T119" i="1"/>
  <c r="Q119" i="1"/>
  <c r="U119" i="1"/>
  <c r="R119" i="1"/>
  <c r="V119" i="1"/>
  <c r="P120" i="1"/>
  <c r="T120" i="1"/>
  <c r="Q120" i="1"/>
  <c r="U120" i="1"/>
  <c r="R120" i="1"/>
  <c r="V120" i="1"/>
  <c r="P121" i="1"/>
  <c r="T121" i="1"/>
  <c r="Q121" i="1"/>
  <c r="U121" i="1"/>
  <c r="R121" i="1"/>
  <c r="V121" i="1"/>
  <c r="P122" i="1"/>
  <c r="T122" i="1"/>
  <c r="Q122" i="1"/>
  <c r="U122" i="1"/>
  <c r="R122" i="1"/>
  <c r="V122" i="1"/>
  <c r="P123" i="1"/>
  <c r="T123" i="1"/>
  <c r="Q123" i="1"/>
  <c r="U123" i="1"/>
  <c r="R123" i="1"/>
  <c r="V123" i="1"/>
  <c r="P124" i="1"/>
  <c r="T124" i="1"/>
  <c r="Q124" i="1"/>
  <c r="U124" i="1"/>
  <c r="R124" i="1"/>
  <c r="V124" i="1"/>
  <c r="P125" i="1"/>
  <c r="Q125" i="1"/>
  <c r="R125" i="1"/>
  <c r="V125" i="1"/>
  <c r="P126" i="1"/>
  <c r="T126" i="1"/>
  <c r="Q126" i="1"/>
  <c r="U126" i="1"/>
  <c r="R126" i="1"/>
  <c r="V126" i="1"/>
  <c r="P127" i="1"/>
  <c r="T127" i="1"/>
  <c r="Q127" i="1"/>
  <c r="U127" i="1"/>
  <c r="R127" i="1"/>
  <c r="V127" i="1"/>
  <c r="P128" i="1"/>
  <c r="T128" i="1"/>
  <c r="Q128" i="1"/>
  <c r="U128" i="1"/>
  <c r="R128" i="1"/>
  <c r="V128" i="1"/>
  <c r="P129" i="1"/>
  <c r="T129" i="1"/>
  <c r="Q129" i="1"/>
  <c r="U129" i="1"/>
  <c r="R129" i="1"/>
  <c r="V129" i="1"/>
  <c r="P130" i="1"/>
  <c r="T130" i="1"/>
  <c r="Q130" i="1"/>
  <c r="U130" i="1"/>
  <c r="R130" i="1"/>
  <c r="V130" i="1"/>
  <c r="P131" i="1"/>
  <c r="T131" i="1"/>
  <c r="Q131" i="1"/>
  <c r="U131" i="1"/>
  <c r="R131" i="1"/>
  <c r="V131" i="1"/>
  <c r="P132" i="1"/>
  <c r="T132" i="1"/>
  <c r="Q132" i="1"/>
  <c r="U132" i="1"/>
  <c r="R132" i="1"/>
  <c r="V132" i="1"/>
  <c r="P133" i="1"/>
  <c r="T133" i="1"/>
  <c r="Q133" i="1"/>
  <c r="U133" i="1"/>
  <c r="R133" i="1"/>
  <c r="V133" i="1"/>
  <c r="P134" i="1"/>
  <c r="T134" i="1"/>
  <c r="Q134" i="1"/>
  <c r="U134" i="1"/>
  <c r="R134" i="1"/>
  <c r="V134" i="1"/>
  <c r="P135" i="1"/>
  <c r="T135" i="1"/>
  <c r="Q135" i="1"/>
  <c r="U135" i="1"/>
  <c r="R135" i="1"/>
  <c r="V135" i="1"/>
  <c r="P136" i="1"/>
  <c r="T136" i="1"/>
  <c r="Q136" i="1"/>
  <c r="U136" i="1"/>
  <c r="R136" i="1"/>
  <c r="V136" i="1"/>
  <c r="P137" i="1"/>
  <c r="T137" i="1"/>
  <c r="Q137" i="1"/>
  <c r="U137" i="1"/>
  <c r="R137" i="1"/>
  <c r="V137" i="1"/>
  <c r="P138" i="1"/>
  <c r="T138" i="1"/>
  <c r="Q138" i="1"/>
  <c r="U138" i="1"/>
  <c r="R138" i="1"/>
  <c r="V138" i="1"/>
  <c r="P139" i="1"/>
  <c r="T139" i="1"/>
  <c r="Q139" i="1"/>
  <c r="U139" i="1"/>
  <c r="R139" i="1"/>
  <c r="V139" i="1"/>
  <c r="P140" i="1"/>
  <c r="T140" i="1"/>
  <c r="Q140" i="1"/>
  <c r="U140" i="1"/>
  <c r="R140" i="1"/>
  <c r="V140" i="1"/>
  <c r="P141" i="1"/>
  <c r="T141" i="1"/>
  <c r="Q141" i="1"/>
  <c r="U141" i="1"/>
  <c r="R141" i="1"/>
  <c r="V141" i="1"/>
  <c r="P142" i="1"/>
  <c r="T142" i="1"/>
  <c r="Q142" i="1"/>
  <c r="U142" i="1"/>
  <c r="R142" i="1"/>
  <c r="V142" i="1"/>
  <c r="P143" i="1"/>
  <c r="T143" i="1"/>
  <c r="Q143" i="1"/>
  <c r="U143" i="1"/>
  <c r="R143" i="1"/>
  <c r="V143" i="1"/>
  <c r="P144" i="1"/>
  <c r="T144" i="1"/>
  <c r="Q144" i="1"/>
  <c r="U144" i="1"/>
  <c r="R144" i="1"/>
  <c r="V144" i="1"/>
  <c r="P145" i="1"/>
  <c r="T145" i="1"/>
  <c r="Q145" i="1"/>
  <c r="U145" i="1"/>
  <c r="R145" i="1"/>
  <c r="V145" i="1"/>
  <c r="P146" i="1"/>
  <c r="T146" i="1"/>
  <c r="Q146" i="1"/>
  <c r="U146" i="1"/>
  <c r="R146" i="1"/>
  <c r="V146" i="1"/>
  <c r="P147" i="1"/>
  <c r="Q147" i="1"/>
  <c r="U147" i="1"/>
  <c r="R147" i="1"/>
  <c r="V147" i="1"/>
  <c r="P3" i="1"/>
  <c r="T3" i="1"/>
  <c r="Q3" i="1"/>
  <c r="U3" i="1"/>
  <c r="R3" i="1"/>
  <c r="V3" i="1"/>
  <c r="AB650" i="2"/>
  <c r="AC650" i="2"/>
  <c r="AB651" i="2"/>
  <c r="AC651" i="2"/>
  <c r="R623" i="2"/>
  <c r="S623" i="2"/>
  <c r="T623" i="2"/>
  <c r="U623" i="2"/>
  <c r="R624" i="2"/>
  <c r="S624" i="2"/>
  <c r="T624" i="2"/>
  <c r="U624" i="2"/>
  <c r="R625" i="2"/>
  <c r="S625" i="2"/>
  <c r="T625" i="2"/>
  <c r="U625" i="2"/>
  <c r="R626" i="2"/>
  <c r="S626" i="2"/>
  <c r="T626" i="2"/>
  <c r="U626" i="2"/>
  <c r="R627" i="2"/>
  <c r="S627" i="2"/>
  <c r="T627" i="2"/>
  <c r="U627" i="2"/>
  <c r="R628" i="2"/>
  <c r="S628" i="2"/>
  <c r="T628" i="2"/>
  <c r="U628" i="2"/>
  <c r="R629" i="2"/>
  <c r="S629" i="2"/>
  <c r="T629" i="2"/>
  <c r="U629" i="2"/>
  <c r="R630" i="2"/>
  <c r="S630" i="2"/>
  <c r="T630" i="2"/>
  <c r="U630" i="2"/>
  <c r="R631" i="2"/>
  <c r="S631" i="2"/>
  <c r="T631" i="2"/>
  <c r="U631" i="2"/>
  <c r="R632" i="2"/>
  <c r="S632" i="2"/>
  <c r="T632" i="2"/>
  <c r="U632" i="2"/>
  <c r="R633" i="2"/>
  <c r="S633" i="2"/>
  <c r="T633" i="2"/>
  <c r="U633" i="2"/>
  <c r="R634" i="2"/>
  <c r="S634" i="2"/>
  <c r="T634" i="2"/>
  <c r="U634" i="2"/>
  <c r="R635" i="2"/>
  <c r="S635" i="2"/>
  <c r="T635" i="2"/>
  <c r="U635" i="2"/>
  <c r="R636" i="2"/>
  <c r="S636" i="2"/>
  <c r="T636" i="2"/>
  <c r="U636" i="2"/>
  <c r="R637" i="2"/>
  <c r="S637" i="2"/>
  <c r="T637" i="2"/>
  <c r="U637" i="2"/>
  <c r="R638" i="2"/>
  <c r="S638" i="2"/>
  <c r="T638" i="2"/>
  <c r="U638" i="2"/>
  <c r="R639" i="2"/>
  <c r="S639" i="2"/>
  <c r="T639" i="2"/>
  <c r="U639" i="2"/>
  <c r="R640" i="2"/>
  <c r="S640" i="2"/>
  <c r="T640" i="2"/>
  <c r="U640" i="2"/>
  <c r="R641" i="2"/>
  <c r="S641" i="2"/>
  <c r="T641" i="2"/>
  <c r="U641" i="2"/>
  <c r="R642" i="2"/>
  <c r="S642" i="2"/>
  <c r="T642" i="2"/>
  <c r="U642" i="2"/>
  <c r="R643" i="2"/>
  <c r="S643" i="2"/>
  <c r="T643" i="2"/>
  <c r="U643" i="2"/>
  <c r="R644" i="2"/>
  <c r="S644" i="2"/>
  <c r="T644" i="2"/>
  <c r="U644" i="2"/>
  <c r="R645" i="2"/>
  <c r="S645" i="2"/>
  <c r="T645" i="2"/>
  <c r="U645" i="2"/>
  <c r="R646" i="2"/>
  <c r="S646" i="2"/>
  <c r="T646" i="2"/>
  <c r="U646" i="2"/>
  <c r="R647" i="2"/>
  <c r="S647" i="2"/>
  <c r="T647" i="2"/>
  <c r="U647" i="2"/>
  <c r="R648" i="2"/>
  <c r="S648" i="2"/>
  <c r="T648" i="2"/>
  <c r="U648" i="2"/>
  <c r="R649" i="2"/>
  <c r="S649" i="2"/>
  <c r="T649" i="2"/>
  <c r="U649" i="2"/>
  <c r="R650" i="2"/>
  <c r="S650" i="2"/>
  <c r="T650" i="2"/>
  <c r="U650" i="2"/>
  <c r="R651" i="2"/>
  <c r="S651" i="2"/>
  <c r="T651" i="2"/>
  <c r="U651" i="2"/>
  <c r="R652" i="2"/>
  <c r="S652" i="2"/>
  <c r="T652" i="2"/>
  <c r="U652" i="2"/>
  <c r="R653" i="2"/>
  <c r="S653" i="2"/>
  <c r="T653" i="2"/>
  <c r="U653" i="2"/>
  <c r="R654" i="2"/>
  <c r="S654" i="2"/>
  <c r="T654" i="2"/>
  <c r="U654" i="2"/>
  <c r="R655" i="2"/>
  <c r="S655" i="2"/>
  <c r="T655" i="2"/>
  <c r="U655" i="2"/>
  <c r="R656" i="2"/>
  <c r="S656" i="2"/>
  <c r="T656" i="2"/>
  <c r="U656" i="2"/>
  <c r="R657" i="2"/>
  <c r="S657" i="2"/>
  <c r="T657" i="2"/>
  <c r="U657" i="2"/>
  <c r="G623" i="2"/>
  <c r="H623" i="2"/>
  <c r="I623" i="2"/>
  <c r="J623" i="2"/>
  <c r="G624" i="2"/>
  <c r="H624" i="2"/>
  <c r="I624" i="2"/>
  <c r="J624" i="2"/>
  <c r="G625" i="2"/>
  <c r="H625" i="2"/>
  <c r="I625" i="2"/>
  <c r="J625" i="2"/>
  <c r="G626" i="2"/>
  <c r="H626" i="2"/>
  <c r="I626" i="2"/>
  <c r="J626" i="2"/>
  <c r="G627" i="2"/>
  <c r="H627" i="2"/>
  <c r="I627" i="2"/>
  <c r="J627" i="2"/>
  <c r="G628" i="2"/>
  <c r="H628" i="2"/>
  <c r="I628" i="2"/>
  <c r="J628" i="2"/>
  <c r="G629" i="2"/>
  <c r="H629" i="2"/>
  <c r="I629" i="2"/>
  <c r="J629" i="2"/>
  <c r="G630" i="2"/>
  <c r="H630" i="2"/>
  <c r="I630" i="2"/>
  <c r="J630" i="2"/>
  <c r="G631" i="2"/>
  <c r="H631" i="2"/>
  <c r="I631" i="2"/>
  <c r="J631" i="2"/>
  <c r="G632" i="2"/>
  <c r="H632" i="2"/>
  <c r="I632" i="2"/>
  <c r="J632" i="2"/>
  <c r="G633" i="2"/>
  <c r="H633" i="2"/>
  <c r="I633" i="2"/>
  <c r="J633" i="2"/>
  <c r="G634" i="2"/>
  <c r="H634" i="2"/>
  <c r="I634" i="2"/>
  <c r="J634" i="2"/>
  <c r="G635" i="2"/>
  <c r="H635" i="2"/>
  <c r="I635" i="2"/>
  <c r="J635" i="2"/>
  <c r="G636" i="2"/>
  <c r="H636" i="2"/>
  <c r="I636" i="2"/>
  <c r="J636" i="2"/>
  <c r="G637" i="2"/>
  <c r="H637" i="2"/>
  <c r="I637" i="2"/>
  <c r="J637" i="2"/>
  <c r="G638" i="2"/>
  <c r="H638" i="2"/>
  <c r="I638" i="2"/>
  <c r="J638" i="2"/>
  <c r="G639" i="2"/>
  <c r="H639" i="2"/>
  <c r="I639" i="2"/>
  <c r="J639" i="2"/>
  <c r="G640" i="2"/>
  <c r="H640" i="2"/>
  <c r="I640" i="2"/>
  <c r="J640" i="2"/>
  <c r="G641" i="2"/>
  <c r="H641" i="2"/>
  <c r="I641" i="2"/>
  <c r="J641" i="2"/>
  <c r="G642" i="2"/>
  <c r="H642" i="2"/>
  <c r="I642" i="2"/>
  <c r="J642" i="2"/>
  <c r="G643" i="2"/>
  <c r="H643" i="2"/>
  <c r="I643" i="2"/>
  <c r="J643" i="2"/>
  <c r="G644" i="2"/>
  <c r="H644" i="2"/>
  <c r="I644" i="2"/>
  <c r="J644" i="2"/>
  <c r="G645" i="2"/>
  <c r="H645" i="2"/>
  <c r="I645" i="2"/>
  <c r="J645" i="2"/>
  <c r="G646" i="2"/>
  <c r="H646" i="2"/>
  <c r="I646" i="2"/>
  <c r="J646" i="2"/>
  <c r="G647" i="2"/>
  <c r="H647" i="2"/>
  <c r="I647" i="2"/>
  <c r="J647" i="2"/>
  <c r="G648" i="2"/>
  <c r="H648" i="2"/>
  <c r="I648" i="2"/>
  <c r="J648" i="2"/>
  <c r="G649" i="2"/>
  <c r="H649" i="2"/>
  <c r="I649" i="2"/>
  <c r="J649" i="2"/>
  <c r="G650" i="2"/>
  <c r="H650" i="2"/>
  <c r="I650" i="2"/>
  <c r="J650" i="2"/>
  <c r="G651" i="2"/>
  <c r="H651" i="2"/>
  <c r="I651" i="2"/>
  <c r="J651" i="2"/>
  <c r="G652" i="2"/>
  <c r="H652" i="2"/>
  <c r="I652" i="2"/>
  <c r="J652" i="2"/>
  <c r="G653" i="2"/>
  <c r="H653" i="2"/>
  <c r="I653" i="2"/>
  <c r="J653" i="2"/>
  <c r="G654" i="2"/>
  <c r="L654" i="2"/>
  <c r="H654" i="2"/>
  <c r="M654" i="2"/>
  <c r="I654" i="2"/>
  <c r="N654" i="2"/>
  <c r="J654" i="2"/>
  <c r="O654" i="2"/>
  <c r="G655" i="2"/>
  <c r="L655" i="2"/>
  <c r="H655" i="2"/>
  <c r="M655" i="2"/>
  <c r="I655" i="2"/>
  <c r="N655" i="2"/>
  <c r="J655" i="2"/>
  <c r="O655" i="2"/>
  <c r="G656" i="2"/>
  <c r="L656" i="2"/>
  <c r="H656" i="2"/>
  <c r="I656" i="2"/>
  <c r="N656" i="2"/>
  <c r="J656" i="2"/>
  <c r="O656" i="2"/>
  <c r="G657" i="2"/>
  <c r="L657" i="2"/>
  <c r="H657" i="2"/>
  <c r="I657" i="2"/>
  <c r="N657" i="2"/>
  <c r="J657" i="2"/>
  <c r="O657" i="2"/>
  <c r="F623" i="2"/>
  <c r="X623" i="2"/>
  <c r="F624" i="2"/>
  <c r="X624" i="2"/>
  <c r="F625" i="2"/>
  <c r="X625" i="2"/>
  <c r="F626" i="2"/>
  <c r="X626" i="2"/>
  <c r="F627" i="2"/>
  <c r="X627" i="2"/>
  <c r="F628" i="2"/>
  <c r="X628" i="2"/>
  <c r="F629" i="2"/>
  <c r="X629" i="2"/>
  <c r="F630" i="2"/>
  <c r="X630" i="2"/>
  <c r="F631" i="2"/>
  <c r="X631" i="2"/>
  <c r="F632" i="2"/>
  <c r="X632" i="2"/>
  <c r="F633" i="2"/>
  <c r="X633" i="2"/>
  <c r="X634" i="2"/>
  <c r="F635" i="2"/>
  <c r="X635" i="2"/>
  <c r="F636" i="2"/>
  <c r="X636" i="2"/>
  <c r="F637" i="2"/>
  <c r="X637" i="2"/>
  <c r="F638" i="2"/>
  <c r="X638" i="2"/>
  <c r="F639" i="2"/>
  <c r="X639" i="2"/>
  <c r="F640" i="2"/>
  <c r="X640" i="2"/>
  <c r="F641" i="2"/>
  <c r="X641" i="2"/>
  <c r="F642" i="2"/>
  <c r="X642" i="2"/>
  <c r="F643" i="2"/>
  <c r="X643" i="2"/>
  <c r="F644" i="2"/>
  <c r="X644" i="2"/>
  <c r="F645" i="2"/>
  <c r="X645" i="2"/>
  <c r="F646" i="2"/>
  <c r="X646" i="2"/>
  <c r="F647" i="2"/>
  <c r="X647" i="2"/>
  <c r="F648" i="2"/>
  <c r="X648" i="2"/>
  <c r="F649" i="2"/>
  <c r="X649" i="2"/>
  <c r="F650" i="2"/>
  <c r="X650" i="2"/>
  <c r="F651" i="2"/>
  <c r="X651" i="2"/>
  <c r="F652" i="2"/>
  <c r="F653" i="2"/>
  <c r="F654" i="2"/>
  <c r="F655" i="2"/>
  <c r="F656" i="2"/>
  <c r="F657" i="2"/>
  <c r="B623" i="3"/>
  <c r="C623" i="3"/>
  <c r="D623" i="3"/>
  <c r="E623" i="3"/>
  <c r="F623" i="3"/>
  <c r="G623" i="3"/>
  <c r="AC619" i="2"/>
  <c r="B624" i="3"/>
  <c r="C624" i="3"/>
  <c r="D624" i="3"/>
  <c r="E624" i="3"/>
  <c r="F624" i="3"/>
  <c r="AB620" i="2"/>
  <c r="G624" i="3"/>
  <c r="AC620" i="2"/>
  <c r="B625" i="3"/>
  <c r="C625" i="3"/>
  <c r="D625" i="3"/>
  <c r="E625" i="3"/>
  <c r="F625" i="3"/>
  <c r="G625" i="3"/>
  <c r="B626" i="3"/>
  <c r="C626" i="3"/>
  <c r="D626" i="3"/>
  <c r="E626" i="3"/>
  <c r="F626" i="3"/>
  <c r="AB622" i="2"/>
  <c r="G626" i="3"/>
  <c r="AC622" i="2"/>
  <c r="B627" i="3"/>
  <c r="C627" i="3"/>
  <c r="D627" i="3"/>
  <c r="E627" i="3"/>
  <c r="F627" i="3"/>
  <c r="AB623" i="2"/>
  <c r="G627" i="3"/>
  <c r="AC623" i="2"/>
  <c r="B628" i="3"/>
  <c r="C628" i="3"/>
  <c r="D628" i="3"/>
  <c r="E628" i="3"/>
  <c r="F628" i="3"/>
  <c r="AB624" i="2"/>
  <c r="G628" i="3"/>
  <c r="AC624" i="2"/>
  <c r="B629" i="3"/>
  <c r="C629" i="3"/>
  <c r="D629" i="3"/>
  <c r="E629" i="3"/>
  <c r="F629" i="3"/>
  <c r="AB625" i="2"/>
  <c r="G629" i="3"/>
  <c r="AC625" i="2"/>
  <c r="B630" i="3"/>
  <c r="C630" i="3"/>
  <c r="D630" i="3"/>
  <c r="E630" i="3"/>
  <c r="F630" i="3"/>
  <c r="AB626" i="2"/>
  <c r="G630" i="3"/>
  <c r="AC626" i="2"/>
  <c r="B631" i="3"/>
  <c r="C631" i="3"/>
  <c r="D631" i="3"/>
  <c r="E631" i="3"/>
  <c r="F631" i="3"/>
  <c r="AB627" i="2"/>
  <c r="G631" i="3"/>
  <c r="AC627" i="2"/>
  <c r="B632" i="3"/>
  <c r="C632" i="3"/>
  <c r="D632" i="3"/>
  <c r="E632" i="3"/>
  <c r="F632" i="3"/>
  <c r="AB628" i="2"/>
  <c r="G632" i="3"/>
  <c r="AC628" i="2"/>
  <c r="B633" i="3"/>
  <c r="C633" i="3"/>
  <c r="D633" i="3"/>
  <c r="E633" i="3"/>
  <c r="F633" i="3"/>
  <c r="AB629" i="2"/>
  <c r="G633" i="3"/>
  <c r="AC629" i="2"/>
  <c r="B634" i="3"/>
  <c r="C634" i="3"/>
  <c r="D634" i="3"/>
  <c r="E634" i="3"/>
  <c r="O634" i="2"/>
  <c r="F634" i="3"/>
  <c r="AB630" i="2"/>
  <c r="G634" i="3"/>
  <c r="AC630" i="2"/>
  <c r="B635" i="3"/>
  <c r="C635" i="3"/>
  <c r="D635" i="3"/>
  <c r="E635" i="3"/>
  <c r="F635" i="3"/>
  <c r="AB631" i="2"/>
  <c r="G635" i="3"/>
  <c r="AC631" i="2"/>
  <c r="B636" i="3"/>
  <c r="C636" i="3"/>
  <c r="D636" i="3"/>
  <c r="E636" i="3"/>
  <c r="F636" i="3"/>
  <c r="AB632" i="2"/>
  <c r="G636" i="3"/>
  <c r="AC632" i="2"/>
  <c r="B637" i="3"/>
  <c r="C637" i="3"/>
  <c r="D637" i="3"/>
  <c r="E637" i="3"/>
  <c r="O637" i="2"/>
  <c r="F637" i="3"/>
  <c r="AB633" i="2"/>
  <c r="G637" i="3"/>
  <c r="AC633" i="2"/>
  <c r="B638" i="3"/>
  <c r="C638" i="3"/>
  <c r="D638" i="3"/>
  <c r="E638" i="3"/>
  <c r="F638" i="3"/>
  <c r="AB634" i="2"/>
  <c r="G638" i="3"/>
  <c r="AC634" i="2"/>
  <c r="B639" i="3"/>
  <c r="C639" i="3"/>
  <c r="D639" i="3"/>
  <c r="E639" i="3"/>
  <c r="F639" i="3"/>
  <c r="AB635" i="2"/>
  <c r="G639" i="3"/>
  <c r="AC635" i="2"/>
  <c r="B640" i="3"/>
  <c r="C640" i="3"/>
  <c r="D640" i="3"/>
  <c r="E640" i="3"/>
  <c r="O640" i="2"/>
  <c r="F640" i="3"/>
  <c r="AB636" i="2"/>
  <c r="G640" i="3"/>
  <c r="AC636" i="2"/>
  <c r="B641" i="3"/>
  <c r="C641" i="3"/>
  <c r="D641" i="3"/>
  <c r="E641" i="3"/>
  <c r="F641" i="3"/>
  <c r="AB637" i="2"/>
  <c r="G641" i="3"/>
  <c r="AC637" i="2"/>
  <c r="B642" i="3"/>
  <c r="C642" i="3"/>
  <c r="D642" i="3"/>
  <c r="E642" i="3"/>
  <c r="F642" i="3"/>
  <c r="AB638" i="2"/>
  <c r="G642" i="3"/>
  <c r="AC638" i="2"/>
  <c r="B643" i="3"/>
  <c r="C643" i="3"/>
  <c r="D643" i="3"/>
  <c r="E643" i="3"/>
  <c r="F643" i="3"/>
  <c r="AB639" i="2"/>
  <c r="G643" i="3"/>
  <c r="AC639" i="2"/>
  <c r="B644" i="3"/>
  <c r="C644" i="3"/>
  <c r="D644" i="3"/>
  <c r="E644" i="3"/>
  <c r="F644" i="3"/>
  <c r="AB640" i="2"/>
  <c r="G644" i="3"/>
  <c r="AC640" i="2"/>
  <c r="B645" i="3"/>
  <c r="C645" i="3"/>
  <c r="D645" i="3"/>
  <c r="E645" i="3"/>
  <c r="F645" i="3"/>
  <c r="AB641" i="2"/>
  <c r="G645" i="3"/>
  <c r="AC641" i="2"/>
  <c r="B646" i="3"/>
  <c r="C646" i="3"/>
  <c r="D646" i="3"/>
  <c r="E646" i="3"/>
  <c r="O646" i="2"/>
  <c r="F646" i="3"/>
  <c r="AB642" i="2"/>
  <c r="G646" i="3"/>
  <c r="AC642" i="2"/>
  <c r="B647" i="3"/>
  <c r="C647" i="3"/>
  <c r="D647" i="3"/>
  <c r="E647" i="3"/>
  <c r="F647" i="3"/>
  <c r="AB643" i="2"/>
  <c r="G647" i="3"/>
  <c r="AC643" i="2"/>
  <c r="B648" i="3"/>
  <c r="C648" i="3"/>
  <c r="D648" i="3"/>
  <c r="E648" i="3"/>
  <c r="F648" i="3"/>
  <c r="AB644" i="2"/>
  <c r="G648" i="3"/>
  <c r="AC644" i="2"/>
  <c r="B649" i="3"/>
  <c r="C649" i="3"/>
  <c r="D649" i="3"/>
  <c r="E649" i="3"/>
  <c r="F649" i="3"/>
  <c r="AB645" i="2"/>
  <c r="G649" i="3"/>
  <c r="AC645" i="2"/>
  <c r="B650" i="3"/>
  <c r="C650" i="3"/>
  <c r="D650" i="3"/>
  <c r="E650" i="3"/>
  <c r="F650" i="3"/>
  <c r="AB646" i="2"/>
  <c r="G650" i="3"/>
  <c r="AC646" i="2"/>
  <c r="B651" i="3"/>
  <c r="C651" i="3"/>
  <c r="D651" i="3"/>
  <c r="E651" i="3"/>
  <c r="F651" i="3"/>
  <c r="AB647" i="2"/>
  <c r="G651" i="3"/>
  <c r="AC647" i="2"/>
  <c r="B652" i="3"/>
  <c r="C652" i="3"/>
  <c r="D652" i="3"/>
  <c r="E652" i="3"/>
  <c r="O652" i="2"/>
  <c r="F652" i="3"/>
  <c r="AB648" i="2"/>
  <c r="G652" i="3"/>
  <c r="AC648" i="2"/>
  <c r="B653" i="3"/>
  <c r="C653" i="3"/>
  <c r="D653" i="3"/>
  <c r="E653" i="3"/>
  <c r="F653" i="3"/>
  <c r="AB649" i="2"/>
  <c r="G653" i="3"/>
  <c r="AC649" i="2"/>
  <c r="B37" i="4"/>
  <c r="U622" i="2"/>
  <c r="T622" i="2"/>
  <c r="S622" i="2"/>
  <c r="R622" i="2"/>
  <c r="J622" i="2"/>
  <c r="I622" i="2"/>
  <c r="H622" i="2"/>
  <c r="G622" i="2"/>
  <c r="F622" i="2"/>
  <c r="X622" i="2"/>
  <c r="AC621" i="2"/>
  <c r="AB621" i="2"/>
  <c r="U621" i="2"/>
  <c r="T621" i="2"/>
  <c r="S621" i="2"/>
  <c r="R621" i="2"/>
  <c r="J621" i="2"/>
  <c r="I621" i="2"/>
  <c r="H621" i="2"/>
  <c r="G621" i="2"/>
  <c r="F621" i="2"/>
  <c r="X621" i="2"/>
  <c r="U620" i="2"/>
  <c r="T620" i="2"/>
  <c r="S620" i="2"/>
  <c r="R620" i="2"/>
  <c r="J620" i="2"/>
  <c r="I620" i="2"/>
  <c r="H620" i="2"/>
  <c r="G620" i="2"/>
  <c r="F620" i="2"/>
  <c r="X620" i="2"/>
  <c r="AB619" i="2"/>
  <c r="U619" i="2"/>
  <c r="T619" i="2"/>
  <c r="S619" i="2"/>
  <c r="R619" i="2"/>
  <c r="J619" i="2"/>
  <c r="I619" i="2"/>
  <c r="H619" i="2"/>
  <c r="G619" i="2"/>
  <c r="F619" i="2"/>
  <c r="X619" i="2"/>
  <c r="U618" i="2"/>
  <c r="T618" i="2"/>
  <c r="S618" i="2"/>
  <c r="R618" i="2"/>
  <c r="J618" i="2"/>
  <c r="I618" i="2"/>
  <c r="H618" i="2"/>
  <c r="G618" i="2"/>
  <c r="F618" i="2"/>
  <c r="X618" i="2"/>
  <c r="U617" i="2"/>
  <c r="T617" i="2"/>
  <c r="S617" i="2"/>
  <c r="R617" i="2"/>
  <c r="J617" i="2"/>
  <c r="I617" i="2"/>
  <c r="H617" i="2"/>
  <c r="G617" i="2"/>
  <c r="F617" i="2"/>
  <c r="X617" i="2"/>
  <c r="U616" i="2"/>
  <c r="T616" i="2"/>
  <c r="S616" i="2"/>
  <c r="R616" i="2"/>
  <c r="J616" i="2"/>
  <c r="I616" i="2"/>
  <c r="H616" i="2"/>
  <c r="G616" i="2"/>
  <c r="F616" i="2"/>
  <c r="X616" i="2"/>
  <c r="U615" i="2"/>
  <c r="T615" i="2"/>
  <c r="S615" i="2"/>
  <c r="R615" i="2"/>
  <c r="J615" i="2"/>
  <c r="I615" i="2"/>
  <c r="H615" i="2"/>
  <c r="G615" i="2"/>
  <c r="F615" i="2"/>
  <c r="X615" i="2"/>
  <c r="U614" i="2"/>
  <c r="T614" i="2"/>
  <c r="S614" i="2"/>
  <c r="R614" i="2"/>
  <c r="J614" i="2"/>
  <c r="I614" i="2"/>
  <c r="H614" i="2"/>
  <c r="G614" i="2"/>
  <c r="F614" i="2"/>
  <c r="X614" i="2"/>
  <c r="U613" i="2"/>
  <c r="T613" i="2"/>
  <c r="S613" i="2"/>
  <c r="R613" i="2"/>
  <c r="J613" i="2"/>
  <c r="I613" i="2"/>
  <c r="H613" i="2"/>
  <c r="G613" i="2"/>
  <c r="F613" i="2"/>
  <c r="X613" i="2"/>
  <c r="U612" i="2"/>
  <c r="T612" i="2"/>
  <c r="S612" i="2"/>
  <c r="R612" i="2"/>
  <c r="J612" i="2"/>
  <c r="I612" i="2"/>
  <c r="H612" i="2"/>
  <c r="G612" i="2"/>
  <c r="F612" i="2"/>
  <c r="X612" i="2"/>
  <c r="U611" i="2"/>
  <c r="T611" i="2"/>
  <c r="S611" i="2"/>
  <c r="R611" i="2"/>
  <c r="J611" i="2"/>
  <c r="I611" i="2"/>
  <c r="H611" i="2"/>
  <c r="G611" i="2"/>
  <c r="F611" i="2"/>
  <c r="X611" i="2"/>
  <c r="U610" i="2"/>
  <c r="T610" i="2"/>
  <c r="S610" i="2"/>
  <c r="R610" i="2"/>
  <c r="J610" i="2"/>
  <c r="I610" i="2"/>
  <c r="H610" i="2"/>
  <c r="G610" i="2"/>
  <c r="F610" i="2"/>
  <c r="X610" i="2"/>
  <c r="U609" i="2"/>
  <c r="T609" i="2"/>
  <c r="S609" i="2"/>
  <c r="R609" i="2"/>
  <c r="J609" i="2"/>
  <c r="I609" i="2"/>
  <c r="H609" i="2"/>
  <c r="G609" i="2"/>
  <c r="F609" i="2"/>
  <c r="X609" i="2"/>
  <c r="U608" i="2"/>
  <c r="T608" i="2"/>
  <c r="S608" i="2"/>
  <c r="R608" i="2"/>
  <c r="J608" i="2"/>
  <c r="I608" i="2"/>
  <c r="H608" i="2"/>
  <c r="G608" i="2"/>
  <c r="F608" i="2"/>
  <c r="X608" i="2"/>
  <c r="U607" i="2"/>
  <c r="T607" i="2"/>
  <c r="S607" i="2"/>
  <c r="R607" i="2"/>
  <c r="J607" i="2"/>
  <c r="I607" i="2"/>
  <c r="H607" i="2"/>
  <c r="G607" i="2"/>
  <c r="F607" i="2"/>
  <c r="X607" i="2"/>
  <c r="U606" i="2"/>
  <c r="T606" i="2"/>
  <c r="S606" i="2"/>
  <c r="R606" i="2"/>
  <c r="J606" i="2"/>
  <c r="I606" i="2"/>
  <c r="H606" i="2"/>
  <c r="G606" i="2"/>
  <c r="F606" i="2"/>
  <c r="X606" i="2"/>
  <c r="U605" i="2"/>
  <c r="T605" i="2"/>
  <c r="S605" i="2"/>
  <c r="R605" i="2"/>
  <c r="J605" i="2"/>
  <c r="I605" i="2"/>
  <c r="H605" i="2"/>
  <c r="G605" i="2"/>
  <c r="F605" i="2"/>
  <c r="X605" i="2"/>
  <c r="U604" i="2"/>
  <c r="T604" i="2"/>
  <c r="S604" i="2"/>
  <c r="R604" i="2"/>
  <c r="J604" i="2"/>
  <c r="I604" i="2"/>
  <c r="H604" i="2"/>
  <c r="G604" i="2"/>
  <c r="F604" i="2"/>
  <c r="X604" i="2"/>
  <c r="U603" i="2"/>
  <c r="T603" i="2"/>
  <c r="S603" i="2"/>
  <c r="R603" i="2"/>
  <c r="J603" i="2"/>
  <c r="I603" i="2"/>
  <c r="H603" i="2"/>
  <c r="G603" i="2"/>
  <c r="F603" i="2"/>
  <c r="X603" i="2"/>
  <c r="U602" i="2"/>
  <c r="T602" i="2"/>
  <c r="S602" i="2"/>
  <c r="R602" i="2"/>
  <c r="J602" i="2"/>
  <c r="I602" i="2"/>
  <c r="H602" i="2"/>
  <c r="G602" i="2"/>
  <c r="F602" i="2"/>
  <c r="X602" i="2"/>
  <c r="U601" i="2"/>
  <c r="T601" i="2"/>
  <c r="S601" i="2"/>
  <c r="R601" i="2"/>
  <c r="J601" i="2"/>
  <c r="I601" i="2"/>
  <c r="H601" i="2"/>
  <c r="G601" i="2"/>
  <c r="F601" i="2"/>
  <c r="X601" i="2"/>
  <c r="U600" i="2"/>
  <c r="T600" i="2"/>
  <c r="S600" i="2"/>
  <c r="R600" i="2"/>
  <c r="J600" i="2"/>
  <c r="I600" i="2"/>
  <c r="H600" i="2"/>
  <c r="G600" i="2"/>
  <c r="F600" i="2"/>
  <c r="X600" i="2"/>
  <c r="U599" i="2"/>
  <c r="T599" i="2"/>
  <c r="S599" i="2"/>
  <c r="R599" i="2"/>
  <c r="J599" i="2"/>
  <c r="I599" i="2"/>
  <c r="H599" i="2"/>
  <c r="G599" i="2"/>
  <c r="F599" i="2"/>
  <c r="X599" i="2"/>
  <c r="U598" i="2"/>
  <c r="T598" i="2"/>
  <c r="S598" i="2"/>
  <c r="R598" i="2"/>
  <c r="J598" i="2"/>
  <c r="I598" i="2"/>
  <c r="H598" i="2"/>
  <c r="G598" i="2"/>
  <c r="F598" i="2"/>
  <c r="X598" i="2"/>
  <c r="U597" i="2"/>
  <c r="T597" i="2"/>
  <c r="S597" i="2"/>
  <c r="R597" i="2"/>
  <c r="J597" i="2"/>
  <c r="I597" i="2"/>
  <c r="H597" i="2"/>
  <c r="G597" i="2"/>
  <c r="F597" i="2"/>
  <c r="X597" i="2"/>
  <c r="U596" i="2"/>
  <c r="T596" i="2"/>
  <c r="S596" i="2"/>
  <c r="R596" i="2"/>
  <c r="J596" i="2"/>
  <c r="I596" i="2"/>
  <c r="H596" i="2"/>
  <c r="G596" i="2"/>
  <c r="F596" i="2"/>
  <c r="X596" i="2"/>
  <c r="U595" i="2"/>
  <c r="T595" i="2"/>
  <c r="S595" i="2"/>
  <c r="R595" i="2"/>
  <c r="J595" i="2"/>
  <c r="I595" i="2"/>
  <c r="H595" i="2"/>
  <c r="G595" i="2"/>
  <c r="F595" i="2"/>
  <c r="X595" i="2"/>
  <c r="U594" i="2"/>
  <c r="T594" i="2"/>
  <c r="S594" i="2"/>
  <c r="R594" i="2"/>
  <c r="J594" i="2"/>
  <c r="I594" i="2"/>
  <c r="H594" i="2"/>
  <c r="G594" i="2"/>
  <c r="F594" i="2"/>
  <c r="X594" i="2"/>
  <c r="U593" i="2"/>
  <c r="T593" i="2"/>
  <c r="S593" i="2"/>
  <c r="R593" i="2"/>
  <c r="J593" i="2"/>
  <c r="I593" i="2"/>
  <c r="H593" i="2"/>
  <c r="G593" i="2"/>
  <c r="F593" i="2"/>
  <c r="X593" i="2"/>
  <c r="U592" i="2"/>
  <c r="T592" i="2"/>
  <c r="S592" i="2"/>
  <c r="R592" i="2"/>
  <c r="J592" i="2"/>
  <c r="I592" i="2"/>
  <c r="H592" i="2"/>
  <c r="G592" i="2"/>
  <c r="F592" i="2"/>
  <c r="X592" i="2"/>
  <c r="U591" i="2"/>
  <c r="T591" i="2"/>
  <c r="S591" i="2"/>
  <c r="R591" i="2"/>
  <c r="J591" i="2"/>
  <c r="I591" i="2"/>
  <c r="H591" i="2"/>
  <c r="G591" i="2"/>
  <c r="F591" i="2"/>
  <c r="X591" i="2"/>
  <c r="U590" i="2"/>
  <c r="T590" i="2"/>
  <c r="S590" i="2"/>
  <c r="R590" i="2"/>
  <c r="J590" i="2"/>
  <c r="I590" i="2"/>
  <c r="H590" i="2"/>
  <c r="G590" i="2"/>
  <c r="F590" i="2"/>
  <c r="X590" i="2"/>
  <c r="U589" i="2"/>
  <c r="T589" i="2"/>
  <c r="S589" i="2"/>
  <c r="R589" i="2"/>
  <c r="J589" i="2"/>
  <c r="I589" i="2"/>
  <c r="H589" i="2"/>
  <c r="G589" i="2"/>
  <c r="F589" i="2"/>
  <c r="X589" i="2"/>
  <c r="U588" i="2"/>
  <c r="T588" i="2"/>
  <c r="S588" i="2"/>
  <c r="R588" i="2"/>
  <c r="J588" i="2"/>
  <c r="I588" i="2"/>
  <c r="H588" i="2"/>
  <c r="G588" i="2"/>
  <c r="F588" i="2"/>
  <c r="X588" i="2"/>
  <c r="U587" i="2"/>
  <c r="T587" i="2"/>
  <c r="S587" i="2"/>
  <c r="R587" i="2"/>
  <c r="J587" i="2"/>
  <c r="I587" i="2"/>
  <c r="H587" i="2"/>
  <c r="G587" i="2"/>
  <c r="F587" i="2"/>
  <c r="X587" i="2"/>
  <c r="U586" i="2"/>
  <c r="T586" i="2"/>
  <c r="S586" i="2"/>
  <c r="R586" i="2"/>
  <c r="J586" i="2"/>
  <c r="I586" i="2"/>
  <c r="H586" i="2"/>
  <c r="G586" i="2"/>
  <c r="F586" i="2"/>
  <c r="X586" i="2"/>
  <c r="U585" i="2"/>
  <c r="T585" i="2"/>
  <c r="S585" i="2"/>
  <c r="R585" i="2"/>
  <c r="J585" i="2"/>
  <c r="I585" i="2"/>
  <c r="H585" i="2"/>
  <c r="G585" i="2"/>
  <c r="F585" i="2"/>
  <c r="X585" i="2"/>
  <c r="U584" i="2"/>
  <c r="T584" i="2"/>
  <c r="S584" i="2"/>
  <c r="R584" i="2"/>
  <c r="J584" i="2"/>
  <c r="I584" i="2"/>
  <c r="H584" i="2"/>
  <c r="G584" i="2"/>
  <c r="F584" i="2"/>
  <c r="X584" i="2"/>
  <c r="U583" i="2"/>
  <c r="T583" i="2"/>
  <c r="S583" i="2"/>
  <c r="R583" i="2"/>
  <c r="J583" i="2"/>
  <c r="I583" i="2"/>
  <c r="H583" i="2"/>
  <c r="G583" i="2"/>
  <c r="F583" i="2"/>
  <c r="X583" i="2"/>
  <c r="U582" i="2"/>
  <c r="T582" i="2"/>
  <c r="S582" i="2"/>
  <c r="R582" i="2"/>
  <c r="J582" i="2"/>
  <c r="I582" i="2"/>
  <c r="H582" i="2"/>
  <c r="G582" i="2"/>
  <c r="F582" i="2"/>
  <c r="X582" i="2"/>
  <c r="U581" i="2"/>
  <c r="T581" i="2"/>
  <c r="S581" i="2"/>
  <c r="R581" i="2"/>
  <c r="J581" i="2"/>
  <c r="I581" i="2"/>
  <c r="H581" i="2"/>
  <c r="G581" i="2"/>
  <c r="F581" i="2"/>
  <c r="X581" i="2"/>
  <c r="U580" i="2"/>
  <c r="T580" i="2"/>
  <c r="S580" i="2"/>
  <c r="R580" i="2"/>
  <c r="J580" i="2"/>
  <c r="I580" i="2"/>
  <c r="H580" i="2"/>
  <c r="G580" i="2"/>
  <c r="F580" i="2"/>
  <c r="X580" i="2"/>
  <c r="U579" i="2"/>
  <c r="T579" i="2"/>
  <c r="S579" i="2"/>
  <c r="R579" i="2"/>
  <c r="J579" i="2"/>
  <c r="I579" i="2"/>
  <c r="H579" i="2"/>
  <c r="G579" i="2"/>
  <c r="F579" i="2"/>
  <c r="X579" i="2"/>
  <c r="U578" i="2"/>
  <c r="T578" i="2"/>
  <c r="S578" i="2"/>
  <c r="R578" i="2"/>
  <c r="J578" i="2"/>
  <c r="I578" i="2"/>
  <c r="H578" i="2"/>
  <c r="G578" i="2"/>
  <c r="F578" i="2"/>
  <c r="X578" i="2"/>
  <c r="U577" i="2"/>
  <c r="T577" i="2"/>
  <c r="S577" i="2"/>
  <c r="R577" i="2"/>
  <c r="J577" i="2"/>
  <c r="I577" i="2"/>
  <c r="H577" i="2"/>
  <c r="G577" i="2"/>
  <c r="F577" i="2"/>
  <c r="X577" i="2"/>
  <c r="U576" i="2"/>
  <c r="T576" i="2"/>
  <c r="S576" i="2"/>
  <c r="R576" i="2"/>
  <c r="J576" i="2"/>
  <c r="I576" i="2"/>
  <c r="H576" i="2"/>
  <c r="G576" i="2"/>
  <c r="F576" i="2"/>
  <c r="X576" i="2"/>
  <c r="U575" i="2"/>
  <c r="T575" i="2"/>
  <c r="S575" i="2"/>
  <c r="R575" i="2"/>
  <c r="J575" i="2"/>
  <c r="I575" i="2"/>
  <c r="H575" i="2"/>
  <c r="G575" i="2"/>
  <c r="F575" i="2"/>
  <c r="X575" i="2"/>
  <c r="U574" i="2"/>
  <c r="T574" i="2"/>
  <c r="S574" i="2"/>
  <c r="R574" i="2"/>
  <c r="J574" i="2"/>
  <c r="I574" i="2"/>
  <c r="H574" i="2"/>
  <c r="G574" i="2"/>
  <c r="F574" i="2"/>
  <c r="X574" i="2"/>
  <c r="U573" i="2"/>
  <c r="T573" i="2"/>
  <c r="S573" i="2"/>
  <c r="R573" i="2"/>
  <c r="J573" i="2"/>
  <c r="I573" i="2"/>
  <c r="H573" i="2"/>
  <c r="G573" i="2"/>
  <c r="F573" i="2"/>
  <c r="X573" i="2"/>
  <c r="U572" i="2"/>
  <c r="T572" i="2"/>
  <c r="S572" i="2"/>
  <c r="R572" i="2"/>
  <c r="J572" i="2"/>
  <c r="I572" i="2"/>
  <c r="H572" i="2"/>
  <c r="G572" i="2"/>
  <c r="F572" i="2"/>
  <c r="X572" i="2"/>
  <c r="U571" i="2"/>
  <c r="T571" i="2"/>
  <c r="S571" i="2"/>
  <c r="R571" i="2"/>
  <c r="J571" i="2"/>
  <c r="I571" i="2"/>
  <c r="H571" i="2"/>
  <c r="G571" i="2"/>
  <c r="F571" i="2"/>
  <c r="X571" i="2"/>
  <c r="U570" i="2"/>
  <c r="T570" i="2"/>
  <c r="S570" i="2"/>
  <c r="R570" i="2"/>
  <c r="J570" i="2"/>
  <c r="I570" i="2"/>
  <c r="H570" i="2"/>
  <c r="G570" i="2"/>
  <c r="F570" i="2"/>
  <c r="X570" i="2"/>
  <c r="U569" i="2"/>
  <c r="T569" i="2"/>
  <c r="S569" i="2"/>
  <c r="R569" i="2"/>
  <c r="J569" i="2"/>
  <c r="I569" i="2"/>
  <c r="H569" i="2"/>
  <c r="G569" i="2"/>
  <c r="F569" i="2"/>
  <c r="X569" i="2"/>
  <c r="U568" i="2"/>
  <c r="T568" i="2"/>
  <c r="S568" i="2"/>
  <c r="R568" i="2"/>
  <c r="J568" i="2"/>
  <c r="I568" i="2"/>
  <c r="H568" i="2"/>
  <c r="G568" i="2"/>
  <c r="F568" i="2"/>
  <c r="X568" i="2"/>
  <c r="U567" i="2"/>
  <c r="T567" i="2"/>
  <c r="S567" i="2"/>
  <c r="R567" i="2"/>
  <c r="J567" i="2"/>
  <c r="I567" i="2"/>
  <c r="H567" i="2"/>
  <c r="G567" i="2"/>
  <c r="F567" i="2"/>
  <c r="X567" i="2"/>
  <c r="U566" i="2"/>
  <c r="T566" i="2"/>
  <c r="S566" i="2"/>
  <c r="R566" i="2"/>
  <c r="J566" i="2"/>
  <c r="I566" i="2"/>
  <c r="H566" i="2"/>
  <c r="G566" i="2"/>
  <c r="F566" i="2"/>
  <c r="X566" i="2"/>
  <c r="U565" i="2"/>
  <c r="T565" i="2"/>
  <c r="S565" i="2"/>
  <c r="R565" i="2"/>
  <c r="J565" i="2"/>
  <c r="I565" i="2"/>
  <c r="H565" i="2"/>
  <c r="G565" i="2"/>
  <c r="F565" i="2"/>
  <c r="X565" i="2"/>
  <c r="U564" i="2"/>
  <c r="T564" i="2"/>
  <c r="S564" i="2"/>
  <c r="R564" i="2"/>
  <c r="J564" i="2"/>
  <c r="I564" i="2"/>
  <c r="H564" i="2"/>
  <c r="G564" i="2"/>
  <c r="F564" i="2"/>
  <c r="X564" i="2"/>
  <c r="U563" i="2"/>
  <c r="T563" i="2"/>
  <c r="S563" i="2"/>
  <c r="R563" i="2"/>
  <c r="J563" i="2"/>
  <c r="I563" i="2"/>
  <c r="H563" i="2"/>
  <c r="G563" i="2"/>
  <c r="F563" i="2"/>
  <c r="X563" i="2"/>
  <c r="U562" i="2"/>
  <c r="T562" i="2"/>
  <c r="S562" i="2"/>
  <c r="R562" i="2"/>
  <c r="J562" i="2"/>
  <c r="I562" i="2"/>
  <c r="H562" i="2"/>
  <c r="G562" i="2"/>
  <c r="F562" i="2"/>
  <c r="X562" i="2"/>
  <c r="U561" i="2"/>
  <c r="T561" i="2"/>
  <c r="S561" i="2"/>
  <c r="R561" i="2"/>
  <c r="J561" i="2"/>
  <c r="I561" i="2"/>
  <c r="H561" i="2"/>
  <c r="G561" i="2"/>
  <c r="F561" i="2"/>
  <c r="X561" i="2"/>
  <c r="U560" i="2"/>
  <c r="T560" i="2"/>
  <c r="S560" i="2"/>
  <c r="R560" i="2"/>
  <c r="J560" i="2"/>
  <c r="I560" i="2"/>
  <c r="H560" i="2"/>
  <c r="G560" i="2"/>
  <c r="F560" i="2"/>
  <c r="X560" i="2"/>
  <c r="U559" i="2"/>
  <c r="T559" i="2"/>
  <c r="S559" i="2"/>
  <c r="R559" i="2"/>
  <c r="J559" i="2"/>
  <c r="I559" i="2"/>
  <c r="H559" i="2"/>
  <c r="G559" i="2"/>
  <c r="F559" i="2"/>
  <c r="X559" i="2"/>
  <c r="U558" i="2"/>
  <c r="T558" i="2"/>
  <c r="S558" i="2"/>
  <c r="R558" i="2"/>
  <c r="J558" i="2"/>
  <c r="I558" i="2"/>
  <c r="H558" i="2"/>
  <c r="G558" i="2"/>
  <c r="F558" i="2"/>
  <c r="X558" i="2"/>
  <c r="U557" i="2"/>
  <c r="T557" i="2"/>
  <c r="S557" i="2"/>
  <c r="R557" i="2"/>
  <c r="J557" i="2"/>
  <c r="I557" i="2"/>
  <c r="H557" i="2"/>
  <c r="G557" i="2"/>
  <c r="F557" i="2"/>
  <c r="X557" i="2"/>
  <c r="U556" i="2"/>
  <c r="T556" i="2"/>
  <c r="S556" i="2"/>
  <c r="R556" i="2"/>
  <c r="J556" i="2"/>
  <c r="I556" i="2"/>
  <c r="H556" i="2"/>
  <c r="G556" i="2"/>
  <c r="F556" i="2"/>
  <c r="X556" i="2"/>
  <c r="U555" i="2"/>
  <c r="T555" i="2"/>
  <c r="S555" i="2"/>
  <c r="R555" i="2"/>
  <c r="J555" i="2"/>
  <c r="I555" i="2"/>
  <c r="H555" i="2"/>
  <c r="G555" i="2"/>
  <c r="F555" i="2"/>
  <c r="X555" i="2"/>
  <c r="U554" i="2"/>
  <c r="T554" i="2"/>
  <c r="S554" i="2"/>
  <c r="R554" i="2"/>
  <c r="J554" i="2"/>
  <c r="I554" i="2"/>
  <c r="H554" i="2"/>
  <c r="G554" i="2"/>
  <c r="F554" i="2"/>
  <c r="X554" i="2"/>
  <c r="U553" i="2"/>
  <c r="T553" i="2"/>
  <c r="S553" i="2"/>
  <c r="R553" i="2"/>
  <c r="J553" i="2"/>
  <c r="I553" i="2"/>
  <c r="H553" i="2"/>
  <c r="G553" i="2"/>
  <c r="F553" i="2"/>
  <c r="X553" i="2"/>
  <c r="U552" i="2"/>
  <c r="T552" i="2"/>
  <c r="S552" i="2"/>
  <c r="R552" i="2"/>
  <c r="J552" i="2"/>
  <c r="I552" i="2"/>
  <c r="H552" i="2"/>
  <c r="G552" i="2"/>
  <c r="F552" i="2"/>
  <c r="X552" i="2"/>
  <c r="U551" i="2"/>
  <c r="T551" i="2"/>
  <c r="S551" i="2"/>
  <c r="R551" i="2"/>
  <c r="J551" i="2"/>
  <c r="I551" i="2"/>
  <c r="H551" i="2"/>
  <c r="G551" i="2"/>
  <c r="F551" i="2"/>
  <c r="X551" i="2"/>
  <c r="U550" i="2"/>
  <c r="T550" i="2"/>
  <c r="S550" i="2"/>
  <c r="R550" i="2"/>
  <c r="J550" i="2"/>
  <c r="I550" i="2"/>
  <c r="H550" i="2"/>
  <c r="G550" i="2"/>
  <c r="F550" i="2"/>
  <c r="X550" i="2"/>
  <c r="U549" i="2"/>
  <c r="T549" i="2"/>
  <c r="S549" i="2"/>
  <c r="R549" i="2"/>
  <c r="J549" i="2"/>
  <c r="I549" i="2"/>
  <c r="H549" i="2"/>
  <c r="G549" i="2"/>
  <c r="F549" i="2"/>
  <c r="X549" i="2"/>
  <c r="U548" i="2"/>
  <c r="T548" i="2"/>
  <c r="S548" i="2"/>
  <c r="R548" i="2"/>
  <c r="J548" i="2"/>
  <c r="I548" i="2"/>
  <c r="H548" i="2"/>
  <c r="G548" i="2"/>
  <c r="F548" i="2"/>
  <c r="X548" i="2"/>
  <c r="U547" i="2"/>
  <c r="T547" i="2"/>
  <c r="S547" i="2"/>
  <c r="R547" i="2"/>
  <c r="J547" i="2"/>
  <c r="I547" i="2"/>
  <c r="H547" i="2"/>
  <c r="G547" i="2"/>
  <c r="F547" i="2"/>
  <c r="X547" i="2"/>
  <c r="U546" i="2"/>
  <c r="T546" i="2"/>
  <c r="S546" i="2"/>
  <c r="R546" i="2"/>
  <c r="J546" i="2"/>
  <c r="I546" i="2"/>
  <c r="H546" i="2"/>
  <c r="G546" i="2"/>
  <c r="F546" i="2"/>
  <c r="X546" i="2"/>
  <c r="U545" i="2"/>
  <c r="T545" i="2"/>
  <c r="S545" i="2"/>
  <c r="R545" i="2"/>
  <c r="J545" i="2"/>
  <c r="I545" i="2"/>
  <c r="H545" i="2"/>
  <c r="G545" i="2"/>
  <c r="F545" i="2"/>
  <c r="X545" i="2"/>
  <c r="U544" i="2"/>
  <c r="T544" i="2"/>
  <c r="S544" i="2"/>
  <c r="R544" i="2"/>
  <c r="J544" i="2"/>
  <c r="I544" i="2"/>
  <c r="H544" i="2"/>
  <c r="G544" i="2"/>
  <c r="F544" i="2"/>
  <c r="X544" i="2"/>
  <c r="U543" i="2"/>
  <c r="T543" i="2"/>
  <c r="S543" i="2"/>
  <c r="R543" i="2"/>
  <c r="J543" i="2"/>
  <c r="I543" i="2"/>
  <c r="H543" i="2"/>
  <c r="G543" i="2"/>
  <c r="F543" i="2"/>
  <c r="X543" i="2"/>
  <c r="U542" i="2"/>
  <c r="T542" i="2"/>
  <c r="S542" i="2"/>
  <c r="R542" i="2"/>
  <c r="J542" i="2"/>
  <c r="I542" i="2"/>
  <c r="H542" i="2"/>
  <c r="G542" i="2"/>
  <c r="F542" i="2"/>
  <c r="X542" i="2"/>
  <c r="U541" i="2"/>
  <c r="T541" i="2"/>
  <c r="S541" i="2"/>
  <c r="R541" i="2"/>
  <c r="J541" i="2"/>
  <c r="I541" i="2"/>
  <c r="H541" i="2"/>
  <c r="G541" i="2"/>
  <c r="F541" i="2"/>
  <c r="X541" i="2"/>
  <c r="U540" i="2"/>
  <c r="T540" i="2"/>
  <c r="S540" i="2"/>
  <c r="R540" i="2"/>
  <c r="J540" i="2"/>
  <c r="I540" i="2"/>
  <c r="H540" i="2"/>
  <c r="G540" i="2"/>
  <c r="F540" i="2"/>
  <c r="X540" i="2"/>
  <c r="U539" i="2"/>
  <c r="T539" i="2"/>
  <c r="S539" i="2"/>
  <c r="R539" i="2"/>
  <c r="J539" i="2"/>
  <c r="I539" i="2"/>
  <c r="H539" i="2"/>
  <c r="G539" i="2"/>
  <c r="F539" i="2"/>
  <c r="X539" i="2"/>
  <c r="U538" i="2"/>
  <c r="T538" i="2"/>
  <c r="S538" i="2"/>
  <c r="R538" i="2"/>
  <c r="J538" i="2"/>
  <c r="I538" i="2"/>
  <c r="H538" i="2"/>
  <c r="G538" i="2"/>
  <c r="F538" i="2"/>
  <c r="X538" i="2"/>
  <c r="U537" i="2"/>
  <c r="T537" i="2"/>
  <c r="S537" i="2"/>
  <c r="R537" i="2"/>
  <c r="J537" i="2"/>
  <c r="I537" i="2"/>
  <c r="H537" i="2"/>
  <c r="G537" i="2"/>
  <c r="F537" i="2"/>
  <c r="X537" i="2"/>
  <c r="U536" i="2"/>
  <c r="T536" i="2"/>
  <c r="S536" i="2"/>
  <c r="R536" i="2"/>
  <c r="J536" i="2"/>
  <c r="I536" i="2"/>
  <c r="H536" i="2"/>
  <c r="G536" i="2"/>
  <c r="F536" i="2"/>
  <c r="X536" i="2"/>
  <c r="U535" i="2"/>
  <c r="T535" i="2"/>
  <c r="S535" i="2"/>
  <c r="R535" i="2"/>
  <c r="J535" i="2"/>
  <c r="I535" i="2"/>
  <c r="H535" i="2"/>
  <c r="G535" i="2"/>
  <c r="F535" i="2"/>
  <c r="X535" i="2"/>
  <c r="U534" i="2"/>
  <c r="T534" i="2"/>
  <c r="S534" i="2"/>
  <c r="R534" i="2"/>
  <c r="J534" i="2"/>
  <c r="I534" i="2"/>
  <c r="H534" i="2"/>
  <c r="G534" i="2"/>
  <c r="F534" i="2"/>
  <c r="X534" i="2"/>
  <c r="U533" i="2"/>
  <c r="T533" i="2"/>
  <c r="S533" i="2"/>
  <c r="R533" i="2"/>
  <c r="J533" i="2"/>
  <c r="I533" i="2"/>
  <c r="H533" i="2"/>
  <c r="G533" i="2"/>
  <c r="F533" i="2"/>
  <c r="X533" i="2"/>
  <c r="U532" i="2"/>
  <c r="T532" i="2"/>
  <c r="S532" i="2"/>
  <c r="R532" i="2"/>
  <c r="J532" i="2"/>
  <c r="I532" i="2"/>
  <c r="H532" i="2"/>
  <c r="G532" i="2"/>
  <c r="F532" i="2"/>
  <c r="X532" i="2"/>
  <c r="U531" i="2"/>
  <c r="T531" i="2"/>
  <c r="S531" i="2"/>
  <c r="R531" i="2"/>
  <c r="J531" i="2"/>
  <c r="I531" i="2"/>
  <c r="H531" i="2"/>
  <c r="G531" i="2"/>
  <c r="F531" i="2"/>
  <c r="X531" i="2"/>
  <c r="U530" i="2"/>
  <c r="T530" i="2"/>
  <c r="S530" i="2"/>
  <c r="R530" i="2"/>
  <c r="J530" i="2"/>
  <c r="I530" i="2"/>
  <c r="H530" i="2"/>
  <c r="G530" i="2"/>
  <c r="F530" i="2"/>
  <c r="X530" i="2"/>
  <c r="U529" i="2"/>
  <c r="T529" i="2"/>
  <c r="S529" i="2"/>
  <c r="R529" i="2"/>
  <c r="J529" i="2"/>
  <c r="I529" i="2"/>
  <c r="H529" i="2"/>
  <c r="G529" i="2"/>
  <c r="F529" i="2"/>
  <c r="X529" i="2"/>
  <c r="U528" i="2"/>
  <c r="T528" i="2"/>
  <c r="S528" i="2"/>
  <c r="R528" i="2"/>
  <c r="J528" i="2"/>
  <c r="I528" i="2"/>
  <c r="H528" i="2"/>
  <c r="G528" i="2"/>
  <c r="F528" i="2"/>
  <c r="X528" i="2"/>
  <c r="U527" i="2"/>
  <c r="T527" i="2"/>
  <c r="S527" i="2"/>
  <c r="R527" i="2"/>
  <c r="J527" i="2"/>
  <c r="I527" i="2"/>
  <c r="H527" i="2"/>
  <c r="G527" i="2"/>
  <c r="F527" i="2"/>
  <c r="X527" i="2"/>
  <c r="U526" i="2"/>
  <c r="T526" i="2"/>
  <c r="S526" i="2"/>
  <c r="R526" i="2"/>
  <c r="J526" i="2"/>
  <c r="I526" i="2"/>
  <c r="H526" i="2"/>
  <c r="G526" i="2"/>
  <c r="F526" i="2"/>
  <c r="X526" i="2"/>
  <c r="U525" i="2"/>
  <c r="T525" i="2"/>
  <c r="S525" i="2"/>
  <c r="R525" i="2"/>
  <c r="J525" i="2"/>
  <c r="I525" i="2"/>
  <c r="H525" i="2"/>
  <c r="G525" i="2"/>
  <c r="F525" i="2"/>
  <c r="X525" i="2"/>
  <c r="U524" i="2"/>
  <c r="T524" i="2"/>
  <c r="S524" i="2"/>
  <c r="R524" i="2"/>
  <c r="J524" i="2"/>
  <c r="I524" i="2"/>
  <c r="H524" i="2"/>
  <c r="G524" i="2"/>
  <c r="F524" i="2"/>
  <c r="X524" i="2"/>
  <c r="U523" i="2"/>
  <c r="T523" i="2"/>
  <c r="S523" i="2"/>
  <c r="R523" i="2"/>
  <c r="J523" i="2"/>
  <c r="I523" i="2"/>
  <c r="H523" i="2"/>
  <c r="G523" i="2"/>
  <c r="F523" i="2"/>
  <c r="X523" i="2"/>
  <c r="U522" i="2"/>
  <c r="T522" i="2"/>
  <c r="S522" i="2"/>
  <c r="R522" i="2"/>
  <c r="J522" i="2"/>
  <c r="I522" i="2"/>
  <c r="H522" i="2"/>
  <c r="G522" i="2"/>
  <c r="F522" i="2"/>
  <c r="X522" i="2"/>
  <c r="U521" i="2"/>
  <c r="T521" i="2"/>
  <c r="S521" i="2"/>
  <c r="R521" i="2"/>
  <c r="J521" i="2"/>
  <c r="I521" i="2"/>
  <c r="H521" i="2"/>
  <c r="G521" i="2"/>
  <c r="F521" i="2"/>
  <c r="X521" i="2"/>
  <c r="U520" i="2"/>
  <c r="T520" i="2"/>
  <c r="S520" i="2"/>
  <c r="R520" i="2"/>
  <c r="J520" i="2"/>
  <c r="I520" i="2"/>
  <c r="H520" i="2"/>
  <c r="G520" i="2"/>
  <c r="F520" i="2"/>
  <c r="X520" i="2"/>
  <c r="U519" i="2"/>
  <c r="T519" i="2"/>
  <c r="S519" i="2"/>
  <c r="R519" i="2"/>
  <c r="J519" i="2"/>
  <c r="I519" i="2"/>
  <c r="H519" i="2"/>
  <c r="G519" i="2"/>
  <c r="F519" i="2"/>
  <c r="X519" i="2"/>
  <c r="U518" i="2"/>
  <c r="T518" i="2"/>
  <c r="S518" i="2"/>
  <c r="R518" i="2"/>
  <c r="J518" i="2"/>
  <c r="I518" i="2"/>
  <c r="H518" i="2"/>
  <c r="G518" i="2"/>
  <c r="F518" i="2"/>
  <c r="X518" i="2"/>
  <c r="U517" i="2"/>
  <c r="T517" i="2"/>
  <c r="S517" i="2"/>
  <c r="R517" i="2"/>
  <c r="J517" i="2"/>
  <c r="I517" i="2"/>
  <c r="H517" i="2"/>
  <c r="G517" i="2"/>
  <c r="F517" i="2"/>
  <c r="X517" i="2"/>
  <c r="U516" i="2"/>
  <c r="T516" i="2"/>
  <c r="S516" i="2"/>
  <c r="R516" i="2"/>
  <c r="J516" i="2"/>
  <c r="I516" i="2"/>
  <c r="H516" i="2"/>
  <c r="G516" i="2"/>
  <c r="F516" i="2"/>
  <c r="X516" i="2"/>
  <c r="U515" i="2"/>
  <c r="T515" i="2"/>
  <c r="S515" i="2"/>
  <c r="R515" i="2"/>
  <c r="J515" i="2"/>
  <c r="I515" i="2"/>
  <c r="H515" i="2"/>
  <c r="G515" i="2"/>
  <c r="F515" i="2"/>
  <c r="X515" i="2"/>
  <c r="U514" i="2"/>
  <c r="T514" i="2"/>
  <c r="S514" i="2"/>
  <c r="R514" i="2"/>
  <c r="J514" i="2"/>
  <c r="I514" i="2"/>
  <c r="H514" i="2"/>
  <c r="G514" i="2"/>
  <c r="F514" i="2"/>
  <c r="X514" i="2"/>
  <c r="U513" i="2"/>
  <c r="T513" i="2"/>
  <c r="S513" i="2"/>
  <c r="R513" i="2"/>
  <c r="J513" i="2"/>
  <c r="I513" i="2"/>
  <c r="H513" i="2"/>
  <c r="G513" i="2"/>
  <c r="F513" i="2"/>
  <c r="X513" i="2"/>
  <c r="U512" i="2"/>
  <c r="T512" i="2"/>
  <c r="S512" i="2"/>
  <c r="R512" i="2"/>
  <c r="J512" i="2"/>
  <c r="I512" i="2"/>
  <c r="H512" i="2"/>
  <c r="G512" i="2"/>
  <c r="F512" i="2"/>
  <c r="X512" i="2"/>
  <c r="U511" i="2"/>
  <c r="T511" i="2"/>
  <c r="S511" i="2"/>
  <c r="R511" i="2"/>
  <c r="J511" i="2"/>
  <c r="I511" i="2"/>
  <c r="H511" i="2"/>
  <c r="G511" i="2"/>
  <c r="F511" i="2"/>
  <c r="X511" i="2"/>
  <c r="U510" i="2"/>
  <c r="T510" i="2"/>
  <c r="S510" i="2"/>
  <c r="R510" i="2"/>
  <c r="J510" i="2"/>
  <c r="I510" i="2"/>
  <c r="H510" i="2"/>
  <c r="G510" i="2"/>
  <c r="F510" i="2"/>
  <c r="X510" i="2"/>
  <c r="U509" i="2"/>
  <c r="T509" i="2"/>
  <c r="S509" i="2"/>
  <c r="R509" i="2"/>
  <c r="J509" i="2"/>
  <c r="I509" i="2"/>
  <c r="H509" i="2"/>
  <c r="G509" i="2"/>
  <c r="F509" i="2"/>
  <c r="X509" i="2"/>
  <c r="U508" i="2"/>
  <c r="T508" i="2"/>
  <c r="S508" i="2"/>
  <c r="R508" i="2"/>
  <c r="J508" i="2"/>
  <c r="I508" i="2"/>
  <c r="H508" i="2"/>
  <c r="G508" i="2"/>
  <c r="F508" i="2"/>
  <c r="X508" i="2"/>
  <c r="U507" i="2"/>
  <c r="T507" i="2"/>
  <c r="S507" i="2"/>
  <c r="R507" i="2"/>
  <c r="J507" i="2"/>
  <c r="I507" i="2"/>
  <c r="H507" i="2"/>
  <c r="G507" i="2"/>
  <c r="F507" i="2"/>
  <c r="X507" i="2"/>
  <c r="U506" i="2"/>
  <c r="T506" i="2"/>
  <c r="S506" i="2"/>
  <c r="R506" i="2"/>
  <c r="J506" i="2"/>
  <c r="I506" i="2"/>
  <c r="H506" i="2"/>
  <c r="G506" i="2"/>
  <c r="F506" i="2"/>
  <c r="X506" i="2"/>
  <c r="U505" i="2"/>
  <c r="T505" i="2"/>
  <c r="S505" i="2"/>
  <c r="R505" i="2"/>
  <c r="J505" i="2"/>
  <c r="I505" i="2"/>
  <c r="H505" i="2"/>
  <c r="G505" i="2"/>
  <c r="F505" i="2"/>
  <c r="X505" i="2"/>
  <c r="U504" i="2"/>
  <c r="T504" i="2"/>
  <c r="S504" i="2"/>
  <c r="R504" i="2"/>
  <c r="J504" i="2"/>
  <c r="I504" i="2"/>
  <c r="H504" i="2"/>
  <c r="G504" i="2"/>
  <c r="F504" i="2"/>
  <c r="X504" i="2"/>
  <c r="U503" i="2"/>
  <c r="T503" i="2"/>
  <c r="S503" i="2"/>
  <c r="R503" i="2"/>
  <c r="J503" i="2"/>
  <c r="I503" i="2"/>
  <c r="H503" i="2"/>
  <c r="G503" i="2"/>
  <c r="F503" i="2"/>
  <c r="X503" i="2"/>
  <c r="U502" i="2"/>
  <c r="T502" i="2"/>
  <c r="S502" i="2"/>
  <c r="R502" i="2"/>
  <c r="J502" i="2"/>
  <c r="I502" i="2"/>
  <c r="H502" i="2"/>
  <c r="G502" i="2"/>
  <c r="F502" i="2"/>
  <c r="X502" i="2"/>
  <c r="U501" i="2"/>
  <c r="T501" i="2"/>
  <c r="S501" i="2"/>
  <c r="R501" i="2"/>
  <c r="J501" i="2"/>
  <c r="I501" i="2"/>
  <c r="H501" i="2"/>
  <c r="G501" i="2"/>
  <c r="F501" i="2"/>
  <c r="X501" i="2"/>
  <c r="U500" i="2"/>
  <c r="T500" i="2"/>
  <c r="S500" i="2"/>
  <c r="R500" i="2"/>
  <c r="J500" i="2"/>
  <c r="I500" i="2"/>
  <c r="H500" i="2"/>
  <c r="G500" i="2"/>
  <c r="F500" i="2"/>
  <c r="X500" i="2"/>
  <c r="U499" i="2"/>
  <c r="T499" i="2"/>
  <c r="S499" i="2"/>
  <c r="R499" i="2"/>
  <c r="J499" i="2"/>
  <c r="I499" i="2"/>
  <c r="H499" i="2"/>
  <c r="G499" i="2"/>
  <c r="F499" i="2"/>
  <c r="X499" i="2"/>
  <c r="U498" i="2"/>
  <c r="T498" i="2"/>
  <c r="S498" i="2"/>
  <c r="R498" i="2"/>
  <c r="J498" i="2"/>
  <c r="I498" i="2"/>
  <c r="H498" i="2"/>
  <c r="G498" i="2"/>
  <c r="F498" i="2"/>
  <c r="X498" i="2"/>
  <c r="U497" i="2"/>
  <c r="T497" i="2"/>
  <c r="S497" i="2"/>
  <c r="R497" i="2"/>
  <c r="J497" i="2"/>
  <c r="I497" i="2"/>
  <c r="H497" i="2"/>
  <c r="G497" i="2"/>
  <c r="F497" i="2"/>
  <c r="X497" i="2"/>
  <c r="U496" i="2"/>
  <c r="T496" i="2"/>
  <c r="S496" i="2"/>
  <c r="R496" i="2"/>
  <c r="J496" i="2"/>
  <c r="I496" i="2"/>
  <c r="H496" i="2"/>
  <c r="G496" i="2"/>
  <c r="F496" i="2"/>
  <c r="X496" i="2"/>
  <c r="U495" i="2"/>
  <c r="T495" i="2"/>
  <c r="S495" i="2"/>
  <c r="R495" i="2"/>
  <c r="J495" i="2"/>
  <c r="I495" i="2"/>
  <c r="H495" i="2"/>
  <c r="G495" i="2"/>
  <c r="F495" i="2"/>
  <c r="X495" i="2"/>
  <c r="U494" i="2"/>
  <c r="T494" i="2"/>
  <c r="S494" i="2"/>
  <c r="R494" i="2"/>
  <c r="J494" i="2"/>
  <c r="I494" i="2"/>
  <c r="H494" i="2"/>
  <c r="G494" i="2"/>
  <c r="F494" i="2"/>
  <c r="X494" i="2"/>
  <c r="U493" i="2"/>
  <c r="T493" i="2"/>
  <c r="S493" i="2"/>
  <c r="R493" i="2"/>
  <c r="J493" i="2"/>
  <c r="I493" i="2"/>
  <c r="H493" i="2"/>
  <c r="G493" i="2"/>
  <c r="F493" i="2"/>
  <c r="X493" i="2"/>
  <c r="U492" i="2"/>
  <c r="T492" i="2"/>
  <c r="S492" i="2"/>
  <c r="R492" i="2"/>
  <c r="J492" i="2"/>
  <c r="I492" i="2"/>
  <c r="H492" i="2"/>
  <c r="G492" i="2"/>
  <c r="F492" i="2"/>
  <c r="X492" i="2"/>
  <c r="U491" i="2"/>
  <c r="T491" i="2"/>
  <c r="S491" i="2"/>
  <c r="R491" i="2"/>
  <c r="J491" i="2"/>
  <c r="I491" i="2"/>
  <c r="H491" i="2"/>
  <c r="G491" i="2"/>
  <c r="F491" i="2"/>
  <c r="X491" i="2"/>
  <c r="U490" i="2"/>
  <c r="T490" i="2"/>
  <c r="S490" i="2"/>
  <c r="R490" i="2"/>
  <c r="J490" i="2"/>
  <c r="I490" i="2"/>
  <c r="H490" i="2"/>
  <c r="G490" i="2"/>
  <c r="F490" i="2"/>
  <c r="X490" i="2"/>
  <c r="U489" i="2"/>
  <c r="T489" i="2"/>
  <c r="S489" i="2"/>
  <c r="R489" i="2"/>
  <c r="J489" i="2"/>
  <c r="I489" i="2"/>
  <c r="H489" i="2"/>
  <c r="G489" i="2"/>
  <c r="F489" i="2"/>
  <c r="X489" i="2"/>
  <c r="U488" i="2"/>
  <c r="T488" i="2"/>
  <c r="S488" i="2"/>
  <c r="R488" i="2"/>
  <c r="J488" i="2"/>
  <c r="I488" i="2"/>
  <c r="H488" i="2"/>
  <c r="G488" i="2"/>
  <c r="F488" i="2"/>
  <c r="X488" i="2"/>
  <c r="U487" i="2"/>
  <c r="T487" i="2"/>
  <c r="S487" i="2"/>
  <c r="R487" i="2"/>
  <c r="J487" i="2"/>
  <c r="I487" i="2"/>
  <c r="H487" i="2"/>
  <c r="G487" i="2"/>
  <c r="F487" i="2"/>
  <c r="X487" i="2"/>
  <c r="U486" i="2"/>
  <c r="T486" i="2"/>
  <c r="S486" i="2"/>
  <c r="R486" i="2"/>
  <c r="J486" i="2"/>
  <c r="I486" i="2"/>
  <c r="H486" i="2"/>
  <c r="G486" i="2"/>
  <c r="F486" i="2"/>
  <c r="X486" i="2"/>
  <c r="U485" i="2"/>
  <c r="T485" i="2"/>
  <c r="S485" i="2"/>
  <c r="R485" i="2"/>
  <c r="J485" i="2"/>
  <c r="I485" i="2"/>
  <c r="H485" i="2"/>
  <c r="G485" i="2"/>
  <c r="F485" i="2"/>
  <c r="X485" i="2"/>
  <c r="U484" i="2"/>
  <c r="T484" i="2"/>
  <c r="S484" i="2"/>
  <c r="R484" i="2"/>
  <c r="J484" i="2"/>
  <c r="I484" i="2"/>
  <c r="H484" i="2"/>
  <c r="G484" i="2"/>
  <c r="F484" i="2"/>
  <c r="X484" i="2"/>
  <c r="U483" i="2"/>
  <c r="T483" i="2"/>
  <c r="S483" i="2"/>
  <c r="R483" i="2"/>
  <c r="J483" i="2"/>
  <c r="I483" i="2"/>
  <c r="H483" i="2"/>
  <c r="G483" i="2"/>
  <c r="F483" i="2"/>
  <c r="X483" i="2"/>
  <c r="U482" i="2"/>
  <c r="T482" i="2"/>
  <c r="S482" i="2"/>
  <c r="R482" i="2"/>
  <c r="J482" i="2"/>
  <c r="I482" i="2"/>
  <c r="H482" i="2"/>
  <c r="G482" i="2"/>
  <c r="F482" i="2"/>
  <c r="X482" i="2"/>
  <c r="U481" i="2"/>
  <c r="T481" i="2"/>
  <c r="S481" i="2"/>
  <c r="R481" i="2"/>
  <c r="J481" i="2"/>
  <c r="I481" i="2"/>
  <c r="H481" i="2"/>
  <c r="G481" i="2"/>
  <c r="F481" i="2"/>
  <c r="X481" i="2"/>
  <c r="U480" i="2"/>
  <c r="T480" i="2"/>
  <c r="S480" i="2"/>
  <c r="R480" i="2"/>
  <c r="J480" i="2"/>
  <c r="I480" i="2"/>
  <c r="H480" i="2"/>
  <c r="G480" i="2"/>
  <c r="F480" i="2"/>
  <c r="X480" i="2"/>
  <c r="U479" i="2"/>
  <c r="T479" i="2"/>
  <c r="S479" i="2"/>
  <c r="R479" i="2"/>
  <c r="J479" i="2"/>
  <c r="I479" i="2"/>
  <c r="H479" i="2"/>
  <c r="G479" i="2"/>
  <c r="F479" i="2"/>
  <c r="X479" i="2"/>
  <c r="U478" i="2"/>
  <c r="T478" i="2"/>
  <c r="S478" i="2"/>
  <c r="R478" i="2"/>
  <c r="J478" i="2"/>
  <c r="I478" i="2"/>
  <c r="H478" i="2"/>
  <c r="G478" i="2"/>
  <c r="F478" i="2"/>
  <c r="X478" i="2"/>
  <c r="U477" i="2"/>
  <c r="T477" i="2"/>
  <c r="S477" i="2"/>
  <c r="R477" i="2"/>
  <c r="J477" i="2"/>
  <c r="I477" i="2"/>
  <c r="H477" i="2"/>
  <c r="G477" i="2"/>
  <c r="F477" i="2"/>
  <c r="X477" i="2"/>
  <c r="U476" i="2"/>
  <c r="T476" i="2"/>
  <c r="S476" i="2"/>
  <c r="R476" i="2"/>
  <c r="J476" i="2"/>
  <c r="I476" i="2"/>
  <c r="H476" i="2"/>
  <c r="G476" i="2"/>
  <c r="F476" i="2"/>
  <c r="X476" i="2"/>
  <c r="U475" i="2"/>
  <c r="T475" i="2"/>
  <c r="S475" i="2"/>
  <c r="R475" i="2"/>
  <c r="J475" i="2"/>
  <c r="I475" i="2"/>
  <c r="H475" i="2"/>
  <c r="G475" i="2"/>
  <c r="F475" i="2"/>
  <c r="X475" i="2"/>
  <c r="U474" i="2"/>
  <c r="T474" i="2"/>
  <c r="S474" i="2"/>
  <c r="R474" i="2"/>
  <c r="J474" i="2"/>
  <c r="I474" i="2"/>
  <c r="H474" i="2"/>
  <c r="G474" i="2"/>
  <c r="F474" i="2"/>
  <c r="X474" i="2"/>
  <c r="U473" i="2"/>
  <c r="T473" i="2"/>
  <c r="S473" i="2"/>
  <c r="R473" i="2"/>
  <c r="J473" i="2"/>
  <c r="I473" i="2"/>
  <c r="H473" i="2"/>
  <c r="G473" i="2"/>
  <c r="F473" i="2"/>
  <c r="X473" i="2"/>
  <c r="U472" i="2"/>
  <c r="T472" i="2"/>
  <c r="S472" i="2"/>
  <c r="R472" i="2"/>
  <c r="J472" i="2"/>
  <c r="I472" i="2"/>
  <c r="H472" i="2"/>
  <c r="G472" i="2"/>
  <c r="F472" i="2"/>
  <c r="X472" i="2"/>
  <c r="U471" i="2"/>
  <c r="T471" i="2"/>
  <c r="S471" i="2"/>
  <c r="R471" i="2"/>
  <c r="J471" i="2"/>
  <c r="I471" i="2"/>
  <c r="H471" i="2"/>
  <c r="G471" i="2"/>
  <c r="F471" i="2"/>
  <c r="X471" i="2"/>
  <c r="U470" i="2"/>
  <c r="T470" i="2"/>
  <c r="S470" i="2"/>
  <c r="R470" i="2"/>
  <c r="J470" i="2"/>
  <c r="I470" i="2"/>
  <c r="H470" i="2"/>
  <c r="G470" i="2"/>
  <c r="F470" i="2"/>
  <c r="X470" i="2"/>
  <c r="U469" i="2"/>
  <c r="T469" i="2"/>
  <c r="S469" i="2"/>
  <c r="R469" i="2"/>
  <c r="J469" i="2"/>
  <c r="I469" i="2"/>
  <c r="H469" i="2"/>
  <c r="G469" i="2"/>
  <c r="F469" i="2"/>
  <c r="X469" i="2"/>
  <c r="U468" i="2"/>
  <c r="T468" i="2"/>
  <c r="S468" i="2"/>
  <c r="R468" i="2"/>
  <c r="J468" i="2"/>
  <c r="I468" i="2"/>
  <c r="H468" i="2"/>
  <c r="G468" i="2"/>
  <c r="F468" i="2"/>
  <c r="X468" i="2"/>
  <c r="U467" i="2"/>
  <c r="T467" i="2"/>
  <c r="S467" i="2"/>
  <c r="R467" i="2"/>
  <c r="J467" i="2"/>
  <c r="I467" i="2"/>
  <c r="H467" i="2"/>
  <c r="G467" i="2"/>
  <c r="F467" i="2"/>
  <c r="X467" i="2"/>
  <c r="U466" i="2"/>
  <c r="T466" i="2"/>
  <c r="S466" i="2"/>
  <c r="R466" i="2"/>
  <c r="J466" i="2"/>
  <c r="I466" i="2"/>
  <c r="H466" i="2"/>
  <c r="G466" i="2"/>
  <c r="F466" i="2"/>
  <c r="X466" i="2"/>
  <c r="U465" i="2"/>
  <c r="T465" i="2"/>
  <c r="S465" i="2"/>
  <c r="R465" i="2"/>
  <c r="J465" i="2"/>
  <c r="I465" i="2"/>
  <c r="H465" i="2"/>
  <c r="G465" i="2"/>
  <c r="F465" i="2"/>
  <c r="X465" i="2"/>
  <c r="U464" i="2"/>
  <c r="T464" i="2"/>
  <c r="S464" i="2"/>
  <c r="R464" i="2"/>
  <c r="J464" i="2"/>
  <c r="I464" i="2"/>
  <c r="H464" i="2"/>
  <c r="G464" i="2"/>
  <c r="F464" i="2"/>
  <c r="X464" i="2"/>
  <c r="U463" i="2"/>
  <c r="T463" i="2"/>
  <c r="S463" i="2"/>
  <c r="R463" i="2"/>
  <c r="J463" i="2"/>
  <c r="I463" i="2"/>
  <c r="H463" i="2"/>
  <c r="G463" i="2"/>
  <c r="F463" i="2"/>
  <c r="X463" i="2"/>
  <c r="U462" i="2"/>
  <c r="T462" i="2"/>
  <c r="S462" i="2"/>
  <c r="R462" i="2"/>
  <c r="J462" i="2"/>
  <c r="I462" i="2"/>
  <c r="H462" i="2"/>
  <c r="G462" i="2"/>
  <c r="F462" i="2"/>
  <c r="X462" i="2"/>
  <c r="U461" i="2"/>
  <c r="T461" i="2"/>
  <c r="S461" i="2"/>
  <c r="R461" i="2"/>
  <c r="J461" i="2"/>
  <c r="I461" i="2"/>
  <c r="H461" i="2"/>
  <c r="G461" i="2"/>
  <c r="F461" i="2"/>
  <c r="X461" i="2"/>
  <c r="U460" i="2"/>
  <c r="T460" i="2"/>
  <c r="S460" i="2"/>
  <c r="R460" i="2"/>
  <c r="J460" i="2"/>
  <c r="I460" i="2"/>
  <c r="H460" i="2"/>
  <c r="G460" i="2"/>
  <c r="F460" i="2"/>
  <c r="X460" i="2"/>
  <c r="U459" i="2"/>
  <c r="T459" i="2"/>
  <c r="S459" i="2"/>
  <c r="R459" i="2"/>
  <c r="J459" i="2"/>
  <c r="I459" i="2"/>
  <c r="H459" i="2"/>
  <c r="G459" i="2"/>
  <c r="F459" i="2"/>
  <c r="X459" i="2"/>
  <c r="U458" i="2"/>
  <c r="T458" i="2"/>
  <c r="S458" i="2"/>
  <c r="R458" i="2"/>
  <c r="J458" i="2"/>
  <c r="I458" i="2"/>
  <c r="H458" i="2"/>
  <c r="G458" i="2"/>
  <c r="F458" i="2"/>
  <c r="X458" i="2"/>
  <c r="U457" i="2"/>
  <c r="T457" i="2"/>
  <c r="S457" i="2"/>
  <c r="R457" i="2"/>
  <c r="J457" i="2"/>
  <c r="I457" i="2"/>
  <c r="H457" i="2"/>
  <c r="G457" i="2"/>
  <c r="F457" i="2"/>
  <c r="X457" i="2"/>
  <c r="U456" i="2"/>
  <c r="T456" i="2"/>
  <c r="S456" i="2"/>
  <c r="R456" i="2"/>
  <c r="J456" i="2"/>
  <c r="I456" i="2"/>
  <c r="H456" i="2"/>
  <c r="G456" i="2"/>
  <c r="F456" i="2"/>
  <c r="X456" i="2"/>
  <c r="U455" i="2"/>
  <c r="T455" i="2"/>
  <c r="S455" i="2"/>
  <c r="R455" i="2"/>
  <c r="J455" i="2"/>
  <c r="I455" i="2"/>
  <c r="H455" i="2"/>
  <c r="G455" i="2"/>
  <c r="F455" i="2"/>
  <c r="X455" i="2"/>
  <c r="U454" i="2"/>
  <c r="T454" i="2"/>
  <c r="S454" i="2"/>
  <c r="R454" i="2"/>
  <c r="J454" i="2"/>
  <c r="I454" i="2"/>
  <c r="H454" i="2"/>
  <c r="G454" i="2"/>
  <c r="F454" i="2"/>
  <c r="X454" i="2"/>
  <c r="U453" i="2"/>
  <c r="T453" i="2"/>
  <c r="S453" i="2"/>
  <c r="R453" i="2"/>
  <c r="J453" i="2"/>
  <c r="I453" i="2"/>
  <c r="H453" i="2"/>
  <c r="G453" i="2"/>
  <c r="F453" i="2"/>
  <c r="X453" i="2"/>
  <c r="U452" i="2"/>
  <c r="T452" i="2"/>
  <c r="S452" i="2"/>
  <c r="R452" i="2"/>
  <c r="J452" i="2"/>
  <c r="I452" i="2"/>
  <c r="H452" i="2"/>
  <c r="G452" i="2"/>
  <c r="F452" i="2"/>
  <c r="X452" i="2"/>
  <c r="U451" i="2"/>
  <c r="T451" i="2"/>
  <c r="S451" i="2"/>
  <c r="R451" i="2"/>
  <c r="J451" i="2"/>
  <c r="I451" i="2"/>
  <c r="H451" i="2"/>
  <c r="G451" i="2"/>
  <c r="F451" i="2"/>
  <c r="X451" i="2"/>
  <c r="U450" i="2"/>
  <c r="T450" i="2"/>
  <c r="S450" i="2"/>
  <c r="R450" i="2"/>
  <c r="J450" i="2"/>
  <c r="I450" i="2"/>
  <c r="H450" i="2"/>
  <c r="G450" i="2"/>
  <c r="F450" i="2"/>
  <c r="X450" i="2"/>
  <c r="U449" i="2"/>
  <c r="T449" i="2"/>
  <c r="S449" i="2"/>
  <c r="R449" i="2"/>
  <c r="J449" i="2"/>
  <c r="I449" i="2"/>
  <c r="H449" i="2"/>
  <c r="G449" i="2"/>
  <c r="F449" i="2"/>
  <c r="X449" i="2"/>
  <c r="U448" i="2"/>
  <c r="T448" i="2"/>
  <c r="S448" i="2"/>
  <c r="R448" i="2"/>
  <c r="J448" i="2"/>
  <c r="I448" i="2"/>
  <c r="H448" i="2"/>
  <c r="G448" i="2"/>
  <c r="F448" i="2"/>
  <c r="X448" i="2"/>
  <c r="U447" i="2"/>
  <c r="T447" i="2"/>
  <c r="S447" i="2"/>
  <c r="R447" i="2"/>
  <c r="J447" i="2"/>
  <c r="I447" i="2"/>
  <c r="H447" i="2"/>
  <c r="G447" i="2"/>
  <c r="F447" i="2"/>
  <c r="X447" i="2"/>
  <c r="U446" i="2"/>
  <c r="T446" i="2"/>
  <c r="S446" i="2"/>
  <c r="R446" i="2"/>
  <c r="J446" i="2"/>
  <c r="I446" i="2"/>
  <c r="H446" i="2"/>
  <c r="G446" i="2"/>
  <c r="F446" i="2"/>
  <c r="X446" i="2"/>
  <c r="U445" i="2"/>
  <c r="T445" i="2"/>
  <c r="S445" i="2"/>
  <c r="R445" i="2"/>
  <c r="J445" i="2"/>
  <c r="I445" i="2"/>
  <c r="H445" i="2"/>
  <c r="G445" i="2"/>
  <c r="F445" i="2"/>
  <c r="X445" i="2"/>
  <c r="U444" i="2"/>
  <c r="T444" i="2"/>
  <c r="S444" i="2"/>
  <c r="R444" i="2"/>
  <c r="J444" i="2"/>
  <c r="I444" i="2"/>
  <c r="H444" i="2"/>
  <c r="G444" i="2"/>
  <c r="F444" i="2"/>
  <c r="X444" i="2"/>
  <c r="U443" i="2"/>
  <c r="T443" i="2"/>
  <c r="S443" i="2"/>
  <c r="R443" i="2"/>
  <c r="J443" i="2"/>
  <c r="I443" i="2"/>
  <c r="H443" i="2"/>
  <c r="G443" i="2"/>
  <c r="F443" i="2"/>
  <c r="X443" i="2"/>
  <c r="U442" i="2"/>
  <c r="T442" i="2"/>
  <c r="S442" i="2"/>
  <c r="R442" i="2"/>
  <c r="J442" i="2"/>
  <c r="I442" i="2"/>
  <c r="H442" i="2"/>
  <c r="G442" i="2"/>
  <c r="F442" i="2"/>
  <c r="X442" i="2"/>
  <c r="U441" i="2"/>
  <c r="T441" i="2"/>
  <c r="S441" i="2"/>
  <c r="R441" i="2"/>
  <c r="J441" i="2"/>
  <c r="I441" i="2"/>
  <c r="H441" i="2"/>
  <c r="G441" i="2"/>
  <c r="F441" i="2"/>
  <c r="X441" i="2"/>
  <c r="U440" i="2"/>
  <c r="T440" i="2"/>
  <c r="S440" i="2"/>
  <c r="R440" i="2"/>
  <c r="J440" i="2"/>
  <c r="I440" i="2"/>
  <c r="H440" i="2"/>
  <c r="G440" i="2"/>
  <c r="F440" i="2"/>
  <c r="X440" i="2"/>
  <c r="U439" i="2"/>
  <c r="T439" i="2"/>
  <c r="S439" i="2"/>
  <c r="R439" i="2"/>
  <c r="J439" i="2"/>
  <c r="I439" i="2"/>
  <c r="H439" i="2"/>
  <c r="G439" i="2"/>
  <c r="F439" i="2"/>
  <c r="X439" i="2"/>
  <c r="U438" i="2"/>
  <c r="T438" i="2"/>
  <c r="S438" i="2"/>
  <c r="R438" i="2"/>
  <c r="J438" i="2"/>
  <c r="I438" i="2"/>
  <c r="H438" i="2"/>
  <c r="G438" i="2"/>
  <c r="F438" i="2"/>
  <c r="X438" i="2"/>
  <c r="U437" i="2"/>
  <c r="T437" i="2"/>
  <c r="S437" i="2"/>
  <c r="R437" i="2"/>
  <c r="J437" i="2"/>
  <c r="I437" i="2"/>
  <c r="H437" i="2"/>
  <c r="G437" i="2"/>
  <c r="F437" i="2"/>
  <c r="X437" i="2"/>
  <c r="U436" i="2"/>
  <c r="T436" i="2"/>
  <c r="S436" i="2"/>
  <c r="R436" i="2"/>
  <c r="J436" i="2"/>
  <c r="I436" i="2"/>
  <c r="H436" i="2"/>
  <c r="G436" i="2"/>
  <c r="F436" i="2"/>
  <c r="X436" i="2"/>
  <c r="U435" i="2"/>
  <c r="T435" i="2"/>
  <c r="S435" i="2"/>
  <c r="R435" i="2"/>
  <c r="J435" i="2"/>
  <c r="I435" i="2"/>
  <c r="H435" i="2"/>
  <c r="G435" i="2"/>
  <c r="F435" i="2"/>
  <c r="X435" i="2"/>
  <c r="U434" i="2"/>
  <c r="T434" i="2"/>
  <c r="S434" i="2"/>
  <c r="R434" i="2"/>
  <c r="J434" i="2"/>
  <c r="I434" i="2"/>
  <c r="H434" i="2"/>
  <c r="G434" i="2"/>
  <c r="F434" i="2"/>
  <c r="X434" i="2"/>
  <c r="U433" i="2"/>
  <c r="T433" i="2"/>
  <c r="S433" i="2"/>
  <c r="R433" i="2"/>
  <c r="J433" i="2"/>
  <c r="I433" i="2"/>
  <c r="H433" i="2"/>
  <c r="G433" i="2"/>
  <c r="F433" i="2"/>
  <c r="X433" i="2"/>
  <c r="U432" i="2"/>
  <c r="T432" i="2"/>
  <c r="S432" i="2"/>
  <c r="R432" i="2"/>
  <c r="J432" i="2"/>
  <c r="I432" i="2"/>
  <c r="H432" i="2"/>
  <c r="G432" i="2"/>
  <c r="F432" i="2"/>
  <c r="X432" i="2"/>
  <c r="U431" i="2"/>
  <c r="T431" i="2"/>
  <c r="S431" i="2"/>
  <c r="R431" i="2"/>
  <c r="J431" i="2"/>
  <c r="I431" i="2"/>
  <c r="H431" i="2"/>
  <c r="G431" i="2"/>
  <c r="F431" i="2"/>
  <c r="X431" i="2"/>
  <c r="U430" i="2"/>
  <c r="T430" i="2"/>
  <c r="S430" i="2"/>
  <c r="R430" i="2"/>
  <c r="J430" i="2"/>
  <c r="I430" i="2"/>
  <c r="H430" i="2"/>
  <c r="G430" i="2"/>
  <c r="F430" i="2"/>
  <c r="X430" i="2"/>
  <c r="U429" i="2"/>
  <c r="T429" i="2"/>
  <c r="S429" i="2"/>
  <c r="R429" i="2"/>
  <c r="J429" i="2"/>
  <c r="I429" i="2"/>
  <c r="H429" i="2"/>
  <c r="G429" i="2"/>
  <c r="F429" i="2"/>
  <c r="X429" i="2"/>
  <c r="U428" i="2"/>
  <c r="T428" i="2"/>
  <c r="S428" i="2"/>
  <c r="R428" i="2"/>
  <c r="J428" i="2"/>
  <c r="I428" i="2"/>
  <c r="H428" i="2"/>
  <c r="G428" i="2"/>
  <c r="F428" i="2"/>
  <c r="X428" i="2"/>
  <c r="U427" i="2"/>
  <c r="T427" i="2"/>
  <c r="S427" i="2"/>
  <c r="R427" i="2"/>
  <c r="J427" i="2"/>
  <c r="I427" i="2"/>
  <c r="H427" i="2"/>
  <c r="G427" i="2"/>
  <c r="F427" i="2"/>
  <c r="X427" i="2"/>
  <c r="U426" i="2"/>
  <c r="T426" i="2"/>
  <c r="S426" i="2"/>
  <c r="R426" i="2"/>
  <c r="J426" i="2"/>
  <c r="I426" i="2"/>
  <c r="H426" i="2"/>
  <c r="G426" i="2"/>
  <c r="F426" i="2"/>
  <c r="X426" i="2"/>
  <c r="U425" i="2"/>
  <c r="T425" i="2"/>
  <c r="S425" i="2"/>
  <c r="R425" i="2"/>
  <c r="J425" i="2"/>
  <c r="I425" i="2"/>
  <c r="H425" i="2"/>
  <c r="G425" i="2"/>
  <c r="F425" i="2"/>
  <c r="X425" i="2"/>
  <c r="U424" i="2"/>
  <c r="T424" i="2"/>
  <c r="S424" i="2"/>
  <c r="R424" i="2"/>
  <c r="J424" i="2"/>
  <c r="I424" i="2"/>
  <c r="H424" i="2"/>
  <c r="G424" i="2"/>
  <c r="F424" i="2"/>
  <c r="X424" i="2"/>
  <c r="U423" i="2"/>
  <c r="T423" i="2"/>
  <c r="S423" i="2"/>
  <c r="R423" i="2"/>
  <c r="J423" i="2"/>
  <c r="I423" i="2"/>
  <c r="H423" i="2"/>
  <c r="G423" i="2"/>
  <c r="F423" i="2"/>
  <c r="X423" i="2"/>
  <c r="U422" i="2"/>
  <c r="T422" i="2"/>
  <c r="S422" i="2"/>
  <c r="R422" i="2"/>
  <c r="J422" i="2"/>
  <c r="I422" i="2"/>
  <c r="H422" i="2"/>
  <c r="G422" i="2"/>
  <c r="F422" i="2"/>
  <c r="X422" i="2"/>
  <c r="U421" i="2"/>
  <c r="T421" i="2"/>
  <c r="S421" i="2"/>
  <c r="R421" i="2"/>
  <c r="J421" i="2"/>
  <c r="I421" i="2"/>
  <c r="H421" i="2"/>
  <c r="G421" i="2"/>
  <c r="F421" i="2"/>
  <c r="X421" i="2"/>
  <c r="U420" i="2"/>
  <c r="T420" i="2"/>
  <c r="S420" i="2"/>
  <c r="R420" i="2"/>
  <c r="J420" i="2"/>
  <c r="I420" i="2"/>
  <c r="H420" i="2"/>
  <c r="G420" i="2"/>
  <c r="F420" i="2"/>
  <c r="X420" i="2"/>
  <c r="U419" i="2"/>
  <c r="T419" i="2"/>
  <c r="S419" i="2"/>
  <c r="R419" i="2"/>
  <c r="J419" i="2"/>
  <c r="I419" i="2"/>
  <c r="H419" i="2"/>
  <c r="G419" i="2"/>
  <c r="F419" i="2"/>
  <c r="X419" i="2"/>
  <c r="U418" i="2"/>
  <c r="T418" i="2"/>
  <c r="S418" i="2"/>
  <c r="R418" i="2"/>
  <c r="J418" i="2"/>
  <c r="I418" i="2"/>
  <c r="H418" i="2"/>
  <c r="G418" i="2"/>
  <c r="F418" i="2"/>
  <c r="X418" i="2"/>
  <c r="U417" i="2"/>
  <c r="T417" i="2"/>
  <c r="S417" i="2"/>
  <c r="R417" i="2"/>
  <c r="J417" i="2"/>
  <c r="I417" i="2"/>
  <c r="H417" i="2"/>
  <c r="G417" i="2"/>
  <c r="F417" i="2"/>
  <c r="X417" i="2"/>
  <c r="U416" i="2"/>
  <c r="T416" i="2"/>
  <c r="S416" i="2"/>
  <c r="R416" i="2"/>
  <c r="J416" i="2"/>
  <c r="I416" i="2"/>
  <c r="H416" i="2"/>
  <c r="G416" i="2"/>
  <c r="F416" i="2"/>
  <c r="X416" i="2"/>
  <c r="U415" i="2"/>
  <c r="T415" i="2"/>
  <c r="S415" i="2"/>
  <c r="R415" i="2"/>
  <c r="J415" i="2"/>
  <c r="I415" i="2"/>
  <c r="H415" i="2"/>
  <c r="G415" i="2"/>
  <c r="F415" i="2"/>
  <c r="X415" i="2"/>
  <c r="U414" i="2"/>
  <c r="T414" i="2"/>
  <c r="S414" i="2"/>
  <c r="R414" i="2"/>
  <c r="J414" i="2"/>
  <c r="I414" i="2"/>
  <c r="H414" i="2"/>
  <c r="G414" i="2"/>
  <c r="F414" i="2"/>
  <c r="X414" i="2"/>
  <c r="U413" i="2"/>
  <c r="T413" i="2"/>
  <c r="S413" i="2"/>
  <c r="R413" i="2"/>
  <c r="J413" i="2"/>
  <c r="I413" i="2"/>
  <c r="H413" i="2"/>
  <c r="G413" i="2"/>
  <c r="F413" i="2"/>
  <c r="X413" i="2"/>
  <c r="U412" i="2"/>
  <c r="T412" i="2"/>
  <c r="S412" i="2"/>
  <c r="R412" i="2"/>
  <c r="J412" i="2"/>
  <c r="I412" i="2"/>
  <c r="H412" i="2"/>
  <c r="G412" i="2"/>
  <c r="F412" i="2"/>
  <c r="X412" i="2"/>
  <c r="U411" i="2"/>
  <c r="T411" i="2"/>
  <c r="S411" i="2"/>
  <c r="R411" i="2"/>
  <c r="J411" i="2"/>
  <c r="I411" i="2"/>
  <c r="H411" i="2"/>
  <c r="G411" i="2"/>
  <c r="F411" i="2"/>
  <c r="X411" i="2"/>
  <c r="U410" i="2"/>
  <c r="T410" i="2"/>
  <c r="S410" i="2"/>
  <c r="R410" i="2"/>
  <c r="J410" i="2"/>
  <c r="I410" i="2"/>
  <c r="H410" i="2"/>
  <c r="G410" i="2"/>
  <c r="F410" i="2"/>
  <c r="X410" i="2"/>
  <c r="U409" i="2"/>
  <c r="T409" i="2"/>
  <c r="S409" i="2"/>
  <c r="R409" i="2"/>
  <c r="J409" i="2"/>
  <c r="I409" i="2"/>
  <c r="H409" i="2"/>
  <c r="G409" i="2"/>
  <c r="F409" i="2"/>
  <c r="X409" i="2"/>
  <c r="U408" i="2"/>
  <c r="T408" i="2"/>
  <c r="S408" i="2"/>
  <c r="R408" i="2"/>
  <c r="J408" i="2"/>
  <c r="I408" i="2"/>
  <c r="H408" i="2"/>
  <c r="G408" i="2"/>
  <c r="F408" i="2"/>
  <c r="X408" i="2"/>
  <c r="U407" i="2"/>
  <c r="T407" i="2"/>
  <c r="S407" i="2"/>
  <c r="R407" i="2"/>
  <c r="J407" i="2"/>
  <c r="I407" i="2"/>
  <c r="H407" i="2"/>
  <c r="G407" i="2"/>
  <c r="F407" i="2"/>
  <c r="X407" i="2"/>
  <c r="U406" i="2"/>
  <c r="T406" i="2"/>
  <c r="S406" i="2"/>
  <c r="R406" i="2"/>
  <c r="J406" i="2"/>
  <c r="I406" i="2"/>
  <c r="H406" i="2"/>
  <c r="G406" i="2"/>
  <c r="F406" i="2"/>
  <c r="X406" i="2"/>
  <c r="U405" i="2"/>
  <c r="T405" i="2"/>
  <c r="S405" i="2"/>
  <c r="R405" i="2"/>
  <c r="J405" i="2"/>
  <c r="I405" i="2"/>
  <c r="H405" i="2"/>
  <c r="G405" i="2"/>
  <c r="F405" i="2"/>
  <c r="X405" i="2"/>
  <c r="U404" i="2"/>
  <c r="T404" i="2"/>
  <c r="S404" i="2"/>
  <c r="R404" i="2"/>
  <c r="J404" i="2"/>
  <c r="I404" i="2"/>
  <c r="H404" i="2"/>
  <c r="G404" i="2"/>
  <c r="F404" i="2"/>
  <c r="X404" i="2"/>
  <c r="U403" i="2"/>
  <c r="T403" i="2"/>
  <c r="S403" i="2"/>
  <c r="R403" i="2"/>
  <c r="J403" i="2"/>
  <c r="I403" i="2"/>
  <c r="H403" i="2"/>
  <c r="G403" i="2"/>
  <c r="F403" i="2"/>
  <c r="X403" i="2"/>
  <c r="U402" i="2"/>
  <c r="T402" i="2"/>
  <c r="S402" i="2"/>
  <c r="R402" i="2"/>
  <c r="J402" i="2"/>
  <c r="I402" i="2"/>
  <c r="H402" i="2"/>
  <c r="G402" i="2"/>
  <c r="F402" i="2"/>
  <c r="X402" i="2"/>
  <c r="U401" i="2"/>
  <c r="T401" i="2"/>
  <c r="S401" i="2"/>
  <c r="R401" i="2"/>
  <c r="J401" i="2"/>
  <c r="I401" i="2"/>
  <c r="H401" i="2"/>
  <c r="G401" i="2"/>
  <c r="F401" i="2"/>
  <c r="X401" i="2"/>
  <c r="U400" i="2"/>
  <c r="T400" i="2"/>
  <c r="S400" i="2"/>
  <c r="R400" i="2"/>
  <c r="J400" i="2"/>
  <c r="I400" i="2"/>
  <c r="H400" i="2"/>
  <c r="G400" i="2"/>
  <c r="F400" i="2"/>
  <c r="X400" i="2"/>
  <c r="U399" i="2"/>
  <c r="T399" i="2"/>
  <c r="S399" i="2"/>
  <c r="R399" i="2"/>
  <c r="J399" i="2"/>
  <c r="I399" i="2"/>
  <c r="H399" i="2"/>
  <c r="G399" i="2"/>
  <c r="F399" i="2"/>
  <c r="X399" i="2"/>
  <c r="U398" i="2"/>
  <c r="T398" i="2"/>
  <c r="S398" i="2"/>
  <c r="R398" i="2"/>
  <c r="J398" i="2"/>
  <c r="I398" i="2"/>
  <c r="H398" i="2"/>
  <c r="G398" i="2"/>
  <c r="F398" i="2"/>
  <c r="X398" i="2"/>
  <c r="U397" i="2"/>
  <c r="T397" i="2"/>
  <c r="S397" i="2"/>
  <c r="R397" i="2"/>
  <c r="J397" i="2"/>
  <c r="I397" i="2"/>
  <c r="H397" i="2"/>
  <c r="G397" i="2"/>
  <c r="F397" i="2"/>
  <c r="X397" i="2"/>
  <c r="U396" i="2"/>
  <c r="T396" i="2"/>
  <c r="S396" i="2"/>
  <c r="R396" i="2"/>
  <c r="J396" i="2"/>
  <c r="I396" i="2"/>
  <c r="H396" i="2"/>
  <c r="G396" i="2"/>
  <c r="F396" i="2"/>
  <c r="X396" i="2"/>
  <c r="U395" i="2"/>
  <c r="T395" i="2"/>
  <c r="S395" i="2"/>
  <c r="R395" i="2"/>
  <c r="J395" i="2"/>
  <c r="I395" i="2"/>
  <c r="H395" i="2"/>
  <c r="G395" i="2"/>
  <c r="F395" i="2"/>
  <c r="X395" i="2"/>
  <c r="U394" i="2"/>
  <c r="T394" i="2"/>
  <c r="S394" i="2"/>
  <c r="R394" i="2"/>
  <c r="J394" i="2"/>
  <c r="I394" i="2"/>
  <c r="H394" i="2"/>
  <c r="G394" i="2"/>
  <c r="F394" i="2"/>
  <c r="X394" i="2"/>
  <c r="U393" i="2"/>
  <c r="T393" i="2"/>
  <c r="S393" i="2"/>
  <c r="R393" i="2"/>
  <c r="J393" i="2"/>
  <c r="I393" i="2"/>
  <c r="H393" i="2"/>
  <c r="G393" i="2"/>
  <c r="F393" i="2"/>
  <c r="X393" i="2"/>
  <c r="U392" i="2"/>
  <c r="T392" i="2"/>
  <c r="S392" i="2"/>
  <c r="R392" i="2"/>
  <c r="J392" i="2"/>
  <c r="I392" i="2"/>
  <c r="H392" i="2"/>
  <c r="G392" i="2"/>
  <c r="F392" i="2"/>
  <c r="X392" i="2"/>
  <c r="U391" i="2"/>
  <c r="T391" i="2"/>
  <c r="S391" i="2"/>
  <c r="R391" i="2"/>
  <c r="J391" i="2"/>
  <c r="I391" i="2"/>
  <c r="H391" i="2"/>
  <c r="G391" i="2"/>
  <c r="F391" i="2"/>
  <c r="X391" i="2"/>
  <c r="U390" i="2"/>
  <c r="T390" i="2"/>
  <c r="S390" i="2"/>
  <c r="R390" i="2"/>
  <c r="J390" i="2"/>
  <c r="I390" i="2"/>
  <c r="H390" i="2"/>
  <c r="G390" i="2"/>
  <c r="F390" i="2"/>
  <c r="X390" i="2"/>
  <c r="U389" i="2"/>
  <c r="T389" i="2"/>
  <c r="S389" i="2"/>
  <c r="R389" i="2"/>
  <c r="J389" i="2"/>
  <c r="I389" i="2"/>
  <c r="H389" i="2"/>
  <c r="G389" i="2"/>
  <c r="F389" i="2"/>
  <c r="X389" i="2"/>
  <c r="U388" i="2"/>
  <c r="T388" i="2"/>
  <c r="S388" i="2"/>
  <c r="R388" i="2"/>
  <c r="J388" i="2"/>
  <c r="I388" i="2"/>
  <c r="H388" i="2"/>
  <c r="G388" i="2"/>
  <c r="F388" i="2"/>
  <c r="X388" i="2"/>
  <c r="U387" i="2"/>
  <c r="T387" i="2"/>
  <c r="S387" i="2"/>
  <c r="R387" i="2"/>
  <c r="J387" i="2"/>
  <c r="I387" i="2"/>
  <c r="H387" i="2"/>
  <c r="G387" i="2"/>
  <c r="F387" i="2"/>
  <c r="X387" i="2"/>
  <c r="U386" i="2"/>
  <c r="T386" i="2"/>
  <c r="S386" i="2"/>
  <c r="R386" i="2"/>
  <c r="J386" i="2"/>
  <c r="I386" i="2"/>
  <c r="H386" i="2"/>
  <c r="G386" i="2"/>
  <c r="F386" i="2"/>
  <c r="X386" i="2"/>
  <c r="U385" i="2"/>
  <c r="T385" i="2"/>
  <c r="S385" i="2"/>
  <c r="R385" i="2"/>
  <c r="J385" i="2"/>
  <c r="I385" i="2"/>
  <c r="H385" i="2"/>
  <c r="G385" i="2"/>
  <c r="F385" i="2"/>
  <c r="X385" i="2"/>
  <c r="U384" i="2"/>
  <c r="T384" i="2"/>
  <c r="S384" i="2"/>
  <c r="R384" i="2"/>
  <c r="J384" i="2"/>
  <c r="I384" i="2"/>
  <c r="H384" i="2"/>
  <c r="G384" i="2"/>
  <c r="F384" i="2"/>
  <c r="X384" i="2"/>
  <c r="U383" i="2"/>
  <c r="T383" i="2"/>
  <c r="S383" i="2"/>
  <c r="R383" i="2"/>
  <c r="J383" i="2"/>
  <c r="I383" i="2"/>
  <c r="H383" i="2"/>
  <c r="G383" i="2"/>
  <c r="F383" i="2"/>
  <c r="X383" i="2"/>
  <c r="U382" i="2"/>
  <c r="T382" i="2"/>
  <c r="S382" i="2"/>
  <c r="R382" i="2"/>
  <c r="J382" i="2"/>
  <c r="I382" i="2"/>
  <c r="H382" i="2"/>
  <c r="G382" i="2"/>
  <c r="F382" i="2"/>
  <c r="X382" i="2"/>
  <c r="U381" i="2"/>
  <c r="T381" i="2"/>
  <c r="S381" i="2"/>
  <c r="R381" i="2"/>
  <c r="J381" i="2"/>
  <c r="I381" i="2"/>
  <c r="H381" i="2"/>
  <c r="G381" i="2"/>
  <c r="F381" i="2"/>
  <c r="X381" i="2"/>
  <c r="U380" i="2"/>
  <c r="T380" i="2"/>
  <c r="S380" i="2"/>
  <c r="R380" i="2"/>
  <c r="J380" i="2"/>
  <c r="I380" i="2"/>
  <c r="H380" i="2"/>
  <c r="G380" i="2"/>
  <c r="F380" i="2"/>
  <c r="X380" i="2"/>
  <c r="U379" i="2"/>
  <c r="T379" i="2"/>
  <c r="S379" i="2"/>
  <c r="R379" i="2"/>
  <c r="J379" i="2"/>
  <c r="I379" i="2"/>
  <c r="H379" i="2"/>
  <c r="G379" i="2"/>
  <c r="F379" i="2"/>
  <c r="X379" i="2"/>
  <c r="U378" i="2"/>
  <c r="T378" i="2"/>
  <c r="S378" i="2"/>
  <c r="R378" i="2"/>
  <c r="J378" i="2"/>
  <c r="I378" i="2"/>
  <c r="H378" i="2"/>
  <c r="G378" i="2"/>
  <c r="F378" i="2"/>
  <c r="X378" i="2"/>
  <c r="U377" i="2"/>
  <c r="T377" i="2"/>
  <c r="S377" i="2"/>
  <c r="R377" i="2"/>
  <c r="J377" i="2"/>
  <c r="I377" i="2"/>
  <c r="H377" i="2"/>
  <c r="G377" i="2"/>
  <c r="F377" i="2"/>
  <c r="X377" i="2"/>
  <c r="U376" i="2"/>
  <c r="T376" i="2"/>
  <c r="S376" i="2"/>
  <c r="R376" i="2"/>
  <c r="J376" i="2"/>
  <c r="I376" i="2"/>
  <c r="H376" i="2"/>
  <c r="G376" i="2"/>
  <c r="F376" i="2"/>
  <c r="X376" i="2"/>
  <c r="U375" i="2"/>
  <c r="T375" i="2"/>
  <c r="S375" i="2"/>
  <c r="R375" i="2"/>
  <c r="J375" i="2"/>
  <c r="I375" i="2"/>
  <c r="H375" i="2"/>
  <c r="G375" i="2"/>
  <c r="F375" i="2"/>
  <c r="X375" i="2"/>
  <c r="U374" i="2"/>
  <c r="T374" i="2"/>
  <c r="S374" i="2"/>
  <c r="R374" i="2"/>
  <c r="J374" i="2"/>
  <c r="I374" i="2"/>
  <c r="H374" i="2"/>
  <c r="G374" i="2"/>
  <c r="F374" i="2"/>
  <c r="X374" i="2"/>
  <c r="U373" i="2"/>
  <c r="T373" i="2"/>
  <c r="S373" i="2"/>
  <c r="R373" i="2"/>
  <c r="J373" i="2"/>
  <c r="I373" i="2"/>
  <c r="H373" i="2"/>
  <c r="G373" i="2"/>
  <c r="F373" i="2"/>
  <c r="X373" i="2"/>
  <c r="U372" i="2"/>
  <c r="T372" i="2"/>
  <c r="S372" i="2"/>
  <c r="R372" i="2"/>
  <c r="J372" i="2"/>
  <c r="I372" i="2"/>
  <c r="H372" i="2"/>
  <c r="G372" i="2"/>
  <c r="F372" i="2"/>
  <c r="X372" i="2"/>
  <c r="U371" i="2"/>
  <c r="T371" i="2"/>
  <c r="S371" i="2"/>
  <c r="R371" i="2"/>
  <c r="J371" i="2"/>
  <c r="I371" i="2"/>
  <c r="H371" i="2"/>
  <c r="G371" i="2"/>
  <c r="F371" i="2"/>
  <c r="X371" i="2"/>
  <c r="U370" i="2"/>
  <c r="T370" i="2"/>
  <c r="S370" i="2"/>
  <c r="R370" i="2"/>
  <c r="J370" i="2"/>
  <c r="I370" i="2"/>
  <c r="H370" i="2"/>
  <c r="G370" i="2"/>
  <c r="F370" i="2"/>
  <c r="X370" i="2"/>
  <c r="U369" i="2"/>
  <c r="T369" i="2"/>
  <c r="S369" i="2"/>
  <c r="R369" i="2"/>
  <c r="J369" i="2"/>
  <c r="I369" i="2"/>
  <c r="H369" i="2"/>
  <c r="G369" i="2"/>
  <c r="F369" i="2"/>
  <c r="X369" i="2"/>
  <c r="U368" i="2"/>
  <c r="T368" i="2"/>
  <c r="S368" i="2"/>
  <c r="R368" i="2"/>
  <c r="J368" i="2"/>
  <c r="I368" i="2"/>
  <c r="H368" i="2"/>
  <c r="G368" i="2"/>
  <c r="F368" i="2"/>
  <c r="X368" i="2"/>
  <c r="U367" i="2"/>
  <c r="T367" i="2"/>
  <c r="S367" i="2"/>
  <c r="R367" i="2"/>
  <c r="J367" i="2"/>
  <c r="I367" i="2"/>
  <c r="H367" i="2"/>
  <c r="G367" i="2"/>
  <c r="F367" i="2"/>
  <c r="X367" i="2"/>
  <c r="U366" i="2"/>
  <c r="T366" i="2"/>
  <c r="S366" i="2"/>
  <c r="R366" i="2"/>
  <c r="J366" i="2"/>
  <c r="I366" i="2"/>
  <c r="H366" i="2"/>
  <c r="G366" i="2"/>
  <c r="F366" i="2"/>
  <c r="X366" i="2"/>
  <c r="U365" i="2"/>
  <c r="T365" i="2"/>
  <c r="S365" i="2"/>
  <c r="R365" i="2"/>
  <c r="J365" i="2"/>
  <c r="I365" i="2"/>
  <c r="H365" i="2"/>
  <c r="G365" i="2"/>
  <c r="F365" i="2"/>
  <c r="X365" i="2"/>
  <c r="U364" i="2"/>
  <c r="T364" i="2"/>
  <c r="S364" i="2"/>
  <c r="R364" i="2"/>
  <c r="J364" i="2"/>
  <c r="I364" i="2"/>
  <c r="H364" i="2"/>
  <c r="G364" i="2"/>
  <c r="F364" i="2"/>
  <c r="X364" i="2"/>
  <c r="U363" i="2"/>
  <c r="T363" i="2"/>
  <c r="S363" i="2"/>
  <c r="R363" i="2"/>
  <c r="J363" i="2"/>
  <c r="I363" i="2"/>
  <c r="H363" i="2"/>
  <c r="G363" i="2"/>
  <c r="F363" i="2"/>
  <c r="X363" i="2"/>
  <c r="U362" i="2"/>
  <c r="T362" i="2"/>
  <c r="S362" i="2"/>
  <c r="R362" i="2"/>
  <c r="J362" i="2"/>
  <c r="I362" i="2"/>
  <c r="H362" i="2"/>
  <c r="G362" i="2"/>
  <c r="F362" i="2"/>
  <c r="X362" i="2"/>
  <c r="U361" i="2"/>
  <c r="T361" i="2"/>
  <c r="S361" i="2"/>
  <c r="R361" i="2"/>
  <c r="J361" i="2"/>
  <c r="I361" i="2"/>
  <c r="H361" i="2"/>
  <c r="G361" i="2"/>
  <c r="F361" i="2"/>
  <c r="X361" i="2"/>
  <c r="U360" i="2"/>
  <c r="T360" i="2"/>
  <c r="S360" i="2"/>
  <c r="R360" i="2"/>
  <c r="J360" i="2"/>
  <c r="I360" i="2"/>
  <c r="H360" i="2"/>
  <c r="G360" i="2"/>
  <c r="F360" i="2"/>
  <c r="X360" i="2"/>
  <c r="U359" i="2"/>
  <c r="T359" i="2"/>
  <c r="S359" i="2"/>
  <c r="R359" i="2"/>
  <c r="J359" i="2"/>
  <c r="I359" i="2"/>
  <c r="H359" i="2"/>
  <c r="G359" i="2"/>
  <c r="F359" i="2"/>
  <c r="X359" i="2"/>
  <c r="U358" i="2"/>
  <c r="T358" i="2"/>
  <c r="S358" i="2"/>
  <c r="R358" i="2"/>
  <c r="J358" i="2"/>
  <c r="I358" i="2"/>
  <c r="H358" i="2"/>
  <c r="G358" i="2"/>
  <c r="F358" i="2"/>
  <c r="X358" i="2"/>
  <c r="U357" i="2"/>
  <c r="T357" i="2"/>
  <c r="S357" i="2"/>
  <c r="R357" i="2"/>
  <c r="J357" i="2"/>
  <c r="I357" i="2"/>
  <c r="H357" i="2"/>
  <c r="G357" i="2"/>
  <c r="F357" i="2"/>
  <c r="X357" i="2"/>
  <c r="U356" i="2"/>
  <c r="T356" i="2"/>
  <c r="S356" i="2"/>
  <c r="R356" i="2"/>
  <c r="J356" i="2"/>
  <c r="I356" i="2"/>
  <c r="H356" i="2"/>
  <c r="G356" i="2"/>
  <c r="F356" i="2"/>
  <c r="X356" i="2"/>
  <c r="U355" i="2"/>
  <c r="T355" i="2"/>
  <c r="S355" i="2"/>
  <c r="R355" i="2"/>
  <c r="J355" i="2"/>
  <c r="I355" i="2"/>
  <c r="H355" i="2"/>
  <c r="G355" i="2"/>
  <c r="F355" i="2"/>
  <c r="X355" i="2"/>
  <c r="U354" i="2"/>
  <c r="T354" i="2"/>
  <c r="S354" i="2"/>
  <c r="R354" i="2"/>
  <c r="J354" i="2"/>
  <c r="I354" i="2"/>
  <c r="H354" i="2"/>
  <c r="G354" i="2"/>
  <c r="F354" i="2"/>
  <c r="X354" i="2"/>
  <c r="U353" i="2"/>
  <c r="T353" i="2"/>
  <c r="S353" i="2"/>
  <c r="R353" i="2"/>
  <c r="J353" i="2"/>
  <c r="I353" i="2"/>
  <c r="H353" i="2"/>
  <c r="G353" i="2"/>
  <c r="F353" i="2"/>
  <c r="X353" i="2"/>
  <c r="U352" i="2"/>
  <c r="T352" i="2"/>
  <c r="S352" i="2"/>
  <c r="R352" i="2"/>
  <c r="J352" i="2"/>
  <c r="I352" i="2"/>
  <c r="H352" i="2"/>
  <c r="G352" i="2"/>
  <c r="F352" i="2"/>
  <c r="X352" i="2"/>
  <c r="U351" i="2"/>
  <c r="T351" i="2"/>
  <c r="S351" i="2"/>
  <c r="R351" i="2"/>
  <c r="J351" i="2"/>
  <c r="I351" i="2"/>
  <c r="H351" i="2"/>
  <c r="G351" i="2"/>
  <c r="F351" i="2"/>
  <c r="X351" i="2"/>
  <c r="U350" i="2"/>
  <c r="T350" i="2"/>
  <c r="S350" i="2"/>
  <c r="R350" i="2"/>
  <c r="J350" i="2"/>
  <c r="I350" i="2"/>
  <c r="H350" i="2"/>
  <c r="G350" i="2"/>
  <c r="F350" i="2"/>
  <c r="X350" i="2"/>
  <c r="U349" i="2"/>
  <c r="T349" i="2"/>
  <c r="S349" i="2"/>
  <c r="R349" i="2"/>
  <c r="J349" i="2"/>
  <c r="I349" i="2"/>
  <c r="H349" i="2"/>
  <c r="G349" i="2"/>
  <c r="F349" i="2"/>
  <c r="X349" i="2"/>
  <c r="U348" i="2"/>
  <c r="T348" i="2"/>
  <c r="S348" i="2"/>
  <c r="R348" i="2"/>
  <c r="J348" i="2"/>
  <c r="I348" i="2"/>
  <c r="H348" i="2"/>
  <c r="G348" i="2"/>
  <c r="F348" i="2"/>
  <c r="X348" i="2"/>
  <c r="U347" i="2"/>
  <c r="T347" i="2"/>
  <c r="S347" i="2"/>
  <c r="R347" i="2"/>
  <c r="J347" i="2"/>
  <c r="I347" i="2"/>
  <c r="H347" i="2"/>
  <c r="G347" i="2"/>
  <c r="F347" i="2"/>
  <c r="X347" i="2"/>
  <c r="U346" i="2"/>
  <c r="T346" i="2"/>
  <c r="S346" i="2"/>
  <c r="R346" i="2"/>
  <c r="J346" i="2"/>
  <c r="I346" i="2"/>
  <c r="H346" i="2"/>
  <c r="G346" i="2"/>
  <c r="F346" i="2"/>
  <c r="X346" i="2"/>
  <c r="U345" i="2"/>
  <c r="T345" i="2"/>
  <c r="S345" i="2"/>
  <c r="R345" i="2"/>
  <c r="J345" i="2"/>
  <c r="I345" i="2"/>
  <c r="H345" i="2"/>
  <c r="G345" i="2"/>
  <c r="F345" i="2"/>
  <c r="X345" i="2"/>
  <c r="U344" i="2"/>
  <c r="T344" i="2"/>
  <c r="S344" i="2"/>
  <c r="R344" i="2"/>
  <c r="J344" i="2"/>
  <c r="I344" i="2"/>
  <c r="H344" i="2"/>
  <c r="G344" i="2"/>
  <c r="F344" i="2"/>
  <c r="X344" i="2"/>
  <c r="U343" i="2"/>
  <c r="T343" i="2"/>
  <c r="S343" i="2"/>
  <c r="R343" i="2"/>
  <c r="J343" i="2"/>
  <c r="I343" i="2"/>
  <c r="H343" i="2"/>
  <c r="G343" i="2"/>
  <c r="F343" i="2"/>
  <c r="X343" i="2"/>
  <c r="U342" i="2"/>
  <c r="T342" i="2"/>
  <c r="S342" i="2"/>
  <c r="R342" i="2"/>
  <c r="J342" i="2"/>
  <c r="I342" i="2"/>
  <c r="H342" i="2"/>
  <c r="G342" i="2"/>
  <c r="F342" i="2"/>
  <c r="X342" i="2"/>
  <c r="U341" i="2"/>
  <c r="T341" i="2"/>
  <c r="S341" i="2"/>
  <c r="R341" i="2"/>
  <c r="J341" i="2"/>
  <c r="I341" i="2"/>
  <c r="H341" i="2"/>
  <c r="G341" i="2"/>
  <c r="F341" i="2"/>
  <c r="X341" i="2"/>
  <c r="U340" i="2"/>
  <c r="T340" i="2"/>
  <c r="S340" i="2"/>
  <c r="R340" i="2"/>
  <c r="J340" i="2"/>
  <c r="I340" i="2"/>
  <c r="H340" i="2"/>
  <c r="G340" i="2"/>
  <c r="F340" i="2"/>
  <c r="X340" i="2"/>
  <c r="U339" i="2"/>
  <c r="T339" i="2"/>
  <c r="S339" i="2"/>
  <c r="R339" i="2"/>
  <c r="J339" i="2"/>
  <c r="I339" i="2"/>
  <c r="H339" i="2"/>
  <c r="G339" i="2"/>
  <c r="F339" i="2"/>
  <c r="X339" i="2"/>
  <c r="U338" i="2"/>
  <c r="T338" i="2"/>
  <c r="S338" i="2"/>
  <c r="R338" i="2"/>
  <c r="J338" i="2"/>
  <c r="I338" i="2"/>
  <c r="H338" i="2"/>
  <c r="G338" i="2"/>
  <c r="F338" i="2"/>
  <c r="X338" i="2"/>
  <c r="U337" i="2"/>
  <c r="T337" i="2"/>
  <c r="S337" i="2"/>
  <c r="R337" i="2"/>
  <c r="J337" i="2"/>
  <c r="I337" i="2"/>
  <c r="H337" i="2"/>
  <c r="G337" i="2"/>
  <c r="F337" i="2"/>
  <c r="X337" i="2"/>
  <c r="U336" i="2"/>
  <c r="T336" i="2"/>
  <c r="S336" i="2"/>
  <c r="R336" i="2"/>
  <c r="J336" i="2"/>
  <c r="I336" i="2"/>
  <c r="H336" i="2"/>
  <c r="G336" i="2"/>
  <c r="F336" i="2"/>
  <c r="X336" i="2"/>
  <c r="U335" i="2"/>
  <c r="T335" i="2"/>
  <c r="S335" i="2"/>
  <c r="R335" i="2"/>
  <c r="J335" i="2"/>
  <c r="I335" i="2"/>
  <c r="H335" i="2"/>
  <c r="G335" i="2"/>
  <c r="F335" i="2"/>
  <c r="X335" i="2"/>
  <c r="U334" i="2"/>
  <c r="T334" i="2"/>
  <c r="S334" i="2"/>
  <c r="R334" i="2"/>
  <c r="J334" i="2"/>
  <c r="I334" i="2"/>
  <c r="H334" i="2"/>
  <c r="G334" i="2"/>
  <c r="F334" i="2"/>
  <c r="X334" i="2"/>
  <c r="U333" i="2"/>
  <c r="T333" i="2"/>
  <c r="S333" i="2"/>
  <c r="R333" i="2"/>
  <c r="J333" i="2"/>
  <c r="I333" i="2"/>
  <c r="H333" i="2"/>
  <c r="G333" i="2"/>
  <c r="F333" i="2"/>
  <c r="X333" i="2"/>
  <c r="U332" i="2"/>
  <c r="T332" i="2"/>
  <c r="S332" i="2"/>
  <c r="R332" i="2"/>
  <c r="J332" i="2"/>
  <c r="I332" i="2"/>
  <c r="H332" i="2"/>
  <c r="G332" i="2"/>
  <c r="F332" i="2"/>
  <c r="X332" i="2"/>
  <c r="U331" i="2"/>
  <c r="T331" i="2"/>
  <c r="S331" i="2"/>
  <c r="R331" i="2"/>
  <c r="J331" i="2"/>
  <c r="I331" i="2"/>
  <c r="H331" i="2"/>
  <c r="G331" i="2"/>
  <c r="F331" i="2"/>
  <c r="X331" i="2"/>
  <c r="U330" i="2"/>
  <c r="T330" i="2"/>
  <c r="S330" i="2"/>
  <c r="R330" i="2"/>
  <c r="J330" i="2"/>
  <c r="I330" i="2"/>
  <c r="H330" i="2"/>
  <c r="G330" i="2"/>
  <c r="F330" i="2"/>
  <c r="X330" i="2"/>
  <c r="U329" i="2"/>
  <c r="T329" i="2"/>
  <c r="S329" i="2"/>
  <c r="R329" i="2"/>
  <c r="J329" i="2"/>
  <c r="I329" i="2"/>
  <c r="H329" i="2"/>
  <c r="G329" i="2"/>
  <c r="F329" i="2"/>
  <c r="X329" i="2"/>
  <c r="U328" i="2"/>
  <c r="T328" i="2"/>
  <c r="S328" i="2"/>
  <c r="R328" i="2"/>
  <c r="J328" i="2"/>
  <c r="I328" i="2"/>
  <c r="H328" i="2"/>
  <c r="G328" i="2"/>
  <c r="F328" i="2"/>
  <c r="X328" i="2"/>
  <c r="U327" i="2"/>
  <c r="T327" i="2"/>
  <c r="S327" i="2"/>
  <c r="R327" i="2"/>
  <c r="J327" i="2"/>
  <c r="I327" i="2"/>
  <c r="H327" i="2"/>
  <c r="G327" i="2"/>
  <c r="F327" i="2"/>
  <c r="X327" i="2"/>
  <c r="U326" i="2"/>
  <c r="T326" i="2"/>
  <c r="S326" i="2"/>
  <c r="R326" i="2"/>
  <c r="J326" i="2"/>
  <c r="I326" i="2"/>
  <c r="H326" i="2"/>
  <c r="G326" i="2"/>
  <c r="F326" i="2"/>
  <c r="X326" i="2"/>
  <c r="U325" i="2"/>
  <c r="T325" i="2"/>
  <c r="S325" i="2"/>
  <c r="R325" i="2"/>
  <c r="J325" i="2"/>
  <c r="I325" i="2"/>
  <c r="H325" i="2"/>
  <c r="G325" i="2"/>
  <c r="F325" i="2"/>
  <c r="X325" i="2"/>
  <c r="U324" i="2"/>
  <c r="T324" i="2"/>
  <c r="S324" i="2"/>
  <c r="R324" i="2"/>
  <c r="J324" i="2"/>
  <c r="I324" i="2"/>
  <c r="H324" i="2"/>
  <c r="G324" i="2"/>
  <c r="F324" i="2"/>
  <c r="X324" i="2"/>
  <c r="U323" i="2"/>
  <c r="T323" i="2"/>
  <c r="S323" i="2"/>
  <c r="R323" i="2"/>
  <c r="J323" i="2"/>
  <c r="I323" i="2"/>
  <c r="H323" i="2"/>
  <c r="G323" i="2"/>
  <c r="F323" i="2"/>
  <c r="X323" i="2"/>
  <c r="U322" i="2"/>
  <c r="T322" i="2"/>
  <c r="S322" i="2"/>
  <c r="R322" i="2"/>
  <c r="J322" i="2"/>
  <c r="I322" i="2"/>
  <c r="H322" i="2"/>
  <c r="G322" i="2"/>
  <c r="F322" i="2"/>
  <c r="X322" i="2"/>
  <c r="U321" i="2"/>
  <c r="T321" i="2"/>
  <c r="S321" i="2"/>
  <c r="R321" i="2"/>
  <c r="J321" i="2"/>
  <c r="I321" i="2"/>
  <c r="H321" i="2"/>
  <c r="G321" i="2"/>
  <c r="F321" i="2"/>
  <c r="X321" i="2"/>
  <c r="U320" i="2"/>
  <c r="T320" i="2"/>
  <c r="S320" i="2"/>
  <c r="R320" i="2"/>
  <c r="J320" i="2"/>
  <c r="I320" i="2"/>
  <c r="H320" i="2"/>
  <c r="G320" i="2"/>
  <c r="F320" i="2"/>
  <c r="X320" i="2"/>
  <c r="U319" i="2"/>
  <c r="T319" i="2"/>
  <c r="S319" i="2"/>
  <c r="R319" i="2"/>
  <c r="J319" i="2"/>
  <c r="I319" i="2"/>
  <c r="H319" i="2"/>
  <c r="G319" i="2"/>
  <c r="F319" i="2"/>
  <c r="X319" i="2"/>
  <c r="U318" i="2"/>
  <c r="T318" i="2"/>
  <c r="S318" i="2"/>
  <c r="R318" i="2"/>
  <c r="J318" i="2"/>
  <c r="I318" i="2"/>
  <c r="H318" i="2"/>
  <c r="G318" i="2"/>
  <c r="F318" i="2"/>
  <c r="X318" i="2"/>
  <c r="U317" i="2"/>
  <c r="T317" i="2"/>
  <c r="S317" i="2"/>
  <c r="R317" i="2"/>
  <c r="J317" i="2"/>
  <c r="I317" i="2"/>
  <c r="H317" i="2"/>
  <c r="G317" i="2"/>
  <c r="F317" i="2"/>
  <c r="X317" i="2"/>
  <c r="U316" i="2"/>
  <c r="T316" i="2"/>
  <c r="S316" i="2"/>
  <c r="R316" i="2"/>
  <c r="J316" i="2"/>
  <c r="I316" i="2"/>
  <c r="H316" i="2"/>
  <c r="G316" i="2"/>
  <c r="F316" i="2"/>
  <c r="X316" i="2"/>
  <c r="U315" i="2"/>
  <c r="T315" i="2"/>
  <c r="S315" i="2"/>
  <c r="R315" i="2"/>
  <c r="J315" i="2"/>
  <c r="I315" i="2"/>
  <c r="H315" i="2"/>
  <c r="G315" i="2"/>
  <c r="F315" i="2"/>
  <c r="X315" i="2"/>
  <c r="U314" i="2"/>
  <c r="T314" i="2"/>
  <c r="S314" i="2"/>
  <c r="R314" i="2"/>
  <c r="J314" i="2"/>
  <c r="I314" i="2"/>
  <c r="H314" i="2"/>
  <c r="G314" i="2"/>
  <c r="F314" i="2"/>
  <c r="X314" i="2"/>
  <c r="U313" i="2"/>
  <c r="T313" i="2"/>
  <c r="S313" i="2"/>
  <c r="R313" i="2"/>
  <c r="J313" i="2"/>
  <c r="I313" i="2"/>
  <c r="H313" i="2"/>
  <c r="G313" i="2"/>
  <c r="F313" i="2"/>
  <c r="X313" i="2"/>
  <c r="U312" i="2"/>
  <c r="T312" i="2"/>
  <c r="S312" i="2"/>
  <c r="R312" i="2"/>
  <c r="J312" i="2"/>
  <c r="I312" i="2"/>
  <c r="H312" i="2"/>
  <c r="G312" i="2"/>
  <c r="F312" i="2"/>
  <c r="X312" i="2"/>
  <c r="U311" i="2"/>
  <c r="T311" i="2"/>
  <c r="S311" i="2"/>
  <c r="R311" i="2"/>
  <c r="J311" i="2"/>
  <c r="I311" i="2"/>
  <c r="H311" i="2"/>
  <c r="G311" i="2"/>
  <c r="F311" i="2"/>
  <c r="X311" i="2"/>
  <c r="U310" i="2"/>
  <c r="T310" i="2"/>
  <c r="S310" i="2"/>
  <c r="R310" i="2"/>
  <c r="J310" i="2"/>
  <c r="I310" i="2"/>
  <c r="H310" i="2"/>
  <c r="G310" i="2"/>
  <c r="F310" i="2"/>
  <c r="X310" i="2"/>
  <c r="U309" i="2"/>
  <c r="T309" i="2"/>
  <c r="S309" i="2"/>
  <c r="R309" i="2"/>
  <c r="J309" i="2"/>
  <c r="I309" i="2"/>
  <c r="H309" i="2"/>
  <c r="G309" i="2"/>
  <c r="F309" i="2"/>
  <c r="X309" i="2"/>
  <c r="U308" i="2"/>
  <c r="T308" i="2"/>
  <c r="S308" i="2"/>
  <c r="R308" i="2"/>
  <c r="J308" i="2"/>
  <c r="I308" i="2"/>
  <c r="H308" i="2"/>
  <c r="G308" i="2"/>
  <c r="F308" i="2"/>
  <c r="X308" i="2"/>
  <c r="U307" i="2"/>
  <c r="T307" i="2"/>
  <c r="S307" i="2"/>
  <c r="R307" i="2"/>
  <c r="J307" i="2"/>
  <c r="I307" i="2"/>
  <c r="H307" i="2"/>
  <c r="G307" i="2"/>
  <c r="F307" i="2"/>
  <c r="X307" i="2"/>
  <c r="U306" i="2"/>
  <c r="T306" i="2"/>
  <c r="S306" i="2"/>
  <c r="R306" i="2"/>
  <c r="J306" i="2"/>
  <c r="I306" i="2"/>
  <c r="H306" i="2"/>
  <c r="G306" i="2"/>
  <c r="F306" i="2"/>
  <c r="X306" i="2"/>
  <c r="U305" i="2"/>
  <c r="T305" i="2"/>
  <c r="S305" i="2"/>
  <c r="R305" i="2"/>
  <c r="J305" i="2"/>
  <c r="I305" i="2"/>
  <c r="H305" i="2"/>
  <c r="G305" i="2"/>
  <c r="F305" i="2"/>
  <c r="X305" i="2"/>
  <c r="U304" i="2"/>
  <c r="T304" i="2"/>
  <c r="S304" i="2"/>
  <c r="R304" i="2"/>
  <c r="J304" i="2"/>
  <c r="I304" i="2"/>
  <c r="H304" i="2"/>
  <c r="G304" i="2"/>
  <c r="F304" i="2"/>
  <c r="X304" i="2"/>
  <c r="U303" i="2"/>
  <c r="T303" i="2"/>
  <c r="S303" i="2"/>
  <c r="R303" i="2"/>
  <c r="J303" i="2"/>
  <c r="I303" i="2"/>
  <c r="H303" i="2"/>
  <c r="G303" i="2"/>
  <c r="F303" i="2"/>
  <c r="X303" i="2"/>
  <c r="U302" i="2"/>
  <c r="T302" i="2"/>
  <c r="S302" i="2"/>
  <c r="R302" i="2"/>
  <c r="J302" i="2"/>
  <c r="I302" i="2"/>
  <c r="H302" i="2"/>
  <c r="G302" i="2"/>
  <c r="F302" i="2"/>
  <c r="X302" i="2"/>
  <c r="U301" i="2"/>
  <c r="T301" i="2"/>
  <c r="S301" i="2"/>
  <c r="R301" i="2"/>
  <c r="J301" i="2"/>
  <c r="I301" i="2"/>
  <c r="H301" i="2"/>
  <c r="G301" i="2"/>
  <c r="F301" i="2"/>
  <c r="X301" i="2"/>
  <c r="U300" i="2"/>
  <c r="T300" i="2"/>
  <c r="S300" i="2"/>
  <c r="R300" i="2"/>
  <c r="J300" i="2"/>
  <c r="I300" i="2"/>
  <c r="H300" i="2"/>
  <c r="G300" i="2"/>
  <c r="F300" i="2"/>
  <c r="X300" i="2"/>
  <c r="U299" i="2"/>
  <c r="T299" i="2"/>
  <c r="S299" i="2"/>
  <c r="R299" i="2"/>
  <c r="J299" i="2"/>
  <c r="I299" i="2"/>
  <c r="H299" i="2"/>
  <c r="G299" i="2"/>
  <c r="F299" i="2"/>
  <c r="X299" i="2"/>
  <c r="U298" i="2"/>
  <c r="T298" i="2"/>
  <c r="S298" i="2"/>
  <c r="R298" i="2"/>
  <c r="J298" i="2"/>
  <c r="I298" i="2"/>
  <c r="H298" i="2"/>
  <c r="G298" i="2"/>
  <c r="F298" i="2"/>
  <c r="X298" i="2"/>
  <c r="U297" i="2"/>
  <c r="T297" i="2"/>
  <c r="S297" i="2"/>
  <c r="R297" i="2"/>
  <c r="J297" i="2"/>
  <c r="I297" i="2"/>
  <c r="H297" i="2"/>
  <c r="G297" i="2"/>
  <c r="F297" i="2"/>
  <c r="X297" i="2"/>
  <c r="U296" i="2"/>
  <c r="T296" i="2"/>
  <c r="S296" i="2"/>
  <c r="R296" i="2"/>
  <c r="J296" i="2"/>
  <c r="I296" i="2"/>
  <c r="H296" i="2"/>
  <c r="G296" i="2"/>
  <c r="F296" i="2"/>
  <c r="X296" i="2"/>
  <c r="U295" i="2"/>
  <c r="T295" i="2"/>
  <c r="S295" i="2"/>
  <c r="R295" i="2"/>
  <c r="J295" i="2"/>
  <c r="I295" i="2"/>
  <c r="H295" i="2"/>
  <c r="G295" i="2"/>
  <c r="F295" i="2"/>
  <c r="X295" i="2"/>
  <c r="U294" i="2"/>
  <c r="T294" i="2"/>
  <c r="S294" i="2"/>
  <c r="R294" i="2"/>
  <c r="J294" i="2"/>
  <c r="I294" i="2"/>
  <c r="H294" i="2"/>
  <c r="G294" i="2"/>
  <c r="F294" i="2"/>
  <c r="X294" i="2"/>
  <c r="U293" i="2"/>
  <c r="T293" i="2"/>
  <c r="S293" i="2"/>
  <c r="R293" i="2"/>
  <c r="J293" i="2"/>
  <c r="I293" i="2"/>
  <c r="H293" i="2"/>
  <c r="G293" i="2"/>
  <c r="F293" i="2"/>
  <c r="X293" i="2"/>
  <c r="U292" i="2"/>
  <c r="T292" i="2"/>
  <c r="S292" i="2"/>
  <c r="R292" i="2"/>
  <c r="J292" i="2"/>
  <c r="I292" i="2"/>
  <c r="H292" i="2"/>
  <c r="G292" i="2"/>
  <c r="F292" i="2"/>
  <c r="X292" i="2"/>
  <c r="U291" i="2"/>
  <c r="T291" i="2"/>
  <c r="S291" i="2"/>
  <c r="R291" i="2"/>
  <c r="J291" i="2"/>
  <c r="I291" i="2"/>
  <c r="H291" i="2"/>
  <c r="G291" i="2"/>
  <c r="F291" i="2"/>
  <c r="X291" i="2"/>
  <c r="U290" i="2"/>
  <c r="T290" i="2"/>
  <c r="S290" i="2"/>
  <c r="R290" i="2"/>
  <c r="J290" i="2"/>
  <c r="I290" i="2"/>
  <c r="H290" i="2"/>
  <c r="G290" i="2"/>
  <c r="F290" i="2"/>
  <c r="X290" i="2"/>
  <c r="U289" i="2"/>
  <c r="T289" i="2"/>
  <c r="S289" i="2"/>
  <c r="R289" i="2"/>
  <c r="J289" i="2"/>
  <c r="I289" i="2"/>
  <c r="H289" i="2"/>
  <c r="G289" i="2"/>
  <c r="F289" i="2"/>
  <c r="X289" i="2"/>
  <c r="U288" i="2"/>
  <c r="T288" i="2"/>
  <c r="S288" i="2"/>
  <c r="R288" i="2"/>
  <c r="J288" i="2"/>
  <c r="I288" i="2"/>
  <c r="H288" i="2"/>
  <c r="G288" i="2"/>
  <c r="F288" i="2"/>
  <c r="X288" i="2"/>
  <c r="U287" i="2"/>
  <c r="T287" i="2"/>
  <c r="S287" i="2"/>
  <c r="R287" i="2"/>
  <c r="J287" i="2"/>
  <c r="I287" i="2"/>
  <c r="H287" i="2"/>
  <c r="G287" i="2"/>
  <c r="F287" i="2"/>
  <c r="X287" i="2"/>
  <c r="U286" i="2"/>
  <c r="T286" i="2"/>
  <c r="S286" i="2"/>
  <c r="R286" i="2"/>
  <c r="J286" i="2"/>
  <c r="I286" i="2"/>
  <c r="H286" i="2"/>
  <c r="G286" i="2"/>
  <c r="F286" i="2"/>
  <c r="X286" i="2"/>
  <c r="U285" i="2"/>
  <c r="T285" i="2"/>
  <c r="S285" i="2"/>
  <c r="R285" i="2"/>
  <c r="J285" i="2"/>
  <c r="I285" i="2"/>
  <c r="H285" i="2"/>
  <c r="G285" i="2"/>
  <c r="F285" i="2"/>
  <c r="X285" i="2"/>
  <c r="U284" i="2"/>
  <c r="T284" i="2"/>
  <c r="S284" i="2"/>
  <c r="R284" i="2"/>
  <c r="J284" i="2"/>
  <c r="I284" i="2"/>
  <c r="H284" i="2"/>
  <c r="G284" i="2"/>
  <c r="F284" i="2"/>
  <c r="X284" i="2"/>
  <c r="U283" i="2"/>
  <c r="T283" i="2"/>
  <c r="S283" i="2"/>
  <c r="R283" i="2"/>
  <c r="J283" i="2"/>
  <c r="I283" i="2"/>
  <c r="H283" i="2"/>
  <c r="G283" i="2"/>
  <c r="F283" i="2"/>
  <c r="X283" i="2"/>
  <c r="U282" i="2"/>
  <c r="T282" i="2"/>
  <c r="S282" i="2"/>
  <c r="R282" i="2"/>
  <c r="J282" i="2"/>
  <c r="I282" i="2"/>
  <c r="H282" i="2"/>
  <c r="G282" i="2"/>
  <c r="F282" i="2"/>
  <c r="X282" i="2"/>
  <c r="U281" i="2"/>
  <c r="T281" i="2"/>
  <c r="S281" i="2"/>
  <c r="R281" i="2"/>
  <c r="J281" i="2"/>
  <c r="I281" i="2"/>
  <c r="H281" i="2"/>
  <c r="G281" i="2"/>
  <c r="F281" i="2"/>
  <c r="X281" i="2"/>
  <c r="U280" i="2"/>
  <c r="T280" i="2"/>
  <c r="S280" i="2"/>
  <c r="R280" i="2"/>
  <c r="J280" i="2"/>
  <c r="I280" i="2"/>
  <c r="H280" i="2"/>
  <c r="G280" i="2"/>
  <c r="F280" i="2"/>
  <c r="X280" i="2"/>
  <c r="U279" i="2"/>
  <c r="T279" i="2"/>
  <c r="S279" i="2"/>
  <c r="R279" i="2"/>
  <c r="J279" i="2"/>
  <c r="I279" i="2"/>
  <c r="H279" i="2"/>
  <c r="G279" i="2"/>
  <c r="F279" i="2"/>
  <c r="X279" i="2"/>
  <c r="U278" i="2"/>
  <c r="T278" i="2"/>
  <c r="S278" i="2"/>
  <c r="R278" i="2"/>
  <c r="J278" i="2"/>
  <c r="I278" i="2"/>
  <c r="H278" i="2"/>
  <c r="G278" i="2"/>
  <c r="F278" i="2"/>
  <c r="X278" i="2"/>
  <c r="U277" i="2"/>
  <c r="T277" i="2"/>
  <c r="S277" i="2"/>
  <c r="R277" i="2"/>
  <c r="J277" i="2"/>
  <c r="I277" i="2"/>
  <c r="H277" i="2"/>
  <c r="G277" i="2"/>
  <c r="F277" i="2"/>
  <c r="X277" i="2"/>
  <c r="U276" i="2"/>
  <c r="T276" i="2"/>
  <c r="S276" i="2"/>
  <c r="R276" i="2"/>
  <c r="J276" i="2"/>
  <c r="I276" i="2"/>
  <c r="H276" i="2"/>
  <c r="G276" i="2"/>
  <c r="F276" i="2"/>
  <c r="X276" i="2"/>
  <c r="U275" i="2"/>
  <c r="T275" i="2"/>
  <c r="S275" i="2"/>
  <c r="R275" i="2"/>
  <c r="J275" i="2"/>
  <c r="I275" i="2"/>
  <c r="H275" i="2"/>
  <c r="G275" i="2"/>
  <c r="F275" i="2"/>
  <c r="X275" i="2"/>
  <c r="U274" i="2"/>
  <c r="T274" i="2"/>
  <c r="S274" i="2"/>
  <c r="R274" i="2"/>
  <c r="J274" i="2"/>
  <c r="I274" i="2"/>
  <c r="H274" i="2"/>
  <c r="G274" i="2"/>
  <c r="F274" i="2"/>
  <c r="X274" i="2"/>
  <c r="U273" i="2"/>
  <c r="T273" i="2"/>
  <c r="S273" i="2"/>
  <c r="R273" i="2"/>
  <c r="J273" i="2"/>
  <c r="I273" i="2"/>
  <c r="H273" i="2"/>
  <c r="G273" i="2"/>
  <c r="F273" i="2"/>
  <c r="X273" i="2"/>
  <c r="U272" i="2"/>
  <c r="T272" i="2"/>
  <c r="S272" i="2"/>
  <c r="R272" i="2"/>
  <c r="J272" i="2"/>
  <c r="I272" i="2"/>
  <c r="H272" i="2"/>
  <c r="G272" i="2"/>
  <c r="F272" i="2"/>
  <c r="X272" i="2"/>
  <c r="U271" i="2"/>
  <c r="T271" i="2"/>
  <c r="S271" i="2"/>
  <c r="R271" i="2"/>
  <c r="J271" i="2"/>
  <c r="I271" i="2"/>
  <c r="H271" i="2"/>
  <c r="G271" i="2"/>
  <c r="F271" i="2"/>
  <c r="X271" i="2"/>
  <c r="U270" i="2"/>
  <c r="T270" i="2"/>
  <c r="S270" i="2"/>
  <c r="R270" i="2"/>
  <c r="J270" i="2"/>
  <c r="I270" i="2"/>
  <c r="H270" i="2"/>
  <c r="G270" i="2"/>
  <c r="F270" i="2"/>
  <c r="X270" i="2"/>
  <c r="U269" i="2"/>
  <c r="T269" i="2"/>
  <c r="S269" i="2"/>
  <c r="R269" i="2"/>
  <c r="J269" i="2"/>
  <c r="I269" i="2"/>
  <c r="H269" i="2"/>
  <c r="G269" i="2"/>
  <c r="F269" i="2"/>
  <c r="X269" i="2"/>
  <c r="U268" i="2"/>
  <c r="T268" i="2"/>
  <c r="S268" i="2"/>
  <c r="R268" i="2"/>
  <c r="J268" i="2"/>
  <c r="I268" i="2"/>
  <c r="H268" i="2"/>
  <c r="G268" i="2"/>
  <c r="F268" i="2"/>
  <c r="X268" i="2"/>
  <c r="U267" i="2"/>
  <c r="T267" i="2"/>
  <c r="S267" i="2"/>
  <c r="R267" i="2"/>
  <c r="J267" i="2"/>
  <c r="I267" i="2"/>
  <c r="H267" i="2"/>
  <c r="G267" i="2"/>
  <c r="F267" i="2"/>
  <c r="X267" i="2"/>
  <c r="U266" i="2"/>
  <c r="T266" i="2"/>
  <c r="S266" i="2"/>
  <c r="R266" i="2"/>
  <c r="J266" i="2"/>
  <c r="I266" i="2"/>
  <c r="H266" i="2"/>
  <c r="G266" i="2"/>
  <c r="F266" i="2"/>
  <c r="X266" i="2"/>
  <c r="U265" i="2"/>
  <c r="T265" i="2"/>
  <c r="S265" i="2"/>
  <c r="R265" i="2"/>
  <c r="J265" i="2"/>
  <c r="I265" i="2"/>
  <c r="H265" i="2"/>
  <c r="G265" i="2"/>
  <c r="F265" i="2"/>
  <c r="X265" i="2"/>
  <c r="U264" i="2"/>
  <c r="T264" i="2"/>
  <c r="S264" i="2"/>
  <c r="R264" i="2"/>
  <c r="J264" i="2"/>
  <c r="I264" i="2"/>
  <c r="H264" i="2"/>
  <c r="G264" i="2"/>
  <c r="F264" i="2"/>
  <c r="X264" i="2"/>
  <c r="U263" i="2"/>
  <c r="T263" i="2"/>
  <c r="S263" i="2"/>
  <c r="R263" i="2"/>
  <c r="J263" i="2"/>
  <c r="I263" i="2"/>
  <c r="H263" i="2"/>
  <c r="G263" i="2"/>
  <c r="F263" i="2"/>
  <c r="X263" i="2"/>
  <c r="U262" i="2"/>
  <c r="T262" i="2"/>
  <c r="S262" i="2"/>
  <c r="R262" i="2"/>
  <c r="J262" i="2"/>
  <c r="I262" i="2"/>
  <c r="H262" i="2"/>
  <c r="G262" i="2"/>
  <c r="F262" i="2"/>
  <c r="X262" i="2"/>
  <c r="U261" i="2"/>
  <c r="T261" i="2"/>
  <c r="S261" i="2"/>
  <c r="R261" i="2"/>
  <c r="J261" i="2"/>
  <c r="I261" i="2"/>
  <c r="H261" i="2"/>
  <c r="G261" i="2"/>
  <c r="F261" i="2"/>
  <c r="X261" i="2"/>
  <c r="U260" i="2"/>
  <c r="T260" i="2"/>
  <c r="S260" i="2"/>
  <c r="R260" i="2"/>
  <c r="J260" i="2"/>
  <c r="I260" i="2"/>
  <c r="H260" i="2"/>
  <c r="G260" i="2"/>
  <c r="F260" i="2"/>
  <c r="X260" i="2"/>
  <c r="U259" i="2"/>
  <c r="T259" i="2"/>
  <c r="S259" i="2"/>
  <c r="R259" i="2"/>
  <c r="J259" i="2"/>
  <c r="I259" i="2"/>
  <c r="H259" i="2"/>
  <c r="G259" i="2"/>
  <c r="F259" i="2"/>
  <c r="X259" i="2"/>
  <c r="U258" i="2"/>
  <c r="T258" i="2"/>
  <c r="S258" i="2"/>
  <c r="R258" i="2"/>
  <c r="J258" i="2"/>
  <c r="I258" i="2"/>
  <c r="H258" i="2"/>
  <c r="G258" i="2"/>
  <c r="F258" i="2"/>
  <c r="X258" i="2"/>
  <c r="U257" i="2"/>
  <c r="T257" i="2"/>
  <c r="S257" i="2"/>
  <c r="R257" i="2"/>
  <c r="J257" i="2"/>
  <c r="I257" i="2"/>
  <c r="H257" i="2"/>
  <c r="G257" i="2"/>
  <c r="F257" i="2"/>
  <c r="X257" i="2"/>
  <c r="U256" i="2"/>
  <c r="T256" i="2"/>
  <c r="S256" i="2"/>
  <c r="R256" i="2"/>
  <c r="J256" i="2"/>
  <c r="I256" i="2"/>
  <c r="H256" i="2"/>
  <c r="G256" i="2"/>
  <c r="F256" i="2"/>
  <c r="X256" i="2"/>
  <c r="U255" i="2"/>
  <c r="T255" i="2"/>
  <c r="S255" i="2"/>
  <c r="R255" i="2"/>
  <c r="J255" i="2"/>
  <c r="I255" i="2"/>
  <c r="H255" i="2"/>
  <c r="G255" i="2"/>
  <c r="F255" i="2"/>
  <c r="X255" i="2"/>
  <c r="U254" i="2"/>
  <c r="T254" i="2"/>
  <c r="S254" i="2"/>
  <c r="R254" i="2"/>
  <c r="J254" i="2"/>
  <c r="I254" i="2"/>
  <c r="H254" i="2"/>
  <c r="G254" i="2"/>
  <c r="F254" i="2"/>
  <c r="X254" i="2"/>
  <c r="U253" i="2"/>
  <c r="T253" i="2"/>
  <c r="S253" i="2"/>
  <c r="R253" i="2"/>
  <c r="J253" i="2"/>
  <c r="I253" i="2"/>
  <c r="H253" i="2"/>
  <c r="G253" i="2"/>
  <c r="F253" i="2"/>
  <c r="X253" i="2"/>
  <c r="U252" i="2"/>
  <c r="T252" i="2"/>
  <c r="S252" i="2"/>
  <c r="R252" i="2"/>
  <c r="J252" i="2"/>
  <c r="I252" i="2"/>
  <c r="H252" i="2"/>
  <c r="G252" i="2"/>
  <c r="F252" i="2"/>
  <c r="X252" i="2"/>
  <c r="U251" i="2"/>
  <c r="T251" i="2"/>
  <c r="S251" i="2"/>
  <c r="R251" i="2"/>
  <c r="J251" i="2"/>
  <c r="I251" i="2"/>
  <c r="H251" i="2"/>
  <c r="G251" i="2"/>
  <c r="F251" i="2"/>
  <c r="X251" i="2"/>
  <c r="U250" i="2"/>
  <c r="T250" i="2"/>
  <c r="S250" i="2"/>
  <c r="R250" i="2"/>
  <c r="J250" i="2"/>
  <c r="I250" i="2"/>
  <c r="H250" i="2"/>
  <c r="G250" i="2"/>
  <c r="F250" i="2"/>
  <c r="X250" i="2"/>
  <c r="U249" i="2"/>
  <c r="T249" i="2"/>
  <c r="S249" i="2"/>
  <c r="R249" i="2"/>
  <c r="J249" i="2"/>
  <c r="I249" i="2"/>
  <c r="H249" i="2"/>
  <c r="G249" i="2"/>
  <c r="F249" i="2"/>
  <c r="X249" i="2"/>
  <c r="U248" i="2"/>
  <c r="T248" i="2"/>
  <c r="S248" i="2"/>
  <c r="R248" i="2"/>
  <c r="J248" i="2"/>
  <c r="I248" i="2"/>
  <c r="H248" i="2"/>
  <c r="G248" i="2"/>
  <c r="F248" i="2"/>
  <c r="X248" i="2"/>
  <c r="U247" i="2"/>
  <c r="T247" i="2"/>
  <c r="S247" i="2"/>
  <c r="R247" i="2"/>
  <c r="J247" i="2"/>
  <c r="I247" i="2"/>
  <c r="H247" i="2"/>
  <c r="G247" i="2"/>
  <c r="F247" i="2"/>
  <c r="X247" i="2"/>
  <c r="U246" i="2"/>
  <c r="T246" i="2"/>
  <c r="S246" i="2"/>
  <c r="R246" i="2"/>
  <c r="J246" i="2"/>
  <c r="I246" i="2"/>
  <c r="H246" i="2"/>
  <c r="G246" i="2"/>
  <c r="F246" i="2"/>
  <c r="X246" i="2"/>
  <c r="U245" i="2"/>
  <c r="T245" i="2"/>
  <c r="S245" i="2"/>
  <c r="R245" i="2"/>
  <c r="J245" i="2"/>
  <c r="I245" i="2"/>
  <c r="H245" i="2"/>
  <c r="G245" i="2"/>
  <c r="F245" i="2"/>
  <c r="X245" i="2"/>
  <c r="U244" i="2"/>
  <c r="T244" i="2"/>
  <c r="S244" i="2"/>
  <c r="R244" i="2"/>
  <c r="J244" i="2"/>
  <c r="I244" i="2"/>
  <c r="H244" i="2"/>
  <c r="G244" i="2"/>
  <c r="F244" i="2"/>
  <c r="X244" i="2"/>
  <c r="U243" i="2"/>
  <c r="T243" i="2"/>
  <c r="S243" i="2"/>
  <c r="R243" i="2"/>
  <c r="J243" i="2"/>
  <c r="I243" i="2"/>
  <c r="H243" i="2"/>
  <c r="G243" i="2"/>
  <c r="F243" i="2"/>
  <c r="X243" i="2"/>
  <c r="U242" i="2"/>
  <c r="T242" i="2"/>
  <c r="S242" i="2"/>
  <c r="R242" i="2"/>
  <c r="J242" i="2"/>
  <c r="I242" i="2"/>
  <c r="H242" i="2"/>
  <c r="G242" i="2"/>
  <c r="F242" i="2"/>
  <c r="X242" i="2"/>
  <c r="U241" i="2"/>
  <c r="T241" i="2"/>
  <c r="S241" i="2"/>
  <c r="R241" i="2"/>
  <c r="J241" i="2"/>
  <c r="I241" i="2"/>
  <c r="H241" i="2"/>
  <c r="G241" i="2"/>
  <c r="F241" i="2"/>
  <c r="X241" i="2"/>
  <c r="U240" i="2"/>
  <c r="T240" i="2"/>
  <c r="S240" i="2"/>
  <c r="R240" i="2"/>
  <c r="J240" i="2"/>
  <c r="I240" i="2"/>
  <c r="H240" i="2"/>
  <c r="G240" i="2"/>
  <c r="F240" i="2"/>
  <c r="X240" i="2"/>
  <c r="U239" i="2"/>
  <c r="T239" i="2"/>
  <c r="S239" i="2"/>
  <c r="R239" i="2"/>
  <c r="J239" i="2"/>
  <c r="I239" i="2"/>
  <c r="H239" i="2"/>
  <c r="G239" i="2"/>
  <c r="F239" i="2"/>
  <c r="X239" i="2"/>
  <c r="U238" i="2"/>
  <c r="T238" i="2"/>
  <c r="S238" i="2"/>
  <c r="R238" i="2"/>
  <c r="J238" i="2"/>
  <c r="I238" i="2"/>
  <c r="H238" i="2"/>
  <c r="G238" i="2"/>
  <c r="F238" i="2"/>
  <c r="X238" i="2"/>
  <c r="U237" i="2"/>
  <c r="T237" i="2"/>
  <c r="S237" i="2"/>
  <c r="R237" i="2"/>
  <c r="J237" i="2"/>
  <c r="I237" i="2"/>
  <c r="H237" i="2"/>
  <c r="G237" i="2"/>
  <c r="F237" i="2"/>
  <c r="X237" i="2"/>
  <c r="U236" i="2"/>
  <c r="T236" i="2"/>
  <c r="S236" i="2"/>
  <c r="R236" i="2"/>
  <c r="J236" i="2"/>
  <c r="I236" i="2"/>
  <c r="H236" i="2"/>
  <c r="G236" i="2"/>
  <c r="F236" i="2"/>
  <c r="X236" i="2"/>
  <c r="U235" i="2"/>
  <c r="T235" i="2"/>
  <c r="S235" i="2"/>
  <c r="R235" i="2"/>
  <c r="J235" i="2"/>
  <c r="I235" i="2"/>
  <c r="H235" i="2"/>
  <c r="G235" i="2"/>
  <c r="F235" i="2"/>
  <c r="X235" i="2"/>
  <c r="U234" i="2"/>
  <c r="T234" i="2"/>
  <c r="S234" i="2"/>
  <c r="R234" i="2"/>
  <c r="J234" i="2"/>
  <c r="I234" i="2"/>
  <c r="H234" i="2"/>
  <c r="G234" i="2"/>
  <c r="F234" i="2"/>
  <c r="X234" i="2"/>
  <c r="U233" i="2"/>
  <c r="T233" i="2"/>
  <c r="S233" i="2"/>
  <c r="R233" i="2"/>
  <c r="J233" i="2"/>
  <c r="I233" i="2"/>
  <c r="H233" i="2"/>
  <c r="G233" i="2"/>
  <c r="F233" i="2"/>
  <c r="X233" i="2"/>
  <c r="U232" i="2"/>
  <c r="T232" i="2"/>
  <c r="S232" i="2"/>
  <c r="R232" i="2"/>
  <c r="J232" i="2"/>
  <c r="I232" i="2"/>
  <c r="H232" i="2"/>
  <c r="G232" i="2"/>
  <c r="F232" i="2"/>
  <c r="X232" i="2"/>
  <c r="U231" i="2"/>
  <c r="T231" i="2"/>
  <c r="S231" i="2"/>
  <c r="R231" i="2"/>
  <c r="J231" i="2"/>
  <c r="I231" i="2"/>
  <c r="H231" i="2"/>
  <c r="G231" i="2"/>
  <c r="F231" i="2"/>
  <c r="X231" i="2"/>
  <c r="U230" i="2"/>
  <c r="T230" i="2"/>
  <c r="S230" i="2"/>
  <c r="R230" i="2"/>
  <c r="J230" i="2"/>
  <c r="I230" i="2"/>
  <c r="H230" i="2"/>
  <c r="G230" i="2"/>
  <c r="F230" i="2"/>
  <c r="X230" i="2"/>
  <c r="U229" i="2"/>
  <c r="T229" i="2"/>
  <c r="S229" i="2"/>
  <c r="R229" i="2"/>
  <c r="J229" i="2"/>
  <c r="I229" i="2"/>
  <c r="H229" i="2"/>
  <c r="G229" i="2"/>
  <c r="F229" i="2"/>
  <c r="X229" i="2"/>
  <c r="U228" i="2"/>
  <c r="T228" i="2"/>
  <c r="S228" i="2"/>
  <c r="R228" i="2"/>
  <c r="J228" i="2"/>
  <c r="I228" i="2"/>
  <c r="H228" i="2"/>
  <c r="G228" i="2"/>
  <c r="F228" i="2"/>
  <c r="X228" i="2"/>
  <c r="U227" i="2"/>
  <c r="T227" i="2"/>
  <c r="S227" i="2"/>
  <c r="R227" i="2"/>
  <c r="J227" i="2"/>
  <c r="I227" i="2"/>
  <c r="H227" i="2"/>
  <c r="G227" i="2"/>
  <c r="F227" i="2"/>
  <c r="X227" i="2"/>
  <c r="U226" i="2"/>
  <c r="T226" i="2"/>
  <c r="S226" i="2"/>
  <c r="R226" i="2"/>
  <c r="J226" i="2"/>
  <c r="I226" i="2"/>
  <c r="H226" i="2"/>
  <c r="G226" i="2"/>
  <c r="F226" i="2"/>
  <c r="X226" i="2"/>
  <c r="U225" i="2"/>
  <c r="T225" i="2"/>
  <c r="S225" i="2"/>
  <c r="R225" i="2"/>
  <c r="J225" i="2"/>
  <c r="I225" i="2"/>
  <c r="H225" i="2"/>
  <c r="G225" i="2"/>
  <c r="F225" i="2"/>
  <c r="X225" i="2"/>
  <c r="U224" i="2"/>
  <c r="T224" i="2"/>
  <c r="S224" i="2"/>
  <c r="R224" i="2"/>
  <c r="J224" i="2"/>
  <c r="I224" i="2"/>
  <c r="H224" i="2"/>
  <c r="G224" i="2"/>
  <c r="F224" i="2"/>
  <c r="X224" i="2"/>
  <c r="U223" i="2"/>
  <c r="T223" i="2"/>
  <c r="S223" i="2"/>
  <c r="R223" i="2"/>
  <c r="J223" i="2"/>
  <c r="I223" i="2"/>
  <c r="H223" i="2"/>
  <c r="G223" i="2"/>
  <c r="F223" i="2"/>
  <c r="X223" i="2"/>
  <c r="U222" i="2"/>
  <c r="T222" i="2"/>
  <c r="S222" i="2"/>
  <c r="R222" i="2"/>
  <c r="J222" i="2"/>
  <c r="I222" i="2"/>
  <c r="H222" i="2"/>
  <c r="G222" i="2"/>
  <c r="F222" i="2"/>
  <c r="X222" i="2"/>
  <c r="U221" i="2"/>
  <c r="T221" i="2"/>
  <c r="S221" i="2"/>
  <c r="R221" i="2"/>
  <c r="J221" i="2"/>
  <c r="I221" i="2"/>
  <c r="H221" i="2"/>
  <c r="G221" i="2"/>
  <c r="F221" i="2"/>
  <c r="X221" i="2"/>
  <c r="U220" i="2"/>
  <c r="T220" i="2"/>
  <c r="S220" i="2"/>
  <c r="R220" i="2"/>
  <c r="J220" i="2"/>
  <c r="I220" i="2"/>
  <c r="H220" i="2"/>
  <c r="G220" i="2"/>
  <c r="F220" i="2"/>
  <c r="X220" i="2"/>
  <c r="U219" i="2"/>
  <c r="T219" i="2"/>
  <c r="S219" i="2"/>
  <c r="R219" i="2"/>
  <c r="J219" i="2"/>
  <c r="I219" i="2"/>
  <c r="H219" i="2"/>
  <c r="G219" i="2"/>
  <c r="F219" i="2"/>
  <c r="X219" i="2"/>
  <c r="U218" i="2"/>
  <c r="T218" i="2"/>
  <c r="S218" i="2"/>
  <c r="R218" i="2"/>
  <c r="J218" i="2"/>
  <c r="I218" i="2"/>
  <c r="H218" i="2"/>
  <c r="G218" i="2"/>
  <c r="F218" i="2"/>
  <c r="X218" i="2"/>
  <c r="U217" i="2"/>
  <c r="T217" i="2"/>
  <c r="S217" i="2"/>
  <c r="R217" i="2"/>
  <c r="J217" i="2"/>
  <c r="I217" i="2"/>
  <c r="H217" i="2"/>
  <c r="G217" i="2"/>
  <c r="F217" i="2"/>
  <c r="X217" i="2"/>
  <c r="U216" i="2"/>
  <c r="T216" i="2"/>
  <c r="S216" i="2"/>
  <c r="R216" i="2"/>
  <c r="J216" i="2"/>
  <c r="I216" i="2"/>
  <c r="H216" i="2"/>
  <c r="G216" i="2"/>
  <c r="F216" i="2"/>
  <c r="X216" i="2"/>
  <c r="U215" i="2"/>
  <c r="T215" i="2"/>
  <c r="S215" i="2"/>
  <c r="R215" i="2"/>
  <c r="J215" i="2"/>
  <c r="I215" i="2"/>
  <c r="H215" i="2"/>
  <c r="G215" i="2"/>
  <c r="F215" i="2"/>
  <c r="X215" i="2"/>
  <c r="U214" i="2"/>
  <c r="T214" i="2"/>
  <c r="S214" i="2"/>
  <c r="R214" i="2"/>
  <c r="J214" i="2"/>
  <c r="I214" i="2"/>
  <c r="H214" i="2"/>
  <c r="G214" i="2"/>
  <c r="F214" i="2"/>
  <c r="X214" i="2"/>
  <c r="U213" i="2"/>
  <c r="T213" i="2"/>
  <c r="S213" i="2"/>
  <c r="R213" i="2"/>
  <c r="J213" i="2"/>
  <c r="I213" i="2"/>
  <c r="H213" i="2"/>
  <c r="G213" i="2"/>
  <c r="F213" i="2"/>
  <c r="X213" i="2"/>
  <c r="U212" i="2"/>
  <c r="T212" i="2"/>
  <c r="S212" i="2"/>
  <c r="R212" i="2"/>
  <c r="J212" i="2"/>
  <c r="I212" i="2"/>
  <c r="H212" i="2"/>
  <c r="G212" i="2"/>
  <c r="F212" i="2"/>
  <c r="X212" i="2"/>
  <c r="U211" i="2"/>
  <c r="T211" i="2"/>
  <c r="S211" i="2"/>
  <c r="R211" i="2"/>
  <c r="J211" i="2"/>
  <c r="I211" i="2"/>
  <c r="H211" i="2"/>
  <c r="G211" i="2"/>
  <c r="F211" i="2"/>
  <c r="X211" i="2"/>
  <c r="U210" i="2"/>
  <c r="T210" i="2"/>
  <c r="S210" i="2"/>
  <c r="R210" i="2"/>
  <c r="J210" i="2"/>
  <c r="I210" i="2"/>
  <c r="H210" i="2"/>
  <c r="G210" i="2"/>
  <c r="F210" i="2"/>
  <c r="X210" i="2"/>
  <c r="U209" i="2"/>
  <c r="T209" i="2"/>
  <c r="S209" i="2"/>
  <c r="R209" i="2"/>
  <c r="J209" i="2"/>
  <c r="I209" i="2"/>
  <c r="H209" i="2"/>
  <c r="G209" i="2"/>
  <c r="F209" i="2"/>
  <c r="X209" i="2"/>
  <c r="U208" i="2"/>
  <c r="T208" i="2"/>
  <c r="S208" i="2"/>
  <c r="R208" i="2"/>
  <c r="J208" i="2"/>
  <c r="I208" i="2"/>
  <c r="H208" i="2"/>
  <c r="G208" i="2"/>
  <c r="F208" i="2"/>
  <c r="X208" i="2"/>
  <c r="U207" i="2"/>
  <c r="T207" i="2"/>
  <c r="S207" i="2"/>
  <c r="R207" i="2"/>
  <c r="J207" i="2"/>
  <c r="I207" i="2"/>
  <c r="H207" i="2"/>
  <c r="G207" i="2"/>
  <c r="F207" i="2"/>
  <c r="X207" i="2"/>
  <c r="U206" i="2"/>
  <c r="T206" i="2"/>
  <c r="S206" i="2"/>
  <c r="R206" i="2"/>
  <c r="J206" i="2"/>
  <c r="I206" i="2"/>
  <c r="H206" i="2"/>
  <c r="G206" i="2"/>
  <c r="F206" i="2"/>
  <c r="X206" i="2"/>
  <c r="U205" i="2"/>
  <c r="T205" i="2"/>
  <c r="S205" i="2"/>
  <c r="R205" i="2"/>
  <c r="J205" i="2"/>
  <c r="I205" i="2"/>
  <c r="H205" i="2"/>
  <c r="G205" i="2"/>
  <c r="F205" i="2"/>
  <c r="X205" i="2"/>
  <c r="U204" i="2"/>
  <c r="T204" i="2"/>
  <c r="S204" i="2"/>
  <c r="R204" i="2"/>
  <c r="J204" i="2"/>
  <c r="I204" i="2"/>
  <c r="H204" i="2"/>
  <c r="G204" i="2"/>
  <c r="F204" i="2"/>
  <c r="X204" i="2"/>
  <c r="U203" i="2"/>
  <c r="T203" i="2"/>
  <c r="S203" i="2"/>
  <c r="R203" i="2"/>
  <c r="J203" i="2"/>
  <c r="I203" i="2"/>
  <c r="H203" i="2"/>
  <c r="G203" i="2"/>
  <c r="F203" i="2"/>
  <c r="X203" i="2"/>
  <c r="U202" i="2"/>
  <c r="T202" i="2"/>
  <c r="S202" i="2"/>
  <c r="R202" i="2"/>
  <c r="J202" i="2"/>
  <c r="I202" i="2"/>
  <c r="H202" i="2"/>
  <c r="G202" i="2"/>
  <c r="F202" i="2"/>
  <c r="X202" i="2"/>
  <c r="U201" i="2"/>
  <c r="T201" i="2"/>
  <c r="S201" i="2"/>
  <c r="R201" i="2"/>
  <c r="J201" i="2"/>
  <c r="I201" i="2"/>
  <c r="H201" i="2"/>
  <c r="G201" i="2"/>
  <c r="F201" i="2"/>
  <c r="X201" i="2"/>
  <c r="U200" i="2"/>
  <c r="T200" i="2"/>
  <c r="S200" i="2"/>
  <c r="R200" i="2"/>
  <c r="J200" i="2"/>
  <c r="I200" i="2"/>
  <c r="H200" i="2"/>
  <c r="G200" i="2"/>
  <c r="F200" i="2"/>
  <c r="X200" i="2"/>
  <c r="U199" i="2"/>
  <c r="T199" i="2"/>
  <c r="S199" i="2"/>
  <c r="R199" i="2"/>
  <c r="J199" i="2"/>
  <c r="I199" i="2"/>
  <c r="H199" i="2"/>
  <c r="G199" i="2"/>
  <c r="F199" i="2"/>
  <c r="X199" i="2"/>
  <c r="U198" i="2"/>
  <c r="T198" i="2"/>
  <c r="S198" i="2"/>
  <c r="R198" i="2"/>
  <c r="J198" i="2"/>
  <c r="I198" i="2"/>
  <c r="H198" i="2"/>
  <c r="G198" i="2"/>
  <c r="F198" i="2"/>
  <c r="X198" i="2"/>
  <c r="U197" i="2"/>
  <c r="T197" i="2"/>
  <c r="S197" i="2"/>
  <c r="R197" i="2"/>
  <c r="J197" i="2"/>
  <c r="I197" i="2"/>
  <c r="H197" i="2"/>
  <c r="G197" i="2"/>
  <c r="F197" i="2"/>
  <c r="X197" i="2"/>
  <c r="U196" i="2"/>
  <c r="T196" i="2"/>
  <c r="S196" i="2"/>
  <c r="R196" i="2"/>
  <c r="J196" i="2"/>
  <c r="I196" i="2"/>
  <c r="H196" i="2"/>
  <c r="G196" i="2"/>
  <c r="F196" i="2"/>
  <c r="X196" i="2"/>
  <c r="U195" i="2"/>
  <c r="T195" i="2"/>
  <c r="S195" i="2"/>
  <c r="R195" i="2"/>
  <c r="J195" i="2"/>
  <c r="I195" i="2"/>
  <c r="H195" i="2"/>
  <c r="G195" i="2"/>
  <c r="F195" i="2"/>
  <c r="X195" i="2"/>
  <c r="U194" i="2"/>
  <c r="T194" i="2"/>
  <c r="S194" i="2"/>
  <c r="R194" i="2"/>
  <c r="J194" i="2"/>
  <c r="I194" i="2"/>
  <c r="H194" i="2"/>
  <c r="G194" i="2"/>
  <c r="F194" i="2"/>
  <c r="X194" i="2"/>
  <c r="U193" i="2"/>
  <c r="T193" i="2"/>
  <c r="S193" i="2"/>
  <c r="R193" i="2"/>
  <c r="J193" i="2"/>
  <c r="I193" i="2"/>
  <c r="H193" i="2"/>
  <c r="G193" i="2"/>
  <c r="F193" i="2"/>
  <c r="X193" i="2"/>
  <c r="U192" i="2"/>
  <c r="T192" i="2"/>
  <c r="S192" i="2"/>
  <c r="R192" i="2"/>
  <c r="J192" i="2"/>
  <c r="I192" i="2"/>
  <c r="H192" i="2"/>
  <c r="G192" i="2"/>
  <c r="F192" i="2"/>
  <c r="X192" i="2"/>
  <c r="U191" i="2"/>
  <c r="T191" i="2"/>
  <c r="S191" i="2"/>
  <c r="R191" i="2"/>
  <c r="J191" i="2"/>
  <c r="I191" i="2"/>
  <c r="H191" i="2"/>
  <c r="G191" i="2"/>
  <c r="F191" i="2"/>
  <c r="X191" i="2"/>
  <c r="U190" i="2"/>
  <c r="T190" i="2"/>
  <c r="S190" i="2"/>
  <c r="R190" i="2"/>
  <c r="J190" i="2"/>
  <c r="I190" i="2"/>
  <c r="H190" i="2"/>
  <c r="G190" i="2"/>
  <c r="F190" i="2"/>
  <c r="X190" i="2"/>
  <c r="U189" i="2"/>
  <c r="T189" i="2"/>
  <c r="S189" i="2"/>
  <c r="R189" i="2"/>
  <c r="J189" i="2"/>
  <c r="I189" i="2"/>
  <c r="H189" i="2"/>
  <c r="G189" i="2"/>
  <c r="F189" i="2"/>
  <c r="X189" i="2"/>
  <c r="U188" i="2"/>
  <c r="T188" i="2"/>
  <c r="S188" i="2"/>
  <c r="R188" i="2"/>
  <c r="J188" i="2"/>
  <c r="I188" i="2"/>
  <c r="H188" i="2"/>
  <c r="G188" i="2"/>
  <c r="F188" i="2"/>
  <c r="X188" i="2"/>
  <c r="U187" i="2"/>
  <c r="T187" i="2"/>
  <c r="S187" i="2"/>
  <c r="R187" i="2"/>
  <c r="J187" i="2"/>
  <c r="I187" i="2"/>
  <c r="H187" i="2"/>
  <c r="G187" i="2"/>
  <c r="F187" i="2"/>
  <c r="X187" i="2"/>
  <c r="U186" i="2"/>
  <c r="T186" i="2"/>
  <c r="S186" i="2"/>
  <c r="R186" i="2"/>
  <c r="J186" i="2"/>
  <c r="I186" i="2"/>
  <c r="H186" i="2"/>
  <c r="G186" i="2"/>
  <c r="F186" i="2"/>
  <c r="X186" i="2"/>
  <c r="U185" i="2"/>
  <c r="T185" i="2"/>
  <c r="S185" i="2"/>
  <c r="R185" i="2"/>
  <c r="J185" i="2"/>
  <c r="I185" i="2"/>
  <c r="H185" i="2"/>
  <c r="G185" i="2"/>
  <c r="F185" i="2"/>
  <c r="X185" i="2"/>
  <c r="U184" i="2"/>
  <c r="T184" i="2"/>
  <c r="S184" i="2"/>
  <c r="R184" i="2"/>
  <c r="J184" i="2"/>
  <c r="I184" i="2"/>
  <c r="H184" i="2"/>
  <c r="G184" i="2"/>
  <c r="F184" i="2"/>
  <c r="X184" i="2"/>
  <c r="U183" i="2"/>
  <c r="T183" i="2"/>
  <c r="S183" i="2"/>
  <c r="R183" i="2"/>
  <c r="J183" i="2"/>
  <c r="I183" i="2"/>
  <c r="H183" i="2"/>
  <c r="G183" i="2"/>
  <c r="F183" i="2"/>
  <c r="X183" i="2"/>
  <c r="U182" i="2"/>
  <c r="T182" i="2"/>
  <c r="S182" i="2"/>
  <c r="R182" i="2"/>
  <c r="J182" i="2"/>
  <c r="I182" i="2"/>
  <c r="H182" i="2"/>
  <c r="G182" i="2"/>
  <c r="F182" i="2"/>
  <c r="X182" i="2"/>
  <c r="U181" i="2"/>
  <c r="T181" i="2"/>
  <c r="S181" i="2"/>
  <c r="R181" i="2"/>
  <c r="J181" i="2"/>
  <c r="I181" i="2"/>
  <c r="H181" i="2"/>
  <c r="G181" i="2"/>
  <c r="F181" i="2"/>
  <c r="X181" i="2"/>
  <c r="U180" i="2"/>
  <c r="T180" i="2"/>
  <c r="S180" i="2"/>
  <c r="R180" i="2"/>
  <c r="J180" i="2"/>
  <c r="I180" i="2"/>
  <c r="H180" i="2"/>
  <c r="G180" i="2"/>
  <c r="F180" i="2"/>
  <c r="X180" i="2"/>
  <c r="U179" i="2"/>
  <c r="T179" i="2"/>
  <c r="S179" i="2"/>
  <c r="R179" i="2"/>
  <c r="J179" i="2"/>
  <c r="I179" i="2"/>
  <c r="H179" i="2"/>
  <c r="G179" i="2"/>
  <c r="F179" i="2"/>
  <c r="X179" i="2"/>
  <c r="U178" i="2"/>
  <c r="T178" i="2"/>
  <c r="S178" i="2"/>
  <c r="R178" i="2"/>
  <c r="J178" i="2"/>
  <c r="I178" i="2"/>
  <c r="H178" i="2"/>
  <c r="G178" i="2"/>
  <c r="F178" i="2"/>
  <c r="X178" i="2"/>
  <c r="U177" i="2"/>
  <c r="T177" i="2"/>
  <c r="S177" i="2"/>
  <c r="R177" i="2"/>
  <c r="J177" i="2"/>
  <c r="I177" i="2"/>
  <c r="H177" i="2"/>
  <c r="G177" i="2"/>
  <c r="F177" i="2"/>
  <c r="X177" i="2"/>
  <c r="U176" i="2"/>
  <c r="T176" i="2"/>
  <c r="S176" i="2"/>
  <c r="R176" i="2"/>
  <c r="J176" i="2"/>
  <c r="I176" i="2"/>
  <c r="H176" i="2"/>
  <c r="G176" i="2"/>
  <c r="F176" i="2"/>
  <c r="X176" i="2"/>
  <c r="U175" i="2"/>
  <c r="T175" i="2"/>
  <c r="S175" i="2"/>
  <c r="R175" i="2"/>
  <c r="J175" i="2"/>
  <c r="I175" i="2"/>
  <c r="H175" i="2"/>
  <c r="G175" i="2"/>
  <c r="F175" i="2"/>
  <c r="X175" i="2"/>
  <c r="U174" i="2"/>
  <c r="T174" i="2"/>
  <c r="S174" i="2"/>
  <c r="R174" i="2"/>
  <c r="J174" i="2"/>
  <c r="I174" i="2"/>
  <c r="H174" i="2"/>
  <c r="G174" i="2"/>
  <c r="F174" i="2"/>
  <c r="X174" i="2"/>
  <c r="U173" i="2"/>
  <c r="T173" i="2"/>
  <c r="S173" i="2"/>
  <c r="R173" i="2"/>
  <c r="J173" i="2"/>
  <c r="I173" i="2"/>
  <c r="H173" i="2"/>
  <c r="G173" i="2"/>
  <c r="F173" i="2"/>
  <c r="X173" i="2"/>
  <c r="U172" i="2"/>
  <c r="T172" i="2"/>
  <c r="S172" i="2"/>
  <c r="R172" i="2"/>
  <c r="J172" i="2"/>
  <c r="I172" i="2"/>
  <c r="H172" i="2"/>
  <c r="G172" i="2"/>
  <c r="F172" i="2"/>
  <c r="X172" i="2"/>
  <c r="U171" i="2"/>
  <c r="T171" i="2"/>
  <c r="S171" i="2"/>
  <c r="R171" i="2"/>
  <c r="J171" i="2"/>
  <c r="I171" i="2"/>
  <c r="H171" i="2"/>
  <c r="G171" i="2"/>
  <c r="F171" i="2"/>
  <c r="X171" i="2"/>
  <c r="U170" i="2"/>
  <c r="T170" i="2"/>
  <c r="S170" i="2"/>
  <c r="R170" i="2"/>
  <c r="J170" i="2"/>
  <c r="I170" i="2"/>
  <c r="H170" i="2"/>
  <c r="G170" i="2"/>
  <c r="F170" i="2"/>
  <c r="X170" i="2"/>
  <c r="U169" i="2"/>
  <c r="T169" i="2"/>
  <c r="S169" i="2"/>
  <c r="R169" i="2"/>
  <c r="J169" i="2"/>
  <c r="I169" i="2"/>
  <c r="H169" i="2"/>
  <c r="G169" i="2"/>
  <c r="F169" i="2"/>
  <c r="X169" i="2"/>
  <c r="U168" i="2"/>
  <c r="T168" i="2"/>
  <c r="S168" i="2"/>
  <c r="R168" i="2"/>
  <c r="J168" i="2"/>
  <c r="I168" i="2"/>
  <c r="H168" i="2"/>
  <c r="G168" i="2"/>
  <c r="F168" i="2"/>
  <c r="X168" i="2"/>
  <c r="U167" i="2"/>
  <c r="T167" i="2"/>
  <c r="S167" i="2"/>
  <c r="R167" i="2"/>
  <c r="J167" i="2"/>
  <c r="I167" i="2"/>
  <c r="H167" i="2"/>
  <c r="G167" i="2"/>
  <c r="F167" i="2"/>
  <c r="X167" i="2"/>
  <c r="U166" i="2"/>
  <c r="T166" i="2"/>
  <c r="S166" i="2"/>
  <c r="R166" i="2"/>
  <c r="J166" i="2"/>
  <c r="I166" i="2"/>
  <c r="H166" i="2"/>
  <c r="G166" i="2"/>
  <c r="F166" i="2"/>
  <c r="X166" i="2"/>
  <c r="U165" i="2"/>
  <c r="T165" i="2"/>
  <c r="S165" i="2"/>
  <c r="R165" i="2"/>
  <c r="J165" i="2"/>
  <c r="I165" i="2"/>
  <c r="H165" i="2"/>
  <c r="G165" i="2"/>
  <c r="F165" i="2"/>
  <c r="X165" i="2"/>
  <c r="U164" i="2"/>
  <c r="T164" i="2"/>
  <c r="S164" i="2"/>
  <c r="R164" i="2"/>
  <c r="J164" i="2"/>
  <c r="I164" i="2"/>
  <c r="H164" i="2"/>
  <c r="G164" i="2"/>
  <c r="F164" i="2"/>
  <c r="X164" i="2"/>
  <c r="U163" i="2"/>
  <c r="T163" i="2"/>
  <c r="S163" i="2"/>
  <c r="R163" i="2"/>
  <c r="J163" i="2"/>
  <c r="I163" i="2"/>
  <c r="H163" i="2"/>
  <c r="G163" i="2"/>
  <c r="F163" i="2"/>
  <c r="X163" i="2"/>
  <c r="U162" i="2"/>
  <c r="T162" i="2"/>
  <c r="S162" i="2"/>
  <c r="R162" i="2"/>
  <c r="J162" i="2"/>
  <c r="I162" i="2"/>
  <c r="H162" i="2"/>
  <c r="G162" i="2"/>
  <c r="F162" i="2"/>
  <c r="X162" i="2"/>
  <c r="U161" i="2"/>
  <c r="T161" i="2"/>
  <c r="S161" i="2"/>
  <c r="R161" i="2"/>
  <c r="J161" i="2"/>
  <c r="I161" i="2"/>
  <c r="H161" i="2"/>
  <c r="G161" i="2"/>
  <c r="F161" i="2"/>
  <c r="X161" i="2"/>
  <c r="U160" i="2"/>
  <c r="T160" i="2"/>
  <c r="S160" i="2"/>
  <c r="R160" i="2"/>
  <c r="J160" i="2"/>
  <c r="I160" i="2"/>
  <c r="H160" i="2"/>
  <c r="G160" i="2"/>
  <c r="F160" i="2"/>
  <c r="X160" i="2"/>
  <c r="U159" i="2"/>
  <c r="T159" i="2"/>
  <c r="S159" i="2"/>
  <c r="R159" i="2"/>
  <c r="J159" i="2"/>
  <c r="I159" i="2"/>
  <c r="H159" i="2"/>
  <c r="G159" i="2"/>
  <c r="F159" i="2"/>
  <c r="X159" i="2"/>
  <c r="U158" i="2"/>
  <c r="T158" i="2"/>
  <c r="S158" i="2"/>
  <c r="R158" i="2"/>
  <c r="J158" i="2"/>
  <c r="I158" i="2"/>
  <c r="H158" i="2"/>
  <c r="G158" i="2"/>
  <c r="F158" i="2"/>
  <c r="X158" i="2"/>
  <c r="U157" i="2"/>
  <c r="T157" i="2"/>
  <c r="S157" i="2"/>
  <c r="R157" i="2"/>
  <c r="J157" i="2"/>
  <c r="I157" i="2"/>
  <c r="H157" i="2"/>
  <c r="G157" i="2"/>
  <c r="F157" i="2"/>
  <c r="X157" i="2"/>
  <c r="U156" i="2"/>
  <c r="T156" i="2"/>
  <c r="S156" i="2"/>
  <c r="R156" i="2"/>
  <c r="J156" i="2"/>
  <c r="I156" i="2"/>
  <c r="H156" i="2"/>
  <c r="G156" i="2"/>
  <c r="F156" i="2"/>
  <c r="X156" i="2"/>
  <c r="U155" i="2"/>
  <c r="T155" i="2"/>
  <c r="S155" i="2"/>
  <c r="R155" i="2"/>
  <c r="J155" i="2"/>
  <c r="I155" i="2"/>
  <c r="H155" i="2"/>
  <c r="G155" i="2"/>
  <c r="F155" i="2"/>
  <c r="X155" i="2"/>
  <c r="U154" i="2"/>
  <c r="T154" i="2"/>
  <c r="S154" i="2"/>
  <c r="R154" i="2"/>
  <c r="J154" i="2"/>
  <c r="I154" i="2"/>
  <c r="H154" i="2"/>
  <c r="G154" i="2"/>
  <c r="F154" i="2"/>
  <c r="X154" i="2"/>
  <c r="U153" i="2"/>
  <c r="T153" i="2"/>
  <c r="S153" i="2"/>
  <c r="R153" i="2"/>
  <c r="J153" i="2"/>
  <c r="I153" i="2"/>
  <c r="H153" i="2"/>
  <c r="G153" i="2"/>
  <c r="F153" i="2"/>
  <c r="X153" i="2"/>
  <c r="U152" i="2"/>
  <c r="T152" i="2"/>
  <c r="S152" i="2"/>
  <c r="R152" i="2"/>
  <c r="J152" i="2"/>
  <c r="I152" i="2"/>
  <c r="H152" i="2"/>
  <c r="G152" i="2"/>
  <c r="F152" i="2"/>
  <c r="X152" i="2"/>
  <c r="U151" i="2"/>
  <c r="T151" i="2"/>
  <c r="S151" i="2"/>
  <c r="R151" i="2"/>
  <c r="J151" i="2"/>
  <c r="I151" i="2"/>
  <c r="H151" i="2"/>
  <c r="G151" i="2"/>
  <c r="F151" i="2"/>
  <c r="X151" i="2"/>
  <c r="U150" i="2"/>
  <c r="T150" i="2"/>
  <c r="S150" i="2"/>
  <c r="R150" i="2"/>
  <c r="J150" i="2"/>
  <c r="I150" i="2"/>
  <c r="F150" i="2"/>
  <c r="X150" i="2"/>
  <c r="U149" i="2"/>
  <c r="T149" i="2"/>
  <c r="S149" i="2"/>
  <c r="R149" i="2"/>
  <c r="J149" i="2"/>
  <c r="I149" i="2"/>
  <c r="F149" i="2"/>
  <c r="X149" i="2"/>
  <c r="U148" i="2"/>
  <c r="T148" i="2"/>
  <c r="S148" i="2"/>
  <c r="R148" i="2"/>
  <c r="J148" i="2"/>
  <c r="I148" i="2"/>
  <c r="F148" i="2"/>
  <c r="X148" i="2"/>
  <c r="U147" i="2"/>
  <c r="T147" i="2"/>
  <c r="S147" i="2"/>
  <c r="R147" i="2"/>
  <c r="J147" i="2"/>
  <c r="I147" i="2"/>
  <c r="F147" i="2"/>
  <c r="X147" i="2"/>
  <c r="U146" i="2"/>
  <c r="T146" i="2"/>
  <c r="S146" i="2"/>
  <c r="R146" i="2"/>
  <c r="J146" i="2"/>
  <c r="I146" i="2"/>
  <c r="F146" i="2"/>
  <c r="X146" i="2"/>
  <c r="U145" i="2"/>
  <c r="T145" i="2"/>
  <c r="S145" i="2"/>
  <c r="R145" i="2"/>
  <c r="J145" i="2"/>
  <c r="I145" i="2"/>
  <c r="F145" i="2"/>
  <c r="X145" i="2"/>
  <c r="U144" i="2"/>
  <c r="T144" i="2"/>
  <c r="S144" i="2"/>
  <c r="R144" i="2"/>
  <c r="J144" i="2"/>
  <c r="I144" i="2"/>
  <c r="F144" i="2"/>
  <c r="X144" i="2"/>
  <c r="U143" i="2"/>
  <c r="T143" i="2"/>
  <c r="S143" i="2"/>
  <c r="R143" i="2"/>
  <c r="J143" i="2"/>
  <c r="I143" i="2"/>
  <c r="F143" i="2"/>
  <c r="X143" i="2"/>
  <c r="U142" i="2"/>
  <c r="T142" i="2"/>
  <c r="S142" i="2"/>
  <c r="R142" i="2"/>
  <c r="J142" i="2"/>
  <c r="I142" i="2"/>
  <c r="F142" i="2"/>
  <c r="X142" i="2"/>
  <c r="U141" i="2"/>
  <c r="T141" i="2"/>
  <c r="S141" i="2"/>
  <c r="R141" i="2"/>
  <c r="J141" i="2"/>
  <c r="I141" i="2"/>
  <c r="K141" i="2"/>
  <c r="F141" i="2"/>
  <c r="X141" i="2"/>
  <c r="U140" i="2"/>
  <c r="T140" i="2"/>
  <c r="S140" i="2"/>
  <c r="R140" i="2"/>
  <c r="J140" i="2"/>
  <c r="I140" i="2"/>
  <c r="F140" i="2"/>
  <c r="X140" i="2"/>
  <c r="U139" i="2"/>
  <c r="T139" i="2"/>
  <c r="S139" i="2"/>
  <c r="R139" i="2"/>
  <c r="J139" i="2"/>
  <c r="I139" i="2"/>
  <c r="F139" i="2"/>
  <c r="X139" i="2"/>
  <c r="U138" i="2"/>
  <c r="T138" i="2"/>
  <c r="S138" i="2"/>
  <c r="R138" i="2"/>
  <c r="J138" i="2"/>
  <c r="I138" i="2"/>
  <c r="F138" i="2"/>
  <c r="X138" i="2"/>
  <c r="U137" i="2"/>
  <c r="T137" i="2"/>
  <c r="S137" i="2"/>
  <c r="R137" i="2"/>
  <c r="J137" i="2"/>
  <c r="I137" i="2"/>
  <c r="F137" i="2"/>
  <c r="X137" i="2"/>
  <c r="U136" i="2"/>
  <c r="T136" i="2"/>
  <c r="S136" i="2"/>
  <c r="R136" i="2"/>
  <c r="J136" i="2"/>
  <c r="I136" i="2"/>
  <c r="F136" i="2"/>
  <c r="X136" i="2"/>
  <c r="U135" i="2"/>
  <c r="T135" i="2"/>
  <c r="S135" i="2"/>
  <c r="R135" i="2"/>
  <c r="J135" i="2"/>
  <c r="I135" i="2"/>
  <c r="F135" i="2"/>
  <c r="X135" i="2"/>
  <c r="U134" i="2"/>
  <c r="T134" i="2"/>
  <c r="S134" i="2"/>
  <c r="R134" i="2"/>
  <c r="J134" i="2"/>
  <c r="I134" i="2"/>
  <c r="F134" i="2"/>
  <c r="X134" i="2"/>
  <c r="U133" i="2"/>
  <c r="T133" i="2"/>
  <c r="S133" i="2"/>
  <c r="R133" i="2"/>
  <c r="J133" i="2"/>
  <c r="I133" i="2"/>
  <c r="F133" i="2"/>
  <c r="X133" i="2"/>
  <c r="U132" i="2"/>
  <c r="T132" i="2"/>
  <c r="S132" i="2"/>
  <c r="R132" i="2"/>
  <c r="J132" i="2"/>
  <c r="I132" i="2"/>
  <c r="F132" i="2"/>
  <c r="X132" i="2"/>
  <c r="U131" i="2"/>
  <c r="T131" i="2"/>
  <c r="S131" i="2"/>
  <c r="R131" i="2"/>
  <c r="J131" i="2"/>
  <c r="I131" i="2"/>
  <c r="F131" i="2"/>
  <c r="X131" i="2"/>
  <c r="U130" i="2"/>
  <c r="T130" i="2"/>
  <c r="S130" i="2"/>
  <c r="R130" i="2"/>
  <c r="J130" i="2"/>
  <c r="I130" i="2"/>
  <c r="K130" i="2"/>
  <c r="F130" i="2"/>
  <c r="X130" i="2"/>
  <c r="U129" i="2"/>
  <c r="T129" i="2"/>
  <c r="S129" i="2"/>
  <c r="R129" i="2"/>
  <c r="J129" i="2"/>
  <c r="I129" i="2"/>
  <c r="F129" i="2"/>
  <c r="X129" i="2"/>
  <c r="U128" i="2"/>
  <c r="T128" i="2"/>
  <c r="S128" i="2"/>
  <c r="R128" i="2"/>
  <c r="J128" i="2"/>
  <c r="I128" i="2"/>
  <c r="F128" i="2"/>
  <c r="X128" i="2"/>
  <c r="U127" i="2"/>
  <c r="T127" i="2"/>
  <c r="S127" i="2"/>
  <c r="R127" i="2"/>
  <c r="J127" i="2"/>
  <c r="I127" i="2"/>
  <c r="F127" i="2"/>
  <c r="X127" i="2"/>
  <c r="U126" i="2"/>
  <c r="T126" i="2"/>
  <c r="S126" i="2"/>
  <c r="R126" i="2"/>
  <c r="J126" i="2"/>
  <c r="I126" i="2"/>
  <c r="F126" i="2"/>
  <c r="X126" i="2"/>
  <c r="U125" i="2"/>
  <c r="T125" i="2"/>
  <c r="S125" i="2"/>
  <c r="R125" i="2"/>
  <c r="J125" i="2"/>
  <c r="I125" i="2"/>
  <c r="F125" i="2"/>
  <c r="X125" i="2"/>
  <c r="U124" i="2"/>
  <c r="T124" i="2"/>
  <c r="S124" i="2"/>
  <c r="R124" i="2"/>
  <c r="J124" i="2"/>
  <c r="I124" i="2"/>
  <c r="F124" i="2"/>
  <c r="X124" i="2"/>
  <c r="U123" i="2"/>
  <c r="T123" i="2"/>
  <c r="S123" i="2"/>
  <c r="R123" i="2"/>
  <c r="J123" i="2"/>
  <c r="I123" i="2"/>
  <c r="F123" i="2"/>
  <c r="X123" i="2"/>
  <c r="U122" i="2"/>
  <c r="T122" i="2"/>
  <c r="S122" i="2"/>
  <c r="R122" i="2"/>
  <c r="J122" i="2"/>
  <c r="I122" i="2"/>
  <c r="F122" i="2"/>
  <c r="X122" i="2"/>
  <c r="U121" i="2"/>
  <c r="T121" i="2"/>
  <c r="S121" i="2"/>
  <c r="R121" i="2"/>
  <c r="J121" i="2"/>
  <c r="I121" i="2"/>
  <c r="F121" i="2"/>
  <c r="X121" i="2"/>
  <c r="U120" i="2"/>
  <c r="T120" i="2"/>
  <c r="S120" i="2"/>
  <c r="R120" i="2"/>
  <c r="J120" i="2"/>
  <c r="I120" i="2"/>
  <c r="F120" i="2"/>
  <c r="X120" i="2"/>
  <c r="U119" i="2"/>
  <c r="T119" i="2"/>
  <c r="S119" i="2"/>
  <c r="R119" i="2"/>
  <c r="J119" i="2"/>
  <c r="I119" i="2"/>
  <c r="F119" i="2"/>
  <c r="X119" i="2"/>
  <c r="U118" i="2"/>
  <c r="T118" i="2"/>
  <c r="S118" i="2"/>
  <c r="R118" i="2"/>
  <c r="J118" i="2"/>
  <c r="I118" i="2"/>
  <c r="G118" i="2"/>
  <c r="F118" i="2"/>
  <c r="X118" i="2"/>
  <c r="U117" i="2"/>
  <c r="T117" i="2"/>
  <c r="S117" i="2"/>
  <c r="R117" i="2"/>
  <c r="J117" i="2"/>
  <c r="I117" i="2"/>
  <c r="G117" i="2"/>
  <c r="F117" i="2"/>
  <c r="X117" i="2"/>
  <c r="U116" i="2"/>
  <c r="T116" i="2"/>
  <c r="S116" i="2"/>
  <c r="R116" i="2"/>
  <c r="J116" i="2"/>
  <c r="I116" i="2"/>
  <c r="G116" i="2"/>
  <c r="F116" i="2"/>
  <c r="X116" i="2"/>
  <c r="U115" i="2"/>
  <c r="T115" i="2"/>
  <c r="S115" i="2"/>
  <c r="R115" i="2"/>
  <c r="J115" i="2"/>
  <c r="I115" i="2"/>
  <c r="G115" i="2"/>
  <c r="F115" i="2"/>
  <c r="X115" i="2"/>
  <c r="U114" i="2"/>
  <c r="T114" i="2"/>
  <c r="S114" i="2"/>
  <c r="R114" i="2"/>
  <c r="J114" i="2"/>
  <c r="I114" i="2"/>
  <c r="G114" i="2"/>
  <c r="F114" i="2"/>
  <c r="X114" i="2"/>
  <c r="U113" i="2"/>
  <c r="T113" i="2"/>
  <c r="S113" i="2"/>
  <c r="R113" i="2"/>
  <c r="J113" i="2"/>
  <c r="I113" i="2"/>
  <c r="G113" i="2"/>
  <c r="F113" i="2"/>
  <c r="X113" i="2"/>
  <c r="U112" i="2"/>
  <c r="T112" i="2"/>
  <c r="S112" i="2"/>
  <c r="R112" i="2"/>
  <c r="J112" i="2"/>
  <c r="I112" i="2"/>
  <c r="G112" i="2"/>
  <c r="F112" i="2"/>
  <c r="X112" i="2"/>
  <c r="U111" i="2"/>
  <c r="T111" i="2"/>
  <c r="S111" i="2"/>
  <c r="R111" i="2"/>
  <c r="J111" i="2"/>
  <c r="I111" i="2"/>
  <c r="G111" i="2"/>
  <c r="F111" i="2"/>
  <c r="X111" i="2"/>
  <c r="U110" i="2"/>
  <c r="T110" i="2"/>
  <c r="S110" i="2"/>
  <c r="R110" i="2"/>
  <c r="J110" i="2"/>
  <c r="I110" i="2"/>
  <c r="G110" i="2"/>
  <c r="F110" i="2"/>
  <c r="X110" i="2"/>
  <c r="U109" i="2"/>
  <c r="T109" i="2"/>
  <c r="S109" i="2"/>
  <c r="R109" i="2"/>
  <c r="J109" i="2"/>
  <c r="I109" i="2"/>
  <c r="G109" i="2"/>
  <c r="F109" i="2"/>
  <c r="X109" i="2"/>
  <c r="U108" i="2"/>
  <c r="T108" i="2"/>
  <c r="S108" i="2"/>
  <c r="R108" i="2"/>
  <c r="J108" i="2"/>
  <c r="I108" i="2"/>
  <c r="G108" i="2"/>
  <c r="K108" i="2"/>
  <c r="F108" i="2"/>
  <c r="X108" i="2"/>
  <c r="U107" i="2"/>
  <c r="T107" i="2"/>
  <c r="S107" i="2"/>
  <c r="R107" i="2"/>
  <c r="J107" i="2"/>
  <c r="I107" i="2"/>
  <c r="G107" i="2"/>
  <c r="F107" i="2"/>
  <c r="X107" i="2"/>
  <c r="U106" i="2"/>
  <c r="T106" i="2"/>
  <c r="S106" i="2"/>
  <c r="R106" i="2"/>
  <c r="J106" i="2"/>
  <c r="I106" i="2"/>
  <c r="G106" i="2"/>
  <c r="F106" i="2"/>
  <c r="X106" i="2"/>
  <c r="U105" i="2"/>
  <c r="T105" i="2"/>
  <c r="S105" i="2"/>
  <c r="R105" i="2"/>
  <c r="J105" i="2"/>
  <c r="I105" i="2"/>
  <c r="G105" i="2"/>
  <c r="F105" i="2"/>
  <c r="X105" i="2"/>
  <c r="U104" i="2"/>
  <c r="T104" i="2"/>
  <c r="S104" i="2"/>
  <c r="R104" i="2"/>
  <c r="J104" i="2"/>
  <c r="I104" i="2"/>
  <c r="G104" i="2"/>
  <c r="F104" i="2"/>
  <c r="X104" i="2"/>
  <c r="U103" i="2"/>
  <c r="T103" i="2"/>
  <c r="S103" i="2"/>
  <c r="R103" i="2"/>
  <c r="J103" i="2"/>
  <c r="I103" i="2"/>
  <c r="G103" i="2"/>
  <c r="F103" i="2"/>
  <c r="X103" i="2"/>
  <c r="U102" i="2"/>
  <c r="T102" i="2"/>
  <c r="S102" i="2"/>
  <c r="R102" i="2"/>
  <c r="J102" i="2"/>
  <c r="I102" i="2"/>
  <c r="G102" i="2"/>
  <c r="F102" i="2"/>
  <c r="X102" i="2"/>
  <c r="U101" i="2"/>
  <c r="T101" i="2"/>
  <c r="S101" i="2"/>
  <c r="R101" i="2"/>
  <c r="J101" i="2"/>
  <c r="I101" i="2"/>
  <c r="G101" i="2"/>
  <c r="F101" i="2"/>
  <c r="X101" i="2"/>
  <c r="U100" i="2"/>
  <c r="T100" i="2"/>
  <c r="S100" i="2"/>
  <c r="R100" i="2"/>
  <c r="J100" i="2"/>
  <c r="I100" i="2"/>
  <c r="G100" i="2"/>
  <c r="F100" i="2"/>
  <c r="X100" i="2"/>
  <c r="U99" i="2"/>
  <c r="T99" i="2"/>
  <c r="S99" i="2"/>
  <c r="R99" i="2"/>
  <c r="J99" i="2"/>
  <c r="I99" i="2"/>
  <c r="G99" i="2"/>
  <c r="K99" i="2"/>
  <c r="F99" i="2"/>
  <c r="X99" i="2"/>
  <c r="U98" i="2"/>
  <c r="T98" i="2"/>
  <c r="S98" i="2"/>
  <c r="R98" i="2"/>
  <c r="J98" i="2"/>
  <c r="I98" i="2"/>
  <c r="H98" i="2"/>
  <c r="G98" i="2"/>
  <c r="F98" i="2"/>
  <c r="X98" i="2"/>
  <c r="U97" i="2"/>
  <c r="T97" i="2"/>
  <c r="S97" i="2"/>
  <c r="R97" i="2"/>
  <c r="J97" i="2"/>
  <c r="I97" i="2"/>
  <c r="H97" i="2"/>
  <c r="G97" i="2"/>
  <c r="F97" i="2"/>
  <c r="X97" i="2"/>
  <c r="U96" i="2"/>
  <c r="T96" i="2"/>
  <c r="S96" i="2"/>
  <c r="R96" i="2"/>
  <c r="J96" i="2"/>
  <c r="I96" i="2"/>
  <c r="H96" i="2"/>
  <c r="G96" i="2"/>
  <c r="F96" i="2"/>
  <c r="X96" i="2"/>
  <c r="U95" i="2"/>
  <c r="T95" i="2"/>
  <c r="S95" i="2"/>
  <c r="R95" i="2"/>
  <c r="J95" i="2"/>
  <c r="I95" i="2"/>
  <c r="H95" i="2"/>
  <c r="G95" i="2"/>
  <c r="F95" i="2"/>
  <c r="X95" i="2"/>
  <c r="U94" i="2"/>
  <c r="T94" i="2"/>
  <c r="S94" i="2"/>
  <c r="R94" i="2"/>
  <c r="J94" i="2"/>
  <c r="I94" i="2"/>
  <c r="H94" i="2"/>
  <c r="G94" i="2"/>
  <c r="F94" i="2"/>
  <c r="X94" i="2"/>
  <c r="U93" i="2"/>
  <c r="T93" i="2"/>
  <c r="S93" i="2"/>
  <c r="R93" i="2"/>
  <c r="J93" i="2"/>
  <c r="I93" i="2"/>
  <c r="H93" i="2"/>
  <c r="G93" i="2"/>
  <c r="F93" i="2"/>
  <c r="X93" i="2"/>
  <c r="U92" i="2"/>
  <c r="T92" i="2"/>
  <c r="S92" i="2"/>
  <c r="R92" i="2"/>
  <c r="J92" i="2"/>
  <c r="I92" i="2"/>
  <c r="H92" i="2"/>
  <c r="G92" i="2"/>
  <c r="F92" i="2"/>
  <c r="X92" i="2"/>
  <c r="U91" i="2"/>
  <c r="T91" i="2"/>
  <c r="S91" i="2"/>
  <c r="R91" i="2"/>
  <c r="J91" i="2"/>
  <c r="I91" i="2"/>
  <c r="H91" i="2"/>
  <c r="G91" i="2"/>
  <c r="F91" i="2"/>
  <c r="X91" i="2"/>
  <c r="U90" i="2"/>
  <c r="T90" i="2"/>
  <c r="S90" i="2"/>
  <c r="R90" i="2"/>
  <c r="J90" i="2"/>
  <c r="I90" i="2"/>
  <c r="H90" i="2"/>
  <c r="G90" i="2"/>
  <c r="F90" i="2"/>
  <c r="X90" i="2"/>
  <c r="U89" i="2"/>
  <c r="T89" i="2"/>
  <c r="S89" i="2"/>
  <c r="R89" i="2"/>
  <c r="J89" i="2"/>
  <c r="I89" i="2"/>
  <c r="H89" i="2"/>
  <c r="G89" i="2"/>
  <c r="F89" i="2"/>
  <c r="X89" i="2"/>
  <c r="U88" i="2"/>
  <c r="T88" i="2"/>
  <c r="S88" i="2"/>
  <c r="R88" i="2"/>
  <c r="J88" i="2"/>
  <c r="I88" i="2"/>
  <c r="H88" i="2"/>
  <c r="G88" i="2"/>
  <c r="F88" i="2"/>
  <c r="X88" i="2"/>
  <c r="U87" i="2"/>
  <c r="T87" i="2"/>
  <c r="S87" i="2"/>
  <c r="R87" i="2"/>
  <c r="J87" i="2"/>
  <c r="I87" i="2"/>
  <c r="H87" i="2"/>
  <c r="G87" i="2"/>
  <c r="F87" i="2"/>
  <c r="X87" i="2"/>
  <c r="U86" i="2"/>
  <c r="T86" i="2"/>
  <c r="S86" i="2"/>
  <c r="R86" i="2"/>
  <c r="J86" i="2"/>
  <c r="I86" i="2"/>
  <c r="H86" i="2"/>
  <c r="G86" i="2"/>
  <c r="F86" i="2"/>
  <c r="X86" i="2"/>
  <c r="U85" i="2"/>
  <c r="T85" i="2"/>
  <c r="S85" i="2"/>
  <c r="R85" i="2"/>
  <c r="J85" i="2"/>
  <c r="I85" i="2"/>
  <c r="H85" i="2"/>
  <c r="G85" i="2"/>
  <c r="F85" i="2"/>
  <c r="X85" i="2"/>
  <c r="U84" i="2"/>
  <c r="T84" i="2"/>
  <c r="S84" i="2"/>
  <c r="R84" i="2"/>
  <c r="J84" i="2"/>
  <c r="I84" i="2"/>
  <c r="H84" i="2"/>
  <c r="G84" i="2"/>
  <c r="F84" i="2"/>
  <c r="X84" i="2"/>
  <c r="U83" i="2"/>
  <c r="T83" i="2"/>
  <c r="S83" i="2"/>
  <c r="R83" i="2"/>
  <c r="J83" i="2"/>
  <c r="I83" i="2"/>
  <c r="H83" i="2"/>
  <c r="G83" i="2"/>
  <c r="F83" i="2"/>
  <c r="X83" i="2"/>
  <c r="U82" i="2"/>
  <c r="T82" i="2"/>
  <c r="S82" i="2"/>
  <c r="R82" i="2"/>
  <c r="J82" i="2"/>
  <c r="I82" i="2"/>
  <c r="H82" i="2"/>
  <c r="G82" i="2"/>
  <c r="F82" i="2"/>
  <c r="X82" i="2"/>
  <c r="U81" i="2"/>
  <c r="T81" i="2"/>
  <c r="S81" i="2"/>
  <c r="R81" i="2"/>
  <c r="J81" i="2"/>
  <c r="I81" i="2"/>
  <c r="H81" i="2"/>
  <c r="G81" i="2"/>
  <c r="F81" i="2"/>
  <c r="X81" i="2"/>
  <c r="U80" i="2"/>
  <c r="T80" i="2"/>
  <c r="S80" i="2"/>
  <c r="R80" i="2"/>
  <c r="J80" i="2"/>
  <c r="I80" i="2"/>
  <c r="H80" i="2"/>
  <c r="G80" i="2"/>
  <c r="F80" i="2"/>
  <c r="X80" i="2"/>
  <c r="U79" i="2"/>
  <c r="T79" i="2"/>
  <c r="S79" i="2"/>
  <c r="R79" i="2"/>
  <c r="J79" i="2"/>
  <c r="I79" i="2"/>
  <c r="H79" i="2"/>
  <c r="G79" i="2"/>
  <c r="F79" i="2"/>
  <c r="X79" i="2"/>
  <c r="U78" i="2"/>
  <c r="T78" i="2"/>
  <c r="S78" i="2"/>
  <c r="R78" i="2"/>
  <c r="J78" i="2"/>
  <c r="I78" i="2"/>
  <c r="H78" i="2"/>
  <c r="G78" i="2"/>
  <c r="F78" i="2"/>
  <c r="X78" i="2"/>
  <c r="U77" i="2"/>
  <c r="T77" i="2"/>
  <c r="S77" i="2"/>
  <c r="R77" i="2"/>
  <c r="J77" i="2"/>
  <c r="I77" i="2"/>
  <c r="H77" i="2"/>
  <c r="G77" i="2"/>
  <c r="F77" i="2"/>
  <c r="X77" i="2"/>
  <c r="U76" i="2"/>
  <c r="T76" i="2"/>
  <c r="S76" i="2"/>
  <c r="R76" i="2"/>
  <c r="J76" i="2"/>
  <c r="I76" i="2"/>
  <c r="H76" i="2"/>
  <c r="G76" i="2"/>
  <c r="F76" i="2"/>
  <c r="X76" i="2"/>
  <c r="U75" i="2"/>
  <c r="T75" i="2"/>
  <c r="S75" i="2"/>
  <c r="R75" i="2"/>
  <c r="J75" i="2"/>
  <c r="I75" i="2"/>
  <c r="H75" i="2"/>
  <c r="G75" i="2"/>
  <c r="F75" i="2"/>
  <c r="X75" i="2"/>
  <c r="U74" i="2"/>
  <c r="T74" i="2"/>
  <c r="S74" i="2"/>
  <c r="R74" i="2"/>
  <c r="J74" i="2"/>
  <c r="I74" i="2"/>
  <c r="H74" i="2"/>
  <c r="G74" i="2"/>
  <c r="F74" i="2"/>
  <c r="X74" i="2"/>
  <c r="U73" i="2"/>
  <c r="T73" i="2"/>
  <c r="S73" i="2"/>
  <c r="R73" i="2"/>
  <c r="J73" i="2"/>
  <c r="I73" i="2"/>
  <c r="H73" i="2"/>
  <c r="G73" i="2"/>
  <c r="F73" i="2"/>
  <c r="X73" i="2"/>
  <c r="U72" i="2"/>
  <c r="T72" i="2"/>
  <c r="S72" i="2"/>
  <c r="R72" i="2"/>
  <c r="J72" i="2"/>
  <c r="I72" i="2"/>
  <c r="H72" i="2"/>
  <c r="G72" i="2"/>
  <c r="F72" i="2"/>
  <c r="X72" i="2"/>
  <c r="U71" i="2"/>
  <c r="T71" i="2"/>
  <c r="S71" i="2"/>
  <c r="R71" i="2"/>
  <c r="J71" i="2"/>
  <c r="I71" i="2"/>
  <c r="H71" i="2"/>
  <c r="G71" i="2"/>
  <c r="F71" i="2"/>
  <c r="X71" i="2"/>
  <c r="U70" i="2"/>
  <c r="T70" i="2"/>
  <c r="S70" i="2"/>
  <c r="R70" i="2"/>
  <c r="J70" i="2"/>
  <c r="I70" i="2"/>
  <c r="H70" i="2"/>
  <c r="G70" i="2"/>
  <c r="F70" i="2"/>
  <c r="X70" i="2"/>
  <c r="U69" i="2"/>
  <c r="T69" i="2"/>
  <c r="S69" i="2"/>
  <c r="R69" i="2"/>
  <c r="J69" i="2"/>
  <c r="I69" i="2"/>
  <c r="H69" i="2"/>
  <c r="G69" i="2"/>
  <c r="F69" i="2"/>
  <c r="X69" i="2"/>
  <c r="U68" i="2"/>
  <c r="T68" i="2"/>
  <c r="S68" i="2"/>
  <c r="R68" i="2"/>
  <c r="J68" i="2"/>
  <c r="I68" i="2"/>
  <c r="H68" i="2"/>
  <c r="G68" i="2"/>
  <c r="F68" i="2"/>
  <c r="X68" i="2"/>
  <c r="U67" i="2"/>
  <c r="T67" i="2"/>
  <c r="S67" i="2"/>
  <c r="R67" i="2"/>
  <c r="J67" i="2"/>
  <c r="I67" i="2"/>
  <c r="H67" i="2"/>
  <c r="G67" i="2"/>
  <c r="F67" i="2"/>
  <c r="X67" i="2"/>
  <c r="U66" i="2"/>
  <c r="T66" i="2"/>
  <c r="S66" i="2"/>
  <c r="R66" i="2"/>
  <c r="J66" i="2"/>
  <c r="I66" i="2"/>
  <c r="H66" i="2"/>
  <c r="G66" i="2"/>
  <c r="F66" i="2"/>
  <c r="X66" i="2"/>
  <c r="U65" i="2"/>
  <c r="T65" i="2"/>
  <c r="S65" i="2"/>
  <c r="R65" i="2"/>
  <c r="J65" i="2"/>
  <c r="I65" i="2"/>
  <c r="H65" i="2"/>
  <c r="G65" i="2"/>
  <c r="F65" i="2"/>
  <c r="X65" i="2"/>
  <c r="U64" i="2"/>
  <c r="T64" i="2"/>
  <c r="S64" i="2"/>
  <c r="R64" i="2"/>
  <c r="J64" i="2"/>
  <c r="I64" i="2"/>
  <c r="H64" i="2"/>
  <c r="G64" i="2"/>
  <c r="F64" i="2"/>
  <c r="X64" i="2"/>
  <c r="U63" i="2"/>
  <c r="T63" i="2"/>
  <c r="S63" i="2"/>
  <c r="R63" i="2"/>
  <c r="J63" i="2"/>
  <c r="I63" i="2"/>
  <c r="H63" i="2"/>
  <c r="G63" i="2"/>
  <c r="F63" i="2"/>
  <c r="X63" i="2"/>
  <c r="U62" i="2"/>
  <c r="T62" i="2"/>
  <c r="S62" i="2"/>
  <c r="R62" i="2"/>
  <c r="J62" i="2"/>
  <c r="I62" i="2"/>
  <c r="H62" i="2"/>
  <c r="G62" i="2"/>
  <c r="F62" i="2"/>
  <c r="X62" i="2"/>
  <c r="U61" i="2"/>
  <c r="T61" i="2"/>
  <c r="S61" i="2"/>
  <c r="R61" i="2"/>
  <c r="J61" i="2"/>
  <c r="I61" i="2"/>
  <c r="H61" i="2"/>
  <c r="G61" i="2"/>
  <c r="F61" i="2"/>
  <c r="X61" i="2"/>
  <c r="U60" i="2"/>
  <c r="T60" i="2"/>
  <c r="S60" i="2"/>
  <c r="R60" i="2"/>
  <c r="J60" i="2"/>
  <c r="I60" i="2"/>
  <c r="H60" i="2"/>
  <c r="G60" i="2"/>
  <c r="F60" i="2"/>
  <c r="X60" i="2"/>
  <c r="U59" i="2"/>
  <c r="T59" i="2"/>
  <c r="S59" i="2"/>
  <c r="R59" i="2"/>
  <c r="J59" i="2"/>
  <c r="I59" i="2"/>
  <c r="H59" i="2"/>
  <c r="G59" i="2"/>
  <c r="F59" i="2"/>
  <c r="X59" i="2"/>
  <c r="U58" i="2"/>
  <c r="T58" i="2"/>
  <c r="S58" i="2"/>
  <c r="R58" i="2"/>
  <c r="J58" i="2"/>
  <c r="I58" i="2"/>
  <c r="H58" i="2"/>
  <c r="G58" i="2"/>
  <c r="F58" i="2"/>
  <c r="X58" i="2"/>
  <c r="U57" i="2"/>
  <c r="T57" i="2"/>
  <c r="S57" i="2"/>
  <c r="R57" i="2"/>
  <c r="J57" i="2"/>
  <c r="I57" i="2"/>
  <c r="H57" i="2"/>
  <c r="G57" i="2"/>
  <c r="F57" i="2"/>
  <c r="X57" i="2"/>
  <c r="U56" i="2"/>
  <c r="T56" i="2"/>
  <c r="S56" i="2"/>
  <c r="R56" i="2"/>
  <c r="J56" i="2"/>
  <c r="I56" i="2"/>
  <c r="H56" i="2"/>
  <c r="G56" i="2"/>
  <c r="F56" i="2"/>
  <c r="X56" i="2"/>
  <c r="T55" i="2"/>
  <c r="S55" i="2"/>
  <c r="R55" i="2"/>
  <c r="I55" i="2"/>
  <c r="H55" i="2"/>
  <c r="G55" i="2"/>
  <c r="F55" i="2"/>
  <c r="X55" i="2"/>
  <c r="U54" i="2"/>
  <c r="T54" i="2"/>
  <c r="S54" i="2"/>
  <c r="R54" i="2"/>
  <c r="J54" i="2"/>
  <c r="H54" i="2"/>
  <c r="G54" i="2"/>
  <c r="F54" i="2"/>
  <c r="X54" i="2"/>
  <c r="U53" i="2"/>
  <c r="T53" i="2"/>
  <c r="S53" i="2"/>
  <c r="R53" i="2"/>
  <c r="J53" i="2"/>
  <c r="I53" i="2"/>
  <c r="H53" i="2"/>
  <c r="G53" i="2"/>
  <c r="F53" i="2"/>
  <c r="X53" i="2"/>
  <c r="U52" i="2"/>
  <c r="T52" i="2"/>
  <c r="S52" i="2"/>
  <c r="R52" i="2"/>
  <c r="J52" i="2"/>
  <c r="I52" i="2"/>
  <c r="H52" i="2"/>
  <c r="G52" i="2"/>
  <c r="F52" i="2"/>
  <c r="X52" i="2"/>
  <c r="U51" i="2"/>
  <c r="T51" i="2"/>
  <c r="S51" i="2"/>
  <c r="R51" i="2"/>
  <c r="J51" i="2"/>
  <c r="I51" i="2"/>
  <c r="H51" i="2"/>
  <c r="G51" i="2"/>
  <c r="F51" i="2"/>
  <c r="X51" i="2"/>
  <c r="U50" i="2"/>
  <c r="T50" i="2"/>
  <c r="S50" i="2"/>
  <c r="R50" i="2"/>
  <c r="J50" i="2"/>
  <c r="I50" i="2"/>
  <c r="H50" i="2"/>
  <c r="G50" i="2"/>
  <c r="F50" i="2"/>
  <c r="X50" i="2"/>
  <c r="U49" i="2"/>
  <c r="T49" i="2"/>
  <c r="S49" i="2"/>
  <c r="R49" i="2"/>
  <c r="J49" i="2"/>
  <c r="I49" i="2"/>
  <c r="H49" i="2"/>
  <c r="G49" i="2"/>
  <c r="F49" i="2"/>
  <c r="X49" i="2"/>
  <c r="U48" i="2"/>
  <c r="T48" i="2"/>
  <c r="S48" i="2"/>
  <c r="R48" i="2"/>
  <c r="J48" i="2"/>
  <c r="I48" i="2"/>
  <c r="H48" i="2"/>
  <c r="G48" i="2"/>
  <c r="F48" i="2"/>
  <c r="X48" i="2"/>
  <c r="U47" i="2"/>
  <c r="T47" i="2"/>
  <c r="S47" i="2"/>
  <c r="R47" i="2"/>
  <c r="J47" i="2"/>
  <c r="I47" i="2"/>
  <c r="H47" i="2"/>
  <c r="G47" i="2"/>
  <c r="F47" i="2"/>
  <c r="X47" i="2"/>
  <c r="U46" i="2"/>
  <c r="T46" i="2"/>
  <c r="S46" i="2"/>
  <c r="R46" i="2"/>
  <c r="J46" i="2"/>
  <c r="I46" i="2"/>
  <c r="H46" i="2"/>
  <c r="G46" i="2"/>
  <c r="F46" i="2"/>
  <c r="X46" i="2"/>
  <c r="U45" i="2"/>
  <c r="T45" i="2"/>
  <c r="S45" i="2"/>
  <c r="R45" i="2"/>
  <c r="J45" i="2"/>
  <c r="I45" i="2"/>
  <c r="H45" i="2"/>
  <c r="G45" i="2"/>
  <c r="F45" i="2"/>
  <c r="X45" i="2"/>
  <c r="U44" i="2"/>
  <c r="T44" i="2"/>
  <c r="S44" i="2"/>
  <c r="R44" i="2"/>
  <c r="J44" i="2"/>
  <c r="I44" i="2"/>
  <c r="H44" i="2"/>
  <c r="G44" i="2"/>
  <c r="F44" i="2"/>
  <c r="X44" i="2"/>
  <c r="U43" i="2"/>
  <c r="T43" i="2"/>
  <c r="S43" i="2"/>
  <c r="R43" i="2"/>
  <c r="J43" i="2"/>
  <c r="I43" i="2"/>
  <c r="H43" i="2"/>
  <c r="G43" i="2"/>
  <c r="F43" i="2"/>
  <c r="X43" i="2"/>
  <c r="U42" i="2"/>
  <c r="T42" i="2"/>
  <c r="S42" i="2"/>
  <c r="R42" i="2"/>
  <c r="J42" i="2"/>
  <c r="I42" i="2"/>
  <c r="H42" i="2"/>
  <c r="G42" i="2"/>
  <c r="F42" i="2"/>
  <c r="X42" i="2"/>
  <c r="U41" i="2"/>
  <c r="T41" i="2"/>
  <c r="S41" i="2"/>
  <c r="R41" i="2"/>
  <c r="J41" i="2"/>
  <c r="I41" i="2"/>
  <c r="H41" i="2"/>
  <c r="G41" i="2"/>
  <c r="F41" i="2"/>
  <c r="X41" i="2"/>
  <c r="U40" i="2"/>
  <c r="T40" i="2"/>
  <c r="S40" i="2"/>
  <c r="R40" i="2"/>
  <c r="J40" i="2"/>
  <c r="I40" i="2"/>
  <c r="H40" i="2"/>
  <c r="G40" i="2"/>
  <c r="F40" i="2"/>
  <c r="X40" i="2"/>
  <c r="U39" i="2"/>
  <c r="T39" i="2"/>
  <c r="S39" i="2"/>
  <c r="R39" i="2"/>
  <c r="J39" i="2"/>
  <c r="I39" i="2"/>
  <c r="H39" i="2"/>
  <c r="G39" i="2"/>
  <c r="F39" i="2"/>
  <c r="X39" i="2"/>
  <c r="U38" i="2"/>
  <c r="T38" i="2"/>
  <c r="S38" i="2"/>
  <c r="R38" i="2"/>
  <c r="J38" i="2"/>
  <c r="I38" i="2"/>
  <c r="H38" i="2"/>
  <c r="G38" i="2"/>
  <c r="F38" i="2"/>
  <c r="X38" i="2"/>
  <c r="U37" i="2"/>
  <c r="T37" i="2"/>
  <c r="S37" i="2"/>
  <c r="R37" i="2"/>
  <c r="J37" i="2"/>
  <c r="I37" i="2"/>
  <c r="H37" i="2"/>
  <c r="G37" i="2"/>
  <c r="F37" i="2"/>
  <c r="X37" i="2"/>
  <c r="U36" i="2"/>
  <c r="T36" i="2"/>
  <c r="S36" i="2"/>
  <c r="R36" i="2"/>
  <c r="J36" i="2"/>
  <c r="I36" i="2"/>
  <c r="H36" i="2"/>
  <c r="G36" i="2"/>
  <c r="F36" i="2"/>
  <c r="X36" i="2"/>
  <c r="U35" i="2"/>
  <c r="T35" i="2"/>
  <c r="S35" i="2"/>
  <c r="R35" i="2"/>
  <c r="J35" i="2"/>
  <c r="I35" i="2"/>
  <c r="H35" i="2"/>
  <c r="G35" i="2"/>
  <c r="F35" i="2"/>
  <c r="X35" i="2"/>
  <c r="U34" i="2"/>
  <c r="T34" i="2"/>
  <c r="S34" i="2"/>
  <c r="R34" i="2"/>
  <c r="J34" i="2"/>
  <c r="I34" i="2"/>
  <c r="H34" i="2"/>
  <c r="G34" i="2"/>
  <c r="F34" i="2"/>
  <c r="X34" i="2"/>
  <c r="U33" i="2"/>
  <c r="T33" i="2"/>
  <c r="S33" i="2"/>
  <c r="R33" i="2"/>
  <c r="J33" i="2"/>
  <c r="I33" i="2"/>
  <c r="H33" i="2"/>
  <c r="G33" i="2"/>
  <c r="F33" i="2"/>
  <c r="X33" i="2"/>
  <c r="U32" i="2"/>
  <c r="T32" i="2"/>
  <c r="S32" i="2"/>
  <c r="R32" i="2"/>
  <c r="J32" i="2"/>
  <c r="I32" i="2"/>
  <c r="H32" i="2"/>
  <c r="G32" i="2"/>
  <c r="F32" i="2"/>
  <c r="X32" i="2"/>
  <c r="U31" i="2"/>
  <c r="T31" i="2"/>
  <c r="S31" i="2"/>
  <c r="R31" i="2"/>
  <c r="J31" i="2"/>
  <c r="I31" i="2"/>
  <c r="H31" i="2"/>
  <c r="G31" i="2"/>
  <c r="F31" i="2"/>
  <c r="X31" i="2"/>
  <c r="U30" i="2"/>
  <c r="T30" i="2"/>
  <c r="S30" i="2"/>
  <c r="R30" i="2"/>
  <c r="J30" i="2"/>
  <c r="I30" i="2"/>
  <c r="H30" i="2"/>
  <c r="G30" i="2"/>
  <c r="F30" i="2"/>
  <c r="X30" i="2"/>
  <c r="U29" i="2"/>
  <c r="T29" i="2"/>
  <c r="S29" i="2"/>
  <c r="R29" i="2"/>
  <c r="J29" i="2"/>
  <c r="I29" i="2"/>
  <c r="H29" i="2"/>
  <c r="G29" i="2"/>
  <c r="F29" i="2"/>
  <c r="X29" i="2"/>
  <c r="U28" i="2"/>
  <c r="T28" i="2"/>
  <c r="S28" i="2"/>
  <c r="R28" i="2"/>
  <c r="J28" i="2"/>
  <c r="I28" i="2"/>
  <c r="H28" i="2"/>
  <c r="G28" i="2"/>
  <c r="F28" i="2"/>
  <c r="X28" i="2"/>
  <c r="U27" i="2"/>
  <c r="T27" i="2"/>
  <c r="S27" i="2"/>
  <c r="R27" i="2"/>
  <c r="J27" i="2"/>
  <c r="I27" i="2"/>
  <c r="H27" i="2"/>
  <c r="G27" i="2"/>
  <c r="F27" i="2"/>
  <c r="X27" i="2"/>
  <c r="U26" i="2"/>
  <c r="T26" i="2"/>
  <c r="S26" i="2"/>
  <c r="R26" i="2"/>
  <c r="J26" i="2"/>
  <c r="I26" i="2"/>
  <c r="H26" i="2"/>
  <c r="G26" i="2"/>
  <c r="F26" i="2"/>
  <c r="X26" i="2"/>
  <c r="U25" i="2"/>
  <c r="T25" i="2"/>
  <c r="S25" i="2"/>
  <c r="R25" i="2"/>
  <c r="J25" i="2"/>
  <c r="I25" i="2"/>
  <c r="H25" i="2"/>
  <c r="G25" i="2"/>
  <c r="F25" i="2"/>
  <c r="X25" i="2"/>
  <c r="U24" i="2"/>
  <c r="T24" i="2"/>
  <c r="S24" i="2"/>
  <c r="R24" i="2"/>
  <c r="J24" i="2"/>
  <c r="I24" i="2"/>
  <c r="H24" i="2"/>
  <c r="G24" i="2"/>
  <c r="F24" i="2"/>
  <c r="X24" i="2"/>
  <c r="U23" i="2"/>
  <c r="T23" i="2"/>
  <c r="S23" i="2"/>
  <c r="R23" i="2"/>
  <c r="J23" i="2"/>
  <c r="I23" i="2"/>
  <c r="H23" i="2"/>
  <c r="G23" i="2"/>
  <c r="F23" i="2"/>
  <c r="X23" i="2"/>
  <c r="U22" i="2"/>
  <c r="T22" i="2"/>
  <c r="S22" i="2"/>
  <c r="R22" i="2"/>
  <c r="J22" i="2"/>
  <c r="I22" i="2"/>
  <c r="H22" i="2"/>
  <c r="G22" i="2"/>
  <c r="F22" i="2"/>
  <c r="X22" i="2"/>
  <c r="U21" i="2"/>
  <c r="T21" i="2"/>
  <c r="S21" i="2"/>
  <c r="R21" i="2"/>
  <c r="J21" i="2"/>
  <c r="I21" i="2"/>
  <c r="H21" i="2"/>
  <c r="G21" i="2"/>
  <c r="F21" i="2"/>
  <c r="X21" i="2"/>
  <c r="U20" i="2"/>
  <c r="T20" i="2"/>
  <c r="S20" i="2"/>
  <c r="R20" i="2"/>
  <c r="J20" i="2"/>
  <c r="I20" i="2"/>
  <c r="H20" i="2"/>
  <c r="G20" i="2"/>
  <c r="F20" i="2"/>
  <c r="X20" i="2"/>
  <c r="U19" i="2"/>
  <c r="T19" i="2"/>
  <c r="S19" i="2"/>
  <c r="R19" i="2"/>
  <c r="J19" i="2"/>
  <c r="I19" i="2"/>
  <c r="H19" i="2"/>
  <c r="G19" i="2"/>
  <c r="F19" i="2"/>
  <c r="X19" i="2"/>
  <c r="U18" i="2"/>
  <c r="T18" i="2"/>
  <c r="S18" i="2"/>
  <c r="R18" i="2"/>
  <c r="J18" i="2"/>
  <c r="H18" i="2"/>
  <c r="G18" i="2"/>
  <c r="F18" i="2"/>
  <c r="X18" i="2"/>
  <c r="U17" i="2"/>
  <c r="T17" i="2"/>
  <c r="S17" i="2"/>
  <c r="R17" i="2"/>
  <c r="J17" i="2"/>
  <c r="H17" i="2"/>
  <c r="G17" i="2"/>
  <c r="F17" i="2"/>
  <c r="X17" i="2"/>
  <c r="U16" i="2"/>
  <c r="T16" i="2"/>
  <c r="S16" i="2"/>
  <c r="R16" i="2"/>
  <c r="J16" i="2"/>
  <c r="H16" i="2"/>
  <c r="G16" i="2"/>
  <c r="F16" i="2"/>
  <c r="X16" i="2"/>
  <c r="U15" i="2"/>
  <c r="T15" i="2"/>
  <c r="S15" i="2"/>
  <c r="R15" i="2"/>
  <c r="J15" i="2"/>
  <c r="H15" i="2"/>
  <c r="G15" i="2"/>
  <c r="F15" i="2"/>
  <c r="X15" i="2"/>
  <c r="U14" i="2"/>
  <c r="T14" i="2"/>
  <c r="S14" i="2"/>
  <c r="R14" i="2"/>
  <c r="J14" i="2"/>
  <c r="H14" i="2"/>
  <c r="G14" i="2"/>
  <c r="F14" i="2"/>
  <c r="X14" i="2"/>
  <c r="U13" i="2"/>
  <c r="T13" i="2"/>
  <c r="S13" i="2"/>
  <c r="R13" i="2"/>
  <c r="J13" i="2"/>
  <c r="H13" i="2"/>
  <c r="G13" i="2"/>
  <c r="F13" i="2"/>
  <c r="X13" i="2"/>
  <c r="U12" i="2"/>
  <c r="T12" i="2"/>
  <c r="S12" i="2"/>
  <c r="R12" i="2"/>
  <c r="J12" i="2"/>
  <c r="H12" i="2"/>
  <c r="G12" i="2"/>
  <c r="F12" i="2"/>
  <c r="X12" i="2"/>
  <c r="U11" i="2"/>
  <c r="T11" i="2"/>
  <c r="S11" i="2"/>
  <c r="R11" i="2"/>
  <c r="J11" i="2"/>
  <c r="H11" i="2"/>
  <c r="G11" i="2"/>
  <c r="F11" i="2"/>
  <c r="X11" i="2"/>
  <c r="U10" i="2"/>
  <c r="T10" i="2"/>
  <c r="S10" i="2"/>
  <c r="R10" i="2"/>
  <c r="J10" i="2"/>
  <c r="H10" i="2"/>
  <c r="G10" i="2"/>
  <c r="F10" i="2"/>
  <c r="X10" i="2"/>
  <c r="U9" i="2"/>
  <c r="T9" i="2"/>
  <c r="S9" i="2"/>
  <c r="R9" i="2"/>
  <c r="J9" i="2"/>
  <c r="H9" i="2"/>
  <c r="G9" i="2"/>
  <c r="F9" i="2"/>
  <c r="X9" i="2"/>
  <c r="U8" i="2"/>
  <c r="T8" i="2"/>
  <c r="S8" i="2"/>
  <c r="R8" i="2"/>
  <c r="J8" i="2"/>
  <c r="H8" i="2"/>
  <c r="G8" i="2"/>
  <c r="F8" i="2"/>
  <c r="X8" i="2"/>
  <c r="U7" i="2"/>
  <c r="T7" i="2"/>
  <c r="S7" i="2"/>
  <c r="R7" i="2"/>
  <c r="J7" i="2"/>
  <c r="H7" i="2"/>
  <c r="G7" i="2"/>
  <c r="F7" i="2"/>
  <c r="X7" i="2"/>
  <c r="U6" i="2"/>
  <c r="T6" i="2"/>
  <c r="S6" i="2"/>
  <c r="R6" i="2"/>
  <c r="J6" i="2"/>
  <c r="H6" i="2"/>
  <c r="G6" i="2"/>
  <c r="F6" i="2"/>
  <c r="X6" i="2"/>
  <c r="U5" i="2"/>
  <c r="T5" i="2"/>
  <c r="S5" i="2"/>
  <c r="R5" i="2"/>
  <c r="J5" i="2"/>
  <c r="H5" i="2"/>
  <c r="G5" i="2"/>
  <c r="F5" i="2"/>
  <c r="X5" i="2"/>
  <c r="U4" i="2"/>
  <c r="T4" i="2"/>
  <c r="S4" i="2"/>
  <c r="R4" i="2"/>
  <c r="J4" i="2"/>
  <c r="H4" i="2"/>
  <c r="G4" i="2"/>
  <c r="F4" i="2"/>
  <c r="X4" i="2"/>
  <c r="AB3" i="2"/>
  <c r="AD3" i="2"/>
  <c r="U3" i="2"/>
  <c r="T3" i="2"/>
  <c r="S3" i="2"/>
  <c r="J3" i="2"/>
  <c r="O3" i="2"/>
  <c r="I3" i="2"/>
  <c r="N3" i="2"/>
  <c r="H3" i="2"/>
  <c r="M3" i="2"/>
  <c r="G3" i="2"/>
  <c r="F3" i="2"/>
  <c r="X3" i="2"/>
  <c r="J2" i="2"/>
  <c r="I2" i="2"/>
  <c r="H2" i="2"/>
  <c r="G2" i="2"/>
  <c r="F2" i="2"/>
  <c r="G622" i="3"/>
  <c r="AC618" i="2"/>
  <c r="F622" i="3"/>
  <c r="AB618" i="2"/>
  <c r="E622" i="3"/>
  <c r="O622" i="2"/>
  <c r="D622" i="3"/>
  <c r="N622" i="2"/>
  <c r="C622" i="3"/>
  <c r="B622" i="3"/>
  <c r="L622" i="2"/>
  <c r="G621" i="3"/>
  <c r="AC617" i="2"/>
  <c r="F621" i="3"/>
  <c r="AB617" i="2"/>
  <c r="E621" i="3"/>
  <c r="O621" i="2"/>
  <c r="D621" i="3"/>
  <c r="N621" i="2"/>
  <c r="C621" i="3"/>
  <c r="B621" i="3"/>
  <c r="L621" i="2"/>
  <c r="G620" i="3"/>
  <c r="AC616" i="2"/>
  <c r="F620" i="3"/>
  <c r="AB616" i="2"/>
  <c r="E620" i="3"/>
  <c r="D620" i="3"/>
  <c r="N620" i="2"/>
  <c r="C620" i="3"/>
  <c r="B620" i="3"/>
  <c r="L620" i="2"/>
  <c r="G619" i="3"/>
  <c r="AC615" i="2"/>
  <c r="F619" i="3"/>
  <c r="AB615" i="2"/>
  <c r="E619" i="3"/>
  <c r="O619" i="2"/>
  <c r="D619" i="3"/>
  <c r="C619" i="3"/>
  <c r="B619" i="3"/>
  <c r="L619" i="2"/>
  <c r="G618" i="3"/>
  <c r="AC614" i="2"/>
  <c r="F618" i="3"/>
  <c r="AB614" i="2"/>
  <c r="E618" i="3"/>
  <c r="O618" i="2"/>
  <c r="D618" i="3"/>
  <c r="C618" i="3"/>
  <c r="M618" i="2"/>
  <c r="B618" i="3"/>
  <c r="G617" i="3"/>
  <c r="AC613" i="2"/>
  <c r="F617" i="3"/>
  <c r="AB613" i="2"/>
  <c r="E617" i="3"/>
  <c r="O617" i="2"/>
  <c r="D617" i="3"/>
  <c r="N617" i="2"/>
  <c r="C617" i="3"/>
  <c r="B617" i="3"/>
  <c r="L617" i="2"/>
  <c r="G616" i="3"/>
  <c r="AC612" i="2"/>
  <c r="F616" i="3"/>
  <c r="AB612" i="2"/>
  <c r="E616" i="3"/>
  <c r="O616" i="2"/>
  <c r="D616" i="3"/>
  <c r="C616" i="3"/>
  <c r="B616" i="3"/>
  <c r="L616" i="2"/>
  <c r="G615" i="3"/>
  <c r="AC611" i="2"/>
  <c r="F615" i="3"/>
  <c r="AB611" i="2"/>
  <c r="E615" i="3"/>
  <c r="O615" i="2"/>
  <c r="D615" i="3"/>
  <c r="C615" i="3"/>
  <c r="M615" i="2"/>
  <c r="B615" i="3"/>
  <c r="L615" i="2"/>
  <c r="G614" i="3"/>
  <c r="AC610" i="2"/>
  <c r="F614" i="3"/>
  <c r="AB610" i="2"/>
  <c r="E614" i="3"/>
  <c r="O614" i="2"/>
  <c r="D614" i="3"/>
  <c r="C614" i="3"/>
  <c r="B614" i="3"/>
  <c r="L614" i="2"/>
  <c r="G613" i="3"/>
  <c r="AC609" i="2"/>
  <c r="F613" i="3"/>
  <c r="AB609" i="2"/>
  <c r="E613" i="3"/>
  <c r="O613" i="2"/>
  <c r="D613" i="3"/>
  <c r="C613" i="3"/>
  <c r="M613" i="2"/>
  <c r="B613" i="3"/>
  <c r="L613" i="2"/>
  <c r="G612" i="3"/>
  <c r="AC608" i="2"/>
  <c r="F612" i="3"/>
  <c r="AB608" i="2"/>
  <c r="E612" i="3"/>
  <c r="O612" i="2"/>
  <c r="D612" i="3"/>
  <c r="C612" i="3"/>
  <c r="B612" i="3"/>
  <c r="L612" i="2"/>
  <c r="G611" i="3"/>
  <c r="AC607" i="2"/>
  <c r="F611" i="3"/>
  <c r="AB607" i="2"/>
  <c r="E611" i="3"/>
  <c r="O611" i="2"/>
  <c r="D611" i="3"/>
  <c r="C611" i="3"/>
  <c r="M611" i="2"/>
  <c r="B611" i="3"/>
  <c r="G610" i="3"/>
  <c r="AC606" i="2"/>
  <c r="F610" i="3"/>
  <c r="AB606" i="2"/>
  <c r="E610" i="3"/>
  <c r="O610" i="2"/>
  <c r="D610" i="3"/>
  <c r="C610" i="3"/>
  <c r="M610" i="2"/>
  <c r="B610" i="3"/>
  <c r="L610" i="2"/>
  <c r="G609" i="3"/>
  <c r="AC605" i="2"/>
  <c r="F609" i="3"/>
  <c r="AB605" i="2"/>
  <c r="E609" i="3"/>
  <c r="O609" i="2"/>
  <c r="D609" i="3"/>
  <c r="C609" i="3"/>
  <c r="M609" i="2"/>
  <c r="B609" i="3"/>
  <c r="G608" i="3"/>
  <c r="AC604" i="2"/>
  <c r="F608" i="3"/>
  <c r="AB604" i="2"/>
  <c r="E608" i="3"/>
  <c r="O608" i="2"/>
  <c r="D608" i="3"/>
  <c r="C608" i="3"/>
  <c r="M608" i="2"/>
  <c r="B608" i="3"/>
  <c r="L608" i="2"/>
  <c r="G607" i="3"/>
  <c r="AC603" i="2"/>
  <c r="F607" i="3"/>
  <c r="AB603" i="2"/>
  <c r="E607" i="3"/>
  <c r="O607" i="2"/>
  <c r="D607" i="3"/>
  <c r="C607" i="3"/>
  <c r="M607" i="2"/>
  <c r="B607" i="3"/>
  <c r="G606" i="3"/>
  <c r="AC602" i="2"/>
  <c r="F606" i="3"/>
  <c r="AB602" i="2"/>
  <c r="E606" i="3"/>
  <c r="O606" i="2"/>
  <c r="D606" i="3"/>
  <c r="C606" i="3"/>
  <c r="M606" i="2"/>
  <c r="B606" i="3"/>
  <c r="L606" i="2"/>
  <c r="G605" i="3"/>
  <c r="AC601" i="2"/>
  <c r="F605" i="3"/>
  <c r="AB601" i="2"/>
  <c r="E605" i="3"/>
  <c r="O605" i="2"/>
  <c r="D605" i="3"/>
  <c r="C605" i="3"/>
  <c r="M605" i="2"/>
  <c r="B605" i="3"/>
  <c r="G604" i="3"/>
  <c r="AC600" i="2"/>
  <c r="F604" i="3"/>
  <c r="AB600" i="2"/>
  <c r="E604" i="3"/>
  <c r="O604" i="2"/>
  <c r="D604" i="3"/>
  <c r="C604" i="3"/>
  <c r="M604" i="2"/>
  <c r="B604" i="3"/>
  <c r="L604" i="2"/>
  <c r="G603" i="3"/>
  <c r="AC599" i="2"/>
  <c r="F603" i="3"/>
  <c r="AB599" i="2"/>
  <c r="E603" i="3"/>
  <c r="D603" i="3"/>
  <c r="N603" i="2"/>
  <c r="C603" i="3"/>
  <c r="B603" i="3"/>
  <c r="L603" i="2"/>
  <c r="G602" i="3"/>
  <c r="AC598" i="2"/>
  <c r="F602" i="3"/>
  <c r="AB598" i="2"/>
  <c r="E602" i="3"/>
  <c r="O602" i="2"/>
  <c r="D602" i="3"/>
  <c r="C602" i="3"/>
  <c r="M602" i="2"/>
  <c r="B602" i="3"/>
  <c r="L602" i="2"/>
  <c r="G601" i="3"/>
  <c r="AC597" i="2"/>
  <c r="F601" i="3"/>
  <c r="AB597" i="2"/>
  <c r="E601" i="3"/>
  <c r="D601" i="3"/>
  <c r="N601" i="2"/>
  <c r="C601" i="3"/>
  <c r="B601" i="3"/>
  <c r="L601" i="2"/>
  <c r="G600" i="3"/>
  <c r="AC596" i="2"/>
  <c r="F600" i="3"/>
  <c r="AB596" i="2"/>
  <c r="E600" i="3"/>
  <c r="O600" i="2"/>
  <c r="D600" i="3"/>
  <c r="C600" i="3"/>
  <c r="M600" i="2"/>
  <c r="B600" i="3"/>
  <c r="G599" i="3"/>
  <c r="AC595" i="2"/>
  <c r="F599" i="3"/>
  <c r="AB595" i="2"/>
  <c r="E599" i="3"/>
  <c r="D599" i="3"/>
  <c r="N599" i="2"/>
  <c r="C599" i="3"/>
  <c r="M599" i="2"/>
  <c r="B599" i="3"/>
  <c r="L599" i="2"/>
  <c r="G598" i="3"/>
  <c r="AC594" i="2"/>
  <c r="F598" i="3"/>
  <c r="AB594" i="2"/>
  <c r="E598" i="3"/>
  <c r="O598" i="2"/>
  <c r="D598" i="3"/>
  <c r="C598" i="3"/>
  <c r="M598" i="2"/>
  <c r="B598" i="3"/>
  <c r="G597" i="3"/>
  <c r="AC593" i="2"/>
  <c r="F597" i="3"/>
  <c r="AB593" i="2"/>
  <c r="E597" i="3"/>
  <c r="D597" i="3"/>
  <c r="N597" i="2"/>
  <c r="C597" i="3"/>
  <c r="M597" i="2"/>
  <c r="B597" i="3"/>
  <c r="L597" i="2"/>
  <c r="G596" i="3"/>
  <c r="AC592" i="2"/>
  <c r="F596" i="3"/>
  <c r="AB592" i="2"/>
  <c r="E596" i="3"/>
  <c r="O596" i="2"/>
  <c r="D596" i="3"/>
  <c r="C596" i="3"/>
  <c r="M596" i="2"/>
  <c r="B596" i="3"/>
  <c r="G595" i="3"/>
  <c r="AC591" i="2"/>
  <c r="F595" i="3"/>
  <c r="AB591" i="2"/>
  <c r="E595" i="3"/>
  <c r="D595" i="3"/>
  <c r="N595" i="2"/>
  <c r="C595" i="3"/>
  <c r="M595" i="2"/>
  <c r="B595" i="3"/>
  <c r="L595" i="2"/>
  <c r="G594" i="3"/>
  <c r="AC590" i="2"/>
  <c r="F594" i="3"/>
  <c r="AB590" i="2"/>
  <c r="E594" i="3"/>
  <c r="O594" i="2"/>
  <c r="D594" i="3"/>
  <c r="C594" i="3"/>
  <c r="M594" i="2"/>
  <c r="B594" i="3"/>
  <c r="G593" i="3"/>
  <c r="AC589" i="2"/>
  <c r="F593" i="3"/>
  <c r="AB589" i="2"/>
  <c r="E593" i="3"/>
  <c r="D593" i="3"/>
  <c r="N593" i="2"/>
  <c r="C593" i="3"/>
  <c r="M593" i="2"/>
  <c r="B593" i="3"/>
  <c r="L593" i="2"/>
  <c r="G592" i="3"/>
  <c r="AC588" i="2"/>
  <c r="F592" i="3"/>
  <c r="AB588" i="2"/>
  <c r="E592" i="3"/>
  <c r="O592" i="2"/>
  <c r="D592" i="3"/>
  <c r="C592" i="3"/>
  <c r="M592" i="2"/>
  <c r="B592" i="3"/>
  <c r="G591" i="3"/>
  <c r="AC587" i="2"/>
  <c r="F591" i="3"/>
  <c r="AB587" i="2"/>
  <c r="E591" i="3"/>
  <c r="D591" i="3"/>
  <c r="N591" i="2"/>
  <c r="C591" i="3"/>
  <c r="M591" i="2"/>
  <c r="B591" i="3"/>
  <c r="L591" i="2"/>
  <c r="G590" i="3"/>
  <c r="AC586" i="2"/>
  <c r="F590" i="3"/>
  <c r="AB586" i="2"/>
  <c r="E590" i="3"/>
  <c r="O590" i="2"/>
  <c r="D590" i="3"/>
  <c r="C590" i="3"/>
  <c r="M590" i="2"/>
  <c r="B590" i="3"/>
  <c r="G589" i="3"/>
  <c r="AC585" i="2"/>
  <c r="F589" i="3"/>
  <c r="AB585" i="2"/>
  <c r="E589" i="3"/>
  <c r="D589" i="3"/>
  <c r="N589" i="2"/>
  <c r="C589" i="3"/>
  <c r="M589" i="2"/>
  <c r="B589" i="3"/>
  <c r="L589" i="2"/>
  <c r="G588" i="3"/>
  <c r="AC584" i="2"/>
  <c r="F588" i="3"/>
  <c r="AB584" i="2"/>
  <c r="E588" i="3"/>
  <c r="O588" i="2"/>
  <c r="D588" i="3"/>
  <c r="C588" i="3"/>
  <c r="B588" i="3"/>
  <c r="G587" i="3"/>
  <c r="AC583" i="2"/>
  <c r="F587" i="3"/>
  <c r="AB583" i="2"/>
  <c r="E587" i="3"/>
  <c r="D587" i="3"/>
  <c r="N587" i="2"/>
  <c r="C587" i="3"/>
  <c r="M587" i="2"/>
  <c r="B587" i="3"/>
  <c r="L587" i="2"/>
  <c r="G586" i="3"/>
  <c r="AC582" i="2"/>
  <c r="F586" i="3"/>
  <c r="AB582" i="2"/>
  <c r="E586" i="3"/>
  <c r="O586" i="2"/>
  <c r="D586" i="3"/>
  <c r="C586" i="3"/>
  <c r="B586" i="3"/>
  <c r="G585" i="3"/>
  <c r="AC581" i="2"/>
  <c r="F585" i="3"/>
  <c r="AB581" i="2"/>
  <c r="E585" i="3"/>
  <c r="D585" i="3"/>
  <c r="N585" i="2"/>
  <c r="C585" i="3"/>
  <c r="M585" i="2"/>
  <c r="B585" i="3"/>
  <c r="L585" i="2"/>
  <c r="G584" i="3"/>
  <c r="AC580" i="2"/>
  <c r="F584" i="3"/>
  <c r="AB580" i="2"/>
  <c r="E584" i="3"/>
  <c r="O584" i="2"/>
  <c r="D584" i="3"/>
  <c r="C584" i="3"/>
  <c r="B584" i="3"/>
  <c r="G583" i="3"/>
  <c r="AC579" i="2"/>
  <c r="F583" i="3"/>
  <c r="AB579" i="2"/>
  <c r="E583" i="3"/>
  <c r="D583" i="3"/>
  <c r="N583" i="2"/>
  <c r="C583" i="3"/>
  <c r="M583" i="2"/>
  <c r="B583" i="3"/>
  <c r="L583" i="2"/>
  <c r="G582" i="3"/>
  <c r="AC578" i="2"/>
  <c r="F582" i="3"/>
  <c r="AB578" i="2"/>
  <c r="E582" i="3"/>
  <c r="O582" i="2"/>
  <c r="D582" i="3"/>
  <c r="C582" i="3"/>
  <c r="B582" i="3"/>
  <c r="L582" i="2"/>
  <c r="G581" i="3"/>
  <c r="F581" i="3"/>
  <c r="E581" i="3"/>
  <c r="D581" i="3"/>
  <c r="N581" i="2"/>
  <c r="C581" i="3"/>
  <c r="M581" i="2"/>
  <c r="B581" i="3"/>
  <c r="L581" i="2"/>
  <c r="G580" i="3"/>
  <c r="F580" i="3"/>
  <c r="E580" i="3"/>
  <c r="O580" i="2"/>
  <c r="D580" i="3"/>
  <c r="C580" i="3"/>
  <c r="B580" i="3"/>
  <c r="L580" i="2"/>
  <c r="G579" i="3"/>
  <c r="F579" i="3"/>
  <c r="E579" i="3"/>
  <c r="O579" i="2"/>
  <c r="D579" i="3"/>
  <c r="N579" i="2"/>
  <c r="C579" i="3"/>
  <c r="M579" i="2"/>
  <c r="B579" i="3"/>
  <c r="G578" i="3"/>
  <c r="F578" i="3"/>
  <c r="E578" i="3"/>
  <c r="O578" i="2"/>
  <c r="D578" i="3"/>
  <c r="C578" i="3"/>
  <c r="B578" i="3"/>
  <c r="L578" i="2"/>
  <c r="G577" i="3"/>
  <c r="AC573" i="2"/>
  <c r="F577" i="3"/>
  <c r="AB573" i="2"/>
  <c r="E577" i="3"/>
  <c r="O577" i="2"/>
  <c r="D577" i="3"/>
  <c r="N577" i="2"/>
  <c r="C577" i="3"/>
  <c r="M577" i="2"/>
  <c r="B577" i="3"/>
  <c r="G576" i="3"/>
  <c r="AC572" i="2"/>
  <c r="F576" i="3"/>
  <c r="AB572" i="2"/>
  <c r="E576" i="3"/>
  <c r="O576" i="2"/>
  <c r="D576" i="3"/>
  <c r="C576" i="3"/>
  <c r="B576" i="3"/>
  <c r="L576" i="2"/>
  <c r="G575" i="3"/>
  <c r="AC571" i="2"/>
  <c r="F575" i="3"/>
  <c r="AB571" i="2"/>
  <c r="E575" i="3"/>
  <c r="O575" i="2"/>
  <c r="D575" i="3"/>
  <c r="N575" i="2"/>
  <c r="C575" i="3"/>
  <c r="M575" i="2"/>
  <c r="B575" i="3"/>
  <c r="G574" i="3"/>
  <c r="AC570" i="2"/>
  <c r="F574" i="3"/>
  <c r="AB570" i="2"/>
  <c r="E574" i="3"/>
  <c r="O574" i="2"/>
  <c r="D574" i="3"/>
  <c r="C574" i="3"/>
  <c r="B574" i="3"/>
  <c r="L574" i="2"/>
  <c r="G573" i="3"/>
  <c r="AC569" i="2"/>
  <c r="F573" i="3"/>
  <c r="AB569" i="2"/>
  <c r="E573" i="3"/>
  <c r="O573" i="2"/>
  <c r="D573" i="3"/>
  <c r="N573" i="2"/>
  <c r="C573" i="3"/>
  <c r="M573" i="2"/>
  <c r="B573" i="3"/>
  <c r="G572" i="3"/>
  <c r="AC568" i="2"/>
  <c r="F572" i="3"/>
  <c r="AB568" i="2"/>
  <c r="E572" i="3"/>
  <c r="O572" i="2"/>
  <c r="D572" i="3"/>
  <c r="C572" i="3"/>
  <c r="B572" i="3"/>
  <c r="L572" i="2"/>
  <c r="G571" i="3"/>
  <c r="AC567" i="2"/>
  <c r="F571" i="3"/>
  <c r="AB567" i="2"/>
  <c r="E571" i="3"/>
  <c r="O571" i="2"/>
  <c r="D571" i="3"/>
  <c r="N571" i="2"/>
  <c r="C571" i="3"/>
  <c r="M571" i="2"/>
  <c r="B571" i="3"/>
  <c r="L571" i="2"/>
  <c r="G570" i="3"/>
  <c r="AC566" i="2"/>
  <c r="F570" i="3"/>
  <c r="AB566" i="2"/>
  <c r="E570" i="3"/>
  <c r="O570" i="2"/>
  <c r="D570" i="3"/>
  <c r="C570" i="3"/>
  <c r="B570" i="3"/>
  <c r="L570" i="2"/>
  <c r="G569" i="3"/>
  <c r="AC565" i="2"/>
  <c r="F569" i="3"/>
  <c r="AB565" i="2"/>
  <c r="E569" i="3"/>
  <c r="O569" i="2"/>
  <c r="D569" i="3"/>
  <c r="N569" i="2"/>
  <c r="C569" i="3"/>
  <c r="M569" i="2"/>
  <c r="B569" i="3"/>
  <c r="L569" i="2"/>
  <c r="G568" i="3"/>
  <c r="AC564" i="2"/>
  <c r="F568" i="3"/>
  <c r="AB564" i="2"/>
  <c r="E568" i="3"/>
  <c r="O568" i="2"/>
  <c r="D568" i="3"/>
  <c r="C568" i="3"/>
  <c r="B568" i="3"/>
  <c r="L568" i="2"/>
  <c r="G567" i="3"/>
  <c r="AC563" i="2"/>
  <c r="F567" i="3"/>
  <c r="AB563" i="2"/>
  <c r="E567" i="3"/>
  <c r="O567" i="2"/>
  <c r="D567" i="3"/>
  <c r="N567" i="2"/>
  <c r="C567" i="3"/>
  <c r="M567" i="2"/>
  <c r="B567" i="3"/>
  <c r="L567" i="2"/>
  <c r="G566" i="3"/>
  <c r="AC562" i="2"/>
  <c r="F566" i="3"/>
  <c r="AB562" i="2"/>
  <c r="E566" i="3"/>
  <c r="O566" i="2"/>
  <c r="D566" i="3"/>
  <c r="C566" i="3"/>
  <c r="B566" i="3"/>
  <c r="L566" i="2"/>
  <c r="G565" i="3"/>
  <c r="AC561" i="2"/>
  <c r="F565" i="3"/>
  <c r="AB561" i="2"/>
  <c r="E565" i="3"/>
  <c r="O565" i="2"/>
  <c r="D565" i="3"/>
  <c r="N565" i="2"/>
  <c r="C565" i="3"/>
  <c r="M565" i="2"/>
  <c r="B565" i="3"/>
  <c r="L565" i="2"/>
  <c r="G564" i="3"/>
  <c r="AC560" i="2"/>
  <c r="F564" i="3"/>
  <c r="AB560" i="2"/>
  <c r="E564" i="3"/>
  <c r="O564" i="2"/>
  <c r="D564" i="3"/>
  <c r="C564" i="3"/>
  <c r="B564" i="3"/>
  <c r="L564" i="2"/>
  <c r="G563" i="3"/>
  <c r="AC559" i="2"/>
  <c r="F563" i="3"/>
  <c r="AB559" i="2"/>
  <c r="E563" i="3"/>
  <c r="O563" i="2"/>
  <c r="D563" i="3"/>
  <c r="N563" i="2"/>
  <c r="C563" i="3"/>
  <c r="M563" i="2"/>
  <c r="B563" i="3"/>
  <c r="L563" i="2"/>
  <c r="G562" i="3"/>
  <c r="AC558" i="2"/>
  <c r="F562" i="3"/>
  <c r="AB558" i="2"/>
  <c r="E562" i="3"/>
  <c r="O562" i="2"/>
  <c r="D562" i="3"/>
  <c r="C562" i="3"/>
  <c r="B562" i="3"/>
  <c r="L562" i="2"/>
  <c r="G561" i="3"/>
  <c r="AC557" i="2"/>
  <c r="F561" i="3"/>
  <c r="AB557" i="2"/>
  <c r="E561" i="3"/>
  <c r="O561" i="2"/>
  <c r="D561" i="3"/>
  <c r="N561" i="2"/>
  <c r="C561" i="3"/>
  <c r="M561" i="2"/>
  <c r="B561" i="3"/>
  <c r="L561" i="2"/>
  <c r="G560" i="3"/>
  <c r="AC556" i="2"/>
  <c r="F560" i="3"/>
  <c r="AB556" i="2"/>
  <c r="E560" i="3"/>
  <c r="O560" i="2"/>
  <c r="D560" i="3"/>
  <c r="C560" i="3"/>
  <c r="B560" i="3"/>
  <c r="L560" i="2"/>
  <c r="G559" i="3"/>
  <c r="AC555" i="2"/>
  <c r="F559" i="3"/>
  <c r="AB555" i="2"/>
  <c r="E559" i="3"/>
  <c r="O559" i="2"/>
  <c r="D559" i="3"/>
  <c r="N559" i="2"/>
  <c r="C559" i="3"/>
  <c r="M559" i="2"/>
  <c r="B559" i="3"/>
  <c r="L559" i="2"/>
  <c r="G558" i="3"/>
  <c r="AC554" i="2"/>
  <c r="F558" i="3"/>
  <c r="AB554" i="2"/>
  <c r="E558" i="3"/>
  <c r="O558" i="2"/>
  <c r="D558" i="3"/>
  <c r="C558" i="3"/>
  <c r="B558" i="3"/>
  <c r="L558" i="2"/>
  <c r="G557" i="3"/>
  <c r="AC553" i="2"/>
  <c r="F557" i="3"/>
  <c r="AB553" i="2"/>
  <c r="E557" i="3"/>
  <c r="O557" i="2"/>
  <c r="D557" i="3"/>
  <c r="N557" i="2"/>
  <c r="C557" i="3"/>
  <c r="M557" i="2"/>
  <c r="B557" i="3"/>
  <c r="L557" i="2"/>
  <c r="G556" i="3"/>
  <c r="AC552" i="2"/>
  <c r="F556" i="3"/>
  <c r="AB552" i="2"/>
  <c r="E556" i="3"/>
  <c r="O556" i="2"/>
  <c r="D556" i="3"/>
  <c r="C556" i="3"/>
  <c r="B556" i="3"/>
  <c r="L556" i="2"/>
  <c r="G555" i="3"/>
  <c r="AC551" i="2"/>
  <c r="F555" i="3"/>
  <c r="AB551" i="2"/>
  <c r="E555" i="3"/>
  <c r="O555" i="2"/>
  <c r="D555" i="3"/>
  <c r="N555" i="2"/>
  <c r="C555" i="3"/>
  <c r="M555" i="2"/>
  <c r="B555" i="3"/>
  <c r="L555" i="2"/>
  <c r="G554" i="3"/>
  <c r="AC550" i="2"/>
  <c r="F554" i="3"/>
  <c r="AB550" i="2"/>
  <c r="E554" i="3"/>
  <c r="O554" i="2"/>
  <c r="D554" i="3"/>
  <c r="C554" i="3"/>
  <c r="B554" i="3"/>
  <c r="L554" i="2"/>
  <c r="G553" i="3"/>
  <c r="AC549" i="2"/>
  <c r="F553" i="3"/>
  <c r="AB549" i="2"/>
  <c r="E553" i="3"/>
  <c r="O553" i="2"/>
  <c r="D553" i="3"/>
  <c r="N553" i="2"/>
  <c r="C553" i="3"/>
  <c r="M553" i="2"/>
  <c r="B553" i="3"/>
  <c r="L553" i="2"/>
  <c r="G552" i="3"/>
  <c r="AC548" i="2"/>
  <c r="F552" i="3"/>
  <c r="AB548" i="2"/>
  <c r="E552" i="3"/>
  <c r="O552" i="2"/>
  <c r="D552" i="3"/>
  <c r="C552" i="3"/>
  <c r="B552" i="3"/>
  <c r="L552" i="2"/>
  <c r="G551" i="3"/>
  <c r="AC547" i="2"/>
  <c r="F551" i="3"/>
  <c r="AB547" i="2"/>
  <c r="E551" i="3"/>
  <c r="O551" i="2"/>
  <c r="D551" i="3"/>
  <c r="N551" i="2"/>
  <c r="C551" i="3"/>
  <c r="M551" i="2"/>
  <c r="B551" i="3"/>
  <c r="L551" i="2"/>
  <c r="G550" i="3"/>
  <c r="AC546" i="2"/>
  <c r="F550" i="3"/>
  <c r="AB546" i="2"/>
  <c r="E550" i="3"/>
  <c r="O550" i="2"/>
  <c r="D550" i="3"/>
  <c r="C550" i="3"/>
  <c r="B550" i="3"/>
  <c r="L550" i="2"/>
  <c r="G549" i="3"/>
  <c r="AC545" i="2"/>
  <c r="F549" i="3"/>
  <c r="AB545" i="2"/>
  <c r="E549" i="3"/>
  <c r="O549" i="2"/>
  <c r="D549" i="3"/>
  <c r="N549" i="2"/>
  <c r="C549" i="3"/>
  <c r="M549" i="2"/>
  <c r="B549" i="3"/>
  <c r="L549" i="2"/>
  <c r="G548" i="3"/>
  <c r="AC544" i="2"/>
  <c r="F548" i="3"/>
  <c r="AB544" i="2"/>
  <c r="E548" i="3"/>
  <c r="O548" i="2"/>
  <c r="D548" i="3"/>
  <c r="C548" i="3"/>
  <c r="B548" i="3"/>
  <c r="L548" i="2"/>
  <c r="G547" i="3"/>
  <c r="AC543" i="2"/>
  <c r="F547" i="3"/>
  <c r="AB543" i="2"/>
  <c r="E547" i="3"/>
  <c r="O547" i="2"/>
  <c r="D547" i="3"/>
  <c r="N547" i="2"/>
  <c r="C547" i="3"/>
  <c r="M547" i="2"/>
  <c r="B547" i="3"/>
  <c r="L547" i="2"/>
  <c r="G546" i="3"/>
  <c r="AC542" i="2"/>
  <c r="F546" i="3"/>
  <c r="AB542" i="2"/>
  <c r="E546" i="3"/>
  <c r="O546" i="2"/>
  <c r="D546" i="3"/>
  <c r="C546" i="3"/>
  <c r="B546" i="3"/>
  <c r="L546" i="2"/>
  <c r="G545" i="3"/>
  <c r="AC541" i="2"/>
  <c r="F545" i="3"/>
  <c r="AB541" i="2"/>
  <c r="E545" i="3"/>
  <c r="O545" i="2"/>
  <c r="D545" i="3"/>
  <c r="N545" i="2"/>
  <c r="C545" i="3"/>
  <c r="M545" i="2"/>
  <c r="B545" i="3"/>
  <c r="L545" i="2"/>
  <c r="G544" i="3"/>
  <c r="AC540" i="2"/>
  <c r="F544" i="3"/>
  <c r="AB540" i="2"/>
  <c r="E544" i="3"/>
  <c r="O544" i="2"/>
  <c r="D544" i="3"/>
  <c r="C544" i="3"/>
  <c r="B544" i="3"/>
  <c r="L544" i="2"/>
  <c r="G543" i="3"/>
  <c r="AC539" i="2"/>
  <c r="F543" i="3"/>
  <c r="AB539" i="2"/>
  <c r="E543" i="3"/>
  <c r="O543" i="2"/>
  <c r="D543" i="3"/>
  <c r="N543" i="2"/>
  <c r="C543" i="3"/>
  <c r="M543" i="2"/>
  <c r="B543" i="3"/>
  <c r="L543" i="2"/>
  <c r="G542" i="3"/>
  <c r="AC538" i="2"/>
  <c r="F542" i="3"/>
  <c r="AB538" i="2"/>
  <c r="E542" i="3"/>
  <c r="O542" i="2"/>
  <c r="D542" i="3"/>
  <c r="C542" i="3"/>
  <c r="B542" i="3"/>
  <c r="L542" i="2"/>
  <c r="G541" i="3"/>
  <c r="AC537" i="2"/>
  <c r="F541" i="3"/>
  <c r="AB537" i="2"/>
  <c r="E541" i="3"/>
  <c r="O541" i="2"/>
  <c r="D541" i="3"/>
  <c r="N541" i="2"/>
  <c r="C541" i="3"/>
  <c r="M541" i="2"/>
  <c r="B541" i="3"/>
  <c r="L541" i="2"/>
  <c r="G540" i="3"/>
  <c r="AC536" i="2"/>
  <c r="F540" i="3"/>
  <c r="AB536" i="2"/>
  <c r="E540" i="3"/>
  <c r="O540" i="2"/>
  <c r="D540" i="3"/>
  <c r="C540" i="3"/>
  <c r="B540" i="3"/>
  <c r="L540" i="2"/>
  <c r="G539" i="3"/>
  <c r="AC535" i="2"/>
  <c r="F539" i="3"/>
  <c r="AB535" i="2"/>
  <c r="E539" i="3"/>
  <c r="O539" i="2"/>
  <c r="D539" i="3"/>
  <c r="N539" i="2"/>
  <c r="C539" i="3"/>
  <c r="M539" i="2"/>
  <c r="B539" i="3"/>
  <c r="L539" i="2"/>
  <c r="G538" i="3"/>
  <c r="AC534" i="2"/>
  <c r="F538" i="3"/>
  <c r="AB534" i="2"/>
  <c r="E538" i="3"/>
  <c r="O538" i="2"/>
  <c r="D538" i="3"/>
  <c r="C538" i="3"/>
  <c r="B538" i="3"/>
  <c r="L538" i="2"/>
  <c r="G537" i="3"/>
  <c r="AC533" i="2"/>
  <c r="F537" i="3"/>
  <c r="AB533" i="2"/>
  <c r="E537" i="3"/>
  <c r="O537" i="2"/>
  <c r="D537" i="3"/>
  <c r="N537" i="2"/>
  <c r="C537" i="3"/>
  <c r="M537" i="2"/>
  <c r="B537" i="3"/>
  <c r="L537" i="2"/>
  <c r="G536" i="3"/>
  <c r="AC532" i="2"/>
  <c r="F536" i="3"/>
  <c r="AB532" i="2"/>
  <c r="E536" i="3"/>
  <c r="O536" i="2"/>
  <c r="D536" i="3"/>
  <c r="C536" i="3"/>
  <c r="B536" i="3"/>
  <c r="L536" i="2"/>
  <c r="G535" i="3"/>
  <c r="AC531" i="2"/>
  <c r="F535" i="3"/>
  <c r="AB531" i="2"/>
  <c r="E535" i="3"/>
  <c r="O535" i="2"/>
  <c r="D535" i="3"/>
  <c r="N535" i="2"/>
  <c r="C535" i="3"/>
  <c r="M535" i="2"/>
  <c r="B535" i="3"/>
  <c r="L535" i="2"/>
  <c r="G534" i="3"/>
  <c r="AC530" i="2"/>
  <c r="F534" i="3"/>
  <c r="AB530" i="2"/>
  <c r="E534" i="3"/>
  <c r="O534" i="2"/>
  <c r="D534" i="3"/>
  <c r="C534" i="3"/>
  <c r="B534" i="3"/>
  <c r="L534" i="2"/>
  <c r="G533" i="3"/>
  <c r="AC529" i="2"/>
  <c r="F533" i="3"/>
  <c r="AB529" i="2"/>
  <c r="E533" i="3"/>
  <c r="O533" i="2"/>
  <c r="D533" i="3"/>
  <c r="N533" i="2"/>
  <c r="C533" i="3"/>
  <c r="M533" i="2"/>
  <c r="B533" i="3"/>
  <c r="L533" i="2"/>
  <c r="G532" i="3"/>
  <c r="AC528" i="2"/>
  <c r="F532" i="3"/>
  <c r="AB528" i="2"/>
  <c r="E532" i="3"/>
  <c r="O532" i="2"/>
  <c r="D532" i="3"/>
  <c r="C532" i="3"/>
  <c r="B532" i="3"/>
  <c r="L532" i="2"/>
  <c r="G531" i="3"/>
  <c r="AC527" i="2"/>
  <c r="F531" i="3"/>
  <c r="AB527" i="2"/>
  <c r="E531" i="3"/>
  <c r="O531" i="2"/>
  <c r="D531" i="3"/>
  <c r="N531" i="2"/>
  <c r="C531" i="3"/>
  <c r="M531" i="2"/>
  <c r="B531" i="3"/>
  <c r="L531" i="2"/>
  <c r="G530" i="3"/>
  <c r="AC526" i="2"/>
  <c r="F530" i="3"/>
  <c r="AB526" i="2"/>
  <c r="E530" i="3"/>
  <c r="O530" i="2"/>
  <c r="D530" i="3"/>
  <c r="C530" i="3"/>
  <c r="B530" i="3"/>
  <c r="L530" i="2"/>
  <c r="G529" i="3"/>
  <c r="AC525" i="2"/>
  <c r="F529" i="3"/>
  <c r="AB525" i="2"/>
  <c r="E529" i="3"/>
  <c r="O529" i="2"/>
  <c r="D529" i="3"/>
  <c r="N529" i="2"/>
  <c r="C529" i="3"/>
  <c r="M529" i="2"/>
  <c r="B529" i="3"/>
  <c r="L529" i="2"/>
  <c r="G528" i="3"/>
  <c r="AC524" i="2"/>
  <c r="F528" i="3"/>
  <c r="AB524" i="2"/>
  <c r="E528" i="3"/>
  <c r="O528" i="2"/>
  <c r="D528" i="3"/>
  <c r="C528" i="3"/>
  <c r="B528" i="3"/>
  <c r="L528" i="2"/>
  <c r="G527" i="3"/>
  <c r="AC523" i="2"/>
  <c r="F527" i="3"/>
  <c r="AB523" i="2"/>
  <c r="E527" i="3"/>
  <c r="O527" i="2"/>
  <c r="D527" i="3"/>
  <c r="N527" i="2"/>
  <c r="C527" i="3"/>
  <c r="M527" i="2"/>
  <c r="B527" i="3"/>
  <c r="L527" i="2"/>
  <c r="G526" i="3"/>
  <c r="AC522" i="2"/>
  <c r="F526" i="3"/>
  <c r="AB522" i="2"/>
  <c r="E526" i="3"/>
  <c r="O526" i="2"/>
  <c r="D526" i="3"/>
  <c r="C526" i="3"/>
  <c r="B526" i="3"/>
  <c r="L526" i="2"/>
  <c r="G525" i="3"/>
  <c r="AC521" i="2"/>
  <c r="F525" i="3"/>
  <c r="AB521" i="2"/>
  <c r="E525" i="3"/>
  <c r="O525" i="2"/>
  <c r="D525" i="3"/>
  <c r="N525" i="2"/>
  <c r="C525" i="3"/>
  <c r="M525" i="2"/>
  <c r="B525" i="3"/>
  <c r="L525" i="2"/>
  <c r="G524" i="3"/>
  <c r="AC520" i="2"/>
  <c r="F524" i="3"/>
  <c r="AB520" i="2"/>
  <c r="E524" i="3"/>
  <c r="O524" i="2"/>
  <c r="D524" i="3"/>
  <c r="C524" i="3"/>
  <c r="B524" i="3"/>
  <c r="L524" i="2"/>
  <c r="G523" i="3"/>
  <c r="AC519" i="2"/>
  <c r="F523" i="3"/>
  <c r="AB519" i="2"/>
  <c r="E523" i="3"/>
  <c r="O523" i="2"/>
  <c r="D523" i="3"/>
  <c r="N523" i="2"/>
  <c r="C523" i="3"/>
  <c r="M523" i="2"/>
  <c r="B523" i="3"/>
  <c r="L523" i="2"/>
  <c r="G522" i="3"/>
  <c r="AC518" i="2"/>
  <c r="F522" i="3"/>
  <c r="AB518" i="2"/>
  <c r="E522" i="3"/>
  <c r="O522" i="2"/>
  <c r="D522" i="3"/>
  <c r="C522" i="3"/>
  <c r="B522" i="3"/>
  <c r="L522" i="2"/>
  <c r="G521" i="3"/>
  <c r="AC517" i="2"/>
  <c r="F521" i="3"/>
  <c r="AB517" i="2"/>
  <c r="E521" i="3"/>
  <c r="O521" i="2"/>
  <c r="D521" i="3"/>
  <c r="N521" i="2"/>
  <c r="C521" i="3"/>
  <c r="M521" i="2"/>
  <c r="B521" i="3"/>
  <c r="L521" i="2"/>
  <c r="G520" i="3"/>
  <c r="AC516" i="2"/>
  <c r="F520" i="3"/>
  <c r="AB516" i="2"/>
  <c r="E520" i="3"/>
  <c r="O520" i="2"/>
  <c r="D520" i="3"/>
  <c r="C520" i="3"/>
  <c r="B520" i="3"/>
  <c r="L520" i="2"/>
  <c r="G519" i="3"/>
  <c r="AC515" i="2"/>
  <c r="F519" i="3"/>
  <c r="AB515" i="2"/>
  <c r="E519" i="3"/>
  <c r="O519" i="2"/>
  <c r="D519" i="3"/>
  <c r="N519" i="2"/>
  <c r="C519" i="3"/>
  <c r="M519" i="2"/>
  <c r="B519" i="3"/>
  <c r="L519" i="2"/>
  <c r="G518" i="3"/>
  <c r="AC514" i="2"/>
  <c r="F518" i="3"/>
  <c r="AB514" i="2"/>
  <c r="E518" i="3"/>
  <c r="O518" i="2"/>
  <c r="D518" i="3"/>
  <c r="C518" i="3"/>
  <c r="B518" i="3"/>
  <c r="L518" i="2"/>
  <c r="G517" i="3"/>
  <c r="AC513" i="2"/>
  <c r="F517" i="3"/>
  <c r="AB513" i="2"/>
  <c r="E517" i="3"/>
  <c r="O517" i="2"/>
  <c r="D517" i="3"/>
  <c r="N517" i="2"/>
  <c r="C517" i="3"/>
  <c r="M517" i="2"/>
  <c r="B517" i="3"/>
  <c r="L517" i="2"/>
  <c r="G516" i="3"/>
  <c r="AC512" i="2"/>
  <c r="F516" i="3"/>
  <c r="AB512" i="2"/>
  <c r="E516" i="3"/>
  <c r="O516" i="2"/>
  <c r="D516" i="3"/>
  <c r="C516" i="3"/>
  <c r="B516" i="3"/>
  <c r="L516" i="2"/>
  <c r="G515" i="3"/>
  <c r="AC511" i="2"/>
  <c r="F515" i="3"/>
  <c r="AB511" i="2"/>
  <c r="E515" i="3"/>
  <c r="O515" i="2"/>
  <c r="D515" i="3"/>
  <c r="N515" i="2"/>
  <c r="C515" i="3"/>
  <c r="M515" i="2"/>
  <c r="B515" i="3"/>
  <c r="L515" i="2"/>
  <c r="G514" i="3"/>
  <c r="AC510" i="2"/>
  <c r="F514" i="3"/>
  <c r="AB510" i="2"/>
  <c r="E514" i="3"/>
  <c r="O514" i="2"/>
  <c r="D514" i="3"/>
  <c r="C514" i="3"/>
  <c r="B514" i="3"/>
  <c r="L514" i="2"/>
  <c r="G513" i="3"/>
  <c r="AC509" i="2"/>
  <c r="F513" i="3"/>
  <c r="AB509" i="2"/>
  <c r="E513" i="3"/>
  <c r="O513" i="2"/>
  <c r="D513" i="3"/>
  <c r="N513" i="2"/>
  <c r="C513" i="3"/>
  <c r="M513" i="2"/>
  <c r="B513" i="3"/>
  <c r="L513" i="2"/>
  <c r="G512" i="3"/>
  <c r="AC508" i="2"/>
  <c r="F512" i="3"/>
  <c r="AB508" i="2"/>
  <c r="E512" i="3"/>
  <c r="O512" i="2"/>
  <c r="D512" i="3"/>
  <c r="C512" i="3"/>
  <c r="B512" i="3"/>
  <c r="L512" i="2"/>
  <c r="G511" i="3"/>
  <c r="AC507" i="2"/>
  <c r="F511" i="3"/>
  <c r="AB507" i="2"/>
  <c r="E511" i="3"/>
  <c r="O511" i="2"/>
  <c r="D511" i="3"/>
  <c r="N511" i="2"/>
  <c r="C511" i="3"/>
  <c r="M511" i="2"/>
  <c r="B511" i="3"/>
  <c r="L511" i="2"/>
  <c r="G510" i="3"/>
  <c r="AC506" i="2"/>
  <c r="F510" i="3"/>
  <c r="AB506" i="2"/>
  <c r="E510" i="3"/>
  <c r="O510" i="2"/>
  <c r="D510" i="3"/>
  <c r="C510" i="3"/>
  <c r="B510" i="3"/>
  <c r="L510" i="2"/>
  <c r="G509" i="3"/>
  <c r="AC505" i="2"/>
  <c r="F509" i="3"/>
  <c r="AB505" i="2"/>
  <c r="E509" i="3"/>
  <c r="O509" i="2"/>
  <c r="D509" i="3"/>
  <c r="N509" i="2"/>
  <c r="C509" i="3"/>
  <c r="M509" i="2"/>
  <c r="B509" i="3"/>
  <c r="L509" i="2"/>
  <c r="G508" i="3"/>
  <c r="AC504" i="2"/>
  <c r="F508" i="3"/>
  <c r="AB504" i="2"/>
  <c r="E508" i="3"/>
  <c r="O508" i="2"/>
  <c r="D508" i="3"/>
  <c r="C508" i="3"/>
  <c r="B508" i="3"/>
  <c r="L508" i="2"/>
  <c r="G507" i="3"/>
  <c r="AC503" i="2"/>
  <c r="F507" i="3"/>
  <c r="AB503" i="2"/>
  <c r="E507" i="3"/>
  <c r="O507" i="2"/>
  <c r="D507" i="3"/>
  <c r="N507" i="2"/>
  <c r="C507" i="3"/>
  <c r="M507" i="2"/>
  <c r="B507" i="3"/>
  <c r="L507" i="2"/>
  <c r="G506" i="3"/>
  <c r="AC502" i="2"/>
  <c r="F506" i="3"/>
  <c r="AB502" i="2"/>
  <c r="E506" i="3"/>
  <c r="O506" i="2"/>
  <c r="D506" i="3"/>
  <c r="C506" i="3"/>
  <c r="B506" i="3"/>
  <c r="L506" i="2"/>
  <c r="G505" i="3"/>
  <c r="AC501" i="2"/>
  <c r="F505" i="3"/>
  <c r="AB501" i="2"/>
  <c r="E505" i="3"/>
  <c r="O505" i="2"/>
  <c r="D505" i="3"/>
  <c r="N505" i="2"/>
  <c r="C505" i="3"/>
  <c r="M505" i="2"/>
  <c r="B505" i="3"/>
  <c r="L505" i="2"/>
  <c r="G504" i="3"/>
  <c r="AC500" i="2"/>
  <c r="F504" i="3"/>
  <c r="AB500" i="2"/>
  <c r="E504" i="3"/>
  <c r="O504" i="2"/>
  <c r="D504" i="3"/>
  <c r="C504" i="3"/>
  <c r="M504" i="2"/>
  <c r="B504" i="3"/>
  <c r="L504" i="2"/>
  <c r="G503" i="3"/>
  <c r="AC499" i="2"/>
  <c r="F503" i="3"/>
  <c r="AB499" i="2"/>
  <c r="E503" i="3"/>
  <c r="O503" i="2"/>
  <c r="D503" i="3"/>
  <c r="N503" i="2"/>
  <c r="C503" i="3"/>
  <c r="M503" i="2"/>
  <c r="B503" i="3"/>
  <c r="L503" i="2"/>
  <c r="G502" i="3"/>
  <c r="AC498" i="2"/>
  <c r="F502" i="3"/>
  <c r="AB498" i="2"/>
  <c r="E502" i="3"/>
  <c r="O502" i="2"/>
  <c r="D502" i="3"/>
  <c r="C502" i="3"/>
  <c r="M502" i="2"/>
  <c r="B502" i="3"/>
  <c r="L502" i="2"/>
  <c r="G501" i="3"/>
  <c r="AC497" i="2"/>
  <c r="F501" i="3"/>
  <c r="AB497" i="2"/>
  <c r="E501" i="3"/>
  <c r="O501" i="2"/>
  <c r="D501" i="3"/>
  <c r="N501" i="2"/>
  <c r="C501" i="3"/>
  <c r="M501" i="2"/>
  <c r="B501" i="3"/>
  <c r="L501" i="2"/>
  <c r="G500" i="3"/>
  <c r="AC496" i="2"/>
  <c r="F500" i="3"/>
  <c r="AB496" i="2"/>
  <c r="E500" i="3"/>
  <c r="O500" i="2"/>
  <c r="D500" i="3"/>
  <c r="C500" i="3"/>
  <c r="M500" i="2"/>
  <c r="B500" i="3"/>
  <c r="L500" i="2"/>
  <c r="G499" i="3"/>
  <c r="AC495" i="2"/>
  <c r="F499" i="3"/>
  <c r="AB495" i="2"/>
  <c r="E499" i="3"/>
  <c r="O499" i="2"/>
  <c r="D499" i="3"/>
  <c r="N499" i="2"/>
  <c r="C499" i="3"/>
  <c r="M499" i="2"/>
  <c r="B499" i="3"/>
  <c r="L499" i="2"/>
  <c r="G498" i="3"/>
  <c r="AC494" i="2"/>
  <c r="F498" i="3"/>
  <c r="AB494" i="2"/>
  <c r="E498" i="3"/>
  <c r="O498" i="2"/>
  <c r="D498" i="3"/>
  <c r="C498" i="3"/>
  <c r="M498" i="2"/>
  <c r="B498" i="3"/>
  <c r="L498" i="2"/>
  <c r="G497" i="3"/>
  <c r="AC493" i="2"/>
  <c r="F497" i="3"/>
  <c r="AB493" i="2"/>
  <c r="E497" i="3"/>
  <c r="O497" i="2"/>
  <c r="D497" i="3"/>
  <c r="N497" i="2"/>
  <c r="C497" i="3"/>
  <c r="M497" i="2"/>
  <c r="B497" i="3"/>
  <c r="L497" i="2"/>
  <c r="G496" i="3"/>
  <c r="AC492" i="2"/>
  <c r="F496" i="3"/>
  <c r="AB492" i="2"/>
  <c r="E496" i="3"/>
  <c r="O496" i="2"/>
  <c r="D496" i="3"/>
  <c r="C496" i="3"/>
  <c r="M496" i="2"/>
  <c r="B496" i="3"/>
  <c r="L496" i="2"/>
  <c r="G495" i="3"/>
  <c r="AC491" i="2"/>
  <c r="F495" i="3"/>
  <c r="AB491" i="2"/>
  <c r="E495" i="3"/>
  <c r="O495" i="2"/>
  <c r="D495" i="3"/>
  <c r="N495" i="2"/>
  <c r="C495" i="3"/>
  <c r="M495" i="2"/>
  <c r="B495" i="3"/>
  <c r="L495" i="2"/>
  <c r="G494" i="3"/>
  <c r="AC490" i="2"/>
  <c r="F494" i="3"/>
  <c r="AB490" i="2"/>
  <c r="E494" i="3"/>
  <c r="O494" i="2"/>
  <c r="D494" i="3"/>
  <c r="C494" i="3"/>
  <c r="M494" i="2"/>
  <c r="B494" i="3"/>
  <c r="L494" i="2"/>
  <c r="G493" i="3"/>
  <c r="AC489" i="2"/>
  <c r="F493" i="3"/>
  <c r="AB489" i="2"/>
  <c r="E493" i="3"/>
  <c r="O493" i="2"/>
  <c r="D493" i="3"/>
  <c r="N493" i="2"/>
  <c r="C493" i="3"/>
  <c r="M493" i="2"/>
  <c r="B493" i="3"/>
  <c r="L493" i="2"/>
  <c r="G492" i="3"/>
  <c r="AC488" i="2"/>
  <c r="F492" i="3"/>
  <c r="AB488" i="2"/>
  <c r="E492" i="3"/>
  <c r="O492" i="2"/>
  <c r="D492" i="3"/>
  <c r="C492" i="3"/>
  <c r="M492" i="2"/>
  <c r="B492" i="3"/>
  <c r="L492" i="2"/>
  <c r="G491" i="3"/>
  <c r="AC487" i="2"/>
  <c r="F491" i="3"/>
  <c r="AB487" i="2"/>
  <c r="E491" i="3"/>
  <c r="O491" i="2"/>
  <c r="D491" i="3"/>
  <c r="N491" i="2"/>
  <c r="C491" i="3"/>
  <c r="M491" i="2"/>
  <c r="B491" i="3"/>
  <c r="L491" i="2"/>
  <c r="G490" i="3"/>
  <c r="AC486" i="2"/>
  <c r="F490" i="3"/>
  <c r="AB486" i="2"/>
  <c r="E490" i="3"/>
  <c r="O490" i="2"/>
  <c r="D490" i="3"/>
  <c r="C490" i="3"/>
  <c r="M490" i="2"/>
  <c r="B490" i="3"/>
  <c r="L490" i="2"/>
  <c r="G489" i="3"/>
  <c r="AC485" i="2"/>
  <c r="F489" i="3"/>
  <c r="AB485" i="2"/>
  <c r="E489" i="3"/>
  <c r="O489" i="2"/>
  <c r="D489" i="3"/>
  <c r="N489" i="2"/>
  <c r="C489" i="3"/>
  <c r="M489" i="2"/>
  <c r="B489" i="3"/>
  <c r="L489" i="2"/>
  <c r="G488" i="3"/>
  <c r="AC484" i="2"/>
  <c r="F488" i="3"/>
  <c r="AB484" i="2"/>
  <c r="E488" i="3"/>
  <c r="O488" i="2"/>
  <c r="D488" i="3"/>
  <c r="C488" i="3"/>
  <c r="M488" i="2"/>
  <c r="B488" i="3"/>
  <c r="L488" i="2"/>
  <c r="G487" i="3"/>
  <c r="AC483" i="2"/>
  <c r="F487" i="3"/>
  <c r="AB483" i="2"/>
  <c r="E487" i="3"/>
  <c r="O487" i="2"/>
  <c r="D487" i="3"/>
  <c r="N487" i="2"/>
  <c r="C487" i="3"/>
  <c r="M487" i="2"/>
  <c r="B487" i="3"/>
  <c r="L487" i="2"/>
  <c r="G486" i="3"/>
  <c r="AC482" i="2"/>
  <c r="F486" i="3"/>
  <c r="AB482" i="2"/>
  <c r="E486" i="3"/>
  <c r="O486" i="2"/>
  <c r="D486" i="3"/>
  <c r="C486" i="3"/>
  <c r="M486" i="2"/>
  <c r="B486" i="3"/>
  <c r="L486" i="2"/>
  <c r="G485" i="3"/>
  <c r="AC481" i="2"/>
  <c r="F485" i="3"/>
  <c r="AB481" i="2"/>
  <c r="E485" i="3"/>
  <c r="O485" i="2"/>
  <c r="D485" i="3"/>
  <c r="N485" i="2"/>
  <c r="C485" i="3"/>
  <c r="M485" i="2"/>
  <c r="B485" i="3"/>
  <c r="L485" i="2"/>
  <c r="G484" i="3"/>
  <c r="AC480" i="2"/>
  <c r="F484" i="3"/>
  <c r="AB480" i="2"/>
  <c r="E484" i="3"/>
  <c r="O484" i="2"/>
  <c r="D484" i="3"/>
  <c r="C484" i="3"/>
  <c r="M484" i="2"/>
  <c r="B484" i="3"/>
  <c r="L484" i="2"/>
  <c r="G483" i="3"/>
  <c r="F483" i="3"/>
  <c r="E483" i="3"/>
  <c r="O483" i="2"/>
  <c r="D483" i="3"/>
  <c r="N483" i="2"/>
  <c r="C483" i="3"/>
  <c r="M483" i="2"/>
  <c r="B483" i="3"/>
  <c r="L483" i="2"/>
  <c r="G482" i="3"/>
  <c r="F482" i="3"/>
  <c r="E482" i="3"/>
  <c r="O482" i="2"/>
  <c r="D482" i="3"/>
  <c r="C482" i="3"/>
  <c r="M482" i="2"/>
  <c r="B482" i="3"/>
  <c r="L482" i="2"/>
  <c r="G481" i="3"/>
  <c r="F481" i="3"/>
  <c r="E481" i="3"/>
  <c r="O481" i="2"/>
  <c r="D481" i="3"/>
  <c r="N481" i="2"/>
  <c r="C481" i="3"/>
  <c r="M481" i="2"/>
  <c r="B481" i="3"/>
  <c r="L481" i="2"/>
  <c r="G480" i="3"/>
  <c r="F480" i="3"/>
  <c r="E480" i="3"/>
  <c r="O480" i="2"/>
  <c r="D480" i="3"/>
  <c r="C480" i="3"/>
  <c r="M480" i="2"/>
  <c r="B480" i="3"/>
  <c r="L480" i="2"/>
  <c r="G479" i="3"/>
  <c r="AC475" i="2"/>
  <c r="F479" i="3"/>
  <c r="AB475" i="2"/>
  <c r="E479" i="3"/>
  <c r="O479" i="2"/>
  <c r="D479" i="3"/>
  <c r="N479" i="2"/>
  <c r="C479" i="3"/>
  <c r="M479" i="2"/>
  <c r="B479" i="3"/>
  <c r="L479" i="2"/>
  <c r="G478" i="3"/>
  <c r="AC474" i="2"/>
  <c r="F478" i="3"/>
  <c r="AB474" i="2"/>
  <c r="E478" i="3"/>
  <c r="O478" i="2"/>
  <c r="D478" i="3"/>
  <c r="C478" i="3"/>
  <c r="M478" i="2"/>
  <c r="B478" i="3"/>
  <c r="L478" i="2"/>
  <c r="G477" i="3"/>
  <c r="AC473" i="2"/>
  <c r="F477" i="3"/>
  <c r="AB473" i="2"/>
  <c r="E477" i="3"/>
  <c r="O477" i="2"/>
  <c r="D477" i="3"/>
  <c r="N477" i="2"/>
  <c r="C477" i="3"/>
  <c r="M477" i="2"/>
  <c r="B477" i="3"/>
  <c r="L477" i="2"/>
  <c r="G476" i="3"/>
  <c r="AC472" i="2"/>
  <c r="F476" i="3"/>
  <c r="AB472" i="2"/>
  <c r="E476" i="3"/>
  <c r="O476" i="2"/>
  <c r="D476" i="3"/>
  <c r="C476" i="3"/>
  <c r="M476" i="2"/>
  <c r="B476" i="3"/>
  <c r="L476" i="2"/>
  <c r="G475" i="3"/>
  <c r="AC471" i="2"/>
  <c r="F475" i="3"/>
  <c r="AB471" i="2"/>
  <c r="E475" i="3"/>
  <c r="O475" i="2"/>
  <c r="D475" i="3"/>
  <c r="N475" i="2"/>
  <c r="C475" i="3"/>
  <c r="M475" i="2"/>
  <c r="B475" i="3"/>
  <c r="L475" i="2"/>
  <c r="G474" i="3"/>
  <c r="AC470" i="2"/>
  <c r="F474" i="3"/>
  <c r="AB470" i="2"/>
  <c r="E474" i="3"/>
  <c r="D474" i="3"/>
  <c r="C474" i="3"/>
  <c r="M474" i="2"/>
  <c r="B474" i="3"/>
  <c r="L474" i="2"/>
  <c r="G473" i="3"/>
  <c r="AC469" i="2"/>
  <c r="F473" i="3"/>
  <c r="AB469" i="2"/>
  <c r="E473" i="3"/>
  <c r="O473" i="2"/>
  <c r="D473" i="3"/>
  <c r="N473" i="2"/>
  <c r="C473" i="3"/>
  <c r="M473" i="2"/>
  <c r="B473" i="3"/>
  <c r="G472" i="3"/>
  <c r="AC468" i="2"/>
  <c r="F472" i="3"/>
  <c r="AB468" i="2"/>
  <c r="E472" i="3"/>
  <c r="D472" i="3"/>
  <c r="C472" i="3"/>
  <c r="M472" i="2"/>
  <c r="B472" i="3"/>
  <c r="L472" i="2"/>
  <c r="G471" i="3"/>
  <c r="AC467" i="2"/>
  <c r="F471" i="3"/>
  <c r="AB467" i="2"/>
  <c r="E471" i="3"/>
  <c r="O471" i="2"/>
  <c r="D471" i="3"/>
  <c r="N471" i="2"/>
  <c r="C471" i="3"/>
  <c r="M471" i="2"/>
  <c r="B471" i="3"/>
  <c r="G470" i="3"/>
  <c r="AC466" i="2"/>
  <c r="F470" i="3"/>
  <c r="AB466" i="2"/>
  <c r="E470" i="3"/>
  <c r="D470" i="3"/>
  <c r="C470" i="3"/>
  <c r="M470" i="2"/>
  <c r="B470" i="3"/>
  <c r="L470" i="2"/>
  <c r="G469" i="3"/>
  <c r="AC465" i="2"/>
  <c r="F469" i="3"/>
  <c r="AB465" i="2"/>
  <c r="E469" i="3"/>
  <c r="O469" i="2"/>
  <c r="D469" i="3"/>
  <c r="N469" i="2"/>
  <c r="C469" i="3"/>
  <c r="M469" i="2"/>
  <c r="B469" i="3"/>
  <c r="G468" i="3"/>
  <c r="AC464" i="2"/>
  <c r="F468" i="3"/>
  <c r="AB464" i="2"/>
  <c r="E468" i="3"/>
  <c r="D468" i="3"/>
  <c r="C468" i="3"/>
  <c r="M468" i="2"/>
  <c r="B468" i="3"/>
  <c r="L468" i="2"/>
  <c r="G467" i="3"/>
  <c r="F467" i="3"/>
  <c r="E467" i="3"/>
  <c r="O467" i="2"/>
  <c r="D467" i="3"/>
  <c r="N467" i="2"/>
  <c r="C467" i="3"/>
  <c r="M467" i="2"/>
  <c r="B467" i="3"/>
  <c r="G466" i="3"/>
  <c r="F466" i="3"/>
  <c r="E466" i="3"/>
  <c r="D466" i="3"/>
  <c r="C466" i="3"/>
  <c r="M466" i="2"/>
  <c r="B466" i="3"/>
  <c r="L466" i="2"/>
  <c r="G465" i="3"/>
  <c r="F465" i="3"/>
  <c r="E465" i="3"/>
  <c r="O465" i="2"/>
  <c r="D465" i="3"/>
  <c r="N465" i="2"/>
  <c r="C465" i="3"/>
  <c r="B465" i="3"/>
  <c r="G464" i="3"/>
  <c r="AC460" i="2"/>
  <c r="F464" i="3"/>
  <c r="AB460" i="2"/>
  <c r="E464" i="3"/>
  <c r="D464" i="3"/>
  <c r="C464" i="3"/>
  <c r="M464" i="2"/>
  <c r="B464" i="3"/>
  <c r="L464" i="2"/>
  <c r="G463" i="3"/>
  <c r="AC459" i="2"/>
  <c r="F463" i="3"/>
  <c r="AB459" i="2"/>
  <c r="E463" i="3"/>
  <c r="O463" i="2"/>
  <c r="D463" i="3"/>
  <c r="N463" i="2"/>
  <c r="C463" i="3"/>
  <c r="B463" i="3"/>
  <c r="G462" i="3"/>
  <c r="AC458" i="2"/>
  <c r="F462" i="3"/>
  <c r="AB458" i="2"/>
  <c r="E462" i="3"/>
  <c r="D462" i="3"/>
  <c r="C462" i="3"/>
  <c r="M462" i="2"/>
  <c r="B462" i="3"/>
  <c r="L462" i="2"/>
  <c r="G461" i="3"/>
  <c r="AC457" i="2"/>
  <c r="F461" i="3"/>
  <c r="AB457" i="2"/>
  <c r="E461" i="3"/>
  <c r="O461" i="2"/>
  <c r="D461" i="3"/>
  <c r="N461" i="2"/>
  <c r="C461" i="3"/>
  <c r="B461" i="3"/>
  <c r="G460" i="3"/>
  <c r="AC456" i="2"/>
  <c r="F460" i="3"/>
  <c r="AB456" i="2"/>
  <c r="E460" i="3"/>
  <c r="D460" i="3"/>
  <c r="C460" i="3"/>
  <c r="M460" i="2"/>
  <c r="B460" i="3"/>
  <c r="L460" i="2"/>
  <c r="G459" i="3"/>
  <c r="AC455" i="2"/>
  <c r="F459" i="3"/>
  <c r="AB455" i="2"/>
  <c r="E459" i="3"/>
  <c r="O459" i="2"/>
  <c r="D459" i="3"/>
  <c r="N459" i="2"/>
  <c r="C459" i="3"/>
  <c r="B459" i="3"/>
  <c r="G458" i="3"/>
  <c r="AC454" i="2"/>
  <c r="F458" i="3"/>
  <c r="AB454" i="2"/>
  <c r="E458" i="3"/>
  <c r="D458" i="3"/>
  <c r="C458" i="3"/>
  <c r="M458" i="2"/>
  <c r="B458" i="3"/>
  <c r="L458" i="2"/>
  <c r="G457" i="3"/>
  <c r="AC453" i="2"/>
  <c r="F457" i="3"/>
  <c r="AB453" i="2"/>
  <c r="E457" i="3"/>
  <c r="O457" i="2"/>
  <c r="D457" i="3"/>
  <c r="C457" i="3"/>
  <c r="B457" i="3"/>
  <c r="L457" i="2"/>
  <c r="G456" i="3"/>
  <c r="AC452" i="2"/>
  <c r="F456" i="3"/>
  <c r="AB452" i="2"/>
  <c r="E456" i="3"/>
  <c r="O456" i="2"/>
  <c r="D456" i="3"/>
  <c r="C456" i="3"/>
  <c r="M456" i="2"/>
  <c r="B456" i="3"/>
  <c r="L456" i="2"/>
  <c r="G455" i="3"/>
  <c r="AC451" i="2"/>
  <c r="F455" i="3"/>
  <c r="AB451" i="2"/>
  <c r="E455" i="3"/>
  <c r="O455" i="2"/>
  <c r="D455" i="3"/>
  <c r="C455" i="3"/>
  <c r="B455" i="3"/>
  <c r="L455" i="2"/>
  <c r="G454" i="3"/>
  <c r="AC450" i="2"/>
  <c r="F454" i="3"/>
  <c r="AB450" i="2"/>
  <c r="E454" i="3"/>
  <c r="O454" i="2"/>
  <c r="D454" i="3"/>
  <c r="C454" i="3"/>
  <c r="M454" i="2"/>
  <c r="B454" i="3"/>
  <c r="L454" i="2"/>
  <c r="G453" i="3"/>
  <c r="AC449" i="2"/>
  <c r="F453" i="3"/>
  <c r="AB449" i="2"/>
  <c r="E453" i="3"/>
  <c r="O453" i="2"/>
  <c r="D453" i="3"/>
  <c r="C453" i="3"/>
  <c r="B453" i="3"/>
  <c r="L453" i="2"/>
  <c r="G452" i="3"/>
  <c r="AC448" i="2"/>
  <c r="F452" i="3"/>
  <c r="AB448" i="2"/>
  <c r="E452" i="3"/>
  <c r="O452" i="2"/>
  <c r="D452" i="3"/>
  <c r="C452" i="3"/>
  <c r="M452" i="2"/>
  <c r="B452" i="3"/>
  <c r="L452" i="2"/>
  <c r="G451" i="3"/>
  <c r="AC447" i="2"/>
  <c r="F451" i="3"/>
  <c r="AB447" i="2"/>
  <c r="E451" i="3"/>
  <c r="O451" i="2"/>
  <c r="D451" i="3"/>
  <c r="C451" i="3"/>
  <c r="B451" i="3"/>
  <c r="L451" i="2"/>
  <c r="G450" i="3"/>
  <c r="AC446" i="2"/>
  <c r="F450" i="3"/>
  <c r="AB446" i="2"/>
  <c r="E450" i="3"/>
  <c r="O450" i="2"/>
  <c r="D450" i="3"/>
  <c r="C450" i="3"/>
  <c r="M450" i="2"/>
  <c r="B450" i="3"/>
  <c r="L450" i="2"/>
  <c r="G449" i="3"/>
  <c r="AC445" i="2"/>
  <c r="F449" i="3"/>
  <c r="AB445" i="2"/>
  <c r="E449" i="3"/>
  <c r="O449" i="2"/>
  <c r="D449" i="3"/>
  <c r="N449" i="2"/>
  <c r="C449" i="3"/>
  <c r="B449" i="3"/>
  <c r="L449" i="2"/>
  <c r="G448" i="3"/>
  <c r="AC444" i="2"/>
  <c r="F448" i="3"/>
  <c r="AB444" i="2"/>
  <c r="E448" i="3"/>
  <c r="O448" i="2"/>
  <c r="D448" i="3"/>
  <c r="C448" i="3"/>
  <c r="M448" i="2"/>
  <c r="B448" i="3"/>
  <c r="L448" i="2"/>
  <c r="G447" i="3"/>
  <c r="AC443" i="2"/>
  <c r="F447" i="3"/>
  <c r="AB443" i="2"/>
  <c r="E447" i="3"/>
  <c r="O447" i="2"/>
  <c r="D447" i="3"/>
  <c r="N447" i="2"/>
  <c r="C447" i="3"/>
  <c r="B447" i="3"/>
  <c r="L447" i="2"/>
  <c r="G446" i="3"/>
  <c r="AC442" i="2"/>
  <c r="F446" i="3"/>
  <c r="AB442" i="2"/>
  <c r="E446" i="3"/>
  <c r="O446" i="2"/>
  <c r="D446" i="3"/>
  <c r="C446" i="3"/>
  <c r="M446" i="2"/>
  <c r="B446" i="3"/>
  <c r="L446" i="2"/>
  <c r="G445" i="3"/>
  <c r="AC441" i="2"/>
  <c r="F445" i="3"/>
  <c r="AB441" i="2"/>
  <c r="E445" i="3"/>
  <c r="O445" i="2"/>
  <c r="D445" i="3"/>
  <c r="N445" i="2"/>
  <c r="C445" i="3"/>
  <c r="B445" i="3"/>
  <c r="L445" i="2"/>
  <c r="G444" i="3"/>
  <c r="AC440" i="2"/>
  <c r="F444" i="3"/>
  <c r="AB440" i="2"/>
  <c r="E444" i="3"/>
  <c r="O444" i="2"/>
  <c r="D444" i="3"/>
  <c r="C444" i="3"/>
  <c r="M444" i="2"/>
  <c r="B444" i="3"/>
  <c r="L444" i="2"/>
  <c r="G443" i="3"/>
  <c r="AC439" i="2"/>
  <c r="F443" i="3"/>
  <c r="AB439" i="2"/>
  <c r="E443" i="3"/>
  <c r="O443" i="2"/>
  <c r="D443" i="3"/>
  <c r="N443" i="2"/>
  <c r="C443" i="3"/>
  <c r="B443" i="3"/>
  <c r="L443" i="2"/>
  <c r="G442" i="3"/>
  <c r="AC438" i="2"/>
  <c r="F442" i="3"/>
  <c r="AB438" i="2"/>
  <c r="E442" i="3"/>
  <c r="O442" i="2"/>
  <c r="D442" i="3"/>
  <c r="C442" i="3"/>
  <c r="M442" i="2"/>
  <c r="B442" i="3"/>
  <c r="L442" i="2"/>
  <c r="G441" i="3"/>
  <c r="AC437" i="2"/>
  <c r="F441" i="3"/>
  <c r="AB437" i="2"/>
  <c r="E441" i="3"/>
  <c r="O441" i="2"/>
  <c r="D441" i="3"/>
  <c r="N441" i="2"/>
  <c r="C441" i="3"/>
  <c r="B441" i="3"/>
  <c r="L441" i="2"/>
  <c r="G440" i="3"/>
  <c r="AC436" i="2"/>
  <c r="F440" i="3"/>
  <c r="AB436" i="2"/>
  <c r="E440" i="3"/>
  <c r="O440" i="2"/>
  <c r="D440" i="3"/>
  <c r="C440" i="3"/>
  <c r="M440" i="2"/>
  <c r="B440" i="3"/>
  <c r="L440" i="2"/>
  <c r="G439" i="3"/>
  <c r="AC435" i="2"/>
  <c r="F439" i="3"/>
  <c r="AB435" i="2"/>
  <c r="E439" i="3"/>
  <c r="O439" i="2"/>
  <c r="D439" i="3"/>
  <c r="N439" i="2"/>
  <c r="C439" i="3"/>
  <c r="B439" i="3"/>
  <c r="L439" i="2"/>
  <c r="G438" i="3"/>
  <c r="AC434" i="2"/>
  <c r="F438" i="3"/>
  <c r="AB434" i="2"/>
  <c r="E438" i="3"/>
  <c r="O438" i="2"/>
  <c r="D438" i="3"/>
  <c r="C438" i="3"/>
  <c r="M438" i="2"/>
  <c r="B438" i="3"/>
  <c r="L438" i="2"/>
  <c r="G437" i="3"/>
  <c r="AC433" i="2"/>
  <c r="F437" i="3"/>
  <c r="AB433" i="2"/>
  <c r="E437" i="3"/>
  <c r="O437" i="2"/>
  <c r="D437" i="3"/>
  <c r="N437" i="2"/>
  <c r="C437" i="3"/>
  <c r="B437" i="3"/>
  <c r="L437" i="2"/>
  <c r="G436" i="3"/>
  <c r="AC432" i="2"/>
  <c r="F436" i="3"/>
  <c r="AB432" i="2"/>
  <c r="E436" i="3"/>
  <c r="O436" i="2"/>
  <c r="D436" i="3"/>
  <c r="C436" i="3"/>
  <c r="M436" i="2"/>
  <c r="B436" i="3"/>
  <c r="L436" i="2"/>
  <c r="G435" i="3"/>
  <c r="AC431" i="2"/>
  <c r="F435" i="3"/>
  <c r="AB431" i="2"/>
  <c r="E435" i="3"/>
  <c r="O435" i="2"/>
  <c r="D435" i="3"/>
  <c r="C435" i="3"/>
  <c r="M435" i="2"/>
  <c r="B435" i="3"/>
  <c r="L435" i="2"/>
  <c r="G434" i="3"/>
  <c r="AC430" i="2"/>
  <c r="F434" i="3"/>
  <c r="AB430" i="2"/>
  <c r="E434" i="3"/>
  <c r="O434" i="2"/>
  <c r="D434" i="3"/>
  <c r="C434" i="3"/>
  <c r="M434" i="2"/>
  <c r="B434" i="3"/>
  <c r="G433" i="3"/>
  <c r="AC429" i="2"/>
  <c r="F433" i="3"/>
  <c r="AB429" i="2"/>
  <c r="E433" i="3"/>
  <c r="O433" i="2"/>
  <c r="D433" i="3"/>
  <c r="C433" i="3"/>
  <c r="M433" i="2"/>
  <c r="B433" i="3"/>
  <c r="L433" i="2"/>
  <c r="G432" i="3"/>
  <c r="F432" i="3"/>
  <c r="E432" i="3"/>
  <c r="O432" i="2"/>
  <c r="D432" i="3"/>
  <c r="C432" i="3"/>
  <c r="M432" i="2"/>
  <c r="B432" i="3"/>
  <c r="G431" i="3"/>
  <c r="F431" i="3"/>
  <c r="E431" i="3"/>
  <c r="O431" i="2"/>
  <c r="D431" i="3"/>
  <c r="C431" i="3"/>
  <c r="M431" i="2"/>
  <c r="B431" i="3"/>
  <c r="L431" i="2"/>
  <c r="G430" i="3"/>
  <c r="AC426" i="2"/>
  <c r="F430" i="3"/>
  <c r="E430" i="3"/>
  <c r="O430" i="2"/>
  <c r="D430" i="3"/>
  <c r="C430" i="3"/>
  <c r="M430" i="2"/>
  <c r="B430" i="3"/>
  <c r="G429" i="3"/>
  <c r="AC425" i="2"/>
  <c r="F429" i="3"/>
  <c r="AB425" i="2"/>
  <c r="E429" i="3"/>
  <c r="O429" i="2"/>
  <c r="D429" i="3"/>
  <c r="C429" i="3"/>
  <c r="M429" i="2"/>
  <c r="B429" i="3"/>
  <c r="L429" i="2"/>
  <c r="G428" i="3"/>
  <c r="AC424" i="2"/>
  <c r="F428" i="3"/>
  <c r="AB424" i="2"/>
  <c r="E428" i="3"/>
  <c r="O428" i="2"/>
  <c r="D428" i="3"/>
  <c r="C428" i="3"/>
  <c r="M428" i="2"/>
  <c r="B428" i="3"/>
  <c r="G427" i="3"/>
  <c r="AC423" i="2"/>
  <c r="F427" i="3"/>
  <c r="AB423" i="2"/>
  <c r="E427" i="3"/>
  <c r="O427" i="2"/>
  <c r="D427" i="3"/>
  <c r="C427" i="3"/>
  <c r="M427" i="2"/>
  <c r="B427" i="3"/>
  <c r="L427" i="2"/>
  <c r="G426" i="3"/>
  <c r="AC422" i="2"/>
  <c r="F426" i="3"/>
  <c r="AB422" i="2"/>
  <c r="E426" i="3"/>
  <c r="O426" i="2"/>
  <c r="D426" i="3"/>
  <c r="C426" i="3"/>
  <c r="M426" i="2"/>
  <c r="B426" i="3"/>
  <c r="G425" i="3"/>
  <c r="AC421" i="2"/>
  <c r="F425" i="3"/>
  <c r="AB421" i="2"/>
  <c r="E425" i="3"/>
  <c r="O425" i="2"/>
  <c r="D425" i="3"/>
  <c r="C425" i="3"/>
  <c r="M425" i="2"/>
  <c r="B425" i="3"/>
  <c r="L425" i="2"/>
  <c r="G424" i="3"/>
  <c r="AC420" i="2"/>
  <c r="F424" i="3"/>
  <c r="AB420" i="2"/>
  <c r="E424" i="3"/>
  <c r="O424" i="2"/>
  <c r="D424" i="3"/>
  <c r="C424" i="3"/>
  <c r="M424" i="2"/>
  <c r="B424" i="3"/>
  <c r="G423" i="3"/>
  <c r="AC419" i="2"/>
  <c r="F423" i="3"/>
  <c r="AB419" i="2"/>
  <c r="E423" i="3"/>
  <c r="O423" i="2"/>
  <c r="D423" i="3"/>
  <c r="C423" i="3"/>
  <c r="M423" i="2"/>
  <c r="B423" i="3"/>
  <c r="L423" i="2"/>
  <c r="G422" i="3"/>
  <c r="AC418" i="2"/>
  <c r="F422" i="3"/>
  <c r="AB418" i="2"/>
  <c r="E422" i="3"/>
  <c r="O422" i="2"/>
  <c r="D422" i="3"/>
  <c r="C422" i="3"/>
  <c r="M422" i="2"/>
  <c r="B422" i="3"/>
  <c r="G421" i="3"/>
  <c r="AC417" i="2"/>
  <c r="F421" i="3"/>
  <c r="AB417" i="2"/>
  <c r="E421" i="3"/>
  <c r="O421" i="2"/>
  <c r="D421" i="3"/>
  <c r="C421" i="3"/>
  <c r="M421" i="2"/>
  <c r="B421" i="3"/>
  <c r="L421" i="2"/>
  <c r="G420" i="3"/>
  <c r="AC416" i="2"/>
  <c r="F420" i="3"/>
  <c r="AB416" i="2"/>
  <c r="E420" i="3"/>
  <c r="O420" i="2"/>
  <c r="D420" i="3"/>
  <c r="C420" i="3"/>
  <c r="M420" i="2"/>
  <c r="B420" i="3"/>
  <c r="G419" i="3"/>
  <c r="AC415" i="2"/>
  <c r="F419" i="3"/>
  <c r="AB415" i="2"/>
  <c r="E419" i="3"/>
  <c r="O419" i="2"/>
  <c r="D419" i="3"/>
  <c r="C419" i="3"/>
  <c r="M419" i="2"/>
  <c r="B419" i="3"/>
  <c r="L419" i="2"/>
  <c r="G418" i="3"/>
  <c r="AC414" i="2"/>
  <c r="F418" i="3"/>
  <c r="AB414" i="2"/>
  <c r="E418" i="3"/>
  <c r="O418" i="2"/>
  <c r="D418" i="3"/>
  <c r="C418" i="3"/>
  <c r="M418" i="2"/>
  <c r="B418" i="3"/>
  <c r="G417" i="3"/>
  <c r="AC413" i="2"/>
  <c r="F417" i="3"/>
  <c r="AB413" i="2"/>
  <c r="E417" i="3"/>
  <c r="O417" i="2"/>
  <c r="D417" i="3"/>
  <c r="C417" i="3"/>
  <c r="M417" i="2"/>
  <c r="B417" i="3"/>
  <c r="L417" i="2"/>
  <c r="G416" i="3"/>
  <c r="AC412" i="2"/>
  <c r="F416" i="3"/>
  <c r="AB412" i="2"/>
  <c r="E416" i="3"/>
  <c r="O416" i="2"/>
  <c r="D416" i="3"/>
  <c r="C416" i="3"/>
  <c r="M416" i="2"/>
  <c r="B416" i="3"/>
  <c r="G415" i="3"/>
  <c r="AC411" i="2"/>
  <c r="F415" i="3"/>
  <c r="AB411" i="2"/>
  <c r="E415" i="3"/>
  <c r="O415" i="2"/>
  <c r="D415" i="3"/>
  <c r="C415" i="3"/>
  <c r="M415" i="2"/>
  <c r="B415" i="3"/>
  <c r="L415" i="2"/>
  <c r="G414" i="3"/>
  <c r="AC410" i="2"/>
  <c r="F414" i="3"/>
  <c r="AB410" i="2"/>
  <c r="E414" i="3"/>
  <c r="O414" i="2"/>
  <c r="D414" i="3"/>
  <c r="C414" i="3"/>
  <c r="M414" i="2"/>
  <c r="B414" i="3"/>
  <c r="G413" i="3"/>
  <c r="AC409" i="2"/>
  <c r="F413" i="3"/>
  <c r="AB409" i="2"/>
  <c r="E413" i="3"/>
  <c r="O413" i="2"/>
  <c r="D413" i="3"/>
  <c r="C413" i="3"/>
  <c r="M413" i="2"/>
  <c r="B413" i="3"/>
  <c r="L413" i="2"/>
  <c r="G412" i="3"/>
  <c r="AC408" i="2"/>
  <c r="F412" i="3"/>
  <c r="AB408" i="2"/>
  <c r="E412" i="3"/>
  <c r="O412" i="2"/>
  <c r="D412" i="3"/>
  <c r="C412" i="3"/>
  <c r="M412" i="2"/>
  <c r="B412" i="3"/>
  <c r="G411" i="3"/>
  <c r="AC407" i="2"/>
  <c r="F411" i="3"/>
  <c r="AB407" i="2"/>
  <c r="E411" i="3"/>
  <c r="O411" i="2"/>
  <c r="D411" i="3"/>
  <c r="C411" i="3"/>
  <c r="M411" i="2"/>
  <c r="B411" i="3"/>
  <c r="L411" i="2"/>
  <c r="G410" i="3"/>
  <c r="AC406" i="2"/>
  <c r="F410" i="3"/>
  <c r="AB406" i="2"/>
  <c r="E410" i="3"/>
  <c r="O410" i="2"/>
  <c r="D410" i="3"/>
  <c r="C410" i="3"/>
  <c r="M410" i="2"/>
  <c r="B410" i="3"/>
  <c r="G409" i="3"/>
  <c r="AC405" i="2"/>
  <c r="F409" i="3"/>
  <c r="AB405" i="2"/>
  <c r="E409" i="3"/>
  <c r="O409" i="2"/>
  <c r="D409" i="3"/>
  <c r="C409" i="3"/>
  <c r="M409" i="2"/>
  <c r="B409" i="3"/>
  <c r="L409" i="2"/>
  <c r="G408" i="3"/>
  <c r="AC404" i="2"/>
  <c r="F408" i="3"/>
  <c r="AB404" i="2"/>
  <c r="E408" i="3"/>
  <c r="O408" i="2"/>
  <c r="D408" i="3"/>
  <c r="C408" i="3"/>
  <c r="M408" i="2"/>
  <c r="B408" i="3"/>
  <c r="G407" i="3"/>
  <c r="AC403" i="2"/>
  <c r="F407" i="3"/>
  <c r="AB403" i="2"/>
  <c r="E407" i="3"/>
  <c r="O407" i="2"/>
  <c r="D407" i="3"/>
  <c r="C407" i="3"/>
  <c r="M407" i="2"/>
  <c r="B407" i="3"/>
  <c r="L407" i="2"/>
  <c r="G406" i="3"/>
  <c r="AC402" i="2"/>
  <c r="F406" i="3"/>
  <c r="AB402" i="2"/>
  <c r="E406" i="3"/>
  <c r="O406" i="2"/>
  <c r="D406" i="3"/>
  <c r="C406" i="3"/>
  <c r="M406" i="2"/>
  <c r="B406" i="3"/>
  <c r="G405" i="3"/>
  <c r="AC401" i="2"/>
  <c r="F405" i="3"/>
  <c r="AB401" i="2"/>
  <c r="E405" i="3"/>
  <c r="O405" i="2"/>
  <c r="D405" i="3"/>
  <c r="C405" i="3"/>
  <c r="M405" i="2"/>
  <c r="B405" i="3"/>
  <c r="L405" i="2"/>
  <c r="G404" i="3"/>
  <c r="AC400" i="2"/>
  <c r="F404" i="3"/>
  <c r="AB400" i="2"/>
  <c r="E404" i="3"/>
  <c r="O404" i="2"/>
  <c r="D404" i="3"/>
  <c r="C404" i="3"/>
  <c r="M404" i="2"/>
  <c r="B404" i="3"/>
  <c r="G403" i="3"/>
  <c r="AC399" i="2"/>
  <c r="F403" i="3"/>
  <c r="AB399" i="2"/>
  <c r="E403" i="3"/>
  <c r="O403" i="2"/>
  <c r="D403" i="3"/>
  <c r="C403" i="3"/>
  <c r="M403" i="2"/>
  <c r="B403" i="3"/>
  <c r="L403" i="2"/>
  <c r="G402" i="3"/>
  <c r="F402" i="3"/>
  <c r="E402" i="3"/>
  <c r="O402" i="2"/>
  <c r="D402" i="3"/>
  <c r="C402" i="3"/>
  <c r="M402" i="2"/>
  <c r="B402" i="3"/>
  <c r="G401" i="3"/>
  <c r="F401" i="3"/>
  <c r="E401" i="3"/>
  <c r="O401" i="2"/>
  <c r="D401" i="3"/>
  <c r="C401" i="3"/>
  <c r="M401" i="2"/>
  <c r="B401" i="3"/>
  <c r="L401" i="2"/>
  <c r="G400" i="3"/>
  <c r="AC396" i="2"/>
  <c r="F400" i="3"/>
  <c r="AB396" i="2"/>
  <c r="E400" i="3"/>
  <c r="O400" i="2"/>
  <c r="D400" i="3"/>
  <c r="C400" i="3"/>
  <c r="M400" i="2"/>
  <c r="B400" i="3"/>
  <c r="G399" i="3"/>
  <c r="AC395" i="2"/>
  <c r="F399" i="3"/>
  <c r="AB395" i="2"/>
  <c r="E399" i="3"/>
  <c r="O399" i="2"/>
  <c r="D399" i="3"/>
  <c r="C399" i="3"/>
  <c r="M399" i="2"/>
  <c r="B399" i="3"/>
  <c r="L399" i="2"/>
  <c r="G398" i="3"/>
  <c r="AC394" i="2"/>
  <c r="F398" i="3"/>
  <c r="AB394" i="2"/>
  <c r="E398" i="3"/>
  <c r="O398" i="2"/>
  <c r="D398" i="3"/>
  <c r="C398" i="3"/>
  <c r="M398" i="2"/>
  <c r="B398" i="3"/>
  <c r="G397" i="3"/>
  <c r="AC393" i="2"/>
  <c r="F397" i="3"/>
  <c r="AB393" i="2"/>
  <c r="E397" i="3"/>
  <c r="O397" i="2"/>
  <c r="D397" i="3"/>
  <c r="C397" i="3"/>
  <c r="M397" i="2"/>
  <c r="B397" i="3"/>
  <c r="L397" i="2"/>
  <c r="G396" i="3"/>
  <c r="AC392" i="2"/>
  <c r="F396" i="3"/>
  <c r="AB392" i="2"/>
  <c r="E396" i="3"/>
  <c r="O396" i="2"/>
  <c r="D396" i="3"/>
  <c r="C396" i="3"/>
  <c r="M396" i="2"/>
  <c r="B396" i="3"/>
  <c r="G395" i="3"/>
  <c r="AC391" i="2"/>
  <c r="F395" i="3"/>
  <c r="AB391" i="2"/>
  <c r="E395" i="3"/>
  <c r="O395" i="2"/>
  <c r="D395" i="3"/>
  <c r="C395" i="3"/>
  <c r="M395" i="2"/>
  <c r="B395" i="3"/>
  <c r="L395" i="2"/>
  <c r="G394" i="3"/>
  <c r="AC390" i="2"/>
  <c r="F394" i="3"/>
  <c r="AB390" i="2"/>
  <c r="E394" i="3"/>
  <c r="O394" i="2"/>
  <c r="D394" i="3"/>
  <c r="C394" i="3"/>
  <c r="M394" i="2"/>
  <c r="B394" i="3"/>
  <c r="G393" i="3"/>
  <c r="AC389" i="2"/>
  <c r="F393" i="3"/>
  <c r="AB389" i="2"/>
  <c r="E393" i="3"/>
  <c r="O393" i="2"/>
  <c r="D393" i="3"/>
  <c r="C393" i="3"/>
  <c r="M393" i="2"/>
  <c r="B393" i="3"/>
  <c r="L393" i="2"/>
  <c r="G392" i="3"/>
  <c r="AC388" i="2"/>
  <c r="F392" i="3"/>
  <c r="AB388" i="2"/>
  <c r="E392" i="3"/>
  <c r="O392" i="2"/>
  <c r="D392" i="3"/>
  <c r="C392" i="3"/>
  <c r="M392" i="2"/>
  <c r="B392" i="3"/>
  <c r="G391" i="3"/>
  <c r="AC387" i="2"/>
  <c r="F391" i="3"/>
  <c r="AB387" i="2"/>
  <c r="E391" i="3"/>
  <c r="O391" i="2"/>
  <c r="D391" i="3"/>
  <c r="C391" i="3"/>
  <c r="M391" i="2"/>
  <c r="B391" i="3"/>
  <c r="L391" i="2"/>
  <c r="G390" i="3"/>
  <c r="AC386" i="2"/>
  <c r="F390" i="3"/>
  <c r="AB386" i="2"/>
  <c r="E390" i="3"/>
  <c r="O390" i="2"/>
  <c r="D390" i="3"/>
  <c r="C390" i="3"/>
  <c r="M390" i="2"/>
  <c r="B390" i="3"/>
  <c r="G389" i="3"/>
  <c r="AC385" i="2"/>
  <c r="F389" i="3"/>
  <c r="AB385" i="2"/>
  <c r="E389" i="3"/>
  <c r="O389" i="2"/>
  <c r="D389" i="3"/>
  <c r="C389" i="3"/>
  <c r="M389" i="2"/>
  <c r="B389" i="3"/>
  <c r="L389" i="2"/>
  <c r="G388" i="3"/>
  <c r="AC384" i="2"/>
  <c r="F388" i="3"/>
  <c r="AB384" i="2"/>
  <c r="E388" i="3"/>
  <c r="O388" i="2"/>
  <c r="D388" i="3"/>
  <c r="C388" i="3"/>
  <c r="M388" i="2"/>
  <c r="B388" i="3"/>
  <c r="G387" i="3"/>
  <c r="AC383" i="2"/>
  <c r="F387" i="3"/>
  <c r="AB383" i="2"/>
  <c r="E387" i="3"/>
  <c r="O387" i="2"/>
  <c r="D387" i="3"/>
  <c r="C387" i="3"/>
  <c r="M387" i="2"/>
  <c r="B387" i="3"/>
  <c r="L387" i="2"/>
  <c r="G386" i="3"/>
  <c r="AC382" i="2"/>
  <c r="F386" i="3"/>
  <c r="AB382" i="2"/>
  <c r="E386" i="3"/>
  <c r="O386" i="2"/>
  <c r="D386" i="3"/>
  <c r="C386" i="3"/>
  <c r="M386" i="2"/>
  <c r="B386" i="3"/>
  <c r="G385" i="3"/>
  <c r="AC381" i="2"/>
  <c r="F385" i="3"/>
  <c r="AB381" i="2"/>
  <c r="E385" i="3"/>
  <c r="O385" i="2"/>
  <c r="D385" i="3"/>
  <c r="C385" i="3"/>
  <c r="M385" i="2"/>
  <c r="B385" i="3"/>
  <c r="L385" i="2"/>
  <c r="G384" i="3"/>
  <c r="AC380" i="2"/>
  <c r="F384" i="3"/>
  <c r="AB380" i="2"/>
  <c r="E384" i="3"/>
  <c r="O384" i="2"/>
  <c r="D384" i="3"/>
  <c r="C384" i="3"/>
  <c r="M384" i="2"/>
  <c r="B384" i="3"/>
  <c r="G383" i="3"/>
  <c r="AC379" i="2"/>
  <c r="F383" i="3"/>
  <c r="AB379" i="2"/>
  <c r="E383" i="3"/>
  <c r="O383" i="2"/>
  <c r="D383" i="3"/>
  <c r="C383" i="3"/>
  <c r="M383" i="2"/>
  <c r="B383" i="3"/>
  <c r="G382" i="3"/>
  <c r="AC378" i="2"/>
  <c r="F382" i="3"/>
  <c r="AB378" i="2"/>
  <c r="E382" i="3"/>
  <c r="O382" i="2"/>
  <c r="D382" i="3"/>
  <c r="C382" i="3"/>
  <c r="M382" i="2"/>
  <c r="B382" i="3"/>
  <c r="G381" i="3"/>
  <c r="AC377" i="2"/>
  <c r="F381" i="3"/>
  <c r="AB377" i="2"/>
  <c r="E381" i="3"/>
  <c r="O381" i="2"/>
  <c r="D381" i="3"/>
  <c r="C381" i="3"/>
  <c r="M381" i="2"/>
  <c r="B381" i="3"/>
  <c r="G380" i="3"/>
  <c r="AC376" i="2"/>
  <c r="F380" i="3"/>
  <c r="AB376" i="2"/>
  <c r="E380" i="3"/>
  <c r="O380" i="2"/>
  <c r="D380" i="3"/>
  <c r="C380" i="3"/>
  <c r="M380" i="2"/>
  <c r="B380" i="3"/>
  <c r="G379" i="3"/>
  <c r="AC375" i="2"/>
  <c r="F379" i="3"/>
  <c r="AB375" i="2"/>
  <c r="E379" i="3"/>
  <c r="O379" i="2"/>
  <c r="D379" i="3"/>
  <c r="C379" i="3"/>
  <c r="M379" i="2"/>
  <c r="B379" i="3"/>
  <c r="G378" i="3"/>
  <c r="AC374" i="2"/>
  <c r="F378" i="3"/>
  <c r="AB374" i="2"/>
  <c r="E378" i="3"/>
  <c r="O378" i="2"/>
  <c r="D378" i="3"/>
  <c r="C378" i="3"/>
  <c r="M378" i="2"/>
  <c r="B378" i="3"/>
  <c r="G377" i="3"/>
  <c r="AC373" i="2"/>
  <c r="F377" i="3"/>
  <c r="AB373" i="2"/>
  <c r="E377" i="3"/>
  <c r="O377" i="2"/>
  <c r="D377" i="3"/>
  <c r="C377" i="3"/>
  <c r="M377" i="2"/>
  <c r="B377" i="3"/>
  <c r="G376" i="3"/>
  <c r="AC372" i="2"/>
  <c r="F376" i="3"/>
  <c r="AB372" i="2"/>
  <c r="E376" i="3"/>
  <c r="O376" i="2"/>
  <c r="D376" i="3"/>
  <c r="C376" i="3"/>
  <c r="M376" i="2"/>
  <c r="B376" i="3"/>
  <c r="G375" i="3"/>
  <c r="AC371" i="2"/>
  <c r="F375" i="3"/>
  <c r="AB371" i="2"/>
  <c r="E375" i="3"/>
  <c r="O375" i="2"/>
  <c r="D375" i="3"/>
  <c r="C375" i="3"/>
  <c r="M375" i="2"/>
  <c r="B375" i="3"/>
  <c r="G374" i="3"/>
  <c r="AC370" i="2"/>
  <c r="F374" i="3"/>
  <c r="AB370" i="2"/>
  <c r="E374" i="3"/>
  <c r="O374" i="2"/>
  <c r="D374" i="3"/>
  <c r="C374" i="3"/>
  <c r="M374" i="2"/>
  <c r="B374" i="3"/>
  <c r="G373" i="3"/>
  <c r="AC369" i="2"/>
  <c r="F373" i="3"/>
  <c r="AB369" i="2"/>
  <c r="E373" i="3"/>
  <c r="O373" i="2"/>
  <c r="D373" i="3"/>
  <c r="C373" i="3"/>
  <c r="M373" i="2"/>
  <c r="B373" i="3"/>
  <c r="G372" i="3"/>
  <c r="AC368" i="2"/>
  <c r="F372" i="3"/>
  <c r="AB368" i="2"/>
  <c r="E372" i="3"/>
  <c r="O372" i="2"/>
  <c r="D372" i="3"/>
  <c r="C372" i="3"/>
  <c r="M372" i="2"/>
  <c r="B372" i="3"/>
  <c r="G371" i="3"/>
  <c r="AC367" i="2"/>
  <c r="F371" i="3"/>
  <c r="AB367" i="2"/>
  <c r="E371" i="3"/>
  <c r="D371" i="3"/>
  <c r="N371" i="2"/>
  <c r="C371" i="3"/>
  <c r="M371" i="2"/>
  <c r="B371" i="3"/>
  <c r="G370" i="3"/>
  <c r="AC366" i="2"/>
  <c r="F370" i="3"/>
  <c r="AB366" i="2"/>
  <c r="E370" i="3"/>
  <c r="O370" i="2"/>
  <c r="D370" i="3"/>
  <c r="C370" i="3"/>
  <c r="B370" i="3"/>
  <c r="G369" i="3"/>
  <c r="AC365" i="2"/>
  <c r="F369" i="3"/>
  <c r="AB365" i="2"/>
  <c r="E369" i="3"/>
  <c r="D369" i="3"/>
  <c r="N369" i="2"/>
  <c r="C369" i="3"/>
  <c r="M369" i="2"/>
  <c r="B369" i="3"/>
  <c r="G368" i="3"/>
  <c r="AC364" i="2"/>
  <c r="F368" i="3"/>
  <c r="AB364" i="2"/>
  <c r="E368" i="3"/>
  <c r="O368" i="2"/>
  <c r="D368" i="3"/>
  <c r="C368" i="3"/>
  <c r="B368" i="3"/>
  <c r="G367" i="3"/>
  <c r="AC363" i="2"/>
  <c r="F367" i="3"/>
  <c r="AB363" i="2"/>
  <c r="E367" i="3"/>
  <c r="D367" i="3"/>
  <c r="N367" i="2"/>
  <c r="C367" i="3"/>
  <c r="M367" i="2"/>
  <c r="B367" i="3"/>
  <c r="G366" i="3"/>
  <c r="AC362" i="2"/>
  <c r="F366" i="3"/>
  <c r="AB362" i="2"/>
  <c r="E366" i="3"/>
  <c r="O366" i="2"/>
  <c r="D366" i="3"/>
  <c r="C366" i="3"/>
  <c r="M366" i="2"/>
  <c r="B366" i="3"/>
  <c r="G365" i="3"/>
  <c r="AC361" i="2"/>
  <c r="F365" i="3"/>
  <c r="AB361" i="2"/>
  <c r="E365" i="3"/>
  <c r="D365" i="3"/>
  <c r="N365" i="2"/>
  <c r="C365" i="3"/>
  <c r="M365" i="2"/>
  <c r="B365" i="3"/>
  <c r="G364" i="3"/>
  <c r="AC360" i="2"/>
  <c r="F364" i="3"/>
  <c r="AB360" i="2"/>
  <c r="E364" i="3"/>
  <c r="O364" i="2"/>
  <c r="D364" i="3"/>
  <c r="C364" i="3"/>
  <c r="M364" i="2"/>
  <c r="B364" i="3"/>
  <c r="G363" i="3"/>
  <c r="AC359" i="2"/>
  <c r="F363" i="3"/>
  <c r="AB359" i="2"/>
  <c r="E363" i="3"/>
  <c r="D363" i="3"/>
  <c r="N363" i="2"/>
  <c r="C363" i="3"/>
  <c r="M363" i="2"/>
  <c r="B363" i="3"/>
  <c r="G362" i="3"/>
  <c r="AC358" i="2"/>
  <c r="F362" i="3"/>
  <c r="AB358" i="2"/>
  <c r="E362" i="3"/>
  <c r="O362" i="2"/>
  <c r="D362" i="3"/>
  <c r="C362" i="3"/>
  <c r="M362" i="2"/>
  <c r="B362" i="3"/>
  <c r="G361" i="3"/>
  <c r="AC357" i="2"/>
  <c r="F361" i="3"/>
  <c r="AB357" i="2"/>
  <c r="E361" i="3"/>
  <c r="D361" i="3"/>
  <c r="N361" i="2"/>
  <c r="C361" i="3"/>
  <c r="M361" i="2"/>
  <c r="B361" i="3"/>
  <c r="G360" i="3"/>
  <c r="AC356" i="2"/>
  <c r="F360" i="3"/>
  <c r="AB356" i="2"/>
  <c r="E360" i="3"/>
  <c r="O360" i="2"/>
  <c r="D360" i="3"/>
  <c r="C360" i="3"/>
  <c r="M360" i="2"/>
  <c r="B360" i="3"/>
  <c r="G359" i="3"/>
  <c r="AC355" i="2"/>
  <c r="F359" i="3"/>
  <c r="AB355" i="2"/>
  <c r="E359" i="3"/>
  <c r="D359" i="3"/>
  <c r="N359" i="2"/>
  <c r="C359" i="3"/>
  <c r="M359" i="2"/>
  <c r="B359" i="3"/>
  <c r="G358" i="3"/>
  <c r="AC354" i="2"/>
  <c r="F358" i="3"/>
  <c r="AB354" i="2"/>
  <c r="E358" i="3"/>
  <c r="O358" i="2"/>
  <c r="D358" i="3"/>
  <c r="C358" i="3"/>
  <c r="M358" i="2"/>
  <c r="B358" i="3"/>
  <c r="G357" i="3"/>
  <c r="AC353" i="2"/>
  <c r="F357" i="3"/>
  <c r="AB353" i="2"/>
  <c r="E357" i="3"/>
  <c r="D357" i="3"/>
  <c r="N357" i="2"/>
  <c r="C357" i="3"/>
  <c r="M357" i="2"/>
  <c r="B357" i="3"/>
  <c r="G356" i="3"/>
  <c r="AC352" i="2"/>
  <c r="F356" i="3"/>
  <c r="AB352" i="2"/>
  <c r="E356" i="3"/>
  <c r="O356" i="2"/>
  <c r="D356" i="3"/>
  <c r="C356" i="3"/>
  <c r="M356" i="2"/>
  <c r="B356" i="3"/>
  <c r="G355" i="3"/>
  <c r="AC351" i="2"/>
  <c r="F355" i="3"/>
  <c r="AB351" i="2"/>
  <c r="E355" i="3"/>
  <c r="D355" i="3"/>
  <c r="N355" i="2"/>
  <c r="C355" i="3"/>
  <c r="M355" i="2"/>
  <c r="B355" i="3"/>
  <c r="G354" i="3"/>
  <c r="AC350" i="2"/>
  <c r="F354" i="3"/>
  <c r="AB350" i="2"/>
  <c r="E354" i="3"/>
  <c r="O354" i="2"/>
  <c r="D354" i="3"/>
  <c r="C354" i="3"/>
  <c r="M354" i="2"/>
  <c r="B354" i="3"/>
  <c r="G353" i="3"/>
  <c r="AC349" i="2"/>
  <c r="F353" i="3"/>
  <c r="AB349" i="2"/>
  <c r="E353" i="3"/>
  <c r="D353" i="3"/>
  <c r="N353" i="2"/>
  <c r="C353" i="3"/>
  <c r="M353" i="2"/>
  <c r="B353" i="3"/>
  <c r="G352" i="3"/>
  <c r="AC348" i="2"/>
  <c r="F352" i="3"/>
  <c r="AB348" i="2"/>
  <c r="E352" i="3"/>
  <c r="O352" i="2"/>
  <c r="D352" i="3"/>
  <c r="C352" i="3"/>
  <c r="M352" i="2"/>
  <c r="B352" i="3"/>
  <c r="G351" i="3"/>
  <c r="AC347" i="2"/>
  <c r="F351" i="3"/>
  <c r="AB347" i="2"/>
  <c r="E351" i="3"/>
  <c r="D351" i="3"/>
  <c r="N351" i="2"/>
  <c r="C351" i="3"/>
  <c r="M351" i="2"/>
  <c r="B351" i="3"/>
  <c r="G350" i="3"/>
  <c r="AC346" i="2"/>
  <c r="F350" i="3"/>
  <c r="AB346" i="2"/>
  <c r="E350" i="3"/>
  <c r="O350" i="2"/>
  <c r="D350" i="3"/>
  <c r="C350" i="3"/>
  <c r="M350" i="2"/>
  <c r="B350" i="3"/>
  <c r="G349" i="3"/>
  <c r="AC345" i="2"/>
  <c r="F349" i="3"/>
  <c r="AB345" i="2"/>
  <c r="E349" i="3"/>
  <c r="D349" i="3"/>
  <c r="N349" i="2"/>
  <c r="C349" i="3"/>
  <c r="M349" i="2"/>
  <c r="B349" i="3"/>
  <c r="G348" i="3"/>
  <c r="AC344" i="2"/>
  <c r="F348" i="3"/>
  <c r="AB344" i="2"/>
  <c r="E348" i="3"/>
  <c r="O348" i="2"/>
  <c r="D348" i="3"/>
  <c r="C348" i="3"/>
  <c r="M348" i="2"/>
  <c r="B348" i="3"/>
  <c r="G347" i="3"/>
  <c r="AC343" i="2"/>
  <c r="F347" i="3"/>
  <c r="AB343" i="2"/>
  <c r="E347" i="3"/>
  <c r="D347" i="3"/>
  <c r="N347" i="2"/>
  <c r="C347" i="3"/>
  <c r="M347" i="2"/>
  <c r="B347" i="3"/>
  <c r="G346" i="3"/>
  <c r="AC342" i="2"/>
  <c r="F346" i="3"/>
  <c r="AB342" i="2"/>
  <c r="E346" i="3"/>
  <c r="O346" i="2"/>
  <c r="D346" i="3"/>
  <c r="C346" i="3"/>
  <c r="M346" i="2"/>
  <c r="B346" i="3"/>
  <c r="G345" i="3"/>
  <c r="AC341" i="2"/>
  <c r="F345" i="3"/>
  <c r="AB341" i="2"/>
  <c r="E345" i="3"/>
  <c r="D345" i="3"/>
  <c r="N345" i="2"/>
  <c r="C345" i="3"/>
  <c r="M345" i="2"/>
  <c r="B345" i="3"/>
  <c r="G344" i="3"/>
  <c r="AC340" i="2"/>
  <c r="F344" i="3"/>
  <c r="AB340" i="2"/>
  <c r="E344" i="3"/>
  <c r="O344" i="2"/>
  <c r="D344" i="3"/>
  <c r="C344" i="3"/>
  <c r="M344" i="2"/>
  <c r="B344" i="3"/>
  <c r="G343" i="3"/>
  <c r="AC339" i="2"/>
  <c r="F343" i="3"/>
  <c r="AB339" i="2"/>
  <c r="E343" i="3"/>
  <c r="D343" i="3"/>
  <c r="N343" i="2"/>
  <c r="C343" i="3"/>
  <c r="M343" i="2"/>
  <c r="B343" i="3"/>
  <c r="G342" i="3"/>
  <c r="AC338" i="2"/>
  <c r="F342" i="3"/>
  <c r="AB338" i="2"/>
  <c r="E342" i="3"/>
  <c r="O342" i="2"/>
  <c r="D342" i="3"/>
  <c r="C342" i="3"/>
  <c r="M342" i="2"/>
  <c r="B342" i="3"/>
  <c r="G341" i="3"/>
  <c r="AC337" i="2"/>
  <c r="F341" i="3"/>
  <c r="AB337" i="2"/>
  <c r="E341" i="3"/>
  <c r="D341" i="3"/>
  <c r="N341" i="2"/>
  <c r="C341" i="3"/>
  <c r="M341" i="2"/>
  <c r="B341" i="3"/>
  <c r="G340" i="3"/>
  <c r="AC336" i="2"/>
  <c r="F340" i="3"/>
  <c r="AB336" i="2"/>
  <c r="E340" i="3"/>
  <c r="O340" i="2"/>
  <c r="D340" i="3"/>
  <c r="C340" i="3"/>
  <c r="M340" i="2"/>
  <c r="B340" i="3"/>
  <c r="G339" i="3"/>
  <c r="AC335" i="2"/>
  <c r="F339" i="3"/>
  <c r="AB335" i="2"/>
  <c r="E339" i="3"/>
  <c r="D339" i="3"/>
  <c r="N339" i="2"/>
  <c r="C339" i="3"/>
  <c r="M339" i="2"/>
  <c r="B339" i="3"/>
  <c r="G338" i="3"/>
  <c r="AC334" i="2"/>
  <c r="F338" i="3"/>
  <c r="AB334" i="2"/>
  <c r="E338" i="3"/>
  <c r="O338" i="2"/>
  <c r="D338" i="3"/>
  <c r="C338" i="3"/>
  <c r="M338" i="2"/>
  <c r="B338" i="3"/>
  <c r="G337" i="3"/>
  <c r="AC333" i="2"/>
  <c r="F337" i="3"/>
  <c r="AB333" i="2"/>
  <c r="E337" i="3"/>
  <c r="D337" i="3"/>
  <c r="N337" i="2"/>
  <c r="C337" i="3"/>
  <c r="M337" i="2"/>
  <c r="B337" i="3"/>
  <c r="L337" i="2"/>
  <c r="G336" i="3"/>
  <c r="AC332" i="2"/>
  <c r="F336" i="3"/>
  <c r="AB332" i="2"/>
  <c r="E336" i="3"/>
  <c r="O336" i="2"/>
  <c r="D336" i="3"/>
  <c r="C336" i="3"/>
  <c r="M336" i="2"/>
  <c r="B336" i="3"/>
  <c r="L336" i="2"/>
  <c r="G335" i="3"/>
  <c r="AC331" i="2"/>
  <c r="F335" i="3"/>
  <c r="AB331" i="2"/>
  <c r="E335" i="3"/>
  <c r="D335" i="3"/>
  <c r="N335" i="2"/>
  <c r="C335" i="3"/>
  <c r="M335" i="2"/>
  <c r="B335" i="3"/>
  <c r="L335" i="2"/>
  <c r="G334" i="3"/>
  <c r="AC330" i="2"/>
  <c r="F334" i="3"/>
  <c r="AB330" i="2"/>
  <c r="E334" i="3"/>
  <c r="O334" i="2"/>
  <c r="D334" i="3"/>
  <c r="C334" i="3"/>
  <c r="M334" i="2"/>
  <c r="B334" i="3"/>
  <c r="L334" i="2"/>
  <c r="G333" i="3"/>
  <c r="AC329" i="2"/>
  <c r="F333" i="3"/>
  <c r="AB329" i="2"/>
  <c r="E333" i="3"/>
  <c r="D333" i="3"/>
  <c r="N333" i="2"/>
  <c r="C333" i="3"/>
  <c r="M333" i="2"/>
  <c r="B333" i="3"/>
  <c r="L333" i="2"/>
  <c r="G332" i="3"/>
  <c r="AC328" i="2"/>
  <c r="F332" i="3"/>
  <c r="AB328" i="2"/>
  <c r="E332" i="3"/>
  <c r="O332" i="2"/>
  <c r="D332" i="3"/>
  <c r="C332" i="3"/>
  <c r="M332" i="2"/>
  <c r="B332" i="3"/>
  <c r="L332" i="2"/>
  <c r="G331" i="3"/>
  <c r="AC327" i="2"/>
  <c r="F331" i="3"/>
  <c r="AB327" i="2"/>
  <c r="E331" i="3"/>
  <c r="D331" i="3"/>
  <c r="N331" i="2"/>
  <c r="C331" i="3"/>
  <c r="M331" i="2"/>
  <c r="B331" i="3"/>
  <c r="L331" i="2"/>
  <c r="G330" i="3"/>
  <c r="AC326" i="2"/>
  <c r="F330" i="3"/>
  <c r="AB326" i="2"/>
  <c r="E330" i="3"/>
  <c r="O330" i="2"/>
  <c r="D330" i="3"/>
  <c r="C330" i="3"/>
  <c r="M330" i="2"/>
  <c r="B330" i="3"/>
  <c r="L330" i="2"/>
  <c r="G329" i="3"/>
  <c r="AC325" i="2"/>
  <c r="F329" i="3"/>
  <c r="AB325" i="2"/>
  <c r="E329" i="3"/>
  <c r="D329" i="3"/>
  <c r="N329" i="2"/>
  <c r="C329" i="3"/>
  <c r="M329" i="2"/>
  <c r="B329" i="3"/>
  <c r="L329" i="2"/>
  <c r="G328" i="3"/>
  <c r="AC324" i="2"/>
  <c r="F328" i="3"/>
  <c r="AB324" i="2"/>
  <c r="E328" i="3"/>
  <c r="O328" i="2"/>
  <c r="D328" i="3"/>
  <c r="C328" i="3"/>
  <c r="M328" i="2"/>
  <c r="B328" i="3"/>
  <c r="L328" i="2"/>
  <c r="G327" i="3"/>
  <c r="AC323" i="2"/>
  <c r="F327" i="3"/>
  <c r="AB323" i="2"/>
  <c r="E327" i="3"/>
  <c r="D327" i="3"/>
  <c r="N327" i="2"/>
  <c r="C327" i="3"/>
  <c r="M327" i="2"/>
  <c r="B327" i="3"/>
  <c r="L327" i="2"/>
  <c r="G326" i="3"/>
  <c r="AC322" i="2"/>
  <c r="F326" i="3"/>
  <c r="AB322" i="2"/>
  <c r="E326" i="3"/>
  <c r="O326" i="2"/>
  <c r="D326" i="3"/>
  <c r="C326" i="3"/>
  <c r="M326" i="2"/>
  <c r="B326" i="3"/>
  <c r="L326" i="2"/>
  <c r="G325" i="3"/>
  <c r="AC321" i="2"/>
  <c r="F325" i="3"/>
  <c r="AB321" i="2"/>
  <c r="E325" i="3"/>
  <c r="D325" i="3"/>
  <c r="N325" i="2"/>
  <c r="C325" i="3"/>
  <c r="M325" i="2"/>
  <c r="B325" i="3"/>
  <c r="L325" i="2"/>
  <c r="G324" i="3"/>
  <c r="AC320" i="2"/>
  <c r="F324" i="3"/>
  <c r="AB320" i="2"/>
  <c r="E324" i="3"/>
  <c r="O324" i="2"/>
  <c r="D324" i="3"/>
  <c r="C324" i="3"/>
  <c r="M324" i="2"/>
  <c r="B324" i="3"/>
  <c r="L324" i="2"/>
  <c r="G323" i="3"/>
  <c r="AC319" i="2"/>
  <c r="F323" i="3"/>
  <c r="AB319" i="2"/>
  <c r="E323" i="3"/>
  <c r="D323" i="3"/>
  <c r="N323" i="2"/>
  <c r="C323" i="3"/>
  <c r="M323" i="2"/>
  <c r="B323" i="3"/>
  <c r="L323" i="2"/>
  <c r="G322" i="3"/>
  <c r="AC318" i="2"/>
  <c r="F322" i="3"/>
  <c r="AB318" i="2"/>
  <c r="E322" i="3"/>
  <c r="O322" i="2"/>
  <c r="D322" i="3"/>
  <c r="C322" i="3"/>
  <c r="M322" i="2"/>
  <c r="B322" i="3"/>
  <c r="L322" i="2"/>
  <c r="G321" i="3"/>
  <c r="AC317" i="2"/>
  <c r="F321" i="3"/>
  <c r="AB317" i="2"/>
  <c r="E321" i="3"/>
  <c r="D321" i="3"/>
  <c r="N321" i="2"/>
  <c r="C321" i="3"/>
  <c r="M321" i="2"/>
  <c r="B321" i="3"/>
  <c r="L321" i="2"/>
  <c r="G320" i="3"/>
  <c r="AC316" i="2"/>
  <c r="F320" i="3"/>
  <c r="AB316" i="2"/>
  <c r="E320" i="3"/>
  <c r="O320" i="2"/>
  <c r="D320" i="3"/>
  <c r="C320" i="3"/>
  <c r="M320" i="2"/>
  <c r="B320" i="3"/>
  <c r="L320" i="2"/>
  <c r="G319" i="3"/>
  <c r="AC315" i="2"/>
  <c r="F319" i="3"/>
  <c r="AB315" i="2"/>
  <c r="E319" i="3"/>
  <c r="D319" i="3"/>
  <c r="N319" i="2"/>
  <c r="C319" i="3"/>
  <c r="M319" i="2"/>
  <c r="B319" i="3"/>
  <c r="L319" i="2"/>
  <c r="G318" i="3"/>
  <c r="AC314" i="2"/>
  <c r="F318" i="3"/>
  <c r="AB314" i="2"/>
  <c r="E318" i="3"/>
  <c r="O318" i="2"/>
  <c r="D318" i="3"/>
  <c r="C318" i="3"/>
  <c r="M318" i="2"/>
  <c r="B318" i="3"/>
  <c r="L318" i="2"/>
  <c r="G317" i="3"/>
  <c r="AC313" i="2"/>
  <c r="F317" i="3"/>
  <c r="AB313" i="2"/>
  <c r="E317" i="3"/>
  <c r="D317" i="3"/>
  <c r="N317" i="2"/>
  <c r="C317" i="3"/>
  <c r="M317" i="2"/>
  <c r="B317" i="3"/>
  <c r="L317" i="2"/>
  <c r="G316" i="3"/>
  <c r="AC312" i="2"/>
  <c r="F316" i="3"/>
  <c r="AB312" i="2"/>
  <c r="E316" i="3"/>
  <c r="O316" i="2"/>
  <c r="D316" i="3"/>
  <c r="C316" i="3"/>
  <c r="M316" i="2"/>
  <c r="B316" i="3"/>
  <c r="L316" i="2"/>
  <c r="G315" i="3"/>
  <c r="AC311" i="2"/>
  <c r="F315" i="3"/>
  <c r="AB311" i="2"/>
  <c r="E315" i="3"/>
  <c r="D315" i="3"/>
  <c r="N315" i="2"/>
  <c r="C315" i="3"/>
  <c r="M315" i="2"/>
  <c r="B315" i="3"/>
  <c r="L315" i="2"/>
  <c r="G314" i="3"/>
  <c r="AC310" i="2"/>
  <c r="F314" i="3"/>
  <c r="AB310" i="2"/>
  <c r="E314" i="3"/>
  <c r="O314" i="2"/>
  <c r="D314" i="3"/>
  <c r="C314" i="3"/>
  <c r="M314" i="2"/>
  <c r="B314" i="3"/>
  <c r="L314" i="2"/>
  <c r="G313" i="3"/>
  <c r="AC309" i="2"/>
  <c r="F313" i="3"/>
  <c r="AB309" i="2"/>
  <c r="E313" i="3"/>
  <c r="D313" i="3"/>
  <c r="N313" i="2"/>
  <c r="C313" i="3"/>
  <c r="M313" i="2"/>
  <c r="B313" i="3"/>
  <c r="L313" i="2"/>
  <c r="G312" i="3"/>
  <c r="AC308" i="2"/>
  <c r="F312" i="3"/>
  <c r="AB308" i="2"/>
  <c r="E312" i="3"/>
  <c r="O312" i="2"/>
  <c r="D312" i="3"/>
  <c r="C312" i="3"/>
  <c r="M312" i="2"/>
  <c r="B312" i="3"/>
  <c r="L312" i="2"/>
  <c r="G311" i="3"/>
  <c r="AC307" i="2"/>
  <c r="F311" i="3"/>
  <c r="AB307" i="2"/>
  <c r="E311" i="3"/>
  <c r="D311" i="3"/>
  <c r="N311" i="2"/>
  <c r="C311" i="3"/>
  <c r="M311" i="2"/>
  <c r="B311" i="3"/>
  <c r="L311" i="2"/>
  <c r="G310" i="3"/>
  <c r="AC306" i="2"/>
  <c r="F310" i="3"/>
  <c r="AB306" i="2"/>
  <c r="E310" i="3"/>
  <c r="O310" i="2"/>
  <c r="D310" i="3"/>
  <c r="C310" i="3"/>
  <c r="M310" i="2"/>
  <c r="B310" i="3"/>
  <c r="L310" i="2"/>
  <c r="G309" i="3"/>
  <c r="AC305" i="2"/>
  <c r="F309" i="3"/>
  <c r="AB305" i="2"/>
  <c r="E309" i="3"/>
  <c r="D309" i="3"/>
  <c r="N309" i="2"/>
  <c r="C309" i="3"/>
  <c r="M309" i="2"/>
  <c r="B309" i="3"/>
  <c r="L309" i="2"/>
  <c r="G308" i="3"/>
  <c r="AC304" i="2"/>
  <c r="F308" i="3"/>
  <c r="AB304" i="2"/>
  <c r="E308" i="3"/>
  <c r="O308" i="2"/>
  <c r="D308" i="3"/>
  <c r="C308" i="3"/>
  <c r="M308" i="2"/>
  <c r="B308" i="3"/>
  <c r="L308" i="2"/>
  <c r="G307" i="3"/>
  <c r="AC303" i="2"/>
  <c r="F307" i="3"/>
  <c r="AB303" i="2"/>
  <c r="E307" i="3"/>
  <c r="D307" i="3"/>
  <c r="N307" i="2"/>
  <c r="C307" i="3"/>
  <c r="M307" i="2"/>
  <c r="B307" i="3"/>
  <c r="L307" i="2"/>
  <c r="G306" i="3"/>
  <c r="AC302" i="2"/>
  <c r="F306" i="3"/>
  <c r="AB302" i="2"/>
  <c r="E306" i="3"/>
  <c r="O306" i="2"/>
  <c r="D306" i="3"/>
  <c r="C306" i="3"/>
  <c r="M306" i="2"/>
  <c r="B306" i="3"/>
  <c r="L306" i="2"/>
  <c r="G305" i="3"/>
  <c r="AC301" i="2"/>
  <c r="F305" i="3"/>
  <c r="AB301" i="2"/>
  <c r="E305" i="3"/>
  <c r="O305" i="2"/>
  <c r="D305" i="3"/>
  <c r="N305" i="2"/>
  <c r="C305" i="3"/>
  <c r="M305" i="2"/>
  <c r="B305" i="3"/>
  <c r="L305" i="2"/>
  <c r="G304" i="3"/>
  <c r="AC300" i="2"/>
  <c r="F304" i="3"/>
  <c r="AB300" i="2"/>
  <c r="E304" i="3"/>
  <c r="O304" i="2"/>
  <c r="D304" i="3"/>
  <c r="C304" i="3"/>
  <c r="M304" i="2"/>
  <c r="B304" i="3"/>
  <c r="L304" i="2"/>
  <c r="G303" i="3"/>
  <c r="AC299" i="2"/>
  <c r="F303" i="3"/>
  <c r="AB299" i="2"/>
  <c r="E303" i="3"/>
  <c r="O303" i="2"/>
  <c r="D303" i="3"/>
  <c r="N303" i="2"/>
  <c r="C303" i="3"/>
  <c r="M303" i="2"/>
  <c r="B303" i="3"/>
  <c r="L303" i="2"/>
  <c r="G302" i="3"/>
  <c r="AC298" i="2"/>
  <c r="F302" i="3"/>
  <c r="AB298" i="2"/>
  <c r="E302" i="3"/>
  <c r="O302" i="2"/>
  <c r="D302" i="3"/>
  <c r="C302" i="3"/>
  <c r="M302" i="2"/>
  <c r="B302" i="3"/>
  <c r="L302" i="2"/>
  <c r="G301" i="3"/>
  <c r="AC297" i="2"/>
  <c r="F301" i="3"/>
  <c r="AB297" i="2"/>
  <c r="E301" i="3"/>
  <c r="O301" i="2"/>
  <c r="D301" i="3"/>
  <c r="N301" i="2"/>
  <c r="C301" i="3"/>
  <c r="M301" i="2"/>
  <c r="B301" i="3"/>
  <c r="L301" i="2"/>
  <c r="G300" i="3"/>
  <c r="AC296" i="2"/>
  <c r="F300" i="3"/>
  <c r="AB296" i="2"/>
  <c r="E300" i="3"/>
  <c r="O300" i="2"/>
  <c r="D300" i="3"/>
  <c r="C300" i="3"/>
  <c r="M300" i="2"/>
  <c r="B300" i="3"/>
  <c r="L300" i="2"/>
  <c r="G299" i="3"/>
  <c r="AC295" i="2"/>
  <c r="F299" i="3"/>
  <c r="AB295" i="2"/>
  <c r="E299" i="3"/>
  <c r="O299" i="2"/>
  <c r="D299" i="3"/>
  <c r="N299" i="2"/>
  <c r="C299" i="3"/>
  <c r="M299" i="2"/>
  <c r="B299" i="3"/>
  <c r="L299" i="2"/>
  <c r="G298" i="3"/>
  <c r="AC294" i="2"/>
  <c r="F298" i="3"/>
  <c r="AB294" i="2"/>
  <c r="E298" i="3"/>
  <c r="O298" i="2"/>
  <c r="D298" i="3"/>
  <c r="C298" i="3"/>
  <c r="M298" i="2"/>
  <c r="B298" i="3"/>
  <c r="L298" i="2"/>
  <c r="G297" i="3"/>
  <c r="AC293" i="2"/>
  <c r="F297" i="3"/>
  <c r="AB293" i="2"/>
  <c r="E297" i="3"/>
  <c r="O297" i="2"/>
  <c r="D297" i="3"/>
  <c r="N297" i="2"/>
  <c r="C297" i="3"/>
  <c r="M297" i="2"/>
  <c r="B297" i="3"/>
  <c r="L297" i="2"/>
  <c r="G296" i="3"/>
  <c r="AC292" i="2"/>
  <c r="F296" i="3"/>
  <c r="AB292" i="2"/>
  <c r="E296" i="3"/>
  <c r="O296" i="2"/>
  <c r="D296" i="3"/>
  <c r="C296" i="3"/>
  <c r="M296" i="2"/>
  <c r="B296" i="3"/>
  <c r="L296" i="2"/>
  <c r="G295" i="3"/>
  <c r="AC291" i="2"/>
  <c r="F295" i="3"/>
  <c r="AB291" i="2"/>
  <c r="E295" i="3"/>
  <c r="O295" i="2"/>
  <c r="D295" i="3"/>
  <c r="N295" i="2"/>
  <c r="C295" i="3"/>
  <c r="M295" i="2"/>
  <c r="B295" i="3"/>
  <c r="L295" i="2"/>
  <c r="G294" i="3"/>
  <c r="AC290" i="2"/>
  <c r="F294" i="3"/>
  <c r="AB290" i="2"/>
  <c r="E294" i="3"/>
  <c r="O294" i="2"/>
  <c r="D294" i="3"/>
  <c r="C294" i="3"/>
  <c r="M294" i="2"/>
  <c r="B294" i="3"/>
  <c r="L294" i="2"/>
  <c r="G293" i="3"/>
  <c r="AC289" i="2"/>
  <c r="F293" i="3"/>
  <c r="AB289" i="2"/>
  <c r="E293" i="3"/>
  <c r="O293" i="2"/>
  <c r="D293" i="3"/>
  <c r="N293" i="2"/>
  <c r="C293" i="3"/>
  <c r="M293" i="2"/>
  <c r="B293" i="3"/>
  <c r="L293" i="2"/>
  <c r="G292" i="3"/>
  <c r="AC288" i="2"/>
  <c r="F292" i="3"/>
  <c r="AB288" i="2"/>
  <c r="E292" i="3"/>
  <c r="O292" i="2"/>
  <c r="D292" i="3"/>
  <c r="C292" i="3"/>
  <c r="M292" i="2"/>
  <c r="B292" i="3"/>
  <c r="L292" i="2"/>
  <c r="G291" i="3"/>
  <c r="AC287" i="2"/>
  <c r="F291" i="3"/>
  <c r="AB287" i="2"/>
  <c r="E291" i="3"/>
  <c r="O291" i="2"/>
  <c r="D291" i="3"/>
  <c r="N291" i="2"/>
  <c r="C291" i="3"/>
  <c r="M291" i="2"/>
  <c r="B291" i="3"/>
  <c r="L291" i="2"/>
  <c r="G290" i="3"/>
  <c r="AC286" i="2"/>
  <c r="F290" i="3"/>
  <c r="AB286" i="2"/>
  <c r="E290" i="3"/>
  <c r="O290" i="2"/>
  <c r="D290" i="3"/>
  <c r="C290" i="3"/>
  <c r="M290" i="2"/>
  <c r="B290" i="3"/>
  <c r="L290" i="2"/>
  <c r="G289" i="3"/>
  <c r="AC285" i="2"/>
  <c r="F289" i="3"/>
  <c r="AB285" i="2"/>
  <c r="E289" i="3"/>
  <c r="O289" i="2"/>
  <c r="D289" i="3"/>
  <c r="N289" i="2"/>
  <c r="C289" i="3"/>
  <c r="M289" i="2"/>
  <c r="B289" i="3"/>
  <c r="L289" i="2"/>
  <c r="G288" i="3"/>
  <c r="AC284" i="2"/>
  <c r="F288" i="3"/>
  <c r="AB284" i="2"/>
  <c r="E288" i="3"/>
  <c r="O288" i="2"/>
  <c r="D288" i="3"/>
  <c r="C288" i="3"/>
  <c r="M288" i="2"/>
  <c r="B288" i="3"/>
  <c r="L288" i="2"/>
  <c r="G287" i="3"/>
  <c r="AC283" i="2"/>
  <c r="F287" i="3"/>
  <c r="AB283" i="2"/>
  <c r="E287" i="3"/>
  <c r="O287" i="2"/>
  <c r="D287" i="3"/>
  <c r="N287" i="2"/>
  <c r="C287" i="3"/>
  <c r="M287" i="2"/>
  <c r="B287" i="3"/>
  <c r="L287" i="2"/>
  <c r="G286" i="3"/>
  <c r="AC282" i="2"/>
  <c r="F286" i="3"/>
  <c r="AB282" i="2"/>
  <c r="E286" i="3"/>
  <c r="O286" i="2"/>
  <c r="D286" i="3"/>
  <c r="C286" i="3"/>
  <c r="M286" i="2"/>
  <c r="B286" i="3"/>
  <c r="L286" i="2"/>
  <c r="G285" i="3"/>
  <c r="AC281" i="2"/>
  <c r="F285" i="3"/>
  <c r="AB281" i="2"/>
  <c r="E285" i="3"/>
  <c r="O285" i="2"/>
  <c r="D285" i="3"/>
  <c r="N285" i="2"/>
  <c r="C285" i="3"/>
  <c r="M285" i="2"/>
  <c r="B285" i="3"/>
  <c r="L285" i="2"/>
  <c r="G284" i="3"/>
  <c r="AC280" i="2"/>
  <c r="F284" i="3"/>
  <c r="AB280" i="2"/>
  <c r="E284" i="3"/>
  <c r="O284" i="2"/>
  <c r="D284" i="3"/>
  <c r="C284" i="3"/>
  <c r="M284" i="2"/>
  <c r="B284" i="3"/>
  <c r="L284" i="2"/>
  <c r="G283" i="3"/>
  <c r="AC279" i="2"/>
  <c r="F283" i="3"/>
  <c r="AB279" i="2"/>
  <c r="E283" i="3"/>
  <c r="O283" i="2"/>
  <c r="D283" i="3"/>
  <c r="N283" i="2"/>
  <c r="C283" i="3"/>
  <c r="M283" i="2"/>
  <c r="B283" i="3"/>
  <c r="L283" i="2"/>
  <c r="G282" i="3"/>
  <c r="AC278" i="2"/>
  <c r="F282" i="3"/>
  <c r="AB278" i="2"/>
  <c r="E282" i="3"/>
  <c r="O282" i="2"/>
  <c r="D282" i="3"/>
  <c r="C282" i="3"/>
  <c r="M282" i="2"/>
  <c r="B282" i="3"/>
  <c r="L282" i="2"/>
  <c r="G281" i="3"/>
  <c r="AC277" i="2"/>
  <c r="F281" i="3"/>
  <c r="AB277" i="2"/>
  <c r="E281" i="3"/>
  <c r="O281" i="2"/>
  <c r="D281" i="3"/>
  <c r="N281" i="2"/>
  <c r="C281" i="3"/>
  <c r="M281" i="2"/>
  <c r="B281" i="3"/>
  <c r="L281" i="2"/>
  <c r="G280" i="3"/>
  <c r="AC276" i="2"/>
  <c r="F280" i="3"/>
  <c r="AB276" i="2"/>
  <c r="E280" i="3"/>
  <c r="O280" i="2"/>
  <c r="D280" i="3"/>
  <c r="C280" i="3"/>
  <c r="M280" i="2"/>
  <c r="B280" i="3"/>
  <c r="L280" i="2"/>
  <c r="G279" i="3"/>
  <c r="AC275" i="2"/>
  <c r="F279" i="3"/>
  <c r="AB275" i="2"/>
  <c r="E279" i="3"/>
  <c r="O279" i="2"/>
  <c r="D279" i="3"/>
  <c r="N279" i="2"/>
  <c r="C279" i="3"/>
  <c r="M279" i="2"/>
  <c r="B279" i="3"/>
  <c r="L279" i="2"/>
  <c r="G278" i="3"/>
  <c r="AC274" i="2"/>
  <c r="F278" i="3"/>
  <c r="AB274" i="2"/>
  <c r="E278" i="3"/>
  <c r="O278" i="2"/>
  <c r="D278" i="3"/>
  <c r="C278" i="3"/>
  <c r="M278" i="2"/>
  <c r="B278" i="3"/>
  <c r="L278" i="2"/>
  <c r="G277" i="3"/>
  <c r="AC273" i="2"/>
  <c r="F277" i="3"/>
  <c r="AB273" i="2"/>
  <c r="E277" i="3"/>
  <c r="O277" i="2"/>
  <c r="D277" i="3"/>
  <c r="N277" i="2"/>
  <c r="C277" i="3"/>
  <c r="M277" i="2"/>
  <c r="B277" i="3"/>
  <c r="L277" i="2"/>
  <c r="G276" i="3"/>
  <c r="AC272" i="2"/>
  <c r="F276" i="3"/>
  <c r="AB272" i="2"/>
  <c r="E276" i="3"/>
  <c r="O276" i="2"/>
  <c r="D276" i="3"/>
  <c r="C276" i="3"/>
  <c r="M276" i="2"/>
  <c r="B276" i="3"/>
  <c r="L276" i="2"/>
  <c r="G275" i="3"/>
  <c r="AC271" i="2"/>
  <c r="F275" i="3"/>
  <c r="AB271" i="2"/>
  <c r="E275" i="3"/>
  <c r="O275" i="2"/>
  <c r="D275" i="3"/>
  <c r="N275" i="2"/>
  <c r="C275" i="3"/>
  <c r="M275" i="2"/>
  <c r="B275" i="3"/>
  <c r="L275" i="2"/>
  <c r="G274" i="3"/>
  <c r="AC270" i="2"/>
  <c r="F274" i="3"/>
  <c r="AB270" i="2"/>
  <c r="E274" i="3"/>
  <c r="O274" i="2"/>
  <c r="D274" i="3"/>
  <c r="C274" i="3"/>
  <c r="M274" i="2"/>
  <c r="B274" i="3"/>
  <c r="L274" i="2"/>
  <c r="G273" i="3"/>
  <c r="AC269" i="2"/>
  <c r="F273" i="3"/>
  <c r="AB269" i="2"/>
  <c r="E273" i="3"/>
  <c r="O273" i="2"/>
  <c r="D273" i="3"/>
  <c r="N273" i="2"/>
  <c r="C273" i="3"/>
  <c r="M273" i="2"/>
  <c r="B273" i="3"/>
  <c r="L273" i="2"/>
  <c r="G272" i="3"/>
  <c r="AC268" i="2"/>
  <c r="F272" i="3"/>
  <c r="AB268" i="2"/>
  <c r="E272" i="3"/>
  <c r="O272" i="2"/>
  <c r="D272" i="3"/>
  <c r="C272" i="3"/>
  <c r="M272" i="2"/>
  <c r="B272" i="3"/>
  <c r="L272" i="2"/>
  <c r="G271" i="3"/>
  <c r="AC267" i="2"/>
  <c r="F271" i="3"/>
  <c r="AB267" i="2"/>
  <c r="E271" i="3"/>
  <c r="O271" i="2"/>
  <c r="D271" i="3"/>
  <c r="N271" i="2"/>
  <c r="C271" i="3"/>
  <c r="M271" i="2"/>
  <c r="B271" i="3"/>
  <c r="L271" i="2"/>
  <c r="G270" i="3"/>
  <c r="AC266" i="2"/>
  <c r="F270" i="3"/>
  <c r="AB266" i="2"/>
  <c r="E270" i="3"/>
  <c r="O270" i="2"/>
  <c r="D270" i="3"/>
  <c r="C270" i="3"/>
  <c r="M270" i="2"/>
  <c r="B270" i="3"/>
  <c r="L270" i="2"/>
  <c r="G269" i="3"/>
  <c r="AC265" i="2"/>
  <c r="F269" i="3"/>
  <c r="AB265" i="2"/>
  <c r="E269" i="3"/>
  <c r="O269" i="2"/>
  <c r="D269" i="3"/>
  <c r="N269" i="2"/>
  <c r="C269" i="3"/>
  <c r="M269" i="2"/>
  <c r="B269" i="3"/>
  <c r="L269" i="2"/>
  <c r="G268" i="3"/>
  <c r="AC264" i="2"/>
  <c r="F268" i="3"/>
  <c r="AB264" i="2"/>
  <c r="E268" i="3"/>
  <c r="O268" i="2"/>
  <c r="D268" i="3"/>
  <c r="C268" i="3"/>
  <c r="M268" i="2"/>
  <c r="B268" i="3"/>
  <c r="L268" i="2"/>
  <c r="G267" i="3"/>
  <c r="AC263" i="2"/>
  <c r="F267" i="3"/>
  <c r="AB263" i="2"/>
  <c r="E267" i="3"/>
  <c r="O267" i="2"/>
  <c r="D267" i="3"/>
  <c r="N267" i="2"/>
  <c r="C267" i="3"/>
  <c r="M267" i="2"/>
  <c r="B267" i="3"/>
  <c r="L267" i="2"/>
  <c r="G266" i="3"/>
  <c r="AC262" i="2"/>
  <c r="F266" i="3"/>
  <c r="AB262" i="2"/>
  <c r="E266" i="3"/>
  <c r="O266" i="2"/>
  <c r="D266" i="3"/>
  <c r="C266" i="3"/>
  <c r="M266" i="2"/>
  <c r="B266" i="3"/>
  <c r="L266" i="2"/>
  <c r="G265" i="3"/>
  <c r="AC261" i="2"/>
  <c r="F265" i="3"/>
  <c r="AB261" i="2"/>
  <c r="E265" i="3"/>
  <c r="O265" i="2"/>
  <c r="D265" i="3"/>
  <c r="N265" i="2"/>
  <c r="C265" i="3"/>
  <c r="M265" i="2"/>
  <c r="B265" i="3"/>
  <c r="L265" i="2"/>
  <c r="G264" i="3"/>
  <c r="AC260" i="2"/>
  <c r="F264" i="3"/>
  <c r="AB260" i="2"/>
  <c r="E264" i="3"/>
  <c r="O264" i="2"/>
  <c r="D264" i="3"/>
  <c r="C264" i="3"/>
  <c r="M264" i="2"/>
  <c r="B264" i="3"/>
  <c r="L264" i="2"/>
  <c r="G263" i="3"/>
  <c r="AC259" i="2"/>
  <c r="F263" i="3"/>
  <c r="AB259" i="2"/>
  <c r="E263" i="3"/>
  <c r="O263" i="2"/>
  <c r="D263" i="3"/>
  <c r="N263" i="2"/>
  <c r="C263" i="3"/>
  <c r="M263" i="2"/>
  <c r="B263" i="3"/>
  <c r="L263" i="2"/>
  <c r="G262" i="3"/>
  <c r="AC258" i="2"/>
  <c r="F262" i="3"/>
  <c r="AB258" i="2"/>
  <c r="E262" i="3"/>
  <c r="O262" i="2"/>
  <c r="D262" i="3"/>
  <c r="C262" i="3"/>
  <c r="M262" i="2"/>
  <c r="B262" i="3"/>
  <c r="L262" i="2"/>
  <c r="G261" i="3"/>
  <c r="AC257" i="2"/>
  <c r="F261" i="3"/>
  <c r="AB257" i="2"/>
  <c r="E261" i="3"/>
  <c r="O261" i="2"/>
  <c r="D261" i="3"/>
  <c r="N261" i="2"/>
  <c r="C261" i="3"/>
  <c r="M261" i="2"/>
  <c r="B261" i="3"/>
  <c r="L261" i="2"/>
  <c r="G260" i="3"/>
  <c r="AC256" i="2"/>
  <c r="F260" i="3"/>
  <c r="AB256" i="2"/>
  <c r="E260" i="3"/>
  <c r="O260" i="2"/>
  <c r="D260" i="3"/>
  <c r="C260" i="3"/>
  <c r="M260" i="2"/>
  <c r="B260" i="3"/>
  <c r="L260" i="2"/>
  <c r="G259" i="3"/>
  <c r="AC255" i="2"/>
  <c r="F259" i="3"/>
  <c r="AB255" i="2"/>
  <c r="E259" i="3"/>
  <c r="O259" i="2"/>
  <c r="D259" i="3"/>
  <c r="N259" i="2"/>
  <c r="C259" i="3"/>
  <c r="M259" i="2"/>
  <c r="B259" i="3"/>
  <c r="L259" i="2"/>
  <c r="G258" i="3"/>
  <c r="AC254" i="2"/>
  <c r="F258" i="3"/>
  <c r="AB254" i="2"/>
  <c r="E258" i="3"/>
  <c r="O258" i="2"/>
  <c r="D258" i="3"/>
  <c r="C258" i="3"/>
  <c r="M258" i="2"/>
  <c r="B258" i="3"/>
  <c r="L258" i="2"/>
  <c r="G257" i="3"/>
  <c r="AC253" i="2"/>
  <c r="F257" i="3"/>
  <c r="AB253" i="2"/>
  <c r="E257" i="3"/>
  <c r="O257" i="2"/>
  <c r="D257" i="3"/>
  <c r="N257" i="2"/>
  <c r="C257" i="3"/>
  <c r="M257" i="2"/>
  <c r="B257" i="3"/>
  <c r="L257" i="2"/>
  <c r="G256" i="3"/>
  <c r="AC252" i="2"/>
  <c r="F256" i="3"/>
  <c r="AB252" i="2"/>
  <c r="E256" i="3"/>
  <c r="O256" i="2"/>
  <c r="D256" i="3"/>
  <c r="C256" i="3"/>
  <c r="M256" i="2"/>
  <c r="B256" i="3"/>
  <c r="L256" i="2"/>
  <c r="G255" i="3"/>
  <c r="AC251" i="2"/>
  <c r="F255" i="3"/>
  <c r="AB251" i="2"/>
  <c r="E255" i="3"/>
  <c r="O255" i="2"/>
  <c r="D255" i="3"/>
  <c r="N255" i="2"/>
  <c r="C255" i="3"/>
  <c r="M255" i="2"/>
  <c r="B255" i="3"/>
  <c r="L255" i="2"/>
  <c r="G254" i="3"/>
  <c r="AC250" i="2"/>
  <c r="F254" i="3"/>
  <c r="AB250" i="2"/>
  <c r="E254" i="3"/>
  <c r="O254" i="2"/>
  <c r="D254" i="3"/>
  <c r="C254" i="3"/>
  <c r="M254" i="2"/>
  <c r="B254" i="3"/>
  <c r="L254" i="2"/>
  <c r="G253" i="3"/>
  <c r="AC249" i="2"/>
  <c r="F253" i="3"/>
  <c r="AB249" i="2"/>
  <c r="E253" i="3"/>
  <c r="O253" i="2"/>
  <c r="D253" i="3"/>
  <c r="N253" i="2"/>
  <c r="C253" i="3"/>
  <c r="M253" i="2"/>
  <c r="B253" i="3"/>
  <c r="L253" i="2"/>
  <c r="G252" i="3"/>
  <c r="AC248" i="2"/>
  <c r="F252" i="3"/>
  <c r="AB248" i="2"/>
  <c r="E252" i="3"/>
  <c r="O252" i="2"/>
  <c r="D252" i="3"/>
  <c r="C252" i="3"/>
  <c r="M252" i="2"/>
  <c r="B252" i="3"/>
  <c r="L252" i="2"/>
  <c r="G251" i="3"/>
  <c r="AC247" i="2"/>
  <c r="F251" i="3"/>
  <c r="AB247" i="2"/>
  <c r="E251" i="3"/>
  <c r="O251" i="2"/>
  <c r="D251" i="3"/>
  <c r="N251" i="2"/>
  <c r="C251" i="3"/>
  <c r="M251" i="2"/>
  <c r="B251" i="3"/>
  <c r="L251" i="2"/>
  <c r="G250" i="3"/>
  <c r="AC246" i="2"/>
  <c r="F250" i="3"/>
  <c r="AB246" i="2"/>
  <c r="E250" i="3"/>
  <c r="O250" i="2"/>
  <c r="D250" i="3"/>
  <c r="C250" i="3"/>
  <c r="M250" i="2"/>
  <c r="B250" i="3"/>
  <c r="L250" i="2"/>
  <c r="G249" i="3"/>
  <c r="AC245" i="2"/>
  <c r="F249" i="3"/>
  <c r="AB245" i="2"/>
  <c r="E249" i="3"/>
  <c r="O249" i="2"/>
  <c r="D249" i="3"/>
  <c r="N249" i="2"/>
  <c r="C249" i="3"/>
  <c r="M249" i="2"/>
  <c r="B249" i="3"/>
  <c r="L249" i="2"/>
  <c r="G248" i="3"/>
  <c r="AC244" i="2"/>
  <c r="F248" i="3"/>
  <c r="AB244" i="2"/>
  <c r="E248" i="3"/>
  <c r="O248" i="2"/>
  <c r="D248" i="3"/>
  <c r="C248" i="3"/>
  <c r="M248" i="2"/>
  <c r="B248" i="3"/>
  <c r="L248" i="2"/>
  <c r="G247" i="3"/>
  <c r="AC243" i="2"/>
  <c r="F247" i="3"/>
  <c r="AB243" i="2"/>
  <c r="E247" i="3"/>
  <c r="O247" i="2"/>
  <c r="D247" i="3"/>
  <c r="N247" i="2"/>
  <c r="C247" i="3"/>
  <c r="M247" i="2"/>
  <c r="B247" i="3"/>
  <c r="L247" i="2"/>
  <c r="G246" i="3"/>
  <c r="AC242" i="2"/>
  <c r="F246" i="3"/>
  <c r="AB242" i="2"/>
  <c r="E246" i="3"/>
  <c r="O246" i="2"/>
  <c r="D246" i="3"/>
  <c r="C246" i="3"/>
  <c r="M246" i="2"/>
  <c r="B246" i="3"/>
  <c r="L246" i="2"/>
  <c r="G245" i="3"/>
  <c r="AC241" i="2"/>
  <c r="F245" i="3"/>
  <c r="AB241" i="2"/>
  <c r="E245" i="3"/>
  <c r="O245" i="2"/>
  <c r="D245" i="3"/>
  <c r="N245" i="2"/>
  <c r="C245" i="3"/>
  <c r="M245" i="2"/>
  <c r="B245" i="3"/>
  <c r="L245" i="2"/>
  <c r="G244" i="3"/>
  <c r="AC240" i="2"/>
  <c r="F244" i="3"/>
  <c r="AB240" i="2"/>
  <c r="E244" i="3"/>
  <c r="O244" i="2"/>
  <c r="D244" i="3"/>
  <c r="C244" i="3"/>
  <c r="M244" i="2"/>
  <c r="B244" i="3"/>
  <c r="L244" i="2"/>
  <c r="G243" i="3"/>
  <c r="AC239" i="2"/>
  <c r="F243" i="3"/>
  <c r="AB239" i="2"/>
  <c r="E243" i="3"/>
  <c r="O243" i="2"/>
  <c r="D243" i="3"/>
  <c r="N243" i="2"/>
  <c r="C243" i="3"/>
  <c r="M243" i="2"/>
  <c r="B243" i="3"/>
  <c r="L243" i="2"/>
  <c r="G242" i="3"/>
  <c r="AC238" i="2"/>
  <c r="F242" i="3"/>
  <c r="AB238" i="2"/>
  <c r="E242" i="3"/>
  <c r="O242" i="2"/>
  <c r="D242" i="3"/>
  <c r="C242" i="3"/>
  <c r="M242" i="2"/>
  <c r="B242" i="3"/>
  <c r="L242" i="2"/>
  <c r="G241" i="3"/>
  <c r="AC237" i="2"/>
  <c r="F241" i="3"/>
  <c r="AB237" i="2"/>
  <c r="E241" i="3"/>
  <c r="O241" i="2"/>
  <c r="D241" i="3"/>
  <c r="N241" i="2"/>
  <c r="C241" i="3"/>
  <c r="M241" i="2"/>
  <c r="B241" i="3"/>
  <c r="L241" i="2"/>
  <c r="G240" i="3"/>
  <c r="AC236" i="2"/>
  <c r="F240" i="3"/>
  <c r="AB236" i="2"/>
  <c r="E240" i="3"/>
  <c r="O240" i="2"/>
  <c r="D240" i="3"/>
  <c r="C240" i="3"/>
  <c r="M240" i="2"/>
  <c r="B240" i="3"/>
  <c r="L240" i="2"/>
  <c r="G239" i="3"/>
  <c r="AC235" i="2"/>
  <c r="F239" i="3"/>
  <c r="AB235" i="2"/>
  <c r="E239" i="3"/>
  <c r="O239" i="2"/>
  <c r="D239" i="3"/>
  <c r="N239" i="2"/>
  <c r="C239" i="3"/>
  <c r="M239" i="2"/>
  <c r="B239" i="3"/>
  <c r="L239" i="2"/>
  <c r="G238" i="3"/>
  <c r="AC234" i="2"/>
  <c r="F238" i="3"/>
  <c r="AB234" i="2"/>
  <c r="E238" i="3"/>
  <c r="O238" i="2"/>
  <c r="D238" i="3"/>
  <c r="C238" i="3"/>
  <c r="M238" i="2"/>
  <c r="B238" i="3"/>
  <c r="L238" i="2"/>
  <c r="G237" i="3"/>
  <c r="AC233" i="2"/>
  <c r="F237" i="3"/>
  <c r="AB233" i="2"/>
  <c r="E237" i="3"/>
  <c r="O237" i="2"/>
  <c r="D237" i="3"/>
  <c r="N237" i="2"/>
  <c r="C237" i="3"/>
  <c r="M237" i="2"/>
  <c r="B237" i="3"/>
  <c r="L237" i="2"/>
  <c r="G236" i="3"/>
  <c r="AC232" i="2"/>
  <c r="F236" i="3"/>
  <c r="AB232" i="2"/>
  <c r="E236" i="3"/>
  <c r="O236" i="2"/>
  <c r="D236" i="3"/>
  <c r="C236" i="3"/>
  <c r="M236" i="2"/>
  <c r="B236" i="3"/>
  <c r="L236" i="2"/>
  <c r="G235" i="3"/>
  <c r="AC231" i="2"/>
  <c r="F235" i="3"/>
  <c r="AB231" i="2"/>
  <c r="E235" i="3"/>
  <c r="O235" i="2"/>
  <c r="D235" i="3"/>
  <c r="N235" i="2"/>
  <c r="C235" i="3"/>
  <c r="M235" i="2"/>
  <c r="B235" i="3"/>
  <c r="L235" i="2"/>
  <c r="G234" i="3"/>
  <c r="AC230" i="2"/>
  <c r="F234" i="3"/>
  <c r="AB230" i="2"/>
  <c r="E234" i="3"/>
  <c r="O234" i="2"/>
  <c r="D234" i="3"/>
  <c r="C234" i="3"/>
  <c r="M234" i="2"/>
  <c r="B234" i="3"/>
  <c r="L234" i="2"/>
  <c r="G233" i="3"/>
  <c r="AC229" i="2"/>
  <c r="F233" i="3"/>
  <c r="AB229" i="2"/>
  <c r="E233" i="3"/>
  <c r="O233" i="2"/>
  <c r="D233" i="3"/>
  <c r="N233" i="2"/>
  <c r="C233" i="3"/>
  <c r="M233" i="2"/>
  <c r="B233" i="3"/>
  <c r="L233" i="2"/>
  <c r="G232" i="3"/>
  <c r="AC228" i="2"/>
  <c r="F232" i="3"/>
  <c r="AB228" i="2"/>
  <c r="E232" i="3"/>
  <c r="O232" i="2"/>
  <c r="D232" i="3"/>
  <c r="C232" i="3"/>
  <c r="M232" i="2"/>
  <c r="B232" i="3"/>
  <c r="L232" i="2"/>
  <c r="G231" i="3"/>
  <c r="AC227" i="2"/>
  <c r="F231" i="3"/>
  <c r="AB227" i="2"/>
  <c r="E231" i="3"/>
  <c r="O231" i="2"/>
  <c r="D231" i="3"/>
  <c r="N231" i="2"/>
  <c r="C231" i="3"/>
  <c r="M231" i="2"/>
  <c r="B231" i="3"/>
  <c r="L231" i="2"/>
  <c r="G230" i="3"/>
  <c r="AC226" i="2"/>
  <c r="F230" i="3"/>
  <c r="AB226" i="2"/>
  <c r="E230" i="3"/>
  <c r="O230" i="2"/>
  <c r="D230" i="3"/>
  <c r="C230" i="3"/>
  <c r="M230" i="2"/>
  <c r="B230" i="3"/>
  <c r="L230" i="2"/>
  <c r="G229" i="3"/>
  <c r="AC225" i="2"/>
  <c r="F229" i="3"/>
  <c r="AB225" i="2"/>
  <c r="E229" i="3"/>
  <c r="O229" i="2"/>
  <c r="D229" i="3"/>
  <c r="N229" i="2"/>
  <c r="C229" i="3"/>
  <c r="M229" i="2"/>
  <c r="B229" i="3"/>
  <c r="L229" i="2"/>
  <c r="G228" i="3"/>
  <c r="AC224" i="2"/>
  <c r="F228" i="3"/>
  <c r="AB224" i="2"/>
  <c r="E228" i="3"/>
  <c r="O228" i="2"/>
  <c r="D228" i="3"/>
  <c r="C228" i="3"/>
  <c r="M228" i="2"/>
  <c r="B228" i="3"/>
  <c r="L228" i="2"/>
  <c r="G227" i="3"/>
  <c r="AC223" i="2"/>
  <c r="F227" i="3"/>
  <c r="AB223" i="2"/>
  <c r="E227" i="3"/>
  <c r="O227" i="2"/>
  <c r="D227" i="3"/>
  <c r="N227" i="2"/>
  <c r="C227" i="3"/>
  <c r="M227" i="2"/>
  <c r="B227" i="3"/>
  <c r="L227" i="2"/>
  <c r="G226" i="3"/>
  <c r="AC222" i="2"/>
  <c r="F226" i="3"/>
  <c r="AB222" i="2"/>
  <c r="E226" i="3"/>
  <c r="O226" i="2"/>
  <c r="D226" i="3"/>
  <c r="C226" i="3"/>
  <c r="M226" i="2"/>
  <c r="B226" i="3"/>
  <c r="L226" i="2"/>
  <c r="G225" i="3"/>
  <c r="AC221" i="2"/>
  <c r="F225" i="3"/>
  <c r="AB221" i="2"/>
  <c r="E225" i="3"/>
  <c r="O225" i="2"/>
  <c r="D225" i="3"/>
  <c r="N225" i="2"/>
  <c r="C225" i="3"/>
  <c r="M225" i="2"/>
  <c r="B225" i="3"/>
  <c r="L225" i="2"/>
  <c r="G224" i="3"/>
  <c r="AC220" i="2"/>
  <c r="F224" i="3"/>
  <c r="AB220" i="2"/>
  <c r="E224" i="3"/>
  <c r="O224" i="2"/>
  <c r="D224" i="3"/>
  <c r="C224" i="3"/>
  <c r="M224" i="2"/>
  <c r="B224" i="3"/>
  <c r="L224" i="2"/>
  <c r="G223" i="3"/>
  <c r="AC219" i="2"/>
  <c r="F223" i="3"/>
  <c r="AB219" i="2"/>
  <c r="E223" i="3"/>
  <c r="O223" i="2"/>
  <c r="D223" i="3"/>
  <c r="N223" i="2"/>
  <c r="C223" i="3"/>
  <c r="M223" i="2"/>
  <c r="B223" i="3"/>
  <c r="L223" i="2"/>
  <c r="G222" i="3"/>
  <c r="AC218" i="2"/>
  <c r="F222" i="3"/>
  <c r="AB218" i="2"/>
  <c r="E222" i="3"/>
  <c r="O222" i="2"/>
  <c r="D222" i="3"/>
  <c r="C222" i="3"/>
  <c r="M222" i="2"/>
  <c r="B222" i="3"/>
  <c r="L222" i="2"/>
  <c r="G221" i="3"/>
  <c r="AC217" i="2"/>
  <c r="F221" i="3"/>
  <c r="AB217" i="2"/>
  <c r="E221" i="3"/>
  <c r="O221" i="2"/>
  <c r="D221" i="3"/>
  <c r="N221" i="2"/>
  <c r="C221" i="3"/>
  <c r="M221" i="2"/>
  <c r="B221" i="3"/>
  <c r="L221" i="2"/>
  <c r="G220" i="3"/>
  <c r="AC216" i="2"/>
  <c r="F220" i="3"/>
  <c r="AB216" i="2"/>
  <c r="E220" i="3"/>
  <c r="O220" i="2"/>
  <c r="D220" i="3"/>
  <c r="C220" i="3"/>
  <c r="M220" i="2"/>
  <c r="B220" i="3"/>
  <c r="L220" i="2"/>
  <c r="G219" i="3"/>
  <c r="AC215" i="2"/>
  <c r="F219" i="3"/>
  <c r="AB215" i="2"/>
  <c r="E219" i="3"/>
  <c r="O219" i="2"/>
  <c r="D219" i="3"/>
  <c r="N219" i="2"/>
  <c r="C219" i="3"/>
  <c r="M219" i="2"/>
  <c r="B219" i="3"/>
  <c r="L219" i="2"/>
  <c r="G218" i="3"/>
  <c r="AC214" i="2"/>
  <c r="F218" i="3"/>
  <c r="AB214" i="2"/>
  <c r="E218" i="3"/>
  <c r="O218" i="2"/>
  <c r="D218" i="3"/>
  <c r="C218" i="3"/>
  <c r="M218" i="2"/>
  <c r="B218" i="3"/>
  <c r="L218" i="2"/>
  <c r="G217" i="3"/>
  <c r="AC213" i="2"/>
  <c r="F217" i="3"/>
  <c r="AB213" i="2"/>
  <c r="E217" i="3"/>
  <c r="O217" i="2"/>
  <c r="D217" i="3"/>
  <c r="N217" i="2"/>
  <c r="C217" i="3"/>
  <c r="M217" i="2"/>
  <c r="B217" i="3"/>
  <c r="L217" i="2"/>
  <c r="G216" i="3"/>
  <c r="AC212" i="2"/>
  <c r="F216" i="3"/>
  <c r="AB212" i="2"/>
  <c r="E216" i="3"/>
  <c r="O216" i="2"/>
  <c r="D216" i="3"/>
  <c r="C216" i="3"/>
  <c r="M216" i="2"/>
  <c r="B216" i="3"/>
  <c r="L216" i="2"/>
  <c r="G215" i="3"/>
  <c r="AC211" i="2"/>
  <c r="F215" i="3"/>
  <c r="AB211" i="2"/>
  <c r="E215" i="3"/>
  <c r="O215" i="2"/>
  <c r="D215" i="3"/>
  <c r="N215" i="2"/>
  <c r="C215" i="3"/>
  <c r="M215" i="2"/>
  <c r="B215" i="3"/>
  <c r="L215" i="2"/>
  <c r="G214" i="3"/>
  <c r="AC210" i="2"/>
  <c r="F214" i="3"/>
  <c r="AB210" i="2"/>
  <c r="E214" i="3"/>
  <c r="O214" i="2"/>
  <c r="D214" i="3"/>
  <c r="C214" i="3"/>
  <c r="M214" i="2"/>
  <c r="B214" i="3"/>
  <c r="L214" i="2"/>
  <c r="G213" i="3"/>
  <c r="AC209" i="2"/>
  <c r="F213" i="3"/>
  <c r="AB209" i="2"/>
  <c r="E213" i="3"/>
  <c r="O213" i="2"/>
  <c r="D213" i="3"/>
  <c r="N213" i="2"/>
  <c r="C213" i="3"/>
  <c r="M213" i="2"/>
  <c r="B213" i="3"/>
  <c r="L213" i="2"/>
  <c r="G212" i="3"/>
  <c r="AC208" i="2"/>
  <c r="F212" i="3"/>
  <c r="AB208" i="2"/>
  <c r="E212" i="3"/>
  <c r="O212" i="2"/>
  <c r="D212" i="3"/>
  <c r="C212" i="3"/>
  <c r="M212" i="2"/>
  <c r="B212" i="3"/>
  <c r="L212" i="2"/>
  <c r="G211" i="3"/>
  <c r="AC207" i="2"/>
  <c r="F211" i="3"/>
  <c r="AB207" i="2"/>
  <c r="E211" i="3"/>
  <c r="O211" i="2"/>
  <c r="D211" i="3"/>
  <c r="N211" i="2"/>
  <c r="C211" i="3"/>
  <c r="M211" i="2"/>
  <c r="B211" i="3"/>
  <c r="L211" i="2"/>
  <c r="G210" i="3"/>
  <c r="AC206" i="2"/>
  <c r="F210" i="3"/>
  <c r="AB206" i="2"/>
  <c r="E210" i="3"/>
  <c r="O210" i="2"/>
  <c r="D210" i="3"/>
  <c r="C210" i="3"/>
  <c r="M210" i="2"/>
  <c r="B210" i="3"/>
  <c r="L210" i="2"/>
  <c r="G209" i="3"/>
  <c r="AC205" i="2"/>
  <c r="F209" i="3"/>
  <c r="AB205" i="2"/>
  <c r="E209" i="3"/>
  <c r="O209" i="2"/>
  <c r="D209" i="3"/>
  <c r="N209" i="2"/>
  <c r="C209" i="3"/>
  <c r="M209" i="2"/>
  <c r="B209" i="3"/>
  <c r="L209" i="2"/>
  <c r="G208" i="3"/>
  <c r="AC204" i="2"/>
  <c r="F208" i="3"/>
  <c r="AB204" i="2"/>
  <c r="E208" i="3"/>
  <c r="O208" i="2"/>
  <c r="D208" i="3"/>
  <c r="C208" i="3"/>
  <c r="M208" i="2"/>
  <c r="B208" i="3"/>
  <c r="G207" i="3"/>
  <c r="AC203" i="2"/>
  <c r="F207" i="3"/>
  <c r="AB203" i="2"/>
  <c r="E207" i="3"/>
  <c r="O207" i="2"/>
  <c r="D207" i="3"/>
  <c r="N207" i="2"/>
  <c r="C207" i="3"/>
  <c r="M207" i="2"/>
  <c r="B207" i="3"/>
  <c r="L207" i="2"/>
  <c r="G206" i="3"/>
  <c r="AC202" i="2"/>
  <c r="F206" i="3"/>
  <c r="AB202" i="2"/>
  <c r="E206" i="3"/>
  <c r="O206" i="2"/>
  <c r="D206" i="3"/>
  <c r="C206" i="3"/>
  <c r="M206" i="2"/>
  <c r="B206" i="3"/>
  <c r="G205" i="3"/>
  <c r="AC201" i="2"/>
  <c r="F205" i="3"/>
  <c r="AB201" i="2"/>
  <c r="E205" i="3"/>
  <c r="O205" i="2"/>
  <c r="D205" i="3"/>
  <c r="N205" i="2"/>
  <c r="C205" i="3"/>
  <c r="M205" i="2"/>
  <c r="B205" i="3"/>
  <c r="L205" i="2"/>
  <c r="G204" i="3"/>
  <c r="AC200" i="2"/>
  <c r="F204" i="3"/>
  <c r="AB200" i="2"/>
  <c r="E204" i="3"/>
  <c r="O204" i="2"/>
  <c r="D204" i="3"/>
  <c r="C204" i="3"/>
  <c r="M204" i="2"/>
  <c r="B204" i="3"/>
  <c r="G203" i="3"/>
  <c r="AC199" i="2"/>
  <c r="F203" i="3"/>
  <c r="AB199" i="2"/>
  <c r="E203" i="3"/>
  <c r="O203" i="2"/>
  <c r="D203" i="3"/>
  <c r="N203" i="2"/>
  <c r="C203" i="3"/>
  <c r="M203" i="2"/>
  <c r="B203" i="3"/>
  <c r="L203" i="2"/>
  <c r="G202" i="3"/>
  <c r="AC198" i="2"/>
  <c r="F202" i="3"/>
  <c r="AB198" i="2"/>
  <c r="E202" i="3"/>
  <c r="O202" i="2"/>
  <c r="D202" i="3"/>
  <c r="C202" i="3"/>
  <c r="M202" i="2"/>
  <c r="B202" i="3"/>
  <c r="G201" i="3"/>
  <c r="AC197" i="2"/>
  <c r="F201" i="3"/>
  <c r="AB197" i="2"/>
  <c r="E201" i="3"/>
  <c r="O201" i="2"/>
  <c r="D201" i="3"/>
  <c r="N201" i="2"/>
  <c r="C201" i="3"/>
  <c r="M201" i="2"/>
  <c r="B201" i="3"/>
  <c r="L201" i="2"/>
  <c r="G200" i="3"/>
  <c r="AC196" i="2"/>
  <c r="F200" i="3"/>
  <c r="AB196" i="2"/>
  <c r="E200" i="3"/>
  <c r="O200" i="2"/>
  <c r="D200" i="3"/>
  <c r="C200" i="3"/>
  <c r="M200" i="2"/>
  <c r="B200" i="3"/>
  <c r="G199" i="3"/>
  <c r="AC195" i="2"/>
  <c r="F199" i="3"/>
  <c r="AB195" i="2"/>
  <c r="E199" i="3"/>
  <c r="O199" i="2"/>
  <c r="D199" i="3"/>
  <c r="N199" i="2"/>
  <c r="C199" i="3"/>
  <c r="M199" i="2"/>
  <c r="B199" i="3"/>
  <c r="L199" i="2"/>
  <c r="G198" i="3"/>
  <c r="AC194" i="2"/>
  <c r="F198" i="3"/>
  <c r="AB194" i="2"/>
  <c r="E198" i="3"/>
  <c r="O198" i="2"/>
  <c r="D198" i="3"/>
  <c r="C198" i="3"/>
  <c r="M198" i="2"/>
  <c r="B198" i="3"/>
  <c r="G197" i="3"/>
  <c r="AC193" i="2"/>
  <c r="F197" i="3"/>
  <c r="AB193" i="2"/>
  <c r="E197" i="3"/>
  <c r="O197" i="2"/>
  <c r="D197" i="3"/>
  <c r="N197" i="2"/>
  <c r="C197" i="3"/>
  <c r="M197" i="2"/>
  <c r="B197" i="3"/>
  <c r="L197" i="2"/>
  <c r="G196" i="3"/>
  <c r="AC192" i="2"/>
  <c r="F196" i="3"/>
  <c r="AB192" i="2"/>
  <c r="E196" i="3"/>
  <c r="O196" i="2"/>
  <c r="D196" i="3"/>
  <c r="C196" i="3"/>
  <c r="M196" i="2"/>
  <c r="B196" i="3"/>
  <c r="G195" i="3"/>
  <c r="AC191" i="2"/>
  <c r="F195" i="3"/>
  <c r="AB191" i="2"/>
  <c r="E195" i="3"/>
  <c r="O195" i="2"/>
  <c r="D195" i="3"/>
  <c r="N195" i="2"/>
  <c r="C195" i="3"/>
  <c r="M195" i="2"/>
  <c r="B195" i="3"/>
  <c r="L195" i="2"/>
  <c r="G194" i="3"/>
  <c r="AC190" i="2"/>
  <c r="F194" i="3"/>
  <c r="AB190" i="2"/>
  <c r="E194" i="3"/>
  <c r="O194" i="2"/>
  <c r="D194" i="3"/>
  <c r="C194" i="3"/>
  <c r="M194" i="2"/>
  <c r="B194" i="3"/>
  <c r="G193" i="3"/>
  <c r="AC189" i="2"/>
  <c r="F193" i="3"/>
  <c r="AB189" i="2"/>
  <c r="E193" i="3"/>
  <c r="O193" i="2"/>
  <c r="D193" i="3"/>
  <c r="N193" i="2"/>
  <c r="C193" i="3"/>
  <c r="M193" i="2"/>
  <c r="B193" i="3"/>
  <c r="L193" i="2"/>
  <c r="G192" i="3"/>
  <c r="AC188" i="2"/>
  <c r="F192" i="3"/>
  <c r="AB188" i="2"/>
  <c r="E192" i="3"/>
  <c r="O192" i="2"/>
  <c r="D192" i="3"/>
  <c r="C192" i="3"/>
  <c r="B192" i="3"/>
  <c r="L192" i="2"/>
  <c r="G191" i="3"/>
  <c r="AC187" i="2"/>
  <c r="F191" i="3"/>
  <c r="AB187" i="2"/>
  <c r="E191" i="3"/>
  <c r="O191" i="2"/>
  <c r="D191" i="3"/>
  <c r="N191" i="2"/>
  <c r="C191" i="3"/>
  <c r="M191" i="2"/>
  <c r="B191" i="3"/>
  <c r="L191" i="2"/>
  <c r="G190" i="3"/>
  <c r="AC186" i="2"/>
  <c r="F190" i="3"/>
  <c r="AB186" i="2"/>
  <c r="E190" i="3"/>
  <c r="O190" i="2"/>
  <c r="D190" i="3"/>
  <c r="C190" i="3"/>
  <c r="B190" i="3"/>
  <c r="L190" i="2"/>
  <c r="G189" i="3"/>
  <c r="AC185" i="2"/>
  <c r="F189" i="3"/>
  <c r="AB185" i="2"/>
  <c r="E189" i="3"/>
  <c r="O189" i="2"/>
  <c r="D189" i="3"/>
  <c r="N189" i="2"/>
  <c r="C189" i="3"/>
  <c r="M189" i="2"/>
  <c r="B189" i="3"/>
  <c r="L189" i="2"/>
  <c r="G188" i="3"/>
  <c r="AC184" i="2"/>
  <c r="F188" i="3"/>
  <c r="AB184" i="2"/>
  <c r="E188" i="3"/>
  <c r="O188" i="2"/>
  <c r="D188" i="3"/>
  <c r="C188" i="3"/>
  <c r="B188" i="3"/>
  <c r="L188" i="2"/>
  <c r="G187" i="3"/>
  <c r="AC183" i="2"/>
  <c r="F187" i="3"/>
  <c r="AB183" i="2"/>
  <c r="E187" i="3"/>
  <c r="O187" i="2"/>
  <c r="D187" i="3"/>
  <c r="N187" i="2"/>
  <c r="C187" i="3"/>
  <c r="M187" i="2"/>
  <c r="B187" i="3"/>
  <c r="L187" i="2"/>
  <c r="G186" i="3"/>
  <c r="AC182" i="2"/>
  <c r="F186" i="3"/>
  <c r="AB182" i="2"/>
  <c r="E186" i="3"/>
  <c r="O186" i="2"/>
  <c r="D186" i="3"/>
  <c r="C186" i="3"/>
  <c r="B186" i="3"/>
  <c r="L186" i="2"/>
  <c r="G185" i="3"/>
  <c r="AC181" i="2"/>
  <c r="F185" i="3"/>
  <c r="AB181" i="2"/>
  <c r="E185" i="3"/>
  <c r="O185" i="2"/>
  <c r="D185" i="3"/>
  <c r="N185" i="2"/>
  <c r="C185" i="3"/>
  <c r="M185" i="2"/>
  <c r="B185" i="3"/>
  <c r="L185" i="2"/>
  <c r="G184" i="3"/>
  <c r="AC180" i="2"/>
  <c r="F184" i="3"/>
  <c r="AB180" i="2"/>
  <c r="E184" i="3"/>
  <c r="O184" i="2"/>
  <c r="D184" i="3"/>
  <c r="C184" i="3"/>
  <c r="B184" i="3"/>
  <c r="L184" i="2"/>
  <c r="G183" i="3"/>
  <c r="AC179" i="2"/>
  <c r="F183" i="3"/>
  <c r="AB179" i="2"/>
  <c r="E183" i="3"/>
  <c r="O183" i="2"/>
  <c r="D183" i="3"/>
  <c r="N183" i="2"/>
  <c r="C183" i="3"/>
  <c r="M183" i="2"/>
  <c r="B183" i="3"/>
  <c r="L183" i="2"/>
  <c r="G182" i="3"/>
  <c r="AC178" i="2"/>
  <c r="F182" i="3"/>
  <c r="AB178" i="2"/>
  <c r="E182" i="3"/>
  <c r="O182" i="2"/>
  <c r="D182" i="3"/>
  <c r="C182" i="3"/>
  <c r="B182" i="3"/>
  <c r="L182" i="2"/>
  <c r="G181" i="3"/>
  <c r="AC177" i="2"/>
  <c r="F181" i="3"/>
  <c r="AB177" i="2"/>
  <c r="E181" i="3"/>
  <c r="O181" i="2"/>
  <c r="D181" i="3"/>
  <c r="N181" i="2"/>
  <c r="C181" i="3"/>
  <c r="M181" i="2"/>
  <c r="B181" i="3"/>
  <c r="L181" i="2"/>
  <c r="G180" i="3"/>
  <c r="AC176" i="2"/>
  <c r="F180" i="3"/>
  <c r="AB176" i="2"/>
  <c r="E180" i="3"/>
  <c r="O180" i="2"/>
  <c r="D180" i="3"/>
  <c r="C180" i="3"/>
  <c r="B180" i="3"/>
  <c r="L180" i="2"/>
  <c r="G179" i="3"/>
  <c r="AC175" i="2"/>
  <c r="F179" i="3"/>
  <c r="AB175" i="2"/>
  <c r="E179" i="3"/>
  <c r="O179" i="2"/>
  <c r="D179" i="3"/>
  <c r="N179" i="2"/>
  <c r="C179" i="3"/>
  <c r="M179" i="2"/>
  <c r="B179" i="3"/>
  <c r="L179" i="2"/>
  <c r="G178" i="3"/>
  <c r="AC174" i="2"/>
  <c r="F178" i="3"/>
  <c r="AB174" i="2"/>
  <c r="E178" i="3"/>
  <c r="O178" i="2"/>
  <c r="D178" i="3"/>
  <c r="C178" i="3"/>
  <c r="M178" i="2"/>
  <c r="B178" i="3"/>
  <c r="L178" i="2"/>
  <c r="G177" i="3"/>
  <c r="AC173" i="2"/>
  <c r="F177" i="3"/>
  <c r="AB173" i="2"/>
  <c r="E177" i="3"/>
  <c r="O177" i="2"/>
  <c r="D177" i="3"/>
  <c r="N177" i="2"/>
  <c r="C177" i="3"/>
  <c r="M177" i="2"/>
  <c r="B177" i="3"/>
  <c r="L177" i="2"/>
  <c r="G176" i="3"/>
  <c r="AC172" i="2"/>
  <c r="F176" i="3"/>
  <c r="AB172" i="2"/>
  <c r="E176" i="3"/>
  <c r="O176" i="2"/>
  <c r="D176" i="3"/>
  <c r="C176" i="3"/>
  <c r="M176" i="2"/>
  <c r="B176" i="3"/>
  <c r="L176" i="2"/>
  <c r="G175" i="3"/>
  <c r="AC171" i="2"/>
  <c r="F175" i="3"/>
  <c r="AB171" i="2"/>
  <c r="E175" i="3"/>
  <c r="O175" i="2"/>
  <c r="D175" i="3"/>
  <c r="N175" i="2"/>
  <c r="C175" i="3"/>
  <c r="M175" i="2"/>
  <c r="B175" i="3"/>
  <c r="L175" i="2"/>
  <c r="G174" i="3"/>
  <c r="AC170" i="2"/>
  <c r="F174" i="3"/>
  <c r="AB170" i="2"/>
  <c r="E174" i="3"/>
  <c r="O174" i="2"/>
  <c r="D174" i="3"/>
  <c r="C174" i="3"/>
  <c r="M174" i="2"/>
  <c r="B174" i="3"/>
  <c r="L174" i="2"/>
  <c r="G173" i="3"/>
  <c r="AC169" i="2"/>
  <c r="F173" i="3"/>
  <c r="AB169" i="2"/>
  <c r="E173" i="3"/>
  <c r="O173" i="2"/>
  <c r="D173" i="3"/>
  <c r="N173" i="2"/>
  <c r="C173" i="3"/>
  <c r="M173" i="2"/>
  <c r="B173" i="3"/>
  <c r="G172" i="3"/>
  <c r="AC168" i="2"/>
  <c r="F172" i="3"/>
  <c r="AB168" i="2"/>
  <c r="E172" i="3"/>
  <c r="O172" i="2"/>
  <c r="D172" i="3"/>
  <c r="C172" i="3"/>
  <c r="M172" i="2"/>
  <c r="B172" i="3"/>
  <c r="L172" i="2"/>
  <c r="G171" i="3"/>
  <c r="AC167" i="2"/>
  <c r="F171" i="3"/>
  <c r="AB167" i="2"/>
  <c r="E171" i="3"/>
  <c r="O171" i="2"/>
  <c r="D171" i="3"/>
  <c r="N171" i="2"/>
  <c r="C171" i="3"/>
  <c r="M171" i="2"/>
  <c r="B171" i="3"/>
  <c r="G170" i="3"/>
  <c r="AC166" i="2"/>
  <c r="F170" i="3"/>
  <c r="AB166" i="2"/>
  <c r="E170" i="3"/>
  <c r="O170" i="2"/>
  <c r="D170" i="3"/>
  <c r="C170" i="3"/>
  <c r="M170" i="2"/>
  <c r="B170" i="3"/>
  <c r="L170" i="2"/>
  <c r="G169" i="3"/>
  <c r="AC165" i="2"/>
  <c r="F169" i="3"/>
  <c r="AB165" i="2"/>
  <c r="E169" i="3"/>
  <c r="O169" i="2"/>
  <c r="D169" i="3"/>
  <c r="N169" i="2"/>
  <c r="C169" i="3"/>
  <c r="M169" i="2"/>
  <c r="B169" i="3"/>
  <c r="G168" i="3"/>
  <c r="AC164" i="2"/>
  <c r="F168" i="3"/>
  <c r="E168" i="3"/>
  <c r="O168" i="2"/>
  <c r="D168" i="3"/>
  <c r="C168" i="3"/>
  <c r="M168" i="2"/>
  <c r="B168" i="3"/>
  <c r="L168" i="2"/>
  <c r="G167" i="3"/>
  <c r="AC163" i="2"/>
  <c r="F167" i="3"/>
  <c r="AB163" i="2"/>
  <c r="E167" i="3"/>
  <c r="O167" i="2"/>
  <c r="D167" i="3"/>
  <c r="N167" i="2"/>
  <c r="C167" i="3"/>
  <c r="M167" i="2"/>
  <c r="B167" i="3"/>
  <c r="G166" i="3"/>
  <c r="AC162" i="2"/>
  <c r="F166" i="3"/>
  <c r="AB162" i="2"/>
  <c r="E166" i="3"/>
  <c r="O166" i="2"/>
  <c r="D166" i="3"/>
  <c r="C166" i="3"/>
  <c r="M166" i="2"/>
  <c r="B166" i="3"/>
  <c r="L166" i="2"/>
  <c r="G165" i="3"/>
  <c r="AC161" i="2"/>
  <c r="F165" i="3"/>
  <c r="AB161" i="2"/>
  <c r="E165" i="3"/>
  <c r="O165" i="2"/>
  <c r="D165" i="3"/>
  <c r="N165" i="2"/>
  <c r="C165" i="3"/>
  <c r="M165" i="2"/>
  <c r="B165" i="3"/>
  <c r="G164" i="3"/>
  <c r="AC160" i="2"/>
  <c r="F164" i="3"/>
  <c r="AB160" i="2"/>
  <c r="E164" i="3"/>
  <c r="O164" i="2"/>
  <c r="D164" i="3"/>
  <c r="C164" i="3"/>
  <c r="M164" i="2"/>
  <c r="B164" i="3"/>
  <c r="L164" i="2"/>
  <c r="G163" i="3"/>
  <c r="AC159" i="2"/>
  <c r="F163" i="3"/>
  <c r="AB159" i="2"/>
  <c r="E163" i="3"/>
  <c r="O163" i="2"/>
  <c r="D163" i="3"/>
  <c r="N163" i="2"/>
  <c r="C163" i="3"/>
  <c r="M163" i="2"/>
  <c r="B163" i="3"/>
  <c r="G162" i="3"/>
  <c r="AC158" i="2"/>
  <c r="F162" i="3"/>
  <c r="AB158" i="2"/>
  <c r="E162" i="3"/>
  <c r="O162" i="2"/>
  <c r="D162" i="3"/>
  <c r="C162" i="3"/>
  <c r="M162" i="2"/>
  <c r="B162" i="3"/>
  <c r="L162" i="2"/>
  <c r="G161" i="3"/>
  <c r="AC157" i="2"/>
  <c r="F161" i="3"/>
  <c r="AB157" i="2"/>
  <c r="E161" i="3"/>
  <c r="O161" i="2"/>
  <c r="D161" i="3"/>
  <c r="N161" i="2"/>
  <c r="C161" i="3"/>
  <c r="M161" i="2"/>
  <c r="B161" i="3"/>
  <c r="G160" i="3"/>
  <c r="AC156" i="2"/>
  <c r="F160" i="3"/>
  <c r="AB156" i="2"/>
  <c r="E160" i="3"/>
  <c r="O160" i="2"/>
  <c r="D160" i="3"/>
  <c r="C160" i="3"/>
  <c r="M160" i="2"/>
  <c r="B160" i="3"/>
  <c r="L160" i="2"/>
  <c r="G159" i="3"/>
  <c r="AC155" i="2"/>
  <c r="F159" i="3"/>
  <c r="AB155" i="2"/>
  <c r="E159" i="3"/>
  <c r="O159" i="2"/>
  <c r="D159" i="3"/>
  <c r="N159" i="2"/>
  <c r="C159" i="3"/>
  <c r="M159" i="2"/>
  <c r="B159" i="3"/>
  <c r="G158" i="3"/>
  <c r="AC154" i="2"/>
  <c r="F158" i="3"/>
  <c r="AB154" i="2"/>
  <c r="E158" i="3"/>
  <c r="O158" i="2"/>
  <c r="D158" i="3"/>
  <c r="C158" i="3"/>
  <c r="M158" i="2"/>
  <c r="B158" i="3"/>
  <c r="L158" i="2"/>
  <c r="G157" i="3"/>
  <c r="AC153" i="2"/>
  <c r="F157" i="3"/>
  <c r="AB153" i="2"/>
  <c r="E157" i="3"/>
  <c r="O157" i="2"/>
  <c r="D157" i="3"/>
  <c r="N157" i="2"/>
  <c r="C157" i="3"/>
  <c r="M157" i="2"/>
  <c r="B157" i="3"/>
  <c r="G156" i="3"/>
  <c r="AC152" i="2"/>
  <c r="F156" i="3"/>
  <c r="AB152" i="2"/>
  <c r="E156" i="3"/>
  <c r="O156" i="2"/>
  <c r="D156" i="3"/>
  <c r="C156" i="3"/>
  <c r="M156" i="2"/>
  <c r="B156" i="3"/>
  <c r="L156" i="2"/>
  <c r="G155" i="3"/>
  <c r="AC151" i="2"/>
  <c r="F155" i="3"/>
  <c r="AB151" i="2"/>
  <c r="E155" i="3"/>
  <c r="O155" i="2"/>
  <c r="D155" i="3"/>
  <c r="N155" i="2"/>
  <c r="C155" i="3"/>
  <c r="M155" i="2"/>
  <c r="B155" i="3"/>
  <c r="G154" i="3"/>
  <c r="AC150" i="2"/>
  <c r="F154" i="3"/>
  <c r="AB150" i="2"/>
  <c r="E154" i="3"/>
  <c r="O154" i="2"/>
  <c r="D154" i="3"/>
  <c r="C154" i="3"/>
  <c r="M154" i="2"/>
  <c r="B154" i="3"/>
  <c r="L154" i="2"/>
  <c r="G153" i="3"/>
  <c r="AC149" i="2"/>
  <c r="F153" i="3"/>
  <c r="AB149" i="2"/>
  <c r="E153" i="3"/>
  <c r="O153" i="2"/>
  <c r="D153" i="3"/>
  <c r="N153" i="2"/>
  <c r="C153" i="3"/>
  <c r="M153" i="2"/>
  <c r="B153" i="3"/>
  <c r="G152" i="3"/>
  <c r="AC148" i="2"/>
  <c r="F152" i="3"/>
  <c r="AB148" i="2"/>
  <c r="E152" i="3"/>
  <c r="O152" i="2"/>
  <c r="D152" i="3"/>
  <c r="C152" i="3"/>
  <c r="M152" i="2"/>
  <c r="B152" i="3"/>
  <c r="L152" i="2"/>
  <c r="G151" i="3"/>
  <c r="F151" i="3"/>
  <c r="E151" i="3"/>
  <c r="O151" i="2"/>
  <c r="D151" i="3"/>
  <c r="N151" i="2"/>
  <c r="C151" i="3"/>
  <c r="M151" i="2"/>
  <c r="B151" i="3"/>
  <c r="G150" i="3"/>
  <c r="F150" i="3"/>
  <c r="E150" i="3"/>
  <c r="O150" i="2"/>
  <c r="D150" i="3"/>
  <c r="C150" i="3"/>
  <c r="M150" i="2"/>
  <c r="B150" i="3"/>
  <c r="L150" i="2"/>
  <c r="G149" i="3"/>
  <c r="AC147" i="2"/>
  <c r="F149" i="3"/>
  <c r="AB147" i="2"/>
  <c r="E149" i="3"/>
  <c r="D149" i="3"/>
  <c r="N149" i="2"/>
  <c r="C149" i="3"/>
  <c r="M149" i="2"/>
  <c r="B149" i="3"/>
  <c r="G148" i="3"/>
  <c r="AC146" i="2"/>
  <c r="F148" i="3"/>
  <c r="AB146" i="2"/>
  <c r="E148" i="3"/>
  <c r="O148" i="2"/>
  <c r="D148" i="3"/>
  <c r="C148" i="3"/>
  <c r="M148" i="2"/>
  <c r="B148" i="3"/>
  <c r="L148" i="2"/>
  <c r="G147" i="3"/>
  <c r="AC145" i="2"/>
  <c r="F147" i="3"/>
  <c r="AB145" i="2"/>
  <c r="E147" i="3"/>
  <c r="O147" i="2"/>
  <c r="D147" i="3"/>
  <c r="N147" i="2"/>
  <c r="C147" i="3"/>
  <c r="M147" i="2"/>
  <c r="B147" i="3"/>
  <c r="G146" i="3"/>
  <c r="F146" i="3"/>
  <c r="E146" i="3"/>
  <c r="O146" i="2"/>
  <c r="D146" i="3"/>
  <c r="C146" i="3"/>
  <c r="M146" i="2"/>
  <c r="B146" i="3"/>
  <c r="L146" i="2"/>
  <c r="G145" i="3"/>
  <c r="F145" i="3"/>
  <c r="E145" i="3"/>
  <c r="O145" i="2"/>
  <c r="D145" i="3"/>
  <c r="N145" i="2"/>
  <c r="C145" i="3"/>
  <c r="M145" i="2"/>
  <c r="B145" i="3"/>
  <c r="G144" i="3"/>
  <c r="AC144" i="2"/>
  <c r="F144" i="3"/>
  <c r="AB144" i="2"/>
  <c r="E144" i="3"/>
  <c r="O144" i="2"/>
  <c r="D144" i="3"/>
  <c r="C144" i="3"/>
  <c r="M144" i="2"/>
  <c r="B144" i="3"/>
  <c r="L144" i="2"/>
  <c r="G143" i="3"/>
  <c r="AC143" i="2"/>
  <c r="F143" i="3"/>
  <c r="AB143" i="2"/>
  <c r="E143" i="3"/>
  <c r="D143" i="3"/>
  <c r="N143" i="2"/>
  <c r="C143" i="3"/>
  <c r="M143" i="2"/>
  <c r="B143" i="3"/>
  <c r="G142" i="3"/>
  <c r="AC142" i="2"/>
  <c r="F142" i="3"/>
  <c r="AB142" i="2"/>
  <c r="E142" i="3"/>
  <c r="O142" i="2"/>
  <c r="D142" i="3"/>
  <c r="C142" i="3"/>
  <c r="M142" i="2"/>
  <c r="B142" i="3"/>
  <c r="L142" i="2"/>
  <c r="G141" i="3"/>
  <c r="AC141" i="2"/>
  <c r="F141" i="3"/>
  <c r="AB141" i="2"/>
  <c r="E141" i="3"/>
  <c r="O141" i="2"/>
  <c r="D141" i="3"/>
  <c r="N141" i="2"/>
  <c r="C141" i="3"/>
  <c r="M141" i="2"/>
  <c r="B141" i="3"/>
  <c r="G140" i="3"/>
  <c r="AC140" i="2"/>
  <c r="F140" i="3"/>
  <c r="AB140" i="2"/>
  <c r="E140" i="3"/>
  <c r="O140" i="2"/>
  <c r="D140" i="3"/>
  <c r="N140" i="2"/>
  <c r="C140" i="3"/>
  <c r="M140" i="2"/>
  <c r="B140" i="3"/>
  <c r="L140" i="2"/>
  <c r="G139" i="3"/>
  <c r="AC139" i="2"/>
  <c r="F139" i="3"/>
  <c r="AB139" i="2"/>
  <c r="E139" i="3"/>
  <c r="O139" i="2"/>
  <c r="D139" i="3"/>
  <c r="N139" i="2"/>
  <c r="C139" i="3"/>
  <c r="M139" i="2"/>
  <c r="B139" i="3"/>
  <c r="G138" i="3"/>
  <c r="AC138" i="2"/>
  <c r="F138" i="3"/>
  <c r="AB138" i="2"/>
  <c r="E138" i="3"/>
  <c r="O138" i="2"/>
  <c r="D138" i="3"/>
  <c r="N138" i="2"/>
  <c r="C138" i="3"/>
  <c r="M138" i="2"/>
  <c r="B138" i="3"/>
  <c r="L138" i="2"/>
  <c r="G137" i="3"/>
  <c r="AC137" i="2"/>
  <c r="F137" i="3"/>
  <c r="AB137" i="2"/>
  <c r="E137" i="3"/>
  <c r="O137" i="2"/>
  <c r="D137" i="3"/>
  <c r="N137" i="2"/>
  <c r="C137" i="3"/>
  <c r="M137" i="2"/>
  <c r="B137" i="3"/>
  <c r="G136" i="3"/>
  <c r="AC136" i="2"/>
  <c r="F136" i="3"/>
  <c r="AB136" i="2"/>
  <c r="E136" i="3"/>
  <c r="O136" i="2"/>
  <c r="D136" i="3"/>
  <c r="N136" i="2"/>
  <c r="C136" i="3"/>
  <c r="M136" i="2"/>
  <c r="B136" i="3"/>
  <c r="L136" i="2"/>
  <c r="G135" i="3"/>
  <c r="AC135" i="2"/>
  <c r="F135" i="3"/>
  <c r="AB135" i="2"/>
  <c r="E135" i="3"/>
  <c r="O135" i="2"/>
  <c r="D135" i="3"/>
  <c r="N135" i="2"/>
  <c r="C135" i="3"/>
  <c r="M135" i="2"/>
  <c r="B135" i="3"/>
  <c r="G134" i="3"/>
  <c r="AC134" i="2"/>
  <c r="F134" i="3"/>
  <c r="AB134" i="2"/>
  <c r="E134" i="3"/>
  <c r="O134" i="2"/>
  <c r="D134" i="3"/>
  <c r="N134" i="2"/>
  <c r="C134" i="3"/>
  <c r="M134" i="2"/>
  <c r="B134" i="3"/>
  <c r="L134" i="2"/>
  <c r="G133" i="3"/>
  <c r="AC133" i="2"/>
  <c r="F133" i="3"/>
  <c r="AB133" i="2"/>
  <c r="E133" i="3"/>
  <c r="O133" i="2"/>
  <c r="D133" i="3"/>
  <c r="N133" i="2"/>
  <c r="C133" i="3"/>
  <c r="M133" i="2"/>
  <c r="B133" i="3"/>
  <c r="L133" i="2"/>
  <c r="G132" i="3"/>
  <c r="AC132" i="2"/>
  <c r="F132" i="3"/>
  <c r="AB132" i="2"/>
  <c r="E132" i="3"/>
  <c r="O132" i="2"/>
  <c r="D132" i="3"/>
  <c r="N132" i="2"/>
  <c r="C132" i="3"/>
  <c r="M132" i="2"/>
  <c r="B132" i="3"/>
  <c r="L132" i="2"/>
  <c r="G131" i="3"/>
  <c r="AC131" i="2"/>
  <c r="F131" i="3"/>
  <c r="AB131" i="2"/>
  <c r="E131" i="3"/>
  <c r="O131" i="2"/>
  <c r="D131" i="3"/>
  <c r="N131" i="2"/>
  <c r="C131" i="3"/>
  <c r="M131" i="2"/>
  <c r="B131" i="3"/>
  <c r="L131" i="2"/>
  <c r="G130" i="3"/>
  <c r="AC130" i="2"/>
  <c r="F130" i="3"/>
  <c r="AB130" i="2"/>
  <c r="E130" i="3"/>
  <c r="O130" i="2"/>
  <c r="D130" i="3"/>
  <c r="N130" i="2"/>
  <c r="C130" i="3"/>
  <c r="M130" i="2"/>
  <c r="B130" i="3"/>
  <c r="L130" i="2"/>
  <c r="G129" i="3"/>
  <c r="AC129" i="2"/>
  <c r="F129" i="3"/>
  <c r="AB129" i="2"/>
  <c r="E129" i="3"/>
  <c r="O129" i="2"/>
  <c r="D129" i="3"/>
  <c r="N129" i="2"/>
  <c r="C129" i="3"/>
  <c r="M129" i="2"/>
  <c r="B129" i="3"/>
  <c r="L129" i="2"/>
  <c r="G128" i="3"/>
  <c r="AC128" i="2"/>
  <c r="F128" i="3"/>
  <c r="AB128" i="2"/>
  <c r="E128" i="3"/>
  <c r="O128" i="2"/>
  <c r="D128" i="3"/>
  <c r="N128" i="2"/>
  <c r="C128" i="3"/>
  <c r="M128" i="2"/>
  <c r="B128" i="3"/>
  <c r="L128" i="2"/>
  <c r="G127" i="3"/>
  <c r="AC127" i="2"/>
  <c r="F127" i="3"/>
  <c r="AB127" i="2"/>
  <c r="E127" i="3"/>
  <c r="O127" i="2"/>
  <c r="D127" i="3"/>
  <c r="N127" i="2"/>
  <c r="C127" i="3"/>
  <c r="M127" i="2"/>
  <c r="B127" i="3"/>
  <c r="L127" i="2"/>
  <c r="G126" i="3"/>
  <c r="AC126" i="2"/>
  <c r="F126" i="3"/>
  <c r="AB126" i="2"/>
  <c r="E126" i="3"/>
  <c r="O126" i="2"/>
  <c r="D126" i="3"/>
  <c r="N126" i="2"/>
  <c r="C126" i="3"/>
  <c r="M126" i="2"/>
  <c r="B126" i="3"/>
  <c r="L126" i="2"/>
  <c r="G125" i="3"/>
  <c r="AC125" i="2"/>
  <c r="F125" i="3"/>
  <c r="AB125" i="2"/>
  <c r="E125" i="3"/>
  <c r="O125" i="2"/>
  <c r="D125" i="3"/>
  <c r="N125" i="2"/>
  <c r="C125" i="3"/>
  <c r="M125" i="2"/>
  <c r="B125" i="3"/>
  <c r="L125" i="2"/>
  <c r="G124" i="3"/>
  <c r="AC124" i="2"/>
  <c r="F124" i="3"/>
  <c r="AB124" i="2"/>
  <c r="E124" i="3"/>
  <c r="O124" i="2"/>
  <c r="D124" i="3"/>
  <c r="N124" i="2"/>
  <c r="C124" i="3"/>
  <c r="M124" i="2"/>
  <c r="B124" i="3"/>
  <c r="L124" i="2"/>
  <c r="G123" i="3"/>
  <c r="AC123" i="2"/>
  <c r="F123" i="3"/>
  <c r="AB123" i="2"/>
  <c r="E123" i="3"/>
  <c r="O123" i="2"/>
  <c r="D123" i="3"/>
  <c r="N123" i="2"/>
  <c r="C123" i="3"/>
  <c r="M123" i="2"/>
  <c r="B123" i="3"/>
  <c r="L123" i="2"/>
  <c r="G122" i="3"/>
  <c r="AC122" i="2"/>
  <c r="F122" i="3"/>
  <c r="AB122" i="2"/>
  <c r="E122" i="3"/>
  <c r="O122" i="2"/>
  <c r="D122" i="3"/>
  <c r="N122" i="2"/>
  <c r="C122" i="3"/>
  <c r="M122" i="2"/>
  <c r="B122" i="3"/>
  <c r="L122" i="2"/>
  <c r="G121" i="3"/>
  <c r="AC121" i="2"/>
  <c r="F121" i="3"/>
  <c r="AB121" i="2"/>
  <c r="E121" i="3"/>
  <c r="O121" i="2"/>
  <c r="D121" i="3"/>
  <c r="N121" i="2"/>
  <c r="C121" i="3"/>
  <c r="M121" i="2"/>
  <c r="B121" i="3"/>
  <c r="L121" i="2"/>
  <c r="G120" i="3"/>
  <c r="AC120" i="2"/>
  <c r="F120" i="3"/>
  <c r="AB120" i="2"/>
  <c r="E120" i="3"/>
  <c r="O120" i="2"/>
  <c r="D120" i="3"/>
  <c r="N120" i="2"/>
  <c r="C120" i="3"/>
  <c r="M120" i="2"/>
  <c r="B120" i="3"/>
  <c r="L120" i="2"/>
  <c r="G119" i="3"/>
  <c r="AC119" i="2"/>
  <c r="F119" i="3"/>
  <c r="AB119" i="2"/>
  <c r="E119" i="3"/>
  <c r="O119" i="2"/>
  <c r="D119" i="3"/>
  <c r="N119" i="2"/>
  <c r="C119" i="3"/>
  <c r="M119" i="2"/>
  <c r="B119" i="3"/>
  <c r="L119" i="2"/>
  <c r="G118" i="3"/>
  <c r="AC118" i="2"/>
  <c r="F118" i="3"/>
  <c r="AB118" i="2"/>
  <c r="E118" i="3"/>
  <c r="O118" i="2"/>
  <c r="D118" i="3"/>
  <c r="N118" i="2"/>
  <c r="C118" i="3"/>
  <c r="M118" i="2"/>
  <c r="B118" i="3"/>
  <c r="L118" i="2"/>
  <c r="G117" i="3"/>
  <c r="AC117" i="2"/>
  <c r="F117" i="3"/>
  <c r="AB117" i="2"/>
  <c r="E117" i="3"/>
  <c r="O117" i="2"/>
  <c r="D117" i="3"/>
  <c r="N117" i="2"/>
  <c r="C117" i="3"/>
  <c r="M117" i="2"/>
  <c r="B117" i="3"/>
  <c r="L117" i="2"/>
  <c r="G116" i="3"/>
  <c r="AC116" i="2"/>
  <c r="F116" i="3"/>
  <c r="AB116" i="2"/>
  <c r="E116" i="3"/>
  <c r="D116" i="3"/>
  <c r="N116" i="2"/>
  <c r="C116" i="3"/>
  <c r="M116" i="2"/>
  <c r="B116" i="3"/>
  <c r="L116" i="2"/>
  <c r="G115" i="3"/>
  <c r="AC115" i="2"/>
  <c r="F115" i="3"/>
  <c r="AB115" i="2"/>
  <c r="E115" i="3"/>
  <c r="O115" i="2"/>
  <c r="D115" i="3"/>
  <c r="N115" i="2"/>
  <c r="C115" i="3"/>
  <c r="M115" i="2"/>
  <c r="B115" i="3"/>
  <c r="L115" i="2"/>
  <c r="G114" i="3"/>
  <c r="AC114" i="2"/>
  <c r="F114" i="3"/>
  <c r="AB114" i="2"/>
  <c r="E114" i="3"/>
  <c r="O114" i="2"/>
  <c r="D114" i="3"/>
  <c r="N114" i="2"/>
  <c r="C114" i="3"/>
  <c r="M114" i="2"/>
  <c r="B114" i="3"/>
  <c r="L114" i="2"/>
  <c r="G113" i="3"/>
  <c r="AC113" i="2"/>
  <c r="F113" i="3"/>
  <c r="AB113" i="2"/>
  <c r="E113" i="3"/>
  <c r="D113" i="3"/>
  <c r="N113" i="2"/>
  <c r="C113" i="3"/>
  <c r="M113" i="2"/>
  <c r="B113" i="3"/>
  <c r="L113" i="2"/>
  <c r="G112" i="3"/>
  <c r="AC112" i="2"/>
  <c r="F112" i="3"/>
  <c r="AB112" i="2"/>
  <c r="E112" i="3"/>
  <c r="O112" i="2"/>
  <c r="D112" i="3"/>
  <c r="N112" i="2"/>
  <c r="C112" i="3"/>
  <c r="M112" i="2"/>
  <c r="B112" i="3"/>
  <c r="L112" i="2"/>
  <c r="G111" i="3"/>
  <c r="AC111" i="2"/>
  <c r="F111" i="3"/>
  <c r="AB111" i="2"/>
  <c r="E111" i="3"/>
  <c r="O111" i="2"/>
  <c r="D111" i="3"/>
  <c r="N111" i="2"/>
  <c r="C111" i="3"/>
  <c r="M111" i="2"/>
  <c r="B111" i="3"/>
  <c r="L111" i="2"/>
  <c r="G110" i="3"/>
  <c r="AC110" i="2"/>
  <c r="F110" i="3"/>
  <c r="AB110" i="2"/>
  <c r="E110" i="3"/>
  <c r="D110" i="3"/>
  <c r="N110" i="2"/>
  <c r="C110" i="3"/>
  <c r="M110" i="2"/>
  <c r="B110" i="3"/>
  <c r="L110" i="2"/>
  <c r="G109" i="3"/>
  <c r="AC109" i="2"/>
  <c r="F109" i="3"/>
  <c r="AB109" i="2"/>
  <c r="E109" i="3"/>
  <c r="O109" i="2"/>
  <c r="D109" i="3"/>
  <c r="N109" i="2"/>
  <c r="C109" i="3"/>
  <c r="M109" i="2"/>
  <c r="B109" i="3"/>
  <c r="L109" i="2"/>
  <c r="G108" i="3"/>
  <c r="AC108" i="2"/>
  <c r="F108" i="3"/>
  <c r="AB108" i="2"/>
  <c r="E108" i="3"/>
  <c r="O108" i="2"/>
  <c r="D108" i="3"/>
  <c r="N108" i="2"/>
  <c r="C108" i="3"/>
  <c r="M108" i="2"/>
  <c r="B108" i="3"/>
  <c r="L108" i="2"/>
  <c r="G107" i="3"/>
  <c r="AC107" i="2"/>
  <c r="F107" i="3"/>
  <c r="AB107" i="2"/>
  <c r="E107" i="3"/>
  <c r="D107" i="3"/>
  <c r="N107" i="2"/>
  <c r="C107" i="3"/>
  <c r="M107" i="2"/>
  <c r="B107" i="3"/>
  <c r="G106" i="3"/>
  <c r="AC106" i="2"/>
  <c r="F106" i="3"/>
  <c r="AB106" i="2"/>
  <c r="E106" i="3"/>
  <c r="O106" i="2"/>
  <c r="D106" i="3"/>
  <c r="N106" i="2"/>
  <c r="C106" i="3"/>
  <c r="M106" i="2"/>
  <c r="B106" i="3"/>
  <c r="L106" i="2"/>
  <c r="G105" i="3"/>
  <c r="AC105" i="2"/>
  <c r="F105" i="3"/>
  <c r="AB105" i="2"/>
  <c r="E105" i="3"/>
  <c r="O105" i="2"/>
  <c r="D105" i="3"/>
  <c r="N105" i="2"/>
  <c r="C105" i="3"/>
  <c r="M105" i="2"/>
  <c r="B105" i="3"/>
  <c r="L105" i="2"/>
  <c r="G104" i="3"/>
  <c r="AC104" i="2"/>
  <c r="F104" i="3"/>
  <c r="AB104" i="2"/>
  <c r="E104" i="3"/>
  <c r="D104" i="3"/>
  <c r="N104" i="2"/>
  <c r="C104" i="3"/>
  <c r="M104" i="2"/>
  <c r="B104" i="3"/>
  <c r="G103" i="3"/>
  <c r="AC103" i="2"/>
  <c r="F103" i="3"/>
  <c r="AB103" i="2"/>
  <c r="E103" i="3"/>
  <c r="O103" i="2"/>
  <c r="D103" i="3"/>
  <c r="N103" i="2"/>
  <c r="C103" i="3"/>
  <c r="M103" i="2"/>
  <c r="B103" i="3"/>
  <c r="L103" i="2"/>
  <c r="G102" i="3"/>
  <c r="AC102" i="2"/>
  <c r="F102" i="3"/>
  <c r="AB102" i="2"/>
  <c r="E102" i="3"/>
  <c r="O102" i="2"/>
  <c r="D102" i="3"/>
  <c r="N102" i="2"/>
  <c r="C102" i="3"/>
  <c r="M102" i="2"/>
  <c r="B102" i="3"/>
  <c r="L102" i="2"/>
  <c r="G101" i="3"/>
  <c r="AC101" i="2"/>
  <c r="F101" i="3"/>
  <c r="AB101" i="2"/>
  <c r="E101" i="3"/>
  <c r="D101" i="3"/>
  <c r="N101" i="2"/>
  <c r="C101" i="3"/>
  <c r="M101" i="2"/>
  <c r="B101" i="3"/>
  <c r="G100" i="3"/>
  <c r="AC100" i="2"/>
  <c r="F100" i="3"/>
  <c r="AB100" i="2"/>
  <c r="E100" i="3"/>
  <c r="O100" i="2"/>
  <c r="D100" i="3"/>
  <c r="N100" i="2"/>
  <c r="C100" i="3"/>
  <c r="M100" i="2"/>
  <c r="B100" i="3"/>
  <c r="L100" i="2"/>
  <c r="G99" i="3"/>
  <c r="AC99" i="2"/>
  <c r="F99" i="3"/>
  <c r="AB99" i="2"/>
  <c r="E99" i="3"/>
  <c r="O99" i="2"/>
  <c r="D99" i="3"/>
  <c r="N99" i="2"/>
  <c r="C99" i="3"/>
  <c r="M99" i="2"/>
  <c r="B99" i="3"/>
  <c r="L99" i="2"/>
  <c r="G98" i="3"/>
  <c r="AC98" i="2"/>
  <c r="F98" i="3"/>
  <c r="AB98" i="2"/>
  <c r="E98" i="3"/>
  <c r="D98" i="3"/>
  <c r="N98" i="2"/>
  <c r="C98" i="3"/>
  <c r="M98" i="2"/>
  <c r="B98" i="3"/>
  <c r="L98" i="2"/>
  <c r="G97" i="3"/>
  <c r="AC97" i="2"/>
  <c r="F97" i="3"/>
  <c r="AB97" i="2"/>
  <c r="E97" i="3"/>
  <c r="O97" i="2"/>
  <c r="D97" i="3"/>
  <c r="N97" i="2"/>
  <c r="C97" i="3"/>
  <c r="M97" i="2"/>
  <c r="B97" i="3"/>
  <c r="G96" i="3"/>
  <c r="AC96" i="2"/>
  <c r="F96" i="3"/>
  <c r="AB96" i="2"/>
  <c r="E96" i="3"/>
  <c r="D96" i="3"/>
  <c r="N96" i="2"/>
  <c r="C96" i="3"/>
  <c r="M96" i="2"/>
  <c r="B96" i="3"/>
  <c r="L96" i="2"/>
  <c r="G95" i="3"/>
  <c r="AC95" i="2"/>
  <c r="F95" i="3"/>
  <c r="AB95" i="2"/>
  <c r="E95" i="3"/>
  <c r="O95" i="2"/>
  <c r="D95" i="3"/>
  <c r="N95" i="2"/>
  <c r="C95" i="3"/>
  <c r="M95" i="2"/>
  <c r="B95" i="3"/>
  <c r="G94" i="3"/>
  <c r="AC94" i="2"/>
  <c r="F94" i="3"/>
  <c r="AB94" i="2"/>
  <c r="E94" i="3"/>
  <c r="D94" i="3"/>
  <c r="N94" i="2"/>
  <c r="C94" i="3"/>
  <c r="M94" i="2"/>
  <c r="B94" i="3"/>
  <c r="L94" i="2"/>
  <c r="G93" i="3"/>
  <c r="AC93" i="2"/>
  <c r="F93" i="3"/>
  <c r="AB93" i="2"/>
  <c r="E93" i="3"/>
  <c r="O93" i="2"/>
  <c r="D93" i="3"/>
  <c r="N93" i="2"/>
  <c r="C93" i="3"/>
  <c r="M93" i="2"/>
  <c r="B93" i="3"/>
  <c r="G92" i="3"/>
  <c r="AC92" i="2"/>
  <c r="F92" i="3"/>
  <c r="AB92" i="2"/>
  <c r="E92" i="3"/>
  <c r="D92" i="3"/>
  <c r="N92" i="2"/>
  <c r="C92" i="3"/>
  <c r="M92" i="2"/>
  <c r="B92" i="3"/>
  <c r="L92" i="2"/>
  <c r="G91" i="3"/>
  <c r="AC91" i="2"/>
  <c r="F91" i="3"/>
  <c r="AB91" i="2"/>
  <c r="E91" i="3"/>
  <c r="O91" i="2"/>
  <c r="D91" i="3"/>
  <c r="N91" i="2"/>
  <c r="C91" i="3"/>
  <c r="B91" i="3"/>
  <c r="G90" i="3"/>
  <c r="AC90" i="2"/>
  <c r="F90" i="3"/>
  <c r="AB90" i="2"/>
  <c r="E90" i="3"/>
  <c r="D90" i="3"/>
  <c r="N90" i="2"/>
  <c r="C90" i="3"/>
  <c r="M90" i="2"/>
  <c r="B90" i="3"/>
  <c r="L90" i="2"/>
  <c r="G89" i="3"/>
  <c r="AC89" i="2"/>
  <c r="F89" i="3"/>
  <c r="AB89" i="2"/>
  <c r="E89" i="3"/>
  <c r="O89" i="2"/>
  <c r="D89" i="3"/>
  <c r="N89" i="2"/>
  <c r="C89" i="3"/>
  <c r="B89" i="3"/>
  <c r="G88" i="3"/>
  <c r="AC88" i="2"/>
  <c r="F88" i="3"/>
  <c r="AB88" i="2"/>
  <c r="E88" i="3"/>
  <c r="D88" i="3"/>
  <c r="N88" i="2"/>
  <c r="C88" i="3"/>
  <c r="M88" i="2"/>
  <c r="B88" i="3"/>
  <c r="L88" i="2"/>
  <c r="G87" i="3"/>
  <c r="AC87" i="2"/>
  <c r="F87" i="3"/>
  <c r="AB87" i="2"/>
  <c r="E87" i="3"/>
  <c r="O87" i="2"/>
  <c r="D87" i="3"/>
  <c r="C87" i="3"/>
  <c r="B87" i="3"/>
  <c r="L87" i="2"/>
  <c r="G86" i="3"/>
  <c r="AC86" i="2"/>
  <c r="F86" i="3"/>
  <c r="AB86" i="2"/>
  <c r="E86" i="3"/>
  <c r="D86" i="3"/>
  <c r="N86" i="2"/>
  <c r="C86" i="3"/>
  <c r="M86" i="2"/>
  <c r="B86" i="3"/>
  <c r="L86" i="2"/>
  <c r="G85" i="3"/>
  <c r="AC85" i="2"/>
  <c r="F85" i="3"/>
  <c r="AB85" i="2"/>
  <c r="E85" i="3"/>
  <c r="O85" i="2"/>
  <c r="D85" i="3"/>
  <c r="C85" i="3"/>
  <c r="B85" i="3"/>
  <c r="L85" i="2"/>
  <c r="G84" i="3"/>
  <c r="AC84" i="2"/>
  <c r="F84" i="3"/>
  <c r="AB84" i="2"/>
  <c r="E84" i="3"/>
  <c r="D84" i="3"/>
  <c r="N84" i="2"/>
  <c r="C84" i="3"/>
  <c r="M84" i="2"/>
  <c r="B84" i="3"/>
  <c r="L84" i="2"/>
  <c r="G83" i="3"/>
  <c r="AC83" i="2"/>
  <c r="F83" i="3"/>
  <c r="AB83" i="2"/>
  <c r="E83" i="3"/>
  <c r="O83" i="2"/>
  <c r="D83" i="3"/>
  <c r="C83" i="3"/>
  <c r="B83" i="3"/>
  <c r="L83" i="2"/>
  <c r="G82" i="3"/>
  <c r="AC82" i="2"/>
  <c r="F82" i="3"/>
  <c r="AB82" i="2"/>
  <c r="E82" i="3"/>
  <c r="D82" i="3"/>
  <c r="N82" i="2"/>
  <c r="C82" i="3"/>
  <c r="M82" i="2"/>
  <c r="B82" i="3"/>
  <c r="L82" i="2"/>
  <c r="G81" i="3"/>
  <c r="AC81" i="2"/>
  <c r="F81" i="3"/>
  <c r="AB81" i="2"/>
  <c r="E81" i="3"/>
  <c r="O81" i="2"/>
  <c r="D81" i="3"/>
  <c r="C81" i="3"/>
  <c r="B81" i="3"/>
  <c r="L81" i="2"/>
  <c r="G80" i="3"/>
  <c r="AC80" i="2"/>
  <c r="F80" i="3"/>
  <c r="AB80" i="2"/>
  <c r="E80" i="3"/>
  <c r="D80" i="3"/>
  <c r="N80" i="2"/>
  <c r="C80" i="3"/>
  <c r="M80" i="2"/>
  <c r="B80" i="3"/>
  <c r="L80" i="2"/>
  <c r="G79" i="3"/>
  <c r="AC79" i="2"/>
  <c r="F79" i="3"/>
  <c r="AB79" i="2"/>
  <c r="E79" i="3"/>
  <c r="O79" i="2"/>
  <c r="D79" i="3"/>
  <c r="N79" i="2"/>
  <c r="C79" i="3"/>
  <c r="M79" i="2"/>
  <c r="B79" i="3"/>
  <c r="L79" i="2"/>
  <c r="G78" i="3"/>
  <c r="AC78" i="2"/>
  <c r="F78" i="3"/>
  <c r="AB78" i="2"/>
  <c r="E78" i="3"/>
  <c r="D78" i="3"/>
  <c r="N78" i="2"/>
  <c r="C78" i="3"/>
  <c r="M78" i="2"/>
  <c r="B78" i="3"/>
  <c r="L78" i="2"/>
  <c r="G77" i="3"/>
  <c r="AC77" i="2"/>
  <c r="F77" i="3"/>
  <c r="AB77" i="2"/>
  <c r="E77" i="3"/>
  <c r="O77" i="2"/>
  <c r="D77" i="3"/>
  <c r="N77" i="2"/>
  <c r="C77" i="3"/>
  <c r="M77" i="2"/>
  <c r="B77" i="3"/>
  <c r="L77" i="2"/>
  <c r="G76" i="3"/>
  <c r="AC76" i="2"/>
  <c r="F76" i="3"/>
  <c r="AB76" i="2"/>
  <c r="E76" i="3"/>
  <c r="D76" i="3"/>
  <c r="N76" i="2"/>
  <c r="C76" i="3"/>
  <c r="M76" i="2"/>
  <c r="B76" i="3"/>
  <c r="L76" i="2"/>
  <c r="G75" i="3"/>
  <c r="AC75" i="2"/>
  <c r="F75" i="3"/>
  <c r="AB75" i="2"/>
  <c r="E75" i="3"/>
  <c r="O75" i="2"/>
  <c r="D75" i="3"/>
  <c r="N75" i="2"/>
  <c r="C75" i="3"/>
  <c r="M75" i="2"/>
  <c r="B75" i="3"/>
  <c r="L75" i="2"/>
  <c r="G74" i="3"/>
  <c r="AC74" i="2"/>
  <c r="F74" i="3"/>
  <c r="AB74" i="2"/>
  <c r="E74" i="3"/>
  <c r="D74" i="3"/>
  <c r="N74" i="2"/>
  <c r="C74" i="3"/>
  <c r="M74" i="2"/>
  <c r="B74" i="3"/>
  <c r="L74" i="2"/>
  <c r="G73" i="3"/>
  <c r="AC73" i="2"/>
  <c r="F73" i="3"/>
  <c r="AB73" i="2"/>
  <c r="E73" i="3"/>
  <c r="O73" i="2"/>
  <c r="D73" i="3"/>
  <c r="N73" i="2"/>
  <c r="C73" i="3"/>
  <c r="M73" i="2"/>
  <c r="B73" i="3"/>
  <c r="L73" i="2"/>
  <c r="G72" i="3"/>
  <c r="AC72" i="2"/>
  <c r="F72" i="3"/>
  <c r="AB72" i="2"/>
  <c r="E72" i="3"/>
  <c r="D72" i="3"/>
  <c r="N72" i="2"/>
  <c r="C72" i="3"/>
  <c r="M72" i="2"/>
  <c r="B72" i="3"/>
  <c r="L72" i="2"/>
  <c r="G71" i="3"/>
  <c r="AC71" i="2"/>
  <c r="F71" i="3"/>
  <c r="AB71" i="2"/>
  <c r="E71" i="3"/>
  <c r="O71" i="2"/>
  <c r="D71" i="3"/>
  <c r="N71" i="2"/>
  <c r="C71" i="3"/>
  <c r="M71" i="2"/>
  <c r="B71" i="3"/>
  <c r="L71" i="2"/>
  <c r="G70" i="3"/>
  <c r="AC70" i="2"/>
  <c r="F70" i="3"/>
  <c r="AB70" i="2"/>
  <c r="E70" i="3"/>
  <c r="D70" i="3"/>
  <c r="N70" i="2"/>
  <c r="C70" i="3"/>
  <c r="M70" i="2"/>
  <c r="B70" i="3"/>
  <c r="L70" i="2"/>
  <c r="G69" i="3"/>
  <c r="AC69" i="2"/>
  <c r="F69" i="3"/>
  <c r="AB69" i="2"/>
  <c r="E69" i="3"/>
  <c r="O69" i="2"/>
  <c r="D69" i="3"/>
  <c r="C69" i="3"/>
  <c r="M69" i="2"/>
  <c r="B69" i="3"/>
  <c r="L69" i="2"/>
  <c r="G68" i="3"/>
  <c r="AC68" i="2"/>
  <c r="F68" i="3"/>
  <c r="AB68" i="2"/>
  <c r="E68" i="3"/>
  <c r="D68" i="3"/>
  <c r="N68" i="2"/>
  <c r="C68" i="3"/>
  <c r="M68" i="2"/>
  <c r="B68" i="3"/>
  <c r="L68" i="2"/>
  <c r="G67" i="3"/>
  <c r="AC67" i="2"/>
  <c r="F67" i="3"/>
  <c r="AB67" i="2"/>
  <c r="E67" i="3"/>
  <c r="O67" i="2"/>
  <c r="D67" i="3"/>
  <c r="C67" i="3"/>
  <c r="M67" i="2"/>
  <c r="B67" i="3"/>
  <c r="L67" i="2"/>
  <c r="G66" i="3"/>
  <c r="AC66" i="2"/>
  <c r="F66" i="3"/>
  <c r="AB66" i="2"/>
  <c r="E66" i="3"/>
  <c r="D66" i="3"/>
  <c r="N66" i="2"/>
  <c r="C66" i="3"/>
  <c r="M66" i="2"/>
  <c r="B66" i="3"/>
  <c r="L66" i="2"/>
  <c r="G65" i="3"/>
  <c r="AC65" i="2"/>
  <c r="F65" i="3"/>
  <c r="AB65" i="2"/>
  <c r="E65" i="3"/>
  <c r="O65" i="2"/>
  <c r="D65" i="3"/>
  <c r="C65" i="3"/>
  <c r="M65" i="2"/>
  <c r="B65" i="3"/>
  <c r="L65" i="2"/>
  <c r="G64" i="3"/>
  <c r="AC64" i="2"/>
  <c r="F64" i="3"/>
  <c r="AB64" i="2"/>
  <c r="E64" i="3"/>
  <c r="D64" i="3"/>
  <c r="N64" i="2"/>
  <c r="C64" i="3"/>
  <c r="M64" i="2"/>
  <c r="B64" i="3"/>
  <c r="L64" i="2"/>
  <c r="G63" i="3"/>
  <c r="AC63" i="2"/>
  <c r="F63" i="3"/>
  <c r="AB63" i="2"/>
  <c r="E63" i="3"/>
  <c r="O63" i="2"/>
  <c r="D63" i="3"/>
  <c r="C63" i="3"/>
  <c r="M63" i="2"/>
  <c r="B63" i="3"/>
  <c r="L63" i="2"/>
  <c r="G62" i="3"/>
  <c r="AC62" i="2"/>
  <c r="F62" i="3"/>
  <c r="AB62" i="2"/>
  <c r="E62" i="3"/>
  <c r="D62" i="3"/>
  <c r="N62" i="2"/>
  <c r="C62" i="3"/>
  <c r="M62" i="2"/>
  <c r="B62" i="3"/>
  <c r="L62" i="2"/>
  <c r="G61" i="3"/>
  <c r="AC61" i="2"/>
  <c r="F61" i="3"/>
  <c r="AB61" i="2"/>
  <c r="E61" i="3"/>
  <c r="O61" i="2"/>
  <c r="D61" i="3"/>
  <c r="C61" i="3"/>
  <c r="M61" i="2"/>
  <c r="B61" i="3"/>
  <c r="L61" i="2"/>
  <c r="G60" i="3"/>
  <c r="AC60" i="2"/>
  <c r="F60" i="3"/>
  <c r="AB60" i="2"/>
  <c r="E60" i="3"/>
  <c r="D60" i="3"/>
  <c r="N60" i="2"/>
  <c r="C60" i="3"/>
  <c r="M60" i="2"/>
  <c r="B60" i="3"/>
  <c r="L60" i="2"/>
  <c r="G59" i="3"/>
  <c r="AC59" i="2"/>
  <c r="F59" i="3"/>
  <c r="AB59" i="2"/>
  <c r="E59" i="3"/>
  <c r="O59" i="2"/>
  <c r="D59" i="3"/>
  <c r="C59" i="3"/>
  <c r="B59" i="3"/>
  <c r="L59" i="2"/>
  <c r="G58" i="3"/>
  <c r="AC58" i="2"/>
  <c r="F58" i="3"/>
  <c r="AB58" i="2"/>
  <c r="E58" i="3"/>
  <c r="D58" i="3"/>
  <c r="N58" i="2"/>
  <c r="C58" i="3"/>
  <c r="M58" i="2"/>
  <c r="B58" i="3"/>
  <c r="L58" i="2"/>
  <c r="G57" i="3"/>
  <c r="AC57" i="2"/>
  <c r="F57" i="3"/>
  <c r="AB57" i="2"/>
  <c r="E57" i="3"/>
  <c r="O57" i="2"/>
  <c r="D57" i="3"/>
  <c r="C57" i="3"/>
  <c r="B57" i="3"/>
  <c r="L57" i="2"/>
  <c r="G56" i="3"/>
  <c r="AC56" i="2"/>
  <c r="F56" i="3"/>
  <c r="AB56" i="2"/>
  <c r="E56" i="3"/>
  <c r="D56" i="3"/>
  <c r="N56" i="2"/>
  <c r="C56" i="3"/>
  <c r="M56" i="2"/>
  <c r="B56" i="3"/>
  <c r="L56" i="2"/>
  <c r="G55" i="3"/>
  <c r="AC55" i="2"/>
  <c r="F55" i="3"/>
  <c r="AB55" i="2"/>
  <c r="E55" i="3"/>
  <c r="O55" i="2"/>
  <c r="D55" i="3"/>
  <c r="C55" i="3"/>
  <c r="B55" i="3"/>
  <c r="L55" i="2"/>
  <c r="G54" i="3"/>
  <c r="AC54" i="2"/>
  <c r="F54" i="3"/>
  <c r="AB54" i="2"/>
  <c r="E54" i="3"/>
  <c r="O54" i="2"/>
  <c r="D54" i="3"/>
  <c r="N54" i="2"/>
  <c r="C54" i="3"/>
  <c r="M54" i="2"/>
  <c r="B54" i="3"/>
  <c r="L54" i="2"/>
  <c r="G53" i="3"/>
  <c r="AC53" i="2"/>
  <c r="F53" i="3"/>
  <c r="AB53" i="2"/>
  <c r="E53" i="3"/>
  <c r="D53" i="3"/>
  <c r="C53" i="3"/>
  <c r="B53" i="3"/>
  <c r="L53" i="2"/>
  <c r="G52" i="3"/>
  <c r="AC52" i="2"/>
  <c r="F52" i="3"/>
  <c r="AB52" i="2"/>
  <c r="E52" i="3"/>
  <c r="O52" i="2"/>
  <c r="D52" i="3"/>
  <c r="N52" i="2"/>
  <c r="C52" i="3"/>
  <c r="M52" i="2"/>
  <c r="B52" i="3"/>
  <c r="L52" i="2"/>
  <c r="G51" i="3"/>
  <c r="AC51" i="2"/>
  <c r="F51" i="3"/>
  <c r="AB51" i="2"/>
  <c r="E51" i="3"/>
  <c r="D51" i="3"/>
  <c r="C51" i="3"/>
  <c r="B51" i="3"/>
  <c r="L51" i="2"/>
  <c r="G50" i="3"/>
  <c r="AC50" i="2"/>
  <c r="F50" i="3"/>
  <c r="AB50" i="2"/>
  <c r="E50" i="3"/>
  <c r="O50" i="2"/>
  <c r="D50" i="3"/>
  <c r="N50" i="2"/>
  <c r="C50" i="3"/>
  <c r="M50" i="2"/>
  <c r="B50" i="3"/>
  <c r="L50" i="2"/>
  <c r="G49" i="3"/>
  <c r="AC49" i="2"/>
  <c r="F49" i="3"/>
  <c r="AB49" i="2"/>
  <c r="E49" i="3"/>
  <c r="D49" i="3"/>
  <c r="C49" i="3"/>
  <c r="B49" i="3"/>
  <c r="L49" i="2"/>
  <c r="G48" i="3"/>
  <c r="AC48" i="2"/>
  <c r="F48" i="3"/>
  <c r="AB48" i="2"/>
  <c r="E48" i="3"/>
  <c r="O48" i="2"/>
  <c r="D48" i="3"/>
  <c r="N48" i="2"/>
  <c r="C48" i="3"/>
  <c r="M48" i="2"/>
  <c r="B48" i="3"/>
  <c r="L48" i="2"/>
  <c r="G47" i="3"/>
  <c r="AC47" i="2"/>
  <c r="F47" i="3"/>
  <c r="AB47" i="2"/>
  <c r="E47" i="3"/>
  <c r="D47" i="3"/>
  <c r="C47" i="3"/>
  <c r="B47" i="3"/>
  <c r="L47" i="2"/>
  <c r="G46" i="3"/>
  <c r="AC46" i="2"/>
  <c r="F46" i="3"/>
  <c r="AB46" i="2"/>
  <c r="E46" i="3"/>
  <c r="O46" i="2"/>
  <c r="D46" i="3"/>
  <c r="N46" i="2"/>
  <c r="C46" i="3"/>
  <c r="M46" i="2"/>
  <c r="B46" i="3"/>
  <c r="L46" i="2"/>
  <c r="G45" i="3"/>
  <c r="AC45" i="2"/>
  <c r="F45" i="3"/>
  <c r="AB45" i="2"/>
  <c r="E45" i="3"/>
  <c r="D45" i="3"/>
  <c r="C45" i="3"/>
  <c r="B45" i="3"/>
  <c r="L45" i="2"/>
  <c r="G44" i="3"/>
  <c r="AC44" i="2"/>
  <c r="F44" i="3"/>
  <c r="AB44" i="2"/>
  <c r="E44" i="3"/>
  <c r="O44" i="2"/>
  <c r="D44" i="3"/>
  <c r="N44" i="2"/>
  <c r="C44" i="3"/>
  <c r="M44" i="2"/>
  <c r="B44" i="3"/>
  <c r="L44" i="2"/>
  <c r="G43" i="3"/>
  <c r="AC43" i="2"/>
  <c r="F43" i="3"/>
  <c r="AB43" i="2"/>
  <c r="E43" i="3"/>
  <c r="D43" i="3"/>
  <c r="C43" i="3"/>
  <c r="B43" i="3"/>
  <c r="L43" i="2"/>
  <c r="G42" i="3"/>
  <c r="AC42" i="2"/>
  <c r="F42" i="3"/>
  <c r="AB42" i="2"/>
  <c r="E42" i="3"/>
  <c r="O42" i="2"/>
  <c r="D42" i="3"/>
  <c r="N42" i="2"/>
  <c r="C42" i="3"/>
  <c r="M42" i="2"/>
  <c r="B42" i="3"/>
  <c r="L42" i="2"/>
  <c r="G41" i="3"/>
  <c r="AC41" i="2"/>
  <c r="F41" i="3"/>
  <c r="AB41" i="2"/>
  <c r="E41" i="3"/>
  <c r="D41" i="3"/>
  <c r="C41" i="3"/>
  <c r="M41" i="2"/>
  <c r="B41" i="3"/>
  <c r="L41" i="2"/>
  <c r="G40" i="3"/>
  <c r="AC40" i="2"/>
  <c r="F40" i="3"/>
  <c r="AB40" i="2"/>
  <c r="E40" i="3"/>
  <c r="O40" i="2"/>
  <c r="D40" i="3"/>
  <c r="N40" i="2"/>
  <c r="C40" i="3"/>
  <c r="M40" i="2"/>
  <c r="B40" i="3"/>
  <c r="L40" i="2"/>
  <c r="G39" i="3"/>
  <c r="AC39" i="2"/>
  <c r="F39" i="3"/>
  <c r="AB39" i="2"/>
  <c r="E39" i="3"/>
  <c r="D39" i="3"/>
  <c r="C39" i="3"/>
  <c r="M39" i="2"/>
  <c r="B39" i="3"/>
  <c r="L39" i="2"/>
  <c r="G38" i="3"/>
  <c r="AC38" i="2"/>
  <c r="F38" i="3"/>
  <c r="AB38" i="2"/>
  <c r="E38" i="3"/>
  <c r="O38" i="2"/>
  <c r="D38" i="3"/>
  <c r="N38" i="2"/>
  <c r="C38" i="3"/>
  <c r="M38" i="2"/>
  <c r="B38" i="3"/>
  <c r="L38" i="2"/>
  <c r="G37" i="3"/>
  <c r="AC37" i="2"/>
  <c r="F37" i="3"/>
  <c r="AB37" i="2"/>
  <c r="E37" i="3"/>
  <c r="D37" i="3"/>
  <c r="C37" i="3"/>
  <c r="M37" i="2"/>
  <c r="B37" i="3"/>
  <c r="L37" i="2"/>
  <c r="G36" i="3"/>
  <c r="AC36" i="2"/>
  <c r="F36" i="3"/>
  <c r="AB36" i="2"/>
  <c r="E36" i="3"/>
  <c r="O36" i="2"/>
  <c r="D36" i="3"/>
  <c r="N36" i="2"/>
  <c r="C36" i="3"/>
  <c r="M36" i="2"/>
  <c r="B36" i="3"/>
  <c r="L36" i="2"/>
  <c r="G35" i="3"/>
  <c r="AC35" i="2"/>
  <c r="F35" i="3"/>
  <c r="AB35" i="2"/>
  <c r="E35" i="3"/>
  <c r="D35" i="3"/>
  <c r="C35" i="3"/>
  <c r="M35" i="2"/>
  <c r="B35" i="3"/>
  <c r="L35" i="2"/>
  <c r="G34" i="3"/>
  <c r="AC34" i="2"/>
  <c r="F34" i="3"/>
  <c r="AB34" i="2"/>
  <c r="E34" i="3"/>
  <c r="O34" i="2"/>
  <c r="D34" i="3"/>
  <c r="N34" i="2"/>
  <c r="C34" i="3"/>
  <c r="M34" i="2"/>
  <c r="B34" i="3"/>
  <c r="L34" i="2"/>
  <c r="G33" i="3"/>
  <c r="AC33" i="2"/>
  <c r="F33" i="3"/>
  <c r="AB33" i="2"/>
  <c r="E33" i="3"/>
  <c r="D33" i="3"/>
  <c r="N33" i="2"/>
  <c r="C33" i="3"/>
  <c r="M33" i="2"/>
  <c r="B33" i="3"/>
  <c r="L33" i="2"/>
  <c r="G32" i="3"/>
  <c r="AC32" i="2"/>
  <c r="F32" i="3"/>
  <c r="AB32" i="2"/>
  <c r="E32" i="3"/>
  <c r="O32" i="2"/>
  <c r="D32" i="3"/>
  <c r="N32" i="2"/>
  <c r="C32" i="3"/>
  <c r="M32" i="2"/>
  <c r="B32" i="3"/>
  <c r="L32" i="2"/>
  <c r="G31" i="3"/>
  <c r="AC31" i="2"/>
  <c r="F31" i="3"/>
  <c r="AB31" i="2"/>
  <c r="E31" i="3"/>
  <c r="D31" i="3"/>
  <c r="N31" i="2"/>
  <c r="C31" i="3"/>
  <c r="M31" i="2"/>
  <c r="B31" i="3"/>
  <c r="L31" i="2"/>
  <c r="G30" i="3"/>
  <c r="AC30" i="2"/>
  <c r="F30" i="3"/>
  <c r="AB30" i="2"/>
  <c r="E30" i="3"/>
  <c r="O30" i="2"/>
  <c r="D30" i="3"/>
  <c r="N30" i="2"/>
  <c r="C30" i="3"/>
  <c r="M30" i="2"/>
  <c r="B30" i="3"/>
  <c r="L30" i="2"/>
  <c r="G29" i="3"/>
  <c r="AC29" i="2"/>
  <c r="F29" i="3"/>
  <c r="AB29" i="2"/>
  <c r="E29" i="3"/>
  <c r="D29" i="3"/>
  <c r="N29" i="2"/>
  <c r="C29" i="3"/>
  <c r="M29" i="2"/>
  <c r="B29" i="3"/>
  <c r="L29" i="2"/>
  <c r="G28" i="3"/>
  <c r="AC28" i="2"/>
  <c r="F28" i="3"/>
  <c r="AB28" i="2"/>
  <c r="E28" i="3"/>
  <c r="O28" i="2"/>
  <c r="D28" i="3"/>
  <c r="N28" i="2"/>
  <c r="C28" i="3"/>
  <c r="M28" i="2"/>
  <c r="B28" i="3"/>
  <c r="L28" i="2"/>
  <c r="G27" i="3"/>
  <c r="AC27" i="2"/>
  <c r="F27" i="3"/>
  <c r="AB27" i="2"/>
  <c r="E27" i="3"/>
  <c r="D27" i="3"/>
  <c r="N27" i="2"/>
  <c r="C27" i="3"/>
  <c r="B27" i="3"/>
  <c r="L27" i="2"/>
  <c r="G26" i="3"/>
  <c r="AC26" i="2"/>
  <c r="F26" i="3"/>
  <c r="AB26" i="2"/>
  <c r="E26" i="3"/>
  <c r="O26" i="2"/>
  <c r="D26" i="3"/>
  <c r="N26" i="2"/>
  <c r="C26" i="3"/>
  <c r="B26" i="3"/>
  <c r="L26" i="2"/>
  <c r="G25" i="3"/>
  <c r="AC25" i="2"/>
  <c r="F25" i="3"/>
  <c r="AB25" i="2"/>
  <c r="E25" i="3"/>
  <c r="D25" i="3"/>
  <c r="N25" i="2"/>
  <c r="C25" i="3"/>
  <c r="B25" i="3"/>
  <c r="L25" i="2"/>
  <c r="G24" i="3"/>
  <c r="AC24" i="2"/>
  <c r="F24" i="3"/>
  <c r="AB24" i="2"/>
  <c r="E24" i="3"/>
  <c r="O24" i="2"/>
  <c r="D24" i="3"/>
  <c r="N24" i="2"/>
  <c r="C24" i="3"/>
  <c r="B24" i="3"/>
  <c r="L24" i="2"/>
  <c r="G23" i="3"/>
  <c r="AC23" i="2"/>
  <c r="F23" i="3"/>
  <c r="AB23" i="2"/>
  <c r="E23" i="3"/>
  <c r="D23" i="3"/>
  <c r="N23" i="2"/>
  <c r="C23" i="3"/>
  <c r="B23" i="3"/>
  <c r="L23" i="2"/>
  <c r="G22" i="3"/>
  <c r="AC22" i="2"/>
  <c r="F22" i="3"/>
  <c r="AB22" i="2"/>
  <c r="E22" i="3"/>
  <c r="O22" i="2"/>
  <c r="D22" i="3"/>
  <c r="N22" i="2"/>
  <c r="C22" i="3"/>
  <c r="B22" i="3"/>
  <c r="L22" i="2"/>
  <c r="G21" i="3"/>
  <c r="AC21" i="2"/>
  <c r="F21" i="3"/>
  <c r="AB21" i="2"/>
  <c r="E21" i="3"/>
  <c r="D21" i="3"/>
  <c r="N21" i="2"/>
  <c r="C21" i="3"/>
  <c r="B21" i="3"/>
  <c r="L21" i="2"/>
  <c r="G20" i="3"/>
  <c r="AC20" i="2"/>
  <c r="F20" i="3"/>
  <c r="AB20" i="2"/>
  <c r="E20" i="3"/>
  <c r="O20" i="2"/>
  <c r="D20" i="3"/>
  <c r="N20" i="2"/>
  <c r="C20" i="3"/>
  <c r="B20" i="3"/>
  <c r="L20" i="2"/>
  <c r="G19" i="3"/>
  <c r="AC19" i="2"/>
  <c r="F19" i="3"/>
  <c r="AB19" i="2"/>
  <c r="E19" i="3"/>
  <c r="D19" i="3"/>
  <c r="N19" i="2"/>
  <c r="C19" i="3"/>
  <c r="B19" i="3"/>
  <c r="L19" i="2"/>
  <c r="G18" i="3"/>
  <c r="AC18" i="2"/>
  <c r="F18" i="3"/>
  <c r="AB18" i="2"/>
  <c r="E18" i="3"/>
  <c r="O18" i="2"/>
  <c r="D18" i="3"/>
  <c r="N18" i="2"/>
  <c r="C18" i="3"/>
  <c r="B18" i="3"/>
  <c r="L18" i="2"/>
  <c r="G17" i="3"/>
  <c r="AC17" i="2"/>
  <c r="F17" i="3"/>
  <c r="AB17" i="2"/>
  <c r="E17" i="3"/>
  <c r="O17" i="2"/>
  <c r="D17" i="3"/>
  <c r="N17" i="2"/>
  <c r="C17" i="3"/>
  <c r="B17" i="3"/>
  <c r="L17" i="2"/>
  <c r="G16" i="3"/>
  <c r="AC16" i="2"/>
  <c r="F16" i="3"/>
  <c r="AB16" i="2"/>
  <c r="E16" i="3"/>
  <c r="O16" i="2"/>
  <c r="D16" i="3"/>
  <c r="N16" i="2"/>
  <c r="C16" i="3"/>
  <c r="B16" i="3"/>
  <c r="L16" i="2"/>
  <c r="G15" i="3"/>
  <c r="AC15" i="2"/>
  <c r="F15" i="3"/>
  <c r="AB15" i="2"/>
  <c r="E15" i="3"/>
  <c r="O15" i="2"/>
  <c r="D15" i="3"/>
  <c r="N15" i="2"/>
  <c r="C15" i="3"/>
  <c r="B15" i="3"/>
  <c r="L15" i="2"/>
  <c r="G14" i="3"/>
  <c r="AC14" i="2"/>
  <c r="F14" i="3"/>
  <c r="AB14" i="2"/>
  <c r="E14" i="3"/>
  <c r="O14" i="2"/>
  <c r="D14" i="3"/>
  <c r="N14" i="2"/>
  <c r="C14" i="3"/>
  <c r="B14" i="3"/>
  <c r="L14" i="2"/>
  <c r="G13" i="3"/>
  <c r="AC13" i="2"/>
  <c r="F13" i="3"/>
  <c r="AB13" i="2"/>
  <c r="E13" i="3"/>
  <c r="O13" i="2"/>
  <c r="D13" i="3"/>
  <c r="N13" i="2"/>
  <c r="C13" i="3"/>
  <c r="B13" i="3"/>
  <c r="L13" i="2"/>
  <c r="G12" i="3"/>
  <c r="AC12" i="2"/>
  <c r="F12" i="3"/>
  <c r="AB12" i="2"/>
  <c r="E12" i="3"/>
  <c r="O12" i="2"/>
  <c r="D12" i="3"/>
  <c r="N12" i="2"/>
  <c r="C12" i="3"/>
  <c r="B12" i="3"/>
  <c r="L12" i="2"/>
  <c r="G11" i="3"/>
  <c r="AC11" i="2"/>
  <c r="F11" i="3"/>
  <c r="AB11" i="2"/>
  <c r="E11" i="3"/>
  <c r="O11" i="2"/>
  <c r="D11" i="3"/>
  <c r="N11" i="2"/>
  <c r="C11" i="3"/>
  <c r="B11" i="3"/>
  <c r="L11" i="2"/>
  <c r="G10" i="3"/>
  <c r="AC10" i="2"/>
  <c r="F10" i="3"/>
  <c r="AB10" i="2"/>
  <c r="E10" i="3"/>
  <c r="O10" i="2"/>
  <c r="D10" i="3"/>
  <c r="N10" i="2"/>
  <c r="C10" i="3"/>
  <c r="M10" i="2"/>
  <c r="B10" i="3"/>
  <c r="L10" i="2"/>
  <c r="G9" i="3"/>
  <c r="AC9" i="2"/>
  <c r="F9" i="3"/>
  <c r="AB9" i="2"/>
  <c r="E9" i="3"/>
  <c r="O9" i="2"/>
  <c r="D9" i="3"/>
  <c r="N9" i="2"/>
  <c r="C9" i="3"/>
  <c r="M9" i="2"/>
  <c r="B9" i="3"/>
  <c r="L9" i="2"/>
  <c r="G8" i="3"/>
  <c r="AC8" i="2"/>
  <c r="F8" i="3"/>
  <c r="AB8" i="2"/>
  <c r="E8" i="3"/>
  <c r="O8" i="2"/>
  <c r="D8" i="3"/>
  <c r="N8" i="2"/>
  <c r="C8" i="3"/>
  <c r="B8" i="3"/>
  <c r="L8" i="2"/>
  <c r="G7" i="3"/>
  <c r="AC7" i="2"/>
  <c r="F7" i="3"/>
  <c r="AB7" i="2"/>
  <c r="E7" i="3"/>
  <c r="O7" i="2"/>
  <c r="D7" i="3"/>
  <c r="N7" i="2"/>
  <c r="C7" i="3"/>
  <c r="M7" i="2"/>
  <c r="B7" i="3"/>
  <c r="L7" i="2"/>
  <c r="G6" i="3"/>
  <c r="AC6" i="2"/>
  <c r="F6" i="3"/>
  <c r="AB6" i="2"/>
  <c r="E6" i="3"/>
  <c r="O6" i="2"/>
  <c r="D6" i="3"/>
  <c r="N6" i="2"/>
  <c r="C6" i="3"/>
  <c r="M6" i="2"/>
  <c r="B6" i="3"/>
  <c r="L6" i="2"/>
  <c r="G5" i="3"/>
  <c r="AC5" i="2"/>
  <c r="F5" i="3"/>
  <c r="AB5" i="2"/>
  <c r="E5" i="3"/>
  <c r="O5" i="2"/>
  <c r="D5" i="3"/>
  <c r="N5" i="2"/>
  <c r="C5" i="3"/>
  <c r="B5" i="3"/>
  <c r="L5" i="2"/>
  <c r="G4" i="3"/>
  <c r="AC4" i="2"/>
  <c r="F4" i="3"/>
  <c r="AB4" i="2"/>
  <c r="E4" i="3"/>
  <c r="O4" i="2"/>
  <c r="D4" i="3"/>
  <c r="N4" i="2"/>
  <c r="C4" i="3"/>
  <c r="M4" i="2"/>
  <c r="N180" i="2"/>
  <c r="N182" i="2"/>
  <c r="N184" i="2"/>
  <c r="N186" i="2"/>
  <c r="N188" i="2"/>
  <c r="N190" i="2"/>
  <c r="N192" i="2"/>
  <c r="N194" i="2"/>
  <c r="N196" i="2"/>
  <c r="N198" i="2"/>
  <c r="N200" i="2"/>
  <c r="N202" i="2"/>
  <c r="N204" i="2"/>
  <c r="N206" i="2"/>
  <c r="N208" i="2"/>
  <c r="N210" i="2"/>
  <c r="N212" i="2"/>
  <c r="O143" i="2"/>
  <c r="O149" i="2"/>
  <c r="N214" i="2"/>
  <c r="N216" i="2"/>
  <c r="N218" i="2"/>
  <c r="N220" i="2"/>
  <c r="N222" i="2"/>
  <c r="N224" i="2"/>
  <c r="N226" i="2"/>
  <c r="N228" i="2"/>
  <c r="N230" i="2"/>
  <c r="N232" i="2"/>
  <c r="N234" i="2"/>
  <c r="P234" i="2"/>
  <c r="N236" i="2"/>
  <c r="N238" i="2"/>
  <c r="N240" i="2"/>
  <c r="N242" i="2"/>
  <c r="N244" i="2"/>
  <c r="N246" i="2"/>
  <c r="N248" i="2"/>
  <c r="N250" i="2"/>
  <c r="N252" i="2"/>
  <c r="N254" i="2"/>
  <c r="N256" i="2"/>
  <c r="N258" i="2"/>
  <c r="P258" i="2"/>
  <c r="N260" i="2"/>
  <c r="N262" i="2"/>
  <c r="N264" i="2"/>
  <c r="N266" i="2"/>
  <c r="N268" i="2"/>
  <c r="N270" i="2"/>
  <c r="N272" i="2"/>
  <c r="N274" i="2"/>
  <c r="N276" i="2"/>
  <c r="N278" i="2"/>
  <c r="N280" i="2"/>
  <c r="N282" i="2"/>
  <c r="P282" i="2"/>
  <c r="N284" i="2"/>
  <c r="N286" i="2"/>
  <c r="N288" i="2"/>
  <c r="N290" i="2"/>
  <c r="N292" i="2"/>
  <c r="N294" i="2"/>
  <c r="N296" i="2"/>
  <c r="N298" i="2"/>
  <c r="N300" i="2"/>
  <c r="N302" i="2"/>
  <c r="N304" i="2"/>
  <c r="N306" i="2"/>
  <c r="P306" i="2"/>
  <c r="N308" i="2"/>
  <c r="N310" i="2"/>
  <c r="N312" i="2"/>
  <c r="N314" i="2"/>
  <c r="N316" i="2"/>
  <c r="N318" i="2"/>
  <c r="N320" i="2"/>
  <c r="N322" i="2"/>
  <c r="N324" i="2"/>
  <c r="N326" i="2"/>
  <c r="N328" i="2"/>
  <c r="N330" i="2"/>
  <c r="N332" i="2"/>
  <c r="N334" i="2"/>
  <c r="N336" i="2"/>
  <c r="N338" i="2"/>
  <c r="N340" i="2"/>
  <c r="N342" i="2"/>
  <c r="N344" i="2"/>
  <c r="N346" i="2"/>
  <c r="N348" i="2"/>
  <c r="N350" i="2"/>
  <c r="N352" i="2"/>
  <c r="N354" i="2"/>
  <c r="N356" i="2"/>
  <c r="N358" i="2"/>
  <c r="N360" i="2"/>
  <c r="N362" i="2"/>
  <c r="N364" i="2"/>
  <c r="N366" i="2"/>
  <c r="N368" i="2"/>
  <c r="N370" i="2"/>
  <c r="N372" i="2"/>
  <c r="N374" i="2"/>
  <c r="N376" i="2"/>
  <c r="N378" i="2"/>
  <c r="N380" i="2"/>
  <c r="N382" i="2"/>
  <c r="M620" i="2"/>
  <c r="K128" i="2"/>
  <c r="K193" i="2"/>
  <c r="N384" i="2"/>
  <c r="N386" i="2"/>
  <c r="N388" i="2"/>
  <c r="N390" i="2"/>
  <c r="N392" i="2"/>
  <c r="N394" i="2"/>
  <c r="N396" i="2"/>
  <c r="N398" i="2"/>
  <c r="N400" i="2"/>
  <c r="N402" i="2"/>
  <c r="N404" i="2"/>
  <c r="N406" i="2"/>
  <c r="N408" i="2"/>
  <c r="N410" i="2"/>
  <c r="N412" i="2"/>
  <c r="N414" i="2"/>
  <c r="N416" i="2"/>
  <c r="N418" i="2"/>
  <c r="N420" i="2"/>
  <c r="N422" i="2"/>
  <c r="N424" i="2"/>
  <c r="N426" i="2"/>
  <c r="N428" i="2"/>
  <c r="N430" i="2"/>
  <c r="N432" i="2"/>
  <c r="N434" i="2"/>
  <c r="N436" i="2"/>
  <c r="N438" i="2"/>
  <c r="N440" i="2"/>
  <c r="N442" i="2"/>
  <c r="N444" i="2"/>
  <c r="P444" i="2"/>
  <c r="N446" i="2"/>
  <c r="N448" i="2"/>
  <c r="N450" i="2"/>
  <c r="N452" i="2"/>
  <c r="N454" i="2"/>
  <c r="N456" i="2"/>
  <c r="N458" i="2"/>
  <c r="N460" i="2"/>
  <c r="N462" i="2"/>
  <c r="N464" i="2"/>
  <c r="N466" i="2"/>
  <c r="N468" i="2"/>
  <c r="N470" i="2"/>
  <c r="N472" i="2"/>
  <c r="N474" i="2"/>
  <c r="N506" i="2"/>
  <c r="N508" i="2"/>
  <c r="N510" i="2"/>
  <c r="N512" i="2"/>
  <c r="N514" i="2"/>
  <c r="N516" i="2"/>
  <c r="N518" i="2"/>
  <c r="N520" i="2"/>
  <c r="N522" i="2"/>
  <c r="N524" i="2"/>
  <c r="N526" i="2"/>
  <c r="N528" i="2"/>
  <c r="N530" i="2"/>
  <c r="N532" i="2"/>
  <c r="N534" i="2"/>
  <c r="N536" i="2"/>
  <c r="N538" i="2"/>
  <c r="N540" i="2"/>
  <c r="N542" i="2"/>
  <c r="N582" i="2"/>
  <c r="N584" i="2"/>
  <c r="N586" i="2"/>
  <c r="N588" i="2"/>
  <c r="N590" i="2"/>
  <c r="N592" i="2"/>
  <c r="N594" i="2"/>
  <c r="N596" i="2"/>
  <c r="N598" i="2"/>
  <c r="N600" i="2"/>
  <c r="N602" i="2"/>
  <c r="N604" i="2"/>
  <c r="N606" i="2"/>
  <c r="N608" i="2"/>
  <c r="P608" i="2"/>
  <c r="N610" i="2"/>
  <c r="N612" i="2"/>
  <c r="N614" i="2"/>
  <c r="N616" i="2"/>
  <c r="N618" i="2"/>
  <c r="K149" i="2"/>
  <c r="E5" i="5"/>
  <c r="N642" i="2"/>
  <c r="N636" i="2"/>
  <c r="K166" i="2"/>
  <c r="K366" i="2"/>
  <c r="K422" i="2"/>
  <c r="K426" i="2"/>
  <c r="M623" i="2"/>
  <c r="K55" i="2"/>
  <c r="K103" i="2"/>
  <c r="K145" i="2"/>
  <c r="K177" i="2"/>
  <c r="K450" i="2"/>
  <c r="K454" i="2"/>
  <c r="K120" i="2"/>
  <c r="K137" i="2"/>
  <c r="K459" i="2"/>
  <c r="K461" i="2"/>
  <c r="K577" i="2"/>
  <c r="O648" i="2"/>
  <c r="O642" i="2"/>
  <c r="O636" i="2"/>
  <c r="K371" i="2"/>
  <c r="L338" i="2"/>
  <c r="P338" i="2"/>
  <c r="L339" i="2"/>
  <c r="L340" i="2"/>
  <c r="L341" i="2"/>
  <c r="L342" i="2"/>
  <c r="L343" i="2"/>
  <c r="L344" i="2"/>
  <c r="P344" i="2"/>
  <c r="L345" i="2"/>
  <c r="L346" i="2"/>
  <c r="L347" i="2"/>
  <c r="L348" i="2"/>
  <c r="L349" i="2"/>
  <c r="L350" i="2"/>
  <c r="P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3" i="2"/>
  <c r="L375" i="2"/>
  <c r="L377" i="2"/>
  <c r="L379" i="2"/>
  <c r="L381" i="2"/>
  <c r="L383" i="2"/>
  <c r="E20" i="5"/>
  <c r="C16" i="5"/>
  <c r="E14" i="5"/>
  <c r="C10" i="5"/>
  <c r="E8" i="5"/>
  <c r="M5" i="2"/>
  <c r="M8" i="2"/>
  <c r="M11" i="2"/>
  <c r="O19" i="2"/>
  <c r="O21" i="2"/>
  <c r="O23" i="2"/>
  <c r="O25" i="2"/>
  <c r="O27" i="2"/>
  <c r="O29" i="2"/>
  <c r="O31" i="2"/>
  <c r="P31" i="2"/>
  <c r="O33" i="2"/>
  <c r="O35" i="2"/>
  <c r="O37" i="2"/>
  <c r="O39" i="2"/>
  <c r="O41" i="2"/>
  <c r="O43" i="2"/>
  <c r="O45" i="2"/>
  <c r="O47" i="2"/>
  <c r="O49" i="2"/>
  <c r="O51" i="2"/>
  <c r="O53" i="2"/>
  <c r="O56" i="2"/>
  <c r="P56" i="2"/>
  <c r="O58" i="2"/>
  <c r="O60" i="2"/>
  <c r="O62" i="2"/>
  <c r="O64" i="2"/>
  <c r="O66" i="2"/>
  <c r="O68" i="2"/>
  <c r="O70" i="2"/>
  <c r="O72" i="2"/>
  <c r="O74" i="2"/>
  <c r="O76" i="2"/>
  <c r="O78" i="2"/>
  <c r="O80" i="2"/>
  <c r="P80" i="2"/>
  <c r="O82" i="2"/>
  <c r="O84" i="2"/>
  <c r="O86" i="2"/>
  <c r="O88" i="2"/>
  <c r="O90" i="2"/>
  <c r="O92" i="2"/>
  <c r="P92" i="2"/>
  <c r="O94" i="2"/>
  <c r="O96" i="2"/>
  <c r="O98" i="2"/>
  <c r="O101" i="2"/>
  <c r="O104" i="2"/>
  <c r="O107" i="2"/>
  <c r="O110" i="2"/>
  <c r="O113" i="2"/>
  <c r="O116" i="2"/>
  <c r="K124" i="2"/>
  <c r="M441" i="2"/>
  <c r="M443" i="2"/>
  <c r="P443" i="2"/>
  <c r="M445" i="2"/>
  <c r="M447" i="2"/>
  <c r="M449" i="2"/>
  <c r="M451" i="2"/>
  <c r="M453" i="2"/>
  <c r="M455" i="2"/>
  <c r="M457" i="2"/>
  <c r="M506" i="2"/>
  <c r="P506" i="2"/>
  <c r="M508" i="2"/>
  <c r="M510" i="2"/>
  <c r="M512" i="2"/>
  <c r="M514" i="2"/>
  <c r="M516" i="2"/>
  <c r="M518" i="2"/>
  <c r="M520" i="2"/>
  <c r="M522" i="2"/>
  <c r="M524" i="2"/>
  <c r="M526" i="2"/>
  <c r="P526" i="2"/>
  <c r="M528" i="2"/>
  <c r="M530" i="2"/>
  <c r="M532" i="2"/>
  <c r="M534" i="2"/>
  <c r="M536" i="2"/>
  <c r="M538" i="2"/>
  <c r="P538" i="2"/>
  <c r="M540" i="2"/>
  <c r="M542" i="2"/>
  <c r="M544" i="2"/>
  <c r="M546" i="2"/>
  <c r="M548" i="2"/>
  <c r="M550" i="2"/>
  <c r="M552" i="2"/>
  <c r="M554" i="2"/>
  <c r="M556" i="2"/>
  <c r="M558" i="2"/>
  <c r="M560" i="2"/>
  <c r="M562" i="2"/>
  <c r="M564" i="2"/>
  <c r="M566" i="2"/>
  <c r="M568" i="2"/>
  <c r="M570" i="2"/>
  <c r="M572" i="2"/>
  <c r="M574" i="2"/>
  <c r="M576" i="2"/>
  <c r="M578" i="2"/>
  <c r="M580" i="2"/>
  <c r="M617" i="2"/>
  <c r="M619" i="2"/>
  <c r="K151" i="2"/>
  <c r="K153" i="2"/>
  <c r="K155" i="2"/>
  <c r="K159" i="2"/>
  <c r="K163" i="2"/>
  <c r="K165" i="2"/>
  <c r="K167" i="2"/>
  <c r="K175" i="2"/>
  <c r="K372" i="2"/>
  <c r="K376" i="2"/>
  <c r="K384" i="2"/>
  <c r="K396" i="2"/>
  <c r="K398" i="2"/>
  <c r="K402" i="2"/>
  <c r="K406" i="2"/>
  <c r="K410" i="2"/>
  <c r="K418" i="2"/>
  <c r="K568" i="2"/>
  <c r="K582" i="2"/>
  <c r="N640" i="2"/>
  <c r="N373" i="2"/>
  <c r="N375" i="2"/>
  <c r="N377" i="2"/>
  <c r="N379" i="2"/>
  <c r="N381" i="2"/>
  <c r="P381" i="2"/>
  <c r="N383" i="2"/>
  <c r="N385" i="2"/>
  <c r="N387" i="2"/>
  <c r="N389" i="2"/>
  <c r="N391" i="2"/>
  <c r="N393" i="2"/>
  <c r="P393" i="2"/>
  <c r="N395" i="2"/>
  <c r="N397" i="2"/>
  <c r="N399" i="2"/>
  <c r="N401" i="2"/>
  <c r="N403" i="2"/>
  <c r="N405" i="2"/>
  <c r="N407" i="2"/>
  <c r="N409" i="2"/>
  <c r="N411" i="2"/>
  <c r="N413" i="2"/>
  <c r="N415" i="2"/>
  <c r="N417" i="2"/>
  <c r="P417" i="2"/>
  <c r="N419" i="2"/>
  <c r="N421" i="2"/>
  <c r="N423" i="2"/>
  <c r="N425" i="2"/>
  <c r="N427" i="2"/>
  <c r="N429" i="2"/>
  <c r="N431" i="2"/>
  <c r="N476" i="2"/>
  <c r="N478" i="2"/>
  <c r="N480" i="2"/>
  <c r="N482" i="2"/>
  <c r="N484" i="2"/>
  <c r="P484" i="2"/>
  <c r="N486" i="2"/>
  <c r="N488" i="2"/>
  <c r="N490" i="2"/>
  <c r="N492" i="2"/>
  <c r="N494" i="2"/>
  <c r="N496" i="2"/>
  <c r="P496" i="2"/>
  <c r="N498" i="2"/>
  <c r="N500" i="2"/>
  <c r="N502" i="2"/>
  <c r="N504" i="2"/>
  <c r="N605" i="2"/>
  <c r="N607" i="2"/>
  <c r="N609" i="2"/>
  <c r="N611" i="2"/>
  <c r="N613" i="2"/>
  <c r="N615" i="2"/>
  <c r="K256" i="2"/>
  <c r="K264" i="2"/>
  <c r="K272" i="2"/>
  <c r="K354" i="2"/>
  <c r="K539" i="2"/>
  <c r="K545" i="2"/>
  <c r="K547" i="2"/>
  <c r="K549" i="2"/>
  <c r="K553" i="2"/>
  <c r="K555" i="2"/>
  <c r="K557" i="2"/>
  <c r="K559" i="2"/>
  <c r="K561" i="2"/>
  <c r="K567" i="2"/>
  <c r="O307" i="2"/>
  <c r="O309" i="2"/>
  <c r="O311" i="2"/>
  <c r="O313" i="2"/>
  <c r="O315" i="2"/>
  <c r="O317" i="2"/>
  <c r="P317" i="2"/>
  <c r="O319" i="2"/>
  <c r="O321" i="2"/>
  <c r="O323" i="2"/>
  <c r="O325" i="2"/>
  <c r="O327" i="2"/>
  <c r="O329" i="2"/>
  <c r="P329" i="2"/>
  <c r="O331" i="2"/>
  <c r="O333" i="2"/>
  <c r="O335" i="2"/>
  <c r="O337" i="2"/>
  <c r="O339" i="2"/>
  <c r="O341" i="2"/>
  <c r="P341" i="2"/>
  <c r="O343" i="2"/>
  <c r="O345" i="2"/>
  <c r="O347" i="2"/>
  <c r="O349" i="2"/>
  <c r="O351" i="2"/>
  <c r="O353" i="2"/>
  <c r="O355" i="2"/>
  <c r="O357" i="2"/>
  <c r="O359" i="2"/>
  <c r="O361" i="2"/>
  <c r="O363" i="2"/>
  <c r="O365" i="2"/>
  <c r="P365" i="2"/>
  <c r="O367" i="2"/>
  <c r="O369" i="2"/>
  <c r="O371" i="2"/>
  <c r="O458" i="2"/>
  <c r="O460" i="2"/>
  <c r="O462" i="2"/>
  <c r="P462" i="2"/>
  <c r="O464" i="2"/>
  <c r="O466" i="2"/>
  <c r="O468" i="2"/>
  <c r="O470" i="2"/>
  <c r="O472" i="2"/>
  <c r="O474" i="2"/>
  <c r="P474" i="2"/>
  <c r="O581" i="2"/>
  <c r="O583" i="2"/>
  <c r="O585" i="2"/>
  <c r="O587" i="2"/>
  <c r="O589" i="2"/>
  <c r="O591" i="2"/>
  <c r="P591" i="2"/>
  <c r="O593" i="2"/>
  <c r="O595" i="2"/>
  <c r="O597" i="2"/>
  <c r="O599" i="2"/>
  <c r="O601" i="2"/>
  <c r="O603" i="2"/>
  <c r="O620" i="2"/>
  <c r="K221" i="2"/>
  <c r="K225" i="2"/>
  <c r="K229" i="2"/>
  <c r="K239" i="2"/>
  <c r="K241" i="2"/>
  <c r="K245" i="2"/>
  <c r="K255" i="2"/>
  <c r="K257" i="2"/>
  <c r="K259" i="2"/>
  <c r="K271" i="2"/>
  <c r="K283" i="2"/>
  <c r="K285" i="2"/>
  <c r="K289" i="2"/>
  <c r="K291" i="2"/>
  <c r="K293" i="2"/>
  <c r="K297" i="2"/>
  <c r="K299" i="2"/>
  <c r="K301" i="2"/>
  <c r="K303" i="2"/>
  <c r="K307" i="2"/>
  <c r="K315" i="2"/>
  <c r="K317" i="2"/>
  <c r="K327" i="2"/>
  <c r="K343" i="2"/>
  <c r="K349" i="2"/>
  <c r="K351" i="2"/>
  <c r="K458" i="2"/>
  <c r="L633" i="2"/>
  <c r="K107" i="2"/>
  <c r="K478" i="2"/>
  <c r="K482" i="2"/>
  <c r="K486" i="2"/>
  <c r="K488" i="2"/>
  <c r="K490" i="2"/>
  <c r="K494" i="2"/>
  <c r="K496" i="2"/>
  <c r="K498" i="2"/>
  <c r="K502" i="2"/>
  <c r="K607" i="2"/>
  <c r="K611" i="2"/>
  <c r="K624" i="2"/>
  <c r="V55" i="2"/>
  <c r="K441" i="2"/>
  <c r="K443" i="2"/>
  <c r="L101" i="2"/>
  <c r="P101" i="2"/>
  <c r="L104" i="2"/>
  <c r="L107" i="2"/>
  <c r="P107" i="2"/>
  <c r="M27" i="2"/>
  <c r="M13" i="2"/>
  <c r="K68" i="2"/>
  <c r="N59" i="2"/>
  <c r="N61" i="2"/>
  <c r="N63" i="2"/>
  <c r="P63" i="2"/>
  <c r="N65" i="2"/>
  <c r="N67" i="2"/>
  <c r="N69" i="2"/>
  <c r="N35" i="2"/>
  <c r="N37" i="2"/>
  <c r="N39" i="2"/>
  <c r="P39" i="2"/>
  <c r="N41" i="2"/>
  <c r="N55" i="2"/>
  <c r="N57" i="2"/>
  <c r="K70" i="2"/>
  <c r="K74" i="2"/>
  <c r="K76" i="2"/>
  <c r="K78" i="2"/>
  <c r="K80" i="2"/>
  <c r="K86" i="2"/>
  <c r="L95" i="2"/>
  <c r="L97" i="2"/>
  <c r="M14" i="2"/>
  <c r="P14" i="2"/>
  <c r="M16" i="2"/>
  <c r="M18" i="2"/>
  <c r="M20" i="2"/>
  <c r="P20" i="2"/>
  <c r="M22" i="2"/>
  <c r="M24" i="2"/>
  <c r="M26" i="2"/>
  <c r="P26" i="2"/>
  <c r="M12" i="2"/>
  <c r="K11" i="2"/>
  <c r="M15" i="2"/>
  <c r="P15" i="2"/>
  <c r="M17" i="2"/>
  <c r="M19" i="2"/>
  <c r="M21" i="2"/>
  <c r="M23" i="2"/>
  <c r="M25" i="2"/>
  <c r="P25" i="2"/>
  <c r="K17" i="2"/>
  <c r="K19" i="2"/>
  <c r="K27" i="2"/>
  <c r="K29" i="2"/>
  <c r="K9" i="2"/>
  <c r="K21" i="2"/>
  <c r="K394" i="2"/>
  <c r="L89" i="2"/>
  <c r="L91" i="2"/>
  <c r="L93" i="2"/>
  <c r="P93" i="2"/>
  <c r="L135" i="2"/>
  <c r="L137" i="2"/>
  <c r="L139" i="2"/>
  <c r="P139" i="2"/>
  <c r="L141" i="2"/>
  <c r="L143" i="2"/>
  <c r="L145" i="2"/>
  <c r="P145" i="2"/>
  <c r="L147" i="2"/>
  <c r="L149" i="2"/>
  <c r="L151" i="2"/>
  <c r="L153" i="2"/>
  <c r="L155" i="2"/>
  <c r="P155" i="2"/>
  <c r="L157" i="2"/>
  <c r="P157" i="2"/>
  <c r="L159" i="2"/>
  <c r="L161" i="2"/>
  <c r="L163" i="2"/>
  <c r="L165" i="2"/>
  <c r="L167" i="2"/>
  <c r="P167" i="2"/>
  <c r="L169" i="2"/>
  <c r="P169" i="2"/>
  <c r="L171" i="2"/>
  <c r="L173" i="2"/>
  <c r="L194" i="2"/>
  <c r="L196" i="2"/>
  <c r="L198" i="2"/>
  <c r="P198" i="2"/>
  <c r="L200" i="2"/>
  <c r="P200" i="2"/>
  <c r="L202" i="2"/>
  <c r="L204" i="2"/>
  <c r="L206" i="2"/>
  <c r="L208" i="2"/>
  <c r="L372" i="2"/>
  <c r="L374" i="2"/>
  <c r="P374" i="2"/>
  <c r="L376" i="2"/>
  <c r="L378" i="2"/>
  <c r="L380" i="2"/>
  <c r="P380" i="2"/>
  <c r="L382" i="2"/>
  <c r="L384" i="2"/>
  <c r="L386" i="2"/>
  <c r="P386" i="2"/>
  <c r="L388" i="2"/>
  <c r="L390" i="2"/>
  <c r="P390" i="2"/>
  <c r="L392" i="2"/>
  <c r="P392" i="2"/>
  <c r="L394" i="2"/>
  <c r="L396" i="2"/>
  <c r="L398" i="2"/>
  <c r="P398" i="2"/>
  <c r="L400" i="2"/>
  <c r="L402" i="2"/>
  <c r="L404" i="2"/>
  <c r="L406" i="2"/>
  <c r="L408" i="2"/>
  <c r="L410" i="2"/>
  <c r="P410" i="2"/>
  <c r="L412" i="2"/>
  <c r="L414" i="2"/>
  <c r="P414" i="2"/>
  <c r="L416" i="2"/>
  <c r="L418" i="2"/>
  <c r="L420" i="2"/>
  <c r="L422" i="2"/>
  <c r="P422" i="2"/>
  <c r="L424" i="2"/>
  <c r="L426" i="2"/>
  <c r="L428" i="2"/>
  <c r="L430" i="2"/>
  <c r="L432" i="2"/>
  <c r="L434" i="2"/>
  <c r="P434" i="2"/>
  <c r="L459" i="2"/>
  <c r="L461" i="2"/>
  <c r="L463" i="2"/>
  <c r="L465" i="2"/>
  <c r="L467" i="2"/>
  <c r="P467" i="2"/>
  <c r="L469" i="2"/>
  <c r="P469" i="2"/>
  <c r="L471" i="2"/>
  <c r="L473" i="2"/>
  <c r="K38" i="2"/>
  <c r="K40" i="2"/>
  <c r="K94" i="2"/>
  <c r="K209" i="2"/>
  <c r="K511" i="2"/>
  <c r="M43" i="2"/>
  <c r="M45" i="2"/>
  <c r="M47" i="2"/>
  <c r="M49" i="2"/>
  <c r="M51" i="2"/>
  <c r="P51" i="2"/>
  <c r="M53" i="2"/>
  <c r="M55" i="2"/>
  <c r="M57" i="2"/>
  <c r="M59" i="2"/>
  <c r="M81" i="2"/>
  <c r="M83" i="2"/>
  <c r="P83" i="2"/>
  <c r="M85" i="2"/>
  <c r="M87" i="2"/>
  <c r="M89" i="2"/>
  <c r="M91" i="2"/>
  <c r="M180" i="2"/>
  <c r="M182" i="2"/>
  <c r="P182" i="2"/>
  <c r="M184" i="2"/>
  <c r="M186" i="2"/>
  <c r="M188" i="2"/>
  <c r="M190" i="2"/>
  <c r="M192" i="2"/>
  <c r="M368" i="2"/>
  <c r="M370" i="2"/>
  <c r="M437" i="2"/>
  <c r="M439" i="2"/>
  <c r="M459" i="2"/>
  <c r="M461" i="2"/>
  <c r="M463" i="2"/>
  <c r="P463" i="2"/>
  <c r="M465" i="2"/>
  <c r="K233" i="2"/>
  <c r="N43" i="2"/>
  <c r="N45" i="2"/>
  <c r="N47" i="2"/>
  <c r="N49" i="2"/>
  <c r="N51" i="2"/>
  <c r="N53" i="2"/>
  <c r="N81" i="2"/>
  <c r="N83" i="2"/>
  <c r="N85" i="2"/>
  <c r="N87" i="2"/>
  <c r="P87" i="2"/>
  <c r="N142" i="2"/>
  <c r="N144" i="2"/>
  <c r="N146" i="2"/>
  <c r="N148" i="2"/>
  <c r="N150" i="2"/>
  <c r="P150" i="2"/>
  <c r="N152" i="2"/>
  <c r="P152" i="2"/>
  <c r="N154" i="2"/>
  <c r="N156" i="2"/>
  <c r="N158" i="2"/>
  <c r="P158" i="2"/>
  <c r="N160" i="2"/>
  <c r="N162" i="2"/>
  <c r="P162" i="2"/>
  <c r="N164" i="2"/>
  <c r="P164" i="2"/>
  <c r="N166" i="2"/>
  <c r="N168" i="2"/>
  <c r="N170" i="2"/>
  <c r="N172" i="2"/>
  <c r="N174" i="2"/>
  <c r="P174" i="2"/>
  <c r="N176" i="2"/>
  <c r="P176" i="2"/>
  <c r="N178" i="2"/>
  <c r="N433" i="2"/>
  <c r="N435" i="2"/>
  <c r="N451" i="2"/>
  <c r="N453" i="2"/>
  <c r="P453" i="2"/>
  <c r="N455" i="2"/>
  <c r="N457" i="2"/>
  <c r="N544" i="2"/>
  <c r="N546" i="2"/>
  <c r="N548" i="2"/>
  <c r="N550" i="2"/>
  <c r="N552" i="2"/>
  <c r="N554" i="2"/>
  <c r="N556" i="2"/>
  <c r="N558" i="2"/>
  <c r="N560" i="2"/>
  <c r="N562" i="2"/>
  <c r="N564" i="2"/>
  <c r="N566" i="2"/>
  <c r="N568" i="2"/>
  <c r="N570" i="2"/>
  <c r="N572" i="2"/>
  <c r="N574" i="2"/>
  <c r="N576" i="2"/>
  <c r="P576" i="2"/>
  <c r="N578" i="2"/>
  <c r="N580" i="2"/>
  <c r="N619" i="2"/>
  <c r="K53" i="2"/>
  <c r="K57" i="2"/>
  <c r="K59" i="2"/>
  <c r="K96" i="2"/>
  <c r="K182" i="2"/>
  <c r="K184" i="2"/>
  <c r="K195" i="2"/>
  <c r="K211" i="2"/>
  <c r="K439" i="2"/>
  <c r="K589" i="2"/>
  <c r="K595" i="2"/>
  <c r="K23" i="2"/>
  <c r="K101" i="2"/>
  <c r="K132" i="2"/>
  <c r="K210" i="2"/>
  <c r="K227" i="2"/>
  <c r="K235" i="2"/>
  <c r="K321" i="2"/>
  <c r="K335" i="2"/>
  <c r="K361" i="2"/>
  <c r="K471" i="2"/>
  <c r="K476" i="2"/>
  <c r="K510" i="2"/>
  <c r="K512" i="2"/>
  <c r="K514" i="2"/>
  <c r="K522" i="2"/>
  <c r="K524" i="2"/>
  <c r="K530" i="2"/>
  <c r="K563" i="2"/>
  <c r="K571" i="2"/>
  <c r="K584" i="2"/>
  <c r="K592" i="2"/>
  <c r="K602" i="2"/>
  <c r="K4" i="2"/>
  <c r="K37" i="2"/>
  <c r="K39" i="2"/>
  <c r="K46" i="2"/>
  <c r="K56" i="2"/>
  <c r="K69" i="2"/>
  <c r="K90" i="2"/>
  <c r="K111" i="2"/>
  <c r="K117" i="2"/>
  <c r="K136" i="2"/>
  <c r="K138" i="2"/>
  <c r="K143" i="2"/>
  <c r="K181" i="2"/>
  <c r="K185" i="2"/>
  <c r="K189" i="2"/>
  <c r="K222" i="2"/>
  <c r="K236" i="2"/>
  <c r="K238" i="2"/>
  <c r="K249" i="2"/>
  <c r="K251" i="2"/>
  <c r="K379" i="2"/>
  <c r="K381" i="2"/>
  <c r="K391" i="2"/>
  <c r="K417" i="2"/>
  <c r="K431" i="2"/>
  <c r="K436" i="2"/>
  <c r="K438" i="2"/>
  <c r="K466" i="2"/>
  <c r="K526" i="2"/>
  <c r="K534" i="2"/>
  <c r="K587" i="2"/>
  <c r="K604" i="2"/>
  <c r="K617" i="2"/>
  <c r="L573" i="2"/>
  <c r="L575" i="2"/>
  <c r="P575" i="2"/>
  <c r="L577" i="2"/>
  <c r="P577" i="2"/>
  <c r="L579" i="2"/>
  <c r="L584" i="2"/>
  <c r="L586" i="2"/>
  <c r="L588" i="2"/>
  <c r="L590" i="2"/>
  <c r="L592" i="2"/>
  <c r="L594" i="2"/>
  <c r="L596" i="2"/>
  <c r="L598" i="2"/>
  <c r="L600" i="2"/>
  <c r="L605" i="2"/>
  <c r="L607" i="2"/>
  <c r="L609" i="2"/>
  <c r="L611" i="2"/>
  <c r="L618" i="2"/>
  <c r="K3" i="2"/>
  <c r="K10" i="2"/>
  <c r="K12" i="2"/>
  <c r="K35" i="2"/>
  <c r="K62" i="2"/>
  <c r="K115" i="2"/>
  <c r="K142" i="2"/>
  <c r="K146" i="2"/>
  <c r="K148" i="2"/>
  <c r="K164" i="2"/>
  <c r="K168" i="2"/>
  <c r="K170" i="2"/>
  <c r="K172" i="2"/>
  <c r="K197" i="2"/>
  <c r="K205" i="2"/>
  <c r="K250" i="2"/>
  <c r="K254" i="2"/>
  <c r="K258" i="2"/>
  <c r="K260" i="2"/>
  <c r="K261" i="2"/>
  <c r="K262" i="2"/>
  <c r="K266" i="2"/>
  <c r="K270" i="2"/>
  <c r="K278" i="2"/>
  <c r="K284" i="2"/>
  <c r="K286" i="2"/>
  <c r="K292" i="2"/>
  <c r="K294" i="2"/>
  <c r="K304" i="2"/>
  <c r="K306" i="2"/>
  <c r="K312" i="2"/>
  <c r="K322" i="2"/>
  <c r="K324" i="2"/>
  <c r="K326" i="2"/>
  <c r="K330" i="2"/>
  <c r="K332" i="2"/>
  <c r="K338" i="2"/>
  <c r="K346" i="2"/>
  <c r="K348" i="2"/>
  <c r="K356" i="2"/>
  <c r="K362" i="2"/>
  <c r="K389" i="2"/>
  <c r="K401" i="2"/>
  <c r="K403" i="2"/>
  <c r="K409" i="2"/>
  <c r="K411" i="2"/>
  <c r="K433" i="2"/>
  <c r="K462" i="2"/>
  <c r="K470" i="2"/>
  <c r="K487" i="2"/>
  <c r="K495" i="2"/>
  <c r="K544" i="2"/>
  <c r="K564" i="2"/>
  <c r="K566" i="2"/>
  <c r="K574" i="2"/>
  <c r="K591" i="2"/>
  <c r="K657" i="2"/>
  <c r="K633" i="2"/>
  <c r="M582" i="2"/>
  <c r="P582" i="2"/>
  <c r="M584" i="2"/>
  <c r="M586" i="2"/>
  <c r="M588" i="2"/>
  <c r="M601" i="2"/>
  <c r="P601" i="2"/>
  <c r="M603" i="2"/>
  <c r="M612" i="2"/>
  <c r="M614" i="2"/>
  <c r="M616" i="2"/>
  <c r="M621" i="2"/>
  <c r="P621" i="2"/>
  <c r="M622" i="2"/>
  <c r="P622" i="2"/>
  <c r="K2" i="2"/>
  <c r="K20" i="2"/>
  <c r="K24" i="2"/>
  <c r="K32" i="2"/>
  <c r="K43" i="2"/>
  <c r="K45" i="2"/>
  <c r="K47" i="2"/>
  <c r="K51" i="2"/>
  <c r="K60" i="2"/>
  <c r="K102" i="2"/>
  <c r="K109" i="2"/>
  <c r="K131" i="2"/>
  <c r="K133" i="2"/>
  <c r="K154" i="2"/>
  <c r="K178" i="2"/>
  <c r="K187" i="2"/>
  <c r="K201" i="2"/>
  <c r="K213" i="2"/>
  <c r="K217" i="2"/>
  <c r="K300" i="2"/>
  <c r="K308" i="2"/>
  <c r="K316" i="2"/>
  <c r="K320" i="2"/>
  <c r="K340" i="2"/>
  <c r="K358" i="2"/>
  <c r="K387" i="2"/>
  <c r="K444" i="2"/>
  <c r="K446" i="2"/>
  <c r="K509" i="2"/>
  <c r="K517" i="2"/>
  <c r="K521" i="2"/>
  <c r="K523" i="2"/>
  <c r="K525" i="2"/>
  <c r="K529" i="2"/>
  <c r="K531" i="2"/>
  <c r="K537" i="2"/>
  <c r="K550" i="2"/>
  <c r="K601" i="2"/>
  <c r="K603" i="2"/>
  <c r="K614" i="2"/>
  <c r="K619" i="2"/>
  <c r="O650" i="2"/>
  <c r="O638" i="2"/>
  <c r="O626" i="2"/>
  <c r="E18" i="5"/>
  <c r="U346" i="1"/>
  <c r="E15" i="5"/>
  <c r="U286" i="1"/>
  <c r="C12" i="5"/>
  <c r="S225" i="1"/>
  <c r="E9" i="5"/>
  <c r="U163" i="1"/>
  <c r="C20" i="5"/>
  <c r="S389" i="1"/>
  <c r="C31" i="5"/>
  <c r="S587" i="1"/>
  <c r="E30" i="5"/>
  <c r="U570" i="1"/>
  <c r="C29" i="5"/>
  <c r="S551" i="1"/>
  <c r="C27" i="5"/>
  <c r="S506" i="1"/>
  <c r="E25" i="5"/>
  <c r="U486" i="1"/>
  <c r="C24" i="5"/>
  <c r="S467" i="1"/>
  <c r="E22" i="5"/>
  <c r="U426" i="1"/>
  <c r="E21" i="5"/>
  <c r="U411" i="1"/>
  <c r="E4" i="5"/>
  <c r="U66" i="1"/>
  <c r="E2" i="5"/>
  <c r="U22" i="1"/>
  <c r="D18" i="5"/>
  <c r="T346" i="1"/>
  <c r="D15" i="5"/>
  <c r="T286" i="1"/>
  <c r="D14" i="5"/>
  <c r="T265" i="1"/>
  <c r="D9" i="5"/>
  <c r="T163" i="1"/>
  <c r="D32" i="5"/>
  <c r="T609" i="1"/>
  <c r="D30" i="5"/>
  <c r="T570" i="1"/>
  <c r="D25" i="5"/>
  <c r="T486" i="1"/>
  <c r="D23" i="5"/>
  <c r="T447" i="1"/>
  <c r="D22" i="5"/>
  <c r="T426" i="1"/>
  <c r="D21" i="5"/>
  <c r="T411" i="1"/>
  <c r="D4" i="5"/>
  <c r="T66" i="1"/>
  <c r="D2" i="5"/>
  <c r="T22" i="1"/>
  <c r="E19" i="5"/>
  <c r="U368" i="1"/>
  <c r="C18" i="5"/>
  <c r="S346" i="1"/>
  <c r="E17" i="5"/>
  <c r="U329" i="1"/>
  <c r="C15" i="5"/>
  <c r="S286" i="1"/>
  <c r="C14" i="5"/>
  <c r="S265" i="1"/>
  <c r="E13" i="5"/>
  <c r="U245" i="1"/>
  <c r="E11" i="5"/>
  <c r="U206" i="1"/>
  <c r="C9" i="5"/>
  <c r="S163" i="1"/>
  <c r="E33" i="5"/>
  <c r="U631" i="1"/>
  <c r="C32" i="5"/>
  <c r="S609" i="1"/>
  <c r="C30" i="5"/>
  <c r="S570" i="1"/>
  <c r="E28" i="5"/>
  <c r="U529" i="1"/>
  <c r="E26" i="5"/>
  <c r="U487" i="1"/>
  <c r="C25" i="5"/>
  <c r="S486" i="1"/>
  <c r="C23" i="5"/>
  <c r="S447" i="1"/>
  <c r="C22" i="5"/>
  <c r="S426" i="1"/>
  <c r="C21" i="5"/>
  <c r="S411" i="1"/>
  <c r="D19" i="5"/>
  <c r="T368" i="1"/>
  <c r="D17" i="5"/>
  <c r="T329" i="1"/>
  <c r="D13" i="5"/>
  <c r="T245" i="1"/>
  <c r="D11" i="5"/>
  <c r="T206" i="1"/>
  <c r="D33" i="5"/>
  <c r="T631" i="1"/>
  <c r="D28" i="5"/>
  <c r="T529" i="1"/>
  <c r="D26" i="5"/>
  <c r="T487" i="1"/>
  <c r="E7" i="5"/>
  <c r="U125" i="1"/>
  <c r="E6" i="5"/>
  <c r="U103" i="1"/>
  <c r="E3" i="5"/>
  <c r="U43" i="1"/>
  <c r="C19" i="5"/>
  <c r="S368" i="1"/>
  <c r="C17" i="5"/>
  <c r="S329" i="1"/>
  <c r="E16" i="5"/>
  <c r="U309" i="1"/>
  <c r="C13" i="5"/>
  <c r="S245" i="1"/>
  <c r="E12" i="5"/>
  <c r="U225" i="1"/>
  <c r="C11" i="5"/>
  <c r="S206" i="1"/>
  <c r="E10" i="5"/>
  <c r="U183" i="1"/>
  <c r="C33" i="5"/>
  <c r="S631" i="1"/>
  <c r="E31" i="5"/>
  <c r="U587" i="1"/>
  <c r="E27" i="5"/>
  <c r="U506" i="1"/>
  <c r="C26" i="5"/>
  <c r="S487" i="1"/>
  <c r="E24" i="5"/>
  <c r="U467" i="1"/>
  <c r="D8" i="5"/>
  <c r="T147" i="1"/>
  <c r="D7" i="5"/>
  <c r="T125" i="1"/>
  <c r="D6" i="5"/>
  <c r="T103" i="1"/>
  <c r="D5" i="5"/>
  <c r="T87" i="1"/>
  <c r="D3" i="5"/>
  <c r="T43" i="1"/>
  <c r="D16" i="5"/>
  <c r="T309" i="1"/>
  <c r="D12" i="5"/>
  <c r="T225" i="1"/>
  <c r="D10" i="5"/>
  <c r="T183" i="1"/>
  <c r="D20" i="5"/>
  <c r="T389" i="1"/>
  <c r="D31" i="5"/>
  <c r="T587" i="1"/>
  <c r="D29" i="5"/>
  <c r="T551" i="1"/>
  <c r="D27" i="5"/>
  <c r="T506" i="1"/>
  <c r="D24" i="5"/>
  <c r="T467" i="1"/>
  <c r="K31" i="2"/>
  <c r="K34" i="2"/>
  <c r="K42" i="2"/>
  <c r="K48" i="2"/>
  <c r="K64" i="2"/>
  <c r="K73" i="2"/>
  <c r="K85" i="2"/>
  <c r="K92" i="2"/>
  <c r="K6" i="2"/>
  <c r="K14" i="2"/>
  <c r="K25" i="2"/>
  <c r="K28" i="2"/>
  <c r="K50" i="2"/>
  <c r="K75" i="2"/>
  <c r="K77" i="2"/>
  <c r="K88" i="2"/>
  <c r="L3" i="2"/>
  <c r="P3" i="2"/>
  <c r="Q3" i="2"/>
  <c r="K8" i="2"/>
  <c r="K22" i="2"/>
  <c r="K33" i="2"/>
  <c r="K36" i="2"/>
  <c r="K41" i="2"/>
  <c r="K44" i="2"/>
  <c r="K58" i="2"/>
  <c r="K63" i="2"/>
  <c r="K82" i="2"/>
  <c r="K87" i="2"/>
  <c r="K89" i="2"/>
  <c r="K91" i="2"/>
  <c r="K5" i="2"/>
  <c r="K13" i="2"/>
  <c r="K16" i="2"/>
  <c r="K30" i="2"/>
  <c r="K49" i="2"/>
  <c r="K52" i="2"/>
  <c r="K65" i="2"/>
  <c r="K67" i="2"/>
  <c r="K72" i="2"/>
  <c r="K84" i="2"/>
  <c r="K93" i="2"/>
  <c r="K7" i="2"/>
  <c r="K15" i="2"/>
  <c r="K18" i="2"/>
  <c r="K26" i="2"/>
  <c r="K54" i="2"/>
  <c r="K83" i="2"/>
  <c r="K95" i="2"/>
  <c r="K97" i="2"/>
  <c r="K112" i="2"/>
  <c r="K119" i="2"/>
  <c r="K126" i="2"/>
  <c r="K160" i="2"/>
  <c r="K161" i="2"/>
  <c r="K171" i="2"/>
  <c r="K176" i="2"/>
  <c r="K183" i="2"/>
  <c r="K192" i="2"/>
  <c r="K199" i="2"/>
  <c r="K208" i="2"/>
  <c r="K224" i="2"/>
  <c r="K267" i="2"/>
  <c r="K281" i="2"/>
  <c r="K309" i="2"/>
  <c r="K319" i="2"/>
  <c r="K329" i="2"/>
  <c r="K345" i="2"/>
  <c r="K352" i="2"/>
  <c r="K363" i="2"/>
  <c r="K365" i="2"/>
  <c r="K390" i="2"/>
  <c r="K397" i="2"/>
  <c r="K407" i="2"/>
  <c r="K412" i="2"/>
  <c r="K451" i="2"/>
  <c r="K453" i="2"/>
  <c r="K463" i="2"/>
  <c r="K475" i="2"/>
  <c r="K477" i="2"/>
  <c r="K504" i="2"/>
  <c r="K518" i="2"/>
  <c r="K605" i="2"/>
  <c r="K610" i="2"/>
  <c r="K98" i="2"/>
  <c r="K116" i="2"/>
  <c r="K121" i="2"/>
  <c r="K122" i="2"/>
  <c r="K140" i="2"/>
  <c r="K174" i="2"/>
  <c r="K179" i="2"/>
  <c r="K226" i="2"/>
  <c r="K248" i="2"/>
  <c r="K252" i="2"/>
  <c r="K274" i="2"/>
  <c r="K360" i="2"/>
  <c r="K374" i="2"/>
  <c r="K383" i="2"/>
  <c r="K399" i="2"/>
  <c r="K404" i="2"/>
  <c r="K414" i="2"/>
  <c r="K419" i="2"/>
  <c r="K428" i="2"/>
  <c r="K430" i="2"/>
  <c r="K448" i="2"/>
  <c r="K468" i="2"/>
  <c r="K472" i="2"/>
  <c r="K499" i="2"/>
  <c r="K501" i="2"/>
  <c r="K506" i="2"/>
  <c r="K536" i="2"/>
  <c r="K541" i="2"/>
  <c r="K546" i="2"/>
  <c r="K556" i="2"/>
  <c r="K573" i="2"/>
  <c r="K578" i="2"/>
  <c r="K593" i="2"/>
  <c r="K596" i="2"/>
  <c r="K597" i="2"/>
  <c r="K606" i="2"/>
  <c r="K616" i="2"/>
  <c r="K648" i="2"/>
  <c r="K642" i="2"/>
  <c r="K104" i="2"/>
  <c r="K123" i="2"/>
  <c r="K125" i="2"/>
  <c r="K135" i="2"/>
  <c r="K173" i="2"/>
  <c r="K180" i="2"/>
  <c r="K214" i="2"/>
  <c r="K237" i="2"/>
  <c r="K243" i="2"/>
  <c r="K276" i="2"/>
  <c r="K277" i="2"/>
  <c r="K311" i="2"/>
  <c r="K337" i="2"/>
  <c r="K347" i="2"/>
  <c r="K367" i="2"/>
  <c r="K385" i="2"/>
  <c r="K435" i="2"/>
  <c r="K440" i="2"/>
  <c r="K445" i="2"/>
  <c r="K455" i="2"/>
  <c r="K467" i="2"/>
  <c r="K469" i="2"/>
  <c r="K474" i="2"/>
  <c r="K479" i="2"/>
  <c r="K491" i="2"/>
  <c r="K493" i="2"/>
  <c r="K528" i="2"/>
  <c r="K533" i="2"/>
  <c r="K543" i="2"/>
  <c r="K558" i="2"/>
  <c r="K565" i="2"/>
  <c r="K570" i="2"/>
  <c r="K580" i="2"/>
  <c r="K583" i="2"/>
  <c r="K588" i="2"/>
  <c r="K598" i="2"/>
  <c r="K608" i="2"/>
  <c r="K620" i="2"/>
  <c r="K621" i="2"/>
  <c r="K106" i="2"/>
  <c r="K114" i="2"/>
  <c r="K118" i="2"/>
  <c r="K127" i="2"/>
  <c r="K150" i="2"/>
  <c r="K198" i="2"/>
  <c r="K200" i="2"/>
  <c r="K216" i="2"/>
  <c r="K230" i="2"/>
  <c r="K232" i="2"/>
  <c r="K240" i="2"/>
  <c r="K244" i="2"/>
  <c r="K246" i="2"/>
  <c r="K269" i="2"/>
  <c r="K339" i="2"/>
  <c r="K342" i="2"/>
  <c r="K353" i="2"/>
  <c r="K355" i="2"/>
  <c r="K378" i="2"/>
  <c r="K408" i="2"/>
  <c r="K423" i="2"/>
  <c r="K425" i="2"/>
  <c r="K432" i="2"/>
  <c r="K464" i="2"/>
  <c r="K503" i="2"/>
  <c r="K548" i="2"/>
  <c r="K560" i="2"/>
  <c r="K562" i="2"/>
  <c r="K572" i="2"/>
  <c r="K575" i="2"/>
  <c r="K576" i="2"/>
  <c r="K581" i="2"/>
  <c r="K585" i="2"/>
  <c r="K586" i="2"/>
  <c r="K590" i="2"/>
  <c r="K600" i="2"/>
  <c r="K615" i="2"/>
  <c r="K622" i="2"/>
  <c r="N638" i="2"/>
  <c r="K652" i="2"/>
  <c r="K640" i="2"/>
  <c r="K203" i="2"/>
  <c r="K219" i="2"/>
  <c r="K253" i="2"/>
  <c r="K325" i="2"/>
  <c r="K357" i="2"/>
  <c r="K359" i="2"/>
  <c r="K373" i="2"/>
  <c r="K375" i="2"/>
  <c r="K380" i="2"/>
  <c r="K382" i="2"/>
  <c r="K400" i="2"/>
  <c r="K405" i="2"/>
  <c r="K420" i="2"/>
  <c r="K447" i="2"/>
  <c r="K483" i="2"/>
  <c r="K485" i="2"/>
  <c r="K129" i="2"/>
  <c r="K156" i="2"/>
  <c r="K158" i="2"/>
  <c r="K169" i="2"/>
  <c r="K190" i="2"/>
  <c r="K204" i="2"/>
  <c r="K206" i="2"/>
  <c r="K218" i="2"/>
  <c r="K234" i="2"/>
  <c r="K265" i="2"/>
  <c r="K275" i="2"/>
  <c r="K314" i="2"/>
  <c r="K334" i="2"/>
  <c r="K336" i="2"/>
  <c r="K350" i="2"/>
  <c r="K368" i="2"/>
  <c r="K370" i="2"/>
  <c r="K386" i="2"/>
  <c r="K388" i="2"/>
  <c r="K393" i="2"/>
  <c r="K395" i="2"/>
  <c r="K415" i="2"/>
  <c r="K427" i="2"/>
  <c r="K456" i="2"/>
  <c r="K480" i="2"/>
  <c r="K507" i="2"/>
  <c r="K532" i="2"/>
  <c r="K542" i="2"/>
  <c r="K552" i="2"/>
  <c r="K569" i="2"/>
  <c r="K579" i="2"/>
  <c r="K594" i="2"/>
  <c r="K599" i="2"/>
  <c r="K609" i="2"/>
  <c r="K612" i="2"/>
  <c r="K613" i="2"/>
  <c r="K618" i="2"/>
  <c r="L631" i="2"/>
  <c r="K656" i="2"/>
  <c r="K650" i="2"/>
  <c r="K641" i="2"/>
  <c r="V656" i="2"/>
  <c r="V647" i="2"/>
  <c r="V645" i="2"/>
  <c r="V35" i="2"/>
  <c r="N650" i="2"/>
  <c r="N646" i="2"/>
  <c r="N634" i="2"/>
  <c r="N630" i="2"/>
  <c r="N626" i="2"/>
  <c r="V624" i="2"/>
  <c r="O4" i="1"/>
  <c r="S4" i="1"/>
  <c r="O147" i="1"/>
  <c r="O145" i="1"/>
  <c r="S145" i="1"/>
  <c r="O143" i="1"/>
  <c r="S143" i="1"/>
  <c r="O141" i="1"/>
  <c r="S141" i="1"/>
  <c r="O139" i="1"/>
  <c r="S139" i="1"/>
  <c r="O137" i="1"/>
  <c r="S137" i="1"/>
  <c r="O135" i="1"/>
  <c r="S135" i="1"/>
  <c r="O133" i="1"/>
  <c r="S133" i="1"/>
  <c r="O131" i="1"/>
  <c r="S131" i="1"/>
  <c r="O129" i="1"/>
  <c r="S129" i="1"/>
  <c r="O127" i="1"/>
  <c r="S127" i="1"/>
  <c r="O125" i="1"/>
  <c r="O123" i="1"/>
  <c r="S123" i="1"/>
  <c r="O121" i="1"/>
  <c r="S121" i="1"/>
  <c r="O119" i="1"/>
  <c r="S119" i="1"/>
  <c r="O117" i="1"/>
  <c r="S117" i="1"/>
  <c r="O115" i="1"/>
  <c r="S115" i="1"/>
  <c r="O113" i="1"/>
  <c r="S113" i="1"/>
  <c r="O111" i="1"/>
  <c r="S111" i="1"/>
  <c r="O109" i="1"/>
  <c r="S109" i="1"/>
  <c r="O107" i="1"/>
  <c r="S107" i="1"/>
  <c r="O105" i="1"/>
  <c r="S105" i="1"/>
  <c r="O103" i="1"/>
  <c r="O101" i="1"/>
  <c r="S101" i="1"/>
  <c r="O99" i="1"/>
  <c r="S99" i="1"/>
  <c r="O97" i="1"/>
  <c r="S97" i="1"/>
  <c r="O95" i="1"/>
  <c r="S95" i="1"/>
  <c r="O93" i="1"/>
  <c r="S93" i="1"/>
  <c r="O91" i="1"/>
  <c r="S91" i="1"/>
  <c r="O89" i="1"/>
  <c r="S89" i="1"/>
  <c r="O87" i="1"/>
  <c r="O85" i="1"/>
  <c r="S85" i="1"/>
  <c r="O83" i="1"/>
  <c r="S83" i="1"/>
  <c r="O81" i="1"/>
  <c r="S81" i="1"/>
  <c r="O79" i="1"/>
  <c r="S79" i="1"/>
  <c r="O77" i="1"/>
  <c r="S77" i="1"/>
  <c r="O75" i="1"/>
  <c r="S75" i="1"/>
  <c r="O73" i="1"/>
  <c r="S73" i="1"/>
  <c r="O71" i="1"/>
  <c r="S71" i="1"/>
  <c r="O69" i="1"/>
  <c r="S69" i="1"/>
  <c r="O67" i="1"/>
  <c r="S67" i="1"/>
  <c r="O65" i="1"/>
  <c r="S65" i="1"/>
  <c r="O63" i="1"/>
  <c r="S63" i="1"/>
  <c r="O61" i="1"/>
  <c r="S61" i="1"/>
  <c r="O59" i="1"/>
  <c r="S59" i="1"/>
  <c r="O57" i="1"/>
  <c r="S57" i="1"/>
  <c r="O55" i="1"/>
  <c r="S55" i="1"/>
  <c r="O53" i="1"/>
  <c r="S53" i="1"/>
  <c r="O51" i="1"/>
  <c r="S51" i="1"/>
  <c r="O49" i="1"/>
  <c r="S49" i="1"/>
  <c r="O47" i="1"/>
  <c r="S47" i="1"/>
  <c r="O45" i="1"/>
  <c r="S45" i="1"/>
  <c r="O43" i="1"/>
  <c r="O41" i="1"/>
  <c r="S41" i="1"/>
  <c r="O39" i="1"/>
  <c r="S39" i="1"/>
  <c r="O37" i="1"/>
  <c r="S37" i="1"/>
  <c r="O35" i="1"/>
  <c r="S35" i="1"/>
  <c r="O33" i="1"/>
  <c r="S33" i="1"/>
  <c r="O31" i="1"/>
  <c r="S31" i="1"/>
  <c r="O29" i="1"/>
  <c r="S29" i="1"/>
  <c r="O27" i="1"/>
  <c r="S27" i="1"/>
  <c r="O25" i="1"/>
  <c r="S25" i="1"/>
  <c r="O23" i="1"/>
  <c r="S23" i="1"/>
  <c r="O21" i="1"/>
  <c r="S21" i="1"/>
  <c r="O19" i="1"/>
  <c r="S19" i="1"/>
  <c r="O17" i="1"/>
  <c r="S17" i="1"/>
  <c r="O15" i="1"/>
  <c r="S15" i="1"/>
  <c r="O13" i="1"/>
  <c r="S13" i="1"/>
  <c r="O11" i="1"/>
  <c r="S11" i="1"/>
  <c r="O9" i="1"/>
  <c r="S9" i="1"/>
  <c r="O7" i="1"/>
  <c r="S7" i="1"/>
  <c r="O5" i="1"/>
  <c r="S5" i="1"/>
  <c r="O3" i="1"/>
  <c r="S3" i="1"/>
  <c r="O146" i="1"/>
  <c r="S146" i="1"/>
  <c r="O144" i="1"/>
  <c r="S144" i="1"/>
  <c r="O142" i="1"/>
  <c r="S142" i="1"/>
  <c r="O140" i="1"/>
  <c r="S140" i="1"/>
  <c r="O138" i="1"/>
  <c r="S138" i="1"/>
  <c r="O136" i="1"/>
  <c r="S136" i="1"/>
  <c r="O134" i="1"/>
  <c r="S134" i="1"/>
  <c r="O132" i="1"/>
  <c r="S132" i="1"/>
  <c r="O130" i="1"/>
  <c r="S130" i="1"/>
  <c r="O128" i="1"/>
  <c r="S128" i="1"/>
  <c r="O126" i="1"/>
  <c r="S126" i="1"/>
  <c r="O124" i="1"/>
  <c r="S124" i="1"/>
  <c r="O122" i="1"/>
  <c r="S122" i="1"/>
  <c r="O120" i="1"/>
  <c r="S120" i="1"/>
  <c r="O118" i="1"/>
  <c r="S118" i="1"/>
  <c r="O116" i="1"/>
  <c r="S116" i="1"/>
  <c r="O114" i="1"/>
  <c r="S114" i="1"/>
  <c r="O112" i="1"/>
  <c r="S112" i="1"/>
  <c r="O110" i="1"/>
  <c r="S110" i="1"/>
  <c r="O108" i="1"/>
  <c r="S108" i="1"/>
  <c r="O106" i="1"/>
  <c r="S106" i="1"/>
  <c r="O104" i="1"/>
  <c r="S104" i="1"/>
  <c r="O102" i="1"/>
  <c r="S102" i="1"/>
  <c r="O100" i="1"/>
  <c r="S100" i="1"/>
  <c r="O98" i="1"/>
  <c r="S98" i="1"/>
  <c r="O96" i="1"/>
  <c r="S96" i="1"/>
  <c r="O94" i="1"/>
  <c r="S94" i="1"/>
  <c r="O92" i="1"/>
  <c r="S92" i="1"/>
  <c r="O90" i="1"/>
  <c r="S90" i="1"/>
  <c r="O88" i="1"/>
  <c r="S88" i="1"/>
  <c r="O86" i="1"/>
  <c r="S86" i="1"/>
  <c r="O84" i="1"/>
  <c r="S84" i="1"/>
  <c r="O82" i="1"/>
  <c r="S82" i="1"/>
  <c r="O80" i="1"/>
  <c r="S80" i="1"/>
  <c r="O78" i="1"/>
  <c r="S78" i="1"/>
  <c r="O76" i="1"/>
  <c r="S76" i="1"/>
  <c r="O74" i="1"/>
  <c r="S74" i="1"/>
  <c r="O72" i="1"/>
  <c r="S72" i="1"/>
  <c r="O70" i="1"/>
  <c r="S70" i="1"/>
  <c r="O68" i="1"/>
  <c r="S68" i="1"/>
  <c r="O66" i="1"/>
  <c r="O64" i="1"/>
  <c r="S64" i="1"/>
  <c r="O62" i="1"/>
  <c r="S62" i="1"/>
  <c r="O60" i="1"/>
  <c r="S60" i="1"/>
  <c r="O58" i="1"/>
  <c r="S58" i="1"/>
  <c r="O56" i="1"/>
  <c r="S56" i="1"/>
  <c r="O54" i="1"/>
  <c r="S54" i="1"/>
  <c r="O52" i="1"/>
  <c r="S52" i="1"/>
  <c r="O50" i="1"/>
  <c r="S50" i="1"/>
  <c r="O48" i="1"/>
  <c r="S48" i="1"/>
  <c r="O46" i="1"/>
  <c r="S46" i="1"/>
  <c r="O44" i="1"/>
  <c r="S44" i="1"/>
  <c r="O42" i="1"/>
  <c r="S42" i="1"/>
  <c r="O40" i="1"/>
  <c r="S40" i="1"/>
  <c r="O38" i="1"/>
  <c r="S38" i="1"/>
  <c r="O36" i="1"/>
  <c r="S36" i="1"/>
  <c r="O34" i="1"/>
  <c r="S34" i="1"/>
  <c r="O32" i="1"/>
  <c r="S32" i="1"/>
  <c r="O30" i="1"/>
  <c r="S30" i="1"/>
  <c r="O28" i="1"/>
  <c r="S28" i="1"/>
  <c r="O26" i="1"/>
  <c r="S26" i="1"/>
  <c r="O24" i="1"/>
  <c r="S24" i="1"/>
  <c r="O22" i="1"/>
  <c r="O20" i="1"/>
  <c r="S20" i="1"/>
  <c r="O18" i="1"/>
  <c r="S18" i="1"/>
  <c r="O16" i="1"/>
  <c r="S16" i="1"/>
  <c r="O14" i="1"/>
  <c r="S14" i="1"/>
  <c r="O12" i="1"/>
  <c r="S12" i="1"/>
  <c r="O10" i="1"/>
  <c r="S10" i="1"/>
  <c r="O8" i="1"/>
  <c r="S8" i="1"/>
  <c r="O6" i="1"/>
  <c r="S6" i="1"/>
  <c r="V142" i="2"/>
  <c r="V38" i="2"/>
  <c r="V70" i="2"/>
  <c r="V164" i="2"/>
  <c r="V326" i="2"/>
  <c r="V355" i="2"/>
  <c r="V255" i="2"/>
  <c r="V356" i="2"/>
  <c r="V379" i="2"/>
  <c r="V397" i="2"/>
  <c r="V118" i="2"/>
  <c r="V108" i="2"/>
  <c r="V125" i="2"/>
  <c r="V54" i="2"/>
  <c r="V155" i="2"/>
  <c r="O632" i="2"/>
  <c r="O628" i="2"/>
  <c r="O624" i="2"/>
  <c r="P300" i="2"/>
  <c r="P304" i="2"/>
  <c r="P308" i="2"/>
  <c r="P312" i="2"/>
  <c r="P316" i="2"/>
  <c r="P320" i="2"/>
  <c r="P324" i="2"/>
  <c r="P328" i="2"/>
  <c r="P332" i="2"/>
  <c r="P336" i="2"/>
  <c r="P340" i="2"/>
  <c r="P348" i="2"/>
  <c r="P352" i="2"/>
  <c r="P356" i="2"/>
  <c r="P364" i="2"/>
  <c r="P376" i="2"/>
  <c r="V348" i="2"/>
  <c r="V525" i="2"/>
  <c r="V640" i="2"/>
  <c r="V22" i="2"/>
  <c r="V34" i="2"/>
  <c r="L652" i="2"/>
  <c r="L650" i="2"/>
  <c r="L648" i="2"/>
  <c r="L646" i="2"/>
  <c r="L642" i="2"/>
  <c r="L640" i="2"/>
  <c r="L638" i="2"/>
  <c r="L636" i="2"/>
  <c r="L634" i="2"/>
  <c r="L632" i="2"/>
  <c r="L624" i="2"/>
  <c r="V654" i="2"/>
  <c r="V644" i="2"/>
  <c r="P222" i="2"/>
  <c r="P226" i="2"/>
  <c r="P230" i="2"/>
  <c r="P238" i="2"/>
  <c r="P242" i="2"/>
  <c r="P246" i="2"/>
  <c r="P250" i="2"/>
  <c r="P254" i="2"/>
  <c r="P262" i="2"/>
  <c r="P266" i="2"/>
  <c r="P270" i="2"/>
  <c r="P274" i="2"/>
  <c r="P278" i="2"/>
  <c r="P286" i="2"/>
  <c r="P290" i="2"/>
  <c r="P294" i="2"/>
  <c r="P298" i="2"/>
  <c r="P302" i="2"/>
  <c r="P310" i="2"/>
  <c r="P314" i="2"/>
  <c r="P318" i="2"/>
  <c r="P322" i="2"/>
  <c r="P326" i="2"/>
  <c r="P394" i="2"/>
  <c r="P402" i="2"/>
  <c r="P406" i="2"/>
  <c r="P418" i="2"/>
  <c r="P426" i="2"/>
  <c r="P430" i="2"/>
  <c r="P438" i="2"/>
  <c r="P442" i="2"/>
  <c r="P446" i="2"/>
  <c r="P450" i="2"/>
  <c r="P454" i="2"/>
  <c r="P458" i="2"/>
  <c r="P470" i="2"/>
  <c r="P478" i="2"/>
  <c r="P482" i="2"/>
  <c r="P514" i="2"/>
  <c r="P518" i="2"/>
  <c r="V245" i="2"/>
  <c r="V607" i="2"/>
  <c r="V6" i="2"/>
  <c r="V150" i="2"/>
  <c r="V156" i="2"/>
  <c r="V242" i="2"/>
  <c r="V253" i="2"/>
  <c r="V394" i="2"/>
  <c r="V473" i="2"/>
  <c r="V371" i="2"/>
  <c r="V383" i="2"/>
  <c r="V499" i="2"/>
  <c r="V134" i="2"/>
  <c r="V186" i="2"/>
  <c r="V275" i="2"/>
  <c r="V366" i="2"/>
  <c r="V427" i="2"/>
  <c r="O644" i="2"/>
  <c r="V14" i="2"/>
  <c r="V40" i="2"/>
  <c r="V83" i="2"/>
  <c r="V167" i="2"/>
  <c r="V226" i="2"/>
  <c r="V369" i="2"/>
  <c r="V395" i="2"/>
  <c r="V415" i="2"/>
  <c r="V436" i="2"/>
  <c r="V446" i="2"/>
  <c r="V483" i="2"/>
  <c r="V488" i="2"/>
  <c r="V489" i="2"/>
  <c r="V609" i="2"/>
  <c r="O653" i="2"/>
  <c r="O651" i="2"/>
  <c r="O649" i="2"/>
  <c r="O647" i="2"/>
  <c r="O645" i="2"/>
  <c r="O643" i="2"/>
  <c r="O641" i="2"/>
  <c r="O639" i="2"/>
  <c r="O635" i="2"/>
  <c r="O633" i="2"/>
  <c r="O631" i="2"/>
  <c r="O629" i="2"/>
  <c r="O627" i="2"/>
  <c r="O625" i="2"/>
  <c r="O623" i="2"/>
  <c r="V650" i="2"/>
  <c r="V648" i="2"/>
  <c r="V646" i="2"/>
  <c r="V18" i="2"/>
  <c r="V32" i="2"/>
  <c r="V53" i="2"/>
  <c r="V101" i="2"/>
  <c r="V129" i="2"/>
  <c r="V325" i="2"/>
  <c r="V331" i="2"/>
  <c r="V508" i="2"/>
  <c r="V548" i="2"/>
  <c r="V560" i="2"/>
  <c r="V571" i="2"/>
  <c r="N653" i="2"/>
  <c r="N651" i="2"/>
  <c r="N649" i="2"/>
  <c r="N647" i="2"/>
  <c r="N645" i="2"/>
  <c r="N643" i="2"/>
  <c r="N641" i="2"/>
  <c r="N639" i="2"/>
  <c r="N637" i="2"/>
  <c r="N635" i="2"/>
  <c r="N633" i="2"/>
  <c r="N631" i="2"/>
  <c r="N629" i="2"/>
  <c r="N627" i="2"/>
  <c r="N625" i="2"/>
  <c r="N623" i="2"/>
  <c r="V638" i="2"/>
  <c r="V630" i="2"/>
  <c r="V237" i="2"/>
  <c r="V258" i="2"/>
  <c r="V329" i="2"/>
  <c r="V599" i="2"/>
  <c r="M653" i="2"/>
  <c r="M651" i="2"/>
  <c r="M647" i="2"/>
  <c r="M645" i="2"/>
  <c r="M643" i="2"/>
  <c r="M639" i="2"/>
  <c r="M637" i="2"/>
  <c r="M635" i="2"/>
  <c r="M631" i="2"/>
  <c r="M629" i="2"/>
  <c r="M627" i="2"/>
  <c r="M625" i="2"/>
  <c r="V634" i="2"/>
  <c r="V632" i="2"/>
  <c r="P557" i="2"/>
  <c r="P561" i="2"/>
  <c r="P565" i="2"/>
  <c r="V197" i="2"/>
  <c r="V234" i="2"/>
  <c r="V585" i="2"/>
  <c r="V596" i="2"/>
  <c r="L653" i="2"/>
  <c r="L651" i="2"/>
  <c r="L649" i="2"/>
  <c r="L643" i="2"/>
  <c r="L641" i="2"/>
  <c r="L639" i="2"/>
  <c r="L637" i="2"/>
  <c r="L635" i="2"/>
  <c r="L627" i="2"/>
  <c r="L625" i="2"/>
  <c r="L623" i="2"/>
  <c r="V643" i="2"/>
  <c r="V24" i="2"/>
  <c r="V42" i="2"/>
  <c r="V206" i="2"/>
  <c r="V267" i="2"/>
  <c r="V333" i="2"/>
  <c r="V368" i="2"/>
  <c r="V392" i="2"/>
  <c r="V413" i="2"/>
  <c r="V439" i="2"/>
  <c r="V444" i="2"/>
  <c r="V465" i="2"/>
  <c r="V481" i="2"/>
  <c r="O630" i="2"/>
  <c r="V68" i="2"/>
  <c r="V84" i="2"/>
  <c r="V218" i="2"/>
  <c r="V223" i="2"/>
  <c r="V261" i="2"/>
  <c r="V328" i="2"/>
  <c r="N652" i="2"/>
  <c r="N648" i="2"/>
  <c r="N644" i="2"/>
  <c r="N632" i="2"/>
  <c r="N628" i="2"/>
  <c r="V8" i="2"/>
  <c r="V17" i="2"/>
  <c r="V56" i="2"/>
  <c r="V60" i="2"/>
  <c r="V65" i="2"/>
  <c r="V87" i="2"/>
  <c r="V133" i="2"/>
  <c r="V173" i="2"/>
  <c r="V323" i="2"/>
  <c r="V358" i="2"/>
  <c r="V364" i="2"/>
  <c r="V399" i="2"/>
  <c r="V517" i="2"/>
  <c r="V579" i="2"/>
  <c r="M646" i="2"/>
  <c r="M644" i="2"/>
  <c r="M638" i="2"/>
  <c r="M636" i="2"/>
  <c r="M634" i="2"/>
  <c r="M632" i="2"/>
  <c r="M630" i="2"/>
  <c r="M628" i="2"/>
  <c r="M626" i="2"/>
  <c r="M624" i="2"/>
  <c r="V635" i="2"/>
  <c r="V623" i="2"/>
  <c r="V52" i="2"/>
  <c r="V7" i="2"/>
  <c r="V12" i="2"/>
  <c r="V30" i="2"/>
  <c r="V48" i="2"/>
  <c r="V50" i="2"/>
  <c r="V58" i="2"/>
  <c r="V72" i="2"/>
  <c r="V174" i="2"/>
  <c r="K188" i="2"/>
  <c r="K194" i="2"/>
  <c r="K223" i="2"/>
  <c r="K228" i="2"/>
  <c r="V4" i="2"/>
  <c r="V5" i="2"/>
  <c r="V33" i="2"/>
  <c r="V51" i="2"/>
  <c r="K81" i="2"/>
  <c r="K110" i="2"/>
  <c r="K144" i="2"/>
  <c r="K212" i="2"/>
  <c r="P34" i="2"/>
  <c r="P42" i="2"/>
  <c r="P58" i="2"/>
  <c r="P62" i="2"/>
  <c r="P66" i="2"/>
  <c r="P70" i="2"/>
  <c r="P74" i="2"/>
  <c r="P78" i="2"/>
  <c r="P94" i="2"/>
  <c r="P330" i="2"/>
  <c r="P334" i="2"/>
  <c r="P346" i="2"/>
  <c r="P358" i="2"/>
  <c r="P362" i="2"/>
  <c r="P370" i="2"/>
  <c r="P570" i="2"/>
  <c r="P578" i="2"/>
  <c r="P586" i="2"/>
  <c r="P594" i="2"/>
  <c r="P598" i="2"/>
  <c r="P602" i="2"/>
  <c r="P606" i="2"/>
  <c r="P610" i="2"/>
  <c r="P614" i="2"/>
  <c r="P618" i="2"/>
  <c r="V10" i="2"/>
  <c r="V23" i="2"/>
  <c r="V28" i="2"/>
  <c r="V46" i="2"/>
  <c r="K105" i="2"/>
  <c r="K139" i="2"/>
  <c r="K207" i="2"/>
  <c r="K247" i="2"/>
  <c r="K268" i="2"/>
  <c r="AD23" i="2"/>
  <c r="P82" i="2"/>
  <c r="P86" i="2"/>
  <c r="P118" i="2"/>
  <c r="P122" i="2"/>
  <c r="P126" i="2"/>
  <c r="P130" i="2"/>
  <c r="P134" i="2"/>
  <c r="P138" i="2"/>
  <c r="P146" i="2"/>
  <c r="P154" i="2"/>
  <c r="P170" i="2"/>
  <c r="P186" i="2"/>
  <c r="P206" i="2"/>
  <c r="V20" i="2"/>
  <c r="V21" i="2"/>
  <c r="V49" i="2"/>
  <c r="K61" i="2"/>
  <c r="K66" i="2"/>
  <c r="K71" i="2"/>
  <c r="K134" i="2"/>
  <c r="K196" i="2"/>
  <c r="K202" i="2"/>
  <c r="K231" i="2"/>
  <c r="K242" i="2"/>
  <c r="K263" i="2"/>
  <c r="K273" i="2"/>
  <c r="P30" i="2"/>
  <c r="P38" i="2"/>
  <c r="P46" i="2"/>
  <c r="P50" i="2"/>
  <c r="P54" i="2"/>
  <c r="P90" i="2"/>
  <c r="P98" i="2"/>
  <c r="P102" i="2"/>
  <c r="P106" i="2"/>
  <c r="P110" i="2"/>
  <c r="P114" i="2"/>
  <c r="P142" i="2"/>
  <c r="P166" i="2"/>
  <c r="P178" i="2"/>
  <c r="P190" i="2"/>
  <c r="P194" i="2"/>
  <c r="P210" i="2"/>
  <c r="P214" i="2"/>
  <c r="P218" i="2"/>
  <c r="AD627" i="2"/>
  <c r="V16" i="2"/>
  <c r="V26" i="2"/>
  <c r="V39" i="2"/>
  <c r="V44" i="2"/>
  <c r="K100" i="2"/>
  <c r="K162" i="2"/>
  <c r="K191" i="2"/>
  <c r="K220" i="2"/>
  <c r="V19" i="2"/>
  <c r="V36" i="2"/>
  <c r="V37" i="2"/>
  <c r="K79" i="2"/>
  <c r="K113" i="2"/>
  <c r="K147" i="2"/>
  <c r="Y155" i="2"/>
  <c r="K152" i="2"/>
  <c r="K157" i="2"/>
  <c r="K186" i="2"/>
  <c r="K215" i="2"/>
  <c r="P556" i="2"/>
  <c r="V78" i="2"/>
  <c r="V104" i="2"/>
  <c r="V109" i="2"/>
  <c r="V149" i="2"/>
  <c r="V154" i="2"/>
  <c r="V193" i="2"/>
  <c r="V201" i="2"/>
  <c r="V209" i="2"/>
  <c r="V249" i="2"/>
  <c r="V256" i="2"/>
  <c r="V262" i="2"/>
  <c r="V270" i="2"/>
  <c r="V319" i="2"/>
  <c r="K333" i="2"/>
  <c r="K344" i="2"/>
  <c r="K392" i="2"/>
  <c r="K413" i="2"/>
  <c r="K429" i="2"/>
  <c r="V81" i="2"/>
  <c r="V97" i="2"/>
  <c r="V102" i="2"/>
  <c r="V110" i="2"/>
  <c r="V144" i="2"/>
  <c r="V177" i="2"/>
  <c r="V180" i="2"/>
  <c r="V190" i="2"/>
  <c r="V196" i="2"/>
  <c r="V236" i="2"/>
  <c r="V244" i="2"/>
  <c r="V257" i="2"/>
  <c r="V265" i="2"/>
  <c r="K282" i="2"/>
  <c r="K290" i="2"/>
  <c r="K298" i="2"/>
  <c r="K302" i="2"/>
  <c r="K313" i="2"/>
  <c r="K328" i="2"/>
  <c r="K369" i="2"/>
  <c r="K424" i="2"/>
  <c r="K434" i="2"/>
  <c r="K449" i="2"/>
  <c r="K460" i="2"/>
  <c r="K465" i="2"/>
  <c r="K481" i="2"/>
  <c r="K492" i="2"/>
  <c r="V71" i="2"/>
  <c r="V76" i="2"/>
  <c r="V91" i="2"/>
  <c r="V92" i="2"/>
  <c r="V94" i="2"/>
  <c r="V105" i="2"/>
  <c r="V141" i="2"/>
  <c r="V169" i="2"/>
  <c r="V170" i="2"/>
  <c r="V175" i="2"/>
  <c r="V183" i="2"/>
  <c r="K318" i="2"/>
  <c r="K323" i="2"/>
  <c r="K364" i="2"/>
  <c r="Y415" i="2"/>
  <c r="Y623" i="2"/>
  <c r="K497" i="2"/>
  <c r="K508" i="2"/>
  <c r="K513" i="2"/>
  <c r="V69" i="2"/>
  <c r="V64" i="2"/>
  <c r="V66" i="2"/>
  <c r="V74" i="2"/>
  <c r="V90" i="2"/>
  <c r="V123" i="2"/>
  <c r="V126" i="2"/>
  <c r="V137" i="2"/>
  <c r="V145" i="2"/>
  <c r="V163" i="2"/>
  <c r="K341" i="2"/>
  <c r="V350" i="2"/>
  <c r="K377" i="2"/>
  <c r="V67" i="2"/>
  <c r="V85" i="2"/>
  <c r="V93" i="2"/>
  <c r="V119" i="2"/>
  <c r="V124" i="2"/>
  <c r="V127" i="2"/>
  <c r="V210" i="2"/>
  <c r="K279" i="2"/>
  <c r="V282" i="2"/>
  <c r="K287" i="2"/>
  <c r="K295" i="2"/>
  <c r="K305" i="2"/>
  <c r="K331" i="2"/>
  <c r="K416" i="2"/>
  <c r="K421" i="2"/>
  <c r="K437" i="2"/>
  <c r="K442" i="2"/>
  <c r="K452" i="2"/>
  <c r="K457" i="2"/>
  <c r="K473" i="2"/>
  <c r="K484" i="2"/>
  <c r="K489" i="2"/>
  <c r="V62" i="2"/>
  <c r="V80" i="2"/>
  <c r="V82" i="2"/>
  <c r="V117" i="2"/>
  <c r="V122" i="2"/>
  <c r="V135" i="2"/>
  <c r="V140" i="2"/>
  <c r="V161" i="2"/>
  <c r="V166" i="2"/>
  <c r="V200" i="2"/>
  <c r="V202" i="2"/>
  <c r="V203" i="2"/>
  <c r="V211" i="2"/>
  <c r="V250" i="2"/>
  <c r="K280" i="2"/>
  <c r="K288" i="2"/>
  <c r="K296" i="2"/>
  <c r="K310" i="2"/>
  <c r="K500" i="2"/>
  <c r="K505" i="2"/>
  <c r="V320" i="2"/>
  <c r="V361" i="2"/>
  <c r="V430" i="2"/>
  <c r="V431" i="2"/>
  <c r="V486" i="2"/>
  <c r="V494" i="2"/>
  <c r="V515" i="2"/>
  <c r="K527" i="2"/>
  <c r="K551" i="2"/>
  <c r="V391" i="2"/>
  <c r="V305" i="2"/>
  <c r="V313" i="2"/>
  <c r="V349" i="2"/>
  <c r="V353" i="2"/>
  <c r="V374" i="2"/>
  <c r="V387" i="2"/>
  <c r="V407" i="2"/>
  <c r="V408" i="2"/>
  <c r="V423" i="2"/>
  <c r="V424" i="2"/>
  <c r="V468" i="2"/>
  <c r="V476" i="2"/>
  <c r="K515" i="2"/>
  <c r="K519" i="2"/>
  <c r="K538" i="2"/>
  <c r="V300" i="2"/>
  <c r="V308" i="2"/>
  <c r="V316" i="2"/>
  <c r="V347" i="2"/>
  <c r="V377" i="2"/>
  <c r="V402" i="2"/>
  <c r="V405" i="2"/>
  <c r="V419" i="2"/>
  <c r="V421" i="2"/>
  <c r="V447" i="2"/>
  <c r="V455" i="2"/>
  <c r="V463" i="2"/>
  <c r="V511" i="2"/>
  <c r="P655" i="2"/>
  <c r="V278" i="2"/>
  <c r="V286" i="2"/>
  <c r="V287" i="2"/>
  <c r="V294" i="2"/>
  <c r="V295" i="2"/>
  <c r="V303" i="2"/>
  <c r="V311" i="2"/>
  <c r="V352" i="2"/>
  <c r="V372" i="2"/>
  <c r="V380" i="2"/>
  <c r="V416" i="2"/>
  <c r="V450" i="2"/>
  <c r="V497" i="2"/>
  <c r="V514" i="2"/>
  <c r="K520" i="2"/>
  <c r="K554" i="2"/>
  <c r="V345" i="2"/>
  <c r="V401" i="2"/>
  <c r="V438" i="2"/>
  <c r="V443" i="2"/>
  <c r="V453" i="2"/>
  <c r="V498" i="2"/>
  <c r="V509" i="2"/>
  <c r="K535" i="2"/>
  <c r="Y626" i="2"/>
  <c r="V332" i="2"/>
  <c r="V339" i="2"/>
  <c r="V340" i="2"/>
  <c r="V363" i="2"/>
  <c r="V404" i="2"/>
  <c r="V420" i="2"/>
  <c r="V504" i="2"/>
  <c r="K516" i="2"/>
  <c r="K540" i="2"/>
  <c r="Y624" i="2"/>
  <c r="V518" i="2"/>
  <c r="V521" i="2"/>
  <c r="V529" i="2"/>
  <c r="V566" i="2"/>
  <c r="V574" i="2"/>
  <c r="V594" i="2"/>
  <c r="V602" i="2"/>
  <c r="K647" i="2"/>
  <c r="K645" i="2"/>
  <c r="V631" i="2"/>
  <c r="V516" i="2"/>
  <c r="V524" i="2"/>
  <c r="V547" i="2"/>
  <c r="V556" i="2"/>
  <c r="V558" i="2"/>
  <c r="V598" i="2"/>
  <c r="V606" i="2"/>
  <c r="K631" i="2"/>
  <c r="K629" i="2"/>
  <c r="M656" i="2"/>
  <c r="P656" i="2"/>
  <c r="V642" i="2"/>
  <c r="V641" i="2"/>
  <c r="V629" i="2"/>
  <c r="V628" i="2"/>
  <c r="V626" i="2"/>
  <c r="V625" i="2"/>
  <c r="V519" i="2"/>
  <c r="V542" i="2"/>
  <c r="V551" i="2"/>
  <c r="V553" i="2"/>
  <c r="V559" i="2"/>
  <c r="V564" i="2"/>
  <c r="V593" i="2"/>
  <c r="V601" i="2"/>
  <c r="M652" i="2"/>
  <c r="M650" i="2"/>
  <c r="M648" i="2"/>
  <c r="L647" i="2"/>
  <c r="M633" i="2"/>
  <c r="V532" i="2"/>
  <c r="V533" i="2"/>
  <c r="V591" i="2"/>
  <c r="V604" i="2"/>
  <c r="K646" i="2"/>
  <c r="K644" i="2"/>
  <c r="K632" i="2"/>
  <c r="L645" i="2"/>
  <c r="L644" i="2"/>
  <c r="V639" i="2"/>
  <c r="V636" i="2"/>
  <c r="V633" i="2"/>
  <c r="V544" i="2"/>
  <c r="V580" i="2"/>
  <c r="V588" i="2"/>
  <c r="V617" i="2"/>
  <c r="V618" i="2"/>
  <c r="V620" i="2"/>
  <c r="K630" i="2"/>
  <c r="K628" i="2"/>
  <c r="K626" i="2"/>
  <c r="V657" i="2"/>
  <c r="M642" i="2"/>
  <c r="M641" i="2"/>
  <c r="V637" i="2"/>
  <c r="L630" i="2"/>
  <c r="L629" i="2"/>
  <c r="L628" i="2"/>
  <c r="V539" i="2"/>
  <c r="V567" i="2"/>
  <c r="V575" i="2"/>
  <c r="V612" i="2"/>
  <c r="K643" i="2"/>
  <c r="K623" i="2"/>
  <c r="V653" i="2"/>
  <c r="V649" i="2"/>
  <c r="V627" i="2"/>
  <c r="L626" i="2"/>
  <c r="N624" i="2"/>
  <c r="M649" i="2"/>
  <c r="M640" i="2"/>
  <c r="V655" i="2"/>
  <c r="M657" i="2"/>
  <c r="P657" i="2"/>
  <c r="V652" i="2"/>
  <c r="K649" i="2"/>
  <c r="P654" i="2"/>
  <c r="V651" i="2"/>
  <c r="AD623" i="2"/>
  <c r="AD651" i="2"/>
  <c r="AD647" i="2"/>
  <c r="AD625" i="2"/>
  <c r="AD643" i="2"/>
  <c r="AD639" i="2"/>
  <c r="AD635" i="2"/>
  <c r="AD629" i="2"/>
  <c r="AD631" i="2"/>
  <c r="AD648" i="2"/>
  <c r="AD644" i="2"/>
  <c r="AD640" i="2"/>
  <c r="AD636" i="2"/>
  <c r="AD632" i="2"/>
  <c r="AD628" i="2"/>
  <c r="AD624" i="2"/>
  <c r="Y649" i="2"/>
  <c r="Y645" i="2"/>
  <c r="Y641" i="2"/>
  <c r="Y637" i="2"/>
  <c r="Y633" i="2"/>
  <c r="Y629" i="2"/>
  <c r="Y625" i="2"/>
  <c r="Y644" i="2"/>
  <c r="Y640" i="2"/>
  <c r="Y636" i="2"/>
  <c r="Y632" i="2"/>
  <c r="Y628" i="2"/>
  <c r="AD650" i="2"/>
  <c r="AD646" i="2"/>
  <c r="AD642" i="2"/>
  <c r="AD638" i="2"/>
  <c r="AD634" i="2"/>
  <c r="AD630" i="2"/>
  <c r="AD626" i="2"/>
  <c r="Y648" i="2"/>
  <c r="Y651" i="2"/>
  <c r="Y647" i="2"/>
  <c r="Y643" i="2"/>
  <c r="Y639" i="2"/>
  <c r="Y635" i="2"/>
  <c r="Y631" i="2"/>
  <c r="Y627" i="2"/>
  <c r="AD649" i="2"/>
  <c r="AD645" i="2"/>
  <c r="AD641" i="2"/>
  <c r="AD637" i="2"/>
  <c r="AD633" i="2"/>
  <c r="Y650" i="2"/>
  <c r="Y646" i="2"/>
  <c r="Y642" i="2"/>
  <c r="Y638" i="2"/>
  <c r="Y634" i="2"/>
  <c r="Y630" i="2"/>
  <c r="K651" i="2"/>
  <c r="K638" i="2"/>
  <c r="K636" i="2"/>
  <c r="K655" i="2"/>
  <c r="K653" i="2"/>
  <c r="K635" i="2"/>
  <c r="K625" i="2"/>
  <c r="K639" i="2"/>
  <c r="K637" i="2"/>
  <c r="K627" i="2"/>
  <c r="K654" i="2"/>
  <c r="K634" i="2"/>
  <c r="P7" i="2"/>
  <c r="P11" i="2"/>
  <c r="P23" i="2"/>
  <c r="P27" i="2"/>
  <c r="P35" i="2"/>
  <c r="P55" i="2"/>
  <c r="P59" i="2"/>
  <c r="P67" i="2"/>
  <c r="P71" i="2"/>
  <c r="P75" i="2"/>
  <c r="P79" i="2"/>
  <c r="P95" i="2"/>
  <c r="P99" i="2"/>
  <c r="P103" i="2"/>
  <c r="P111" i="2"/>
  <c r="P115" i="2"/>
  <c r="P119" i="2"/>
  <c r="P123" i="2"/>
  <c r="P127" i="2"/>
  <c r="P131" i="2"/>
  <c r="P135" i="2"/>
  <c r="P113" i="2"/>
  <c r="P117" i="2"/>
  <c r="P121" i="2"/>
  <c r="P125" i="2"/>
  <c r="P129" i="2"/>
  <c r="P133" i="2"/>
  <c r="V99" i="2"/>
  <c r="V131" i="2"/>
  <c r="V151" i="2"/>
  <c r="V208" i="2"/>
  <c r="V231" i="2"/>
  <c r="V254" i="2"/>
  <c r="V266" i="2"/>
  <c r="V269" i="2"/>
  <c r="V302" i="2"/>
  <c r="V334" i="2"/>
  <c r="V337" i="2"/>
  <c r="V398" i="2"/>
  <c r="Y430" i="2"/>
  <c r="V426" i="2"/>
  <c r="V433" i="2"/>
  <c r="V449" i="2"/>
  <c r="V478" i="2"/>
  <c r="V496" i="2"/>
  <c r="V501" i="2"/>
  <c r="V531" i="2"/>
  <c r="P137" i="2"/>
  <c r="P141" i="2"/>
  <c r="P149" i="2"/>
  <c r="P153" i="2"/>
  <c r="P161" i="2"/>
  <c r="P165" i="2"/>
  <c r="P173" i="2"/>
  <c r="P177" i="2"/>
  <c r="P193" i="2"/>
  <c r="P197" i="2"/>
  <c r="P201" i="2"/>
  <c r="P205" i="2"/>
  <c r="P253" i="2"/>
  <c r="P257" i="2"/>
  <c r="P261" i="2"/>
  <c r="P265" i="2"/>
  <c r="P269" i="2"/>
  <c r="P273" i="2"/>
  <c r="P277" i="2"/>
  <c r="P289" i="2"/>
  <c r="P293" i="2"/>
  <c r="P297" i="2"/>
  <c r="P301" i="2"/>
  <c r="P305" i="2"/>
  <c r="P309" i="2"/>
  <c r="P313" i="2"/>
  <c r="P321" i="2"/>
  <c r="P325" i="2"/>
  <c r="P333" i="2"/>
  <c r="P337" i="2"/>
  <c r="P345" i="2"/>
  <c r="P349" i="2"/>
  <c r="P389" i="2"/>
  <c r="P397" i="2"/>
  <c r="P401" i="2"/>
  <c r="P405" i="2"/>
  <c r="P409" i="2"/>
  <c r="P413" i="2"/>
  <c r="P421" i="2"/>
  <c r="P425" i="2"/>
  <c r="P429" i="2"/>
  <c r="P433" i="2"/>
  <c r="P553" i="2"/>
  <c r="Y13" i="2"/>
  <c r="V112" i="2"/>
  <c r="V132" i="2"/>
  <c r="V205" i="2"/>
  <c r="V216" i="2"/>
  <c r="V264" i="2"/>
  <c r="V272" i="2"/>
  <c r="V310" i="2"/>
  <c r="V382" i="2"/>
  <c r="V491" i="2"/>
  <c r="V526" i="2"/>
  <c r="V561" i="2"/>
  <c r="V610" i="2"/>
  <c r="V615" i="2"/>
  <c r="Y92" i="2"/>
  <c r="V107" i="2"/>
  <c r="V120" i="2"/>
  <c r="V130" i="2"/>
  <c r="V139" i="2"/>
  <c r="V152" i="2"/>
  <c r="V158" i="2"/>
  <c r="V168" i="2"/>
  <c r="V171" i="2"/>
  <c r="V181" i="2"/>
  <c r="V189" i="2"/>
  <c r="V213" i="2"/>
  <c r="V214" i="2"/>
  <c r="V219" i="2"/>
  <c r="V224" i="2"/>
  <c r="V239" i="2"/>
  <c r="V277" i="2"/>
  <c r="V280" i="2"/>
  <c r="V283" i="2"/>
  <c r="V285" i="2"/>
  <c r="V318" i="2"/>
  <c r="V321" i="2"/>
  <c r="V342" i="2"/>
  <c r="V343" i="2"/>
  <c r="V375" i="2"/>
  <c r="V384" i="2"/>
  <c r="V385" i="2"/>
  <c r="Y407" i="2"/>
  <c r="V479" i="2"/>
  <c r="V484" i="2"/>
  <c r="V512" i="2"/>
  <c r="V522" i="2"/>
  <c r="V552" i="2"/>
  <c r="V576" i="2"/>
  <c r="V582" i="2"/>
  <c r="V586" i="2"/>
  <c r="P560" i="2"/>
  <c r="P564" i="2"/>
  <c r="P568" i="2"/>
  <c r="P572" i="2"/>
  <c r="P580" i="2"/>
  <c r="P592" i="2"/>
  <c r="P600" i="2"/>
  <c r="P604" i="2"/>
  <c r="P612" i="2"/>
  <c r="P616" i="2"/>
  <c r="P620" i="2"/>
  <c r="Y3" i="2"/>
  <c r="V15" i="2"/>
  <c r="V31" i="2"/>
  <c r="V47" i="2"/>
  <c r="V63" i="2"/>
  <c r="V79" i="2"/>
  <c r="V88" i="2"/>
  <c r="V103" i="2"/>
  <c r="V113" i="2"/>
  <c r="Y154" i="2"/>
  <c r="Y189" i="2"/>
  <c r="V204" i="2"/>
  <c r="V217" i="2"/>
  <c r="V221" i="2"/>
  <c r="V222" i="2"/>
  <c r="V227" i="2"/>
  <c r="V232" i="2"/>
  <c r="V247" i="2"/>
  <c r="V273" i="2"/>
  <c r="V288" i="2"/>
  <c r="V291" i="2"/>
  <c r="V293" i="2"/>
  <c r="V336" i="2"/>
  <c r="V410" i="2"/>
  <c r="Y438" i="2"/>
  <c r="V441" i="2"/>
  <c r="V451" i="2"/>
  <c r="V464" i="2"/>
  <c r="V466" i="2"/>
  <c r="V469" i="2"/>
  <c r="V471" i="2"/>
  <c r="V487" i="2"/>
  <c r="V492" i="2"/>
  <c r="V502" i="2"/>
  <c r="V505" i="2"/>
  <c r="V507" i="2"/>
  <c r="V527" i="2"/>
  <c r="V534" i="2"/>
  <c r="V536" i="2"/>
  <c r="V555" i="2"/>
  <c r="V614" i="2"/>
  <c r="V13" i="2"/>
  <c r="V29" i="2"/>
  <c r="V45" i="2"/>
  <c r="V61" i="2"/>
  <c r="V77" i="2"/>
  <c r="V106" i="2"/>
  <c r="V115" i="2"/>
  <c r="V116" i="2"/>
  <c r="V128" i="2"/>
  <c r="V147" i="2"/>
  <c r="Y151" i="2"/>
  <c r="V176" i="2"/>
  <c r="V179" i="2"/>
  <c r="V184" i="2"/>
  <c r="V194" i="2"/>
  <c r="V199" i="2"/>
  <c r="V212" i="2"/>
  <c r="V225" i="2"/>
  <c r="V229" i="2"/>
  <c r="V230" i="2"/>
  <c r="V235" i="2"/>
  <c r="V240" i="2"/>
  <c r="V263" i="2"/>
  <c r="V296" i="2"/>
  <c r="V299" i="2"/>
  <c r="V301" i="2"/>
  <c r="V346" i="2"/>
  <c r="V378" i="2"/>
  <c r="Y412" i="2"/>
  <c r="V456" i="2"/>
  <c r="V459" i="2"/>
  <c r="V461" i="2"/>
  <c r="V474" i="2"/>
  <c r="V495" i="2"/>
  <c r="V520" i="2"/>
  <c r="V530" i="2"/>
  <c r="V537" i="2"/>
  <c r="V569" i="2"/>
  <c r="V570" i="2"/>
  <c r="V572" i="2"/>
  <c r="V590" i="2"/>
  <c r="V622" i="2"/>
  <c r="P283" i="2"/>
  <c r="P287" i="2"/>
  <c r="P295" i="2"/>
  <c r="P299" i="2"/>
  <c r="P523" i="2"/>
  <c r="V11" i="2"/>
  <c r="V27" i="2"/>
  <c r="V43" i="2"/>
  <c r="V59" i="2"/>
  <c r="V75" i="2"/>
  <c r="Y85" i="2"/>
  <c r="V86" i="2"/>
  <c r="Y147" i="2"/>
  <c r="V121" i="2"/>
  <c r="V143" i="2"/>
  <c r="V148" i="2"/>
  <c r="V153" i="2"/>
  <c r="V157" i="2"/>
  <c r="V160" i="2"/>
  <c r="V172" i="2"/>
  <c r="V192" i="2"/>
  <c r="V207" i="2"/>
  <c r="V220" i="2"/>
  <c r="V233" i="2"/>
  <c r="V238" i="2"/>
  <c r="V243" i="2"/>
  <c r="V248" i="2"/>
  <c r="V271" i="2"/>
  <c r="V276" i="2"/>
  <c r="V284" i="2"/>
  <c r="V289" i="2"/>
  <c r="V304" i="2"/>
  <c r="V307" i="2"/>
  <c r="V309" i="2"/>
  <c r="V324" i="2"/>
  <c r="V344" i="2"/>
  <c r="V360" i="2"/>
  <c r="V376" i="2"/>
  <c r="V386" i="2"/>
  <c r="Y401" i="2"/>
  <c r="V418" i="2"/>
  <c r="V435" i="2"/>
  <c r="V442" i="2"/>
  <c r="V467" i="2"/>
  <c r="V472" i="2"/>
  <c r="V482" i="2"/>
  <c r="V485" i="2"/>
  <c r="V500" i="2"/>
  <c r="V503" i="2"/>
  <c r="V510" i="2"/>
  <c r="V513" i="2"/>
  <c r="V535" i="2"/>
  <c r="V563" i="2"/>
  <c r="V583" i="2"/>
  <c r="V9" i="2"/>
  <c r="V25" i="2"/>
  <c r="V41" i="2"/>
  <c r="V57" i="2"/>
  <c r="V73" i="2"/>
  <c r="V89" i="2"/>
  <c r="V96" i="2"/>
  <c r="V136" i="2"/>
  <c r="V182" i="2"/>
  <c r="V185" i="2"/>
  <c r="V195" i="2"/>
  <c r="V215" i="2"/>
  <c r="V228" i="2"/>
  <c r="V241" i="2"/>
  <c r="V246" i="2"/>
  <c r="V274" i="2"/>
  <c r="V279" i="2"/>
  <c r="V292" i="2"/>
  <c r="V297" i="2"/>
  <c r="V312" i="2"/>
  <c r="V315" i="2"/>
  <c r="V317" i="2"/>
  <c r="V351" i="2"/>
  <c r="V412" i="2"/>
  <c r="V452" i="2"/>
  <c r="V457" i="2"/>
  <c r="V462" i="2"/>
  <c r="V470" i="2"/>
  <c r="V475" i="2"/>
  <c r="V477" i="2"/>
  <c r="V480" i="2"/>
  <c r="V490" i="2"/>
  <c r="V493" i="2"/>
  <c r="V528" i="2"/>
  <c r="V538" i="2"/>
  <c r="V550" i="2"/>
  <c r="V568" i="2"/>
  <c r="V577" i="2"/>
  <c r="P32" i="2"/>
  <c r="P36" i="2"/>
  <c r="P40" i="2"/>
  <c r="P44" i="2"/>
  <c r="P48" i="2"/>
  <c r="P52" i="2"/>
  <c r="P60" i="2"/>
  <c r="P64" i="2"/>
  <c r="P68" i="2"/>
  <c r="P72" i="2"/>
  <c r="AD19" i="2"/>
  <c r="P147" i="2"/>
  <c r="P151" i="2"/>
  <c r="P159" i="2"/>
  <c r="P163" i="2"/>
  <c r="P171" i="2"/>
  <c r="P175" i="2"/>
  <c r="P179" i="2"/>
  <c r="P183" i="2"/>
  <c r="P187" i="2"/>
  <c r="P191" i="2"/>
  <c r="P195" i="2"/>
  <c r="P199" i="2"/>
  <c r="P203" i="2"/>
  <c r="P207" i="2"/>
  <c r="P211" i="2"/>
  <c r="P215" i="2"/>
  <c r="P219" i="2"/>
  <c r="P223" i="2"/>
  <c r="P227" i="2"/>
  <c r="P231" i="2"/>
  <c r="P235" i="2"/>
  <c r="P239" i="2"/>
  <c r="P243" i="2"/>
  <c r="P247" i="2"/>
  <c r="P251" i="2"/>
  <c r="P255" i="2"/>
  <c r="P259" i="2"/>
  <c r="P263" i="2"/>
  <c r="P267" i="2"/>
  <c r="P271" i="2"/>
  <c r="P275" i="2"/>
  <c r="P279" i="2"/>
  <c r="P291" i="2"/>
  <c r="P303" i="2"/>
  <c r="P307" i="2"/>
  <c r="P311" i="2"/>
  <c r="P315" i="2"/>
  <c r="P319" i="2"/>
  <c r="P323" i="2"/>
  <c r="P327" i="2"/>
  <c r="P331" i="2"/>
  <c r="P335" i="2"/>
  <c r="P339" i="2"/>
  <c r="P343" i="2"/>
  <c r="P347" i="2"/>
  <c r="P351" i="2"/>
  <c r="P355" i="2"/>
  <c r="P359" i="2"/>
  <c r="P363" i="2"/>
  <c r="P367" i="2"/>
  <c r="P371" i="2"/>
  <c r="P375" i="2"/>
  <c r="P379" i="2"/>
  <c r="P383" i="2"/>
  <c r="P387" i="2"/>
  <c r="P391" i="2"/>
  <c r="P395" i="2"/>
  <c r="P399" i="2"/>
  <c r="P403" i="2"/>
  <c r="P407" i="2"/>
  <c r="P411" i="2"/>
  <c r="P415" i="2"/>
  <c r="P419" i="2"/>
  <c r="P423" i="2"/>
  <c r="P427" i="2"/>
  <c r="P431" i="2"/>
  <c r="P435" i="2"/>
  <c r="P439" i="2"/>
  <c r="P447" i="2"/>
  <c r="P451" i="2"/>
  <c r="P459" i="2"/>
  <c r="P471" i="2"/>
  <c r="P475" i="2"/>
  <c r="P479" i="2"/>
  <c r="P483" i="2"/>
  <c r="P487" i="2"/>
  <c r="P491" i="2"/>
  <c r="P495" i="2"/>
  <c r="P499" i="2"/>
  <c r="P503" i="2"/>
  <c r="P507" i="2"/>
  <c r="P511" i="2"/>
  <c r="P515" i="2"/>
  <c r="P519" i="2"/>
  <c r="P527" i="2"/>
  <c r="P531" i="2"/>
  <c r="P535" i="2"/>
  <c r="P539" i="2"/>
  <c r="P543" i="2"/>
  <c r="P547" i="2"/>
  <c r="P551" i="2"/>
  <c r="P555" i="2"/>
  <c r="P559" i="2"/>
  <c r="P563" i="2"/>
  <c r="P567" i="2"/>
  <c r="P571" i="2"/>
  <c r="AD5" i="2"/>
  <c r="AD21" i="2"/>
  <c r="AD7" i="2"/>
  <c r="AD143" i="2"/>
  <c r="AD135" i="2"/>
  <c r="AD127" i="2"/>
  <c r="AD119" i="2"/>
  <c r="AD111" i="2"/>
  <c r="AD103" i="2"/>
  <c r="AD95" i="2"/>
  <c r="AD146" i="2"/>
  <c r="AD138" i="2"/>
  <c r="AD130" i="2"/>
  <c r="AD122" i="2"/>
  <c r="AD114" i="2"/>
  <c r="AD106" i="2"/>
  <c r="AD98" i="2"/>
  <c r="AD149" i="2"/>
  <c r="AD141" i="2"/>
  <c r="AD133" i="2"/>
  <c r="AD125" i="2"/>
  <c r="AD117" i="2"/>
  <c r="AD109" i="2"/>
  <c r="AD144" i="2"/>
  <c r="AD136" i="2"/>
  <c r="AD128" i="2"/>
  <c r="AD120" i="2"/>
  <c r="AD112" i="2"/>
  <c r="AD104" i="2"/>
  <c r="AD96" i="2"/>
  <c r="AD147" i="2"/>
  <c r="AD139" i="2"/>
  <c r="AD131" i="2"/>
  <c r="AD123" i="2"/>
  <c r="AD115" i="2"/>
  <c r="AD107" i="2"/>
  <c r="AD99" i="2"/>
  <c r="AD91" i="2"/>
  <c r="AD150" i="2"/>
  <c r="AD142" i="2"/>
  <c r="AD134" i="2"/>
  <c r="AD126" i="2"/>
  <c r="AD118" i="2"/>
  <c r="AD110" i="2"/>
  <c r="AD102" i="2"/>
  <c r="AD94" i="2"/>
  <c r="AD145" i="2"/>
  <c r="AD137" i="2"/>
  <c r="AD129" i="2"/>
  <c r="AD121" i="2"/>
  <c r="AD113" i="2"/>
  <c r="AD105" i="2"/>
  <c r="AD97" i="2"/>
  <c r="AD89" i="2"/>
  <c r="AD132" i="2"/>
  <c r="AD84" i="2"/>
  <c r="AD108" i="2"/>
  <c r="AD87" i="2"/>
  <c r="AD148" i="2"/>
  <c r="AD90" i="2"/>
  <c r="AD82" i="2"/>
  <c r="AD80" i="2"/>
  <c r="AD78" i="2"/>
  <c r="AD76" i="2"/>
  <c r="AD74" i="2"/>
  <c r="AD72" i="2"/>
  <c r="AD70" i="2"/>
  <c r="AD68" i="2"/>
  <c r="AD66" i="2"/>
  <c r="AD64" i="2"/>
  <c r="AD62" i="2"/>
  <c r="AD60" i="2"/>
  <c r="AD58" i="2"/>
  <c r="AD56" i="2"/>
  <c r="AD54" i="2"/>
  <c r="AD52" i="2"/>
  <c r="AD50" i="2"/>
  <c r="AD48" i="2"/>
  <c r="AD46" i="2"/>
  <c r="AD44" i="2"/>
  <c r="AD42" i="2"/>
  <c r="AD40" i="2"/>
  <c r="AD38" i="2"/>
  <c r="AD36" i="2"/>
  <c r="AD34" i="2"/>
  <c r="AD32" i="2"/>
  <c r="AD30" i="2"/>
  <c r="AD28" i="2"/>
  <c r="AD26" i="2"/>
  <c r="AD24" i="2"/>
  <c r="AD22" i="2"/>
  <c r="AD20" i="2"/>
  <c r="AD18" i="2"/>
  <c r="AD16" i="2"/>
  <c r="AD14" i="2"/>
  <c r="AD12" i="2"/>
  <c r="AD10" i="2"/>
  <c r="AD8" i="2"/>
  <c r="AD6" i="2"/>
  <c r="AD4" i="2"/>
  <c r="AD124" i="2"/>
  <c r="AD100" i="2"/>
  <c r="AD85" i="2"/>
  <c r="AD93" i="2"/>
  <c r="AD88" i="2"/>
  <c r="AD140" i="2"/>
  <c r="AD101" i="2"/>
  <c r="AD92" i="2"/>
  <c r="AD83" i="2"/>
  <c r="AD116" i="2"/>
  <c r="AD86" i="2"/>
  <c r="AD81" i="2"/>
  <c r="AD79" i="2"/>
  <c r="AD77" i="2"/>
  <c r="AD75" i="2"/>
  <c r="AD73" i="2"/>
  <c r="AD71" i="2"/>
  <c r="AD69" i="2"/>
  <c r="AD67" i="2"/>
  <c r="AD65" i="2"/>
  <c r="AD63" i="2"/>
  <c r="AD61" i="2"/>
  <c r="AD59" i="2"/>
  <c r="AD57" i="2"/>
  <c r="AD55" i="2"/>
  <c r="AD53" i="2"/>
  <c r="AD51" i="2"/>
  <c r="AD49" i="2"/>
  <c r="AD47" i="2"/>
  <c r="AD45" i="2"/>
  <c r="AD43" i="2"/>
  <c r="AD41" i="2"/>
  <c r="AD39" i="2"/>
  <c r="AD37" i="2"/>
  <c r="AD35" i="2"/>
  <c r="AD33" i="2"/>
  <c r="AD31" i="2"/>
  <c r="AD29" i="2"/>
  <c r="AD27" i="2"/>
  <c r="AD399" i="2"/>
  <c r="AD392" i="2"/>
  <c r="AD384" i="2"/>
  <c r="AD398" i="2"/>
  <c r="AD394" i="2"/>
  <c r="AD397" i="2"/>
  <c r="AD391" i="2"/>
  <c r="AD383" i="2"/>
  <c r="AD400" i="2"/>
  <c r="AD396" i="2"/>
  <c r="AD389" i="2"/>
  <c r="AD381" i="2"/>
  <c r="AD375" i="2"/>
  <c r="AD367" i="2"/>
  <c r="AD359" i="2"/>
  <c r="AD351" i="2"/>
  <c r="AD343" i="2"/>
  <c r="AD335" i="2"/>
  <c r="AD395" i="2"/>
  <c r="AD390" i="2"/>
  <c r="AD382" i="2"/>
  <c r="AD372" i="2"/>
  <c r="AD364" i="2"/>
  <c r="AD356" i="2"/>
  <c r="AD348" i="2"/>
  <c r="AD340" i="2"/>
  <c r="AD332" i="2"/>
  <c r="AD377" i="2"/>
  <c r="AD369" i="2"/>
  <c r="AD361" i="2"/>
  <c r="AD353" i="2"/>
  <c r="AD345" i="2"/>
  <c r="AD337" i="2"/>
  <c r="AD374" i="2"/>
  <c r="AD366" i="2"/>
  <c r="AD358" i="2"/>
  <c r="AD350" i="2"/>
  <c r="AD342" i="2"/>
  <c r="AD334" i="2"/>
  <c r="AD326" i="2"/>
  <c r="AD371" i="2"/>
  <c r="AD363" i="2"/>
  <c r="AD355" i="2"/>
  <c r="AD347" i="2"/>
  <c r="AD339" i="2"/>
  <c r="AD331" i="2"/>
  <c r="AD323" i="2"/>
  <c r="AD376" i="2"/>
  <c r="AD368" i="2"/>
  <c r="AD360" i="2"/>
  <c r="AD352" i="2"/>
  <c r="AD344" i="2"/>
  <c r="AD336" i="2"/>
  <c r="AD328" i="2"/>
  <c r="AD320" i="2"/>
  <c r="AD385" i="2"/>
  <c r="AD373" i="2"/>
  <c r="AD365" i="2"/>
  <c r="AD357" i="2"/>
  <c r="AD349" i="2"/>
  <c r="AD341" i="2"/>
  <c r="AD333" i="2"/>
  <c r="AD325" i="2"/>
  <c r="AD387" i="2"/>
  <c r="AD314" i="2"/>
  <c r="AD306" i="2"/>
  <c r="AD298" i="2"/>
  <c r="AD290" i="2"/>
  <c r="AD282" i="2"/>
  <c r="AD274" i="2"/>
  <c r="AD266" i="2"/>
  <c r="AD258" i="2"/>
  <c r="AD250" i="2"/>
  <c r="AD370" i="2"/>
  <c r="AD319" i="2"/>
  <c r="AD311" i="2"/>
  <c r="AD303" i="2"/>
  <c r="AD295" i="2"/>
  <c r="AD287" i="2"/>
  <c r="AD279" i="2"/>
  <c r="AD271" i="2"/>
  <c r="AD263" i="2"/>
  <c r="AD255" i="2"/>
  <c r="AD379" i="2"/>
  <c r="AD346" i="2"/>
  <c r="AD321" i="2"/>
  <c r="AD316" i="2"/>
  <c r="AD308" i="2"/>
  <c r="AD300" i="2"/>
  <c r="AD292" i="2"/>
  <c r="AD284" i="2"/>
  <c r="AD276" i="2"/>
  <c r="AD330" i="2"/>
  <c r="AD313" i="2"/>
  <c r="AD305" i="2"/>
  <c r="AD297" i="2"/>
  <c r="AD289" i="2"/>
  <c r="AD388" i="2"/>
  <c r="AD386" i="2"/>
  <c r="AD362" i="2"/>
  <c r="AD338" i="2"/>
  <c r="AD322" i="2"/>
  <c r="AD318" i="2"/>
  <c r="AD310" i="2"/>
  <c r="AD302" i="2"/>
  <c r="AD294" i="2"/>
  <c r="AD286" i="2"/>
  <c r="AD278" i="2"/>
  <c r="AD270" i="2"/>
  <c r="AD393" i="2"/>
  <c r="AD327" i="2"/>
  <c r="AD324" i="2"/>
  <c r="AD315" i="2"/>
  <c r="AD307" i="2"/>
  <c r="AD299" i="2"/>
  <c r="AD291" i="2"/>
  <c r="AD283" i="2"/>
  <c r="AD275" i="2"/>
  <c r="AD267" i="2"/>
  <c r="AD380" i="2"/>
  <c r="AD378" i="2"/>
  <c r="AD312" i="2"/>
  <c r="AD304" i="2"/>
  <c r="AD296" i="2"/>
  <c r="AD288" i="2"/>
  <c r="AD280" i="2"/>
  <c r="AD272" i="2"/>
  <c r="AD354" i="2"/>
  <c r="AD245" i="2"/>
  <c r="AD237" i="2"/>
  <c r="AD229" i="2"/>
  <c r="AD221" i="2"/>
  <c r="AD213" i="2"/>
  <c r="AD205" i="2"/>
  <c r="AD197" i="2"/>
  <c r="AD281" i="2"/>
  <c r="AD269" i="2"/>
  <c r="AD259" i="2"/>
  <c r="AD251" i="2"/>
  <c r="AD242" i="2"/>
  <c r="AD234" i="2"/>
  <c r="AD226" i="2"/>
  <c r="AD218" i="2"/>
  <c r="AD210" i="2"/>
  <c r="AD202" i="2"/>
  <c r="AD194" i="2"/>
  <c r="AD186" i="2"/>
  <c r="AD317" i="2"/>
  <c r="AD309" i="2"/>
  <c r="AD301" i="2"/>
  <c r="AD293" i="2"/>
  <c r="AD285" i="2"/>
  <c r="AD268" i="2"/>
  <c r="AD260" i="2"/>
  <c r="AD252" i="2"/>
  <c r="AD247" i="2"/>
  <c r="AD239" i="2"/>
  <c r="AD231" i="2"/>
  <c r="AD223" i="2"/>
  <c r="AD215" i="2"/>
  <c r="AD207" i="2"/>
  <c r="AD199" i="2"/>
  <c r="AD262" i="2"/>
  <c r="AD261" i="2"/>
  <c r="AD254" i="2"/>
  <c r="AD253" i="2"/>
  <c r="AD244" i="2"/>
  <c r="AD236" i="2"/>
  <c r="AD228" i="2"/>
  <c r="AD220" i="2"/>
  <c r="AD212" i="2"/>
  <c r="AD204" i="2"/>
  <c r="AD196" i="2"/>
  <c r="AD329" i="2"/>
  <c r="AD241" i="2"/>
  <c r="AD233" i="2"/>
  <c r="AD225" i="2"/>
  <c r="AD217" i="2"/>
  <c r="AD209" i="2"/>
  <c r="AD201" i="2"/>
  <c r="AD193" i="2"/>
  <c r="AD277" i="2"/>
  <c r="AD246" i="2"/>
  <c r="AD238" i="2"/>
  <c r="AD230" i="2"/>
  <c r="AD222" i="2"/>
  <c r="AD214" i="2"/>
  <c r="AD206" i="2"/>
  <c r="AD198" i="2"/>
  <c r="AD190" i="2"/>
  <c r="AD273" i="2"/>
  <c r="AD264" i="2"/>
  <c r="AD256" i="2"/>
  <c r="AD243" i="2"/>
  <c r="AD235" i="2"/>
  <c r="AD227" i="2"/>
  <c r="AD219" i="2"/>
  <c r="AD211" i="2"/>
  <c r="AD203" i="2"/>
  <c r="AD187" i="2"/>
  <c r="AD181" i="2"/>
  <c r="AD178" i="2"/>
  <c r="AD170" i="2"/>
  <c r="AD159" i="2"/>
  <c r="AD248" i="2"/>
  <c r="AD240" i="2"/>
  <c r="AD232" i="2"/>
  <c r="AD224" i="2"/>
  <c r="AD216" i="2"/>
  <c r="AD208" i="2"/>
  <c r="AD200" i="2"/>
  <c r="AD195" i="2"/>
  <c r="AD175" i="2"/>
  <c r="AD167" i="2"/>
  <c r="AD156" i="2"/>
  <c r="AD265" i="2"/>
  <c r="AD192" i="2"/>
  <c r="AD180" i="2"/>
  <c r="AD172" i="2"/>
  <c r="AD164" i="2"/>
  <c r="AD161" i="2"/>
  <c r="AD153" i="2"/>
  <c r="AD188" i="2"/>
  <c r="AD185" i="2"/>
  <c r="AD177" i="2"/>
  <c r="AD169" i="2"/>
  <c r="AD158" i="2"/>
  <c r="AD184" i="2"/>
  <c r="AD174" i="2"/>
  <c r="AD166" i="2"/>
  <c r="AD163" i="2"/>
  <c r="AD155" i="2"/>
  <c r="AD249" i="2"/>
  <c r="AD191" i="2"/>
  <c r="AD189" i="2"/>
  <c r="AD183" i="2"/>
  <c r="AD179" i="2"/>
  <c r="AD171" i="2"/>
  <c r="AD160" i="2"/>
  <c r="AD152" i="2"/>
  <c r="AD182" i="2"/>
  <c r="AD176" i="2"/>
  <c r="AD168" i="2"/>
  <c r="AD157" i="2"/>
  <c r="AD151" i="2"/>
  <c r="AD173" i="2"/>
  <c r="AD165" i="2"/>
  <c r="AD162" i="2"/>
  <c r="AD257" i="2"/>
  <c r="AD154" i="2"/>
  <c r="AD620" i="2"/>
  <c r="AD612" i="2"/>
  <c r="AD604" i="2"/>
  <c r="AD596" i="2"/>
  <c r="AD588" i="2"/>
  <c r="AD617" i="2"/>
  <c r="AD609" i="2"/>
  <c r="AD601" i="2"/>
  <c r="AD593" i="2"/>
  <c r="AD585" i="2"/>
  <c r="AD622" i="2"/>
  <c r="AD614" i="2"/>
  <c r="AD606" i="2"/>
  <c r="AD598" i="2"/>
  <c r="AD590" i="2"/>
  <c r="AD582" i="2"/>
  <c r="AD619" i="2"/>
  <c r="AD611" i="2"/>
  <c r="AD603" i="2"/>
  <c r="AD595" i="2"/>
  <c r="AD587" i="2"/>
  <c r="AD577" i="2"/>
  <c r="AD569" i="2"/>
  <c r="AD621" i="2"/>
  <c r="AD616" i="2"/>
  <c r="AD608" i="2"/>
  <c r="AD600" i="2"/>
  <c r="AD592" i="2"/>
  <c r="AD580" i="2"/>
  <c r="AD576" i="2"/>
  <c r="AD566" i="2"/>
  <c r="AD581" i="2"/>
  <c r="AD579" i="2"/>
  <c r="AD575" i="2"/>
  <c r="AD571" i="2"/>
  <c r="AD563" i="2"/>
  <c r="AD555" i="2"/>
  <c r="AD547" i="2"/>
  <c r="AD618" i="2"/>
  <c r="AD613" i="2"/>
  <c r="AD610" i="2"/>
  <c r="AD605" i="2"/>
  <c r="AD602" i="2"/>
  <c r="AD597" i="2"/>
  <c r="AD594" i="2"/>
  <c r="AD589" i="2"/>
  <c r="AD586" i="2"/>
  <c r="AD574" i="2"/>
  <c r="AD568" i="2"/>
  <c r="AD560" i="2"/>
  <c r="AD552" i="2"/>
  <c r="AD583" i="2"/>
  <c r="AD570" i="2"/>
  <c r="AD567" i="2"/>
  <c r="AD543" i="2"/>
  <c r="AD584" i="2"/>
  <c r="AD578" i="2"/>
  <c r="AD561" i="2"/>
  <c r="AD553" i="2"/>
  <c r="AD572" i="2"/>
  <c r="AD562" i="2"/>
  <c r="AD554" i="2"/>
  <c r="AD546" i="2"/>
  <c r="AD545" i="2"/>
  <c r="AD537" i="2"/>
  <c r="AD615" i="2"/>
  <c r="AD599" i="2"/>
  <c r="AD542" i="2"/>
  <c r="AD564" i="2"/>
  <c r="AD556" i="2"/>
  <c r="AD548" i="2"/>
  <c r="AD539" i="2"/>
  <c r="AD557" i="2"/>
  <c r="AD549" i="2"/>
  <c r="AD544" i="2"/>
  <c r="AD573" i="2"/>
  <c r="AD565" i="2"/>
  <c r="AD559" i="2"/>
  <c r="AD558" i="2"/>
  <c r="AD551" i="2"/>
  <c r="AD550" i="2"/>
  <c r="AD541" i="2"/>
  <c r="AD538" i="2"/>
  <c r="AD536" i="2"/>
  <c r="AD528" i="2"/>
  <c r="AD520" i="2"/>
  <c r="AD512" i="2"/>
  <c r="AD504" i="2"/>
  <c r="AD533" i="2"/>
  <c r="AD525" i="2"/>
  <c r="AD517" i="2"/>
  <c r="AD509" i="2"/>
  <c r="AD501" i="2"/>
  <c r="AD607" i="2"/>
  <c r="AD540" i="2"/>
  <c r="AD530" i="2"/>
  <c r="AD522" i="2"/>
  <c r="AD514" i="2"/>
  <c r="AD527" i="2"/>
  <c r="AD519" i="2"/>
  <c r="AD511" i="2"/>
  <c r="AD532" i="2"/>
  <c r="AD524" i="2"/>
  <c r="AD516" i="2"/>
  <c r="AD508" i="2"/>
  <c r="AD529" i="2"/>
  <c r="AD521" i="2"/>
  <c r="AD513" i="2"/>
  <c r="AD505" i="2"/>
  <c r="AD591" i="2"/>
  <c r="AD534" i="2"/>
  <c r="AD526" i="2"/>
  <c r="AD518" i="2"/>
  <c r="AD510" i="2"/>
  <c r="AD502" i="2"/>
  <c r="AD492" i="2"/>
  <c r="AD484" i="2"/>
  <c r="AD478" i="2"/>
  <c r="AD468" i="2"/>
  <c r="AD462" i="2"/>
  <c r="AD458" i="2"/>
  <c r="AD497" i="2"/>
  <c r="AD489" i="2"/>
  <c r="AD481" i="2"/>
  <c r="AD477" i="2"/>
  <c r="AD473" i="2"/>
  <c r="AD465" i="2"/>
  <c r="AD461" i="2"/>
  <c r="AD503" i="2"/>
  <c r="AD494" i="2"/>
  <c r="AD486" i="2"/>
  <c r="AD476" i="2"/>
  <c r="AD470" i="2"/>
  <c r="AD460" i="2"/>
  <c r="AD452" i="2"/>
  <c r="AD531" i="2"/>
  <c r="AD491" i="2"/>
  <c r="AD483" i="2"/>
  <c r="AD475" i="2"/>
  <c r="AD467" i="2"/>
  <c r="AD523" i="2"/>
  <c r="AD500" i="2"/>
  <c r="AD496" i="2"/>
  <c r="AD488" i="2"/>
  <c r="AD480" i="2"/>
  <c r="AD472" i="2"/>
  <c r="AD464" i="2"/>
  <c r="AD515" i="2"/>
  <c r="AD499" i="2"/>
  <c r="AD493" i="2"/>
  <c r="AD485" i="2"/>
  <c r="AD469" i="2"/>
  <c r="AD498" i="2"/>
  <c r="AD490" i="2"/>
  <c r="AD482" i="2"/>
  <c r="AD474" i="2"/>
  <c r="AD466" i="2"/>
  <c r="AD456" i="2"/>
  <c r="AD459" i="2"/>
  <c r="AD450" i="2"/>
  <c r="AD442" i="2"/>
  <c r="AD434" i="2"/>
  <c r="AD419" i="2"/>
  <c r="AD411" i="2"/>
  <c r="AD403" i="2"/>
  <c r="AD457" i="2"/>
  <c r="AD447" i="2"/>
  <c r="AD439" i="2"/>
  <c r="AD431" i="2"/>
  <c r="AD424" i="2"/>
  <c r="AD416" i="2"/>
  <c r="AD408" i="2"/>
  <c r="AD507" i="2"/>
  <c r="AD444" i="2"/>
  <c r="AD436" i="2"/>
  <c r="AD428" i="2"/>
  <c r="AD421" i="2"/>
  <c r="AD413" i="2"/>
  <c r="AD405" i="2"/>
  <c r="AD471" i="2"/>
  <c r="AD463" i="2"/>
  <c r="AD449" i="2"/>
  <c r="AD441" i="2"/>
  <c r="AD433" i="2"/>
  <c r="AD427" i="2"/>
  <c r="AD418" i="2"/>
  <c r="AD410" i="2"/>
  <c r="AD402" i="2"/>
  <c r="AD446" i="2"/>
  <c r="AD438" i="2"/>
  <c r="AD430" i="2"/>
  <c r="AD426" i="2"/>
  <c r="AD423" i="2"/>
  <c r="AD415" i="2"/>
  <c r="AD407" i="2"/>
  <c r="AD401" i="2"/>
  <c r="AD535" i="2"/>
  <c r="AD495" i="2"/>
  <c r="AD487" i="2"/>
  <c r="AD479" i="2"/>
  <c r="AD453" i="2"/>
  <c r="AD451" i="2"/>
  <c r="AD443" i="2"/>
  <c r="AD435" i="2"/>
  <c r="AD420" i="2"/>
  <c r="AD412" i="2"/>
  <c r="AD404" i="2"/>
  <c r="AD454" i="2"/>
  <c r="AD448" i="2"/>
  <c r="AD440" i="2"/>
  <c r="AD432" i="2"/>
  <c r="AD425" i="2"/>
  <c r="AD417" i="2"/>
  <c r="AD409" i="2"/>
  <c r="AD429" i="2"/>
  <c r="AD406" i="2"/>
  <c r="AD455" i="2"/>
  <c r="AD445" i="2"/>
  <c r="AD422" i="2"/>
  <c r="AD506" i="2"/>
  <c r="AD437" i="2"/>
  <c r="AD414" i="2"/>
  <c r="P466" i="2"/>
  <c r="P486" i="2"/>
  <c r="P490" i="2"/>
  <c r="P494" i="2"/>
  <c r="P498" i="2"/>
  <c r="P502" i="2"/>
  <c r="P530" i="2"/>
  <c r="P542" i="2"/>
  <c r="P546" i="2"/>
  <c r="P554" i="2"/>
  <c r="P558" i="2"/>
  <c r="P566" i="2"/>
  <c r="AD9" i="2"/>
  <c r="AD25" i="2"/>
  <c r="P18" i="2"/>
  <c r="P22" i="2"/>
  <c r="AD11" i="2"/>
  <c r="P6" i="2"/>
  <c r="P10" i="2"/>
  <c r="P9" i="2"/>
  <c r="P29" i="2"/>
  <c r="P41" i="2"/>
  <c r="P45" i="2"/>
  <c r="P57" i="2"/>
  <c r="P69" i="2"/>
  <c r="P73" i="2"/>
  <c r="P109" i="2"/>
  <c r="P181" i="2"/>
  <c r="P185" i="2"/>
  <c r="P209" i="2"/>
  <c r="P213" i="2"/>
  <c r="P217" i="2"/>
  <c r="P221" i="2"/>
  <c r="P225" i="2"/>
  <c r="P229" i="2"/>
  <c r="P233" i="2"/>
  <c r="P237" i="2"/>
  <c r="P241" i="2"/>
  <c r="P245" i="2"/>
  <c r="P249" i="2"/>
  <c r="P281" i="2"/>
  <c r="P285" i="2"/>
  <c r="P353" i="2"/>
  <c r="P357" i="2"/>
  <c r="P361" i="2"/>
  <c r="P369" i="2"/>
  <c r="P373" i="2"/>
  <c r="P377" i="2"/>
  <c r="P385" i="2"/>
  <c r="P437" i="2"/>
  <c r="P441" i="2"/>
  <c r="P445" i="2"/>
  <c r="P449" i="2"/>
  <c r="P457" i="2"/>
  <c r="P465" i="2"/>
  <c r="P473" i="2"/>
  <c r="P477" i="2"/>
  <c r="P481" i="2"/>
  <c r="P485" i="2"/>
  <c r="P489" i="2"/>
  <c r="P493" i="2"/>
  <c r="P497" i="2"/>
  <c r="P501" i="2"/>
  <c r="P505" i="2"/>
  <c r="P509" i="2"/>
  <c r="P513" i="2"/>
  <c r="P517" i="2"/>
  <c r="P521" i="2"/>
  <c r="P525" i="2"/>
  <c r="P529" i="2"/>
  <c r="P533" i="2"/>
  <c r="P537" i="2"/>
  <c r="P541" i="2"/>
  <c r="P545" i="2"/>
  <c r="P549" i="2"/>
  <c r="P569" i="2"/>
  <c r="P573" i="2"/>
  <c r="AD13" i="2"/>
  <c r="P5" i="2"/>
  <c r="P13" i="2"/>
  <c r="P17" i="2"/>
  <c r="P21" i="2"/>
  <c r="P33" i="2"/>
  <c r="P37" i="2"/>
  <c r="P53" i="2"/>
  <c r="P61" i="2"/>
  <c r="P65" i="2"/>
  <c r="P77" i="2"/>
  <c r="P97" i="2"/>
  <c r="P105" i="2"/>
  <c r="P189" i="2"/>
  <c r="AD15" i="2"/>
  <c r="P8" i="2"/>
  <c r="P12" i="2"/>
  <c r="P16" i="2"/>
  <c r="P24" i="2"/>
  <c r="P28" i="2"/>
  <c r="P76" i="2"/>
  <c r="P84" i="2"/>
  <c r="P88" i="2"/>
  <c r="P96" i="2"/>
  <c r="P100" i="2"/>
  <c r="P104" i="2"/>
  <c r="P108" i="2"/>
  <c r="P112" i="2"/>
  <c r="P116" i="2"/>
  <c r="P120" i="2"/>
  <c r="P124" i="2"/>
  <c r="P128" i="2"/>
  <c r="P132" i="2"/>
  <c r="P136" i="2"/>
  <c r="P140" i="2"/>
  <c r="P144" i="2"/>
  <c r="P148" i="2"/>
  <c r="P156" i="2"/>
  <c r="P160" i="2"/>
  <c r="P168" i="2"/>
  <c r="P172" i="2"/>
  <c r="P184" i="2"/>
  <c r="P188" i="2"/>
  <c r="P196" i="2"/>
  <c r="P204" i="2"/>
  <c r="P208" i="2"/>
  <c r="P212" i="2"/>
  <c r="P216" i="2"/>
  <c r="P220" i="2"/>
  <c r="P224" i="2"/>
  <c r="P228" i="2"/>
  <c r="P232" i="2"/>
  <c r="P236" i="2"/>
  <c r="P240" i="2"/>
  <c r="P244" i="2"/>
  <c r="P248" i="2"/>
  <c r="P252" i="2"/>
  <c r="P256" i="2"/>
  <c r="P260" i="2"/>
  <c r="P264" i="2"/>
  <c r="P268" i="2"/>
  <c r="P272" i="2"/>
  <c r="P276" i="2"/>
  <c r="P280" i="2"/>
  <c r="P284" i="2"/>
  <c r="P288" i="2"/>
  <c r="P292" i="2"/>
  <c r="P296" i="2"/>
  <c r="P388" i="2"/>
  <c r="P400" i="2"/>
  <c r="P404" i="2"/>
  <c r="P412" i="2"/>
  <c r="P416" i="2"/>
  <c r="P424" i="2"/>
  <c r="P428" i="2"/>
  <c r="P432" i="2"/>
  <c r="P436" i="2"/>
  <c r="P440" i="2"/>
  <c r="P448" i="2"/>
  <c r="P452" i="2"/>
  <c r="P456" i="2"/>
  <c r="P460" i="2"/>
  <c r="P464" i="2"/>
  <c r="P472" i="2"/>
  <c r="P476" i="2"/>
  <c r="P480" i="2"/>
  <c r="P488" i="2"/>
  <c r="P492" i="2"/>
  <c r="P500" i="2"/>
  <c r="P504" i="2"/>
  <c r="P508" i="2"/>
  <c r="P512" i="2"/>
  <c r="P516" i="2"/>
  <c r="P520" i="2"/>
  <c r="P524" i="2"/>
  <c r="P528" i="2"/>
  <c r="P532" i="2"/>
  <c r="P536" i="2"/>
  <c r="P540" i="2"/>
  <c r="P544" i="2"/>
  <c r="P548" i="2"/>
  <c r="P552" i="2"/>
  <c r="AD17" i="2"/>
  <c r="Y90" i="2"/>
  <c r="Y107" i="2"/>
  <c r="Y163" i="2"/>
  <c r="P579" i="2"/>
  <c r="P583" i="2"/>
  <c r="P587" i="2"/>
  <c r="P595" i="2"/>
  <c r="P599" i="2"/>
  <c r="P607" i="2"/>
  <c r="P611" i="2"/>
  <c r="P615" i="2"/>
  <c r="P619" i="2"/>
  <c r="Y4" i="2"/>
  <c r="Y6" i="2"/>
  <c r="Y8" i="2"/>
  <c r="Y10" i="2"/>
  <c r="Y12" i="2"/>
  <c r="Y14" i="2"/>
  <c r="Y16" i="2"/>
  <c r="Y18" i="2"/>
  <c r="Y20" i="2"/>
  <c r="Y22" i="2"/>
  <c r="Y24" i="2"/>
  <c r="Y26" i="2"/>
  <c r="Y28" i="2"/>
  <c r="Y30" i="2"/>
  <c r="Y32" i="2"/>
  <c r="Y34" i="2"/>
  <c r="Y36" i="2"/>
  <c r="Y38" i="2"/>
  <c r="Y40" i="2"/>
  <c r="Y42" i="2"/>
  <c r="Y44" i="2"/>
  <c r="Y46" i="2"/>
  <c r="Y48" i="2"/>
  <c r="Y50" i="2"/>
  <c r="Y52" i="2"/>
  <c r="Y54" i="2"/>
  <c r="Y56" i="2"/>
  <c r="Y58" i="2"/>
  <c r="Y60" i="2"/>
  <c r="Y62" i="2"/>
  <c r="Y64" i="2"/>
  <c r="Y66" i="2"/>
  <c r="Y68" i="2"/>
  <c r="Y70" i="2"/>
  <c r="Y72" i="2"/>
  <c r="Y74" i="2"/>
  <c r="Y76" i="2"/>
  <c r="Y78" i="2"/>
  <c r="Y80" i="2"/>
  <c r="Y82" i="2"/>
  <c r="Y87" i="2"/>
  <c r="V98" i="2"/>
  <c r="Y100" i="2"/>
  <c r="Y131" i="2"/>
  <c r="Y166" i="2"/>
  <c r="V178" i="2"/>
  <c r="Y84" i="2"/>
  <c r="Y94" i="2"/>
  <c r="V114" i="2"/>
  <c r="Y241" i="2"/>
  <c r="Y174" i="2"/>
  <c r="Y89" i="2"/>
  <c r="V95" i="2"/>
  <c r="Y115" i="2"/>
  <c r="V138" i="2"/>
  <c r="Y86" i="2"/>
  <c r="Y99" i="2"/>
  <c r="V100" i="2"/>
  <c r="Y139" i="2"/>
  <c r="P581" i="2"/>
  <c r="P585" i="2"/>
  <c r="P589" i="2"/>
  <c r="P593" i="2"/>
  <c r="P597" i="2"/>
  <c r="P605" i="2"/>
  <c r="P609" i="2"/>
  <c r="P613" i="2"/>
  <c r="P617" i="2"/>
  <c r="Y5" i="2"/>
  <c r="Y7" i="2"/>
  <c r="Y9" i="2"/>
  <c r="Y11" i="2"/>
  <c r="Y15" i="2"/>
  <c r="Y17" i="2"/>
  <c r="Y19" i="2"/>
  <c r="Y21" i="2"/>
  <c r="Y23" i="2"/>
  <c r="Y25" i="2"/>
  <c r="Y27" i="2"/>
  <c r="Y29" i="2"/>
  <c r="Y31" i="2"/>
  <c r="Y33" i="2"/>
  <c r="Y35" i="2"/>
  <c r="Y37" i="2"/>
  <c r="Y39" i="2"/>
  <c r="Y41" i="2"/>
  <c r="Y43" i="2"/>
  <c r="Y45" i="2"/>
  <c r="Y47" i="2"/>
  <c r="Y49" i="2"/>
  <c r="Y51" i="2"/>
  <c r="Y53" i="2"/>
  <c r="Y55" i="2"/>
  <c r="Y57" i="2"/>
  <c r="Y59" i="2"/>
  <c r="Y61" i="2"/>
  <c r="Y63" i="2"/>
  <c r="Y65" i="2"/>
  <c r="Y67" i="2"/>
  <c r="Y69" i="2"/>
  <c r="Y71" i="2"/>
  <c r="Y73" i="2"/>
  <c r="Y75" i="2"/>
  <c r="Y77" i="2"/>
  <c r="Y79" i="2"/>
  <c r="Y81" i="2"/>
  <c r="Y83" i="2"/>
  <c r="Y91" i="2"/>
  <c r="V162" i="2"/>
  <c r="Y150" i="2"/>
  <c r="Y142" i="2"/>
  <c r="Y134" i="2"/>
  <c r="Y126" i="2"/>
  <c r="Y118" i="2"/>
  <c r="Y110" i="2"/>
  <c r="Y102" i="2"/>
  <c r="Y145" i="2"/>
  <c r="Y137" i="2"/>
  <c r="Y129" i="2"/>
  <c r="Y121" i="2"/>
  <c r="Y113" i="2"/>
  <c r="Y105" i="2"/>
  <c r="Y97" i="2"/>
  <c r="Y148" i="2"/>
  <c r="Y140" i="2"/>
  <c r="Y132" i="2"/>
  <c r="Y124" i="2"/>
  <c r="Y116" i="2"/>
  <c r="Y108" i="2"/>
  <c r="Y143" i="2"/>
  <c r="Y135" i="2"/>
  <c r="Y127" i="2"/>
  <c r="Y119" i="2"/>
  <c r="Y111" i="2"/>
  <c r="Y103" i="2"/>
  <c r="Y95" i="2"/>
  <c r="Y146" i="2"/>
  <c r="Y138" i="2"/>
  <c r="Y130" i="2"/>
  <c r="Y122" i="2"/>
  <c r="Y114" i="2"/>
  <c r="Y106" i="2"/>
  <c r="Y98" i="2"/>
  <c r="Y149" i="2"/>
  <c r="Y141" i="2"/>
  <c r="Y133" i="2"/>
  <c r="Y125" i="2"/>
  <c r="Y117" i="2"/>
  <c r="Y109" i="2"/>
  <c r="Y101" i="2"/>
  <c r="Y93" i="2"/>
  <c r="Y144" i="2"/>
  <c r="Y136" i="2"/>
  <c r="Y128" i="2"/>
  <c r="Y120" i="2"/>
  <c r="Y112" i="2"/>
  <c r="Y104" i="2"/>
  <c r="Y96" i="2"/>
  <c r="Y88" i="2"/>
  <c r="V111" i="2"/>
  <c r="Y123" i="2"/>
  <c r="V146" i="2"/>
  <c r="V159" i="2"/>
  <c r="V165" i="2"/>
  <c r="Y158" i="2"/>
  <c r="Y169" i="2"/>
  <c r="Y177" i="2"/>
  <c r="Y184" i="2"/>
  <c r="Y185" i="2"/>
  <c r="Y153" i="2"/>
  <c r="Y161" i="2"/>
  <c r="Y172" i="2"/>
  <c r="Y180" i="2"/>
  <c r="Y156" i="2"/>
  <c r="Y164" i="2"/>
  <c r="Y167" i="2"/>
  <c r="Y175" i="2"/>
  <c r="Y188" i="2"/>
  <c r="Y201" i="2"/>
  <c r="Y209" i="2"/>
  <c r="Y217" i="2"/>
  <c r="Y225" i="2"/>
  <c r="Y233" i="2"/>
  <c r="V259" i="2"/>
  <c r="Y400" i="2"/>
  <c r="Y396" i="2"/>
  <c r="Y393" i="2"/>
  <c r="Y385" i="2"/>
  <c r="Y399" i="2"/>
  <c r="Y395" i="2"/>
  <c r="Y398" i="2"/>
  <c r="Y392" i="2"/>
  <c r="Y384" i="2"/>
  <c r="Y376" i="2"/>
  <c r="Y368" i="2"/>
  <c r="Y360" i="2"/>
  <c r="Y352" i="2"/>
  <c r="Y344" i="2"/>
  <c r="Y336" i="2"/>
  <c r="Y397" i="2"/>
  <c r="Y387" i="2"/>
  <c r="Y386" i="2"/>
  <c r="Y379" i="2"/>
  <c r="Y373" i="2"/>
  <c r="Y365" i="2"/>
  <c r="Y357" i="2"/>
  <c r="Y349" i="2"/>
  <c r="Y341" i="2"/>
  <c r="Y333" i="2"/>
  <c r="Y389" i="2"/>
  <c r="Y388" i="2"/>
  <c r="Y381" i="2"/>
  <c r="Y380" i="2"/>
  <c r="Y378" i="2"/>
  <c r="Y370" i="2"/>
  <c r="Y362" i="2"/>
  <c r="Y354" i="2"/>
  <c r="Y346" i="2"/>
  <c r="Y338" i="2"/>
  <c r="Y390" i="2"/>
  <c r="Y382" i="2"/>
  <c r="Y375" i="2"/>
  <c r="Y367" i="2"/>
  <c r="Y359" i="2"/>
  <c r="Y351" i="2"/>
  <c r="Y343" i="2"/>
  <c r="Y335" i="2"/>
  <c r="Y327" i="2"/>
  <c r="Y372" i="2"/>
  <c r="Y364" i="2"/>
  <c r="Y356" i="2"/>
  <c r="Y348" i="2"/>
  <c r="Y340" i="2"/>
  <c r="Y332" i="2"/>
  <c r="Y324" i="2"/>
  <c r="Y391" i="2"/>
  <c r="Y383" i="2"/>
  <c r="Y377" i="2"/>
  <c r="Y369" i="2"/>
  <c r="Y361" i="2"/>
  <c r="Y353" i="2"/>
  <c r="Y345" i="2"/>
  <c r="Y337" i="2"/>
  <c r="Y329" i="2"/>
  <c r="Y321" i="2"/>
  <c r="Y394" i="2"/>
  <c r="Y374" i="2"/>
  <c r="Y366" i="2"/>
  <c r="Y358" i="2"/>
  <c r="Y350" i="2"/>
  <c r="Y342" i="2"/>
  <c r="Y334" i="2"/>
  <c r="Y326" i="2"/>
  <c r="Y315" i="2"/>
  <c r="Y307" i="2"/>
  <c r="Y299" i="2"/>
  <c r="Y291" i="2"/>
  <c r="Y283" i="2"/>
  <c r="Y275" i="2"/>
  <c r="Y267" i="2"/>
  <c r="Y259" i="2"/>
  <c r="Y251" i="2"/>
  <c r="Y355" i="2"/>
  <c r="Y331" i="2"/>
  <c r="Y323" i="2"/>
  <c r="Y312" i="2"/>
  <c r="Y304" i="2"/>
  <c r="Y296" i="2"/>
  <c r="Y288" i="2"/>
  <c r="Y280" i="2"/>
  <c r="Y272" i="2"/>
  <c r="Y264" i="2"/>
  <c r="Y256" i="2"/>
  <c r="Y320" i="2"/>
  <c r="Y317" i="2"/>
  <c r="Y309" i="2"/>
  <c r="Y301" i="2"/>
  <c r="Y293" i="2"/>
  <c r="Y285" i="2"/>
  <c r="Y277" i="2"/>
  <c r="Y371" i="2"/>
  <c r="Y314" i="2"/>
  <c r="Y306" i="2"/>
  <c r="Y298" i="2"/>
  <c r="Y290" i="2"/>
  <c r="Y347" i="2"/>
  <c r="Y328" i="2"/>
  <c r="Y319" i="2"/>
  <c r="Y311" i="2"/>
  <c r="Y303" i="2"/>
  <c r="Y295" i="2"/>
  <c r="Y287" i="2"/>
  <c r="Y279" i="2"/>
  <c r="Y271" i="2"/>
  <c r="Y325" i="2"/>
  <c r="Y316" i="2"/>
  <c r="Y308" i="2"/>
  <c r="Y300" i="2"/>
  <c r="Y292" i="2"/>
  <c r="Y284" i="2"/>
  <c r="Y276" i="2"/>
  <c r="Y268" i="2"/>
  <c r="Y363" i="2"/>
  <c r="Y339" i="2"/>
  <c r="Y330" i="2"/>
  <c r="Y313" i="2"/>
  <c r="Y305" i="2"/>
  <c r="Y297" i="2"/>
  <c r="Y289" i="2"/>
  <c r="Y281" i="2"/>
  <c r="Y273" i="2"/>
  <c r="Y270" i="2"/>
  <c r="Y246" i="2"/>
  <c r="Y238" i="2"/>
  <c r="Y230" i="2"/>
  <c r="Y222" i="2"/>
  <c r="Y214" i="2"/>
  <c r="Y206" i="2"/>
  <c r="Y198" i="2"/>
  <c r="Y322" i="2"/>
  <c r="Y243" i="2"/>
  <c r="Y235" i="2"/>
  <c r="Y227" i="2"/>
  <c r="Y219" i="2"/>
  <c r="Y211" i="2"/>
  <c r="Y203" i="2"/>
  <c r="Y195" i="2"/>
  <c r="Y187" i="2"/>
  <c r="Y282" i="2"/>
  <c r="Y269" i="2"/>
  <c r="Y266" i="2"/>
  <c r="Y265" i="2"/>
  <c r="Y258" i="2"/>
  <c r="Y257" i="2"/>
  <c r="Y250" i="2"/>
  <c r="Y249" i="2"/>
  <c r="Y248" i="2"/>
  <c r="Y240" i="2"/>
  <c r="Y232" i="2"/>
  <c r="Y224" i="2"/>
  <c r="Y216" i="2"/>
  <c r="Y208" i="2"/>
  <c r="Y200" i="2"/>
  <c r="Y245" i="2"/>
  <c r="Y237" i="2"/>
  <c r="Y229" i="2"/>
  <c r="Y221" i="2"/>
  <c r="Y213" i="2"/>
  <c r="Y205" i="2"/>
  <c r="Y197" i="2"/>
  <c r="Y261" i="2"/>
  <c r="Y253" i="2"/>
  <c r="Y242" i="2"/>
  <c r="Y234" i="2"/>
  <c r="Y226" i="2"/>
  <c r="Y218" i="2"/>
  <c r="Y210" i="2"/>
  <c r="Y202" i="2"/>
  <c r="Y194" i="2"/>
  <c r="Y186" i="2"/>
  <c r="Y318" i="2"/>
  <c r="Y310" i="2"/>
  <c r="Y302" i="2"/>
  <c r="Y294" i="2"/>
  <c r="Y286" i="2"/>
  <c r="Y260" i="2"/>
  <c r="Y252" i="2"/>
  <c r="Y247" i="2"/>
  <c r="Y239" i="2"/>
  <c r="Y231" i="2"/>
  <c r="Y223" i="2"/>
  <c r="Y215" i="2"/>
  <c r="Y207" i="2"/>
  <c r="Y199" i="2"/>
  <c r="Y191" i="2"/>
  <c r="Y278" i="2"/>
  <c r="Y274" i="2"/>
  <c r="Y262" i="2"/>
  <c r="Y254" i="2"/>
  <c r="Y244" i="2"/>
  <c r="Y236" i="2"/>
  <c r="Y228" i="2"/>
  <c r="Y220" i="2"/>
  <c r="Y212" i="2"/>
  <c r="Y204" i="2"/>
  <c r="Y159" i="2"/>
  <c r="Y170" i="2"/>
  <c r="Y178" i="2"/>
  <c r="V191" i="2"/>
  <c r="Y192" i="2"/>
  <c r="Y196" i="2"/>
  <c r="V198" i="2"/>
  <c r="Y263" i="2"/>
  <c r="Y162" i="2"/>
  <c r="Y165" i="2"/>
  <c r="Y173" i="2"/>
  <c r="Y181" i="2"/>
  <c r="V188" i="2"/>
  <c r="Y190" i="2"/>
  <c r="Y193" i="2"/>
  <c r="V251" i="2"/>
  <c r="Y157" i="2"/>
  <c r="Y168" i="2"/>
  <c r="Y176" i="2"/>
  <c r="Y182" i="2"/>
  <c r="Y255" i="2"/>
  <c r="Y152" i="2"/>
  <c r="Y160" i="2"/>
  <c r="Y171" i="2"/>
  <c r="Y179" i="2"/>
  <c r="Y183" i="2"/>
  <c r="V187" i="2"/>
  <c r="V281" i="2"/>
  <c r="V290" i="2"/>
  <c r="V298" i="2"/>
  <c r="V306" i="2"/>
  <c r="V314" i="2"/>
  <c r="V252" i="2"/>
  <c r="V260" i="2"/>
  <c r="V268" i="2"/>
  <c r="V367" i="2"/>
  <c r="V370" i="2"/>
  <c r="V373" i="2"/>
  <c r="V381" i="2"/>
  <c r="V322" i="2"/>
  <c r="V327" i="2"/>
  <c r="V354" i="2"/>
  <c r="V357" i="2"/>
  <c r="V389" i="2"/>
  <c r="V330" i="2"/>
  <c r="V338" i="2"/>
  <c r="V341" i="2"/>
  <c r="V359" i="2"/>
  <c r="V362" i="2"/>
  <c r="V365" i="2"/>
  <c r="V388" i="2"/>
  <c r="V335" i="2"/>
  <c r="V390" i="2"/>
  <c r="V393" i="2"/>
  <c r="V396" i="2"/>
  <c r="Y423" i="2"/>
  <c r="Y446" i="2"/>
  <c r="Y460" i="2"/>
  <c r="V400" i="2"/>
  <c r="V403" i="2"/>
  <c r="V406" i="2"/>
  <c r="V409" i="2"/>
  <c r="V429" i="2"/>
  <c r="V432" i="2"/>
  <c r="V411" i="2"/>
  <c r="V414" i="2"/>
  <c r="V417" i="2"/>
  <c r="V434" i="2"/>
  <c r="V437" i="2"/>
  <c r="V440" i="2"/>
  <c r="V428" i="2"/>
  <c r="Y458" i="2"/>
  <c r="V422" i="2"/>
  <c r="V425" i="2"/>
  <c r="V445" i="2"/>
  <c r="V448" i="2"/>
  <c r="Y402" i="2"/>
  <c r="Y410" i="2"/>
  <c r="Y418" i="2"/>
  <c r="Y426" i="2"/>
  <c r="Y433" i="2"/>
  <c r="Y441" i="2"/>
  <c r="Y449" i="2"/>
  <c r="Y452" i="2"/>
  <c r="V454" i="2"/>
  <c r="Y464" i="2"/>
  <c r="Y472" i="2"/>
  <c r="Y405" i="2"/>
  <c r="Y413" i="2"/>
  <c r="Y421" i="2"/>
  <c r="Y436" i="2"/>
  <c r="Y444" i="2"/>
  <c r="V460" i="2"/>
  <c r="Y550" i="2"/>
  <c r="Y408" i="2"/>
  <c r="Y416" i="2"/>
  <c r="Y424" i="2"/>
  <c r="Y427" i="2"/>
  <c r="Y431" i="2"/>
  <c r="Y439" i="2"/>
  <c r="Y447" i="2"/>
  <c r="Y621" i="2"/>
  <c r="Y613" i="2"/>
  <c r="Y605" i="2"/>
  <c r="Y597" i="2"/>
  <c r="Y589" i="2"/>
  <c r="Y618" i="2"/>
  <c r="Y610" i="2"/>
  <c r="Y602" i="2"/>
  <c r="Y594" i="2"/>
  <c r="Y586" i="2"/>
  <c r="Y615" i="2"/>
  <c r="Y607" i="2"/>
  <c r="Y599" i="2"/>
  <c r="Y591" i="2"/>
  <c r="Y583" i="2"/>
  <c r="Y620" i="2"/>
  <c r="Y612" i="2"/>
  <c r="Y604" i="2"/>
  <c r="Y596" i="2"/>
  <c r="Y588" i="2"/>
  <c r="Y580" i="2"/>
  <c r="Y622" i="2"/>
  <c r="Y584" i="2"/>
  <c r="Y578" i="2"/>
  <c r="Y570" i="2"/>
  <c r="Y577" i="2"/>
  <c r="Y567" i="2"/>
  <c r="Y614" i="2"/>
  <c r="Y606" i="2"/>
  <c r="Y598" i="2"/>
  <c r="Y590" i="2"/>
  <c r="Y576" i="2"/>
  <c r="Y572" i="2"/>
  <c r="Y564" i="2"/>
  <c r="Y556" i="2"/>
  <c r="Y548" i="2"/>
  <c r="Y619" i="2"/>
  <c r="Y611" i="2"/>
  <c r="Y603" i="2"/>
  <c r="Y595" i="2"/>
  <c r="Y587" i="2"/>
  <c r="Y575" i="2"/>
  <c r="Y569" i="2"/>
  <c r="Y561" i="2"/>
  <c r="Y553" i="2"/>
  <c r="Y617" i="2"/>
  <c r="Y601" i="2"/>
  <c r="Y579" i="2"/>
  <c r="Y568" i="2"/>
  <c r="Y557" i="2"/>
  <c r="Y549" i="2"/>
  <c r="Y544" i="2"/>
  <c r="Y585" i="2"/>
  <c r="Y582" i="2"/>
  <c r="Y573" i="2"/>
  <c r="Y565" i="2"/>
  <c r="Y559" i="2"/>
  <c r="Y551" i="2"/>
  <c r="Y608" i="2"/>
  <c r="Y592" i="2"/>
  <c r="Y581" i="2"/>
  <c r="Y560" i="2"/>
  <c r="Y552" i="2"/>
  <c r="Y538" i="2"/>
  <c r="Y543" i="2"/>
  <c r="Y609" i="2"/>
  <c r="Y593" i="2"/>
  <c r="Y574" i="2"/>
  <c r="Y566" i="2"/>
  <c r="Y540" i="2"/>
  <c r="Y563" i="2"/>
  <c r="Y562" i="2"/>
  <c r="Y555" i="2"/>
  <c r="Y554" i="2"/>
  <c r="Y547" i="2"/>
  <c r="Y546" i="2"/>
  <c r="Y545" i="2"/>
  <c r="Y537" i="2"/>
  <c r="Y616" i="2"/>
  <c r="Y600" i="2"/>
  <c r="Y542" i="2"/>
  <c r="Y529" i="2"/>
  <c r="Y521" i="2"/>
  <c r="Y513" i="2"/>
  <c r="Y505" i="2"/>
  <c r="Y535" i="2"/>
  <c r="Y534" i="2"/>
  <c r="Y526" i="2"/>
  <c r="Y518" i="2"/>
  <c r="Y510" i="2"/>
  <c r="Y502" i="2"/>
  <c r="Y541" i="2"/>
  <c r="Y536" i="2"/>
  <c r="Y531" i="2"/>
  <c r="Y523" i="2"/>
  <c r="Y515" i="2"/>
  <c r="Y571" i="2"/>
  <c r="Y528" i="2"/>
  <c r="Y520" i="2"/>
  <c r="Y512" i="2"/>
  <c r="Y558" i="2"/>
  <c r="Y533" i="2"/>
  <c r="Y525" i="2"/>
  <c r="Y517" i="2"/>
  <c r="Y509" i="2"/>
  <c r="Y530" i="2"/>
  <c r="Y522" i="2"/>
  <c r="Y514" i="2"/>
  <c r="Y506" i="2"/>
  <c r="Y539" i="2"/>
  <c r="Y527" i="2"/>
  <c r="Y519" i="2"/>
  <c r="Y511" i="2"/>
  <c r="Y503" i="2"/>
  <c r="Y508" i="2"/>
  <c r="Y507" i="2"/>
  <c r="Y501" i="2"/>
  <c r="Y499" i="2"/>
  <c r="Y493" i="2"/>
  <c r="Y485" i="2"/>
  <c r="Y479" i="2"/>
  <c r="Y469" i="2"/>
  <c r="Y463" i="2"/>
  <c r="Y459" i="2"/>
  <c r="Y498" i="2"/>
  <c r="Y490" i="2"/>
  <c r="Y482" i="2"/>
  <c r="Y478" i="2"/>
  <c r="Y474" i="2"/>
  <c r="Y466" i="2"/>
  <c r="Y462" i="2"/>
  <c r="Y504" i="2"/>
  <c r="Y495" i="2"/>
  <c r="Y487" i="2"/>
  <c r="Y477" i="2"/>
  <c r="Y471" i="2"/>
  <c r="Y461" i="2"/>
  <c r="Y453" i="2"/>
  <c r="Y492" i="2"/>
  <c r="Y484" i="2"/>
  <c r="Y476" i="2"/>
  <c r="Y468" i="2"/>
  <c r="Y497" i="2"/>
  <c r="Y489" i="2"/>
  <c r="Y481" i="2"/>
  <c r="Y473" i="2"/>
  <c r="Y465" i="2"/>
  <c r="Y532" i="2"/>
  <c r="Y494" i="2"/>
  <c r="Y486" i="2"/>
  <c r="Y470" i="2"/>
  <c r="Y524" i="2"/>
  <c r="Y500" i="2"/>
  <c r="Y491" i="2"/>
  <c r="Y483" i="2"/>
  <c r="Y475" i="2"/>
  <c r="Y467" i="2"/>
  <c r="Y457" i="2"/>
  <c r="Y403" i="2"/>
  <c r="Y411" i="2"/>
  <c r="Y419" i="2"/>
  <c r="Y428" i="2"/>
  <c r="Y434" i="2"/>
  <c r="Y442" i="2"/>
  <c r="Y450" i="2"/>
  <c r="Y406" i="2"/>
  <c r="Y414" i="2"/>
  <c r="Y422" i="2"/>
  <c r="Y429" i="2"/>
  <c r="Y437" i="2"/>
  <c r="Y445" i="2"/>
  <c r="Y456" i="2"/>
  <c r="Y409" i="2"/>
  <c r="Y417" i="2"/>
  <c r="Y425" i="2"/>
  <c r="Y432" i="2"/>
  <c r="Y440" i="2"/>
  <c r="Y448" i="2"/>
  <c r="Y455" i="2"/>
  <c r="V458" i="2"/>
  <c r="Y516" i="2"/>
  <c r="Y404" i="2"/>
  <c r="Y420" i="2"/>
  <c r="Y435" i="2"/>
  <c r="Y443" i="2"/>
  <c r="Y451" i="2"/>
  <c r="Y454" i="2"/>
  <c r="Y480" i="2"/>
  <c r="Y488" i="2"/>
  <c r="Y496" i="2"/>
  <c r="V506" i="2"/>
  <c r="V540" i="2"/>
  <c r="V523" i="2"/>
  <c r="V543" i="2"/>
  <c r="V545" i="2"/>
  <c r="V541" i="2"/>
  <c r="V549" i="2"/>
  <c r="V557" i="2"/>
  <c r="V565" i="2"/>
  <c r="V573" i="2"/>
  <c r="V546" i="2"/>
  <c r="V554" i="2"/>
  <c r="V562" i="2"/>
  <c r="V578" i="2"/>
  <c r="V584" i="2"/>
  <c r="V581" i="2"/>
  <c r="V589" i="2"/>
  <c r="V597" i="2"/>
  <c r="V605" i="2"/>
  <c r="V613" i="2"/>
  <c r="V592" i="2"/>
  <c r="V600" i="2"/>
  <c r="V608" i="2"/>
  <c r="V616" i="2"/>
  <c r="V587" i="2"/>
  <c r="V595" i="2"/>
  <c r="V603" i="2"/>
  <c r="V611" i="2"/>
  <c r="V619" i="2"/>
  <c r="V621" i="2"/>
  <c r="P603" i="2"/>
  <c r="P455" i="2"/>
  <c r="P19" i="2"/>
  <c r="P368" i="2"/>
  <c r="P596" i="2"/>
  <c r="P584" i="2"/>
  <c r="P534" i="2"/>
  <c r="P522" i="2"/>
  <c r="P510" i="2"/>
  <c r="P468" i="2"/>
  <c r="P408" i="2"/>
  <c r="P378" i="2"/>
  <c r="P202" i="2"/>
  <c r="P642" i="2"/>
  <c r="P588" i="2"/>
  <c r="P590" i="2"/>
  <c r="P574" i="2"/>
  <c r="P562" i="2"/>
  <c r="P550" i="2"/>
  <c r="P47" i="2"/>
  <c r="P461" i="2"/>
  <c r="P192" i="2"/>
  <c r="P180" i="2"/>
  <c r="P420" i="2"/>
  <c r="P396" i="2"/>
  <c r="P384" i="2"/>
  <c r="P372" i="2"/>
  <c r="P143" i="2"/>
  <c r="P382" i="2"/>
  <c r="P366" i="2"/>
  <c r="P360" i="2"/>
  <c r="P354" i="2"/>
  <c r="P342" i="2"/>
  <c r="P43" i="2"/>
  <c r="P89" i="2"/>
  <c r="W55" i="2"/>
  <c r="P85" i="2"/>
  <c r="P81" i="2"/>
  <c r="P91" i="2"/>
  <c r="P49" i="2"/>
  <c r="C4" i="5"/>
  <c r="S66" i="1"/>
  <c r="C7" i="5"/>
  <c r="S125" i="1"/>
  <c r="C3" i="5"/>
  <c r="S43" i="1"/>
  <c r="C6" i="5"/>
  <c r="S103" i="1"/>
  <c r="C2" i="5"/>
  <c r="S22" i="1"/>
  <c r="C5" i="5"/>
  <c r="S87" i="1"/>
  <c r="C8" i="5"/>
  <c r="S147" i="1"/>
  <c r="P633" i="2"/>
  <c r="P646" i="2"/>
  <c r="P630" i="2"/>
  <c r="P640" i="2"/>
  <c r="P644" i="2"/>
  <c r="P623" i="2"/>
  <c r="P638" i="2"/>
  <c r="P651" i="2"/>
  <c r="P649" i="2"/>
  <c r="P645" i="2"/>
  <c r="P631" i="2"/>
  <c r="P648" i="2"/>
  <c r="P628" i="2"/>
  <c r="P652" i="2"/>
  <c r="P634" i="2"/>
  <c r="P624" i="2"/>
  <c r="P636" i="2"/>
  <c r="P639" i="2"/>
  <c r="P627" i="2"/>
  <c r="P637" i="2"/>
  <c r="P653" i="2"/>
  <c r="P625" i="2"/>
  <c r="P643" i="2"/>
  <c r="P641" i="2"/>
  <c r="W152" i="2"/>
  <c r="P626" i="2"/>
  <c r="P650" i="2"/>
  <c r="P632" i="2"/>
  <c r="P629" i="2"/>
  <c r="W155" i="2"/>
  <c r="W153" i="2"/>
  <c r="W158" i="2"/>
  <c r="P635" i="2"/>
  <c r="W647" i="2"/>
  <c r="W156" i="2"/>
  <c r="W180" i="2"/>
  <c r="W154" i="2"/>
  <c r="P647" i="2"/>
  <c r="W151" i="2"/>
  <c r="W157" i="2"/>
  <c r="W623" i="2"/>
  <c r="W625" i="2"/>
  <c r="W627" i="2"/>
  <c r="W629" i="2"/>
  <c r="W631" i="2"/>
  <c r="W633" i="2"/>
  <c r="W635" i="2"/>
  <c r="W637" i="2"/>
  <c r="W639" i="2"/>
  <c r="W641" i="2"/>
  <c r="W643" i="2"/>
  <c r="W645" i="2"/>
  <c r="W624" i="2"/>
  <c r="W626" i="2"/>
  <c r="W628" i="2"/>
  <c r="W630" i="2"/>
  <c r="W632" i="2"/>
  <c r="W634" i="2"/>
  <c r="W636" i="2"/>
  <c r="W638" i="2"/>
  <c r="W640" i="2"/>
  <c r="W642" i="2"/>
  <c r="W644" i="2"/>
  <c r="W646" i="2"/>
  <c r="W649" i="2"/>
  <c r="W648" i="2"/>
  <c r="W651" i="2"/>
  <c r="W650" i="2"/>
  <c r="W383" i="2"/>
  <c r="W175" i="2"/>
  <c r="W173" i="2"/>
  <c r="W182" i="2"/>
  <c r="W194" i="2"/>
  <c r="W177" i="2"/>
  <c r="W231" i="2"/>
  <c r="W242" i="2"/>
  <c r="W213" i="2"/>
  <c r="W192" i="2"/>
  <c r="W250" i="2"/>
  <c r="W235" i="2"/>
  <c r="W246" i="2"/>
  <c r="W233" i="2"/>
  <c r="W292" i="2"/>
  <c r="W228" i="2"/>
  <c r="W311" i="2"/>
  <c r="W306" i="2"/>
  <c r="W293" i="2"/>
  <c r="W312" i="2"/>
  <c r="W307" i="2"/>
  <c r="W294" i="2"/>
  <c r="W257" i="2"/>
  <c r="W369" i="2"/>
  <c r="W327" i="2"/>
  <c r="W338" i="2"/>
  <c r="W388" i="2"/>
  <c r="W373" i="2"/>
  <c r="W360" i="2"/>
  <c r="W371" i="2"/>
  <c r="W392" i="2"/>
  <c r="W391" i="2"/>
  <c r="W188" i="2"/>
  <c r="W181" i="2"/>
  <c r="W260" i="2"/>
  <c r="W184" i="2"/>
  <c r="W239" i="2"/>
  <c r="W253" i="2"/>
  <c r="W221" i="2"/>
  <c r="W200" i="2"/>
  <c r="W258" i="2"/>
  <c r="W243" i="2"/>
  <c r="W280" i="2"/>
  <c r="W241" i="2"/>
  <c r="W300" i="2"/>
  <c r="W236" i="2"/>
  <c r="W319" i="2"/>
  <c r="W314" i="2"/>
  <c r="W301" i="2"/>
  <c r="W323" i="2"/>
  <c r="W315" i="2"/>
  <c r="W302" i="2"/>
  <c r="W265" i="2"/>
  <c r="W324" i="2"/>
  <c r="W335" i="2"/>
  <c r="W346" i="2"/>
  <c r="W389" i="2"/>
  <c r="W379" i="2"/>
  <c r="W368" i="2"/>
  <c r="W334" i="2"/>
  <c r="W394" i="2"/>
  <c r="W397" i="2"/>
  <c r="W619" i="2"/>
  <c r="W611" i="2"/>
  <c r="W603" i="2"/>
  <c r="W595" i="2"/>
  <c r="W587" i="2"/>
  <c r="W616" i="2"/>
  <c r="W608" i="2"/>
  <c r="W600" i="2"/>
  <c r="W592" i="2"/>
  <c r="W621" i="2"/>
  <c r="W613" i="2"/>
  <c r="W605" i="2"/>
  <c r="W597" i="2"/>
  <c r="W589" i="2"/>
  <c r="W581" i="2"/>
  <c r="W618" i="2"/>
  <c r="W610" i="2"/>
  <c r="W602" i="2"/>
  <c r="W594" i="2"/>
  <c r="W586" i="2"/>
  <c r="W620" i="2"/>
  <c r="W612" i="2"/>
  <c r="W604" i="2"/>
  <c r="W596" i="2"/>
  <c r="W588" i="2"/>
  <c r="W583" i="2"/>
  <c r="W568" i="2"/>
  <c r="W617" i="2"/>
  <c r="W609" i="2"/>
  <c r="W601" i="2"/>
  <c r="W593" i="2"/>
  <c r="W585" i="2"/>
  <c r="W573" i="2"/>
  <c r="W565" i="2"/>
  <c r="W622" i="2"/>
  <c r="W584" i="2"/>
  <c r="W578" i="2"/>
  <c r="W570" i="2"/>
  <c r="W562" i="2"/>
  <c r="W554" i="2"/>
  <c r="W546" i="2"/>
  <c r="W577" i="2"/>
  <c r="W567" i="2"/>
  <c r="W559" i="2"/>
  <c r="W551" i="2"/>
  <c r="W576" i="2"/>
  <c r="W564" i="2"/>
  <c r="W556" i="2"/>
  <c r="W548" i="2"/>
  <c r="W542" i="2"/>
  <c r="W607" i="2"/>
  <c r="W606" i="2"/>
  <c r="W591" i="2"/>
  <c r="W571" i="2"/>
  <c r="W558" i="2"/>
  <c r="W550" i="2"/>
  <c r="W590" i="2"/>
  <c r="W579" i="2"/>
  <c r="W557" i="2"/>
  <c r="W549" i="2"/>
  <c r="W544" i="2"/>
  <c r="W536" i="2"/>
  <c r="W582" i="2"/>
  <c r="W575" i="2"/>
  <c r="W572" i="2"/>
  <c r="W561" i="2"/>
  <c r="W560" i="2"/>
  <c r="W553" i="2"/>
  <c r="W552" i="2"/>
  <c r="W538" i="2"/>
  <c r="W615" i="2"/>
  <c r="W614" i="2"/>
  <c r="W599" i="2"/>
  <c r="W598" i="2"/>
  <c r="W580" i="2"/>
  <c r="W569" i="2"/>
  <c r="W543" i="2"/>
  <c r="W574" i="2"/>
  <c r="W566" i="2"/>
  <c r="W540" i="2"/>
  <c r="W563" i="2"/>
  <c r="W539" i="2"/>
  <c r="W527" i="2"/>
  <c r="W519" i="2"/>
  <c r="W511" i="2"/>
  <c r="W503" i="2"/>
  <c r="W547" i="2"/>
  <c r="W532" i="2"/>
  <c r="W524" i="2"/>
  <c r="W516" i="2"/>
  <c r="W508" i="2"/>
  <c r="W529" i="2"/>
  <c r="W521" i="2"/>
  <c r="W513" i="2"/>
  <c r="W535" i="2"/>
  <c r="W534" i="2"/>
  <c r="W526" i="2"/>
  <c r="W518" i="2"/>
  <c r="W510" i="2"/>
  <c r="W555" i="2"/>
  <c r="W541" i="2"/>
  <c r="W531" i="2"/>
  <c r="W523" i="2"/>
  <c r="W515" i="2"/>
  <c r="W507" i="2"/>
  <c r="W537" i="2"/>
  <c r="W528" i="2"/>
  <c r="W520" i="2"/>
  <c r="W512" i="2"/>
  <c r="W504" i="2"/>
  <c r="W545" i="2"/>
  <c r="W533" i="2"/>
  <c r="W525" i="2"/>
  <c r="W517" i="2"/>
  <c r="W509" i="2"/>
  <c r="W501" i="2"/>
  <c r="W500" i="2"/>
  <c r="W491" i="2"/>
  <c r="W483" i="2"/>
  <c r="W475" i="2"/>
  <c r="W467" i="2"/>
  <c r="W506" i="2"/>
  <c r="W496" i="2"/>
  <c r="W488" i="2"/>
  <c r="W480" i="2"/>
  <c r="W472" i="2"/>
  <c r="W464" i="2"/>
  <c r="W530" i="2"/>
  <c r="W505" i="2"/>
  <c r="W499" i="2"/>
  <c r="W493" i="2"/>
  <c r="W485" i="2"/>
  <c r="W479" i="2"/>
  <c r="W469" i="2"/>
  <c r="W463" i="2"/>
  <c r="W459" i="2"/>
  <c r="W522" i="2"/>
  <c r="W498" i="2"/>
  <c r="W490" i="2"/>
  <c r="W482" i="2"/>
  <c r="W478" i="2"/>
  <c r="W474" i="2"/>
  <c r="W466" i="2"/>
  <c r="W462" i="2"/>
  <c r="W514" i="2"/>
  <c r="W495" i="2"/>
  <c r="W487" i="2"/>
  <c r="W477" i="2"/>
  <c r="W471" i="2"/>
  <c r="W461" i="2"/>
  <c r="W502" i="2"/>
  <c r="W492" i="2"/>
  <c r="W484" i="2"/>
  <c r="W476" i="2"/>
  <c r="W468" i="2"/>
  <c r="W497" i="2"/>
  <c r="W489" i="2"/>
  <c r="W481" i="2"/>
  <c r="W473" i="2"/>
  <c r="W465" i="2"/>
  <c r="W455" i="2"/>
  <c r="W452" i="2"/>
  <c r="W449" i="2"/>
  <c r="W441" i="2"/>
  <c r="W433" i="2"/>
  <c r="W426" i="2"/>
  <c r="W418" i="2"/>
  <c r="W410" i="2"/>
  <c r="W402" i="2"/>
  <c r="W460" i="2"/>
  <c r="W453" i="2"/>
  <c r="W446" i="2"/>
  <c r="W438" i="2"/>
  <c r="W430" i="2"/>
  <c r="W423" i="2"/>
  <c r="W415" i="2"/>
  <c r="W407" i="2"/>
  <c r="W401" i="2"/>
  <c r="W470" i="2"/>
  <c r="W454" i="2"/>
  <c r="W451" i="2"/>
  <c r="W443" i="2"/>
  <c r="W435" i="2"/>
  <c r="W420" i="2"/>
  <c r="W412" i="2"/>
  <c r="W404" i="2"/>
  <c r="W448" i="2"/>
  <c r="W440" i="2"/>
  <c r="W432" i="2"/>
  <c r="W425" i="2"/>
  <c r="W417" i="2"/>
  <c r="W409" i="2"/>
  <c r="W494" i="2"/>
  <c r="W486" i="2"/>
  <c r="W456" i="2"/>
  <c r="W445" i="2"/>
  <c r="W437" i="2"/>
  <c r="W429" i="2"/>
  <c r="W422" i="2"/>
  <c r="W414" i="2"/>
  <c r="W406" i="2"/>
  <c r="W457" i="2"/>
  <c r="W450" i="2"/>
  <c r="W442" i="2"/>
  <c r="W434" i="2"/>
  <c r="W428" i="2"/>
  <c r="W419" i="2"/>
  <c r="W411" i="2"/>
  <c r="W403" i="2"/>
  <c r="W458" i="2"/>
  <c r="W447" i="2"/>
  <c r="W439" i="2"/>
  <c r="W431" i="2"/>
  <c r="W427" i="2"/>
  <c r="W424" i="2"/>
  <c r="W416" i="2"/>
  <c r="W408" i="2"/>
  <c r="W444" i="2"/>
  <c r="W421" i="2"/>
  <c r="W436" i="2"/>
  <c r="W413" i="2"/>
  <c r="W405" i="2"/>
  <c r="W172" i="2"/>
  <c r="W159" i="2"/>
  <c r="W187" i="2"/>
  <c r="W267" i="2"/>
  <c r="W163" i="2"/>
  <c r="W186" i="2"/>
  <c r="W247" i="2"/>
  <c r="W261" i="2"/>
  <c r="W229" i="2"/>
  <c r="W208" i="2"/>
  <c r="W266" i="2"/>
  <c r="W198" i="2"/>
  <c r="W185" i="2"/>
  <c r="W255" i="2"/>
  <c r="W308" i="2"/>
  <c r="W244" i="2"/>
  <c r="W328" i="2"/>
  <c r="W321" i="2"/>
  <c r="W309" i="2"/>
  <c r="W331" i="2"/>
  <c r="W326" i="2"/>
  <c r="W310" i="2"/>
  <c r="W273" i="2"/>
  <c r="W332" i="2"/>
  <c r="W343" i="2"/>
  <c r="W354" i="2"/>
  <c r="W325" i="2"/>
  <c r="W386" i="2"/>
  <c r="W376" i="2"/>
  <c r="W342" i="2"/>
  <c r="W382" i="2"/>
  <c r="W398" i="2"/>
  <c r="Q621" i="2"/>
  <c r="Q610" i="2"/>
  <c r="Q599" i="2"/>
  <c r="Q596" i="2"/>
  <c r="Q611" i="2"/>
  <c r="Q587" i="2"/>
  <c r="AE587" i="2"/>
  <c r="Q592" i="2"/>
  <c r="Q548" i="2"/>
  <c r="Q585" i="2"/>
  <c r="Q544" i="2"/>
  <c r="AE544" i="2"/>
  <c r="Q560" i="2"/>
  <c r="Q538" i="2"/>
  <c r="Q554" i="2"/>
  <c r="Q546" i="2"/>
  <c r="Q543" i="2"/>
  <c r="AE543" i="2"/>
  <c r="Q540" i="2"/>
  <c r="Q547" i="2"/>
  <c r="Q545" i="2"/>
  <c r="Q568" i="2"/>
  <c r="Q542" i="2"/>
  <c r="Q535" i="2"/>
  <c r="Q529" i="2"/>
  <c r="AE529" i="2"/>
  <c r="Q521" i="2"/>
  <c r="AE521" i="2"/>
  <c r="Q513" i="2"/>
  <c r="AE513" i="2"/>
  <c r="Q505" i="2"/>
  <c r="Q541" i="2"/>
  <c r="AE541" i="2"/>
  <c r="Q536" i="2"/>
  <c r="Q534" i="2"/>
  <c r="Q526" i="2"/>
  <c r="Q518" i="2"/>
  <c r="Q510" i="2"/>
  <c r="Q502" i="2"/>
  <c r="Q549" i="2"/>
  <c r="Q531" i="2"/>
  <c r="Q523" i="2"/>
  <c r="Q515" i="2"/>
  <c r="Q537" i="2"/>
  <c r="Q528" i="2"/>
  <c r="Q520" i="2"/>
  <c r="AE520" i="2"/>
  <c r="Q512" i="2"/>
  <c r="Q533" i="2"/>
  <c r="Q525" i="2"/>
  <c r="Q517" i="2"/>
  <c r="Q509" i="2"/>
  <c r="Q539" i="2"/>
  <c r="Q530" i="2"/>
  <c r="Q522" i="2"/>
  <c r="AE522" i="2"/>
  <c r="Q514" i="2"/>
  <c r="Q506" i="2"/>
  <c r="Q527" i="2"/>
  <c r="Q519" i="2"/>
  <c r="Q511" i="2"/>
  <c r="Q503" i="2"/>
  <c r="Q504" i="2"/>
  <c r="Q499" i="2"/>
  <c r="AE499" i="2"/>
  <c r="Q493" i="2"/>
  <c r="AE493" i="2"/>
  <c r="Q485" i="2"/>
  <c r="AE485" i="2"/>
  <c r="Q479" i="2"/>
  <c r="AE479" i="2"/>
  <c r="Q469" i="2"/>
  <c r="AE469" i="2"/>
  <c r="Q463" i="2"/>
  <c r="AE463" i="2"/>
  <c r="Q459" i="2"/>
  <c r="AE459" i="2"/>
  <c r="Q498" i="2"/>
  <c r="AE498" i="2"/>
  <c r="Q490" i="2"/>
  <c r="Q482" i="2"/>
  <c r="Q478" i="2"/>
  <c r="Q474" i="2"/>
  <c r="Q466" i="2"/>
  <c r="Q462" i="2"/>
  <c r="Q495" i="2"/>
  <c r="Q487" i="2"/>
  <c r="Q477" i="2"/>
  <c r="Q471" i="2"/>
  <c r="AE471" i="2"/>
  <c r="Q461" i="2"/>
  <c r="Q453" i="2"/>
  <c r="Q492" i="2"/>
  <c r="Q484" i="2"/>
  <c r="Q476" i="2"/>
  <c r="Q468" i="2"/>
  <c r="Q532" i="2"/>
  <c r="Q497" i="2"/>
  <c r="AE497" i="2"/>
  <c r="Q489" i="2"/>
  <c r="Q481" i="2"/>
  <c r="AE481" i="2"/>
  <c r="Q473" i="2"/>
  <c r="AE473" i="2"/>
  <c r="Q465" i="2"/>
  <c r="AE465" i="2"/>
  <c r="Q524" i="2"/>
  <c r="AE524" i="2"/>
  <c r="Q494" i="2"/>
  <c r="Q486" i="2"/>
  <c r="Q470" i="2"/>
  <c r="Q516" i="2"/>
  <c r="AE516" i="2"/>
  <c r="Q507" i="2"/>
  <c r="Q500" i="2"/>
  <c r="Q491" i="2"/>
  <c r="Q483" i="2"/>
  <c r="AE483" i="2"/>
  <c r="Q475" i="2"/>
  <c r="Q467" i="2"/>
  <c r="Q457" i="2"/>
  <c r="Q455" i="2"/>
  <c r="Q451" i="2"/>
  <c r="Q443" i="2"/>
  <c r="Q435" i="2"/>
  <c r="Q420" i="2"/>
  <c r="Q412" i="2"/>
  <c r="Q404" i="2"/>
  <c r="AE404" i="2"/>
  <c r="Q448" i="2"/>
  <c r="Q440" i="2"/>
  <c r="Q432" i="2"/>
  <c r="Q425" i="2"/>
  <c r="Q417" i="2"/>
  <c r="AE417" i="2"/>
  <c r="Q409" i="2"/>
  <c r="Q456" i="2"/>
  <c r="Q445" i="2"/>
  <c r="Q437" i="2"/>
  <c r="Q429" i="2"/>
  <c r="Q422" i="2"/>
  <c r="Q414" i="2"/>
  <c r="Q406" i="2"/>
  <c r="Q508" i="2"/>
  <c r="Q458" i="2"/>
  <c r="Q450" i="2"/>
  <c r="AE450" i="2"/>
  <c r="Q442" i="2"/>
  <c r="AE442" i="2"/>
  <c r="Q434" i="2"/>
  <c r="Q428" i="2"/>
  <c r="Q419" i="2"/>
  <c r="Q411" i="2"/>
  <c r="Q403" i="2"/>
  <c r="AE403" i="2"/>
  <c r="Q472" i="2"/>
  <c r="Q464" i="2"/>
  <c r="Q447" i="2"/>
  <c r="Q439" i="2"/>
  <c r="Q431" i="2"/>
  <c r="Q427" i="2"/>
  <c r="Q424" i="2"/>
  <c r="AE424" i="2"/>
  <c r="Q416" i="2"/>
  <c r="Q408" i="2"/>
  <c r="Q444" i="2"/>
  <c r="Q436" i="2"/>
  <c r="Q421" i="2"/>
  <c r="Q413" i="2"/>
  <c r="Q405" i="2"/>
  <c r="Q496" i="2"/>
  <c r="Q488" i="2"/>
  <c r="Q480" i="2"/>
  <c r="Q460" i="2"/>
  <c r="Q452" i="2"/>
  <c r="Q449" i="2"/>
  <c r="Q441" i="2"/>
  <c r="Q433" i="2"/>
  <c r="Q426" i="2"/>
  <c r="Q418" i="2"/>
  <c r="AE418" i="2"/>
  <c r="Q410" i="2"/>
  <c r="Q402" i="2"/>
  <c r="Q430" i="2"/>
  <c r="Q407" i="2"/>
  <c r="Q401" i="2"/>
  <c r="Q501" i="2"/>
  <c r="Q454" i="2"/>
  <c r="AE454" i="2"/>
  <c r="Q446" i="2"/>
  <c r="Q423" i="2"/>
  <c r="Q415" i="2"/>
  <c r="Q438" i="2"/>
  <c r="Q400" i="2"/>
  <c r="Q392" i="2"/>
  <c r="Q360" i="2"/>
  <c r="AE360" i="2"/>
  <c r="AF360" i="2"/>
  <c r="Q352" i="2"/>
  <c r="Q344" i="2"/>
  <c r="Q336" i="2"/>
  <c r="Q373" i="2"/>
  <c r="Q357" i="2"/>
  <c r="Q349" i="2"/>
  <c r="Q341" i="2"/>
  <c r="Q333" i="2"/>
  <c r="Q390" i="2"/>
  <c r="Q378" i="2"/>
  <c r="Q354" i="2"/>
  <c r="Q346" i="2"/>
  <c r="Q338" i="2"/>
  <c r="Q375" i="2"/>
  <c r="Q359" i="2"/>
  <c r="Q351" i="2"/>
  <c r="Q343" i="2"/>
  <c r="Q335" i="2"/>
  <c r="Q327" i="2"/>
  <c r="Q356" i="2"/>
  <c r="Q348" i="2"/>
  <c r="Q340" i="2"/>
  <c r="Q332" i="2"/>
  <c r="Q324" i="2"/>
  <c r="Q369" i="2"/>
  <c r="Q353" i="2"/>
  <c r="Q345" i="2"/>
  <c r="Q337" i="2"/>
  <c r="Q329" i="2"/>
  <c r="Q321" i="2"/>
  <c r="Q358" i="2"/>
  <c r="Q350" i="2"/>
  <c r="Q342" i="2"/>
  <c r="Q334" i="2"/>
  <c r="Q326" i="2"/>
  <c r="Q355" i="2"/>
  <c r="Q315" i="2"/>
  <c r="Q307" i="2"/>
  <c r="AE307" i="2"/>
  <c r="AF307" i="2"/>
  <c r="Q299" i="2"/>
  <c r="Q291" i="2"/>
  <c r="Q283" i="2"/>
  <c r="Q275" i="2"/>
  <c r="Q267" i="2"/>
  <c r="AE267" i="2"/>
  <c r="AF267" i="2"/>
  <c r="Q259" i="2"/>
  <c r="Q251" i="2"/>
  <c r="Q331" i="2"/>
  <c r="Q323" i="2"/>
  <c r="Q312" i="2"/>
  <c r="Q304" i="2"/>
  <c r="Q296" i="2"/>
  <c r="Q288" i="2"/>
  <c r="Q280" i="2"/>
  <c r="Q272" i="2"/>
  <c r="Q264" i="2"/>
  <c r="Q256" i="2"/>
  <c r="Q320" i="2"/>
  <c r="Q317" i="2"/>
  <c r="Q309" i="2"/>
  <c r="Q301" i="2"/>
  <c r="Q293" i="2"/>
  <c r="AE293" i="2"/>
  <c r="AF293" i="2"/>
  <c r="Q285" i="2"/>
  <c r="Q277" i="2"/>
  <c r="Q347" i="2"/>
  <c r="Q328" i="2"/>
  <c r="Q325" i="2"/>
  <c r="Q314" i="2"/>
  <c r="Q306" i="2"/>
  <c r="Q298" i="2"/>
  <c r="Q290" i="2"/>
  <c r="Q330" i="2"/>
  <c r="Q319" i="2"/>
  <c r="Q311" i="2"/>
  <c r="Q303" i="2"/>
  <c r="Q295" i="2"/>
  <c r="Q287" i="2"/>
  <c r="Q279" i="2"/>
  <c r="Q271" i="2"/>
  <c r="Q339" i="2"/>
  <c r="Q316" i="2"/>
  <c r="Q308" i="2"/>
  <c r="Q300" i="2"/>
  <c r="Q292" i="2"/>
  <c r="Q284" i="2"/>
  <c r="Q276" i="2"/>
  <c r="Q268" i="2"/>
  <c r="Q322" i="2"/>
  <c r="Q313" i="2"/>
  <c r="Q305" i="2"/>
  <c r="Q297" i="2"/>
  <c r="Q289" i="2"/>
  <c r="Q281" i="2"/>
  <c r="Q273" i="2"/>
  <c r="Q282" i="2"/>
  <c r="Q269" i="2"/>
  <c r="Q265" i="2"/>
  <c r="Q257" i="2"/>
  <c r="Q249" i="2"/>
  <c r="Q246" i="2"/>
  <c r="Q238" i="2"/>
  <c r="Q230" i="2"/>
  <c r="Q222" i="2"/>
  <c r="Q214" i="2"/>
  <c r="Q206" i="2"/>
  <c r="Q198" i="2"/>
  <c r="Q243" i="2"/>
  <c r="AE243" i="2"/>
  <c r="AF243" i="2"/>
  <c r="Q235" i="2"/>
  <c r="Q227" i="2"/>
  <c r="Q219" i="2"/>
  <c r="Q211" i="2"/>
  <c r="Q203" i="2"/>
  <c r="Q195" i="2"/>
  <c r="Q187" i="2"/>
  <c r="Q266" i="2"/>
  <c r="AE266" i="2"/>
  <c r="AF266" i="2"/>
  <c r="Q258" i="2"/>
  <c r="Q250" i="2"/>
  <c r="AE250" i="2"/>
  <c r="AF250" i="2"/>
  <c r="Q248" i="2"/>
  <c r="Q240" i="2"/>
  <c r="Q232" i="2"/>
  <c r="Q224" i="2"/>
  <c r="Q216" i="2"/>
  <c r="Q208" i="2"/>
  <c r="Q200" i="2"/>
  <c r="Q318" i="2"/>
  <c r="Q310" i="2"/>
  <c r="Q302" i="2"/>
  <c r="Q294" i="2"/>
  <c r="Q286" i="2"/>
  <c r="Q245" i="2"/>
  <c r="Q237" i="2"/>
  <c r="Q229" i="2"/>
  <c r="Q221" i="2"/>
  <c r="Q213" i="2"/>
  <c r="Q205" i="2"/>
  <c r="Q197" i="2"/>
  <c r="Q278" i="2"/>
  <c r="Q274" i="2"/>
  <c r="Q261" i="2"/>
  <c r="Q260" i="2"/>
  <c r="Q253" i="2"/>
  <c r="Q252" i="2"/>
  <c r="Q242" i="2"/>
  <c r="Q234" i="2"/>
  <c r="Q226" i="2"/>
  <c r="Q218" i="2"/>
  <c r="Q210" i="2"/>
  <c r="Q202" i="2"/>
  <c r="Q194" i="2"/>
  <c r="Q186" i="2"/>
  <c r="AE186" i="2"/>
  <c r="AF186" i="2"/>
  <c r="Q262" i="2"/>
  <c r="Q254" i="2"/>
  <c r="Q247" i="2"/>
  <c r="Q239" i="2"/>
  <c r="Q231" i="2"/>
  <c r="AE231" i="2"/>
  <c r="AF231" i="2"/>
  <c r="Q223" i="2"/>
  <c r="Q215" i="2"/>
  <c r="Q207" i="2"/>
  <c r="Q199" i="2"/>
  <c r="Q191" i="2"/>
  <c r="Q244" i="2"/>
  <c r="Q236" i="2"/>
  <c r="Q228" i="2"/>
  <c r="Q220" i="2"/>
  <c r="Q212" i="2"/>
  <c r="Q204" i="2"/>
  <c r="Q183" i="2"/>
  <c r="Q179" i="2"/>
  <c r="Q171" i="2"/>
  <c r="Q160" i="2"/>
  <c r="Q152" i="2"/>
  <c r="Q263" i="2"/>
  <c r="Q196" i="2"/>
  <c r="Q193" i="2"/>
  <c r="Q192" i="2"/>
  <c r="Q182" i="2"/>
  <c r="AE182" i="2"/>
  <c r="AF182" i="2"/>
  <c r="Q176" i="2"/>
  <c r="Q168" i="2"/>
  <c r="Q157" i="2"/>
  <c r="Q151" i="2"/>
  <c r="Q241" i="2"/>
  <c r="Q233" i="2"/>
  <c r="Q225" i="2"/>
  <c r="Q217" i="2"/>
  <c r="Q209" i="2"/>
  <c r="Q201" i="2"/>
  <c r="Q190" i="2"/>
  <c r="Q181" i="2"/>
  <c r="AE181" i="2"/>
  <c r="AF181" i="2"/>
  <c r="Q173" i="2"/>
  <c r="Q165" i="2"/>
  <c r="Q162" i="2"/>
  <c r="Q154" i="2"/>
  <c r="Q188" i="2"/>
  <c r="Q178" i="2"/>
  <c r="Q170" i="2"/>
  <c r="Q159" i="2"/>
  <c r="Q175" i="2"/>
  <c r="Q167" i="2"/>
  <c r="Q164" i="2"/>
  <c r="Q156" i="2"/>
  <c r="Q270" i="2"/>
  <c r="Q185" i="2"/>
  <c r="Q180" i="2"/>
  <c r="Q172" i="2"/>
  <c r="Q161" i="2"/>
  <c r="Q153" i="2"/>
  <c r="Q189" i="2"/>
  <c r="Q184" i="2"/>
  <c r="AE184" i="2"/>
  <c r="AF184" i="2"/>
  <c r="Q177" i="2"/>
  <c r="Q169" i="2"/>
  <c r="Q158" i="2"/>
  <c r="AE158" i="2"/>
  <c r="AF158" i="2"/>
  <c r="Q255" i="2"/>
  <c r="AE255" i="2"/>
  <c r="AF255" i="2"/>
  <c r="Q174" i="2"/>
  <c r="Q166" i="2"/>
  <c r="Q163" i="2"/>
  <c r="Q155" i="2"/>
  <c r="W170" i="2"/>
  <c r="W190" i="2"/>
  <c r="W166" i="2"/>
  <c r="W191" i="2"/>
  <c r="W202" i="2"/>
  <c r="W275" i="2"/>
  <c r="W237" i="2"/>
  <c r="W216" i="2"/>
  <c r="W195" i="2"/>
  <c r="W206" i="2"/>
  <c r="W193" i="2"/>
  <c r="W256" i="2"/>
  <c r="W316" i="2"/>
  <c r="W271" i="2"/>
  <c r="W353" i="2"/>
  <c r="W377" i="2"/>
  <c r="W317" i="2"/>
  <c r="W337" i="2"/>
  <c r="W254" i="2"/>
  <c r="W318" i="2"/>
  <c r="W281" i="2"/>
  <c r="W340" i="2"/>
  <c r="W351" i="2"/>
  <c r="W362" i="2"/>
  <c r="W333" i="2"/>
  <c r="W387" i="2"/>
  <c r="W385" i="2"/>
  <c r="W350" i="2"/>
  <c r="W390" i="2"/>
  <c r="W161" i="2"/>
  <c r="W178" i="2"/>
  <c r="W160" i="2"/>
  <c r="W174" i="2"/>
  <c r="W199" i="2"/>
  <c r="W210" i="2"/>
  <c r="W276" i="2"/>
  <c r="W245" i="2"/>
  <c r="W224" i="2"/>
  <c r="W203" i="2"/>
  <c r="W214" i="2"/>
  <c r="W201" i="2"/>
  <c r="W263" i="2"/>
  <c r="W196" i="2"/>
  <c r="W279" i="2"/>
  <c r="W274" i="2"/>
  <c r="W399" i="2"/>
  <c r="W320" i="2"/>
  <c r="W361" i="2"/>
  <c r="W262" i="2"/>
  <c r="W322" i="2"/>
  <c r="W289" i="2"/>
  <c r="W348" i="2"/>
  <c r="W359" i="2"/>
  <c r="W370" i="2"/>
  <c r="W341" i="2"/>
  <c r="W395" i="2"/>
  <c r="W339" i="2"/>
  <c r="W358" i="2"/>
  <c r="W393" i="2"/>
  <c r="W171" i="2"/>
  <c r="W252" i="2"/>
  <c r="W207" i="2"/>
  <c r="W218" i="2"/>
  <c r="W189" i="2"/>
  <c r="W251" i="2"/>
  <c r="W232" i="2"/>
  <c r="W211" i="2"/>
  <c r="W222" i="2"/>
  <c r="W209" i="2"/>
  <c r="W264" i="2"/>
  <c r="W204" i="2"/>
  <c r="W287" i="2"/>
  <c r="W282" i="2"/>
  <c r="W269" i="2"/>
  <c r="W288" i="2"/>
  <c r="W283" i="2"/>
  <c r="W270" i="2"/>
  <c r="W329" i="2"/>
  <c r="W297" i="2"/>
  <c r="W356" i="2"/>
  <c r="W367" i="2"/>
  <c r="W378" i="2"/>
  <c r="W349" i="2"/>
  <c r="W336" i="2"/>
  <c r="W347" i="2"/>
  <c r="W366" i="2"/>
  <c r="W396" i="2"/>
  <c r="W164" i="2"/>
  <c r="W162" i="2"/>
  <c r="W168" i="2"/>
  <c r="W179" i="2"/>
  <c r="W215" i="2"/>
  <c r="W226" i="2"/>
  <c r="W197" i="2"/>
  <c r="W259" i="2"/>
  <c r="W240" i="2"/>
  <c r="W219" i="2"/>
  <c r="W230" i="2"/>
  <c r="W217" i="2"/>
  <c r="W272" i="2"/>
  <c r="W212" i="2"/>
  <c r="W295" i="2"/>
  <c r="W290" i="2"/>
  <c r="W277" i="2"/>
  <c r="W296" i="2"/>
  <c r="W291" i="2"/>
  <c r="W278" i="2"/>
  <c r="W345" i="2"/>
  <c r="W305" i="2"/>
  <c r="W364" i="2"/>
  <c r="W375" i="2"/>
  <c r="W380" i="2"/>
  <c r="W357" i="2"/>
  <c r="W344" i="2"/>
  <c r="W355" i="2"/>
  <c r="W374" i="2"/>
  <c r="W400" i="2"/>
  <c r="W167" i="2"/>
  <c r="W165" i="2"/>
  <c r="W176" i="2"/>
  <c r="W183" i="2"/>
  <c r="W169" i="2"/>
  <c r="W223" i="2"/>
  <c r="W234" i="2"/>
  <c r="W205" i="2"/>
  <c r="W268" i="2"/>
  <c r="W248" i="2"/>
  <c r="W227" i="2"/>
  <c r="W238" i="2"/>
  <c r="W225" i="2"/>
  <c r="W284" i="2"/>
  <c r="W220" i="2"/>
  <c r="W303" i="2"/>
  <c r="W298" i="2"/>
  <c r="W285" i="2"/>
  <c r="W304" i="2"/>
  <c r="W299" i="2"/>
  <c r="W286" i="2"/>
  <c r="W249" i="2"/>
  <c r="W313" i="2"/>
  <c r="W372" i="2"/>
  <c r="W330" i="2"/>
  <c r="W381" i="2"/>
  <c r="W365" i="2"/>
  <c r="W352" i="2"/>
  <c r="W363" i="2"/>
  <c r="W384" i="2"/>
  <c r="Q49" i="2"/>
  <c r="Q32" i="2"/>
  <c r="Q104" i="2"/>
  <c r="Q31" i="2"/>
  <c r="Q14" i="2"/>
  <c r="Q54" i="2"/>
  <c r="Q68" i="2"/>
  <c r="Q18" i="2"/>
  <c r="Q13" i="2"/>
  <c r="Q45" i="2"/>
  <c r="Q51" i="2"/>
  <c r="Q148" i="2"/>
  <c r="Q8" i="2"/>
  <c r="Q36" i="2"/>
  <c r="Q9" i="2"/>
  <c r="Q6" i="2"/>
  <c r="Q15" i="2"/>
  <c r="Q140" i="2"/>
  <c r="Q75" i="2"/>
  <c r="Q133" i="2"/>
  <c r="Q58" i="2"/>
  <c r="Q52" i="2"/>
  <c r="Q19" i="2"/>
  <c r="Q96" i="2"/>
  <c r="Q61" i="2"/>
  <c r="Q103" i="2"/>
  <c r="Q76" i="2"/>
  <c r="Q137" i="2"/>
  <c r="Q71" i="2"/>
  <c r="Q64" i="2"/>
  <c r="Q11" i="2"/>
  <c r="Q38" i="2"/>
  <c r="Q130" i="2"/>
  <c r="Q56" i="2"/>
  <c r="Q67" i="2"/>
  <c r="Q24" i="2"/>
  <c r="Q42" i="2"/>
  <c r="Q139" i="2"/>
  <c r="Q77" i="2"/>
  <c r="Q138" i="2"/>
  <c r="Q70" i="2"/>
  <c r="Q29" i="2"/>
  <c r="Q126" i="2"/>
  <c r="Q39" i="2"/>
  <c r="Q81" i="2"/>
  <c r="Q146" i="2"/>
  <c r="Q5" i="2"/>
  <c r="Q37" i="2"/>
  <c r="Q50" i="2"/>
  <c r="Q121" i="2"/>
  <c r="Q4" i="2"/>
  <c r="Q21" i="2"/>
  <c r="Q57" i="2"/>
  <c r="Q72" i="2"/>
  <c r="Q12" i="2"/>
  <c r="Q44" i="2"/>
  <c r="Q33" i="2"/>
  <c r="Q55" i="2"/>
  <c r="Q10" i="2"/>
  <c r="Q25" i="2"/>
  <c r="Q78" i="2"/>
  <c r="Q30" i="2"/>
  <c r="Q59" i="2"/>
  <c r="Q60" i="2"/>
  <c r="Q23" i="2"/>
  <c r="Q107" i="2"/>
  <c r="Q65" i="2"/>
  <c r="Q111" i="2"/>
  <c r="Q80" i="2"/>
  <c r="Q28" i="2"/>
  <c r="Q82" i="2"/>
  <c r="Q110" i="2"/>
  <c r="Q73" i="2"/>
  <c r="Q74" i="2"/>
  <c r="Q40" i="2"/>
  <c r="Q84" i="2"/>
  <c r="Q35" i="2"/>
  <c r="Q83" i="2"/>
  <c r="Q144" i="2"/>
  <c r="Q48" i="2"/>
  <c r="Q16" i="2"/>
  <c r="Q46" i="2"/>
  <c r="Q116" i="2"/>
  <c r="Q113" i="2"/>
  <c r="Q102" i="2"/>
  <c r="Q63" i="2"/>
  <c r="Q136" i="2"/>
  <c r="Q53" i="2"/>
  <c r="Q90" i="2"/>
  <c r="Q134" i="2"/>
  <c r="Q47" i="2"/>
  <c r="Q98" i="2"/>
  <c r="Q17" i="2"/>
  <c r="Q62" i="2"/>
  <c r="Q41" i="2"/>
  <c r="Q79" i="2"/>
  <c r="Q20" i="2"/>
  <c r="Q26" i="2"/>
  <c r="Q7" i="2"/>
  <c r="Q91" i="2"/>
  <c r="Q34" i="2"/>
  <c r="Q85" i="2"/>
  <c r="Q27" i="2"/>
  <c r="Q118" i="2"/>
  <c r="Q69" i="2"/>
  <c r="Q119" i="2"/>
  <c r="Q122" i="2"/>
  <c r="W143" i="2"/>
  <c r="W135" i="2"/>
  <c r="W119" i="2"/>
  <c r="W111" i="2"/>
  <c r="W103" i="2"/>
  <c r="W95" i="2"/>
  <c r="W81" i="2"/>
  <c r="W77" i="2"/>
  <c r="W73" i="2"/>
  <c r="W69" i="2"/>
  <c r="W65" i="2"/>
  <c r="W144" i="2"/>
  <c r="W136" i="2"/>
  <c r="W128" i="2"/>
  <c r="W120" i="2"/>
  <c r="W112" i="2"/>
  <c r="W104" i="2"/>
  <c r="W96" i="2"/>
  <c r="W88" i="2"/>
  <c r="W141" i="2"/>
  <c r="W133" i="2"/>
  <c r="W125" i="2"/>
  <c r="W117" i="2"/>
  <c r="W109" i="2"/>
  <c r="W101" i="2"/>
  <c r="W93" i="2"/>
  <c r="W85" i="2"/>
  <c r="W82" i="2"/>
  <c r="W78" i="2"/>
  <c r="W74" i="2"/>
  <c r="W70" i="2"/>
  <c r="W62" i="2"/>
  <c r="W58" i="2"/>
  <c r="W54" i="2"/>
  <c r="W50" i="2"/>
  <c r="W142" i="2"/>
  <c r="W131" i="2"/>
  <c r="W110" i="2"/>
  <c r="W99" i="2"/>
  <c r="W63" i="2"/>
  <c r="W48" i="2"/>
  <c r="W44" i="2"/>
  <c r="W40" i="2"/>
  <c r="W36" i="2"/>
  <c r="W32" i="2"/>
  <c r="W28" i="2"/>
  <c r="W24" i="2"/>
  <c r="W20" i="2"/>
  <c r="W140" i="2"/>
  <c r="W130" i="2"/>
  <c r="W121" i="2"/>
  <c r="W108" i="2"/>
  <c r="W98" i="2"/>
  <c r="W89" i="2"/>
  <c r="W150" i="2"/>
  <c r="W139" i="2"/>
  <c r="W118" i="2"/>
  <c r="W107" i="2"/>
  <c r="W61" i="2"/>
  <c r="W53" i="2"/>
  <c r="W47" i="2"/>
  <c r="W39" i="2"/>
  <c r="W35" i="2"/>
  <c r="W31" i="2"/>
  <c r="W148" i="2"/>
  <c r="W138" i="2"/>
  <c r="W129" i="2"/>
  <c r="W116" i="2"/>
  <c r="W106" i="2"/>
  <c r="W97" i="2"/>
  <c r="W86" i="2"/>
  <c r="W60" i="2"/>
  <c r="W52" i="2"/>
  <c r="W134" i="2"/>
  <c r="W124" i="2"/>
  <c r="W71" i="2"/>
  <c r="W68" i="2"/>
  <c r="W42" i="2"/>
  <c r="W34" i="2"/>
  <c r="W18" i="2"/>
  <c r="W145" i="2"/>
  <c r="W83" i="2"/>
  <c r="W80" i="2"/>
  <c r="W56" i="2"/>
  <c r="W17" i="2"/>
  <c r="W12" i="2"/>
  <c r="W8" i="2"/>
  <c r="W4" i="2"/>
  <c r="W3" i="2"/>
  <c r="AE3" i="2"/>
  <c r="AF3" i="2"/>
  <c r="W146" i="2"/>
  <c r="W132" i="2"/>
  <c r="W126" i="2"/>
  <c r="W100" i="2"/>
  <c r="W90" i="2"/>
  <c r="W84" i="2"/>
  <c r="W51" i="2"/>
  <c r="W16" i="2"/>
  <c r="W147" i="2"/>
  <c r="W137" i="2"/>
  <c r="W115" i="2"/>
  <c r="W114" i="2"/>
  <c r="W113" i="2"/>
  <c r="W91" i="2"/>
  <c r="W75" i="2"/>
  <c r="W72" i="2"/>
  <c r="W57" i="2"/>
  <c r="W45" i="2"/>
  <c r="W37" i="2"/>
  <c r="W29" i="2"/>
  <c r="W27" i="2"/>
  <c r="W11" i="2"/>
  <c r="W7" i="2"/>
  <c r="W6" i="2"/>
  <c r="W92" i="2"/>
  <c r="W46" i="2"/>
  <c r="W38" i="2"/>
  <c r="W30" i="2"/>
  <c r="W26" i="2"/>
  <c r="W25" i="2"/>
  <c r="W15" i="2"/>
  <c r="W102" i="2"/>
  <c r="W94" i="2"/>
  <c r="W67" i="2"/>
  <c r="W64" i="2"/>
  <c r="W23" i="2"/>
  <c r="W10" i="2"/>
  <c r="W122" i="2"/>
  <c r="W79" i="2"/>
  <c r="W76" i="2"/>
  <c r="W59" i="2"/>
  <c r="W21" i="2"/>
  <c r="W14" i="2"/>
  <c r="W123" i="2"/>
  <c r="W49" i="2"/>
  <c r="W41" i="2"/>
  <c r="W33" i="2"/>
  <c r="W19" i="2"/>
  <c r="W13" i="2"/>
  <c r="W9" i="2"/>
  <c r="W5" i="2"/>
  <c r="Q393" i="2"/>
  <c r="Q613" i="2"/>
  <c r="Q377" i="2"/>
  <c r="Q380" i="2"/>
  <c r="Q379" i="2"/>
  <c r="AE379" i="2"/>
  <c r="AF379" i="2"/>
  <c r="Q368" i="2"/>
  <c r="Q398" i="2"/>
  <c r="AE480" i="2"/>
  <c r="AE458" i="2"/>
  <c r="AE435" i="2"/>
  <c r="AE478" i="2"/>
  <c r="Q601" i="2"/>
  <c r="AE549" i="2"/>
  <c r="Q571" i="2"/>
  <c r="AE571" i="2"/>
  <c r="Q566" i="2"/>
  <c r="Q562" i="2"/>
  <c r="Q584" i="2"/>
  <c r="AE584" i="2"/>
  <c r="Q553" i="2"/>
  <c r="AE553" i="2"/>
  <c r="Q556" i="2"/>
  <c r="AE556" i="2"/>
  <c r="Q600" i="2"/>
  <c r="Q590" i="2"/>
  <c r="Q614" i="2"/>
  <c r="Q604" i="2"/>
  <c r="AE604" i="2"/>
  <c r="Q607" i="2"/>
  <c r="Q618" i="2"/>
  <c r="Q363" i="2"/>
  <c r="Q371" i="2"/>
  <c r="Q394" i="2"/>
  <c r="Q364" i="2"/>
  <c r="Q381" i="2"/>
  <c r="Q387" i="2"/>
  <c r="Q376" i="2"/>
  <c r="Q395" i="2"/>
  <c r="Q558" i="2"/>
  <c r="AE558" i="2"/>
  <c r="Q574" i="2"/>
  <c r="Q593" i="2"/>
  <c r="AE593" i="2"/>
  <c r="Q561" i="2"/>
  <c r="Q564" i="2"/>
  <c r="AE564" i="2"/>
  <c r="Q608" i="2"/>
  <c r="AE608" i="2"/>
  <c r="Q595" i="2"/>
  <c r="Q619" i="2"/>
  <c r="Q612" i="2"/>
  <c r="Q615" i="2"/>
  <c r="Q589" i="2"/>
  <c r="AE229" i="2"/>
  <c r="AF229" i="2"/>
  <c r="Q396" i="2"/>
  <c r="Q372" i="2"/>
  <c r="Q382" i="2"/>
  <c r="Q386" i="2"/>
  <c r="Q399" i="2"/>
  <c r="Q617" i="2"/>
  <c r="AE617" i="2"/>
  <c r="AF617" i="2"/>
  <c r="Q573" i="2"/>
  <c r="Q622" i="2"/>
  <c r="Q609" i="2"/>
  <c r="AE609" i="2"/>
  <c r="Q551" i="2"/>
  <c r="Q569" i="2"/>
  <c r="Q572" i="2"/>
  <c r="Q616" i="2"/>
  <c r="Q598" i="2"/>
  <c r="Q570" i="2"/>
  <c r="Q620" i="2"/>
  <c r="Q586" i="2"/>
  <c r="Q597" i="2"/>
  <c r="AE597" i="2"/>
  <c r="Q366" i="2"/>
  <c r="Q383" i="2"/>
  <c r="AE383" i="2"/>
  <c r="AF383" i="2"/>
  <c r="Q362" i="2"/>
  <c r="Q388" i="2"/>
  <c r="Q397" i="2"/>
  <c r="Q385" i="2"/>
  <c r="Q565" i="2"/>
  <c r="Q579" i="2"/>
  <c r="Q555" i="2"/>
  <c r="Q559" i="2"/>
  <c r="Q575" i="2"/>
  <c r="Q576" i="2"/>
  <c r="Q567" i="2"/>
  <c r="Q603" i="2"/>
  <c r="Q578" i="2"/>
  <c r="Q583" i="2"/>
  <c r="Q594" i="2"/>
  <c r="Q605" i="2"/>
  <c r="Q374" i="2"/>
  <c r="Q361" i="2"/>
  <c r="Q391" i="2"/>
  <c r="Q367" i="2"/>
  <c r="Q370" i="2"/>
  <c r="Q389" i="2"/>
  <c r="Q365" i="2"/>
  <c r="Q384" i="2"/>
  <c r="Q557" i="2"/>
  <c r="Q550" i="2"/>
  <c r="Q563" i="2"/>
  <c r="Q552" i="2"/>
  <c r="AE552" i="2"/>
  <c r="Q582" i="2"/>
  <c r="AE582" i="2"/>
  <c r="Q581" i="2"/>
  <c r="Q580" i="2"/>
  <c r="Q577" i="2"/>
  <c r="Q606" i="2"/>
  <c r="AE606" i="2"/>
  <c r="Q588" i="2"/>
  <c r="Q591" i="2"/>
  <c r="Q602" i="2"/>
  <c r="AE446" i="2"/>
  <c r="AE500" i="2"/>
  <c r="AE565" i="2"/>
  <c r="AE579" i="2"/>
  <c r="AE555" i="2"/>
  <c r="AG556" i="2"/>
  <c r="AE436" i="2"/>
  <c r="AE411" i="2"/>
  <c r="AE476" i="2"/>
  <c r="AE477" i="2"/>
  <c r="AE488" i="2"/>
  <c r="AE419" i="2"/>
  <c r="AF419" i="2"/>
  <c r="AE445" i="2"/>
  <c r="AE595" i="2"/>
  <c r="AE551" i="2"/>
  <c r="AE569" i="2"/>
  <c r="AE620" i="2"/>
  <c r="AF620" i="2"/>
  <c r="AE394" i="2"/>
  <c r="AF394" i="2"/>
  <c r="AE369" i="2"/>
  <c r="AF369" i="2"/>
  <c r="AE306" i="2"/>
  <c r="AF306" i="2"/>
  <c r="AG307" i="2"/>
  <c r="AE310" i="2"/>
  <c r="AF310" i="2"/>
  <c r="AE314" i="2"/>
  <c r="AF314" i="2"/>
  <c r="AE324" i="2"/>
  <c r="AF324" i="2"/>
  <c r="Q123" i="2"/>
  <c r="AE123" i="2"/>
  <c r="AF123" i="2"/>
  <c r="Q94" i="2"/>
  <c r="AE94" i="2"/>
  <c r="AF94" i="2"/>
  <c r="Q135" i="2"/>
  <c r="AE135" i="2"/>
  <c r="AF135" i="2"/>
  <c r="Q97" i="2"/>
  <c r="Q145" i="2"/>
  <c r="AE145" i="2"/>
  <c r="AF145" i="2"/>
  <c r="Q109" i="2"/>
  <c r="AE109" i="2"/>
  <c r="AF109" i="2"/>
  <c r="Q92" i="2"/>
  <c r="AE92" i="2"/>
  <c r="AF92" i="2"/>
  <c r="Q93" i="2"/>
  <c r="AE93" i="2"/>
  <c r="AF93" i="2"/>
  <c r="Q128" i="2"/>
  <c r="Q101" i="2"/>
  <c r="AE101" i="2"/>
  <c r="AF101" i="2"/>
  <c r="Q142" i="2"/>
  <c r="AE142" i="2"/>
  <c r="AF142" i="2"/>
  <c r="Q131" i="2"/>
  <c r="AE131" i="2"/>
  <c r="AF131" i="2"/>
  <c r="Q120" i="2"/>
  <c r="AE120" i="2"/>
  <c r="AF120" i="2"/>
  <c r="Q112" i="2"/>
  <c r="Q115" i="2"/>
  <c r="AE115" i="2"/>
  <c r="AF115" i="2"/>
  <c r="Q86" i="2"/>
  <c r="AE86" i="2"/>
  <c r="AF86" i="2"/>
  <c r="Q114" i="2"/>
  <c r="AE114" i="2"/>
  <c r="AF114" i="2"/>
  <c r="Q147" i="2"/>
  <c r="AE147" i="2"/>
  <c r="AF147" i="2"/>
  <c r="Q143" i="2"/>
  <c r="AE143" i="2"/>
  <c r="AF143" i="2"/>
  <c r="Q150" i="2"/>
  <c r="AE150" i="2"/>
  <c r="Q99" i="2"/>
  <c r="AE99" i="2"/>
  <c r="AF99" i="2"/>
  <c r="Q88" i="2"/>
  <c r="AE88" i="2"/>
  <c r="AF88" i="2"/>
  <c r="Q129" i="2"/>
  <c r="AE129" i="2"/>
  <c r="AF129" i="2"/>
  <c r="Q124" i="2"/>
  <c r="Q141" i="2"/>
  <c r="AE141" i="2"/>
  <c r="AF141" i="2"/>
  <c r="Q132" i="2"/>
  <c r="AE265" i="2"/>
  <c r="AF265" i="2"/>
  <c r="AE346" i="2"/>
  <c r="AF346" i="2"/>
  <c r="AE194" i="2"/>
  <c r="AF194" i="2"/>
  <c r="AE308" i="2"/>
  <c r="AF308" i="2"/>
  <c r="AG308" i="2"/>
  <c r="AE260" i="2"/>
  <c r="AF260" i="2"/>
  <c r="AE368" i="2"/>
  <c r="AF368" i="2"/>
  <c r="AE175" i="2"/>
  <c r="AF175" i="2"/>
  <c r="AE242" i="2"/>
  <c r="AF242" i="2"/>
  <c r="AG243" i="2"/>
  <c r="AE239" i="2"/>
  <c r="AF239" i="2"/>
  <c r="AE198" i="2"/>
  <c r="AF198" i="2"/>
  <c r="AE246" i="2"/>
  <c r="AF246" i="2"/>
  <c r="AE328" i="2"/>
  <c r="AF328" i="2"/>
  <c r="AE323" i="2"/>
  <c r="AF323" i="2"/>
  <c r="AE391" i="2"/>
  <c r="AF391" i="2"/>
  <c r="AE280" i="2"/>
  <c r="AF280" i="2"/>
  <c r="AE157" i="2"/>
  <c r="AF157" i="2"/>
  <c r="AE156" i="2"/>
  <c r="AF156" i="2"/>
  <c r="AE342" i="2"/>
  <c r="AF342" i="2"/>
  <c r="AE338" i="2"/>
  <c r="AF338" i="2"/>
  <c r="Q125" i="2"/>
  <c r="AE125" i="2"/>
  <c r="AF125" i="2"/>
  <c r="AE68" i="2"/>
  <c r="AF68" i="2"/>
  <c r="Q106" i="2"/>
  <c r="AE106" i="2"/>
  <c r="AF106" i="2"/>
  <c r="Q95" i="2"/>
  <c r="AE95" i="2"/>
  <c r="AF95" i="2"/>
  <c r="Q117" i="2"/>
  <c r="AE117" i="2"/>
  <c r="AF117" i="2"/>
  <c r="Q89" i="2"/>
  <c r="AE89" i="2"/>
  <c r="AF89" i="2"/>
  <c r="Q108" i="2"/>
  <c r="AE108" i="2"/>
  <c r="AF108" i="2"/>
  <c r="Q100" i="2"/>
  <c r="AE100" i="2"/>
  <c r="AF100" i="2"/>
  <c r="AE46" i="2"/>
  <c r="AF46" i="2"/>
  <c r="AE58" i="2"/>
  <c r="AF58" i="2"/>
  <c r="AE559" i="2"/>
  <c r="AE200" i="2"/>
  <c r="AF200" i="2"/>
  <c r="AE542" i="2"/>
  <c r="AF542" i="2"/>
  <c r="AE331" i="2"/>
  <c r="AF331" i="2"/>
  <c r="AE501" i="2"/>
  <c r="AE460" i="2"/>
  <c r="AE506" i="2"/>
  <c r="AE192" i="2"/>
  <c r="AF192" i="2"/>
  <c r="AE228" i="2"/>
  <c r="AF228" i="2"/>
  <c r="AG229" i="2"/>
  <c r="AE444" i="2"/>
  <c r="AG445" i="2"/>
  <c r="AE486" i="2"/>
  <c r="AE482" i="2"/>
  <c r="AE154" i="2"/>
  <c r="AF154" i="2"/>
  <c r="AE236" i="2"/>
  <c r="AF236" i="2"/>
  <c r="AE441" i="2"/>
  <c r="AE428" i="2"/>
  <c r="AF428" i="2"/>
  <c r="AE495" i="2"/>
  <c r="AE530" i="2"/>
  <c r="AE598" i="2"/>
  <c r="AE586" i="2"/>
  <c r="AG587" i="2"/>
  <c r="AE155" i="2"/>
  <c r="AF155" i="2"/>
  <c r="AE172" i="2"/>
  <c r="AF172" i="2"/>
  <c r="AE315" i="2"/>
  <c r="AF315" i="2"/>
  <c r="AE511" i="2"/>
  <c r="AE180" i="2"/>
  <c r="AF180" i="2"/>
  <c r="AG181" i="2"/>
  <c r="AE300" i="2"/>
  <c r="AF300" i="2"/>
  <c r="AE388" i="2"/>
  <c r="AF388" i="2"/>
  <c r="AE464" i="2"/>
  <c r="AE434" i="2"/>
  <c r="AE578" i="2"/>
  <c r="AE512" i="2"/>
  <c r="AG512" i="2"/>
  <c r="AE173" i="2"/>
  <c r="AF173" i="2"/>
  <c r="AE566" i="2"/>
  <c r="AE53" i="2"/>
  <c r="AF53" i="2"/>
  <c r="AE116" i="2"/>
  <c r="AF116" i="2"/>
  <c r="AE422" i="2"/>
  <c r="AF422" i="2"/>
  <c r="AE466" i="2"/>
  <c r="AF466" i="2"/>
  <c r="Q624" i="2"/>
  <c r="AE624" i="2"/>
  <c r="AE52" i="2"/>
  <c r="AF52" i="2"/>
  <c r="Q625" i="2"/>
  <c r="AE625" i="2"/>
  <c r="AF625" i="2"/>
  <c r="AE382" i="2"/>
  <c r="AF382" i="2"/>
  <c r="AG383" i="2"/>
  <c r="AE5" i="2"/>
  <c r="AF5" i="2"/>
  <c r="AE42" i="2"/>
  <c r="AF42" i="2"/>
  <c r="AE247" i="2"/>
  <c r="AF247" i="2"/>
  <c r="AE433" i="2"/>
  <c r="AE539" i="2"/>
  <c r="AE611" i="2"/>
  <c r="AE621" i="2"/>
  <c r="AE29" i="2"/>
  <c r="AF29" i="2"/>
  <c r="AE104" i="2"/>
  <c r="AF104" i="2"/>
  <c r="AE386" i="2"/>
  <c r="AF386" i="2"/>
  <c r="AE401" i="2"/>
  <c r="AF401" i="2"/>
  <c r="AE413" i="2"/>
  <c r="AE431" i="2"/>
  <c r="AE432" i="2"/>
  <c r="AF432" i="2"/>
  <c r="AE451" i="2"/>
  <c r="AF451" i="2"/>
  <c r="AE577" i="2"/>
  <c r="AE602" i="2"/>
  <c r="AE273" i="2"/>
  <c r="AF273" i="2"/>
  <c r="AE438" i="2"/>
  <c r="AF438" i="2"/>
  <c r="AE452" i="2"/>
  <c r="AE437" i="2"/>
  <c r="AG437" i="2"/>
  <c r="AE457" i="2"/>
  <c r="AF457" i="2"/>
  <c r="AE517" i="2"/>
  <c r="AE518" i="2"/>
  <c r="AE591" i="2"/>
  <c r="AF591" i="2"/>
  <c r="AE489" i="2"/>
  <c r="AG489" i="2"/>
  <c r="AE128" i="2"/>
  <c r="AF128" i="2"/>
  <c r="AE41" i="2"/>
  <c r="AF41" i="2"/>
  <c r="AE72" i="2"/>
  <c r="AF72" i="2"/>
  <c r="AE75" i="2"/>
  <c r="AF75" i="2"/>
  <c r="AE103" i="2"/>
  <c r="AF103" i="2"/>
  <c r="Q626" i="2"/>
  <c r="AE626" i="2"/>
  <c r="AF626" i="2"/>
  <c r="Q656" i="2"/>
  <c r="Q630" i="2"/>
  <c r="AE630" i="2"/>
  <c r="Q631" i="2"/>
  <c r="AE631" i="2"/>
  <c r="AF631" i="2"/>
  <c r="Q632" i="2"/>
  <c r="AE632" i="2"/>
  <c r="AF632" i="2"/>
  <c r="Q623" i="2"/>
  <c r="AE623" i="2"/>
  <c r="AF623" i="2"/>
  <c r="Q627" i="2"/>
  <c r="AE627" i="2"/>
  <c r="Q628" i="2"/>
  <c r="AE628" i="2"/>
  <c r="AF628" i="2"/>
  <c r="Q657" i="2"/>
  <c r="AE137" i="2"/>
  <c r="AF137" i="2"/>
  <c r="AE77" i="2"/>
  <c r="AF77" i="2"/>
  <c r="Q647" i="2"/>
  <c r="AE647" i="2"/>
  <c r="AF647" i="2"/>
  <c r="Q637" i="2"/>
  <c r="Q642" i="2"/>
  <c r="AE642" i="2"/>
  <c r="AF642" i="2"/>
  <c r="AE177" i="2"/>
  <c r="AF177" i="2"/>
  <c r="AE414" i="2"/>
  <c r="AE462" i="2"/>
  <c r="AF462" i="2"/>
  <c r="AE585" i="2"/>
  <c r="Q654" i="2"/>
  <c r="AE294" i="2"/>
  <c r="AF294" i="2"/>
  <c r="AE354" i="2"/>
  <c r="AF354" i="2"/>
  <c r="AE492" i="2"/>
  <c r="AG493" i="2"/>
  <c r="AE550" i="2"/>
  <c r="AF550" i="2"/>
  <c r="AE502" i="2"/>
  <c r="AE614" i="2"/>
  <c r="Q639" i="2"/>
  <c r="AE639" i="2"/>
  <c r="AF639" i="2"/>
  <c r="Q644" i="2"/>
  <c r="AE644" i="2"/>
  <c r="AF644" i="2"/>
  <c r="AE371" i="2"/>
  <c r="AF371" i="2"/>
  <c r="AE343" i="2"/>
  <c r="AF343" i="2"/>
  <c r="AE397" i="2"/>
  <c r="AF397" i="2"/>
  <c r="AE545" i="2"/>
  <c r="AF545" i="2"/>
  <c r="Q645" i="2"/>
  <c r="AE645" i="2"/>
  <c r="AF645" i="2"/>
  <c r="Q651" i="2"/>
  <c r="AE651" i="2"/>
  <c r="B39" i="4"/>
  <c r="B40" i="4"/>
  <c r="Q648" i="2"/>
  <c r="AE648" i="2"/>
  <c r="AF648" i="2"/>
  <c r="AE233" i="2"/>
  <c r="AF233" i="2"/>
  <c r="AE547" i="2"/>
  <c r="AF547" i="2"/>
  <c r="AE618" i="2"/>
  <c r="AF618" i="2"/>
  <c r="AE33" i="2"/>
  <c r="AF33" i="2"/>
  <c r="AE146" i="2"/>
  <c r="AF146" i="2"/>
  <c r="AE138" i="2"/>
  <c r="AF138" i="2"/>
  <c r="AE253" i="2"/>
  <c r="AF253" i="2"/>
  <c r="AE415" i="2"/>
  <c r="AE532" i="2"/>
  <c r="AF532" i="2"/>
  <c r="AE515" i="2"/>
  <c r="AF515" i="2"/>
  <c r="AE535" i="2"/>
  <c r="AE554" i="2"/>
  <c r="AG555" i="2"/>
  <c r="AE575" i="2"/>
  <c r="AE65" i="2"/>
  <c r="AF65" i="2"/>
  <c r="AE59" i="2"/>
  <c r="AF59" i="2"/>
  <c r="AE159" i="2"/>
  <c r="AF159" i="2"/>
  <c r="AG159" i="2"/>
  <c r="AE423" i="2"/>
  <c r="AG424" i="2"/>
  <c r="AE410" i="2"/>
  <c r="AF410" i="2"/>
  <c r="AE475" i="2"/>
  <c r="AE533" i="2"/>
  <c r="AE523" i="2"/>
  <c r="AG523" i="2"/>
  <c r="AE534" i="2"/>
  <c r="AE562" i="2"/>
  <c r="AF562" i="2"/>
  <c r="AE581" i="2"/>
  <c r="AG582" i="2"/>
  <c r="AE600" i="2"/>
  <c r="Q643" i="2"/>
  <c r="AE643" i="2"/>
  <c r="AF643" i="2"/>
  <c r="AE9" i="2"/>
  <c r="AF9" i="2"/>
  <c r="AE30" i="2"/>
  <c r="AF30" i="2"/>
  <c r="AE124" i="2"/>
  <c r="AF124" i="2"/>
  <c r="AE74" i="2"/>
  <c r="AF74" i="2"/>
  <c r="AE170" i="2"/>
  <c r="AF170" i="2"/>
  <c r="AE152" i="2"/>
  <c r="AF152" i="2"/>
  <c r="AE208" i="2"/>
  <c r="AF208" i="2"/>
  <c r="AE321" i="2"/>
  <c r="AF321" i="2"/>
  <c r="AE416" i="2"/>
  <c r="AF416" i="2"/>
  <c r="AE409" i="2"/>
  <c r="AE420" i="2"/>
  <c r="AE615" i="2"/>
  <c r="AF615" i="2"/>
  <c r="Q649" i="2"/>
  <c r="AE649" i="2"/>
  <c r="AE302" i="2"/>
  <c r="AF302" i="2"/>
  <c r="AE312" i="2"/>
  <c r="AF312" i="2"/>
  <c r="Q634" i="2"/>
  <c r="AE634" i="2"/>
  <c r="AF634" i="2"/>
  <c r="Q629" i="2"/>
  <c r="AE629" i="2"/>
  <c r="AF629" i="2"/>
  <c r="AE153" i="2"/>
  <c r="AF153" i="2"/>
  <c r="AE430" i="2"/>
  <c r="AG431" i="2"/>
  <c r="AE461" i="2"/>
  <c r="AE570" i="2"/>
  <c r="AG571" i="2"/>
  <c r="AE241" i="2"/>
  <c r="AF241" i="2"/>
  <c r="AE589" i="2"/>
  <c r="AF589" i="2"/>
  <c r="AE132" i="2"/>
  <c r="AF132" i="2"/>
  <c r="AE81" i="2"/>
  <c r="AF81" i="2"/>
  <c r="AE121" i="2"/>
  <c r="AF121" i="2"/>
  <c r="AE151" i="2"/>
  <c r="AF151" i="2"/>
  <c r="AE235" i="2"/>
  <c r="AF235" i="2"/>
  <c r="AE398" i="2"/>
  <c r="AF398" i="2"/>
  <c r="AE472" i="2"/>
  <c r="AG472" i="2"/>
  <c r="Q640" i="2"/>
  <c r="AE640" i="2"/>
  <c r="AF640" i="2"/>
  <c r="Q633" i="2"/>
  <c r="AE633" i="2"/>
  <c r="AE261" i="2"/>
  <c r="AF261" i="2"/>
  <c r="AG261" i="2"/>
  <c r="AE504" i="2"/>
  <c r="AF504" i="2"/>
  <c r="AE531" i="2"/>
  <c r="AF531" i="2"/>
  <c r="AE536" i="2"/>
  <c r="Q652" i="2"/>
  <c r="AE426" i="2"/>
  <c r="AF426" i="2"/>
  <c r="AE491" i="2"/>
  <c r="AF491" i="2"/>
  <c r="AE601" i="2"/>
  <c r="AF601" i="2"/>
  <c r="AE616" i="2"/>
  <c r="AE244" i="2"/>
  <c r="AF244" i="2"/>
  <c r="AG244" i="2"/>
  <c r="AE334" i="2"/>
  <c r="AF334" i="2"/>
  <c r="AE332" i="2"/>
  <c r="AF332" i="2"/>
  <c r="AE373" i="2"/>
  <c r="AF373" i="2"/>
  <c r="AE405" i="2"/>
  <c r="AF405" i="2"/>
  <c r="AE427" i="2"/>
  <c r="AE425" i="2"/>
  <c r="AG425" i="2"/>
  <c r="AE443" i="2"/>
  <c r="AE503" i="2"/>
  <c r="AF503" i="2"/>
  <c r="AE574" i="2"/>
  <c r="AF574" i="2"/>
  <c r="AE538" i="2"/>
  <c r="AF538" i="2"/>
  <c r="AE612" i="2"/>
  <c r="AG612" i="2"/>
  <c r="AE13" i="2"/>
  <c r="AF13" i="2"/>
  <c r="AE21" i="2"/>
  <c r="AF21" i="2"/>
  <c r="AE38" i="2"/>
  <c r="AF38" i="2"/>
  <c r="AE126" i="2"/>
  <c r="AF126" i="2"/>
  <c r="AE47" i="2"/>
  <c r="AF47" i="2"/>
  <c r="AE98" i="2"/>
  <c r="AF98" i="2"/>
  <c r="AE112" i="2"/>
  <c r="AF112" i="2"/>
  <c r="AE111" i="2"/>
  <c r="AF111" i="2"/>
  <c r="AE439" i="2"/>
  <c r="AF439" i="2"/>
  <c r="AE429" i="2"/>
  <c r="AG429" i="2"/>
  <c r="AE440" i="2"/>
  <c r="AE474" i="2"/>
  <c r="AE519" i="2"/>
  <c r="AG520" i="2"/>
  <c r="AE537" i="2"/>
  <c r="AF537" i="2"/>
  <c r="AE561" i="2"/>
  <c r="AG562" i="2"/>
  <c r="AE576" i="2"/>
  <c r="AG577" i="2"/>
  <c r="AE583" i="2"/>
  <c r="AF583" i="2"/>
  <c r="Q636" i="2"/>
  <c r="AE636" i="2"/>
  <c r="Q646" i="2"/>
  <c r="AE646" i="2"/>
  <c r="AE61" i="2"/>
  <c r="AF61" i="2"/>
  <c r="Q655" i="2"/>
  <c r="Q650" i="2"/>
  <c r="AE650" i="2"/>
  <c r="AE57" i="2"/>
  <c r="AF57" i="2"/>
  <c r="AG58" i="2"/>
  <c r="AE50" i="2"/>
  <c r="AF50" i="2"/>
  <c r="AE118" i="2"/>
  <c r="AF118" i="2"/>
  <c r="AE140" i="2"/>
  <c r="AF140" i="2"/>
  <c r="AE540" i="2"/>
  <c r="AG541" i="2"/>
  <c r="AE596" i="2"/>
  <c r="AG596" i="2"/>
  <c r="AE605" i="2"/>
  <c r="AF605" i="2"/>
  <c r="Q641" i="2"/>
  <c r="AE641" i="2"/>
  <c r="Q653" i="2"/>
  <c r="AE637" i="2"/>
  <c r="AF637" i="2"/>
  <c r="Q638" i="2"/>
  <c r="AE638" i="2"/>
  <c r="Q635" i="2"/>
  <c r="AE635" i="2"/>
  <c r="AE34" i="2"/>
  <c r="AF34" i="2"/>
  <c r="AE35" i="2"/>
  <c r="AF35" i="2"/>
  <c r="AE26" i="2"/>
  <c r="AF26" i="2"/>
  <c r="AE63" i="2"/>
  <c r="AF63" i="2"/>
  <c r="AE62" i="2"/>
  <c r="AF62" i="2"/>
  <c r="AE174" i="2"/>
  <c r="AF174" i="2"/>
  <c r="AE161" i="2"/>
  <c r="AF161" i="2"/>
  <c r="AE139" i="2"/>
  <c r="AF139" i="2"/>
  <c r="AE187" i="2"/>
  <c r="AF187" i="2"/>
  <c r="AG187" i="2"/>
  <c r="AE257" i="2"/>
  <c r="AF257" i="2"/>
  <c r="AE309" i="2"/>
  <c r="AF309" i="2"/>
  <c r="AG309" i="2"/>
  <c r="AE406" i="2"/>
  <c r="AF406" i="2"/>
  <c r="AE90" i="2"/>
  <c r="AF90" i="2"/>
  <c r="AE39" i="2"/>
  <c r="AF39" i="2"/>
  <c r="AE325" i="2"/>
  <c r="AF325" i="2"/>
  <c r="AE484" i="2"/>
  <c r="AG484" i="2"/>
  <c r="AE505" i="2"/>
  <c r="AF505" i="2"/>
  <c r="AE28" i="2"/>
  <c r="AF28" i="2"/>
  <c r="AE73" i="2"/>
  <c r="AF73" i="2"/>
  <c r="AE335" i="2"/>
  <c r="AF335" i="2"/>
  <c r="AE507" i="2"/>
  <c r="AG507" i="2"/>
  <c r="AE572" i="2"/>
  <c r="AF572" i="2"/>
  <c r="AE548" i="2"/>
  <c r="AG549" i="2"/>
  <c r="AE319" i="2"/>
  <c r="AF319" i="2"/>
  <c r="AE407" i="2"/>
  <c r="AF407" i="2"/>
  <c r="AE455" i="2"/>
  <c r="AG455" i="2"/>
  <c r="AE619" i="2"/>
  <c r="AE610" i="2"/>
  <c r="AF610" i="2"/>
  <c r="AE67" i="2"/>
  <c r="AF67" i="2"/>
  <c r="AE546" i="2"/>
  <c r="AE590" i="2"/>
  <c r="AF590" i="2"/>
  <c r="AE40" i="2"/>
  <c r="AF40" i="2"/>
  <c r="AE78" i="2"/>
  <c r="AF78" i="2"/>
  <c r="AE196" i="2"/>
  <c r="AF196" i="2"/>
  <c r="AE215" i="2"/>
  <c r="AF215" i="2"/>
  <c r="AE221" i="2"/>
  <c r="AF221" i="2"/>
  <c r="AE318" i="2"/>
  <c r="AF318" i="2"/>
  <c r="AE227" i="2"/>
  <c r="AF227" i="2"/>
  <c r="AE238" i="2"/>
  <c r="AF238" i="2"/>
  <c r="AG239" i="2"/>
  <c r="AE284" i="2"/>
  <c r="AF284" i="2"/>
  <c r="AE271" i="2"/>
  <c r="AF271" i="2"/>
  <c r="AE290" i="2"/>
  <c r="AF290" i="2"/>
  <c r="AE285" i="2"/>
  <c r="AF285" i="2"/>
  <c r="AE264" i="2"/>
  <c r="AF264" i="2"/>
  <c r="AE366" i="2"/>
  <c r="AF366" i="2"/>
  <c r="AE364" i="2"/>
  <c r="AF364" i="2"/>
  <c r="AE378" i="2"/>
  <c r="AF378" i="2"/>
  <c r="AE341" i="2"/>
  <c r="AF341" i="2"/>
  <c r="AE344" i="2"/>
  <c r="AF344" i="2"/>
  <c r="AE392" i="2"/>
  <c r="AF392" i="2"/>
  <c r="AE402" i="2"/>
  <c r="AG403" i="2"/>
  <c r="AE467" i="2"/>
  <c r="AE525" i="2"/>
  <c r="AG525" i="2"/>
  <c r="AE526" i="2"/>
  <c r="AE592" i="2"/>
  <c r="AF592" i="2"/>
  <c r="AE599" i="2"/>
  <c r="AG599" i="2"/>
  <c r="AE263" i="2"/>
  <c r="AF263" i="2"/>
  <c r="AE292" i="2"/>
  <c r="AF292" i="2"/>
  <c r="AG293" i="2"/>
  <c r="AE408" i="2"/>
  <c r="AF408" i="2"/>
  <c r="AE412" i="2"/>
  <c r="AG412" i="2"/>
  <c r="AE494" i="2"/>
  <c r="AF494" i="2"/>
  <c r="AE514" i="2"/>
  <c r="AF514" i="2"/>
  <c r="AE573" i="2"/>
  <c r="AF573" i="2"/>
  <c r="AE563" i="2"/>
  <c r="AE588" i="2"/>
  <c r="AF588" i="2"/>
  <c r="AE122" i="2"/>
  <c r="AF122" i="2"/>
  <c r="AE17" i="2"/>
  <c r="AF17" i="2"/>
  <c r="AE107" i="2"/>
  <c r="AF107" i="2"/>
  <c r="AE25" i="2"/>
  <c r="AF25" i="2"/>
  <c r="AE96" i="2"/>
  <c r="AF96" i="2"/>
  <c r="AE15" i="2"/>
  <c r="AF15" i="2"/>
  <c r="AE148" i="2"/>
  <c r="AF148" i="2"/>
  <c r="AE84" i="2"/>
  <c r="AF84" i="2"/>
  <c r="AE82" i="2"/>
  <c r="AF82" i="2"/>
  <c r="AE23" i="2"/>
  <c r="AF23" i="2"/>
  <c r="AE10" i="2"/>
  <c r="AF10" i="2"/>
  <c r="AE24" i="2"/>
  <c r="AF24" i="2"/>
  <c r="AE6" i="2"/>
  <c r="AF6" i="2"/>
  <c r="AE51" i="2"/>
  <c r="AF51" i="2"/>
  <c r="AE119" i="2"/>
  <c r="AF119" i="2"/>
  <c r="AE220" i="2"/>
  <c r="AF220" i="2"/>
  <c r="AE223" i="2"/>
  <c r="AF223" i="2"/>
  <c r="AE202" i="2"/>
  <c r="AF202" i="2"/>
  <c r="AE258" i="2"/>
  <c r="AF258" i="2"/>
  <c r="AE289" i="2"/>
  <c r="AF289" i="2"/>
  <c r="AE279" i="2"/>
  <c r="AF279" i="2"/>
  <c r="AG280" i="2"/>
  <c r="AE298" i="2"/>
  <c r="AF298" i="2"/>
  <c r="AE272" i="2"/>
  <c r="AF272" i="2"/>
  <c r="AE251" i="2"/>
  <c r="AF251" i="2"/>
  <c r="AE374" i="2"/>
  <c r="AF374" i="2"/>
  <c r="AE377" i="2"/>
  <c r="AF377" i="2"/>
  <c r="AE372" i="2"/>
  <c r="AF372" i="2"/>
  <c r="AE367" i="2"/>
  <c r="AF367" i="2"/>
  <c r="AE380" i="2"/>
  <c r="AF380" i="2"/>
  <c r="AE349" i="2"/>
  <c r="AF349" i="2"/>
  <c r="AE352" i="2"/>
  <c r="AF352" i="2"/>
  <c r="AF423" i="2"/>
  <c r="AG480" i="2"/>
  <c r="AF480" i="2"/>
  <c r="AF458" i="2"/>
  <c r="AE456" i="2"/>
  <c r="AF475" i="2"/>
  <c r="AE557" i="2"/>
  <c r="AG558" i="2"/>
  <c r="AG477" i="2"/>
  <c r="AF477" i="2"/>
  <c r="AE490" i="2"/>
  <c r="AG499" i="2"/>
  <c r="AF499" i="2"/>
  <c r="AF533" i="2"/>
  <c r="AF534" i="2"/>
  <c r="AF551" i="2"/>
  <c r="AF600" i="2"/>
  <c r="AF598" i="2"/>
  <c r="AE607" i="2"/>
  <c r="AG608" i="2"/>
  <c r="AG404" i="2"/>
  <c r="AF404" i="2"/>
  <c r="AF493" i="2"/>
  <c r="AE64" i="2"/>
  <c r="AF64" i="2"/>
  <c r="AE37" i="2"/>
  <c r="AF37" i="2"/>
  <c r="AE32" i="2"/>
  <c r="AF32" i="2"/>
  <c r="AE110" i="2"/>
  <c r="AF110" i="2"/>
  <c r="AE60" i="2"/>
  <c r="AF60" i="2"/>
  <c r="AE55" i="2"/>
  <c r="AF55" i="2"/>
  <c r="AE45" i="2"/>
  <c r="AF45" i="2"/>
  <c r="AG46" i="2"/>
  <c r="AE14" i="2"/>
  <c r="AF14" i="2"/>
  <c r="AE190" i="2"/>
  <c r="AF190" i="2"/>
  <c r="AE210" i="2"/>
  <c r="AF210" i="2"/>
  <c r="AE237" i="2"/>
  <c r="AF237" i="2"/>
  <c r="AG266" i="2"/>
  <c r="AE249" i="2"/>
  <c r="AF249" i="2"/>
  <c r="AG250" i="2"/>
  <c r="AE297" i="2"/>
  <c r="AF297" i="2"/>
  <c r="AE287" i="2"/>
  <c r="AF287" i="2"/>
  <c r="AE301" i="2"/>
  <c r="AF301" i="2"/>
  <c r="AE259" i="2"/>
  <c r="AF259" i="2"/>
  <c r="AE355" i="2"/>
  <c r="AF355" i="2"/>
  <c r="AE375" i="2"/>
  <c r="AF375" i="2"/>
  <c r="AE381" i="2"/>
  <c r="AF381" i="2"/>
  <c r="AE357" i="2"/>
  <c r="AF357" i="2"/>
  <c r="AE395" i="2"/>
  <c r="AF395" i="2"/>
  <c r="AG446" i="2"/>
  <c r="AF446" i="2"/>
  <c r="AG418" i="2"/>
  <c r="AF418" i="2"/>
  <c r="AF488" i="2"/>
  <c r="AF403" i="2"/>
  <c r="AE508" i="2"/>
  <c r="AG483" i="2"/>
  <c r="AF483" i="2"/>
  <c r="AF524" i="2"/>
  <c r="AE468" i="2"/>
  <c r="AG469" i="2"/>
  <c r="AE487" i="2"/>
  <c r="AG498" i="2"/>
  <c r="AF498" i="2"/>
  <c r="AF522" i="2"/>
  <c r="AG522" i="2"/>
  <c r="AG565" i="2"/>
  <c r="AF565" i="2"/>
  <c r="AF579" i="2"/>
  <c r="AG579" i="2"/>
  <c r="AF593" i="2"/>
  <c r="AG559" i="2"/>
  <c r="AF559" i="2"/>
  <c r="AF608" i="2"/>
  <c r="AE603" i="2"/>
  <c r="AG604" i="2"/>
  <c r="AE281" i="2"/>
  <c r="AF281" i="2"/>
  <c r="AE359" i="2"/>
  <c r="AF359" i="2"/>
  <c r="AF486" i="2"/>
  <c r="AG486" i="2"/>
  <c r="AF575" i="2"/>
  <c r="AE169" i="2"/>
  <c r="AF169" i="2"/>
  <c r="AE185" i="2"/>
  <c r="AF185" i="2"/>
  <c r="AG186" i="2"/>
  <c r="AE178" i="2"/>
  <c r="AF178" i="2"/>
  <c r="AE201" i="2"/>
  <c r="AF201" i="2"/>
  <c r="AE168" i="2"/>
  <c r="AF168" i="2"/>
  <c r="AE160" i="2"/>
  <c r="AF160" i="2"/>
  <c r="AE218" i="2"/>
  <c r="AF218" i="2"/>
  <c r="AE274" i="2"/>
  <c r="AF274" i="2"/>
  <c r="AE245" i="2"/>
  <c r="AF245" i="2"/>
  <c r="AE216" i="2"/>
  <c r="AF216" i="2"/>
  <c r="AE305" i="2"/>
  <c r="AF305" i="2"/>
  <c r="AE295" i="2"/>
  <c r="AF295" i="2"/>
  <c r="AE288" i="2"/>
  <c r="AF288" i="2"/>
  <c r="AG267" i="2"/>
  <c r="AE326" i="2"/>
  <c r="AF326" i="2"/>
  <c r="AE329" i="2"/>
  <c r="AF329" i="2"/>
  <c r="AE365" i="2"/>
  <c r="AF365" i="2"/>
  <c r="AE399" i="2"/>
  <c r="AF399" i="2"/>
  <c r="AF454" i="2"/>
  <c r="AE496" i="2"/>
  <c r="AG497" i="2"/>
  <c r="AF424" i="2"/>
  <c r="AF411" i="2"/>
  <c r="AG417" i="2"/>
  <c r="AF417" i="2"/>
  <c r="AG435" i="2"/>
  <c r="AF435" i="2"/>
  <c r="AG465" i="2"/>
  <c r="AF465" i="2"/>
  <c r="AF476" i="2"/>
  <c r="AG476" i="2"/>
  <c r="AF495" i="2"/>
  <c r="AG459" i="2"/>
  <c r="AF459" i="2"/>
  <c r="AF530" i="2"/>
  <c r="AG530" i="2"/>
  <c r="AF512" i="2"/>
  <c r="AF549" i="2"/>
  <c r="AF541" i="2"/>
  <c r="AG609" i="2"/>
  <c r="AF609" i="2"/>
  <c r="AF582" i="2"/>
  <c r="AF556" i="2"/>
  <c r="AF606" i="2"/>
  <c r="AF604" i="2"/>
  <c r="AE613" i="2"/>
  <c r="AG614" i="2"/>
  <c r="AE212" i="2"/>
  <c r="AF212" i="2"/>
  <c r="AF460" i="2"/>
  <c r="AG460" i="2"/>
  <c r="AF445" i="2"/>
  <c r="AE80" i="2"/>
  <c r="AF80" i="2"/>
  <c r="AE4" i="2"/>
  <c r="AF4" i="2"/>
  <c r="AG4" i="2"/>
  <c r="AE56" i="2"/>
  <c r="AF56" i="2"/>
  <c r="AE76" i="2"/>
  <c r="AF76" i="2"/>
  <c r="AE36" i="2"/>
  <c r="AF36" i="2"/>
  <c r="AE18" i="2"/>
  <c r="AF18" i="2"/>
  <c r="AE270" i="2"/>
  <c r="AF270" i="2"/>
  <c r="AE188" i="2"/>
  <c r="AF188" i="2"/>
  <c r="AE209" i="2"/>
  <c r="AF209" i="2"/>
  <c r="AE176" i="2"/>
  <c r="AF176" i="2"/>
  <c r="AE171" i="2"/>
  <c r="AF171" i="2"/>
  <c r="AG172" i="2"/>
  <c r="AE226" i="2"/>
  <c r="AF226" i="2"/>
  <c r="AE278" i="2"/>
  <c r="AF278" i="2"/>
  <c r="AE286" i="2"/>
  <c r="AF286" i="2"/>
  <c r="AE224" i="2"/>
  <c r="AF224" i="2"/>
  <c r="AE195" i="2"/>
  <c r="AF195" i="2"/>
  <c r="AE206" i="2"/>
  <c r="AF206" i="2"/>
  <c r="AE313" i="2"/>
  <c r="AF313" i="2"/>
  <c r="AE316" i="2"/>
  <c r="AF316" i="2"/>
  <c r="AE303" i="2"/>
  <c r="AF303" i="2"/>
  <c r="AE317" i="2"/>
  <c r="AF317" i="2"/>
  <c r="AE296" i="2"/>
  <c r="AF296" i="2"/>
  <c r="AE275" i="2"/>
  <c r="AF275" i="2"/>
  <c r="AE337" i="2"/>
  <c r="AF337" i="2"/>
  <c r="AE327" i="2"/>
  <c r="AF327" i="2"/>
  <c r="AE376" i="2"/>
  <c r="AF376" i="2"/>
  <c r="AE385" i="2"/>
  <c r="AF385" i="2"/>
  <c r="AG501" i="2"/>
  <c r="AF501" i="2"/>
  <c r="AF414" i="2"/>
  <c r="AG500" i="2"/>
  <c r="AF500" i="2"/>
  <c r="AF473" i="2"/>
  <c r="AF463" i="2"/>
  <c r="AF539" i="2"/>
  <c r="AF520" i="2"/>
  <c r="AF558" i="2"/>
  <c r="AE568" i="2"/>
  <c r="AG569" i="2"/>
  <c r="AF585" i="2"/>
  <c r="AG585" i="2"/>
  <c r="AG564" i="2"/>
  <c r="AF564" i="2"/>
  <c r="AE567" i="2"/>
  <c r="AF611" i="2"/>
  <c r="AE594" i="2"/>
  <c r="AG595" i="2"/>
  <c r="AF621" i="2"/>
  <c r="AF506" i="2"/>
  <c r="AF535" i="2"/>
  <c r="AG535" i="2"/>
  <c r="AF595" i="2"/>
  <c r="AE16" i="2"/>
  <c r="AF16" i="2"/>
  <c r="AE136" i="2"/>
  <c r="AF136" i="2"/>
  <c r="AE217" i="2"/>
  <c r="AF217" i="2"/>
  <c r="AG182" i="2"/>
  <c r="AE179" i="2"/>
  <c r="AF179" i="2"/>
  <c r="AE191" i="2"/>
  <c r="AF191" i="2"/>
  <c r="AE254" i="2"/>
  <c r="AF254" i="2"/>
  <c r="AE234" i="2"/>
  <c r="AF234" i="2"/>
  <c r="AE197" i="2"/>
  <c r="AF197" i="2"/>
  <c r="AE232" i="2"/>
  <c r="AF232" i="2"/>
  <c r="AE203" i="2"/>
  <c r="AF203" i="2"/>
  <c r="AE214" i="2"/>
  <c r="AF214" i="2"/>
  <c r="AE269" i="2"/>
  <c r="AF269" i="2"/>
  <c r="AE322" i="2"/>
  <c r="AF322" i="2"/>
  <c r="AE339" i="2"/>
  <c r="AF339" i="2"/>
  <c r="AE311" i="2"/>
  <c r="AF311" i="2"/>
  <c r="AE320" i="2"/>
  <c r="AF320" i="2"/>
  <c r="AE304" i="2"/>
  <c r="AF304" i="2"/>
  <c r="AE283" i="2"/>
  <c r="AF283" i="2"/>
  <c r="AE345" i="2"/>
  <c r="AF345" i="2"/>
  <c r="AE340" i="2"/>
  <c r="AF340" i="2"/>
  <c r="AE389" i="2"/>
  <c r="AF389" i="2"/>
  <c r="AE393" i="2"/>
  <c r="AF393" i="2"/>
  <c r="AF441" i="2"/>
  <c r="AF413" i="2"/>
  <c r="AF431" i="2"/>
  <c r="AG432" i="2"/>
  <c r="AG481" i="2"/>
  <c r="AF481" i="2"/>
  <c r="AG466" i="2"/>
  <c r="AF469" i="2"/>
  <c r="AF511" i="2"/>
  <c r="AE528" i="2"/>
  <c r="AG529" i="2"/>
  <c r="AF513" i="2"/>
  <c r="AF571" i="2"/>
  <c r="AE622" i="2"/>
  <c r="AG552" i="2"/>
  <c r="AF552" i="2"/>
  <c r="AG553" i="2"/>
  <c r="AF553" i="2"/>
  <c r="AF614" i="2"/>
  <c r="AF602" i="2"/>
  <c r="AG464" i="2"/>
  <c r="AF464" i="2"/>
  <c r="AG482" i="2"/>
  <c r="AF482" i="2"/>
  <c r="AG544" i="2"/>
  <c r="AF544" i="2"/>
  <c r="AE19" i="2"/>
  <c r="AF19" i="2"/>
  <c r="AE49" i="2"/>
  <c r="AF49" i="2"/>
  <c r="AE48" i="2"/>
  <c r="AF48" i="2"/>
  <c r="AE54" i="2"/>
  <c r="AF54" i="2"/>
  <c r="AE163" i="2"/>
  <c r="AF163" i="2"/>
  <c r="AE189" i="2"/>
  <c r="AF189" i="2"/>
  <c r="AE164" i="2"/>
  <c r="AF164" i="2"/>
  <c r="AE162" i="2"/>
  <c r="AF162" i="2"/>
  <c r="AE225" i="2"/>
  <c r="AF225" i="2"/>
  <c r="AE183" i="2"/>
  <c r="AF183" i="2"/>
  <c r="AG184" i="2"/>
  <c r="AE199" i="2"/>
  <c r="AF199" i="2"/>
  <c r="AE262" i="2"/>
  <c r="AF262" i="2"/>
  <c r="AG263" i="2"/>
  <c r="AE205" i="2"/>
  <c r="AF205" i="2"/>
  <c r="AE240" i="2"/>
  <c r="AF240" i="2"/>
  <c r="AG241" i="2"/>
  <c r="AE211" i="2"/>
  <c r="AF211" i="2"/>
  <c r="AE222" i="2"/>
  <c r="AF222" i="2"/>
  <c r="AE282" i="2"/>
  <c r="AF282" i="2"/>
  <c r="AE268" i="2"/>
  <c r="AF268" i="2"/>
  <c r="AE363" i="2"/>
  <c r="AF363" i="2"/>
  <c r="AE347" i="2"/>
  <c r="AF347" i="2"/>
  <c r="AE291" i="2"/>
  <c r="AF291" i="2"/>
  <c r="AE350" i="2"/>
  <c r="AF350" i="2"/>
  <c r="AE353" i="2"/>
  <c r="AF353" i="2"/>
  <c r="AE348" i="2"/>
  <c r="AF348" i="2"/>
  <c r="AE362" i="2"/>
  <c r="AF362" i="2"/>
  <c r="AE390" i="2"/>
  <c r="AF390" i="2"/>
  <c r="AE387" i="2"/>
  <c r="AF387" i="2"/>
  <c r="AE400" i="2"/>
  <c r="AE449" i="2"/>
  <c r="AG450" i="2"/>
  <c r="AE421" i="2"/>
  <c r="AG439" i="2"/>
  <c r="AF434" i="2"/>
  <c r="AF516" i="2"/>
  <c r="AE453" i="2"/>
  <c r="AG474" i="2"/>
  <c r="AG479" i="2"/>
  <c r="AF479" i="2"/>
  <c r="AE509" i="2"/>
  <c r="AE510" i="2"/>
  <c r="AG521" i="2"/>
  <c r="AF521" i="2"/>
  <c r="AG543" i="2"/>
  <c r="AF543" i="2"/>
  <c r="AE560" i="2"/>
  <c r="AF587" i="2"/>
  <c r="AF450" i="2"/>
  <c r="AF471" i="2"/>
  <c r="AF578" i="2"/>
  <c r="AE11" i="2"/>
  <c r="AF11" i="2"/>
  <c r="AE91" i="2"/>
  <c r="AF91" i="2"/>
  <c r="AE166" i="2"/>
  <c r="AF166" i="2"/>
  <c r="AE167" i="2"/>
  <c r="AF167" i="2"/>
  <c r="AE165" i="2"/>
  <c r="AF165" i="2"/>
  <c r="AE193" i="2"/>
  <c r="AF193" i="2"/>
  <c r="AG194" i="2"/>
  <c r="AE204" i="2"/>
  <c r="AF204" i="2"/>
  <c r="AE207" i="2"/>
  <c r="AF207" i="2"/>
  <c r="AE252" i="2"/>
  <c r="AF252" i="2"/>
  <c r="AE213" i="2"/>
  <c r="AF213" i="2"/>
  <c r="AE248" i="2"/>
  <c r="AF248" i="2"/>
  <c r="AE219" i="2"/>
  <c r="AF219" i="2"/>
  <c r="AE230" i="2"/>
  <c r="AF230" i="2"/>
  <c r="AE276" i="2"/>
  <c r="AF276" i="2"/>
  <c r="AE396" i="2"/>
  <c r="AF396" i="2"/>
  <c r="AE330" i="2"/>
  <c r="AF330" i="2"/>
  <c r="AE277" i="2"/>
  <c r="AF277" i="2"/>
  <c r="AE256" i="2"/>
  <c r="AF256" i="2"/>
  <c r="AE299" i="2"/>
  <c r="AF299" i="2"/>
  <c r="AE358" i="2"/>
  <c r="AF358" i="2"/>
  <c r="AE361" i="2"/>
  <c r="AF361" i="2"/>
  <c r="AE356" i="2"/>
  <c r="AF356" i="2"/>
  <c r="AE351" i="2"/>
  <c r="AF351" i="2"/>
  <c r="AE370" i="2"/>
  <c r="AF370" i="2"/>
  <c r="AE333" i="2"/>
  <c r="AF333" i="2"/>
  <c r="AE336" i="2"/>
  <c r="AF336" i="2"/>
  <c r="AE384" i="2"/>
  <c r="AF384" i="2"/>
  <c r="AG452" i="2"/>
  <c r="AF452" i="2"/>
  <c r="AF436" i="2"/>
  <c r="AG436" i="2"/>
  <c r="AE447" i="2"/>
  <c r="AG442" i="2"/>
  <c r="AF442" i="2"/>
  <c r="AE448" i="2"/>
  <c r="AE470" i="2"/>
  <c r="AG471" i="2"/>
  <c r="AF497" i="2"/>
  <c r="AG461" i="2"/>
  <c r="AG478" i="2"/>
  <c r="AF478" i="2"/>
  <c r="AF485" i="2"/>
  <c r="AE527" i="2"/>
  <c r="AG517" i="2"/>
  <c r="AF517" i="2"/>
  <c r="AG518" i="2"/>
  <c r="AF518" i="2"/>
  <c r="AF529" i="2"/>
  <c r="AF584" i="2"/>
  <c r="AF569" i="2"/>
  <c r="AE580" i="2"/>
  <c r="AG591" i="2"/>
  <c r="AE71" i="2"/>
  <c r="AF71" i="2"/>
  <c r="AE70" i="2"/>
  <c r="AF70" i="2"/>
  <c r="AE83" i="2"/>
  <c r="AF83" i="2"/>
  <c r="AE102" i="2"/>
  <c r="AF102" i="2"/>
  <c r="AE130" i="2"/>
  <c r="AF130" i="2"/>
  <c r="AE44" i="2"/>
  <c r="AF44" i="2"/>
  <c r="AE79" i="2"/>
  <c r="AF79" i="2"/>
  <c r="AE7" i="2"/>
  <c r="AF7" i="2"/>
  <c r="AE31" i="2"/>
  <c r="AF31" i="2"/>
  <c r="AE85" i="2"/>
  <c r="AF85" i="2"/>
  <c r="AE144" i="2"/>
  <c r="AF144" i="2"/>
  <c r="AE133" i="2"/>
  <c r="AF133" i="2"/>
  <c r="AE8" i="2"/>
  <c r="AF8" i="2"/>
  <c r="AE20" i="2"/>
  <c r="AF20" i="2"/>
  <c r="AE134" i="2"/>
  <c r="AF134" i="2"/>
  <c r="AE27" i="2"/>
  <c r="AF27" i="2"/>
  <c r="AE113" i="2"/>
  <c r="AF113" i="2"/>
  <c r="AE12" i="2"/>
  <c r="AF12" i="2"/>
  <c r="AE97" i="2"/>
  <c r="AF97" i="2"/>
  <c r="AE69" i="2"/>
  <c r="AF69" i="2"/>
  <c r="AG598" i="2"/>
  <c r="AF597" i="2"/>
  <c r="AG473" i="2"/>
  <c r="AG566" i="2"/>
  <c r="AG617" i="2"/>
  <c r="AG578" i="2"/>
  <c r="AG434" i="2"/>
  <c r="AG315" i="2"/>
  <c r="AG551" i="2"/>
  <c r="AG575" i="2"/>
  <c r="AF455" i="2"/>
  <c r="AG550" i="2"/>
  <c r="AG610" i="2"/>
  <c r="AF612" i="2"/>
  <c r="AG584" i="2"/>
  <c r="AG583" i="2"/>
  <c r="AG495" i="2"/>
  <c r="AG475" i="2"/>
  <c r="AG621" i="2"/>
  <c r="AG419" i="2"/>
  <c r="AF444" i="2"/>
  <c r="AG458" i="2"/>
  <c r="AG420" i="2"/>
  <c r="AF566" i="2"/>
  <c r="AF555" i="2"/>
  <c r="AG620" i="2"/>
  <c r="AG506" i="2"/>
  <c r="AG444" i="2"/>
  <c r="AG463" i="2"/>
  <c r="AG457" i="2"/>
  <c r="AG561" i="2"/>
  <c r="AG371" i="2"/>
  <c r="AG346" i="2"/>
  <c r="AG368" i="2"/>
  <c r="AG369" i="2"/>
  <c r="AG325" i="2"/>
  <c r="AG324" i="2"/>
  <c r="AG625" i="2"/>
  <c r="AG157" i="2"/>
  <c r="AG519" i="2"/>
  <c r="AG451" i="2"/>
  <c r="AF596" i="2"/>
  <c r="AG392" i="2"/>
  <c r="AG335" i="2"/>
  <c r="AG323" i="2"/>
  <c r="AF523" i="2"/>
  <c r="AF472" i="2"/>
  <c r="AG467" i="2"/>
  <c r="AF519" i="2"/>
  <c r="AF443" i="2"/>
  <c r="AG242" i="2"/>
  <c r="AG156" i="2"/>
  <c r="AG200" i="2"/>
  <c r="AG246" i="2"/>
  <c r="AG158" i="2"/>
  <c r="AG265" i="2"/>
  <c r="AG173" i="2"/>
  <c r="AG198" i="2"/>
  <c r="AG154" i="2"/>
  <c r="AG233" i="2"/>
  <c r="AG343" i="2"/>
  <c r="AG310" i="2"/>
  <c r="AG328" i="2"/>
  <c r="AG373" i="2"/>
  <c r="AG175" i="2"/>
  <c r="AG155" i="2"/>
  <c r="AG342" i="2"/>
  <c r="AG398" i="2"/>
  <c r="AG247" i="2"/>
  <c r="AG68" i="2"/>
  <c r="AG104" i="2"/>
  <c r="AG135" i="2"/>
  <c r="AG103" i="2"/>
  <c r="AG133" i="2"/>
  <c r="AG300" i="2"/>
  <c r="AG228" i="2"/>
  <c r="AG101" i="2"/>
  <c r="AG90" i="2"/>
  <c r="AG89" i="2"/>
  <c r="AG59" i="2"/>
  <c r="AG47" i="2"/>
  <c r="AG141" i="2"/>
  <c r="AG51" i="2"/>
  <c r="AG116" i="2"/>
  <c r="AG117" i="2"/>
  <c r="AG77" i="2"/>
  <c r="AG125" i="2"/>
  <c r="AG136" i="2"/>
  <c r="AG126" i="2"/>
  <c r="AG40" i="2"/>
  <c r="AG41" i="2"/>
  <c r="AG27" i="2"/>
  <c r="AG10" i="2"/>
  <c r="AG78" i="2"/>
  <c r="AG53" i="2"/>
  <c r="AG11" i="2"/>
  <c r="AG332" i="2"/>
  <c r="AG341" i="2"/>
  <c r="AG147" i="2"/>
  <c r="AG354" i="2"/>
  <c r="AG312" i="2"/>
  <c r="AG123" i="2"/>
  <c r="AG84" i="2"/>
  <c r="AG129" i="2"/>
  <c r="AG52" i="2"/>
  <c r="AG54" i="2"/>
  <c r="AG82" i="2"/>
  <c r="AG63" i="2"/>
  <c r="AG30" i="2"/>
  <c r="AG98" i="2"/>
  <c r="AG50" i="2"/>
  <c r="AG29" i="2"/>
  <c r="AG142" i="2"/>
  <c r="AG88" i="2"/>
  <c r="AG618" i="2"/>
  <c r="AF576" i="2"/>
  <c r="AF577" i="2"/>
  <c r="AF433" i="2"/>
  <c r="AF586" i="2"/>
  <c r="AG542" i="2"/>
  <c r="AG423" i="2"/>
  <c r="AG138" i="2"/>
  <c r="AG433" i="2"/>
  <c r="AG586" i="2"/>
  <c r="AG531" i="2"/>
  <c r="AG438" i="2"/>
  <c r="AG513" i="2"/>
  <c r="AG128" i="2"/>
  <c r="AF437" i="2"/>
  <c r="AG192" i="2"/>
  <c r="AG386" i="2"/>
  <c r="AG615" i="2"/>
  <c r="AG236" i="2"/>
  <c r="AG180" i="2"/>
  <c r="AG177" i="2"/>
  <c r="AG382" i="2"/>
  <c r="AF400" i="2"/>
  <c r="AH400" i="2"/>
  <c r="D39" i="4"/>
  <c r="D40" i="4"/>
  <c r="AG536" i="2"/>
  <c r="AG118" i="2"/>
  <c r="AG22" i="2"/>
  <c r="AG121" i="2"/>
  <c r="AG72" i="2"/>
  <c r="AG42" i="2"/>
  <c r="AG95" i="2"/>
  <c r="AF150" i="2"/>
  <c r="C39" i="4"/>
  <c r="C40" i="4"/>
  <c r="AG16" i="2"/>
  <c r="AG15" i="2"/>
  <c r="AG43" i="2"/>
  <c r="AG73" i="2"/>
  <c r="AF467" i="2"/>
  <c r="AG170" i="2"/>
  <c r="AF540" i="2"/>
  <c r="AG563" i="2"/>
  <c r="AG413" i="2"/>
  <c r="AG503" i="2"/>
  <c r="AG414" i="2"/>
  <c r="AH5" i="2"/>
  <c r="AG161" i="2"/>
  <c r="AF536" i="2"/>
  <c r="AG64" i="2"/>
  <c r="AG35" i="2"/>
  <c r="AF554" i="2"/>
  <c r="AG502" i="2"/>
  <c r="AG554" i="2"/>
  <c r="AG545" i="2"/>
  <c r="AF502" i="2"/>
  <c r="AF492" i="2"/>
  <c r="AG411" i="2"/>
  <c r="AG641" i="2"/>
  <c r="AG415" i="2"/>
  <c r="AG410" i="2"/>
  <c r="AG533" i="2"/>
  <c r="AG405" i="2"/>
  <c r="AF474" i="2"/>
  <c r="AG623" i="2"/>
  <c r="AG539" i="2"/>
  <c r="AG616" i="2"/>
  <c r="AG648" i="2"/>
  <c r="AG146" i="2"/>
  <c r="AG174" i="2"/>
  <c r="AG36" i="2"/>
  <c r="AG5" i="2"/>
  <c r="AG14" i="2"/>
  <c r="AH4" i="2"/>
  <c r="AG55" i="2"/>
  <c r="AG115" i="2"/>
  <c r="AG96" i="2"/>
  <c r="AG94" i="2"/>
  <c r="AG75" i="2"/>
  <c r="AG87" i="2"/>
  <c r="AG31" i="2"/>
  <c r="AG23" i="2"/>
  <c r="AG37" i="2"/>
  <c r="AG76" i="2"/>
  <c r="AG145" i="2"/>
  <c r="AG56" i="2"/>
  <c r="AG33" i="2"/>
  <c r="AG34" i="2"/>
  <c r="AG81" i="2"/>
  <c r="AG302" i="2"/>
  <c r="AG629" i="2"/>
  <c r="AG440" i="2"/>
  <c r="AG93" i="2"/>
  <c r="AG597" i="2"/>
  <c r="AF563" i="2"/>
  <c r="AG17" i="2"/>
  <c r="AG427" i="2"/>
  <c r="AG538" i="2"/>
  <c r="AG119" i="2"/>
  <c r="AG334" i="2"/>
  <c r="AF440" i="2"/>
  <c r="AF409" i="2"/>
  <c r="AG273" i="2"/>
  <c r="AG570" i="2"/>
  <c r="AG441" i="2"/>
  <c r="AG132" i="2"/>
  <c r="AG611" i="2"/>
  <c r="AF489" i="2"/>
  <c r="AG196" i="2"/>
  <c r="AG626" i="2"/>
  <c r="AG462" i="2"/>
  <c r="AF641" i="2"/>
  <c r="AG45" i="2"/>
  <c r="AG633" i="2"/>
  <c r="AF630" i="2"/>
  <c r="AG631" i="2"/>
  <c r="AG83" i="2"/>
  <c r="AG61" i="2"/>
  <c r="AG534" i="2"/>
  <c r="AG122" i="2"/>
  <c r="AH159" i="2"/>
  <c r="AG108" i="2"/>
  <c r="AG28" i="2"/>
  <c r="AG402" i="2"/>
  <c r="AG285" i="2"/>
  <c r="AG640" i="2"/>
  <c r="AG491" i="2"/>
  <c r="AH9" i="2"/>
  <c r="AG139" i="2"/>
  <c r="AG86" i="2"/>
  <c r="AG71" i="2"/>
  <c r="AG215" i="2"/>
  <c r="AG505" i="2"/>
  <c r="AG601" i="2"/>
  <c r="AF561" i="2"/>
  <c r="AG62" i="2"/>
  <c r="AG111" i="2"/>
  <c r="AH157" i="2"/>
  <c r="AG65" i="2"/>
  <c r="AG144" i="2"/>
  <c r="AG99" i="2"/>
  <c r="AF633" i="2"/>
  <c r="AF427" i="2"/>
  <c r="AG524" i="2"/>
  <c r="AG649" i="2"/>
  <c r="AG113" i="2"/>
  <c r="AG428" i="2"/>
  <c r="AH10" i="2"/>
  <c r="AG107" i="2"/>
  <c r="AG366" i="2"/>
  <c r="AG319" i="2"/>
  <c r="AG39" i="2"/>
  <c r="AG645" i="2"/>
  <c r="AG149" i="2"/>
  <c r="AG124" i="2"/>
  <c r="AG140" i="2"/>
  <c r="AG7" i="2"/>
  <c r="AG378" i="2"/>
  <c r="AG290" i="2"/>
  <c r="AG264" i="2"/>
  <c r="AG6" i="2"/>
  <c r="AG602" i="2"/>
  <c r="AF420" i="2"/>
  <c r="AG406" i="2"/>
  <c r="AG644" i="2"/>
  <c r="AG150" i="2"/>
  <c r="AG38" i="2"/>
  <c r="AH152" i="2"/>
  <c r="AH14" i="2"/>
  <c r="AG74" i="2"/>
  <c r="AG32" i="2"/>
  <c r="AG12" i="2"/>
  <c r="AF570" i="2"/>
  <c r="AG516" i="2"/>
  <c r="AG492" i="2"/>
  <c r="AH155" i="2"/>
  <c r="AF616" i="2"/>
  <c r="AG593" i="2"/>
  <c r="AG238" i="2"/>
  <c r="AH158" i="2"/>
  <c r="AG592" i="2"/>
  <c r="AG547" i="2"/>
  <c r="AG634" i="2"/>
  <c r="AF624" i="2"/>
  <c r="AH6" i="2"/>
  <c r="AG590" i="2"/>
  <c r="AG485" i="2"/>
  <c r="AG576" i="2"/>
  <c r="AF425" i="2"/>
  <c r="AF525" i="2"/>
  <c r="AG426" i="2"/>
  <c r="AG540" i="2"/>
  <c r="AG532" i="2"/>
  <c r="AG143" i="2"/>
  <c r="AG112" i="2"/>
  <c r="AH80" i="2"/>
  <c r="AH7" i="2"/>
  <c r="AG153" i="2"/>
  <c r="AF507" i="2"/>
  <c r="AG379" i="2"/>
  <c r="AG294" i="2"/>
  <c r="AF484" i="2"/>
  <c r="AF548" i="2"/>
  <c r="AG152" i="2"/>
  <c r="AF581" i="2"/>
  <c r="AH15" i="2"/>
  <c r="AG67" i="2"/>
  <c r="AH154" i="2"/>
  <c r="AF415" i="2"/>
  <c r="AG548" i="2"/>
  <c r="AG416" i="2"/>
  <c r="AG80" i="2"/>
  <c r="AF430" i="2"/>
  <c r="AG100" i="2"/>
  <c r="AG66" i="2"/>
  <c r="AH13" i="2"/>
  <c r="AG430" i="2"/>
  <c r="AF429" i="2"/>
  <c r="AG574" i="2"/>
  <c r="AG605" i="2"/>
  <c r="AG504" i="2"/>
  <c r="AG494" i="2"/>
  <c r="AG148" i="2"/>
  <c r="AG344" i="2"/>
  <c r="AG408" i="2"/>
  <c r="AG60" i="2"/>
  <c r="AH153" i="2"/>
  <c r="AG137" i="2"/>
  <c r="AG102" i="2"/>
  <c r="AG92" i="2"/>
  <c r="AH156" i="2"/>
  <c r="AG606" i="2"/>
  <c r="AG635" i="2"/>
  <c r="AF635" i="2"/>
  <c r="AG646" i="2"/>
  <c r="AF646" i="2"/>
  <c r="AG650" i="2"/>
  <c r="AF650" i="2"/>
  <c r="AG651" i="2"/>
  <c r="AH149" i="2"/>
  <c r="AH17" i="2"/>
  <c r="AG114" i="2"/>
  <c r="AG57" i="2"/>
  <c r="AG91" i="2"/>
  <c r="AG407" i="2"/>
  <c r="AF649" i="2"/>
  <c r="AH129" i="2"/>
  <c r="AG19" i="2"/>
  <c r="AG642" i="2"/>
  <c r="AG628" i="2"/>
  <c r="AG26" i="2"/>
  <c r="AG643" i="2"/>
  <c r="AG120" i="2"/>
  <c r="AH72" i="2"/>
  <c r="AG85" i="2"/>
  <c r="AH68" i="2"/>
  <c r="AF461" i="2"/>
  <c r="AG443" i="2"/>
  <c r="AG271" i="2"/>
  <c r="AG630" i="2"/>
  <c r="AG624" i="2"/>
  <c r="AG588" i="2"/>
  <c r="AF651" i="2"/>
  <c r="AG537" i="2"/>
  <c r="AF402" i="2"/>
  <c r="AH402" i="2"/>
  <c r="AG589" i="2"/>
  <c r="AF412" i="2"/>
  <c r="AG632" i="2"/>
  <c r="AF638" i="2"/>
  <c r="AG638" i="2"/>
  <c r="AG639" i="2"/>
  <c r="AH12" i="2"/>
  <c r="AH161" i="2"/>
  <c r="AG49" i="2"/>
  <c r="AH11" i="2"/>
  <c r="AF627" i="2"/>
  <c r="AH123" i="2"/>
  <c r="AG627" i="2"/>
  <c r="AH20" i="2"/>
  <c r="AG647" i="2"/>
  <c r="AG526" i="2"/>
  <c r="AH70" i="2"/>
  <c r="AH59" i="2"/>
  <c r="AG253" i="2"/>
  <c r="AH73" i="2"/>
  <c r="AH109" i="2"/>
  <c r="AF636" i="2"/>
  <c r="AG636" i="2"/>
  <c r="AH45" i="2"/>
  <c r="AG13" i="2"/>
  <c r="AH60" i="2"/>
  <c r="AH16" i="2"/>
  <c r="AH104" i="2"/>
  <c r="AH71" i="2"/>
  <c r="AG637" i="2"/>
  <c r="AH86" i="2"/>
  <c r="AH66" i="2"/>
  <c r="AH118" i="2"/>
  <c r="AG127" i="2"/>
  <c r="AG409" i="2"/>
  <c r="AG338" i="2"/>
  <c r="AH24" i="2"/>
  <c r="AG106" i="2"/>
  <c r="AH148" i="2"/>
  <c r="AH8" i="2"/>
  <c r="AH114" i="2"/>
  <c r="AG318" i="2"/>
  <c r="AF619" i="2"/>
  <c r="AG600" i="2"/>
  <c r="AG619" i="2"/>
  <c r="AF599" i="2"/>
  <c r="AH115" i="2"/>
  <c r="AH82" i="2"/>
  <c r="AH100" i="2"/>
  <c r="AH122" i="2"/>
  <c r="AH95" i="2"/>
  <c r="AH21" i="2"/>
  <c r="AH145" i="2"/>
  <c r="AH144" i="2"/>
  <c r="AH94" i="2"/>
  <c r="AH102" i="2"/>
  <c r="AH133" i="2"/>
  <c r="AH121" i="2"/>
  <c r="AH92" i="2"/>
  <c r="AH81" i="2"/>
  <c r="AH53" i="2"/>
  <c r="AG110" i="2"/>
  <c r="AH127" i="2"/>
  <c r="AH62" i="2"/>
  <c r="AH34" i="2"/>
  <c r="AG515" i="2"/>
  <c r="AH56" i="2"/>
  <c r="AH130" i="2"/>
  <c r="AF526" i="2"/>
  <c r="AH98" i="2"/>
  <c r="AG48" i="2"/>
  <c r="AH31" i="2"/>
  <c r="AH91" i="2"/>
  <c r="AH75" i="2"/>
  <c r="AH138" i="2"/>
  <c r="AH22" i="2"/>
  <c r="AH48" i="2"/>
  <c r="AH19" i="2"/>
  <c r="AH85" i="2"/>
  <c r="AH43" i="2"/>
  <c r="AH41" i="2"/>
  <c r="AH28" i="2"/>
  <c r="AH78" i="2"/>
  <c r="AH61" i="2"/>
  <c r="AH89" i="2"/>
  <c r="AH125" i="2"/>
  <c r="AH46" i="2"/>
  <c r="AH29" i="2"/>
  <c r="AH99" i="2"/>
  <c r="AH63" i="2"/>
  <c r="AH93" i="2"/>
  <c r="AH97" i="2"/>
  <c r="AH239" i="2"/>
  <c r="AH65" i="2"/>
  <c r="AH131" i="2"/>
  <c r="AH110" i="2"/>
  <c r="AH103" i="2"/>
  <c r="AH88" i="2"/>
  <c r="AG25" i="2"/>
  <c r="AH120" i="2"/>
  <c r="AH36" i="2"/>
  <c r="AH137" i="2"/>
  <c r="AG18" i="2"/>
  <c r="AH140" i="2"/>
  <c r="AH117" i="2"/>
  <c r="AH87" i="2"/>
  <c r="AH83" i="2"/>
  <c r="AH135" i="2"/>
  <c r="AH32" i="2"/>
  <c r="AH37" i="2"/>
  <c r="AH119" i="2"/>
  <c r="AG514" i="2"/>
  <c r="AH84" i="2"/>
  <c r="AH126" i="2"/>
  <c r="AH69" i="2"/>
  <c r="AH30" i="2"/>
  <c r="AH25" i="2"/>
  <c r="AH136" i="2"/>
  <c r="AG79" i="2"/>
  <c r="AH50" i="2"/>
  <c r="AH146" i="2"/>
  <c r="AH142" i="2"/>
  <c r="AH74" i="2"/>
  <c r="AH67" i="2"/>
  <c r="AH39" i="2"/>
  <c r="AH27" i="2"/>
  <c r="AH139" i="2"/>
  <c r="AH113" i="2"/>
  <c r="AF546" i="2"/>
  <c r="AG573" i="2"/>
  <c r="AH105" i="2"/>
  <c r="AH106" i="2"/>
  <c r="AH18" i="2"/>
  <c r="AH52" i="2"/>
  <c r="AG109" i="2"/>
  <c r="AH132" i="2"/>
  <c r="AH111" i="2"/>
  <c r="AH96" i="2"/>
  <c r="AH55" i="2"/>
  <c r="AH54" i="2"/>
  <c r="AH128" i="2"/>
  <c r="AH147" i="2"/>
  <c r="AH143" i="2"/>
  <c r="AH112" i="2"/>
  <c r="AH116" i="2"/>
  <c r="AH38" i="2"/>
  <c r="AG546" i="2"/>
  <c r="AH242" i="2"/>
  <c r="AG572" i="2"/>
  <c r="AG24" i="2"/>
  <c r="AH23" i="2"/>
  <c r="AH90" i="2"/>
  <c r="AH76" i="2"/>
  <c r="AH58" i="2"/>
  <c r="AH150" i="2"/>
  <c r="AH47" i="2"/>
  <c r="AH77" i="2"/>
  <c r="AH107" i="2"/>
  <c r="AH124" i="2"/>
  <c r="AH141" i="2"/>
  <c r="AH51" i="2"/>
  <c r="AH49" i="2"/>
  <c r="AH57" i="2"/>
  <c r="AH40" i="2"/>
  <c r="AH108" i="2"/>
  <c r="AH64" i="2"/>
  <c r="AH101" i="2"/>
  <c r="AH42" i="2"/>
  <c r="AH26" i="2"/>
  <c r="AH35" i="2"/>
  <c r="AH33" i="2"/>
  <c r="AH134" i="2"/>
  <c r="AH285" i="2"/>
  <c r="AH370" i="2"/>
  <c r="AG370" i="2"/>
  <c r="AH256" i="2"/>
  <c r="AG256" i="2"/>
  <c r="AH219" i="2"/>
  <c r="AG219" i="2"/>
  <c r="AH207" i="2"/>
  <c r="AG207" i="2"/>
  <c r="AH397" i="2"/>
  <c r="AG350" i="2"/>
  <c r="AH350" i="2"/>
  <c r="AH319" i="2"/>
  <c r="AH302" i="2"/>
  <c r="AH192" i="2"/>
  <c r="AH389" i="2"/>
  <c r="AG389" i="2"/>
  <c r="AH322" i="2"/>
  <c r="AG322" i="2"/>
  <c r="AH234" i="2"/>
  <c r="AG234" i="2"/>
  <c r="AG594" i="2"/>
  <c r="AF594" i="2"/>
  <c r="AH388" i="2"/>
  <c r="AG313" i="2"/>
  <c r="AH313" i="2"/>
  <c r="AH226" i="2"/>
  <c r="AG226" i="2"/>
  <c r="AH188" i="2"/>
  <c r="AG188" i="2"/>
  <c r="AG496" i="2"/>
  <c r="AF496" i="2"/>
  <c r="AH365" i="2"/>
  <c r="AG365" i="2"/>
  <c r="AH324" i="2"/>
  <c r="AG314" i="2"/>
  <c r="AG185" i="2"/>
  <c r="AH185" i="2"/>
  <c r="AG487" i="2"/>
  <c r="AF487" i="2"/>
  <c r="AG488" i="2"/>
  <c r="AH357" i="2"/>
  <c r="AG357" i="2"/>
  <c r="AH321" i="2"/>
  <c r="AH287" i="2"/>
  <c r="AG287" i="2"/>
  <c r="AH266" i="2"/>
  <c r="AH231" i="2"/>
  <c r="AG374" i="2"/>
  <c r="AH374" i="2"/>
  <c r="AH279" i="2"/>
  <c r="AG279" i="2"/>
  <c r="AH258" i="2"/>
  <c r="AG258" i="2"/>
  <c r="AH223" i="2"/>
  <c r="AG223" i="2"/>
  <c r="AH351" i="2"/>
  <c r="AG351" i="2"/>
  <c r="AG277" i="2"/>
  <c r="AH277" i="2"/>
  <c r="AH248" i="2"/>
  <c r="AG248" i="2"/>
  <c r="AG204" i="2"/>
  <c r="AH204" i="2"/>
  <c r="AH166" i="2"/>
  <c r="AG166" i="2"/>
  <c r="AH250" i="2"/>
  <c r="AG510" i="2"/>
  <c r="AF510" i="2"/>
  <c r="AH387" i="2"/>
  <c r="AG387" i="2"/>
  <c r="AH291" i="2"/>
  <c r="AG291" i="2"/>
  <c r="AH363" i="2"/>
  <c r="AG363" i="2"/>
  <c r="AH205" i="2"/>
  <c r="AG205" i="2"/>
  <c r="AH225" i="2"/>
  <c r="AG225" i="2"/>
  <c r="AH341" i="2"/>
  <c r="AH283" i="2"/>
  <c r="AG283" i="2"/>
  <c r="AG269" i="2"/>
  <c r="AH269" i="2"/>
  <c r="AH254" i="2"/>
  <c r="AG254" i="2"/>
  <c r="AH290" i="2"/>
  <c r="AH275" i="2"/>
  <c r="AG275" i="2"/>
  <c r="AH265" i="2"/>
  <c r="AH270" i="2"/>
  <c r="AG270" i="2"/>
  <c r="AH271" i="2"/>
  <c r="AH382" i="2"/>
  <c r="AH329" i="2"/>
  <c r="AG329" i="2"/>
  <c r="AH314" i="2"/>
  <c r="AH198" i="2"/>
  <c r="AG169" i="2"/>
  <c r="AH169" i="2"/>
  <c r="AG468" i="2"/>
  <c r="AF468" i="2"/>
  <c r="AH381" i="2"/>
  <c r="AG381" i="2"/>
  <c r="AH355" i="2"/>
  <c r="AG355" i="2"/>
  <c r="AG208" i="2"/>
  <c r="AH228" i="2"/>
  <c r="AH170" i="2"/>
  <c r="AH194" i="2"/>
  <c r="AG490" i="2"/>
  <c r="AF490" i="2"/>
  <c r="AH398" i="2"/>
  <c r="AG292" i="2"/>
  <c r="AG220" i="2"/>
  <c r="AH220" i="2"/>
  <c r="AH172" i="2"/>
  <c r="AH344" i="2"/>
  <c r="AG580" i="2"/>
  <c r="AF580" i="2"/>
  <c r="AH356" i="2"/>
  <c r="AG356" i="2"/>
  <c r="AH330" i="2"/>
  <c r="AG330" i="2"/>
  <c r="AH193" i="2"/>
  <c r="AG193" i="2"/>
  <c r="AH196" i="2"/>
  <c r="AG560" i="2"/>
  <c r="AF560" i="2"/>
  <c r="AF421" i="2"/>
  <c r="AG421" i="2"/>
  <c r="AG390" i="2"/>
  <c r="AH390" i="2"/>
  <c r="AH268" i="2"/>
  <c r="AG268" i="2"/>
  <c r="AH162" i="2"/>
  <c r="AG162" i="2"/>
  <c r="AH366" i="2"/>
  <c r="AG511" i="2"/>
  <c r="AG422" i="2"/>
  <c r="AH354" i="2"/>
  <c r="AH304" i="2"/>
  <c r="AG304" i="2"/>
  <c r="AH214" i="2"/>
  <c r="AG214" i="2"/>
  <c r="AH191" i="2"/>
  <c r="AG191" i="2"/>
  <c r="AH346" i="2"/>
  <c r="AH296" i="2"/>
  <c r="AG296" i="2"/>
  <c r="AH247" i="2"/>
  <c r="AH177" i="2"/>
  <c r="AG227" i="2"/>
  <c r="AH326" i="2"/>
  <c r="AG326" i="2"/>
  <c r="AH295" i="2"/>
  <c r="AG295" i="2"/>
  <c r="AH236" i="2"/>
  <c r="AG508" i="2"/>
  <c r="AF508" i="2"/>
  <c r="AH375" i="2"/>
  <c r="AG375" i="2"/>
  <c r="AH259" i="2"/>
  <c r="AG259" i="2"/>
  <c r="AH300" i="2"/>
  <c r="AH208" i="2"/>
  <c r="AH352" i="2"/>
  <c r="AG352" i="2"/>
  <c r="AH315" i="2"/>
  <c r="AH292" i="2"/>
  <c r="AH200" i="2"/>
  <c r="AG255" i="2"/>
  <c r="AG527" i="2"/>
  <c r="AF527" i="2"/>
  <c r="AH361" i="2"/>
  <c r="AG361" i="2"/>
  <c r="AH396" i="2"/>
  <c r="AG396" i="2"/>
  <c r="AH310" i="2"/>
  <c r="AG453" i="2"/>
  <c r="AF453" i="2"/>
  <c r="AG449" i="2"/>
  <c r="AF449" i="2"/>
  <c r="AH362" i="2"/>
  <c r="AG362" i="2"/>
  <c r="AH312" i="2"/>
  <c r="AH282" i="2"/>
  <c r="AG282" i="2"/>
  <c r="AH164" i="2"/>
  <c r="AG164" i="2"/>
  <c r="AH393" i="2"/>
  <c r="AG393" i="2"/>
  <c r="AH320" i="2"/>
  <c r="AG320" i="2"/>
  <c r="AH203" i="2"/>
  <c r="AG203" i="2"/>
  <c r="AH179" i="2"/>
  <c r="AG179" i="2"/>
  <c r="AH318" i="2"/>
  <c r="AH385" i="2"/>
  <c r="AG385" i="2"/>
  <c r="AH327" i="2"/>
  <c r="AG327" i="2"/>
  <c r="AH317" i="2"/>
  <c r="AG317" i="2"/>
  <c r="AH206" i="2"/>
  <c r="AG206" i="2"/>
  <c r="AH244" i="2"/>
  <c r="AH227" i="2"/>
  <c r="AG454" i="2"/>
  <c r="AH187" i="2"/>
  <c r="AH359" i="2"/>
  <c r="AG359" i="2"/>
  <c r="AH383" i="2"/>
  <c r="AG297" i="2"/>
  <c r="AH297" i="2"/>
  <c r="AH237" i="2"/>
  <c r="AG237" i="2"/>
  <c r="AH180" i="2"/>
  <c r="AH378" i="2"/>
  <c r="AH175" i="2"/>
  <c r="AG456" i="2"/>
  <c r="AF456" i="2"/>
  <c r="AH349" i="2"/>
  <c r="AG349" i="2"/>
  <c r="AH251" i="2"/>
  <c r="AG251" i="2"/>
  <c r="AG289" i="2"/>
  <c r="AH289" i="2"/>
  <c r="AH263" i="2"/>
  <c r="AH255" i="2"/>
  <c r="AF470" i="2"/>
  <c r="AG470" i="2"/>
  <c r="AG447" i="2"/>
  <c r="AF447" i="2"/>
  <c r="AG358" i="2"/>
  <c r="AH358" i="2"/>
  <c r="AH276" i="2"/>
  <c r="AG276" i="2"/>
  <c r="AH213" i="2"/>
  <c r="AG213" i="2"/>
  <c r="AH233" i="2"/>
  <c r="AG509" i="2"/>
  <c r="AF509" i="2"/>
  <c r="AH222" i="2"/>
  <c r="AG222" i="2"/>
  <c r="AH262" i="2"/>
  <c r="AG262" i="2"/>
  <c r="AH189" i="2"/>
  <c r="AG189" i="2"/>
  <c r="AH335" i="2"/>
  <c r="AH232" i="2"/>
  <c r="AG232" i="2"/>
  <c r="AH184" i="2"/>
  <c r="AH376" i="2"/>
  <c r="AG376" i="2"/>
  <c r="AH325" i="2"/>
  <c r="AH195" i="2"/>
  <c r="AG195" i="2"/>
  <c r="AG212" i="2"/>
  <c r="AH212" i="2"/>
  <c r="AH338" i="2"/>
  <c r="AH267" i="2"/>
  <c r="AH308" i="2"/>
  <c r="AH216" i="2"/>
  <c r="AG216" i="2"/>
  <c r="AH160" i="2"/>
  <c r="AG160" i="2"/>
  <c r="AH280" i="2"/>
  <c r="AG249" i="2"/>
  <c r="AH249" i="2"/>
  <c r="AH261" i="2"/>
  <c r="AF557" i="2"/>
  <c r="AG557" i="2"/>
  <c r="AH380" i="2"/>
  <c r="AG380" i="2"/>
  <c r="AH272" i="2"/>
  <c r="AG272" i="2"/>
  <c r="AH229" i="2"/>
  <c r="AG221" i="2"/>
  <c r="AG70" i="2"/>
  <c r="AG69" i="2"/>
  <c r="AG134" i="2"/>
  <c r="AH384" i="2"/>
  <c r="AG384" i="2"/>
  <c r="AH299" i="2"/>
  <c r="AG299" i="2"/>
  <c r="AH273" i="2"/>
  <c r="AH252" i="2"/>
  <c r="AG252" i="2"/>
  <c r="AH165" i="2"/>
  <c r="AG165" i="2"/>
  <c r="AH392" i="2"/>
  <c r="AH174" i="2"/>
  <c r="AH343" i="2"/>
  <c r="AH371" i="2"/>
  <c r="AH211" i="2"/>
  <c r="AG211" i="2"/>
  <c r="AH199" i="2"/>
  <c r="AG199" i="2"/>
  <c r="AH163" i="2"/>
  <c r="AG163" i="2"/>
  <c r="AH238" i="2"/>
  <c r="AH386" i="2"/>
  <c r="AH340" i="2"/>
  <c r="AG340" i="2"/>
  <c r="AH328" i="2"/>
  <c r="AH182" i="2"/>
  <c r="AH241" i="2"/>
  <c r="AG567" i="2"/>
  <c r="AF567" i="2"/>
  <c r="AH332" i="2"/>
  <c r="AH224" i="2"/>
  <c r="AG224" i="2"/>
  <c r="AH171" i="2"/>
  <c r="AG171" i="2"/>
  <c r="AH399" i="2"/>
  <c r="AG399" i="2"/>
  <c r="AH391" i="2"/>
  <c r="AH288" i="2"/>
  <c r="AG288" i="2"/>
  <c r="AG305" i="2"/>
  <c r="AH305" i="2"/>
  <c r="AH245" i="2"/>
  <c r="AG245" i="2"/>
  <c r="AH168" i="2"/>
  <c r="AG168" i="2"/>
  <c r="AH307" i="2"/>
  <c r="AH395" i="2"/>
  <c r="AG395" i="2"/>
  <c r="AG394" i="2"/>
  <c r="AH301" i="2"/>
  <c r="AG301" i="2"/>
  <c r="AH264" i="2"/>
  <c r="AH367" i="2"/>
  <c r="AG367" i="2"/>
  <c r="AH246" i="2"/>
  <c r="AG260" i="2"/>
  <c r="AH181" i="2"/>
  <c r="AH221" i="2"/>
  <c r="AH336" i="2"/>
  <c r="AG336" i="2"/>
  <c r="AH167" i="2"/>
  <c r="AG167" i="2"/>
  <c r="AG331" i="2"/>
  <c r="AH348" i="2"/>
  <c r="AG348" i="2"/>
  <c r="AH347" i="2"/>
  <c r="AG347" i="2"/>
  <c r="AH240" i="2"/>
  <c r="AG240" i="2"/>
  <c r="AH183" i="2"/>
  <c r="AG183" i="2"/>
  <c r="AG528" i="2"/>
  <c r="AF528" i="2"/>
  <c r="AH345" i="2"/>
  <c r="AG345" i="2"/>
  <c r="AH311" i="2"/>
  <c r="AG311" i="2"/>
  <c r="AH294" i="2"/>
  <c r="AH217" i="2"/>
  <c r="AG217" i="2"/>
  <c r="AG364" i="2"/>
  <c r="AG568" i="2"/>
  <c r="AF568" i="2"/>
  <c r="AH373" i="2"/>
  <c r="AH337" i="2"/>
  <c r="AG337" i="2"/>
  <c r="AH303" i="2"/>
  <c r="AG303" i="2"/>
  <c r="AH286" i="2"/>
  <c r="AG286" i="2"/>
  <c r="AH176" i="2"/>
  <c r="AG176" i="2"/>
  <c r="AG391" i="2"/>
  <c r="AH257" i="2"/>
  <c r="AH274" i="2"/>
  <c r="AG274" i="2"/>
  <c r="AH201" i="2"/>
  <c r="AG201" i="2"/>
  <c r="AG281" i="2"/>
  <c r="AH281" i="2"/>
  <c r="AG360" i="2"/>
  <c r="AH394" i="2"/>
  <c r="AG306" i="2"/>
  <c r="AH243" i="2"/>
  <c r="AH210" i="2"/>
  <c r="AG210" i="2"/>
  <c r="AG284" i="2"/>
  <c r="AG607" i="2"/>
  <c r="AF607" i="2"/>
  <c r="AG581" i="2"/>
  <c r="AH372" i="2"/>
  <c r="AG372" i="2"/>
  <c r="AH293" i="2"/>
  <c r="AG235" i="2"/>
  <c r="AH260" i="2"/>
  <c r="AG448" i="2"/>
  <c r="AF448" i="2"/>
  <c r="AH333" i="2"/>
  <c r="AG333" i="2"/>
  <c r="AH323" i="2"/>
  <c r="AH230" i="2"/>
  <c r="AG230" i="2"/>
  <c r="AH186" i="2"/>
  <c r="AH331" i="2"/>
  <c r="AG397" i="2"/>
  <c r="AH353" i="2"/>
  <c r="AG353" i="2"/>
  <c r="AH215" i="2"/>
  <c r="AF622" i="2"/>
  <c r="AG622" i="2"/>
  <c r="AH379" i="2"/>
  <c r="AH342" i="2"/>
  <c r="AH339" i="2"/>
  <c r="AG339" i="2"/>
  <c r="AH197" i="2"/>
  <c r="AG197" i="2"/>
  <c r="AH364" i="2"/>
  <c r="AG388" i="2"/>
  <c r="AH334" i="2"/>
  <c r="AH316" i="2"/>
  <c r="AG316" i="2"/>
  <c r="AH278" i="2"/>
  <c r="AG278" i="2"/>
  <c r="AH209" i="2"/>
  <c r="AG209" i="2"/>
  <c r="AH369" i="2"/>
  <c r="AG613" i="2"/>
  <c r="AF613" i="2"/>
  <c r="AH368" i="2"/>
  <c r="AH309" i="2"/>
  <c r="AG257" i="2"/>
  <c r="AH218" i="2"/>
  <c r="AG218" i="2"/>
  <c r="AH178" i="2"/>
  <c r="AG178" i="2"/>
  <c r="AH253" i="2"/>
  <c r="AG603" i="2"/>
  <c r="AF603" i="2"/>
  <c r="AH360" i="2"/>
  <c r="AG321" i="2"/>
  <c r="AH306" i="2"/>
  <c r="AG231" i="2"/>
  <c r="AH190" i="2"/>
  <c r="AG190" i="2"/>
  <c r="AH284" i="2"/>
  <c r="AH377" i="2"/>
  <c r="AG377" i="2"/>
  <c r="AH298" i="2"/>
  <c r="AG298" i="2"/>
  <c r="AH235" i="2"/>
  <c r="AH202" i="2"/>
  <c r="AG202" i="2"/>
  <c r="AH173" i="2"/>
  <c r="AG44" i="2"/>
  <c r="AG131" i="2"/>
  <c r="AG130" i="2"/>
  <c r="AG97" i="2"/>
  <c r="AG105" i="2"/>
  <c r="AH79" i="2"/>
  <c r="AH44" i="2"/>
  <c r="AG21" i="2"/>
  <c r="AG9" i="2"/>
  <c r="AG20" i="2"/>
  <c r="AG8" i="2"/>
  <c r="AH418" i="2"/>
  <c r="AH408" i="2"/>
  <c r="C41" i="4"/>
  <c r="C43" i="4"/>
  <c r="AG400" i="2"/>
  <c r="D41" i="4"/>
  <c r="D43" i="4"/>
  <c r="AH419" i="2"/>
  <c r="B41" i="4"/>
  <c r="B43" i="4"/>
  <c r="C44" i="4"/>
  <c r="D44" i="4"/>
  <c r="AH448" i="2"/>
  <c r="AH415" i="2"/>
  <c r="AH412" i="2"/>
  <c r="AH420" i="2"/>
  <c r="AH409" i="2"/>
  <c r="AH414" i="2"/>
  <c r="AH411" i="2"/>
  <c r="AH406" i="2"/>
  <c r="AH421" i="2"/>
  <c r="AH404" i="2"/>
  <c r="AH424" i="2"/>
  <c r="AH427" i="2"/>
  <c r="AH416" i="2"/>
  <c r="AH410" i="2"/>
  <c r="AH403" i="2"/>
  <c r="AH423" i="2"/>
  <c r="AH425" i="2"/>
  <c r="AH434" i="2"/>
  <c r="AH432" i="2"/>
  <c r="AH429" i="2"/>
  <c r="AH446" i="2"/>
  <c r="AH405" i="2"/>
  <c r="AH436" i="2"/>
  <c r="AH431" i="2"/>
  <c r="AH447" i="2"/>
  <c r="AH433" i="2"/>
  <c r="AH435" i="2"/>
  <c r="AH479" i="2"/>
  <c r="AH417" i="2"/>
  <c r="AH413" i="2"/>
  <c r="AH407" i="2"/>
  <c r="AH550" i="2"/>
  <c r="AH577" i="2"/>
  <c r="AH475" i="2"/>
  <c r="AH499" i="2"/>
  <c r="AH495" i="2"/>
  <c r="AH534" i="2"/>
  <c r="AH551" i="2"/>
  <c r="AH634" i="2"/>
  <c r="AH535" i="2"/>
  <c r="AH492" i="2"/>
  <c r="AH613" i="2"/>
  <c r="AH428" i="2"/>
  <c r="AH443" i="2"/>
  <c r="AH514" i="2"/>
  <c r="AH566" i="2"/>
  <c r="AH628" i="2"/>
  <c r="AH642" i="2"/>
  <c r="AH647" i="2"/>
  <c r="AH627" i="2"/>
  <c r="AH624" i="2"/>
  <c r="AH629" i="2"/>
  <c r="AH635" i="2"/>
  <c r="AH631" i="2"/>
  <c r="AH623" i="2"/>
  <c r="AH651" i="2"/>
  <c r="AH626" i="2"/>
  <c r="AH650" i="2"/>
  <c r="AH639" i="2"/>
  <c r="AH646" i="2"/>
  <c r="AH645" i="2"/>
  <c r="AH632" i="2"/>
  <c r="AH649" i="2"/>
  <c r="AH643" i="2"/>
  <c r="AH636" i="2"/>
  <c r="AH644" i="2"/>
  <c r="AH625" i="2"/>
  <c r="AH633" i="2"/>
  <c r="AH638" i="2"/>
  <c r="AH641" i="2"/>
  <c r="AH648" i="2"/>
  <c r="AH640" i="2"/>
  <c r="AH630" i="2"/>
  <c r="AH637" i="2"/>
  <c r="AH531" i="2"/>
  <c r="AH588" i="2"/>
  <c r="AH488" i="2"/>
  <c r="AH473" i="2"/>
  <c r="AH546" i="2"/>
  <c r="AH472" i="2"/>
  <c r="AH442" i="2"/>
  <c r="AH505" i="2"/>
  <c r="AH532" i="2"/>
  <c r="AH494" i="2"/>
  <c r="AH458" i="2"/>
  <c r="AH521" i="2"/>
  <c r="AH452" i="2"/>
  <c r="AH568" i="2"/>
  <c r="AH554" i="2"/>
  <c r="AH438" i="2"/>
  <c r="AH445" i="2"/>
  <c r="AH440" i="2"/>
  <c r="AH584" i="2"/>
  <c r="AH549" i="2"/>
  <c r="AH519" i="2"/>
  <c r="AH483" i="2"/>
  <c r="AH609" i="2"/>
  <c r="AH470" i="2"/>
  <c r="AH611" i="2"/>
  <c r="AH543" i="2"/>
  <c r="AH604" i="2"/>
  <c r="AH538" i="2"/>
  <c r="AH580" i="2"/>
  <c r="AH468" i="2"/>
  <c r="AH558" i="2"/>
  <c r="AH586" i="2"/>
  <c r="AH607" i="2"/>
  <c r="AH570" i="2"/>
  <c r="AH573" i="2"/>
  <c r="AH606" i="2"/>
  <c r="AH484" i="2"/>
  <c r="AH592" i="2"/>
  <c r="AH557" i="2"/>
  <c r="AH504" i="2"/>
  <c r="AH574" i="2"/>
  <c r="AH482" i="2"/>
  <c r="AH489" i="2"/>
  <c r="AH485" i="2"/>
  <c r="AH541" i="2"/>
  <c r="AH529" i="2"/>
  <c r="AH480" i="2"/>
  <c r="AH467" i="2"/>
  <c r="AH537" i="2"/>
  <c r="AH585" i="2"/>
  <c r="AH430" i="2"/>
  <c r="AH565" i="2"/>
  <c r="AH525" i="2"/>
  <c r="AH594" i="2"/>
  <c r="AH439" i="2"/>
  <c r="AH622" i="2"/>
  <c r="AH512" i="2"/>
  <c r="AH564" i="2"/>
  <c r="AH581" i="2"/>
  <c r="AH596" i="2"/>
  <c r="AH460" i="2"/>
  <c r="AH567" i="2"/>
  <c r="AH597" i="2"/>
  <c r="AH536" i="2"/>
  <c r="AH509" i="2"/>
  <c r="AH591" i="2"/>
  <c r="AH522" i="2"/>
  <c r="AH507" i="2"/>
  <c r="AH569" i="2"/>
  <c r="AH477" i="2"/>
  <c r="AH560" i="2"/>
  <c r="AH618" i="2"/>
  <c r="AH490" i="2"/>
  <c r="AH605" i="2"/>
  <c r="AH612" i="2"/>
  <c r="AH517" i="2"/>
  <c r="AH540" i="2"/>
  <c r="AH602" i="2"/>
  <c r="AH455" i="2"/>
  <c r="AH621" i="2"/>
  <c r="AH516" i="2"/>
  <c r="AH451" i="2"/>
  <c r="AH493" i="2"/>
  <c r="AH559" i="2"/>
  <c r="AH599" i="2"/>
  <c r="AH595" i="2"/>
  <c r="AH456" i="2"/>
  <c r="AH579" i="2"/>
  <c r="AH469" i="2"/>
  <c r="AH598" i="2"/>
  <c r="AH508" i="2"/>
  <c r="AH513" i="2"/>
  <c r="AH426" i="2"/>
  <c r="AH441" i="2"/>
  <c r="AH474" i="2"/>
  <c r="AH590" i="2"/>
  <c r="AH608" i="2"/>
  <c r="AH496" i="2"/>
  <c r="AH561" i="2"/>
  <c r="AH603" i="2"/>
  <c r="AH503" i="2"/>
  <c r="AH617" i="2"/>
  <c r="AH498" i="2"/>
  <c r="AH616" i="2"/>
  <c r="AH528" i="2"/>
  <c r="AH545" i="2"/>
  <c r="AH515" i="2"/>
  <c r="AH466" i="2"/>
  <c r="AH518" i="2"/>
  <c r="AH575" i="2"/>
  <c r="AH454" i="2"/>
  <c r="AH587" i="2"/>
  <c r="AH615" i="2"/>
  <c r="AH553" i="2"/>
  <c r="AH449" i="2"/>
  <c r="AH555" i="2"/>
  <c r="AH572" i="2"/>
  <c r="AH619" i="2"/>
  <c r="AH523" i="2"/>
  <c r="AH476" i="2"/>
  <c r="AH501" i="2"/>
  <c r="AH506" i="2"/>
  <c r="AH422" i="2"/>
  <c r="AH510" i="2"/>
  <c r="AH486" i="2"/>
  <c r="AH583" i="2"/>
  <c r="AH526" i="2"/>
  <c r="AH576" i="2"/>
  <c r="AH502" i="2"/>
  <c r="AH578" i="2"/>
  <c r="AH533" i="2"/>
  <c r="AH524" i="2"/>
  <c r="AH465" i="2"/>
  <c r="AH620" i="2"/>
  <c r="AH562" i="2"/>
  <c r="AH530" i="2"/>
  <c r="AH481" i="2"/>
  <c r="AH589" i="2"/>
  <c r="AH471" i="2"/>
  <c r="AH593" i="2"/>
  <c r="AH614" i="2"/>
  <c r="AH610" i="2"/>
  <c r="AH457" i="2"/>
  <c r="AH552" i="2"/>
  <c r="AH491" i="2"/>
  <c r="AH563" i="2"/>
  <c r="AH462" i="2"/>
  <c r="AH453" i="2"/>
  <c r="AH548" i="2"/>
  <c r="AH601" i="2"/>
  <c r="AH450" i="2"/>
  <c r="AH497" i="2"/>
  <c r="AH500" i="2"/>
  <c r="AH511" i="2"/>
  <c r="AH542" i="2"/>
  <c r="AH437" i="2"/>
  <c r="AH539" i="2"/>
  <c r="AH464" i="2"/>
  <c r="AH478" i="2"/>
  <c r="AH459" i="2"/>
  <c r="AH600" i="2"/>
  <c r="AH520" i="2"/>
  <c r="AH527" i="2"/>
  <c r="AH582" i="2"/>
  <c r="AH544" i="2"/>
  <c r="AH547" i="2"/>
  <c r="AH444" i="2"/>
  <c r="AH463" i="2"/>
  <c r="AH571" i="2"/>
  <c r="AH487" i="2"/>
  <c r="AH556" i="2"/>
  <c r="AH461" i="2"/>
  <c r="B44" i="4"/>
</calcChain>
</file>

<file path=xl/comments1.xml><?xml version="1.0" encoding="utf-8"?>
<comments xmlns="http://schemas.openxmlformats.org/spreadsheetml/2006/main">
  <authors>
    <author>CMBC</author>
  </authors>
  <commentList>
    <comment ref="B2" authorId="0" shapeId="0">
      <text>
        <r>
          <rPr>
            <b/>
            <sz val="9"/>
            <rFont val="Tahoma"/>
            <family val="2"/>
          </rPr>
          <t>如需修改，请使用Excel插件-Wind-函数-编辑函数</t>
        </r>
      </text>
    </comment>
    <comment ref="K2" authorId="0" shapeId="0">
      <text>
        <r>
          <rPr>
            <b/>
            <sz val="9"/>
            <color indexed="81"/>
            <rFont val="Tahoma"/>
            <family val="2"/>
          </rPr>
          <t>如需修改，请使用Excel插件-Wind-函数-编辑函数</t>
        </r>
      </text>
    </comment>
  </commentList>
</comments>
</file>

<file path=xl/sharedStrings.xml><?xml version="1.0" encoding="utf-8"?>
<sst xmlns="http://schemas.openxmlformats.org/spreadsheetml/2006/main" count="83" uniqueCount="59">
  <si>
    <t>日期</t>
  </si>
  <si>
    <t>中债国债到期收益率:1年</t>
  </si>
  <si>
    <t>中债国债到期收益率:5年</t>
  </si>
  <si>
    <t>中国:中债国债到期收益率:10年</t>
  </si>
  <si>
    <t>中债国债到期收益率:30年</t>
  </si>
  <si>
    <t>利率互换:FR007:1年</t>
  </si>
  <si>
    <t>利率互换:FR007:5年</t>
  </si>
  <si>
    <t>FR007</t>
  </si>
  <si>
    <t>Bond1Y</t>
  </si>
  <si>
    <t>Bond5Y</t>
  </si>
  <si>
    <t>Bond10Y</t>
  </si>
  <si>
    <t>Bond30Y</t>
  </si>
  <si>
    <t>Sum</t>
  </si>
  <si>
    <t>DVBond1Y</t>
  </si>
  <si>
    <t>Capcumsum</t>
  </si>
  <si>
    <t>CarryBond1Y</t>
  </si>
  <si>
    <t>Carrycumsum</t>
  </si>
  <si>
    <t>Cost</t>
  </si>
  <si>
    <t>CostCum</t>
  </si>
  <si>
    <t>IRS1Y</t>
  </si>
  <si>
    <t>IRS5Y</t>
  </si>
  <si>
    <t>IRS1YPnL</t>
  </si>
  <si>
    <t>IRS5YPnL</t>
  </si>
  <si>
    <t>cumsum</t>
  </si>
  <si>
    <t>total</t>
  </si>
  <si>
    <t>NetValue</t>
  </si>
  <si>
    <t>daliyRet</t>
  </si>
  <si>
    <t>MDD</t>
  </si>
  <si>
    <t>size</t>
  </si>
  <si>
    <t>return</t>
  </si>
  <si>
    <t>dev</t>
  </si>
  <si>
    <t>rfr</t>
  </si>
  <si>
    <t>sr</t>
  </si>
  <si>
    <t>Date</t>
  </si>
  <si>
    <t>NetValue</t>
    <phoneticPr fontId="5" type="noConversion"/>
  </si>
  <si>
    <t xml:space="preserve"> Return</t>
    <phoneticPr fontId="5" type="noConversion"/>
  </si>
  <si>
    <t>Wind基金指数:债券型基金</t>
  </si>
  <si>
    <t>Wind基金指数:长期纯债型基金</t>
  </si>
  <si>
    <t>Wind基金指数:短期纯债型基金</t>
  </si>
  <si>
    <t>中证基金指数:债券基金</t>
  </si>
  <si>
    <t>Short-term Bond Fund Index</t>
    <phoneticPr fontId="5" type="noConversion"/>
  </si>
  <si>
    <t>Long-term Bond Fund Index</t>
    <phoneticPr fontId="5" type="noConversion"/>
  </si>
  <si>
    <t>Compound Bond Fund Index</t>
    <phoneticPr fontId="5" type="noConversion"/>
  </si>
  <si>
    <t>Item</t>
    <phoneticPr fontId="5" type="noConversion"/>
  </si>
  <si>
    <t>Principal</t>
    <phoneticPr fontId="5" type="noConversion"/>
  </si>
  <si>
    <t>Leverage funding cost</t>
    <phoneticPr fontId="5" type="noConversion"/>
  </si>
  <si>
    <t>Total net yield</t>
    <phoneticPr fontId="5" type="noConversion"/>
  </si>
  <si>
    <t>Total net return</t>
    <phoneticPr fontId="5" type="noConversion"/>
  </si>
  <si>
    <t>Volatility</t>
    <phoneticPr fontId="5" type="noConversion"/>
  </si>
  <si>
    <t>Sharpe ratio</t>
    <phoneticPr fontId="5" type="noConversion"/>
  </si>
  <si>
    <t>2022.-2022.12</t>
    <phoneticPr fontId="5" type="noConversion"/>
  </si>
  <si>
    <t>2023.1-2023.12</t>
    <phoneticPr fontId="5" type="noConversion"/>
  </si>
  <si>
    <t>2024.1-2024.12</t>
    <phoneticPr fontId="5" type="noConversion"/>
  </si>
  <si>
    <t>3000M</t>
    <phoneticPr fontId="5" type="noConversion"/>
  </si>
  <si>
    <t>5000M</t>
    <phoneticPr fontId="5" type="noConversion"/>
  </si>
  <si>
    <t>8514K</t>
    <phoneticPr fontId="5" type="noConversion"/>
  </si>
  <si>
    <r>
      <t>S</t>
    </r>
    <r>
      <rPr>
        <sz val="11"/>
        <color indexed="8"/>
        <rFont val="宋体"/>
        <family val="3"/>
        <charset val="134"/>
        <scheme val="minor"/>
      </rPr>
      <t>hort-Term Bond Fund Index</t>
    </r>
    <phoneticPr fontId="4" type="noConversion"/>
  </si>
  <si>
    <t>Long-Term Bond Fund Index</t>
    <phoneticPr fontId="4" type="noConversion"/>
  </si>
  <si>
    <t>Compound Bond Fund Index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</si>
</sst>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76" formatCode="0.00_);[Red]\(0.00\)"/>
    <numFmt numFmtId="177" formatCode="0.0000%"/>
    <numFmt numFmtId="178" formatCode="yyyy\-mm\-dd"/>
    <numFmt numFmtId="179" formatCode="0.000%"/>
    <numFmt numFmtId="180" formatCode="0.0000"/>
    <numFmt numFmtId="181" formatCode="yyyy\-mm\-dd;@"/>
    <numFmt numFmtId="182" formatCode="0.0000_ "/>
  </numFmts>
  <fonts count="9" x14ac:knownFonts="1">
    <font>
      <sz val="11"/>
      <color indexed="8"/>
      <name val="宋体"/>
      <charset val="134"/>
      <scheme val="minor"/>
    </font>
    <font>
      <sz val="11"/>
      <color indexed="10"/>
      <name val="Calibri"/>
      <family val="2"/>
    </font>
    <font>
      <b/>
      <sz val="9"/>
      <name val="Tahoma"/>
      <family val="2"/>
    </font>
    <font>
      <sz val="11"/>
      <color indexed="8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  <font>
      <b/>
      <sz val="9"/>
      <color indexed="81"/>
      <name val="Tahoma"/>
      <family val="2"/>
    </font>
    <font>
      <b/>
      <sz val="14"/>
      <color rgb="FFFFFFFF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3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14" fontId="0" fillId="0" borderId="0" xfId="0" applyNumberFormat="1">
      <alignment vertical="center"/>
    </xf>
    <xf numFmtId="176" fontId="0" fillId="0" borderId="0" xfId="0" applyNumberFormat="1">
      <alignment vertical="center"/>
    </xf>
    <xf numFmtId="10" fontId="0" fillId="0" borderId="0" xfId="1" applyNumberFormat="1" applyFont="1">
      <alignment vertical="center"/>
    </xf>
    <xf numFmtId="177" fontId="0" fillId="0" borderId="0" xfId="1" applyNumberFormat="1" applyFont="1">
      <alignment vertical="center"/>
    </xf>
    <xf numFmtId="0" fontId="0" fillId="0" borderId="0" xfId="0" applyAlignment="1">
      <alignment horizontal="right" vertical="center"/>
    </xf>
    <xf numFmtId="178" fontId="0" fillId="0" borderId="0" xfId="0" applyNumberFormat="1" applyAlignment="1">
      <alignment horizontal="right"/>
    </xf>
    <xf numFmtId="179" fontId="0" fillId="0" borderId="0" xfId="1" applyNumberFormat="1" applyFont="1">
      <alignment vertical="center"/>
    </xf>
    <xf numFmtId="178" fontId="0" fillId="0" borderId="0" xfId="0" applyNumberFormat="1" applyAlignment="1">
      <alignment horizontal="right" vertical="center"/>
    </xf>
    <xf numFmtId="178" fontId="1" fillId="0" borderId="0" xfId="0" applyNumberFormat="1" applyFont="1" applyAlignment="1">
      <alignment horizontal="right"/>
    </xf>
    <xf numFmtId="180" fontId="0" fillId="0" borderId="0" xfId="0" applyNumberFormat="1" applyAlignment="1">
      <alignment horizontal="right"/>
    </xf>
    <xf numFmtId="180" fontId="0" fillId="0" borderId="0" xfId="0" applyNumberFormat="1" applyAlignment="1">
      <alignment horizontal="right" vertical="center"/>
    </xf>
    <xf numFmtId="10" fontId="0" fillId="0" borderId="0" xfId="0" applyNumberFormat="1">
      <alignment vertical="center"/>
    </xf>
    <xf numFmtId="0" fontId="6" fillId="0" borderId="0" xfId="0" applyFont="1">
      <alignment vertical="center"/>
    </xf>
    <xf numFmtId="181" fontId="0" fillId="0" borderId="0" xfId="0" applyNumberFormat="1">
      <alignment vertical="center"/>
    </xf>
    <xf numFmtId="176" fontId="0" fillId="0" borderId="0" xfId="1" applyNumberFormat="1" applyFont="1">
      <alignment vertical="center"/>
    </xf>
    <xf numFmtId="0" fontId="3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 readingOrder="1"/>
    </xf>
    <xf numFmtId="182" fontId="6" fillId="0" borderId="0" xfId="0" applyNumberFormat="1" applyFont="1">
      <alignment vertical="center"/>
    </xf>
    <xf numFmtId="182" fontId="0" fillId="0" borderId="0" xfId="0" applyNumberFormat="1">
      <alignment vertical="center"/>
    </xf>
  </cellXfs>
  <cellStyles count="2">
    <cellStyle name="百分比" xfId="1" builtinId="5"/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2023.1-12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22"/>
          <c:order val="0"/>
          <c:tx>
            <c:v>Portfolio Net Value</c:v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中国_中债国债到期收益率_1年!$J$148:$J$389</c:f>
              <c:numCache>
                <c:formatCode>yyyy\-mm\-dd</c:formatCode>
                <c:ptCount val="242"/>
                <c:pt idx="0">
                  <c:v>44929</c:v>
                </c:pt>
                <c:pt idx="1">
                  <c:v>44930</c:v>
                </c:pt>
                <c:pt idx="2">
                  <c:v>44931</c:v>
                </c:pt>
                <c:pt idx="3">
                  <c:v>44932</c:v>
                </c:pt>
                <c:pt idx="4">
                  <c:v>44935</c:v>
                </c:pt>
                <c:pt idx="5">
                  <c:v>44936</c:v>
                </c:pt>
                <c:pt idx="6">
                  <c:v>44937</c:v>
                </c:pt>
                <c:pt idx="7">
                  <c:v>44938</c:v>
                </c:pt>
                <c:pt idx="8">
                  <c:v>44939</c:v>
                </c:pt>
                <c:pt idx="9">
                  <c:v>44942</c:v>
                </c:pt>
                <c:pt idx="10">
                  <c:v>44943</c:v>
                </c:pt>
                <c:pt idx="11">
                  <c:v>44944</c:v>
                </c:pt>
                <c:pt idx="12">
                  <c:v>44945</c:v>
                </c:pt>
                <c:pt idx="13">
                  <c:v>44946</c:v>
                </c:pt>
                <c:pt idx="14">
                  <c:v>44956</c:v>
                </c:pt>
                <c:pt idx="15">
                  <c:v>44957</c:v>
                </c:pt>
                <c:pt idx="16">
                  <c:v>44958</c:v>
                </c:pt>
                <c:pt idx="17">
                  <c:v>44959</c:v>
                </c:pt>
                <c:pt idx="18">
                  <c:v>44960</c:v>
                </c:pt>
                <c:pt idx="19">
                  <c:v>44963</c:v>
                </c:pt>
                <c:pt idx="20">
                  <c:v>44964</c:v>
                </c:pt>
                <c:pt idx="21">
                  <c:v>44965</c:v>
                </c:pt>
                <c:pt idx="22">
                  <c:v>44966</c:v>
                </c:pt>
                <c:pt idx="23">
                  <c:v>44967</c:v>
                </c:pt>
                <c:pt idx="24">
                  <c:v>44970</c:v>
                </c:pt>
                <c:pt idx="25">
                  <c:v>44971</c:v>
                </c:pt>
                <c:pt idx="26">
                  <c:v>44972</c:v>
                </c:pt>
                <c:pt idx="27">
                  <c:v>44973</c:v>
                </c:pt>
                <c:pt idx="28">
                  <c:v>44974</c:v>
                </c:pt>
                <c:pt idx="29">
                  <c:v>44977</c:v>
                </c:pt>
                <c:pt idx="30">
                  <c:v>44978</c:v>
                </c:pt>
                <c:pt idx="31">
                  <c:v>44979</c:v>
                </c:pt>
                <c:pt idx="32">
                  <c:v>44980</c:v>
                </c:pt>
                <c:pt idx="33">
                  <c:v>44981</c:v>
                </c:pt>
                <c:pt idx="34">
                  <c:v>44984</c:v>
                </c:pt>
                <c:pt idx="35">
                  <c:v>44985</c:v>
                </c:pt>
                <c:pt idx="36">
                  <c:v>44986</c:v>
                </c:pt>
                <c:pt idx="37">
                  <c:v>44987</c:v>
                </c:pt>
                <c:pt idx="38">
                  <c:v>44988</c:v>
                </c:pt>
                <c:pt idx="39">
                  <c:v>44991</c:v>
                </c:pt>
                <c:pt idx="40">
                  <c:v>44992</c:v>
                </c:pt>
                <c:pt idx="41">
                  <c:v>44993</c:v>
                </c:pt>
                <c:pt idx="42">
                  <c:v>44994</c:v>
                </c:pt>
                <c:pt idx="43">
                  <c:v>44995</c:v>
                </c:pt>
                <c:pt idx="44">
                  <c:v>44998</c:v>
                </c:pt>
                <c:pt idx="45">
                  <c:v>44999</c:v>
                </c:pt>
                <c:pt idx="46">
                  <c:v>45000</c:v>
                </c:pt>
                <c:pt idx="47">
                  <c:v>45001</c:v>
                </c:pt>
                <c:pt idx="48">
                  <c:v>45002</c:v>
                </c:pt>
                <c:pt idx="49">
                  <c:v>45005</c:v>
                </c:pt>
                <c:pt idx="50">
                  <c:v>45006</c:v>
                </c:pt>
                <c:pt idx="51">
                  <c:v>45007</c:v>
                </c:pt>
                <c:pt idx="52">
                  <c:v>45008</c:v>
                </c:pt>
                <c:pt idx="53">
                  <c:v>45009</c:v>
                </c:pt>
                <c:pt idx="54">
                  <c:v>45012</c:v>
                </c:pt>
                <c:pt idx="55">
                  <c:v>45013</c:v>
                </c:pt>
                <c:pt idx="56">
                  <c:v>45014</c:v>
                </c:pt>
                <c:pt idx="57">
                  <c:v>45015</c:v>
                </c:pt>
                <c:pt idx="58">
                  <c:v>45016</c:v>
                </c:pt>
                <c:pt idx="59">
                  <c:v>45019</c:v>
                </c:pt>
                <c:pt idx="60">
                  <c:v>45020</c:v>
                </c:pt>
                <c:pt idx="61">
                  <c:v>45022</c:v>
                </c:pt>
                <c:pt idx="62">
                  <c:v>45023</c:v>
                </c:pt>
                <c:pt idx="63">
                  <c:v>45026</c:v>
                </c:pt>
                <c:pt idx="64">
                  <c:v>45027</c:v>
                </c:pt>
                <c:pt idx="65">
                  <c:v>45028</c:v>
                </c:pt>
                <c:pt idx="66">
                  <c:v>45029</c:v>
                </c:pt>
                <c:pt idx="67">
                  <c:v>45030</c:v>
                </c:pt>
                <c:pt idx="68">
                  <c:v>45033</c:v>
                </c:pt>
                <c:pt idx="69">
                  <c:v>45034</c:v>
                </c:pt>
                <c:pt idx="70">
                  <c:v>45035</c:v>
                </c:pt>
                <c:pt idx="71">
                  <c:v>45036</c:v>
                </c:pt>
                <c:pt idx="72">
                  <c:v>45037</c:v>
                </c:pt>
                <c:pt idx="73">
                  <c:v>45040</c:v>
                </c:pt>
                <c:pt idx="74">
                  <c:v>45041</c:v>
                </c:pt>
                <c:pt idx="75">
                  <c:v>45042</c:v>
                </c:pt>
                <c:pt idx="76">
                  <c:v>45043</c:v>
                </c:pt>
                <c:pt idx="77">
                  <c:v>45044</c:v>
                </c:pt>
                <c:pt idx="78">
                  <c:v>45050</c:v>
                </c:pt>
                <c:pt idx="79">
                  <c:v>45051</c:v>
                </c:pt>
                <c:pt idx="80">
                  <c:v>45054</c:v>
                </c:pt>
                <c:pt idx="81">
                  <c:v>45055</c:v>
                </c:pt>
                <c:pt idx="82">
                  <c:v>45056</c:v>
                </c:pt>
                <c:pt idx="83">
                  <c:v>45057</c:v>
                </c:pt>
                <c:pt idx="84">
                  <c:v>45058</c:v>
                </c:pt>
                <c:pt idx="85">
                  <c:v>45061</c:v>
                </c:pt>
                <c:pt idx="86">
                  <c:v>45062</c:v>
                </c:pt>
                <c:pt idx="87">
                  <c:v>45063</c:v>
                </c:pt>
                <c:pt idx="88">
                  <c:v>45064</c:v>
                </c:pt>
                <c:pt idx="89">
                  <c:v>45065</c:v>
                </c:pt>
                <c:pt idx="90">
                  <c:v>45068</c:v>
                </c:pt>
                <c:pt idx="91">
                  <c:v>45069</c:v>
                </c:pt>
                <c:pt idx="92">
                  <c:v>45070</c:v>
                </c:pt>
                <c:pt idx="93">
                  <c:v>45071</c:v>
                </c:pt>
                <c:pt idx="94">
                  <c:v>45072</c:v>
                </c:pt>
                <c:pt idx="95">
                  <c:v>45075</c:v>
                </c:pt>
                <c:pt idx="96">
                  <c:v>45076</c:v>
                </c:pt>
                <c:pt idx="97">
                  <c:v>45077</c:v>
                </c:pt>
                <c:pt idx="98">
                  <c:v>45078</c:v>
                </c:pt>
                <c:pt idx="99">
                  <c:v>45079</c:v>
                </c:pt>
                <c:pt idx="100">
                  <c:v>45082</c:v>
                </c:pt>
                <c:pt idx="101">
                  <c:v>45083</c:v>
                </c:pt>
                <c:pt idx="102">
                  <c:v>45084</c:v>
                </c:pt>
                <c:pt idx="103">
                  <c:v>45085</c:v>
                </c:pt>
                <c:pt idx="104">
                  <c:v>45086</c:v>
                </c:pt>
                <c:pt idx="105">
                  <c:v>45089</c:v>
                </c:pt>
                <c:pt idx="106">
                  <c:v>45090</c:v>
                </c:pt>
                <c:pt idx="107">
                  <c:v>45091</c:v>
                </c:pt>
                <c:pt idx="108">
                  <c:v>45092</c:v>
                </c:pt>
                <c:pt idx="109">
                  <c:v>45093</c:v>
                </c:pt>
                <c:pt idx="110">
                  <c:v>45096</c:v>
                </c:pt>
                <c:pt idx="111">
                  <c:v>45097</c:v>
                </c:pt>
                <c:pt idx="112">
                  <c:v>45098</c:v>
                </c:pt>
                <c:pt idx="113">
                  <c:v>45103</c:v>
                </c:pt>
                <c:pt idx="114">
                  <c:v>45104</c:v>
                </c:pt>
                <c:pt idx="115">
                  <c:v>45105</c:v>
                </c:pt>
                <c:pt idx="116">
                  <c:v>45106</c:v>
                </c:pt>
                <c:pt idx="117">
                  <c:v>45107</c:v>
                </c:pt>
                <c:pt idx="118">
                  <c:v>45110</c:v>
                </c:pt>
                <c:pt idx="119">
                  <c:v>45111</c:v>
                </c:pt>
                <c:pt idx="120">
                  <c:v>45112</c:v>
                </c:pt>
                <c:pt idx="121">
                  <c:v>45113</c:v>
                </c:pt>
                <c:pt idx="122">
                  <c:v>45114</c:v>
                </c:pt>
                <c:pt idx="123">
                  <c:v>45117</c:v>
                </c:pt>
                <c:pt idx="124">
                  <c:v>45118</c:v>
                </c:pt>
                <c:pt idx="125">
                  <c:v>45119</c:v>
                </c:pt>
                <c:pt idx="126">
                  <c:v>45120</c:v>
                </c:pt>
                <c:pt idx="127">
                  <c:v>45121</c:v>
                </c:pt>
                <c:pt idx="128">
                  <c:v>45124</c:v>
                </c:pt>
                <c:pt idx="129">
                  <c:v>45125</c:v>
                </c:pt>
                <c:pt idx="130">
                  <c:v>45126</c:v>
                </c:pt>
                <c:pt idx="131">
                  <c:v>45127</c:v>
                </c:pt>
                <c:pt idx="132">
                  <c:v>45128</c:v>
                </c:pt>
                <c:pt idx="133">
                  <c:v>45131</c:v>
                </c:pt>
                <c:pt idx="134">
                  <c:v>45132</c:v>
                </c:pt>
                <c:pt idx="135">
                  <c:v>45133</c:v>
                </c:pt>
                <c:pt idx="136">
                  <c:v>45134</c:v>
                </c:pt>
                <c:pt idx="137">
                  <c:v>45135</c:v>
                </c:pt>
                <c:pt idx="138">
                  <c:v>45138</c:v>
                </c:pt>
                <c:pt idx="139">
                  <c:v>45139</c:v>
                </c:pt>
                <c:pt idx="140">
                  <c:v>45140</c:v>
                </c:pt>
                <c:pt idx="141">
                  <c:v>45141</c:v>
                </c:pt>
                <c:pt idx="142">
                  <c:v>45142</c:v>
                </c:pt>
                <c:pt idx="143">
                  <c:v>45145</c:v>
                </c:pt>
                <c:pt idx="144">
                  <c:v>45146</c:v>
                </c:pt>
                <c:pt idx="145">
                  <c:v>45147</c:v>
                </c:pt>
                <c:pt idx="146">
                  <c:v>45148</c:v>
                </c:pt>
                <c:pt idx="147">
                  <c:v>45149</c:v>
                </c:pt>
                <c:pt idx="148">
                  <c:v>45152</c:v>
                </c:pt>
                <c:pt idx="149">
                  <c:v>45153</c:v>
                </c:pt>
                <c:pt idx="150">
                  <c:v>45154</c:v>
                </c:pt>
                <c:pt idx="151">
                  <c:v>45155</c:v>
                </c:pt>
                <c:pt idx="152">
                  <c:v>45156</c:v>
                </c:pt>
                <c:pt idx="153">
                  <c:v>45159</c:v>
                </c:pt>
                <c:pt idx="154">
                  <c:v>45160</c:v>
                </c:pt>
                <c:pt idx="155">
                  <c:v>45161</c:v>
                </c:pt>
                <c:pt idx="156">
                  <c:v>45162</c:v>
                </c:pt>
                <c:pt idx="157">
                  <c:v>45163</c:v>
                </c:pt>
                <c:pt idx="158">
                  <c:v>45166</c:v>
                </c:pt>
                <c:pt idx="159">
                  <c:v>45167</c:v>
                </c:pt>
                <c:pt idx="160">
                  <c:v>45168</c:v>
                </c:pt>
                <c:pt idx="161">
                  <c:v>45169</c:v>
                </c:pt>
                <c:pt idx="162">
                  <c:v>45170</c:v>
                </c:pt>
                <c:pt idx="163">
                  <c:v>45173</c:v>
                </c:pt>
                <c:pt idx="164">
                  <c:v>45174</c:v>
                </c:pt>
                <c:pt idx="165">
                  <c:v>45175</c:v>
                </c:pt>
                <c:pt idx="166">
                  <c:v>45176</c:v>
                </c:pt>
                <c:pt idx="167">
                  <c:v>45177</c:v>
                </c:pt>
                <c:pt idx="168">
                  <c:v>45180</c:v>
                </c:pt>
                <c:pt idx="169">
                  <c:v>45181</c:v>
                </c:pt>
                <c:pt idx="170">
                  <c:v>45182</c:v>
                </c:pt>
                <c:pt idx="171">
                  <c:v>45183</c:v>
                </c:pt>
                <c:pt idx="172">
                  <c:v>45184</c:v>
                </c:pt>
                <c:pt idx="173">
                  <c:v>45187</c:v>
                </c:pt>
                <c:pt idx="174">
                  <c:v>45188</c:v>
                </c:pt>
                <c:pt idx="175">
                  <c:v>45189</c:v>
                </c:pt>
                <c:pt idx="176">
                  <c:v>45190</c:v>
                </c:pt>
                <c:pt idx="177">
                  <c:v>45191</c:v>
                </c:pt>
                <c:pt idx="178">
                  <c:v>45194</c:v>
                </c:pt>
                <c:pt idx="179">
                  <c:v>45195</c:v>
                </c:pt>
                <c:pt idx="180">
                  <c:v>45196</c:v>
                </c:pt>
                <c:pt idx="181">
                  <c:v>45197</c:v>
                </c:pt>
                <c:pt idx="182">
                  <c:v>45208</c:v>
                </c:pt>
                <c:pt idx="183">
                  <c:v>45209</c:v>
                </c:pt>
                <c:pt idx="184">
                  <c:v>45210</c:v>
                </c:pt>
                <c:pt idx="185">
                  <c:v>45211</c:v>
                </c:pt>
                <c:pt idx="186">
                  <c:v>45212</c:v>
                </c:pt>
                <c:pt idx="187">
                  <c:v>45215</c:v>
                </c:pt>
                <c:pt idx="188">
                  <c:v>45216</c:v>
                </c:pt>
                <c:pt idx="189">
                  <c:v>45217</c:v>
                </c:pt>
                <c:pt idx="190">
                  <c:v>45218</c:v>
                </c:pt>
                <c:pt idx="191">
                  <c:v>45219</c:v>
                </c:pt>
                <c:pt idx="192">
                  <c:v>45222</c:v>
                </c:pt>
                <c:pt idx="193">
                  <c:v>45223</c:v>
                </c:pt>
                <c:pt idx="194">
                  <c:v>45224</c:v>
                </c:pt>
                <c:pt idx="195">
                  <c:v>45225</c:v>
                </c:pt>
                <c:pt idx="196">
                  <c:v>45226</c:v>
                </c:pt>
                <c:pt idx="197">
                  <c:v>45229</c:v>
                </c:pt>
                <c:pt idx="198">
                  <c:v>45230</c:v>
                </c:pt>
                <c:pt idx="199">
                  <c:v>45231</c:v>
                </c:pt>
                <c:pt idx="200">
                  <c:v>45232</c:v>
                </c:pt>
                <c:pt idx="201">
                  <c:v>45233</c:v>
                </c:pt>
                <c:pt idx="202">
                  <c:v>45236</c:v>
                </c:pt>
                <c:pt idx="203">
                  <c:v>45237</c:v>
                </c:pt>
                <c:pt idx="204">
                  <c:v>45238</c:v>
                </c:pt>
                <c:pt idx="205">
                  <c:v>45239</c:v>
                </c:pt>
                <c:pt idx="206">
                  <c:v>45240</c:v>
                </c:pt>
                <c:pt idx="207">
                  <c:v>45243</c:v>
                </c:pt>
                <c:pt idx="208">
                  <c:v>45244</c:v>
                </c:pt>
                <c:pt idx="209">
                  <c:v>45245</c:v>
                </c:pt>
                <c:pt idx="210">
                  <c:v>45246</c:v>
                </c:pt>
                <c:pt idx="211">
                  <c:v>45247</c:v>
                </c:pt>
                <c:pt idx="212">
                  <c:v>45250</c:v>
                </c:pt>
                <c:pt idx="213">
                  <c:v>45251</c:v>
                </c:pt>
                <c:pt idx="214">
                  <c:v>45252</c:v>
                </c:pt>
                <c:pt idx="215">
                  <c:v>45253</c:v>
                </c:pt>
                <c:pt idx="216">
                  <c:v>45254</c:v>
                </c:pt>
                <c:pt idx="217">
                  <c:v>45257</c:v>
                </c:pt>
                <c:pt idx="218">
                  <c:v>45258</c:v>
                </c:pt>
                <c:pt idx="219">
                  <c:v>45259</c:v>
                </c:pt>
                <c:pt idx="220">
                  <c:v>45260</c:v>
                </c:pt>
                <c:pt idx="221">
                  <c:v>45261</c:v>
                </c:pt>
                <c:pt idx="222">
                  <c:v>45264</c:v>
                </c:pt>
                <c:pt idx="223">
                  <c:v>45265</c:v>
                </c:pt>
                <c:pt idx="224">
                  <c:v>45266</c:v>
                </c:pt>
                <c:pt idx="225">
                  <c:v>45267</c:v>
                </c:pt>
                <c:pt idx="226">
                  <c:v>45268</c:v>
                </c:pt>
                <c:pt idx="227">
                  <c:v>45271</c:v>
                </c:pt>
                <c:pt idx="228">
                  <c:v>45272</c:v>
                </c:pt>
                <c:pt idx="229">
                  <c:v>45273</c:v>
                </c:pt>
                <c:pt idx="230">
                  <c:v>45274</c:v>
                </c:pt>
                <c:pt idx="231">
                  <c:v>45275</c:v>
                </c:pt>
                <c:pt idx="232">
                  <c:v>45278</c:v>
                </c:pt>
                <c:pt idx="233">
                  <c:v>45279</c:v>
                </c:pt>
                <c:pt idx="234">
                  <c:v>45280</c:v>
                </c:pt>
                <c:pt idx="235">
                  <c:v>45281</c:v>
                </c:pt>
                <c:pt idx="236">
                  <c:v>45282</c:v>
                </c:pt>
                <c:pt idx="237">
                  <c:v>45285</c:v>
                </c:pt>
                <c:pt idx="238">
                  <c:v>45286</c:v>
                </c:pt>
                <c:pt idx="239">
                  <c:v>45287</c:v>
                </c:pt>
                <c:pt idx="240">
                  <c:v>45288</c:v>
                </c:pt>
                <c:pt idx="241">
                  <c:v>45289</c:v>
                </c:pt>
              </c:numCache>
            </c:numRef>
          </c:cat>
          <c:val>
            <c:numRef>
              <c:f>PnL!$AF$151:$AF$389</c:f>
              <c:numCache>
                <c:formatCode>General</c:formatCode>
                <c:ptCount val="239"/>
                <c:pt idx="0">
                  <c:v>1.0007202010958904</c:v>
                </c:pt>
                <c:pt idx="1">
                  <c:v>1.0008267287671233</c:v>
                </c:pt>
                <c:pt idx="2">
                  <c:v>1.0013719923287672</c:v>
                </c:pt>
                <c:pt idx="3">
                  <c:v>1.0011922087671232</c:v>
                </c:pt>
                <c:pt idx="4">
                  <c:v>1.0008186882191781</c:v>
                </c:pt>
                <c:pt idx="5">
                  <c:v>1.0009495090410958</c:v>
                </c:pt>
                <c:pt idx="6">
                  <c:v>1.0009346701369863</c:v>
                </c:pt>
                <c:pt idx="7">
                  <c:v>1.0010530778082192</c:v>
                </c:pt>
                <c:pt idx="8">
                  <c:v>1.0012888197260275</c:v>
                </c:pt>
                <c:pt idx="9">
                  <c:v>1.0013272284931507</c:v>
                </c:pt>
                <c:pt idx="10">
                  <c:v>1.0006511550684931</c:v>
                </c:pt>
                <c:pt idx="11">
                  <c:v>1.0010849583561643</c:v>
                </c:pt>
                <c:pt idx="12">
                  <c:v>1.0009602690410959</c:v>
                </c:pt>
                <c:pt idx="13">
                  <c:v>1.0010200898630137</c:v>
                </c:pt>
                <c:pt idx="14">
                  <c:v>1.0010832898630138</c:v>
                </c:pt>
                <c:pt idx="15">
                  <c:v>1.0012935539726027</c:v>
                </c:pt>
                <c:pt idx="16">
                  <c:v>1.0014568367123287</c:v>
                </c:pt>
                <c:pt idx="17">
                  <c:v>1.0012596547945205</c:v>
                </c:pt>
                <c:pt idx="18">
                  <c:v>1.0023596197260274</c:v>
                </c:pt>
                <c:pt idx="19">
                  <c:v>1.002244309041096</c:v>
                </c:pt>
                <c:pt idx="20">
                  <c:v>1.0030686460273972</c:v>
                </c:pt>
                <c:pt idx="21">
                  <c:v>1.0032226728767124</c:v>
                </c:pt>
                <c:pt idx="22">
                  <c:v>1.0026244843835617</c:v>
                </c:pt>
                <c:pt idx="23">
                  <c:v>1.0029105868493151</c:v>
                </c:pt>
                <c:pt idx="24">
                  <c:v>1.0028510526027397</c:v>
                </c:pt>
                <c:pt idx="25">
                  <c:v>1.0032263298630137</c:v>
                </c:pt>
                <c:pt idx="26">
                  <c:v>1.0033175895890412</c:v>
                </c:pt>
                <c:pt idx="27">
                  <c:v>1.0033243556164384</c:v>
                </c:pt>
                <c:pt idx="28">
                  <c:v>1.0034972706849314</c:v>
                </c:pt>
                <c:pt idx="29">
                  <c:v>1.0036731473972602</c:v>
                </c:pt>
                <c:pt idx="30">
                  <c:v>1.0037614016438356</c:v>
                </c:pt>
                <c:pt idx="31">
                  <c:v>1.0036969161643836</c:v>
                </c:pt>
                <c:pt idx="32">
                  <c:v>1.0017004750684932</c:v>
                </c:pt>
                <c:pt idx="33">
                  <c:v>1.0017724558904109</c:v>
                </c:pt>
                <c:pt idx="34">
                  <c:v>1.0021799671232876</c:v>
                </c:pt>
                <c:pt idx="35">
                  <c:v>1.0014980624657535</c:v>
                </c:pt>
                <c:pt idx="36">
                  <c:v>1.0014542953424657</c:v>
                </c:pt>
                <c:pt idx="37">
                  <c:v>1.0013963457534247</c:v>
                </c:pt>
                <c:pt idx="38">
                  <c:v>1.0012944887671233</c:v>
                </c:pt>
                <c:pt idx="39">
                  <c:v>1.0015381769863014</c:v>
                </c:pt>
                <c:pt idx="40">
                  <c:v>1.0009167342465755</c:v>
                </c:pt>
                <c:pt idx="41">
                  <c:v>1.0015123687671232</c:v>
                </c:pt>
                <c:pt idx="42">
                  <c:v>1.0030246515068493</c:v>
                </c:pt>
                <c:pt idx="43">
                  <c:v>1.0035797095890411</c:v>
                </c:pt>
                <c:pt idx="44">
                  <c:v>1.0033922038356164</c:v>
                </c:pt>
                <c:pt idx="45">
                  <c:v>1.0037684876712329</c:v>
                </c:pt>
                <c:pt idx="46">
                  <c:v>1.0042793479452055</c:v>
                </c:pt>
                <c:pt idx="47">
                  <c:v>1.0040292098630137</c:v>
                </c:pt>
                <c:pt idx="48">
                  <c:v>1.0046937671232876</c:v>
                </c:pt>
                <c:pt idx="49">
                  <c:v>1.0044305594520548</c:v>
                </c:pt>
                <c:pt idx="50">
                  <c:v>1.0051890865753426</c:v>
                </c:pt>
                <c:pt idx="51">
                  <c:v>1.0052548783561643</c:v>
                </c:pt>
                <c:pt idx="52">
                  <c:v>1.0062679402739727</c:v>
                </c:pt>
                <c:pt idx="53">
                  <c:v>1.0056134049315069</c:v>
                </c:pt>
                <c:pt idx="54">
                  <c:v>1.0051312986301371</c:v>
                </c:pt>
                <c:pt idx="55">
                  <c:v>1.0051046821917808</c:v>
                </c:pt>
                <c:pt idx="56">
                  <c:v>1.0045875413698631</c:v>
                </c:pt>
                <c:pt idx="57">
                  <c:v>1.0057115969863013</c:v>
                </c:pt>
                <c:pt idx="58">
                  <c:v>1.0055346378082193</c:v>
                </c:pt>
                <c:pt idx="59">
                  <c:v>1.0057697238356165</c:v>
                </c:pt>
                <c:pt idx="60">
                  <c:v>1.0053679328767124</c:v>
                </c:pt>
                <c:pt idx="61">
                  <c:v>1.006392902739726</c:v>
                </c:pt>
                <c:pt idx="62">
                  <c:v>1.0059224120547945</c:v>
                </c:pt>
                <c:pt idx="63">
                  <c:v>1.0060087964383562</c:v>
                </c:pt>
                <c:pt idx="64">
                  <c:v>1.0059223830136987</c:v>
                </c:pt>
                <c:pt idx="65">
                  <c:v>1.0067852865753424</c:v>
                </c:pt>
                <c:pt idx="66">
                  <c:v>1.0069052742465754</c:v>
                </c:pt>
                <c:pt idx="67">
                  <c:v>1.0080486295890412</c:v>
                </c:pt>
                <c:pt idx="68">
                  <c:v>1.008870035890411</c:v>
                </c:pt>
                <c:pt idx="69">
                  <c:v>1.0084304230136987</c:v>
                </c:pt>
                <c:pt idx="70">
                  <c:v>1.0083562695890411</c:v>
                </c:pt>
                <c:pt idx="71">
                  <c:v>1.0075339287671232</c:v>
                </c:pt>
                <c:pt idx="72">
                  <c:v>1.0084840728767124</c:v>
                </c:pt>
                <c:pt idx="73">
                  <c:v>1.0092996402739727</c:v>
                </c:pt>
                <c:pt idx="74">
                  <c:v>1.0095889468493151</c:v>
                </c:pt>
                <c:pt idx="75">
                  <c:v>1.0099477994520547</c:v>
                </c:pt>
                <c:pt idx="76">
                  <c:v>1.0101109520547946</c:v>
                </c:pt>
                <c:pt idx="77">
                  <c:v>1.0106259964383562</c:v>
                </c:pt>
                <c:pt idx="78">
                  <c:v>1.0109643586301369</c:v>
                </c:pt>
                <c:pt idx="79">
                  <c:v>1.0119228216438356</c:v>
                </c:pt>
                <c:pt idx="80">
                  <c:v>1.0135083599999999</c:v>
                </c:pt>
                <c:pt idx="81">
                  <c:v>1.0138998630136986</c:v>
                </c:pt>
                <c:pt idx="82">
                  <c:v>1.0151564673972602</c:v>
                </c:pt>
                <c:pt idx="83">
                  <c:v>1.0173587624657534</c:v>
                </c:pt>
                <c:pt idx="84">
                  <c:v>1.0174811361643836</c:v>
                </c:pt>
                <c:pt idx="85">
                  <c:v>1.0162000347945206</c:v>
                </c:pt>
                <c:pt idx="86">
                  <c:v>1.0168969509589041</c:v>
                </c:pt>
                <c:pt idx="87">
                  <c:v>1.0187375978082192</c:v>
                </c:pt>
                <c:pt idx="88">
                  <c:v>1.020798589041096</c:v>
                </c:pt>
                <c:pt idx="89">
                  <c:v>1.0209413199999999</c:v>
                </c:pt>
                <c:pt idx="90">
                  <c:v>1.0198575224657533</c:v>
                </c:pt>
                <c:pt idx="91">
                  <c:v>1.0200429619178082</c:v>
                </c:pt>
                <c:pt idx="92">
                  <c:v>1.0191183339726027</c:v>
                </c:pt>
                <c:pt idx="93">
                  <c:v>1.0195280084931506</c:v>
                </c:pt>
                <c:pt idx="94">
                  <c:v>1.0206458109589041</c:v>
                </c:pt>
                <c:pt idx="95">
                  <c:v>1.0220555928767123</c:v>
                </c:pt>
                <c:pt idx="96">
                  <c:v>1.0235334808219179</c:v>
                </c:pt>
                <c:pt idx="97">
                  <c:v>1.0230365906849315</c:v>
                </c:pt>
                <c:pt idx="98">
                  <c:v>1.0230714161643835</c:v>
                </c:pt>
                <c:pt idx="99">
                  <c:v>1.0216281956164384</c:v>
                </c:pt>
                <c:pt idx="100">
                  <c:v>1.0228884189041096</c:v>
                </c:pt>
                <c:pt idx="101">
                  <c:v>1.022982122739726</c:v>
                </c:pt>
                <c:pt idx="102">
                  <c:v>1.0244659339726028</c:v>
                </c:pt>
                <c:pt idx="103">
                  <c:v>1.025613505479452</c:v>
                </c:pt>
                <c:pt idx="104">
                  <c:v>1.0244793257534246</c:v>
                </c:pt>
                <c:pt idx="105">
                  <c:v>1.0247390863013699</c:v>
                </c:pt>
                <c:pt idx="106">
                  <c:v>1.0257417958904109</c:v>
                </c:pt>
                <c:pt idx="107">
                  <c:v>1.0259575238356164</c:v>
                </c:pt>
                <c:pt idx="108">
                  <c:v>1.0257398331506848</c:v>
                </c:pt>
                <c:pt idx="109">
                  <c:v>1.027055822739726</c:v>
                </c:pt>
                <c:pt idx="110">
                  <c:v>1.0271201934246574</c:v>
                </c:pt>
                <c:pt idx="111">
                  <c:v>1.0296485956164383</c:v>
                </c:pt>
                <c:pt idx="112">
                  <c:v>1.0302076145205479</c:v>
                </c:pt>
                <c:pt idx="113">
                  <c:v>1.0279321605479452</c:v>
                </c:pt>
                <c:pt idx="114">
                  <c:v>1.0268437306849316</c:v>
                </c:pt>
                <c:pt idx="115">
                  <c:v>1.0245678816438357</c:v>
                </c:pt>
                <c:pt idx="116">
                  <c:v>1.0257259556164384</c:v>
                </c:pt>
                <c:pt idx="117">
                  <c:v>1.0260972958904109</c:v>
                </c:pt>
                <c:pt idx="118">
                  <c:v>1.0270894175342467</c:v>
                </c:pt>
                <c:pt idx="119">
                  <c:v>1.0264656635616438</c:v>
                </c:pt>
                <c:pt idx="120">
                  <c:v>1.0262157498630138</c:v>
                </c:pt>
                <c:pt idx="121">
                  <c:v>1.0267537808219178</c:v>
                </c:pt>
                <c:pt idx="122">
                  <c:v>1.027528113150685</c:v>
                </c:pt>
                <c:pt idx="123">
                  <c:v>1.0293946293150684</c:v>
                </c:pt>
                <c:pt idx="124">
                  <c:v>1.0291916416438356</c:v>
                </c:pt>
                <c:pt idx="125">
                  <c:v>1.028726211780822</c:v>
                </c:pt>
                <c:pt idx="126">
                  <c:v>1.0293746802739725</c:v>
                </c:pt>
                <c:pt idx="127">
                  <c:v>1.0294472216438355</c:v>
                </c:pt>
                <c:pt idx="128">
                  <c:v>1.0296634490410959</c:v>
                </c:pt>
                <c:pt idx="129">
                  <c:v>1.0294926821917809</c:v>
                </c:pt>
                <c:pt idx="130">
                  <c:v>1.0299627865753425</c:v>
                </c:pt>
                <c:pt idx="131">
                  <c:v>1.0299358684931508</c:v>
                </c:pt>
                <c:pt idx="132">
                  <c:v>1.0293036536986302</c:v>
                </c:pt>
                <c:pt idx="133">
                  <c:v>1.0291878054794521</c:v>
                </c:pt>
                <c:pt idx="134">
                  <c:v>1.0304327838356164</c:v>
                </c:pt>
                <c:pt idx="135">
                  <c:v>1.0312235046575342</c:v>
                </c:pt>
                <c:pt idx="136">
                  <c:v>1.0317890917808219</c:v>
                </c:pt>
                <c:pt idx="137">
                  <c:v>1.0320917884931506</c:v>
                </c:pt>
                <c:pt idx="138">
                  <c:v>1.033051754520548</c:v>
                </c:pt>
                <c:pt idx="139">
                  <c:v>1.0339283583561645</c:v>
                </c:pt>
                <c:pt idx="140">
                  <c:v>1.0327857364383561</c:v>
                </c:pt>
                <c:pt idx="141">
                  <c:v>1.0333278421917809</c:v>
                </c:pt>
                <c:pt idx="142">
                  <c:v>1.0334781380821918</c:v>
                </c:pt>
                <c:pt idx="143">
                  <c:v>1.0332384498630136</c:v>
                </c:pt>
                <c:pt idx="144">
                  <c:v>1.0330288602739726</c:v>
                </c:pt>
                <c:pt idx="145">
                  <c:v>1.0330675709589041</c:v>
                </c:pt>
                <c:pt idx="146">
                  <c:v>1.0332193101369862</c:v>
                </c:pt>
                <c:pt idx="147">
                  <c:v>1.0340955863013699</c:v>
                </c:pt>
                <c:pt idx="148">
                  <c:v>1.0340163852054793</c:v>
                </c:pt>
                <c:pt idx="149">
                  <c:v>1.0341962498630137</c:v>
                </c:pt>
                <c:pt idx="150">
                  <c:v>1.0347048558904111</c:v>
                </c:pt>
                <c:pt idx="151">
                  <c:v>1.0352338263013698</c:v>
                </c:pt>
                <c:pt idx="152">
                  <c:v>1.0350806646575343</c:v>
                </c:pt>
                <c:pt idx="153">
                  <c:v>1.0350538767123287</c:v>
                </c:pt>
                <c:pt idx="154">
                  <c:v>1.0355293419178082</c:v>
                </c:pt>
                <c:pt idx="155">
                  <c:v>1.0358792991780821</c:v>
                </c:pt>
                <c:pt idx="156">
                  <c:v>1.035880258630137</c:v>
                </c:pt>
                <c:pt idx="157">
                  <c:v>1.0356817134246576</c:v>
                </c:pt>
                <c:pt idx="158">
                  <c:v>1.0359140328767122</c:v>
                </c:pt>
                <c:pt idx="159">
                  <c:v>1.0358115698630137</c:v>
                </c:pt>
                <c:pt idx="160">
                  <c:v>1.035339426849315</c:v>
                </c:pt>
                <c:pt idx="161">
                  <c:v>1.0352679189041096</c:v>
                </c:pt>
                <c:pt idx="162">
                  <c:v>1.0354861764383561</c:v>
                </c:pt>
                <c:pt idx="163">
                  <c:v>1.0353044279452055</c:v>
                </c:pt>
                <c:pt idx="164">
                  <c:v>1.0349047446575343</c:v>
                </c:pt>
                <c:pt idx="165">
                  <c:v>1.0339931967123288</c:v>
                </c:pt>
                <c:pt idx="166">
                  <c:v>1.0345099101369863</c:v>
                </c:pt>
                <c:pt idx="167">
                  <c:v>1.0345032712328768</c:v>
                </c:pt>
                <c:pt idx="168">
                  <c:v>1.0339566821917807</c:v>
                </c:pt>
                <c:pt idx="169">
                  <c:v>1.0337767490410958</c:v>
                </c:pt>
                <c:pt idx="170">
                  <c:v>1.0337758054794521</c:v>
                </c:pt>
                <c:pt idx="171">
                  <c:v>1.0334843912328768</c:v>
                </c:pt>
                <c:pt idx="172">
                  <c:v>1.0336459726027398</c:v>
                </c:pt>
                <c:pt idx="173">
                  <c:v>1.0338317216438355</c:v>
                </c:pt>
                <c:pt idx="174">
                  <c:v>1.033608530958904</c:v>
                </c:pt>
                <c:pt idx="175">
                  <c:v>1.0333359901369863</c:v>
                </c:pt>
                <c:pt idx="176">
                  <c:v>1.0334507090410958</c:v>
                </c:pt>
                <c:pt idx="177">
                  <c:v>1.0334124334246575</c:v>
                </c:pt>
                <c:pt idx="178">
                  <c:v>1.0337879189041095</c:v>
                </c:pt>
                <c:pt idx="179">
                  <c:v>1.0335366712328766</c:v>
                </c:pt>
                <c:pt idx="180">
                  <c:v>1.0335834964383561</c:v>
                </c:pt>
                <c:pt idx="181">
                  <c:v>1.0336348049315069</c:v>
                </c:pt>
                <c:pt idx="182">
                  <c:v>1.0336253791780823</c:v>
                </c:pt>
                <c:pt idx="183">
                  <c:v>1.033801410410959</c:v>
                </c:pt>
                <c:pt idx="184">
                  <c:v>1.0341287534246575</c:v>
                </c:pt>
                <c:pt idx="185">
                  <c:v>1.0340412197260274</c:v>
                </c:pt>
                <c:pt idx="186">
                  <c:v>1.0339553895890412</c:v>
                </c:pt>
                <c:pt idx="187">
                  <c:v>1.0337139315068493</c:v>
                </c:pt>
                <c:pt idx="188">
                  <c:v>1.0335053282191782</c:v>
                </c:pt>
                <c:pt idx="189">
                  <c:v>1.0334105386301369</c:v>
                </c:pt>
                <c:pt idx="190">
                  <c:v>1.0335851073972602</c:v>
                </c:pt>
                <c:pt idx="191">
                  <c:v>1.0337818164383561</c:v>
                </c:pt>
                <c:pt idx="192">
                  <c:v>1.0340570350684932</c:v>
                </c:pt>
                <c:pt idx="193">
                  <c:v>1.0339452893150685</c:v>
                </c:pt>
                <c:pt idx="194">
                  <c:v>1.0337284580821917</c:v>
                </c:pt>
                <c:pt idx="195">
                  <c:v>1.0341967857534247</c:v>
                </c:pt>
                <c:pt idx="196">
                  <c:v>1.0343410558904109</c:v>
                </c:pt>
                <c:pt idx="197">
                  <c:v>1.0347062328767123</c:v>
                </c:pt>
                <c:pt idx="198">
                  <c:v>1.0346043413698629</c:v>
                </c:pt>
                <c:pt idx="199">
                  <c:v>1.0344145183561644</c:v>
                </c:pt>
                <c:pt idx="200">
                  <c:v>1.0343046980821917</c:v>
                </c:pt>
                <c:pt idx="201">
                  <c:v>1.0344978065753425</c:v>
                </c:pt>
                <c:pt idx="202">
                  <c:v>1.0352578509589041</c:v>
                </c:pt>
                <c:pt idx="203">
                  <c:v>1.0350932608219179</c:v>
                </c:pt>
                <c:pt idx="204">
                  <c:v>1.0350018060273973</c:v>
                </c:pt>
                <c:pt idx="205">
                  <c:v>1.0349063610958904</c:v>
                </c:pt>
                <c:pt idx="206">
                  <c:v>1.0361678126027396</c:v>
                </c:pt>
                <c:pt idx="207">
                  <c:v>1.036821778630137</c:v>
                </c:pt>
                <c:pt idx="208">
                  <c:v>1.0386242684931506</c:v>
                </c:pt>
                <c:pt idx="209">
                  <c:v>1.0384237353424657</c:v>
                </c:pt>
                <c:pt idx="210">
                  <c:v>1.0386873479452055</c:v>
                </c:pt>
                <c:pt idx="211">
                  <c:v>1.0383877035616438</c:v>
                </c:pt>
                <c:pt idx="212">
                  <c:v>1.0393166284931508</c:v>
                </c:pt>
                <c:pt idx="213">
                  <c:v>1.0391449665753425</c:v>
                </c:pt>
                <c:pt idx="214">
                  <c:v>1.0400723128767124</c:v>
                </c:pt>
                <c:pt idx="215">
                  <c:v>1.0405033583561645</c:v>
                </c:pt>
                <c:pt idx="216">
                  <c:v>1.0400907698630137</c:v>
                </c:pt>
                <c:pt idx="217">
                  <c:v>1.0399860295890411</c:v>
                </c:pt>
                <c:pt idx="218">
                  <c:v>1.0405154268493151</c:v>
                </c:pt>
                <c:pt idx="219">
                  <c:v>1.040630765479452</c:v>
                </c:pt>
                <c:pt idx="220">
                  <c:v>1.0404942301369862</c:v>
                </c:pt>
                <c:pt idx="221">
                  <c:v>1.0403574997260274</c:v>
                </c:pt>
                <c:pt idx="222">
                  <c:v>1.0395532432876713</c:v>
                </c:pt>
                <c:pt idx="223">
                  <c:v>1.0387792838356165</c:v>
                </c:pt>
                <c:pt idx="224">
                  <c:v>1.0383685978082191</c:v>
                </c:pt>
                <c:pt idx="225">
                  <c:v>1.0377568032876712</c:v>
                </c:pt>
                <c:pt idx="226">
                  <c:v>1.0396738443835616</c:v>
                </c:pt>
                <c:pt idx="227">
                  <c:v>1.0401064805479452</c:v>
                </c:pt>
                <c:pt idx="228">
                  <c:v>1.0412310893150685</c:v>
                </c:pt>
                <c:pt idx="229">
                  <c:v>1.0411308756164384</c:v>
                </c:pt>
                <c:pt idx="230">
                  <c:v>1.0404205068493151</c:v>
                </c:pt>
                <c:pt idx="231">
                  <c:v>1.0414014273972603</c:v>
                </c:pt>
                <c:pt idx="232">
                  <c:v>1.0411004652054794</c:v>
                </c:pt>
                <c:pt idx="233">
                  <c:v>1.0415942547945205</c:v>
                </c:pt>
                <c:pt idx="234">
                  <c:v>1.0415709857534245</c:v>
                </c:pt>
                <c:pt idx="235">
                  <c:v>1.0423012542465753</c:v>
                </c:pt>
                <c:pt idx="236">
                  <c:v>1.0429456432876711</c:v>
                </c:pt>
                <c:pt idx="237">
                  <c:v>1.0441139583561643</c:v>
                </c:pt>
                <c:pt idx="238">
                  <c:v>1.0436090230136985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ADC-45D0-B213-E0E637B1D1A3}"/>
            </c:ext>
          </c:extLst>
        </c:ser>
        <c:ser>
          <c:idx val="0"/>
          <c:order val="1"/>
          <c:tx>
            <c:strRef>
              <c:f>中国_中债国债到期收益率_1年!$S$1</c:f>
              <c:strCache>
                <c:ptCount val="1"/>
                <c:pt idx="0">
                  <c:v>Short-Term Bond Fund Index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中国_中债国债到期收益率_1年!$J$148:$J$389</c:f>
              <c:numCache>
                <c:formatCode>yyyy\-mm\-dd</c:formatCode>
                <c:ptCount val="242"/>
                <c:pt idx="0">
                  <c:v>44929</c:v>
                </c:pt>
                <c:pt idx="1">
                  <c:v>44930</c:v>
                </c:pt>
                <c:pt idx="2">
                  <c:v>44931</c:v>
                </c:pt>
                <c:pt idx="3">
                  <c:v>44932</c:v>
                </c:pt>
                <c:pt idx="4">
                  <c:v>44935</c:v>
                </c:pt>
                <c:pt idx="5">
                  <c:v>44936</c:v>
                </c:pt>
                <c:pt idx="6">
                  <c:v>44937</c:v>
                </c:pt>
                <c:pt idx="7">
                  <c:v>44938</c:v>
                </c:pt>
                <c:pt idx="8">
                  <c:v>44939</c:v>
                </c:pt>
                <c:pt idx="9">
                  <c:v>44942</c:v>
                </c:pt>
                <c:pt idx="10">
                  <c:v>44943</c:v>
                </c:pt>
                <c:pt idx="11">
                  <c:v>44944</c:v>
                </c:pt>
                <c:pt idx="12">
                  <c:v>44945</c:v>
                </c:pt>
                <c:pt idx="13">
                  <c:v>44946</c:v>
                </c:pt>
                <c:pt idx="14">
                  <c:v>44956</c:v>
                </c:pt>
                <c:pt idx="15">
                  <c:v>44957</c:v>
                </c:pt>
                <c:pt idx="16">
                  <c:v>44958</c:v>
                </c:pt>
                <c:pt idx="17">
                  <c:v>44959</c:v>
                </c:pt>
                <c:pt idx="18">
                  <c:v>44960</c:v>
                </c:pt>
                <c:pt idx="19">
                  <c:v>44963</c:v>
                </c:pt>
                <c:pt idx="20">
                  <c:v>44964</c:v>
                </c:pt>
                <c:pt idx="21">
                  <c:v>44965</c:v>
                </c:pt>
                <c:pt idx="22">
                  <c:v>44966</c:v>
                </c:pt>
                <c:pt idx="23">
                  <c:v>44967</c:v>
                </c:pt>
                <c:pt idx="24">
                  <c:v>44970</c:v>
                </c:pt>
                <c:pt idx="25">
                  <c:v>44971</c:v>
                </c:pt>
                <c:pt idx="26">
                  <c:v>44972</c:v>
                </c:pt>
                <c:pt idx="27">
                  <c:v>44973</c:v>
                </c:pt>
                <c:pt idx="28">
                  <c:v>44974</c:v>
                </c:pt>
                <c:pt idx="29">
                  <c:v>44977</c:v>
                </c:pt>
                <c:pt idx="30">
                  <c:v>44978</c:v>
                </c:pt>
                <c:pt idx="31">
                  <c:v>44979</c:v>
                </c:pt>
                <c:pt idx="32">
                  <c:v>44980</c:v>
                </c:pt>
                <c:pt idx="33">
                  <c:v>44981</c:v>
                </c:pt>
                <c:pt idx="34">
                  <c:v>44984</c:v>
                </c:pt>
                <c:pt idx="35">
                  <c:v>44985</c:v>
                </c:pt>
                <c:pt idx="36">
                  <c:v>44986</c:v>
                </c:pt>
                <c:pt idx="37">
                  <c:v>44987</c:v>
                </c:pt>
                <c:pt idx="38">
                  <c:v>44988</c:v>
                </c:pt>
                <c:pt idx="39">
                  <c:v>44991</c:v>
                </c:pt>
                <c:pt idx="40">
                  <c:v>44992</c:v>
                </c:pt>
                <c:pt idx="41">
                  <c:v>44993</c:v>
                </c:pt>
                <c:pt idx="42">
                  <c:v>44994</c:v>
                </c:pt>
                <c:pt idx="43">
                  <c:v>44995</c:v>
                </c:pt>
                <c:pt idx="44">
                  <c:v>44998</c:v>
                </c:pt>
                <c:pt idx="45">
                  <c:v>44999</c:v>
                </c:pt>
                <c:pt idx="46">
                  <c:v>45000</c:v>
                </c:pt>
                <c:pt idx="47">
                  <c:v>45001</c:v>
                </c:pt>
                <c:pt idx="48">
                  <c:v>45002</c:v>
                </c:pt>
                <c:pt idx="49">
                  <c:v>45005</c:v>
                </c:pt>
                <c:pt idx="50">
                  <c:v>45006</c:v>
                </c:pt>
                <c:pt idx="51">
                  <c:v>45007</c:v>
                </c:pt>
                <c:pt idx="52">
                  <c:v>45008</c:v>
                </c:pt>
                <c:pt idx="53">
                  <c:v>45009</c:v>
                </c:pt>
                <c:pt idx="54">
                  <c:v>45012</c:v>
                </c:pt>
                <c:pt idx="55">
                  <c:v>45013</c:v>
                </c:pt>
                <c:pt idx="56">
                  <c:v>45014</c:v>
                </c:pt>
                <c:pt idx="57">
                  <c:v>45015</c:v>
                </c:pt>
                <c:pt idx="58">
                  <c:v>45016</c:v>
                </c:pt>
                <c:pt idx="59">
                  <c:v>45019</c:v>
                </c:pt>
                <c:pt idx="60">
                  <c:v>45020</c:v>
                </c:pt>
                <c:pt idx="61">
                  <c:v>45022</c:v>
                </c:pt>
                <c:pt idx="62">
                  <c:v>45023</c:v>
                </c:pt>
                <c:pt idx="63">
                  <c:v>45026</c:v>
                </c:pt>
                <c:pt idx="64">
                  <c:v>45027</c:v>
                </c:pt>
                <c:pt idx="65">
                  <c:v>45028</c:v>
                </c:pt>
                <c:pt idx="66">
                  <c:v>45029</c:v>
                </c:pt>
                <c:pt idx="67">
                  <c:v>45030</c:v>
                </c:pt>
                <c:pt idx="68">
                  <c:v>45033</c:v>
                </c:pt>
                <c:pt idx="69">
                  <c:v>45034</c:v>
                </c:pt>
                <c:pt idx="70">
                  <c:v>45035</c:v>
                </c:pt>
                <c:pt idx="71">
                  <c:v>45036</c:v>
                </c:pt>
                <c:pt idx="72">
                  <c:v>45037</c:v>
                </c:pt>
                <c:pt idx="73">
                  <c:v>45040</c:v>
                </c:pt>
                <c:pt idx="74">
                  <c:v>45041</c:v>
                </c:pt>
                <c:pt idx="75">
                  <c:v>45042</c:v>
                </c:pt>
                <c:pt idx="76">
                  <c:v>45043</c:v>
                </c:pt>
                <c:pt idx="77">
                  <c:v>45044</c:v>
                </c:pt>
                <c:pt idx="78">
                  <c:v>45050</c:v>
                </c:pt>
                <c:pt idx="79">
                  <c:v>45051</c:v>
                </c:pt>
                <c:pt idx="80">
                  <c:v>45054</c:v>
                </c:pt>
                <c:pt idx="81">
                  <c:v>45055</c:v>
                </c:pt>
                <c:pt idx="82">
                  <c:v>45056</c:v>
                </c:pt>
                <c:pt idx="83">
                  <c:v>45057</c:v>
                </c:pt>
                <c:pt idx="84">
                  <c:v>45058</c:v>
                </c:pt>
                <c:pt idx="85">
                  <c:v>45061</c:v>
                </c:pt>
                <c:pt idx="86">
                  <c:v>45062</c:v>
                </c:pt>
                <c:pt idx="87">
                  <c:v>45063</c:v>
                </c:pt>
                <c:pt idx="88">
                  <c:v>45064</c:v>
                </c:pt>
                <c:pt idx="89">
                  <c:v>45065</c:v>
                </c:pt>
                <c:pt idx="90">
                  <c:v>45068</c:v>
                </c:pt>
                <c:pt idx="91">
                  <c:v>45069</c:v>
                </c:pt>
                <c:pt idx="92">
                  <c:v>45070</c:v>
                </c:pt>
                <c:pt idx="93">
                  <c:v>45071</c:v>
                </c:pt>
                <c:pt idx="94">
                  <c:v>45072</c:v>
                </c:pt>
                <c:pt idx="95">
                  <c:v>45075</c:v>
                </c:pt>
                <c:pt idx="96">
                  <c:v>45076</c:v>
                </c:pt>
                <c:pt idx="97">
                  <c:v>45077</c:v>
                </c:pt>
                <c:pt idx="98">
                  <c:v>45078</c:v>
                </c:pt>
                <c:pt idx="99">
                  <c:v>45079</c:v>
                </c:pt>
                <c:pt idx="100">
                  <c:v>45082</c:v>
                </c:pt>
                <c:pt idx="101">
                  <c:v>45083</c:v>
                </c:pt>
                <c:pt idx="102">
                  <c:v>45084</c:v>
                </c:pt>
                <c:pt idx="103">
                  <c:v>45085</c:v>
                </c:pt>
                <c:pt idx="104">
                  <c:v>45086</c:v>
                </c:pt>
                <c:pt idx="105">
                  <c:v>45089</c:v>
                </c:pt>
                <c:pt idx="106">
                  <c:v>45090</c:v>
                </c:pt>
                <c:pt idx="107">
                  <c:v>45091</c:v>
                </c:pt>
                <c:pt idx="108">
                  <c:v>45092</c:v>
                </c:pt>
                <c:pt idx="109">
                  <c:v>45093</c:v>
                </c:pt>
                <c:pt idx="110">
                  <c:v>45096</c:v>
                </c:pt>
                <c:pt idx="111">
                  <c:v>45097</c:v>
                </c:pt>
                <c:pt idx="112">
                  <c:v>45098</c:v>
                </c:pt>
                <c:pt idx="113">
                  <c:v>45103</c:v>
                </c:pt>
                <c:pt idx="114">
                  <c:v>45104</c:v>
                </c:pt>
                <c:pt idx="115">
                  <c:v>45105</c:v>
                </c:pt>
                <c:pt idx="116">
                  <c:v>45106</c:v>
                </c:pt>
                <c:pt idx="117">
                  <c:v>45107</c:v>
                </c:pt>
                <c:pt idx="118">
                  <c:v>45110</c:v>
                </c:pt>
                <c:pt idx="119">
                  <c:v>45111</c:v>
                </c:pt>
                <c:pt idx="120">
                  <c:v>45112</c:v>
                </c:pt>
                <c:pt idx="121">
                  <c:v>45113</c:v>
                </c:pt>
                <c:pt idx="122">
                  <c:v>45114</c:v>
                </c:pt>
                <c:pt idx="123">
                  <c:v>45117</c:v>
                </c:pt>
                <c:pt idx="124">
                  <c:v>45118</c:v>
                </c:pt>
                <c:pt idx="125">
                  <c:v>45119</c:v>
                </c:pt>
                <c:pt idx="126">
                  <c:v>45120</c:v>
                </c:pt>
                <c:pt idx="127">
                  <c:v>45121</c:v>
                </c:pt>
                <c:pt idx="128">
                  <c:v>45124</c:v>
                </c:pt>
                <c:pt idx="129">
                  <c:v>45125</c:v>
                </c:pt>
                <c:pt idx="130">
                  <c:v>45126</c:v>
                </c:pt>
                <c:pt idx="131">
                  <c:v>45127</c:v>
                </c:pt>
                <c:pt idx="132">
                  <c:v>45128</c:v>
                </c:pt>
                <c:pt idx="133">
                  <c:v>45131</c:v>
                </c:pt>
                <c:pt idx="134">
                  <c:v>45132</c:v>
                </c:pt>
                <c:pt idx="135">
                  <c:v>45133</c:v>
                </c:pt>
                <c:pt idx="136">
                  <c:v>45134</c:v>
                </c:pt>
                <c:pt idx="137">
                  <c:v>45135</c:v>
                </c:pt>
                <c:pt idx="138">
                  <c:v>45138</c:v>
                </c:pt>
                <c:pt idx="139">
                  <c:v>45139</c:v>
                </c:pt>
                <c:pt idx="140">
                  <c:v>45140</c:v>
                </c:pt>
                <c:pt idx="141">
                  <c:v>45141</c:v>
                </c:pt>
                <c:pt idx="142">
                  <c:v>45142</c:v>
                </c:pt>
                <c:pt idx="143">
                  <c:v>45145</c:v>
                </c:pt>
                <c:pt idx="144">
                  <c:v>45146</c:v>
                </c:pt>
                <c:pt idx="145">
                  <c:v>45147</c:v>
                </c:pt>
                <c:pt idx="146">
                  <c:v>45148</c:v>
                </c:pt>
                <c:pt idx="147">
                  <c:v>45149</c:v>
                </c:pt>
                <c:pt idx="148">
                  <c:v>45152</c:v>
                </c:pt>
                <c:pt idx="149">
                  <c:v>45153</c:v>
                </c:pt>
                <c:pt idx="150">
                  <c:v>45154</c:v>
                </c:pt>
                <c:pt idx="151">
                  <c:v>45155</c:v>
                </c:pt>
                <c:pt idx="152">
                  <c:v>45156</c:v>
                </c:pt>
                <c:pt idx="153">
                  <c:v>45159</c:v>
                </c:pt>
                <c:pt idx="154">
                  <c:v>45160</c:v>
                </c:pt>
                <c:pt idx="155">
                  <c:v>45161</c:v>
                </c:pt>
                <c:pt idx="156">
                  <c:v>45162</c:v>
                </c:pt>
                <c:pt idx="157">
                  <c:v>45163</c:v>
                </c:pt>
                <c:pt idx="158">
                  <c:v>45166</c:v>
                </c:pt>
                <c:pt idx="159">
                  <c:v>45167</c:v>
                </c:pt>
                <c:pt idx="160">
                  <c:v>45168</c:v>
                </c:pt>
                <c:pt idx="161">
                  <c:v>45169</c:v>
                </c:pt>
                <c:pt idx="162">
                  <c:v>45170</c:v>
                </c:pt>
                <c:pt idx="163">
                  <c:v>45173</c:v>
                </c:pt>
                <c:pt idx="164">
                  <c:v>45174</c:v>
                </c:pt>
                <c:pt idx="165">
                  <c:v>45175</c:v>
                </c:pt>
                <c:pt idx="166">
                  <c:v>45176</c:v>
                </c:pt>
                <c:pt idx="167">
                  <c:v>45177</c:v>
                </c:pt>
                <c:pt idx="168">
                  <c:v>45180</c:v>
                </c:pt>
                <c:pt idx="169">
                  <c:v>45181</c:v>
                </c:pt>
                <c:pt idx="170">
                  <c:v>45182</c:v>
                </c:pt>
                <c:pt idx="171">
                  <c:v>45183</c:v>
                </c:pt>
                <c:pt idx="172">
                  <c:v>45184</c:v>
                </c:pt>
                <c:pt idx="173">
                  <c:v>45187</c:v>
                </c:pt>
                <c:pt idx="174">
                  <c:v>45188</c:v>
                </c:pt>
                <c:pt idx="175">
                  <c:v>45189</c:v>
                </c:pt>
                <c:pt idx="176">
                  <c:v>45190</c:v>
                </c:pt>
                <c:pt idx="177">
                  <c:v>45191</c:v>
                </c:pt>
                <c:pt idx="178">
                  <c:v>45194</c:v>
                </c:pt>
                <c:pt idx="179">
                  <c:v>45195</c:v>
                </c:pt>
                <c:pt idx="180">
                  <c:v>45196</c:v>
                </c:pt>
                <c:pt idx="181">
                  <c:v>45197</c:v>
                </c:pt>
                <c:pt idx="182">
                  <c:v>45208</c:v>
                </c:pt>
                <c:pt idx="183">
                  <c:v>45209</c:v>
                </c:pt>
                <c:pt idx="184">
                  <c:v>45210</c:v>
                </c:pt>
                <c:pt idx="185">
                  <c:v>45211</c:v>
                </c:pt>
                <c:pt idx="186">
                  <c:v>45212</c:v>
                </c:pt>
                <c:pt idx="187">
                  <c:v>45215</c:v>
                </c:pt>
                <c:pt idx="188">
                  <c:v>45216</c:v>
                </c:pt>
                <c:pt idx="189">
                  <c:v>45217</c:v>
                </c:pt>
                <c:pt idx="190">
                  <c:v>45218</c:v>
                </c:pt>
                <c:pt idx="191">
                  <c:v>45219</c:v>
                </c:pt>
                <c:pt idx="192">
                  <c:v>45222</c:v>
                </c:pt>
                <c:pt idx="193">
                  <c:v>45223</c:v>
                </c:pt>
                <c:pt idx="194">
                  <c:v>45224</c:v>
                </c:pt>
                <c:pt idx="195">
                  <c:v>45225</c:v>
                </c:pt>
                <c:pt idx="196">
                  <c:v>45226</c:v>
                </c:pt>
                <c:pt idx="197">
                  <c:v>45229</c:v>
                </c:pt>
                <c:pt idx="198">
                  <c:v>45230</c:v>
                </c:pt>
                <c:pt idx="199">
                  <c:v>45231</c:v>
                </c:pt>
                <c:pt idx="200">
                  <c:v>45232</c:v>
                </c:pt>
                <c:pt idx="201">
                  <c:v>45233</c:v>
                </c:pt>
                <c:pt idx="202">
                  <c:v>45236</c:v>
                </c:pt>
                <c:pt idx="203">
                  <c:v>45237</c:v>
                </c:pt>
                <c:pt idx="204">
                  <c:v>45238</c:v>
                </c:pt>
                <c:pt idx="205">
                  <c:v>45239</c:v>
                </c:pt>
                <c:pt idx="206">
                  <c:v>45240</c:v>
                </c:pt>
                <c:pt idx="207">
                  <c:v>45243</c:v>
                </c:pt>
                <c:pt idx="208">
                  <c:v>45244</c:v>
                </c:pt>
                <c:pt idx="209">
                  <c:v>45245</c:v>
                </c:pt>
                <c:pt idx="210">
                  <c:v>45246</c:v>
                </c:pt>
                <c:pt idx="211">
                  <c:v>45247</c:v>
                </c:pt>
                <c:pt idx="212">
                  <c:v>45250</c:v>
                </c:pt>
                <c:pt idx="213">
                  <c:v>45251</c:v>
                </c:pt>
                <c:pt idx="214">
                  <c:v>45252</c:v>
                </c:pt>
                <c:pt idx="215">
                  <c:v>45253</c:v>
                </c:pt>
                <c:pt idx="216">
                  <c:v>45254</c:v>
                </c:pt>
                <c:pt idx="217">
                  <c:v>45257</c:v>
                </c:pt>
                <c:pt idx="218">
                  <c:v>45258</c:v>
                </c:pt>
                <c:pt idx="219">
                  <c:v>45259</c:v>
                </c:pt>
                <c:pt idx="220">
                  <c:v>45260</c:v>
                </c:pt>
                <c:pt idx="221">
                  <c:v>45261</c:v>
                </c:pt>
                <c:pt idx="222">
                  <c:v>45264</c:v>
                </c:pt>
                <c:pt idx="223">
                  <c:v>45265</c:v>
                </c:pt>
                <c:pt idx="224">
                  <c:v>45266</c:v>
                </c:pt>
                <c:pt idx="225">
                  <c:v>45267</c:v>
                </c:pt>
                <c:pt idx="226">
                  <c:v>45268</c:v>
                </c:pt>
                <c:pt idx="227">
                  <c:v>45271</c:v>
                </c:pt>
                <c:pt idx="228">
                  <c:v>45272</c:v>
                </c:pt>
                <c:pt idx="229">
                  <c:v>45273</c:v>
                </c:pt>
                <c:pt idx="230">
                  <c:v>45274</c:v>
                </c:pt>
                <c:pt idx="231">
                  <c:v>45275</c:v>
                </c:pt>
                <c:pt idx="232">
                  <c:v>45278</c:v>
                </c:pt>
                <c:pt idx="233">
                  <c:v>45279</c:v>
                </c:pt>
                <c:pt idx="234">
                  <c:v>45280</c:v>
                </c:pt>
                <c:pt idx="235">
                  <c:v>45281</c:v>
                </c:pt>
                <c:pt idx="236">
                  <c:v>45282</c:v>
                </c:pt>
                <c:pt idx="237">
                  <c:v>45285</c:v>
                </c:pt>
                <c:pt idx="238">
                  <c:v>45286</c:v>
                </c:pt>
                <c:pt idx="239">
                  <c:v>45287</c:v>
                </c:pt>
                <c:pt idx="240">
                  <c:v>45288</c:v>
                </c:pt>
                <c:pt idx="241">
                  <c:v>45289</c:v>
                </c:pt>
              </c:numCache>
            </c:numRef>
          </c:cat>
          <c:val>
            <c:numRef>
              <c:f>中国_中债国债到期收益率_1年!$S$148:$S$389</c:f>
              <c:numCache>
                <c:formatCode>0.00_);[Red]\(0.00\)</c:formatCode>
                <c:ptCount val="242"/>
                <c:pt idx="0">
                  <c:v>1</c:v>
                </c:pt>
                <c:pt idx="1">
                  <c:v>1.0004517112868243</c:v>
                </c:pt>
                <c:pt idx="2">
                  <c:v>1.0006991266683296</c:v>
                </c:pt>
                <c:pt idx="3">
                  <c:v>1.0006692791814533</c:v>
                </c:pt>
                <c:pt idx="4">
                  <c:v>1.0008649975565631</c:v>
                </c:pt>
                <c:pt idx="5">
                  <c:v>1.0006550219352948</c:v>
                </c:pt>
                <c:pt idx="6">
                  <c:v>1.0006316075960753</c:v>
                </c:pt>
                <c:pt idx="7">
                  <c:v>1.000806983315081</c:v>
                </c:pt>
                <c:pt idx="8">
                  <c:v>1.0008860356880895</c:v>
                </c:pt>
                <c:pt idx="9">
                  <c:v>1.0008901505843384</c:v>
                </c:pt>
                <c:pt idx="10">
                  <c:v>1.0009502512520876</c:v>
                </c:pt>
                <c:pt idx="11">
                  <c:v>1.0011158323588951</c:v>
                </c:pt>
                <c:pt idx="12">
                  <c:v>1.0012485522519958</c:v>
                </c:pt>
                <c:pt idx="13">
                  <c:v>1.0014500662556252</c:v>
                </c:pt>
                <c:pt idx="14">
                  <c:v>1.0022725238988537</c:v>
                </c:pt>
                <c:pt idx="15">
                  <c:v>1.0024040267099654</c:v>
                </c:pt>
                <c:pt idx="16">
                  <c:v>1.0024741538150537</c:v>
                </c:pt>
                <c:pt idx="17">
                  <c:v>1.0026492977089185</c:v>
                </c:pt>
                <c:pt idx="18">
                  <c:v>1.0028920765876082</c:v>
                </c:pt>
                <c:pt idx="19">
                  <c:v>1.0031332326903122</c:v>
                </c:pt>
                <c:pt idx="20">
                  <c:v>1.0032088076862089</c:v>
                </c:pt>
                <c:pt idx="21">
                  <c:v>1.0033261112074474</c:v>
                </c:pt>
                <c:pt idx="22">
                  <c:v>1.0034810863140637</c:v>
                </c:pt>
                <c:pt idx="23">
                  <c:v>1.003662257661589</c:v>
                </c:pt>
                <c:pt idx="24">
                  <c:v>1.0039826400061571</c:v>
                </c:pt>
                <c:pt idx="25">
                  <c:v>1.0041363980307845</c:v>
                </c:pt>
                <c:pt idx="26">
                  <c:v>1.0042594392242574</c:v>
                </c:pt>
                <c:pt idx="27">
                  <c:v>1.0044690671078145</c:v>
                </c:pt>
                <c:pt idx="28">
                  <c:v>1.0045742577654466</c:v>
                </c:pt>
                <c:pt idx="29">
                  <c:v>1.004622941045012</c:v>
                </c:pt>
                <c:pt idx="30">
                  <c:v>1.0045330508466719</c:v>
                </c:pt>
                <c:pt idx="31">
                  <c:v>1.0046336629577737</c:v>
                </c:pt>
                <c:pt idx="32">
                  <c:v>1.0047004865546054</c:v>
                </c:pt>
                <c:pt idx="33">
                  <c:v>1.0047779741079137</c:v>
                </c:pt>
                <c:pt idx="34">
                  <c:v>1.0049370641107791</c:v>
                </c:pt>
                <c:pt idx="35">
                  <c:v>1.0049683025485001</c:v>
                </c:pt>
                <c:pt idx="36">
                  <c:v>1.0050740148126991</c:v>
                </c:pt>
                <c:pt idx="37">
                  <c:v>1.0051840158420029</c:v>
                </c:pt>
                <c:pt idx="38">
                  <c:v>1.0052591271876179</c:v>
                </c:pt>
                <c:pt idx="39">
                  <c:v>1.0056617495008804</c:v>
                </c:pt>
                <c:pt idx="40">
                  <c:v>1.0058722467287153</c:v>
                </c:pt>
                <c:pt idx="41">
                  <c:v>1.006062285387876</c:v>
                </c:pt>
                <c:pt idx="42">
                  <c:v>1.0062373713254555</c:v>
                </c:pt>
                <c:pt idx="43">
                  <c:v>1.0064162823778582</c:v>
                </c:pt>
                <c:pt idx="44">
                  <c:v>1.0066676967430421</c:v>
                </c:pt>
                <c:pt idx="45">
                  <c:v>1.0067837252260063</c:v>
                </c:pt>
                <c:pt idx="46">
                  <c:v>1.0068520556862535</c:v>
                </c:pt>
                <c:pt idx="47">
                  <c:v>1.0069655340926689</c:v>
                </c:pt>
                <c:pt idx="48">
                  <c:v>1.007162875243764</c:v>
                </c:pt>
                <c:pt idx="49">
                  <c:v>1.0076089647709243</c:v>
                </c:pt>
                <c:pt idx="50">
                  <c:v>1.0076913786084742</c:v>
                </c:pt>
                <c:pt idx="51">
                  <c:v>1.0077828915828</c:v>
                </c:pt>
                <c:pt idx="52">
                  <c:v>1.0079114965796518</c:v>
                </c:pt>
                <c:pt idx="53">
                  <c:v>1.0079211173229945</c:v>
                </c:pt>
                <c:pt idx="54">
                  <c:v>1.0082101453172712</c:v>
                </c:pt>
                <c:pt idx="55">
                  <c:v>1.0082999196030411</c:v>
                </c:pt>
                <c:pt idx="56">
                  <c:v>1.0085046212023565</c:v>
                </c:pt>
                <c:pt idx="57">
                  <c:v>1.0085811814551016</c:v>
                </c:pt>
                <c:pt idx="58">
                  <c:v>1.0088443029898952</c:v>
                </c:pt>
                <c:pt idx="59">
                  <c:v>1.009124811410248</c:v>
                </c:pt>
                <c:pt idx="60">
                  <c:v>1.0092859878393805</c:v>
                </c:pt>
                <c:pt idx="61">
                  <c:v>1.0094550463232996</c:v>
                </c:pt>
                <c:pt idx="62">
                  <c:v>1.0095701475057006</c:v>
                </c:pt>
                <c:pt idx="63">
                  <c:v>1.0098411510952809</c:v>
                </c:pt>
                <c:pt idx="64">
                  <c:v>1.0100036605189731</c:v>
                </c:pt>
                <c:pt idx="65">
                  <c:v>1.0101775293745636</c:v>
                </c:pt>
                <c:pt idx="66">
                  <c:v>1.0102111440199777</c:v>
                </c:pt>
                <c:pt idx="67">
                  <c:v>1.0103100753988088</c:v>
                </c:pt>
                <c:pt idx="68">
                  <c:v>1.010488870538641</c:v>
                </c:pt>
                <c:pt idx="69">
                  <c:v>1.0106120276446844</c:v>
                </c:pt>
                <c:pt idx="70">
                  <c:v>1.0107843316805747</c:v>
                </c:pt>
                <c:pt idx="71">
                  <c:v>1.0109088797374626</c:v>
                </c:pt>
                <c:pt idx="72">
                  <c:v>1.0110155193022248</c:v>
                </c:pt>
                <c:pt idx="73">
                  <c:v>1.0112724974707878</c:v>
                </c:pt>
                <c:pt idx="74">
                  <c:v>1.0114001172107911</c:v>
                </c:pt>
                <c:pt idx="75">
                  <c:v>1.011554628667126</c:v>
                </c:pt>
                <c:pt idx="76">
                  <c:v>1.0118432509674062</c:v>
                </c:pt>
                <c:pt idx="77">
                  <c:v>1.0120062240413799</c:v>
                </c:pt>
                <c:pt idx="78">
                  <c:v>1.0126182424130585</c:v>
                </c:pt>
                <c:pt idx="79">
                  <c:v>1.0129866125617699</c:v>
                </c:pt>
                <c:pt idx="80">
                  <c:v>1.0132177422271349</c:v>
                </c:pt>
                <c:pt idx="81">
                  <c:v>1.0134081286240064</c:v>
                </c:pt>
                <c:pt idx="82">
                  <c:v>1.0136835948475471</c:v>
                </c:pt>
                <c:pt idx="83">
                  <c:v>1.0140418806026341</c:v>
                </c:pt>
                <c:pt idx="84">
                  <c:v>1.0141807438619659</c:v>
                </c:pt>
                <c:pt idx="85">
                  <c:v>1.0143654505428881</c:v>
                </c:pt>
                <c:pt idx="86">
                  <c:v>1.014417263461854</c:v>
                </c:pt>
                <c:pt idx="87">
                  <c:v>1.0144796823810112</c:v>
                </c:pt>
                <c:pt idx="88">
                  <c:v>1.0145166005346815</c:v>
                </c:pt>
                <c:pt idx="89">
                  <c:v>1.0146900057399906</c:v>
                </c:pt>
                <c:pt idx="90">
                  <c:v>1.0150415685659946</c:v>
                </c:pt>
                <c:pt idx="91">
                  <c:v>1.0153308283854121</c:v>
                </c:pt>
                <c:pt idx="92">
                  <c:v>1.0154021146162042</c:v>
                </c:pt>
                <c:pt idx="93">
                  <c:v>1.0154351496987664</c:v>
                </c:pt>
                <c:pt idx="94">
                  <c:v>1.0154770520929637</c:v>
                </c:pt>
                <c:pt idx="95">
                  <c:v>1.0157229606110538</c:v>
                </c:pt>
                <c:pt idx="96">
                  <c:v>1.0158586362746997</c:v>
                </c:pt>
                <c:pt idx="97">
                  <c:v>1.0160225366492366</c:v>
                </c:pt>
                <c:pt idx="98">
                  <c:v>1.0162073012864441</c:v>
                </c:pt>
                <c:pt idx="99">
                  <c:v>1.016234077090205</c:v>
                </c:pt>
                <c:pt idx="100">
                  <c:v>1.0164551803182309</c:v>
                </c:pt>
                <c:pt idx="101">
                  <c:v>1.0166499134364924</c:v>
                </c:pt>
                <c:pt idx="102">
                  <c:v>1.0168346780736999</c:v>
                </c:pt>
                <c:pt idx="103">
                  <c:v>1.0168812169707131</c:v>
                </c:pt>
                <c:pt idx="104">
                  <c:v>1.0170638372253684</c:v>
                </c:pt>
                <c:pt idx="105">
                  <c:v>1.0172841290654016</c:v>
                </c:pt>
                <c:pt idx="106">
                  <c:v>1.0175826039341653</c:v>
                </c:pt>
                <c:pt idx="107">
                  <c:v>1.017775888145297</c:v>
                </c:pt>
                <c:pt idx="108">
                  <c:v>1.0176464717604523</c:v>
                </c:pt>
                <c:pt idx="109">
                  <c:v>1.0174074020840154</c:v>
                </c:pt>
                <c:pt idx="110">
                  <c:v>1.0172104666269164</c:v>
                </c:pt>
                <c:pt idx="111">
                  <c:v>1.0172650614475718</c:v>
                </c:pt>
                <c:pt idx="112">
                  <c:v>1.017412038586831</c:v>
                </c:pt>
                <c:pt idx="113">
                  <c:v>1.0177037905265121</c:v>
                </c:pt>
                <c:pt idx="114">
                  <c:v>1.0176366191919688</c:v>
                </c:pt>
                <c:pt idx="115">
                  <c:v>1.0177189750732336</c:v>
                </c:pt>
                <c:pt idx="116">
                  <c:v>1.0178239918620102</c:v>
                </c:pt>
                <c:pt idx="117">
                  <c:v>1.0181818139668155</c:v>
                </c:pt>
                <c:pt idx="118">
                  <c:v>1.018439197829375</c:v>
                </c:pt>
                <c:pt idx="119">
                  <c:v>1.018604141417045</c:v>
                </c:pt>
                <c:pt idx="120">
                  <c:v>1.0187763874966502</c:v>
                </c:pt>
                <c:pt idx="121">
                  <c:v>1.0189934917409975</c:v>
                </c:pt>
                <c:pt idx="122">
                  <c:v>1.019173214181393</c:v>
                </c:pt>
                <c:pt idx="123">
                  <c:v>1.0193830738900909</c:v>
                </c:pt>
                <c:pt idx="124">
                  <c:v>1.0195464526580607</c:v>
                </c:pt>
                <c:pt idx="125">
                  <c:v>1.0195940347682073</c:v>
                </c:pt>
                <c:pt idx="126">
                  <c:v>1.0196281130639031</c:v>
                </c:pt>
                <c:pt idx="127">
                  <c:v>1.0196865909556667</c:v>
                </c:pt>
                <c:pt idx="128">
                  <c:v>1.0199691278460015</c:v>
                </c:pt>
                <c:pt idx="129">
                  <c:v>1.0201622381882773</c:v>
                </c:pt>
                <c:pt idx="130">
                  <c:v>1.0202842361686166</c:v>
                </c:pt>
                <c:pt idx="131">
                  <c:v>1.0203876301814079</c:v>
                </c:pt>
                <c:pt idx="132">
                  <c:v>1.0205743653323121</c:v>
                </c:pt>
                <c:pt idx="133">
                  <c:v>1.0208218386701027</c:v>
                </c:pt>
                <c:pt idx="134">
                  <c:v>1.0203173292074641</c:v>
                </c:pt>
                <c:pt idx="135">
                  <c:v>1.0203786469572023</c:v>
                </c:pt>
                <c:pt idx="136">
                  <c:v>1.0206347557814872</c:v>
                </c:pt>
                <c:pt idx="137">
                  <c:v>1.0206378854208877</c:v>
                </c:pt>
                <c:pt idx="138">
                  <c:v>1.0206637339240856</c:v>
                </c:pt>
                <c:pt idx="139">
                  <c:v>1.0207957003854788</c:v>
                </c:pt>
                <c:pt idx="140">
                  <c:v>1.0209556597326221</c:v>
                </c:pt>
                <c:pt idx="141">
                  <c:v>1.0211845291028645</c:v>
                </c:pt>
                <c:pt idx="142">
                  <c:v>1.0213654686252491</c:v>
                </c:pt>
                <c:pt idx="143">
                  <c:v>1.0216203024112596</c:v>
                </c:pt>
                <c:pt idx="144">
                  <c:v>1.0217806094961142</c:v>
                </c:pt>
                <c:pt idx="145">
                  <c:v>1.0219090985803956</c:v>
                </c:pt>
                <c:pt idx="146">
                  <c:v>1.0220138255877462</c:v>
                </c:pt>
                <c:pt idx="147">
                  <c:v>1.0221904763450262</c:v>
                </c:pt>
                <c:pt idx="148">
                  <c:v>1.0225389674879148</c:v>
                </c:pt>
                <c:pt idx="149">
                  <c:v>1.0228638124664433</c:v>
                </c:pt>
                <c:pt idx="150">
                  <c:v>1.0230961592137975</c:v>
                </c:pt>
                <c:pt idx="151">
                  <c:v>1.0231828038601669</c:v>
                </c:pt>
                <c:pt idx="152">
                  <c:v>1.0233248547151843</c:v>
                </c:pt>
                <c:pt idx="153">
                  <c:v>1.0236222284145293</c:v>
                </c:pt>
                <c:pt idx="154">
                  <c:v>1.023680416524867</c:v>
                </c:pt>
                <c:pt idx="155">
                  <c:v>1.0237605121110089</c:v>
                </c:pt>
                <c:pt idx="156">
                  <c:v>1.0238417088665699</c:v>
                </c:pt>
                <c:pt idx="157">
                  <c:v>1.0238136000682494</c:v>
                </c:pt>
                <c:pt idx="158">
                  <c:v>1.0237246371704722</c:v>
                </c:pt>
                <c:pt idx="159">
                  <c:v>1.0235406259649722</c:v>
                </c:pt>
                <c:pt idx="160">
                  <c:v>1.0236638410273007</c:v>
                </c:pt>
                <c:pt idx="161">
                  <c:v>1.0238251333690034</c:v>
                </c:pt>
                <c:pt idx="162">
                  <c:v>1.0237508334113812</c:v>
                </c:pt>
                <c:pt idx="163">
                  <c:v>1.0236044937912592</c:v>
                </c:pt>
                <c:pt idx="164">
                  <c:v>1.0236254160102152</c:v>
                </c:pt>
                <c:pt idx="165">
                  <c:v>1.0233820575686736</c:v>
                </c:pt>
                <c:pt idx="166">
                  <c:v>1.0229461103914228</c:v>
                </c:pt>
                <c:pt idx="167">
                  <c:v>1.0226159913909416</c:v>
                </c:pt>
                <c:pt idx="168">
                  <c:v>1.0223442923259387</c:v>
                </c:pt>
                <c:pt idx="169">
                  <c:v>1.0224488454644338</c:v>
                </c:pt>
                <c:pt idx="170">
                  <c:v>1.0227831952737345</c:v>
                </c:pt>
                <c:pt idx="171">
                  <c:v>1.0230347255514887</c:v>
                </c:pt>
                <c:pt idx="172">
                  <c:v>1.023162866898059</c:v>
                </c:pt>
                <c:pt idx="173">
                  <c:v>1.023175211586806</c:v>
                </c:pt>
                <c:pt idx="174">
                  <c:v>1.0231930621226466</c:v>
                </c:pt>
                <c:pt idx="175">
                  <c:v>1.0232918775889073</c:v>
                </c:pt>
                <c:pt idx="176">
                  <c:v>1.0235328598227558</c:v>
                </c:pt>
                <c:pt idx="177">
                  <c:v>1.0236134190591795</c:v>
                </c:pt>
                <c:pt idx="178">
                  <c:v>1.0236924714321878</c:v>
                </c:pt>
                <c:pt idx="179">
                  <c:v>1.023526136893673</c:v>
                </c:pt>
                <c:pt idx="180">
                  <c:v>1.0235571435062534</c:v>
                </c:pt>
                <c:pt idx="181">
                  <c:v>1.0239813835138942</c:v>
                </c:pt>
                <c:pt idx="182">
                  <c:v>1.0249043373556541</c:v>
                </c:pt>
                <c:pt idx="183">
                  <c:v>1.0248514232672694</c:v>
                </c:pt>
                <c:pt idx="184">
                  <c:v>1.0247294832432152</c:v>
                </c:pt>
                <c:pt idx="185">
                  <c:v>1.0247466962599188</c:v>
                </c:pt>
                <c:pt idx="186">
                  <c:v>1.0248958757380153</c:v>
                </c:pt>
                <c:pt idx="187">
                  <c:v>1.0250995341241971</c:v>
                </c:pt>
                <c:pt idx="188">
                  <c:v>1.0250382163744589</c:v>
                </c:pt>
                <c:pt idx="189">
                  <c:v>1.0250090643630048</c:v>
                </c:pt>
                <c:pt idx="190">
                  <c:v>1.0247084451116888</c:v>
                </c:pt>
                <c:pt idx="191">
                  <c:v>1.0246718167394444</c:v>
                </c:pt>
                <c:pt idx="192">
                  <c:v>1.0248912392351996</c:v>
                </c:pt>
                <c:pt idx="193">
                  <c:v>1.0247643729269036</c:v>
                </c:pt>
                <c:pt idx="194">
                  <c:v>1.0249465295312774</c:v>
                </c:pt>
                <c:pt idx="195">
                  <c:v>1.0250930430202549</c:v>
                </c:pt>
                <c:pt idx="196">
                  <c:v>1.0252192138531286</c:v>
                </c:pt>
                <c:pt idx="197">
                  <c:v>1.0255216297492857</c:v>
                </c:pt>
                <c:pt idx="198">
                  <c:v>1.0256740547793535</c:v>
                </c:pt>
                <c:pt idx="199">
                  <c:v>1.0257532810212175</c:v>
                </c:pt>
                <c:pt idx="200">
                  <c:v>1.0260107228400619</c:v>
                </c:pt>
                <c:pt idx="201">
                  <c:v>1.0261497599682492</c:v>
                </c:pt>
                <c:pt idx="202">
                  <c:v>1.0263922490655129</c:v>
                </c:pt>
                <c:pt idx="203">
                  <c:v>1.026442033514497</c:v>
                </c:pt>
                <c:pt idx="204">
                  <c:v>1.0265185358109568</c:v>
                </c:pt>
                <c:pt idx="205">
                  <c:v>1.0266326517365094</c:v>
                </c:pt>
                <c:pt idx="206">
                  <c:v>1.0267768469740792</c:v>
                </c:pt>
                <c:pt idx="207">
                  <c:v>1.0270616441595364</c:v>
                </c:pt>
                <c:pt idx="208">
                  <c:v>1.0271500854507469</c:v>
                </c:pt>
                <c:pt idx="209">
                  <c:v>1.0272913828740569</c:v>
                </c:pt>
                <c:pt idx="210">
                  <c:v>1.0274337814667855</c:v>
                </c:pt>
                <c:pt idx="211">
                  <c:v>1.0275958272401959</c:v>
                </c:pt>
                <c:pt idx="212">
                  <c:v>1.0277787372762772</c:v>
                </c:pt>
                <c:pt idx="213">
                  <c:v>1.0278018038777854</c:v>
                </c:pt>
                <c:pt idx="214">
                  <c:v>1.0277438475925886</c:v>
                </c:pt>
                <c:pt idx="215">
                  <c:v>1.027600579655582</c:v>
                </c:pt>
                <c:pt idx="216">
                  <c:v>1.0276073025846648</c:v>
                </c:pt>
                <c:pt idx="217">
                  <c:v>1.0275807006497595</c:v>
                </c:pt>
                <c:pt idx="218">
                  <c:v>1.0276140834700329</c:v>
                </c:pt>
                <c:pt idx="219">
                  <c:v>1.0275957692839106</c:v>
                </c:pt>
                <c:pt idx="220">
                  <c:v>1.0277747962488837</c:v>
                </c:pt>
                <c:pt idx="221">
                  <c:v>1.0278657876166428</c:v>
                </c:pt>
                <c:pt idx="222">
                  <c:v>1.0279607779680804</c:v>
                </c:pt>
                <c:pt idx="223">
                  <c:v>1.0279257723718216</c:v>
                </c:pt>
                <c:pt idx="224">
                  <c:v>1.0278785959556713</c:v>
                </c:pt>
                <c:pt idx="225">
                  <c:v>1.0279378852354277</c:v>
                </c:pt>
                <c:pt idx="226">
                  <c:v>1.0279979859031769</c:v>
                </c:pt>
                <c:pt idx="227">
                  <c:v>1.0282477195360902</c:v>
                </c:pt>
                <c:pt idx="228">
                  <c:v>1.0283123407940846</c:v>
                </c:pt>
                <c:pt idx="229">
                  <c:v>1.0285984709741014</c:v>
                </c:pt>
                <c:pt idx="230">
                  <c:v>1.0287978985514639</c:v>
                </c:pt>
                <c:pt idx="231">
                  <c:v>1.0291321904044792</c:v>
                </c:pt>
                <c:pt idx="232">
                  <c:v>1.0295313932969152</c:v>
                </c:pt>
                <c:pt idx="233">
                  <c:v>1.0296402352005147</c:v>
                </c:pt>
                <c:pt idx="234">
                  <c:v>1.0296842819772645</c:v>
                </c:pt>
                <c:pt idx="235">
                  <c:v>1.0297848361320809</c:v>
                </c:pt>
                <c:pt idx="236">
                  <c:v>1.029999158474739</c:v>
                </c:pt>
                <c:pt idx="237">
                  <c:v>1.0303575021861111</c:v>
                </c:pt>
                <c:pt idx="238">
                  <c:v>1.0307596608490921</c:v>
                </c:pt>
                <c:pt idx="239">
                  <c:v>1.0312573894263626</c:v>
                </c:pt>
                <c:pt idx="240">
                  <c:v>1.0317114769208799</c:v>
                </c:pt>
                <c:pt idx="241">
                  <c:v>1.0321176345675394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9D-4565-A1A1-6F89912D3DE1}"/>
            </c:ext>
          </c:extLst>
        </c:ser>
        <c:ser>
          <c:idx val="1"/>
          <c:order val="2"/>
          <c:tx>
            <c:strRef>
              <c:f>中国_中债国债到期收益率_1年!$T$1</c:f>
              <c:strCache>
                <c:ptCount val="1"/>
                <c:pt idx="0">
                  <c:v>Long-Term Bond Fund Index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中国_中债国债到期收益率_1年!$J$148:$J$389</c:f>
              <c:numCache>
                <c:formatCode>yyyy\-mm\-dd</c:formatCode>
                <c:ptCount val="242"/>
                <c:pt idx="0">
                  <c:v>44929</c:v>
                </c:pt>
                <c:pt idx="1">
                  <c:v>44930</c:v>
                </c:pt>
                <c:pt idx="2">
                  <c:v>44931</c:v>
                </c:pt>
                <c:pt idx="3">
                  <c:v>44932</c:v>
                </c:pt>
                <c:pt idx="4">
                  <c:v>44935</c:v>
                </c:pt>
                <c:pt idx="5">
                  <c:v>44936</c:v>
                </c:pt>
                <c:pt idx="6">
                  <c:v>44937</c:v>
                </c:pt>
                <c:pt idx="7">
                  <c:v>44938</c:v>
                </c:pt>
                <c:pt idx="8">
                  <c:v>44939</c:v>
                </c:pt>
                <c:pt idx="9">
                  <c:v>44942</c:v>
                </c:pt>
                <c:pt idx="10">
                  <c:v>44943</c:v>
                </c:pt>
                <c:pt idx="11">
                  <c:v>44944</c:v>
                </c:pt>
                <c:pt idx="12">
                  <c:v>44945</c:v>
                </c:pt>
                <c:pt idx="13">
                  <c:v>44946</c:v>
                </c:pt>
                <c:pt idx="14">
                  <c:v>44956</c:v>
                </c:pt>
                <c:pt idx="15">
                  <c:v>44957</c:v>
                </c:pt>
                <c:pt idx="16">
                  <c:v>44958</c:v>
                </c:pt>
                <c:pt idx="17">
                  <c:v>44959</c:v>
                </c:pt>
                <c:pt idx="18">
                  <c:v>44960</c:v>
                </c:pt>
                <c:pt idx="19">
                  <c:v>44963</c:v>
                </c:pt>
                <c:pt idx="20">
                  <c:v>44964</c:v>
                </c:pt>
                <c:pt idx="21">
                  <c:v>44965</c:v>
                </c:pt>
                <c:pt idx="22">
                  <c:v>44966</c:v>
                </c:pt>
                <c:pt idx="23">
                  <c:v>44967</c:v>
                </c:pt>
                <c:pt idx="24">
                  <c:v>44970</c:v>
                </c:pt>
                <c:pt idx="25">
                  <c:v>44971</c:v>
                </c:pt>
                <c:pt idx="26">
                  <c:v>44972</c:v>
                </c:pt>
                <c:pt idx="27">
                  <c:v>44973</c:v>
                </c:pt>
                <c:pt idx="28">
                  <c:v>44974</c:v>
                </c:pt>
                <c:pt idx="29">
                  <c:v>44977</c:v>
                </c:pt>
                <c:pt idx="30">
                  <c:v>44978</c:v>
                </c:pt>
                <c:pt idx="31">
                  <c:v>44979</c:v>
                </c:pt>
                <c:pt idx="32">
                  <c:v>44980</c:v>
                </c:pt>
                <c:pt idx="33">
                  <c:v>44981</c:v>
                </c:pt>
                <c:pt idx="34">
                  <c:v>44984</c:v>
                </c:pt>
                <c:pt idx="35">
                  <c:v>44985</c:v>
                </c:pt>
                <c:pt idx="36">
                  <c:v>44986</c:v>
                </c:pt>
                <c:pt idx="37">
                  <c:v>44987</c:v>
                </c:pt>
                <c:pt idx="38">
                  <c:v>44988</c:v>
                </c:pt>
                <c:pt idx="39">
                  <c:v>44991</c:v>
                </c:pt>
                <c:pt idx="40">
                  <c:v>44992</c:v>
                </c:pt>
                <c:pt idx="41">
                  <c:v>44993</c:v>
                </c:pt>
                <c:pt idx="42">
                  <c:v>44994</c:v>
                </c:pt>
                <c:pt idx="43">
                  <c:v>44995</c:v>
                </c:pt>
                <c:pt idx="44">
                  <c:v>44998</c:v>
                </c:pt>
                <c:pt idx="45">
                  <c:v>44999</c:v>
                </c:pt>
                <c:pt idx="46">
                  <c:v>45000</c:v>
                </c:pt>
                <c:pt idx="47">
                  <c:v>45001</c:v>
                </c:pt>
                <c:pt idx="48">
                  <c:v>45002</c:v>
                </c:pt>
                <c:pt idx="49">
                  <c:v>45005</c:v>
                </c:pt>
                <c:pt idx="50">
                  <c:v>45006</c:v>
                </c:pt>
                <c:pt idx="51">
                  <c:v>45007</c:v>
                </c:pt>
                <c:pt idx="52">
                  <c:v>45008</c:v>
                </c:pt>
                <c:pt idx="53">
                  <c:v>45009</c:v>
                </c:pt>
                <c:pt idx="54">
                  <c:v>45012</c:v>
                </c:pt>
                <c:pt idx="55">
                  <c:v>45013</c:v>
                </c:pt>
                <c:pt idx="56">
                  <c:v>45014</c:v>
                </c:pt>
                <c:pt idx="57">
                  <c:v>45015</c:v>
                </c:pt>
                <c:pt idx="58">
                  <c:v>45016</c:v>
                </c:pt>
                <c:pt idx="59">
                  <c:v>45019</c:v>
                </c:pt>
                <c:pt idx="60">
                  <c:v>45020</c:v>
                </c:pt>
                <c:pt idx="61">
                  <c:v>45022</c:v>
                </c:pt>
                <c:pt idx="62">
                  <c:v>45023</c:v>
                </c:pt>
                <c:pt idx="63">
                  <c:v>45026</c:v>
                </c:pt>
                <c:pt idx="64">
                  <c:v>45027</c:v>
                </c:pt>
                <c:pt idx="65">
                  <c:v>45028</c:v>
                </c:pt>
                <c:pt idx="66">
                  <c:v>45029</c:v>
                </c:pt>
                <c:pt idx="67">
                  <c:v>45030</c:v>
                </c:pt>
                <c:pt idx="68">
                  <c:v>45033</c:v>
                </c:pt>
                <c:pt idx="69">
                  <c:v>45034</c:v>
                </c:pt>
                <c:pt idx="70">
                  <c:v>45035</c:v>
                </c:pt>
                <c:pt idx="71">
                  <c:v>45036</c:v>
                </c:pt>
                <c:pt idx="72">
                  <c:v>45037</c:v>
                </c:pt>
                <c:pt idx="73">
                  <c:v>45040</c:v>
                </c:pt>
                <c:pt idx="74">
                  <c:v>45041</c:v>
                </c:pt>
                <c:pt idx="75">
                  <c:v>45042</c:v>
                </c:pt>
                <c:pt idx="76">
                  <c:v>45043</c:v>
                </c:pt>
                <c:pt idx="77">
                  <c:v>45044</c:v>
                </c:pt>
                <c:pt idx="78">
                  <c:v>45050</c:v>
                </c:pt>
                <c:pt idx="79">
                  <c:v>45051</c:v>
                </c:pt>
                <c:pt idx="80">
                  <c:v>45054</c:v>
                </c:pt>
                <c:pt idx="81">
                  <c:v>45055</c:v>
                </c:pt>
                <c:pt idx="82">
                  <c:v>45056</c:v>
                </c:pt>
                <c:pt idx="83">
                  <c:v>45057</c:v>
                </c:pt>
                <c:pt idx="84">
                  <c:v>45058</c:v>
                </c:pt>
                <c:pt idx="85">
                  <c:v>45061</c:v>
                </c:pt>
                <c:pt idx="86">
                  <c:v>45062</c:v>
                </c:pt>
                <c:pt idx="87">
                  <c:v>45063</c:v>
                </c:pt>
                <c:pt idx="88">
                  <c:v>45064</c:v>
                </c:pt>
                <c:pt idx="89">
                  <c:v>45065</c:v>
                </c:pt>
                <c:pt idx="90">
                  <c:v>45068</c:v>
                </c:pt>
                <c:pt idx="91">
                  <c:v>45069</c:v>
                </c:pt>
                <c:pt idx="92">
                  <c:v>45070</c:v>
                </c:pt>
                <c:pt idx="93">
                  <c:v>45071</c:v>
                </c:pt>
                <c:pt idx="94">
                  <c:v>45072</c:v>
                </c:pt>
                <c:pt idx="95">
                  <c:v>45075</c:v>
                </c:pt>
                <c:pt idx="96">
                  <c:v>45076</c:v>
                </c:pt>
                <c:pt idx="97">
                  <c:v>45077</c:v>
                </c:pt>
                <c:pt idx="98">
                  <c:v>45078</c:v>
                </c:pt>
                <c:pt idx="99">
                  <c:v>45079</c:v>
                </c:pt>
                <c:pt idx="100">
                  <c:v>45082</c:v>
                </c:pt>
                <c:pt idx="101">
                  <c:v>45083</c:v>
                </c:pt>
                <c:pt idx="102">
                  <c:v>45084</c:v>
                </c:pt>
                <c:pt idx="103">
                  <c:v>45085</c:v>
                </c:pt>
                <c:pt idx="104">
                  <c:v>45086</c:v>
                </c:pt>
                <c:pt idx="105">
                  <c:v>45089</c:v>
                </c:pt>
                <c:pt idx="106">
                  <c:v>45090</c:v>
                </c:pt>
                <c:pt idx="107">
                  <c:v>45091</c:v>
                </c:pt>
                <c:pt idx="108">
                  <c:v>45092</c:v>
                </c:pt>
                <c:pt idx="109">
                  <c:v>45093</c:v>
                </c:pt>
                <c:pt idx="110">
                  <c:v>45096</c:v>
                </c:pt>
                <c:pt idx="111">
                  <c:v>45097</c:v>
                </c:pt>
                <c:pt idx="112">
                  <c:v>45098</c:v>
                </c:pt>
                <c:pt idx="113">
                  <c:v>45103</c:v>
                </c:pt>
                <c:pt idx="114">
                  <c:v>45104</c:v>
                </c:pt>
                <c:pt idx="115">
                  <c:v>45105</c:v>
                </c:pt>
                <c:pt idx="116">
                  <c:v>45106</c:v>
                </c:pt>
                <c:pt idx="117">
                  <c:v>45107</c:v>
                </c:pt>
                <c:pt idx="118">
                  <c:v>45110</c:v>
                </c:pt>
                <c:pt idx="119">
                  <c:v>45111</c:v>
                </c:pt>
                <c:pt idx="120">
                  <c:v>45112</c:v>
                </c:pt>
                <c:pt idx="121">
                  <c:v>45113</c:v>
                </c:pt>
                <c:pt idx="122">
                  <c:v>45114</c:v>
                </c:pt>
                <c:pt idx="123">
                  <c:v>45117</c:v>
                </c:pt>
                <c:pt idx="124">
                  <c:v>45118</c:v>
                </c:pt>
                <c:pt idx="125">
                  <c:v>45119</c:v>
                </c:pt>
                <c:pt idx="126">
                  <c:v>45120</c:v>
                </c:pt>
                <c:pt idx="127">
                  <c:v>45121</c:v>
                </c:pt>
                <c:pt idx="128">
                  <c:v>45124</c:v>
                </c:pt>
                <c:pt idx="129">
                  <c:v>45125</c:v>
                </c:pt>
                <c:pt idx="130">
                  <c:v>45126</c:v>
                </c:pt>
                <c:pt idx="131">
                  <c:v>45127</c:v>
                </c:pt>
                <c:pt idx="132">
                  <c:v>45128</c:v>
                </c:pt>
                <c:pt idx="133">
                  <c:v>45131</c:v>
                </c:pt>
                <c:pt idx="134">
                  <c:v>45132</c:v>
                </c:pt>
                <c:pt idx="135">
                  <c:v>45133</c:v>
                </c:pt>
                <c:pt idx="136">
                  <c:v>45134</c:v>
                </c:pt>
                <c:pt idx="137">
                  <c:v>45135</c:v>
                </c:pt>
                <c:pt idx="138">
                  <c:v>45138</c:v>
                </c:pt>
                <c:pt idx="139">
                  <c:v>45139</c:v>
                </c:pt>
                <c:pt idx="140">
                  <c:v>45140</c:v>
                </c:pt>
                <c:pt idx="141">
                  <c:v>45141</c:v>
                </c:pt>
                <c:pt idx="142">
                  <c:v>45142</c:v>
                </c:pt>
                <c:pt idx="143">
                  <c:v>45145</c:v>
                </c:pt>
                <c:pt idx="144">
                  <c:v>45146</c:v>
                </c:pt>
                <c:pt idx="145">
                  <c:v>45147</c:v>
                </c:pt>
                <c:pt idx="146">
                  <c:v>45148</c:v>
                </c:pt>
                <c:pt idx="147">
                  <c:v>45149</c:v>
                </c:pt>
                <c:pt idx="148">
                  <c:v>45152</c:v>
                </c:pt>
                <c:pt idx="149">
                  <c:v>45153</c:v>
                </c:pt>
                <c:pt idx="150">
                  <c:v>45154</c:v>
                </c:pt>
                <c:pt idx="151">
                  <c:v>45155</c:v>
                </c:pt>
                <c:pt idx="152">
                  <c:v>45156</c:v>
                </c:pt>
                <c:pt idx="153">
                  <c:v>45159</c:v>
                </c:pt>
                <c:pt idx="154">
                  <c:v>45160</c:v>
                </c:pt>
                <c:pt idx="155">
                  <c:v>45161</c:v>
                </c:pt>
                <c:pt idx="156">
                  <c:v>45162</c:v>
                </c:pt>
                <c:pt idx="157">
                  <c:v>45163</c:v>
                </c:pt>
                <c:pt idx="158">
                  <c:v>45166</c:v>
                </c:pt>
                <c:pt idx="159">
                  <c:v>45167</c:v>
                </c:pt>
                <c:pt idx="160">
                  <c:v>45168</c:v>
                </c:pt>
                <c:pt idx="161">
                  <c:v>45169</c:v>
                </c:pt>
                <c:pt idx="162">
                  <c:v>45170</c:v>
                </c:pt>
                <c:pt idx="163">
                  <c:v>45173</c:v>
                </c:pt>
                <c:pt idx="164">
                  <c:v>45174</c:v>
                </c:pt>
                <c:pt idx="165">
                  <c:v>45175</c:v>
                </c:pt>
                <c:pt idx="166">
                  <c:v>45176</c:v>
                </c:pt>
                <c:pt idx="167">
                  <c:v>45177</c:v>
                </c:pt>
                <c:pt idx="168">
                  <c:v>45180</c:v>
                </c:pt>
                <c:pt idx="169">
                  <c:v>45181</c:v>
                </c:pt>
                <c:pt idx="170">
                  <c:v>45182</c:v>
                </c:pt>
                <c:pt idx="171">
                  <c:v>45183</c:v>
                </c:pt>
                <c:pt idx="172">
                  <c:v>45184</c:v>
                </c:pt>
                <c:pt idx="173">
                  <c:v>45187</c:v>
                </c:pt>
                <c:pt idx="174">
                  <c:v>45188</c:v>
                </c:pt>
                <c:pt idx="175">
                  <c:v>45189</c:v>
                </c:pt>
                <c:pt idx="176">
                  <c:v>45190</c:v>
                </c:pt>
                <c:pt idx="177">
                  <c:v>45191</c:v>
                </c:pt>
                <c:pt idx="178">
                  <c:v>45194</c:v>
                </c:pt>
                <c:pt idx="179">
                  <c:v>45195</c:v>
                </c:pt>
                <c:pt idx="180">
                  <c:v>45196</c:v>
                </c:pt>
                <c:pt idx="181">
                  <c:v>45197</c:v>
                </c:pt>
                <c:pt idx="182">
                  <c:v>45208</c:v>
                </c:pt>
                <c:pt idx="183">
                  <c:v>45209</c:v>
                </c:pt>
                <c:pt idx="184">
                  <c:v>45210</c:v>
                </c:pt>
                <c:pt idx="185">
                  <c:v>45211</c:v>
                </c:pt>
                <c:pt idx="186">
                  <c:v>45212</c:v>
                </c:pt>
                <c:pt idx="187">
                  <c:v>45215</c:v>
                </c:pt>
                <c:pt idx="188">
                  <c:v>45216</c:v>
                </c:pt>
                <c:pt idx="189">
                  <c:v>45217</c:v>
                </c:pt>
                <c:pt idx="190">
                  <c:v>45218</c:v>
                </c:pt>
                <c:pt idx="191">
                  <c:v>45219</c:v>
                </c:pt>
                <c:pt idx="192">
                  <c:v>45222</c:v>
                </c:pt>
                <c:pt idx="193">
                  <c:v>45223</c:v>
                </c:pt>
                <c:pt idx="194">
                  <c:v>45224</c:v>
                </c:pt>
                <c:pt idx="195">
                  <c:v>45225</c:v>
                </c:pt>
                <c:pt idx="196">
                  <c:v>45226</c:v>
                </c:pt>
                <c:pt idx="197">
                  <c:v>45229</c:v>
                </c:pt>
                <c:pt idx="198">
                  <c:v>45230</c:v>
                </c:pt>
                <c:pt idx="199">
                  <c:v>45231</c:v>
                </c:pt>
                <c:pt idx="200">
                  <c:v>45232</c:v>
                </c:pt>
                <c:pt idx="201">
                  <c:v>45233</c:v>
                </c:pt>
                <c:pt idx="202">
                  <c:v>45236</c:v>
                </c:pt>
                <c:pt idx="203">
                  <c:v>45237</c:v>
                </c:pt>
                <c:pt idx="204">
                  <c:v>45238</c:v>
                </c:pt>
                <c:pt idx="205">
                  <c:v>45239</c:v>
                </c:pt>
                <c:pt idx="206">
                  <c:v>45240</c:v>
                </c:pt>
                <c:pt idx="207">
                  <c:v>45243</c:v>
                </c:pt>
                <c:pt idx="208">
                  <c:v>45244</c:v>
                </c:pt>
                <c:pt idx="209">
                  <c:v>45245</c:v>
                </c:pt>
                <c:pt idx="210">
                  <c:v>45246</c:v>
                </c:pt>
                <c:pt idx="211">
                  <c:v>45247</c:v>
                </c:pt>
                <c:pt idx="212">
                  <c:v>45250</c:v>
                </c:pt>
                <c:pt idx="213">
                  <c:v>45251</c:v>
                </c:pt>
                <c:pt idx="214">
                  <c:v>45252</c:v>
                </c:pt>
                <c:pt idx="215">
                  <c:v>45253</c:v>
                </c:pt>
                <c:pt idx="216">
                  <c:v>45254</c:v>
                </c:pt>
                <c:pt idx="217">
                  <c:v>45257</c:v>
                </c:pt>
                <c:pt idx="218">
                  <c:v>45258</c:v>
                </c:pt>
                <c:pt idx="219">
                  <c:v>45259</c:v>
                </c:pt>
                <c:pt idx="220">
                  <c:v>45260</c:v>
                </c:pt>
                <c:pt idx="221">
                  <c:v>45261</c:v>
                </c:pt>
                <c:pt idx="222">
                  <c:v>45264</c:v>
                </c:pt>
                <c:pt idx="223">
                  <c:v>45265</c:v>
                </c:pt>
                <c:pt idx="224">
                  <c:v>45266</c:v>
                </c:pt>
                <c:pt idx="225">
                  <c:v>45267</c:v>
                </c:pt>
                <c:pt idx="226">
                  <c:v>45268</c:v>
                </c:pt>
                <c:pt idx="227">
                  <c:v>45271</c:v>
                </c:pt>
                <c:pt idx="228">
                  <c:v>45272</c:v>
                </c:pt>
                <c:pt idx="229">
                  <c:v>45273</c:v>
                </c:pt>
                <c:pt idx="230">
                  <c:v>45274</c:v>
                </c:pt>
                <c:pt idx="231">
                  <c:v>45275</c:v>
                </c:pt>
                <c:pt idx="232">
                  <c:v>45278</c:v>
                </c:pt>
                <c:pt idx="233">
                  <c:v>45279</c:v>
                </c:pt>
                <c:pt idx="234">
                  <c:v>45280</c:v>
                </c:pt>
                <c:pt idx="235">
                  <c:v>45281</c:v>
                </c:pt>
                <c:pt idx="236">
                  <c:v>45282</c:v>
                </c:pt>
                <c:pt idx="237">
                  <c:v>45285</c:v>
                </c:pt>
                <c:pt idx="238">
                  <c:v>45286</c:v>
                </c:pt>
                <c:pt idx="239">
                  <c:v>45287</c:v>
                </c:pt>
                <c:pt idx="240">
                  <c:v>45288</c:v>
                </c:pt>
                <c:pt idx="241">
                  <c:v>45289</c:v>
                </c:pt>
              </c:numCache>
            </c:numRef>
          </c:cat>
          <c:val>
            <c:numRef>
              <c:f>中国_中债国债到期收益率_1年!$T$151:$T$389</c:f>
              <c:numCache>
                <c:formatCode>0.00_);[Red]\(0.00\)</c:formatCode>
                <c:ptCount val="239"/>
                <c:pt idx="0">
                  <c:v>1.0006219330233423</c:v>
                </c:pt>
                <c:pt idx="1">
                  <c:v>1.0006168320226643</c:v>
                </c:pt>
                <c:pt idx="2">
                  <c:v>1.0000057494329677</c:v>
                </c:pt>
                <c:pt idx="3">
                  <c:v>1.0000175076718185</c:v>
                </c:pt>
                <c:pt idx="4">
                  <c:v>1.0001585633092109</c:v>
                </c:pt>
                <c:pt idx="5">
                  <c:v>1.0000657078053437</c:v>
                </c:pt>
                <c:pt idx="6">
                  <c:v>0.99970046751103503</c:v>
                </c:pt>
                <c:pt idx="7">
                  <c:v>0.99979181000622663</c:v>
                </c:pt>
                <c:pt idx="8">
                  <c:v>0.99985509699768937</c:v>
                </c:pt>
                <c:pt idx="9">
                  <c:v>0.99996935076711257</c:v>
                </c:pt>
                <c:pt idx="10">
                  <c:v>1.0001483180790358</c:v>
                </c:pt>
                <c:pt idx="11">
                  <c:v>1.0008185376935419</c:v>
                </c:pt>
                <c:pt idx="12">
                  <c:v>1.0010032112096132</c:v>
                </c:pt>
                <c:pt idx="13">
                  <c:v>1.0010285000689068</c:v>
                </c:pt>
                <c:pt idx="14">
                  <c:v>1.0013314044057775</c:v>
                </c:pt>
                <c:pt idx="15">
                  <c:v>1.0019404120121476</c:v>
                </c:pt>
                <c:pt idx="16">
                  <c:v>1.002125906875786</c:v>
                </c:pt>
                <c:pt idx="17">
                  <c:v>1.0021871621127409</c:v>
                </c:pt>
                <c:pt idx="18">
                  <c:v>1.0023314166827622</c:v>
                </c:pt>
                <c:pt idx="19">
                  <c:v>1.0025819276906351</c:v>
                </c:pt>
                <c:pt idx="20">
                  <c:v>1.0029538684519361</c:v>
                </c:pt>
                <c:pt idx="21">
                  <c:v>1.0032648565780169</c:v>
                </c:pt>
                <c:pt idx="22">
                  <c:v>1.0034165465049587</c:v>
                </c:pt>
                <c:pt idx="23">
                  <c:v>1.003532659113612</c:v>
                </c:pt>
                <c:pt idx="24">
                  <c:v>1.0037587890673969</c:v>
                </c:pt>
                <c:pt idx="25">
                  <c:v>1.0040274129505589</c:v>
                </c:pt>
                <c:pt idx="26">
                  <c:v>1.0037327220893559</c:v>
                </c:pt>
                <c:pt idx="27">
                  <c:v>1.0035075863984151</c:v>
                </c:pt>
                <c:pt idx="28">
                  <c:v>1.0036680085468563</c:v>
                </c:pt>
                <c:pt idx="29">
                  <c:v>1.0036665387669998</c:v>
                </c:pt>
                <c:pt idx="30">
                  <c:v>1.0037205747911313</c:v>
                </c:pt>
                <c:pt idx="31">
                  <c:v>1.003776512883312</c:v>
                </c:pt>
                <c:pt idx="32">
                  <c:v>1.003767564517716</c:v>
                </c:pt>
                <c:pt idx="33">
                  <c:v>1.0038615439708853</c:v>
                </c:pt>
                <c:pt idx="34">
                  <c:v>1.0039103925366999</c:v>
                </c:pt>
                <c:pt idx="35">
                  <c:v>1.0040111589145</c:v>
                </c:pt>
                <c:pt idx="36">
                  <c:v>1.0045258844659659</c:v>
                </c:pt>
                <c:pt idx="37">
                  <c:v>1.0048551583826126</c:v>
                </c:pt>
                <c:pt idx="38">
                  <c:v>1.0050950783297559</c:v>
                </c:pt>
                <c:pt idx="39">
                  <c:v>1.0052824320326244</c:v>
                </c:pt>
                <c:pt idx="40">
                  <c:v>1.0057651682578044</c:v>
                </c:pt>
                <c:pt idx="41">
                  <c:v>1.0059510521808162</c:v>
                </c:pt>
                <c:pt idx="42">
                  <c:v>1.0060865745293377</c:v>
                </c:pt>
                <c:pt idx="43">
                  <c:v>1.0061110852698836</c:v>
                </c:pt>
                <c:pt idx="44">
                  <c:v>1.0063178487126199</c:v>
                </c:pt>
                <c:pt idx="45">
                  <c:v>1.0066879738635099</c:v>
                </c:pt>
                <c:pt idx="46">
                  <c:v>1.0073254692618021</c:v>
                </c:pt>
                <c:pt idx="47">
                  <c:v>1.0073263338381884</c:v>
                </c:pt>
                <c:pt idx="48">
                  <c:v>1.0074105868070138</c:v>
                </c:pt>
                <c:pt idx="49">
                  <c:v>1.0075192640587469</c:v>
                </c:pt>
                <c:pt idx="50">
                  <c:v>1.0075244947458828</c:v>
                </c:pt>
                <c:pt idx="51">
                  <c:v>1.0078722273683729</c:v>
                </c:pt>
                <c:pt idx="52">
                  <c:v>1.0079953862745732</c:v>
                </c:pt>
                <c:pt idx="53">
                  <c:v>1.0081820483163326</c:v>
                </c:pt>
                <c:pt idx="54">
                  <c:v>1.008287656321895</c:v>
                </c:pt>
                <c:pt idx="55">
                  <c:v>1.0087790383109361</c:v>
                </c:pt>
                <c:pt idx="56">
                  <c:v>1.0089762481846056</c:v>
                </c:pt>
                <c:pt idx="57">
                  <c:v>1.0089976032213426</c:v>
                </c:pt>
                <c:pt idx="58">
                  <c:v>1.0090400971507192</c:v>
                </c:pt>
                <c:pt idx="59">
                  <c:v>1.0092859826749265</c:v>
                </c:pt>
                <c:pt idx="60">
                  <c:v>1.0095453555907574</c:v>
                </c:pt>
                <c:pt idx="61">
                  <c:v>1.0098188643305004</c:v>
                </c:pt>
                <c:pt idx="62">
                  <c:v>1.0100693321095542</c:v>
                </c:pt>
                <c:pt idx="63">
                  <c:v>1.01010443391083</c:v>
                </c:pt>
                <c:pt idx="64">
                  <c:v>1.0103388205691022</c:v>
                </c:pt>
                <c:pt idx="65">
                  <c:v>1.0104020643317457</c:v>
                </c:pt>
                <c:pt idx="66">
                  <c:v>1.0105847060933095</c:v>
                </c:pt>
                <c:pt idx="67">
                  <c:v>1.0108263551932251</c:v>
                </c:pt>
                <c:pt idx="68">
                  <c:v>1.0109596728719619</c:v>
                </c:pt>
                <c:pt idx="69">
                  <c:v>1.0111909902840635</c:v>
                </c:pt>
                <c:pt idx="70">
                  <c:v>1.0114624240404801</c:v>
                </c:pt>
                <c:pt idx="71">
                  <c:v>1.0116052952882835</c:v>
                </c:pt>
                <c:pt idx="72">
                  <c:v>1.0118007327803618</c:v>
                </c:pt>
                <c:pt idx="73">
                  <c:v>1.012248929178917</c:v>
                </c:pt>
                <c:pt idx="74">
                  <c:v>1.0126195298468195</c:v>
                </c:pt>
                <c:pt idx="75">
                  <c:v>1.0132850375200213</c:v>
                </c:pt>
                <c:pt idx="76">
                  <c:v>1.0140037598697877</c:v>
                </c:pt>
                <c:pt idx="77">
                  <c:v>1.0140582281821122</c:v>
                </c:pt>
                <c:pt idx="78">
                  <c:v>1.0142881190431767</c:v>
                </c:pt>
                <c:pt idx="79">
                  <c:v>1.0146970204449837</c:v>
                </c:pt>
                <c:pt idx="80">
                  <c:v>1.0152197865568402</c:v>
                </c:pt>
                <c:pt idx="81">
                  <c:v>1.0154588419275972</c:v>
                </c:pt>
                <c:pt idx="82">
                  <c:v>1.0154885401264599</c:v>
                </c:pt>
                <c:pt idx="83">
                  <c:v>1.0154777329216336</c:v>
                </c:pt>
                <c:pt idx="84">
                  <c:v>1.0154540867574737</c:v>
                </c:pt>
                <c:pt idx="85">
                  <c:v>1.0154317374578929</c:v>
                </c:pt>
                <c:pt idx="86">
                  <c:v>1.0157432443298056</c:v>
                </c:pt>
                <c:pt idx="87">
                  <c:v>1.0162096400612881</c:v>
                </c:pt>
                <c:pt idx="88">
                  <c:v>1.0166367840248418</c:v>
                </c:pt>
                <c:pt idx="89">
                  <c:v>1.0166242044384239</c:v>
                </c:pt>
                <c:pt idx="90">
                  <c:v>1.0166033249186994</c:v>
                </c:pt>
                <c:pt idx="91">
                  <c:v>1.0166880101757183</c:v>
                </c:pt>
                <c:pt idx="92">
                  <c:v>1.0170130476680732</c:v>
                </c:pt>
                <c:pt idx="93">
                  <c:v>1.017168887561668</c:v>
                </c:pt>
                <c:pt idx="94">
                  <c:v>1.017430594833741</c:v>
                </c:pt>
                <c:pt idx="95">
                  <c:v>1.0177007317255784</c:v>
                </c:pt>
                <c:pt idx="96">
                  <c:v>1.0177265393307038</c:v>
                </c:pt>
                <c:pt idx="97">
                  <c:v>1.0179847018395938</c:v>
                </c:pt>
                <c:pt idx="98">
                  <c:v>1.0183026930344021</c:v>
                </c:pt>
                <c:pt idx="99">
                  <c:v>1.0185536363304681</c:v>
                </c:pt>
                <c:pt idx="100">
                  <c:v>1.0185645732217523</c:v>
                </c:pt>
                <c:pt idx="101">
                  <c:v>1.0190195565449383</c:v>
                </c:pt>
                <c:pt idx="102">
                  <c:v>1.0192489718889906</c:v>
                </c:pt>
                <c:pt idx="103">
                  <c:v>1.0198104277941249</c:v>
                </c:pt>
                <c:pt idx="104">
                  <c:v>1.0200290359333508</c:v>
                </c:pt>
                <c:pt idx="105">
                  <c:v>1.0196428728904985</c:v>
                </c:pt>
                <c:pt idx="106">
                  <c:v>1.0192189278595734</c:v>
                </c:pt>
                <c:pt idx="107">
                  <c:v>1.018681161347418</c:v>
                </c:pt>
                <c:pt idx="108">
                  <c:v>1.0188684285926479</c:v>
                </c:pt>
                <c:pt idx="109">
                  <c:v>1.0191322540768668</c:v>
                </c:pt>
                <c:pt idx="110">
                  <c:v>1.0194613983070557</c:v>
                </c:pt>
                <c:pt idx="111">
                  <c:v>1.0193549689539265</c:v>
                </c:pt>
                <c:pt idx="112">
                  <c:v>1.0195424091144334</c:v>
                </c:pt>
                <c:pt idx="113">
                  <c:v>1.0197456277939867</c:v>
                </c:pt>
                <c:pt idx="114">
                  <c:v>1.0204330092497569</c:v>
                </c:pt>
                <c:pt idx="115">
                  <c:v>1.0206011261280343</c:v>
                </c:pt>
                <c:pt idx="116">
                  <c:v>1.0207353516119768</c:v>
                </c:pt>
                <c:pt idx="117">
                  <c:v>1.0209918714257331</c:v>
                </c:pt>
                <c:pt idx="118">
                  <c:v>1.0212086639545481</c:v>
                </c:pt>
                <c:pt idx="119">
                  <c:v>1.0215902447425542</c:v>
                </c:pt>
                <c:pt idx="120">
                  <c:v>1.0217831317342936</c:v>
                </c:pt>
                <c:pt idx="121">
                  <c:v>1.0219854858374606</c:v>
                </c:pt>
                <c:pt idx="122">
                  <c:v>1.0219911488127895</c:v>
                </c:pt>
                <c:pt idx="123">
                  <c:v>1.0219464934424474</c:v>
                </c:pt>
                <c:pt idx="124">
                  <c:v>1.0220677935094176</c:v>
                </c:pt>
                <c:pt idx="125">
                  <c:v>1.0224083501479031</c:v>
                </c:pt>
                <c:pt idx="126">
                  <c:v>1.022694265558787</c:v>
                </c:pt>
                <c:pt idx="127">
                  <c:v>1.0228389091881818</c:v>
                </c:pt>
                <c:pt idx="128">
                  <c:v>1.0229750367401735</c:v>
                </c:pt>
                <c:pt idx="129">
                  <c:v>1.0234282909105874</c:v>
                </c:pt>
                <c:pt idx="130">
                  <c:v>1.0237474060546976</c:v>
                </c:pt>
                <c:pt idx="131">
                  <c:v>1.0226262233972008</c:v>
                </c:pt>
                <c:pt idx="132">
                  <c:v>1.0228059688278712</c:v>
                </c:pt>
                <c:pt idx="133">
                  <c:v>1.0231838319374169</c:v>
                </c:pt>
                <c:pt idx="134">
                  <c:v>1.0230244040518199</c:v>
                </c:pt>
                <c:pt idx="135">
                  <c:v>1.0228579730974952</c:v>
                </c:pt>
                <c:pt idx="136">
                  <c:v>1.0230128187282461</c:v>
                </c:pt>
                <c:pt idx="137">
                  <c:v>1.0232429689622264</c:v>
                </c:pt>
                <c:pt idx="138">
                  <c:v>1.0236390746335189</c:v>
                </c:pt>
                <c:pt idx="139">
                  <c:v>1.0239538236668795</c:v>
                </c:pt>
                <c:pt idx="140">
                  <c:v>1.0242184272698458</c:v>
                </c:pt>
                <c:pt idx="141">
                  <c:v>1.0244306375438146</c:v>
                </c:pt>
                <c:pt idx="142">
                  <c:v>1.0245630474173459</c:v>
                </c:pt>
                <c:pt idx="143">
                  <c:v>1.0246482514201962</c:v>
                </c:pt>
                <c:pt idx="144">
                  <c:v>1.0250472534223825</c:v>
                </c:pt>
                <c:pt idx="145">
                  <c:v>1.0255073809750657</c:v>
                </c:pt>
                <c:pt idx="146">
                  <c:v>1.0260704795753337</c:v>
                </c:pt>
                <c:pt idx="147">
                  <c:v>1.0263785281417019</c:v>
                </c:pt>
                <c:pt idx="148">
                  <c:v>1.026417779909631</c:v>
                </c:pt>
                <c:pt idx="149">
                  <c:v>1.0267872998570509</c:v>
                </c:pt>
                <c:pt idx="150">
                  <c:v>1.0272276286104927</c:v>
                </c:pt>
                <c:pt idx="151">
                  <c:v>1.0271826706384153</c:v>
                </c:pt>
                <c:pt idx="152">
                  <c:v>1.0272734079301367</c:v>
                </c:pt>
                <c:pt idx="153">
                  <c:v>1.0273556723732744</c:v>
                </c:pt>
                <c:pt idx="154">
                  <c:v>1.0272744886506193</c:v>
                </c:pt>
                <c:pt idx="155">
                  <c:v>1.0269799707046936</c:v>
                </c:pt>
                <c:pt idx="156">
                  <c:v>1.0266466765078515</c:v>
                </c:pt>
                <c:pt idx="157">
                  <c:v>1.0268843053275716</c:v>
                </c:pt>
                <c:pt idx="158">
                  <c:v>1.0270754199377192</c:v>
                </c:pt>
                <c:pt idx="159">
                  <c:v>1.0267250071284324</c:v>
                </c:pt>
                <c:pt idx="160">
                  <c:v>1.0262100654328701</c:v>
                </c:pt>
                <c:pt idx="161">
                  <c:v>1.0262502682348238</c:v>
                </c:pt>
                <c:pt idx="162">
                  <c:v>1.0257204558254205</c:v>
                </c:pt>
                <c:pt idx="163">
                  <c:v>1.0250782484858241</c:v>
                </c:pt>
                <c:pt idx="164">
                  <c:v>1.0244423093250268</c:v>
                </c:pt>
                <c:pt idx="165">
                  <c:v>1.0240888272695692</c:v>
                </c:pt>
                <c:pt idx="166">
                  <c:v>1.0243727109259457</c:v>
                </c:pt>
                <c:pt idx="167">
                  <c:v>1.0249783899132292</c:v>
                </c:pt>
                <c:pt idx="168">
                  <c:v>1.0253457051908648</c:v>
                </c:pt>
                <c:pt idx="169">
                  <c:v>1.0254276670322673</c:v>
                </c:pt>
                <c:pt idx="170">
                  <c:v>1.0252262639631247</c:v>
                </c:pt>
                <c:pt idx="171">
                  <c:v>1.0251717091931616</c:v>
                </c:pt>
                <c:pt idx="172">
                  <c:v>1.0252682823754893</c:v>
                </c:pt>
                <c:pt idx="173">
                  <c:v>1.0256448053916365</c:v>
                </c:pt>
                <c:pt idx="174">
                  <c:v>1.0256639125297695</c:v>
                </c:pt>
                <c:pt idx="175">
                  <c:v>1.0255809131967037</c:v>
                </c:pt>
                <c:pt idx="176">
                  <c:v>1.025377348686596</c:v>
                </c:pt>
                <c:pt idx="177">
                  <c:v>1.0254402466186849</c:v>
                </c:pt>
                <c:pt idx="178">
                  <c:v>1.0260851341450783</c:v>
                </c:pt>
                <c:pt idx="179">
                  <c:v>1.0268036835795675</c:v>
                </c:pt>
                <c:pt idx="180">
                  <c:v>1.026568821404283</c:v>
                </c:pt>
                <c:pt idx="181">
                  <c:v>1.0261494586282043</c:v>
                </c:pt>
                <c:pt idx="182">
                  <c:v>1.0261879755062053</c:v>
                </c:pt>
                <c:pt idx="183">
                  <c:v>1.0265013412173478</c:v>
                </c:pt>
                <c:pt idx="184">
                  <c:v>1.0266097590961649</c:v>
                </c:pt>
                <c:pt idx="185">
                  <c:v>1.0264005748395475</c:v>
                </c:pt>
                <c:pt idx="186">
                  <c:v>1.0262149070606321</c:v>
                </c:pt>
                <c:pt idx="187">
                  <c:v>1.0256103952514699</c:v>
                </c:pt>
                <c:pt idx="188">
                  <c:v>1.0256151504215933</c:v>
                </c:pt>
                <c:pt idx="189">
                  <c:v>1.0259068152654449</c:v>
                </c:pt>
                <c:pt idx="190">
                  <c:v>1.0257353265392615</c:v>
                </c:pt>
                <c:pt idx="191">
                  <c:v>1.0261077428175749</c:v>
                </c:pt>
                <c:pt idx="192">
                  <c:v>1.0262409740386731</c:v>
                </c:pt>
                <c:pt idx="193">
                  <c:v>1.0265259384155323</c:v>
                </c:pt>
                <c:pt idx="194">
                  <c:v>1.026862128943268</c:v>
                </c:pt>
                <c:pt idx="195">
                  <c:v>1.0271088790438616</c:v>
                </c:pt>
                <c:pt idx="196">
                  <c:v>1.0271482172694291</c:v>
                </c:pt>
                <c:pt idx="197">
                  <c:v>1.0275659805791937</c:v>
                </c:pt>
                <c:pt idx="198">
                  <c:v>1.0277686805129151</c:v>
                </c:pt>
                <c:pt idx="199">
                  <c:v>1.0279697809803225</c:v>
                </c:pt>
                <c:pt idx="200">
                  <c:v>1.0279042893190753</c:v>
                </c:pt>
                <c:pt idx="201">
                  <c:v>1.0279951562972545</c:v>
                </c:pt>
                <c:pt idx="202">
                  <c:v>1.0280906487590995</c:v>
                </c:pt>
                <c:pt idx="203">
                  <c:v>1.0283958874522126</c:v>
                </c:pt>
                <c:pt idx="204">
                  <c:v>1.0287418909219306</c:v>
                </c:pt>
                <c:pt idx="205">
                  <c:v>1.0287776411554959</c:v>
                </c:pt>
                <c:pt idx="206">
                  <c:v>1.0290020419565087</c:v>
                </c:pt>
                <c:pt idx="207">
                  <c:v>1.0292358234113106</c:v>
                </c:pt>
                <c:pt idx="208">
                  <c:v>1.0295729217442517</c:v>
                </c:pt>
                <c:pt idx="209">
                  <c:v>1.0296899853869299</c:v>
                </c:pt>
                <c:pt idx="210">
                  <c:v>1.029646799796444</c:v>
                </c:pt>
                <c:pt idx="211">
                  <c:v>1.029414833952053</c:v>
                </c:pt>
                <c:pt idx="212">
                  <c:v>1.0290892777138665</c:v>
                </c:pt>
                <c:pt idx="213">
                  <c:v>1.0290756606357854</c:v>
                </c:pt>
                <c:pt idx="214">
                  <c:v>1.0289392737108776</c:v>
                </c:pt>
                <c:pt idx="215">
                  <c:v>1.0290612654389566</c:v>
                </c:pt>
                <c:pt idx="216">
                  <c:v>1.0290314807824554</c:v>
                </c:pt>
                <c:pt idx="217">
                  <c:v>1.0293018338183895</c:v>
                </c:pt>
                <c:pt idx="218">
                  <c:v>1.0294403389554432</c:v>
                </c:pt>
                <c:pt idx="219">
                  <c:v>1.0293881185417224</c:v>
                </c:pt>
                <c:pt idx="220">
                  <c:v>1.0293486938585164</c:v>
                </c:pt>
                <c:pt idx="221">
                  <c:v>1.0292227683078805</c:v>
                </c:pt>
                <c:pt idx="222">
                  <c:v>1.0294040267472266</c:v>
                </c:pt>
                <c:pt idx="223">
                  <c:v>1.0295736998629992</c:v>
                </c:pt>
                <c:pt idx="224">
                  <c:v>1.0299361735128725</c:v>
                </c:pt>
                <c:pt idx="225">
                  <c:v>1.030101912806088</c:v>
                </c:pt>
                <c:pt idx="226">
                  <c:v>1.0306318549019493</c:v>
                </c:pt>
                <c:pt idx="227">
                  <c:v>1.0308560395588655</c:v>
                </c:pt>
                <c:pt idx="228">
                  <c:v>1.0315790847905624</c:v>
                </c:pt>
                <c:pt idx="229">
                  <c:v>1.0319851330902952</c:v>
                </c:pt>
                <c:pt idx="230">
                  <c:v>1.0320137937974945</c:v>
                </c:pt>
                <c:pt idx="231">
                  <c:v>1.0320061855252967</c:v>
                </c:pt>
                <c:pt idx="232">
                  <c:v>1.0323151418968701</c:v>
                </c:pt>
                <c:pt idx="233">
                  <c:v>1.0327667533721505</c:v>
                </c:pt>
                <c:pt idx="234">
                  <c:v>1.0332829487034725</c:v>
                </c:pt>
                <c:pt idx="235">
                  <c:v>1.0336835934007922</c:v>
                </c:pt>
                <c:pt idx="236">
                  <c:v>1.0343922866644799</c:v>
                </c:pt>
                <c:pt idx="237">
                  <c:v>1.0347938823958243</c:v>
                </c:pt>
                <c:pt idx="238">
                  <c:v>1.0354753847321689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9D-4565-A1A1-6F89912D3DE1}"/>
            </c:ext>
          </c:extLst>
        </c:ser>
        <c:ser>
          <c:idx val="2"/>
          <c:order val="3"/>
          <c:tx>
            <c:strRef>
              <c:f>中国_中债国债到期收益率_1年!$U$1</c:f>
              <c:strCache>
                <c:ptCount val="1"/>
                <c:pt idx="0">
                  <c:v>Compound Bond Fund Index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中国_中债国债到期收益率_1年!$J$148:$J$389</c:f>
              <c:numCache>
                <c:formatCode>yyyy\-mm\-dd</c:formatCode>
                <c:ptCount val="242"/>
                <c:pt idx="0">
                  <c:v>44929</c:v>
                </c:pt>
                <c:pt idx="1">
                  <c:v>44930</c:v>
                </c:pt>
                <c:pt idx="2">
                  <c:v>44931</c:v>
                </c:pt>
                <c:pt idx="3">
                  <c:v>44932</c:v>
                </c:pt>
                <c:pt idx="4">
                  <c:v>44935</c:v>
                </c:pt>
                <c:pt idx="5">
                  <c:v>44936</c:v>
                </c:pt>
                <c:pt idx="6">
                  <c:v>44937</c:v>
                </c:pt>
                <c:pt idx="7">
                  <c:v>44938</c:v>
                </c:pt>
                <c:pt idx="8">
                  <c:v>44939</c:v>
                </c:pt>
                <c:pt idx="9">
                  <c:v>44942</c:v>
                </c:pt>
                <c:pt idx="10">
                  <c:v>44943</c:v>
                </c:pt>
                <c:pt idx="11">
                  <c:v>44944</c:v>
                </c:pt>
                <c:pt idx="12">
                  <c:v>44945</c:v>
                </c:pt>
                <c:pt idx="13">
                  <c:v>44946</c:v>
                </c:pt>
                <c:pt idx="14">
                  <c:v>44956</c:v>
                </c:pt>
                <c:pt idx="15">
                  <c:v>44957</c:v>
                </c:pt>
                <c:pt idx="16">
                  <c:v>44958</c:v>
                </c:pt>
                <c:pt idx="17">
                  <c:v>44959</c:v>
                </c:pt>
                <c:pt idx="18">
                  <c:v>44960</c:v>
                </c:pt>
                <c:pt idx="19">
                  <c:v>44963</c:v>
                </c:pt>
                <c:pt idx="20">
                  <c:v>44964</c:v>
                </c:pt>
                <c:pt idx="21">
                  <c:v>44965</c:v>
                </c:pt>
                <c:pt idx="22">
                  <c:v>44966</c:v>
                </c:pt>
                <c:pt idx="23">
                  <c:v>44967</c:v>
                </c:pt>
                <c:pt idx="24">
                  <c:v>44970</c:v>
                </c:pt>
                <c:pt idx="25">
                  <c:v>44971</c:v>
                </c:pt>
                <c:pt idx="26">
                  <c:v>44972</c:v>
                </c:pt>
                <c:pt idx="27">
                  <c:v>44973</c:v>
                </c:pt>
                <c:pt idx="28">
                  <c:v>44974</c:v>
                </c:pt>
                <c:pt idx="29">
                  <c:v>44977</c:v>
                </c:pt>
                <c:pt idx="30">
                  <c:v>44978</c:v>
                </c:pt>
                <c:pt idx="31">
                  <c:v>44979</c:v>
                </c:pt>
                <c:pt idx="32">
                  <c:v>44980</c:v>
                </c:pt>
                <c:pt idx="33">
                  <c:v>44981</c:v>
                </c:pt>
                <c:pt idx="34">
                  <c:v>44984</c:v>
                </c:pt>
                <c:pt idx="35">
                  <c:v>44985</c:v>
                </c:pt>
                <c:pt idx="36">
                  <c:v>44986</c:v>
                </c:pt>
                <c:pt idx="37">
                  <c:v>44987</c:v>
                </c:pt>
                <c:pt idx="38">
                  <c:v>44988</c:v>
                </c:pt>
                <c:pt idx="39">
                  <c:v>44991</c:v>
                </c:pt>
                <c:pt idx="40">
                  <c:v>44992</c:v>
                </c:pt>
                <c:pt idx="41">
                  <c:v>44993</c:v>
                </c:pt>
                <c:pt idx="42">
                  <c:v>44994</c:v>
                </c:pt>
                <c:pt idx="43">
                  <c:v>44995</c:v>
                </c:pt>
                <c:pt idx="44">
                  <c:v>44998</c:v>
                </c:pt>
                <c:pt idx="45">
                  <c:v>44999</c:v>
                </c:pt>
                <c:pt idx="46">
                  <c:v>45000</c:v>
                </c:pt>
                <c:pt idx="47">
                  <c:v>45001</c:v>
                </c:pt>
                <c:pt idx="48">
                  <c:v>45002</c:v>
                </c:pt>
                <c:pt idx="49">
                  <c:v>45005</c:v>
                </c:pt>
                <c:pt idx="50">
                  <c:v>45006</c:v>
                </c:pt>
                <c:pt idx="51">
                  <c:v>45007</c:v>
                </c:pt>
                <c:pt idx="52">
                  <c:v>45008</c:v>
                </c:pt>
                <c:pt idx="53">
                  <c:v>45009</c:v>
                </c:pt>
                <c:pt idx="54">
                  <c:v>45012</c:v>
                </c:pt>
                <c:pt idx="55">
                  <c:v>45013</c:v>
                </c:pt>
                <c:pt idx="56">
                  <c:v>45014</c:v>
                </c:pt>
                <c:pt idx="57">
                  <c:v>45015</c:v>
                </c:pt>
                <c:pt idx="58">
                  <c:v>45016</c:v>
                </c:pt>
                <c:pt idx="59">
                  <c:v>45019</c:v>
                </c:pt>
                <c:pt idx="60">
                  <c:v>45020</c:v>
                </c:pt>
                <c:pt idx="61">
                  <c:v>45022</c:v>
                </c:pt>
                <c:pt idx="62">
                  <c:v>45023</c:v>
                </c:pt>
                <c:pt idx="63">
                  <c:v>45026</c:v>
                </c:pt>
                <c:pt idx="64">
                  <c:v>45027</c:v>
                </c:pt>
                <c:pt idx="65">
                  <c:v>45028</c:v>
                </c:pt>
                <c:pt idx="66">
                  <c:v>45029</c:v>
                </c:pt>
                <c:pt idx="67">
                  <c:v>45030</c:v>
                </c:pt>
                <c:pt idx="68">
                  <c:v>45033</c:v>
                </c:pt>
                <c:pt idx="69">
                  <c:v>45034</c:v>
                </c:pt>
                <c:pt idx="70">
                  <c:v>45035</c:v>
                </c:pt>
                <c:pt idx="71">
                  <c:v>45036</c:v>
                </c:pt>
                <c:pt idx="72">
                  <c:v>45037</c:v>
                </c:pt>
                <c:pt idx="73">
                  <c:v>45040</c:v>
                </c:pt>
                <c:pt idx="74">
                  <c:v>45041</c:v>
                </c:pt>
                <c:pt idx="75">
                  <c:v>45042</c:v>
                </c:pt>
                <c:pt idx="76">
                  <c:v>45043</c:v>
                </c:pt>
                <c:pt idx="77">
                  <c:v>45044</c:v>
                </c:pt>
                <c:pt idx="78">
                  <c:v>45050</c:v>
                </c:pt>
                <c:pt idx="79">
                  <c:v>45051</c:v>
                </c:pt>
                <c:pt idx="80">
                  <c:v>45054</c:v>
                </c:pt>
                <c:pt idx="81">
                  <c:v>45055</c:v>
                </c:pt>
                <c:pt idx="82">
                  <c:v>45056</c:v>
                </c:pt>
                <c:pt idx="83">
                  <c:v>45057</c:v>
                </c:pt>
                <c:pt idx="84">
                  <c:v>45058</c:v>
                </c:pt>
                <c:pt idx="85">
                  <c:v>45061</c:v>
                </c:pt>
                <c:pt idx="86">
                  <c:v>45062</c:v>
                </c:pt>
                <c:pt idx="87">
                  <c:v>45063</c:v>
                </c:pt>
                <c:pt idx="88">
                  <c:v>45064</c:v>
                </c:pt>
                <c:pt idx="89">
                  <c:v>45065</c:v>
                </c:pt>
                <c:pt idx="90">
                  <c:v>45068</c:v>
                </c:pt>
                <c:pt idx="91">
                  <c:v>45069</c:v>
                </c:pt>
                <c:pt idx="92">
                  <c:v>45070</c:v>
                </c:pt>
                <c:pt idx="93">
                  <c:v>45071</c:v>
                </c:pt>
                <c:pt idx="94">
                  <c:v>45072</c:v>
                </c:pt>
                <c:pt idx="95">
                  <c:v>45075</c:v>
                </c:pt>
                <c:pt idx="96">
                  <c:v>45076</c:v>
                </c:pt>
                <c:pt idx="97">
                  <c:v>45077</c:v>
                </c:pt>
                <c:pt idx="98">
                  <c:v>45078</c:v>
                </c:pt>
                <c:pt idx="99">
                  <c:v>45079</c:v>
                </c:pt>
                <c:pt idx="100">
                  <c:v>45082</c:v>
                </c:pt>
                <c:pt idx="101">
                  <c:v>45083</c:v>
                </c:pt>
                <c:pt idx="102">
                  <c:v>45084</c:v>
                </c:pt>
                <c:pt idx="103">
                  <c:v>45085</c:v>
                </c:pt>
                <c:pt idx="104">
                  <c:v>45086</c:v>
                </c:pt>
                <c:pt idx="105">
                  <c:v>45089</c:v>
                </c:pt>
                <c:pt idx="106">
                  <c:v>45090</c:v>
                </c:pt>
                <c:pt idx="107">
                  <c:v>45091</c:v>
                </c:pt>
                <c:pt idx="108">
                  <c:v>45092</c:v>
                </c:pt>
                <c:pt idx="109">
                  <c:v>45093</c:v>
                </c:pt>
                <c:pt idx="110">
                  <c:v>45096</c:v>
                </c:pt>
                <c:pt idx="111">
                  <c:v>45097</c:v>
                </c:pt>
                <c:pt idx="112">
                  <c:v>45098</c:v>
                </c:pt>
                <c:pt idx="113">
                  <c:v>45103</c:v>
                </c:pt>
                <c:pt idx="114">
                  <c:v>45104</c:v>
                </c:pt>
                <c:pt idx="115">
                  <c:v>45105</c:v>
                </c:pt>
                <c:pt idx="116">
                  <c:v>45106</c:v>
                </c:pt>
                <c:pt idx="117">
                  <c:v>45107</c:v>
                </c:pt>
                <c:pt idx="118">
                  <c:v>45110</c:v>
                </c:pt>
                <c:pt idx="119">
                  <c:v>45111</c:v>
                </c:pt>
                <c:pt idx="120">
                  <c:v>45112</c:v>
                </c:pt>
                <c:pt idx="121">
                  <c:v>45113</c:v>
                </c:pt>
                <c:pt idx="122">
                  <c:v>45114</c:v>
                </c:pt>
                <c:pt idx="123">
                  <c:v>45117</c:v>
                </c:pt>
                <c:pt idx="124">
                  <c:v>45118</c:v>
                </c:pt>
                <c:pt idx="125">
                  <c:v>45119</c:v>
                </c:pt>
                <c:pt idx="126">
                  <c:v>45120</c:v>
                </c:pt>
                <c:pt idx="127">
                  <c:v>45121</c:v>
                </c:pt>
                <c:pt idx="128">
                  <c:v>45124</c:v>
                </c:pt>
                <c:pt idx="129">
                  <c:v>45125</c:v>
                </c:pt>
                <c:pt idx="130">
                  <c:v>45126</c:v>
                </c:pt>
                <c:pt idx="131">
                  <c:v>45127</c:v>
                </c:pt>
                <c:pt idx="132">
                  <c:v>45128</c:v>
                </c:pt>
                <c:pt idx="133">
                  <c:v>45131</c:v>
                </c:pt>
                <c:pt idx="134">
                  <c:v>45132</c:v>
                </c:pt>
                <c:pt idx="135">
                  <c:v>45133</c:v>
                </c:pt>
                <c:pt idx="136">
                  <c:v>45134</c:v>
                </c:pt>
                <c:pt idx="137">
                  <c:v>45135</c:v>
                </c:pt>
                <c:pt idx="138">
                  <c:v>45138</c:v>
                </c:pt>
                <c:pt idx="139">
                  <c:v>45139</c:v>
                </c:pt>
                <c:pt idx="140">
                  <c:v>45140</c:v>
                </c:pt>
                <c:pt idx="141">
                  <c:v>45141</c:v>
                </c:pt>
                <c:pt idx="142">
                  <c:v>45142</c:v>
                </c:pt>
                <c:pt idx="143">
                  <c:v>45145</c:v>
                </c:pt>
                <c:pt idx="144">
                  <c:v>45146</c:v>
                </c:pt>
                <c:pt idx="145">
                  <c:v>45147</c:v>
                </c:pt>
                <c:pt idx="146">
                  <c:v>45148</c:v>
                </c:pt>
                <c:pt idx="147">
                  <c:v>45149</c:v>
                </c:pt>
                <c:pt idx="148">
                  <c:v>45152</c:v>
                </c:pt>
                <c:pt idx="149">
                  <c:v>45153</c:v>
                </c:pt>
                <c:pt idx="150">
                  <c:v>45154</c:v>
                </c:pt>
                <c:pt idx="151">
                  <c:v>45155</c:v>
                </c:pt>
                <c:pt idx="152">
                  <c:v>45156</c:v>
                </c:pt>
                <c:pt idx="153">
                  <c:v>45159</c:v>
                </c:pt>
                <c:pt idx="154">
                  <c:v>45160</c:v>
                </c:pt>
                <c:pt idx="155">
                  <c:v>45161</c:v>
                </c:pt>
                <c:pt idx="156">
                  <c:v>45162</c:v>
                </c:pt>
                <c:pt idx="157">
                  <c:v>45163</c:v>
                </c:pt>
                <c:pt idx="158">
                  <c:v>45166</c:v>
                </c:pt>
                <c:pt idx="159">
                  <c:v>45167</c:v>
                </c:pt>
                <c:pt idx="160">
                  <c:v>45168</c:v>
                </c:pt>
                <c:pt idx="161">
                  <c:v>45169</c:v>
                </c:pt>
                <c:pt idx="162">
                  <c:v>45170</c:v>
                </c:pt>
                <c:pt idx="163">
                  <c:v>45173</c:v>
                </c:pt>
                <c:pt idx="164">
                  <c:v>45174</c:v>
                </c:pt>
                <c:pt idx="165">
                  <c:v>45175</c:v>
                </c:pt>
                <c:pt idx="166">
                  <c:v>45176</c:v>
                </c:pt>
                <c:pt idx="167">
                  <c:v>45177</c:v>
                </c:pt>
                <c:pt idx="168">
                  <c:v>45180</c:v>
                </c:pt>
                <c:pt idx="169">
                  <c:v>45181</c:v>
                </c:pt>
                <c:pt idx="170">
                  <c:v>45182</c:v>
                </c:pt>
                <c:pt idx="171">
                  <c:v>45183</c:v>
                </c:pt>
                <c:pt idx="172">
                  <c:v>45184</c:v>
                </c:pt>
                <c:pt idx="173">
                  <c:v>45187</c:v>
                </c:pt>
                <c:pt idx="174">
                  <c:v>45188</c:v>
                </c:pt>
                <c:pt idx="175">
                  <c:v>45189</c:v>
                </c:pt>
                <c:pt idx="176">
                  <c:v>45190</c:v>
                </c:pt>
                <c:pt idx="177">
                  <c:v>45191</c:v>
                </c:pt>
                <c:pt idx="178">
                  <c:v>45194</c:v>
                </c:pt>
                <c:pt idx="179">
                  <c:v>45195</c:v>
                </c:pt>
                <c:pt idx="180">
                  <c:v>45196</c:v>
                </c:pt>
                <c:pt idx="181">
                  <c:v>45197</c:v>
                </c:pt>
                <c:pt idx="182">
                  <c:v>45208</c:v>
                </c:pt>
                <c:pt idx="183">
                  <c:v>45209</c:v>
                </c:pt>
                <c:pt idx="184">
                  <c:v>45210</c:v>
                </c:pt>
                <c:pt idx="185">
                  <c:v>45211</c:v>
                </c:pt>
                <c:pt idx="186">
                  <c:v>45212</c:v>
                </c:pt>
                <c:pt idx="187">
                  <c:v>45215</c:v>
                </c:pt>
                <c:pt idx="188">
                  <c:v>45216</c:v>
                </c:pt>
                <c:pt idx="189">
                  <c:v>45217</c:v>
                </c:pt>
                <c:pt idx="190">
                  <c:v>45218</c:v>
                </c:pt>
                <c:pt idx="191">
                  <c:v>45219</c:v>
                </c:pt>
                <c:pt idx="192">
                  <c:v>45222</c:v>
                </c:pt>
                <c:pt idx="193">
                  <c:v>45223</c:v>
                </c:pt>
                <c:pt idx="194">
                  <c:v>45224</c:v>
                </c:pt>
                <c:pt idx="195">
                  <c:v>45225</c:v>
                </c:pt>
                <c:pt idx="196">
                  <c:v>45226</c:v>
                </c:pt>
                <c:pt idx="197">
                  <c:v>45229</c:v>
                </c:pt>
                <c:pt idx="198">
                  <c:v>45230</c:v>
                </c:pt>
                <c:pt idx="199">
                  <c:v>45231</c:v>
                </c:pt>
                <c:pt idx="200">
                  <c:v>45232</c:v>
                </c:pt>
                <c:pt idx="201">
                  <c:v>45233</c:v>
                </c:pt>
                <c:pt idx="202">
                  <c:v>45236</c:v>
                </c:pt>
                <c:pt idx="203">
                  <c:v>45237</c:v>
                </c:pt>
                <c:pt idx="204">
                  <c:v>45238</c:v>
                </c:pt>
                <c:pt idx="205">
                  <c:v>45239</c:v>
                </c:pt>
                <c:pt idx="206">
                  <c:v>45240</c:v>
                </c:pt>
                <c:pt idx="207">
                  <c:v>45243</c:v>
                </c:pt>
                <c:pt idx="208">
                  <c:v>45244</c:v>
                </c:pt>
                <c:pt idx="209">
                  <c:v>45245</c:v>
                </c:pt>
                <c:pt idx="210">
                  <c:v>45246</c:v>
                </c:pt>
                <c:pt idx="211">
                  <c:v>45247</c:v>
                </c:pt>
                <c:pt idx="212">
                  <c:v>45250</c:v>
                </c:pt>
                <c:pt idx="213">
                  <c:v>45251</c:v>
                </c:pt>
                <c:pt idx="214">
                  <c:v>45252</c:v>
                </c:pt>
                <c:pt idx="215">
                  <c:v>45253</c:v>
                </c:pt>
                <c:pt idx="216">
                  <c:v>45254</c:v>
                </c:pt>
                <c:pt idx="217">
                  <c:v>45257</c:v>
                </c:pt>
                <c:pt idx="218">
                  <c:v>45258</c:v>
                </c:pt>
                <c:pt idx="219">
                  <c:v>45259</c:v>
                </c:pt>
                <c:pt idx="220">
                  <c:v>45260</c:v>
                </c:pt>
                <c:pt idx="221">
                  <c:v>45261</c:v>
                </c:pt>
                <c:pt idx="222">
                  <c:v>45264</c:v>
                </c:pt>
                <c:pt idx="223">
                  <c:v>45265</c:v>
                </c:pt>
                <c:pt idx="224">
                  <c:v>45266</c:v>
                </c:pt>
                <c:pt idx="225">
                  <c:v>45267</c:v>
                </c:pt>
                <c:pt idx="226">
                  <c:v>45268</c:v>
                </c:pt>
                <c:pt idx="227">
                  <c:v>45271</c:v>
                </c:pt>
                <c:pt idx="228">
                  <c:v>45272</c:v>
                </c:pt>
                <c:pt idx="229">
                  <c:v>45273</c:v>
                </c:pt>
                <c:pt idx="230">
                  <c:v>45274</c:v>
                </c:pt>
                <c:pt idx="231">
                  <c:v>45275</c:v>
                </c:pt>
                <c:pt idx="232">
                  <c:v>45278</c:v>
                </c:pt>
                <c:pt idx="233">
                  <c:v>45279</c:v>
                </c:pt>
                <c:pt idx="234">
                  <c:v>45280</c:v>
                </c:pt>
                <c:pt idx="235">
                  <c:v>45281</c:v>
                </c:pt>
                <c:pt idx="236">
                  <c:v>45282</c:v>
                </c:pt>
                <c:pt idx="237">
                  <c:v>45285</c:v>
                </c:pt>
                <c:pt idx="238">
                  <c:v>45286</c:v>
                </c:pt>
                <c:pt idx="239">
                  <c:v>45287</c:v>
                </c:pt>
                <c:pt idx="240">
                  <c:v>45288</c:v>
                </c:pt>
                <c:pt idx="241">
                  <c:v>45289</c:v>
                </c:pt>
              </c:numCache>
            </c:numRef>
          </c:cat>
          <c:val>
            <c:numRef>
              <c:f>中国_中债国债到期收益率_1年!$U$148:$U$389</c:f>
              <c:numCache>
                <c:formatCode>0.00_);[Red]\(0.00\)</c:formatCode>
                <c:ptCount val="242"/>
                <c:pt idx="0">
                  <c:v>1</c:v>
                </c:pt>
                <c:pt idx="1">
                  <c:v>1.000762730449672</c:v>
                </c:pt>
                <c:pt idx="2">
                  <c:v>1.0018982355485835</c:v>
                </c:pt>
                <c:pt idx="3">
                  <c:v>1.0021465876807838</c:v>
                </c:pt>
                <c:pt idx="4">
                  <c:v>1.0024382799710132</c:v>
                </c:pt>
                <c:pt idx="5">
                  <c:v>1.001789163404331</c:v>
                </c:pt>
                <c:pt idx="6">
                  <c:v>1.0015896085581004</c:v>
                </c:pt>
                <c:pt idx="7">
                  <c:v>1.0018171531895734</c:v>
                </c:pt>
                <c:pt idx="8">
                  <c:v>1.0020735677882144</c:v>
                </c:pt>
                <c:pt idx="9">
                  <c:v>1.0025418949873253</c:v>
                </c:pt>
                <c:pt idx="10">
                  <c:v>1.0029077690102661</c:v>
                </c:pt>
                <c:pt idx="11">
                  <c:v>1.0031660143873131</c:v>
                </c:pt>
                <c:pt idx="12">
                  <c:v>1.0036588106439626</c:v>
                </c:pt>
                <c:pt idx="13">
                  <c:v>1.0043996421673191</c:v>
                </c:pt>
                <c:pt idx="14">
                  <c:v>1.0052592630433896</c:v>
                </c:pt>
                <c:pt idx="15">
                  <c:v>1.0050447803116964</c:v>
                </c:pt>
                <c:pt idx="16">
                  <c:v>1.0057632200068591</c:v>
                </c:pt>
                <c:pt idx="17">
                  <c:v>1.0061484228248918</c:v>
                </c:pt>
                <c:pt idx="18">
                  <c:v>1.0062240128486846</c:v>
                </c:pt>
                <c:pt idx="19">
                  <c:v>1.0055419422706984</c:v>
                </c:pt>
                <c:pt idx="20">
                  <c:v>1.0058134607911871</c:v>
                </c:pt>
                <c:pt idx="21">
                  <c:v>1.0056535141316201</c:v>
                </c:pt>
                <c:pt idx="22">
                  <c:v>1.0067263150701335</c:v>
                </c:pt>
                <c:pt idx="23">
                  <c:v>1.0067283218849243</c:v>
                </c:pt>
                <c:pt idx="24">
                  <c:v>1.0074149694089252</c:v>
                </c:pt>
                <c:pt idx="25">
                  <c:v>1.0075370330384033</c:v>
                </c:pt>
                <c:pt idx="26">
                  <c:v>1.0073087842613895</c:v>
                </c:pt>
                <c:pt idx="27">
                  <c:v>1.0067419118938596</c:v>
                </c:pt>
                <c:pt idx="28">
                  <c:v>1.0060976539314084</c:v>
                </c:pt>
                <c:pt idx="29">
                  <c:v>1.0069530851415116</c:v>
                </c:pt>
                <c:pt idx="30">
                  <c:v>1.0069418892274147</c:v>
                </c:pt>
                <c:pt idx="31">
                  <c:v>1.0068671793855479</c:v>
                </c:pt>
                <c:pt idx="32">
                  <c:v>1.0068270078824515</c:v>
                </c:pt>
                <c:pt idx="33">
                  <c:v>1.0064907783867736</c:v>
                </c:pt>
                <c:pt idx="34">
                  <c:v>1.0062149997857637</c:v>
                </c:pt>
                <c:pt idx="35">
                  <c:v>1.0064215960874012</c:v>
                </c:pt>
                <c:pt idx="36">
                  <c:v>1.0071689409570093</c:v>
                </c:pt>
                <c:pt idx="37">
                  <c:v>1.0070474406439638</c:v>
                </c:pt>
                <c:pt idx="38">
                  <c:v>1.007296004019826</c:v>
                </c:pt>
                <c:pt idx="39">
                  <c:v>1.0078095725699261</c:v>
                </c:pt>
                <c:pt idx="40">
                  <c:v>1.0072252373929871</c:v>
                </c:pt>
                <c:pt idx="41">
                  <c:v>1.0072735769843553</c:v>
                </c:pt>
                <c:pt idx="42">
                  <c:v>1.0074010977417738</c:v>
                </c:pt>
                <c:pt idx="43">
                  <c:v>1.0070443071963076</c:v>
                </c:pt>
                <c:pt idx="44">
                  <c:v>1.0076621949082603</c:v>
                </c:pt>
                <c:pt idx="45">
                  <c:v>1.0074901017381164</c:v>
                </c:pt>
                <c:pt idx="46">
                  <c:v>1.007683424896312</c:v>
                </c:pt>
                <c:pt idx="47">
                  <c:v>1.0070728602979824</c:v>
                </c:pt>
                <c:pt idx="48">
                  <c:v>1.0076755384662561</c:v>
                </c:pt>
                <c:pt idx="49">
                  <c:v>1.0081509775353281</c:v>
                </c:pt>
                <c:pt idx="50">
                  <c:v>1.0087215114596695</c:v>
                </c:pt>
                <c:pt idx="51">
                  <c:v>1.009034715396167</c:v>
                </c:pt>
                <c:pt idx="52">
                  <c:v>1.0094365008416828</c:v>
                </c:pt>
                <c:pt idx="53">
                  <c:v>1.0092643724642618</c:v>
                </c:pt>
                <c:pt idx="54">
                  <c:v>1.0094672720018107</c:v>
                </c:pt>
                <c:pt idx="55">
                  <c:v>1.0092194831860433</c:v>
                </c:pt>
                <c:pt idx="56">
                  <c:v>1.0093906961742611</c:v>
                </c:pt>
                <c:pt idx="57">
                  <c:v>1.0097112232243817</c:v>
                </c:pt>
                <c:pt idx="58">
                  <c:v>1.010500922448262</c:v>
                </c:pt>
                <c:pt idx="59">
                  <c:v>1.0113083661397675</c:v>
                </c:pt>
                <c:pt idx="60">
                  <c:v>1.0113405807982538</c:v>
                </c:pt>
                <c:pt idx="61">
                  <c:v>1.0115907637088599</c:v>
                </c:pt>
                <c:pt idx="62">
                  <c:v>1.0123296940392565</c:v>
                </c:pt>
                <c:pt idx="63">
                  <c:v>1.0121867172872201</c:v>
                </c:pt>
                <c:pt idx="64">
                  <c:v>1.0122522380297809</c:v>
                </c:pt>
                <c:pt idx="65">
                  <c:v>1.0126897236542098</c:v>
                </c:pt>
                <c:pt idx="66">
                  <c:v>1.0123187797833759</c:v>
                </c:pt>
                <c:pt idx="67">
                  <c:v>1.0129961677935166</c:v>
                </c:pt>
                <c:pt idx="68">
                  <c:v>1.0134966040292828</c:v>
                </c:pt>
                <c:pt idx="69">
                  <c:v>1.0136914058931137</c:v>
                </c:pt>
                <c:pt idx="70">
                  <c:v>1.0134829436057935</c:v>
                </c:pt>
                <c:pt idx="71">
                  <c:v>1.0133671820789045</c:v>
                </c:pt>
                <c:pt idx="72">
                  <c:v>1.0123080063566035</c:v>
                </c:pt>
                <c:pt idx="73">
                  <c:v>1.0117829954414674</c:v>
                </c:pt>
                <c:pt idx="74">
                  <c:v>1.0115771032853706</c:v>
                </c:pt>
                <c:pt idx="75">
                  <c:v>1.0120947558796065</c:v>
                </c:pt>
                <c:pt idx="76">
                  <c:v>1.0129516305880684</c:v>
                </c:pt>
                <c:pt idx="77">
                  <c:v>1.0138274116042973</c:v>
                </c:pt>
                <c:pt idx="78">
                  <c:v>1.014410303282878</c:v>
                </c:pt>
                <c:pt idx="79">
                  <c:v>1.0144303010162334</c:v>
                </c:pt>
                <c:pt idx="80">
                  <c:v>1.0150219593067955</c:v>
                </c:pt>
                <c:pt idx="81">
                  <c:v>1.0146495367303263</c:v>
                </c:pt>
                <c:pt idx="82">
                  <c:v>1.0146759773953791</c:v>
                </c:pt>
                <c:pt idx="83">
                  <c:v>1.0152142966612341</c:v>
                </c:pt>
                <c:pt idx="84">
                  <c:v>1.0144054798859243</c:v>
                </c:pt>
                <c:pt idx="85">
                  <c:v>1.0150706861782111</c:v>
                </c:pt>
                <c:pt idx="86">
                  <c:v>1.0149409473623394</c:v>
                </c:pt>
                <c:pt idx="87">
                  <c:v>1.0150540331361737</c:v>
                </c:pt>
                <c:pt idx="88">
                  <c:v>1.0152339423218193</c:v>
                </c:pt>
                <c:pt idx="89">
                  <c:v>1.0155233461390416</c:v>
                </c:pt>
                <c:pt idx="90">
                  <c:v>1.0160954995981266</c:v>
                </c:pt>
                <c:pt idx="91">
                  <c:v>1.0158872485544685</c:v>
                </c:pt>
                <c:pt idx="92">
                  <c:v>1.0154648316446104</c:v>
                </c:pt>
                <c:pt idx="93">
                  <c:v>1.0153535062346279</c:v>
                </c:pt>
                <c:pt idx="94">
                  <c:v>1.0157213166578056</c:v>
                </c:pt>
                <c:pt idx="95">
                  <c:v>1.015841584716155</c:v>
                </c:pt>
                <c:pt idx="96">
                  <c:v>1.0160219868036788</c:v>
                </c:pt>
                <c:pt idx="97">
                  <c:v>1.0160828249783942</c:v>
                </c:pt>
                <c:pt idx="98">
                  <c:v>1.0164431362515636</c:v>
                </c:pt>
                <c:pt idx="99">
                  <c:v>1.0171686526094104</c:v>
                </c:pt>
                <c:pt idx="100">
                  <c:v>1.0172601211151455</c:v>
                </c:pt>
                <c:pt idx="101">
                  <c:v>1.016867031867057</c:v>
                </c:pt>
                <c:pt idx="102">
                  <c:v>1.0169782516552086</c:v>
                </c:pt>
                <c:pt idx="103">
                  <c:v>1.0171060188635661</c:v>
                </c:pt>
                <c:pt idx="104">
                  <c:v>1.0179144131515516</c:v>
                </c:pt>
                <c:pt idx="105">
                  <c:v>1.0183272536820562</c:v>
                </c:pt>
                <c:pt idx="106">
                  <c:v>1.0189890800757477</c:v>
                </c:pt>
                <c:pt idx="107">
                  <c:v>1.0193320341613392</c:v>
                </c:pt>
                <c:pt idx="108">
                  <c:v>1.0194368462250705</c:v>
                </c:pt>
                <c:pt idx="109">
                  <c:v>1.0194977548143398</c:v>
                </c:pt>
                <c:pt idx="110">
                  <c:v>1.018873564999798</c:v>
                </c:pt>
                <c:pt idx="111">
                  <c:v>1.0190081624199003</c:v>
                </c:pt>
                <c:pt idx="112">
                  <c:v>1.0183269720238401</c:v>
                </c:pt>
                <c:pt idx="113">
                  <c:v>1.017805129763637</c:v>
                </c:pt>
                <c:pt idx="114">
                  <c:v>1.0183262326710223</c:v>
                </c:pt>
                <c:pt idx="115">
                  <c:v>1.0183984427962198</c:v>
                </c:pt>
                <c:pt idx="116">
                  <c:v>1.0186116932732168</c:v>
                </c:pt>
                <c:pt idx="117">
                  <c:v>1.0194960648650424</c:v>
                </c:pt>
                <c:pt idx="118">
                  <c:v>1.0199762569165136</c:v>
                </c:pt>
                <c:pt idx="119">
                  <c:v>1.0202119696362584</c:v>
                </c:pt>
                <c:pt idx="120">
                  <c:v>1.0200918776142944</c:v>
                </c:pt>
                <c:pt idx="121">
                  <c:v>1.0201206771669085</c:v>
                </c:pt>
                <c:pt idx="122">
                  <c:v>1.0202498878736246</c:v>
                </c:pt>
                <c:pt idx="123">
                  <c:v>1.0204038140888185</c:v>
                </c:pt>
                <c:pt idx="124">
                  <c:v>1.0209303741241442</c:v>
                </c:pt>
                <c:pt idx="125">
                  <c:v>1.0205744637606042</c:v>
                </c:pt>
                <c:pt idx="126">
                  <c:v>1.021207068114357</c:v>
                </c:pt>
                <c:pt idx="127">
                  <c:v>1.0212604775536183</c:v>
                </c:pt>
                <c:pt idx="128">
                  <c:v>1.0213029727369987</c:v>
                </c:pt>
                <c:pt idx="129">
                  <c:v>1.0215391783586221</c:v>
                </c:pt>
                <c:pt idx="130">
                  <c:v>1.0216575100167344</c:v>
                </c:pt>
                <c:pt idx="131">
                  <c:v>1.0213592691729765</c:v>
                </c:pt>
                <c:pt idx="132">
                  <c:v>1.0216501516958343</c:v>
                </c:pt>
                <c:pt idx="133">
                  <c:v>1.0217083493247718</c:v>
                </c:pt>
                <c:pt idx="134">
                  <c:v>1.0217634135060538</c:v>
                </c:pt>
                <c:pt idx="135">
                  <c:v>1.0217330648332501</c:v>
                </c:pt>
                <c:pt idx="136">
                  <c:v>1.0218703027991298</c:v>
                </c:pt>
                <c:pt idx="137">
                  <c:v>1.0225824755989805</c:v>
                </c:pt>
                <c:pt idx="138">
                  <c:v>1.0227352399740326</c:v>
                </c:pt>
                <c:pt idx="139">
                  <c:v>1.0226022972959508</c:v>
                </c:pt>
                <c:pt idx="140">
                  <c:v>1.0226796828908724</c:v>
                </c:pt>
                <c:pt idx="141">
                  <c:v>1.0233074638476716</c:v>
                </c:pt>
                <c:pt idx="142">
                  <c:v>1.0237637501580368</c:v>
                </c:pt>
                <c:pt idx="143">
                  <c:v>1.0235860942381214</c:v>
                </c:pt>
                <c:pt idx="144">
                  <c:v>1.0236211606860475</c:v>
                </c:pt>
                <c:pt idx="145">
                  <c:v>1.0234355127142456</c:v>
                </c:pt>
                <c:pt idx="146">
                  <c:v>1.0236634798330428</c:v>
                </c:pt>
                <c:pt idx="147">
                  <c:v>1.0231904348588094</c:v>
                </c:pt>
                <c:pt idx="148">
                  <c:v>1.0234667767762522</c:v>
                </c:pt>
                <c:pt idx="149">
                  <c:v>1.0236922793856571</c:v>
                </c:pt>
                <c:pt idx="150">
                  <c:v>1.0235847563615941</c:v>
                </c:pt>
                <c:pt idx="151">
                  <c:v>1.0240162919562039</c:v>
                </c:pt>
                <c:pt idx="152">
                  <c:v>1.0237862828153386</c:v>
                </c:pt>
                <c:pt idx="153">
                  <c:v>1.0236607688727113</c:v>
                </c:pt>
                <c:pt idx="154">
                  <c:v>1.0236993560483407</c:v>
                </c:pt>
                <c:pt idx="155">
                  <c:v>1.0229938374238499</c:v>
                </c:pt>
                <c:pt idx="156">
                  <c:v>1.0233605212141623</c:v>
                </c:pt>
                <c:pt idx="157">
                  <c:v>1.0227349935230934</c:v>
                </c:pt>
                <c:pt idx="158">
                  <c:v>1.0227680179489516</c:v>
                </c:pt>
                <c:pt idx="159">
                  <c:v>1.02342382389827</c:v>
                </c:pt>
                <c:pt idx="160">
                  <c:v>1.023805048293998</c:v>
                </c:pt>
                <c:pt idx="161">
                  <c:v>1.0237788188726074</c:v>
                </c:pt>
                <c:pt idx="162">
                  <c:v>1.0237757910467824</c:v>
                </c:pt>
                <c:pt idx="163">
                  <c:v>1.0238907075990225</c:v>
                </c:pt>
                <c:pt idx="164">
                  <c:v>1.0236148585834586</c:v>
                </c:pt>
                <c:pt idx="165">
                  <c:v>1.0230923473849918</c:v>
                </c:pt>
                <c:pt idx="166">
                  <c:v>1.0214978450153838</c:v>
                </c:pt>
                <c:pt idx="167">
                  <c:v>1.0208011634174281</c:v>
                </c:pt>
                <c:pt idx="168">
                  <c:v>1.0208105637603964</c:v>
                </c:pt>
                <c:pt idx="169">
                  <c:v>1.0209801220065937</c:v>
                </c:pt>
                <c:pt idx="170">
                  <c:v>1.0210273701723738</c:v>
                </c:pt>
                <c:pt idx="171">
                  <c:v>1.0212117154749256</c:v>
                </c:pt>
                <c:pt idx="172">
                  <c:v>1.0212453384244935</c:v>
                </c:pt>
                <c:pt idx="173">
                  <c:v>1.0211914008760767</c:v>
                </c:pt>
                <c:pt idx="174">
                  <c:v>1.0209411475509167</c:v>
                </c:pt>
                <c:pt idx="175">
                  <c:v>1.0208222877836488</c:v>
                </c:pt>
                <c:pt idx="176">
                  <c:v>1.0207975018606166</c:v>
                </c:pt>
                <c:pt idx="177">
                  <c:v>1.0215432624027581</c:v>
                </c:pt>
                <c:pt idx="178">
                  <c:v>1.0212802992505885</c:v>
                </c:pt>
                <c:pt idx="179">
                  <c:v>1.0210178994148515</c:v>
                </c:pt>
                <c:pt idx="180">
                  <c:v>1.0212373111653295</c:v>
                </c:pt>
                <c:pt idx="181">
                  <c:v>1.0220329252117517</c:v>
                </c:pt>
                <c:pt idx="182">
                  <c:v>1.0225422688886074</c:v>
                </c:pt>
                <c:pt idx="183">
                  <c:v>1.022011871260085</c:v>
                </c:pt>
                <c:pt idx="184">
                  <c:v>1.0215655134018438</c:v>
                </c:pt>
                <c:pt idx="185">
                  <c:v>1.0218824493097067</c:v>
                </c:pt>
                <c:pt idx="186">
                  <c:v>1.021773025092684</c:v>
                </c:pt>
                <c:pt idx="187">
                  <c:v>1.0213729648037428</c:v>
                </c:pt>
                <c:pt idx="188">
                  <c:v>1.02115052522744</c:v>
                </c:pt>
                <c:pt idx="189">
                  <c:v>1.0202622456278636</c:v>
                </c:pt>
                <c:pt idx="190">
                  <c:v>1.0188500113314622</c:v>
                </c:pt>
                <c:pt idx="191">
                  <c:v>1.0183434138222149</c:v>
                </c:pt>
                <c:pt idx="192">
                  <c:v>1.017607159244873</c:v>
                </c:pt>
                <c:pt idx="193">
                  <c:v>1.0183666506250577</c:v>
                </c:pt>
                <c:pt idx="194">
                  <c:v>1.0190050289722443</c:v>
                </c:pt>
                <c:pt idx="195">
                  <c:v>1.0193083748711722</c:v>
                </c:pt>
                <c:pt idx="196">
                  <c:v>1.020438950951299</c:v>
                </c:pt>
                <c:pt idx="197">
                  <c:v>1.0211406671898702</c:v>
                </c:pt>
                <c:pt idx="198">
                  <c:v>1.0209911418843054</c:v>
                </c:pt>
                <c:pt idx="199">
                  <c:v>1.0207800038439305</c:v>
                </c:pt>
                <c:pt idx="200">
                  <c:v>1.0208414053350785</c:v>
                </c:pt>
                <c:pt idx="201">
                  <c:v>1.0215209409891182</c:v>
                </c:pt>
                <c:pt idx="202">
                  <c:v>1.0225408605975261</c:v>
                </c:pt>
                <c:pt idx="203">
                  <c:v>1.022569589735586</c:v>
                </c:pt>
                <c:pt idx="204">
                  <c:v>1.0225903620290362</c:v>
                </c:pt>
                <c:pt idx="205">
                  <c:v>1.0225539577045828</c:v>
                </c:pt>
                <c:pt idx="206">
                  <c:v>1.0226221542001983</c:v>
                </c:pt>
                <c:pt idx="207">
                  <c:v>1.0229985904062495</c:v>
                </c:pt>
                <c:pt idx="208">
                  <c:v>1.0232429641161447</c:v>
                </c:pt>
                <c:pt idx="209">
                  <c:v>1.0238247291618601</c:v>
                </c:pt>
                <c:pt idx="210">
                  <c:v>1.0234640306086433</c:v>
                </c:pt>
                <c:pt idx="211">
                  <c:v>1.0237676581657875</c:v>
                </c:pt>
                <c:pt idx="212">
                  <c:v>1.0241774004559132</c:v>
                </c:pt>
                <c:pt idx="213">
                  <c:v>1.0239407019324112</c:v>
                </c:pt>
                <c:pt idx="214">
                  <c:v>1.0229785222583399</c:v>
                </c:pt>
                <c:pt idx="215">
                  <c:v>1.0229043405256284</c:v>
                </c:pt>
                <c:pt idx="216">
                  <c:v>1.0223960178598066</c:v>
                </c:pt>
                <c:pt idx="217">
                  <c:v>1.0223264482803869</c:v>
                </c:pt>
                <c:pt idx="218">
                  <c:v>1.0226479259269874</c:v>
                </c:pt>
                <c:pt idx="219">
                  <c:v>1.0223215192616022</c:v>
                </c:pt>
                <c:pt idx="220">
                  <c:v>1.0224647072573008</c:v>
                </c:pt>
                <c:pt idx="221">
                  <c:v>1.0226858441643534</c:v>
                </c:pt>
                <c:pt idx="222">
                  <c:v>1.0225057941495999</c:v>
                </c:pt>
                <c:pt idx="223">
                  <c:v>1.0216712408547777</c:v>
                </c:pt>
                <c:pt idx="224">
                  <c:v>1.0216945480721746</c:v>
                </c:pt>
                <c:pt idx="225">
                  <c:v>1.0218112601955434</c:v>
                </c:pt>
                <c:pt idx="226">
                  <c:v>1.0221024947911714</c:v>
                </c:pt>
                <c:pt idx="227">
                  <c:v>1.0228351934335331</c:v>
                </c:pt>
                <c:pt idx="228">
                  <c:v>1.0230284461771746</c:v>
                </c:pt>
                <c:pt idx="229">
                  <c:v>1.022971375181102</c:v>
                </c:pt>
                <c:pt idx="230">
                  <c:v>1.0230180600304495</c:v>
                </c:pt>
                <c:pt idx="231">
                  <c:v>1.0233232367077829</c:v>
                </c:pt>
                <c:pt idx="232">
                  <c:v>1.0232375421954816</c:v>
                </c:pt>
                <c:pt idx="233">
                  <c:v>1.0231374479068727</c:v>
                </c:pt>
                <c:pt idx="234">
                  <c:v>1.0227312263444508</c:v>
                </c:pt>
                <c:pt idx="235">
                  <c:v>1.0233577046319997</c:v>
                </c:pt>
                <c:pt idx="236">
                  <c:v>1.0235643713481912</c:v>
                </c:pt>
                <c:pt idx="237">
                  <c:v>1.0240400568682022</c:v>
                </c:pt>
                <c:pt idx="238">
                  <c:v>1.0239048961316675</c:v>
                </c:pt>
                <c:pt idx="239">
                  <c:v>1.0249772745828565</c:v>
                </c:pt>
                <c:pt idx="240">
                  <c:v>1.0263361698545508</c:v>
                </c:pt>
                <c:pt idx="241">
                  <c:v>1.0274841031222552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9D-4565-A1A1-6F89912D3D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817792"/>
        <c:axId val="47820672"/>
      </c:lineChart>
      <c:dateAx>
        <c:axId val="47817792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820672"/>
        <c:crosses val="autoZero"/>
        <c:auto val="1"/>
        <c:lblOffset val="100"/>
        <c:baseTimeUnit val="days"/>
      </c:dateAx>
      <c:valAx>
        <c:axId val="47820672"/>
        <c:scaling>
          <c:orientation val="minMax"/>
          <c:min val="0.9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817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4b9b300-e80e-4a10-adb5-a0a75d3cd55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2022.6-12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22"/>
          <c:order val="0"/>
          <c:tx>
            <c:v>Portfolio Net Value</c:v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中国_中债国债到期收益率_1年!$J$2:$J$146</c:f>
              <c:numCache>
                <c:formatCode>yyyy\-mm\-dd</c:formatCode>
                <c:ptCount val="145"/>
                <c:pt idx="0">
                  <c:v>44713</c:v>
                </c:pt>
                <c:pt idx="1">
                  <c:v>44714</c:v>
                </c:pt>
                <c:pt idx="2">
                  <c:v>44718</c:v>
                </c:pt>
                <c:pt idx="3">
                  <c:v>44719</c:v>
                </c:pt>
                <c:pt idx="4">
                  <c:v>44720</c:v>
                </c:pt>
                <c:pt idx="5">
                  <c:v>44721</c:v>
                </c:pt>
                <c:pt idx="6">
                  <c:v>44722</c:v>
                </c:pt>
                <c:pt idx="7">
                  <c:v>44725</c:v>
                </c:pt>
                <c:pt idx="8">
                  <c:v>44726</c:v>
                </c:pt>
                <c:pt idx="9">
                  <c:v>44727</c:v>
                </c:pt>
                <c:pt idx="10">
                  <c:v>44728</c:v>
                </c:pt>
                <c:pt idx="11">
                  <c:v>44729</c:v>
                </c:pt>
                <c:pt idx="12">
                  <c:v>44732</c:v>
                </c:pt>
                <c:pt idx="13">
                  <c:v>44733</c:v>
                </c:pt>
                <c:pt idx="14">
                  <c:v>44734</c:v>
                </c:pt>
                <c:pt idx="15">
                  <c:v>44735</c:v>
                </c:pt>
                <c:pt idx="16">
                  <c:v>44736</c:v>
                </c:pt>
                <c:pt idx="17">
                  <c:v>44739</c:v>
                </c:pt>
                <c:pt idx="18">
                  <c:v>44740</c:v>
                </c:pt>
                <c:pt idx="19">
                  <c:v>44741</c:v>
                </c:pt>
                <c:pt idx="20">
                  <c:v>44742</c:v>
                </c:pt>
                <c:pt idx="21">
                  <c:v>44743</c:v>
                </c:pt>
                <c:pt idx="22">
                  <c:v>44746</c:v>
                </c:pt>
                <c:pt idx="23">
                  <c:v>44747</c:v>
                </c:pt>
                <c:pt idx="24">
                  <c:v>44748</c:v>
                </c:pt>
                <c:pt idx="25">
                  <c:v>44749</c:v>
                </c:pt>
                <c:pt idx="26">
                  <c:v>44750</c:v>
                </c:pt>
                <c:pt idx="27">
                  <c:v>44753</c:v>
                </c:pt>
                <c:pt idx="28">
                  <c:v>44754</c:v>
                </c:pt>
                <c:pt idx="29">
                  <c:v>44755</c:v>
                </c:pt>
                <c:pt idx="30">
                  <c:v>44756</c:v>
                </c:pt>
                <c:pt idx="31">
                  <c:v>44757</c:v>
                </c:pt>
                <c:pt idx="32">
                  <c:v>44760</c:v>
                </c:pt>
                <c:pt idx="33">
                  <c:v>44761</c:v>
                </c:pt>
                <c:pt idx="34">
                  <c:v>44762</c:v>
                </c:pt>
                <c:pt idx="35">
                  <c:v>44763</c:v>
                </c:pt>
                <c:pt idx="36">
                  <c:v>44764</c:v>
                </c:pt>
                <c:pt idx="37">
                  <c:v>44767</c:v>
                </c:pt>
                <c:pt idx="38">
                  <c:v>44768</c:v>
                </c:pt>
                <c:pt idx="39">
                  <c:v>44769</c:v>
                </c:pt>
                <c:pt idx="40">
                  <c:v>44770</c:v>
                </c:pt>
                <c:pt idx="41">
                  <c:v>44771</c:v>
                </c:pt>
                <c:pt idx="42">
                  <c:v>44774</c:v>
                </c:pt>
                <c:pt idx="43">
                  <c:v>44775</c:v>
                </c:pt>
                <c:pt idx="44">
                  <c:v>44776</c:v>
                </c:pt>
                <c:pt idx="45">
                  <c:v>44777</c:v>
                </c:pt>
                <c:pt idx="46">
                  <c:v>44778</c:v>
                </c:pt>
                <c:pt idx="47">
                  <c:v>44781</c:v>
                </c:pt>
                <c:pt idx="48">
                  <c:v>44782</c:v>
                </c:pt>
                <c:pt idx="49">
                  <c:v>44783</c:v>
                </c:pt>
                <c:pt idx="50">
                  <c:v>44784</c:v>
                </c:pt>
                <c:pt idx="51">
                  <c:v>44785</c:v>
                </c:pt>
                <c:pt idx="52">
                  <c:v>44788</c:v>
                </c:pt>
                <c:pt idx="53">
                  <c:v>44789</c:v>
                </c:pt>
                <c:pt idx="54">
                  <c:v>44790</c:v>
                </c:pt>
                <c:pt idx="55">
                  <c:v>44791</c:v>
                </c:pt>
                <c:pt idx="56">
                  <c:v>44792</c:v>
                </c:pt>
                <c:pt idx="57">
                  <c:v>44795</c:v>
                </c:pt>
                <c:pt idx="58">
                  <c:v>44796</c:v>
                </c:pt>
                <c:pt idx="59">
                  <c:v>44797</c:v>
                </c:pt>
                <c:pt idx="60">
                  <c:v>44798</c:v>
                </c:pt>
                <c:pt idx="61">
                  <c:v>44799</c:v>
                </c:pt>
                <c:pt idx="62">
                  <c:v>44802</c:v>
                </c:pt>
                <c:pt idx="63">
                  <c:v>44803</c:v>
                </c:pt>
                <c:pt idx="64">
                  <c:v>44804</c:v>
                </c:pt>
                <c:pt idx="65">
                  <c:v>44805</c:v>
                </c:pt>
                <c:pt idx="66">
                  <c:v>44806</c:v>
                </c:pt>
                <c:pt idx="67">
                  <c:v>44809</c:v>
                </c:pt>
                <c:pt idx="68">
                  <c:v>44810</c:v>
                </c:pt>
                <c:pt idx="69">
                  <c:v>44811</c:v>
                </c:pt>
                <c:pt idx="70">
                  <c:v>44812</c:v>
                </c:pt>
                <c:pt idx="71">
                  <c:v>44813</c:v>
                </c:pt>
                <c:pt idx="72">
                  <c:v>44817</c:v>
                </c:pt>
                <c:pt idx="73">
                  <c:v>44818</c:v>
                </c:pt>
                <c:pt idx="74">
                  <c:v>44819</c:v>
                </c:pt>
                <c:pt idx="75">
                  <c:v>44820</c:v>
                </c:pt>
                <c:pt idx="76">
                  <c:v>44823</c:v>
                </c:pt>
                <c:pt idx="77">
                  <c:v>44824</c:v>
                </c:pt>
                <c:pt idx="78">
                  <c:v>44825</c:v>
                </c:pt>
                <c:pt idx="79">
                  <c:v>44826</c:v>
                </c:pt>
                <c:pt idx="80">
                  <c:v>44827</c:v>
                </c:pt>
                <c:pt idx="81">
                  <c:v>44830</c:v>
                </c:pt>
                <c:pt idx="82">
                  <c:v>44831</c:v>
                </c:pt>
                <c:pt idx="83">
                  <c:v>44832</c:v>
                </c:pt>
                <c:pt idx="84">
                  <c:v>44833</c:v>
                </c:pt>
                <c:pt idx="85">
                  <c:v>44834</c:v>
                </c:pt>
                <c:pt idx="86">
                  <c:v>44844</c:v>
                </c:pt>
                <c:pt idx="87">
                  <c:v>44845</c:v>
                </c:pt>
                <c:pt idx="88">
                  <c:v>44846</c:v>
                </c:pt>
                <c:pt idx="89">
                  <c:v>44847</c:v>
                </c:pt>
                <c:pt idx="90">
                  <c:v>44848</c:v>
                </c:pt>
                <c:pt idx="91">
                  <c:v>44851</c:v>
                </c:pt>
                <c:pt idx="92">
                  <c:v>44852</c:v>
                </c:pt>
                <c:pt idx="93">
                  <c:v>44853</c:v>
                </c:pt>
                <c:pt idx="94">
                  <c:v>44854</c:v>
                </c:pt>
                <c:pt idx="95">
                  <c:v>44855</c:v>
                </c:pt>
                <c:pt idx="96">
                  <c:v>44858</c:v>
                </c:pt>
                <c:pt idx="97">
                  <c:v>44859</c:v>
                </c:pt>
                <c:pt idx="98">
                  <c:v>44860</c:v>
                </c:pt>
                <c:pt idx="99">
                  <c:v>44861</c:v>
                </c:pt>
                <c:pt idx="100">
                  <c:v>44862</c:v>
                </c:pt>
                <c:pt idx="101">
                  <c:v>44865</c:v>
                </c:pt>
                <c:pt idx="102">
                  <c:v>44866</c:v>
                </c:pt>
                <c:pt idx="103">
                  <c:v>44867</c:v>
                </c:pt>
                <c:pt idx="104">
                  <c:v>44868</c:v>
                </c:pt>
                <c:pt idx="105">
                  <c:v>44869</c:v>
                </c:pt>
                <c:pt idx="106">
                  <c:v>44872</c:v>
                </c:pt>
                <c:pt idx="107">
                  <c:v>44873</c:v>
                </c:pt>
                <c:pt idx="108">
                  <c:v>44874</c:v>
                </c:pt>
                <c:pt idx="109">
                  <c:v>44875</c:v>
                </c:pt>
                <c:pt idx="110">
                  <c:v>44876</c:v>
                </c:pt>
                <c:pt idx="111">
                  <c:v>44879</c:v>
                </c:pt>
                <c:pt idx="112">
                  <c:v>44880</c:v>
                </c:pt>
                <c:pt idx="113">
                  <c:v>44881</c:v>
                </c:pt>
                <c:pt idx="114">
                  <c:v>44882</c:v>
                </c:pt>
                <c:pt idx="115">
                  <c:v>44883</c:v>
                </c:pt>
                <c:pt idx="116">
                  <c:v>44886</c:v>
                </c:pt>
                <c:pt idx="117">
                  <c:v>44887</c:v>
                </c:pt>
                <c:pt idx="118">
                  <c:v>44888</c:v>
                </c:pt>
                <c:pt idx="119">
                  <c:v>44889</c:v>
                </c:pt>
                <c:pt idx="120">
                  <c:v>44890</c:v>
                </c:pt>
                <c:pt idx="121">
                  <c:v>44893</c:v>
                </c:pt>
                <c:pt idx="122">
                  <c:v>44894</c:v>
                </c:pt>
                <c:pt idx="123">
                  <c:v>44895</c:v>
                </c:pt>
                <c:pt idx="124">
                  <c:v>44896</c:v>
                </c:pt>
                <c:pt idx="125">
                  <c:v>44897</c:v>
                </c:pt>
                <c:pt idx="126">
                  <c:v>44900</c:v>
                </c:pt>
                <c:pt idx="127">
                  <c:v>44901</c:v>
                </c:pt>
                <c:pt idx="128">
                  <c:v>44902</c:v>
                </c:pt>
                <c:pt idx="129">
                  <c:v>44903</c:v>
                </c:pt>
                <c:pt idx="130">
                  <c:v>44904</c:v>
                </c:pt>
                <c:pt idx="131">
                  <c:v>44907</c:v>
                </c:pt>
                <c:pt idx="132">
                  <c:v>44908</c:v>
                </c:pt>
                <c:pt idx="133">
                  <c:v>44909</c:v>
                </c:pt>
                <c:pt idx="134">
                  <c:v>44910</c:v>
                </c:pt>
                <c:pt idx="135">
                  <c:v>44911</c:v>
                </c:pt>
                <c:pt idx="136">
                  <c:v>44914</c:v>
                </c:pt>
                <c:pt idx="137">
                  <c:v>44915</c:v>
                </c:pt>
                <c:pt idx="138">
                  <c:v>44916</c:v>
                </c:pt>
                <c:pt idx="139">
                  <c:v>44917</c:v>
                </c:pt>
                <c:pt idx="140">
                  <c:v>44918</c:v>
                </c:pt>
                <c:pt idx="141">
                  <c:v>44921</c:v>
                </c:pt>
                <c:pt idx="142">
                  <c:v>44922</c:v>
                </c:pt>
                <c:pt idx="143">
                  <c:v>44923</c:v>
                </c:pt>
                <c:pt idx="144">
                  <c:v>44924</c:v>
                </c:pt>
              </c:numCache>
            </c:numRef>
          </c:cat>
          <c:val>
            <c:numRef>
              <c:f>PnL!$AF$2:$AF$150</c:f>
              <c:numCache>
                <c:formatCode>General</c:formatCode>
                <c:ptCount val="149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B12F-4289-9AC6-4FD8A52EA4EC}"/>
            </c:ext>
          </c:extLst>
        </c:ser>
        <c:ser>
          <c:idx val="0"/>
          <c:order val="1"/>
          <c:tx>
            <c:strRef>
              <c:f>中国_中债国债到期收益率_1年!$S$1</c:f>
              <c:strCache>
                <c:ptCount val="1"/>
                <c:pt idx="0">
                  <c:v>Short-Term Bond Fund Index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中国_中债国债到期收益率_1年!$J$2:$J$146</c:f>
              <c:numCache>
                <c:formatCode>yyyy\-mm\-dd</c:formatCode>
                <c:ptCount val="145"/>
                <c:pt idx="0">
                  <c:v>44713</c:v>
                </c:pt>
                <c:pt idx="1">
                  <c:v>44714</c:v>
                </c:pt>
                <c:pt idx="2">
                  <c:v>44718</c:v>
                </c:pt>
                <c:pt idx="3">
                  <c:v>44719</c:v>
                </c:pt>
                <c:pt idx="4">
                  <c:v>44720</c:v>
                </c:pt>
                <c:pt idx="5">
                  <c:v>44721</c:v>
                </c:pt>
                <c:pt idx="6">
                  <c:v>44722</c:v>
                </c:pt>
                <c:pt idx="7">
                  <c:v>44725</c:v>
                </c:pt>
                <c:pt idx="8">
                  <c:v>44726</c:v>
                </c:pt>
                <c:pt idx="9">
                  <c:v>44727</c:v>
                </c:pt>
                <c:pt idx="10">
                  <c:v>44728</c:v>
                </c:pt>
                <c:pt idx="11">
                  <c:v>44729</c:v>
                </c:pt>
                <c:pt idx="12">
                  <c:v>44732</c:v>
                </c:pt>
                <c:pt idx="13">
                  <c:v>44733</c:v>
                </c:pt>
                <c:pt idx="14">
                  <c:v>44734</c:v>
                </c:pt>
                <c:pt idx="15">
                  <c:v>44735</c:v>
                </c:pt>
                <c:pt idx="16">
                  <c:v>44736</c:v>
                </c:pt>
                <c:pt idx="17">
                  <c:v>44739</c:v>
                </c:pt>
                <c:pt idx="18">
                  <c:v>44740</c:v>
                </c:pt>
                <c:pt idx="19">
                  <c:v>44741</c:v>
                </c:pt>
                <c:pt idx="20">
                  <c:v>44742</c:v>
                </c:pt>
                <c:pt idx="21">
                  <c:v>44743</c:v>
                </c:pt>
                <c:pt idx="22">
                  <c:v>44746</c:v>
                </c:pt>
                <c:pt idx="23">
                  <c:v>44747</c:v>
                </c:pt>
                <c:pt idx="24">
                  <c:v>44748</c:v>
                </c:pt>
                <c:pt idx="25">
                  <c:v>44749</c:v>
                </c:pt>
                <c:pt idx="26">
                  <c:v>44750</c:v>
                </c:pt>
                <c:pt idx="27">
                  <c:v>44753</c:v>
                </c:pt>
                <c:pt idx="28">
                  <c:v>44754</c:v>
                </c:pt>
                <c:pt idx="29">
                  <c:v>44755</c:v>
                </c:pt>
                <c:pt idx="30">
                  <c:v>44756</c:v>
                </c:pt>
                <c:pt idx="31">
                  <c:v>44757</c:v>
                </c:pt>
                <c:pt idx="32">
                  <c:v>44760</c:v>
                </c:pt>
                <c:pt idx="33">
                  <c:v>44761</c:v>
                </c:pt>
                <c:pt idx="34">
                  <c:v>44762</c:v>
                </c:pt>
                <c:pt idx="35">
                  <c:v>44763</c:v>
                </c:pt>
                <c:pt idx="36">
                  <c:v>44764</c:v>
                </c:pt>
                <c:pt idx="37">
                  <c:v>44767</c:v>
                </c:pt>
                <c:pt idx="38">
                  <c:v>44768</c:v>
                </c:pt>
                <c:pt idx="39">
                  <c:v>44769</c:v>
                </c:pt>
                <c:pt idx="40">
                  <c:v>44770</c:v>
                </c:pt>
                <c:pt idx="41">
                  <c:v>44771</c:v>
                </c:pt>
                <c:pt idx="42">
                  <c:v>44774</c:v>
                </c:pt>
                <c:pt idx="43">
                  <c:v>44775</c:v>
                </c:pt>
                <c:pt idx="44">
                  <c:v>44776</c:v>
                </c:pt>
                <c:pt idx="45">
                  <c:v>44777</c:v>
                </c:pt>
                <c:pt idx="46">
                  <c:v>44778</c:v>
                </c:pt>
                <c:pt idx="47">
                  <c:v>44781</c:v>
                </c:pt>
                <c:pt idx="48">
                  <c:v>44782</c:v>
                </c:pt>
                <c:pt idx="49">
                  <c:v>44783</c:v>
                </c:pt>
                <c:pt idx="50">
                  <c:v>44784</c:v>
                </c:pt>
                <c:pt idx="51">
                  <c:v>44785</c:v>
                </c:pt>
                <c:pt idx="52">
                  <c:v>44788</c:v>
                </c:pt>
                <c:pt idx="53">
                  <c:v>44789</c:v>
                </c:pt>
                <c:pt idx="54">
                  <c:v>44790</c:v>
                </c:pt>
                <c:pt idx="55">
                  <c:v>44791</c:v>
                </c:pt>
                <c:pt idx="56">
                  <c:v>44792</c:v>
                </c:pt>
                <c:pt idx="57">
                  <c:v>44795</c:v>
                </c:pt>
                <c:pt idx="58">
                  <c:v>44796</c:v>
                </c:pt>
                <c:pt idx="59">
                  <c:v>44797</c:v>
                </c:pt>
                <c:pt idx="60">
                  <c:v>44798</c:v>
                </c:pt>
                <c:pt idx="61">
                  <c:v>44799</c:v>
                </c:pt>
                <c:pt idx="62">
                  <c:v>44802</c:v>
                </c:pt>
                <c:pt idx="63">
                  <c:v>44803</c:v>
                </c:pt>
                <c:pt idx="64">
                  <c:v>44804</c:v>
                </c:pt>
                <c:pt idx="65">
                  <c:v>44805</c:v>
                </c:pt>
                <c:pt idx="66">
                  <c:v>44806</c:v>
                </c:pt>
                <c:pt idx="67">
                  <c:v>44809</c:v>
                </c:pt>
                <c:pt idx="68">
                  <c:v>44810</c:v>
                </c:pt>
                <c:pt idx="69">
                  <c:v>44811</c:v>
                </c:pt>
                <c:pt idx="70">
                  <c:v>44812</c:v>
                </c:pt>
                <c:pt idx="71">
                  <c:v>44813</c:v>
                </c:pt>
                <c:pt idx="72">
                  <c:v>44817</c:v>
                </c:pt>
                <c:pt idx="73">
                  <c:v>44818</c:v>
                </c:pt>
                <c:pt idx="74">
                  <c:v>44819</c:v>
                </c:pt>
                <c:pt idx="75">
                  <c:v>44820</c:v>
                </c:pt>
                <c:pt idx="76">
                  <c:v>44823</c:v>
                </c:pt>
                <c:pt idx="77">
                  <c:v>44824</c:v>
                </c:pt>
                <c:pt idx="78">
                  <c:v>44825</c:v>
                </c:pt>
                <c:pt idx="79">
                  <c:v>44826</c:v>
                </c:pt>
                <c:pt idx="80">
                  <c:v>44827</c:v>
                </c:pt>
                <c:pt idx="81">
                  <c:v>44830</c:v>
                </c:pt>
                <c:pt idx="82">
                  <c:v>44831</c:v>
                </c:pt>
                <c:pt idx="83">
                  <c:v>44832</c:v>
                </c:pt>
                <c:pt idx="84">
                  <c:v>44833</c:v>
                </c:pt>
                <c:pt idx="85">
                  <c:v>44834</c:v>
                </c:pt>
                <c:pt idx="86">
                  <c:v>44844</c:v>
                </c:pt>
                <c:pt idx="87">
                  <c:v>44845</c:v>
                </c:pt>
                <c:pt idx="88">
                  <c:v>44846</c:v>
                </c:pt>
                <c:pt idx="89">
                  <c:v>44847</c:v>
                </c:pt>
                <c:pt idx="90">
                  <c:v>44848</c:v>
                </c:pt>
                <c:pt idx="91">
                  <c:v>44851</c:v>
                </c:pt>
                <c:pt idx="92">
                  <c:v>44852</c:v>
                </c:pt>
                <c:pt idx="93">
                  <c:v>44853</c:v>
                </c:pt>
                <c:pt idx="94">
                  <c:v>44854</c:v>
                </c:pt>
                <c:pt idx="95">
                  <c:v>44855</c:v>
                </c:pt>
                <c:pt idx="96">
                  <c:v>44858</c:v>
                </c:pt>
                <c:pt idx="97">
                  <c:v>44859</c:v>
                </c:pt>
                <c:pt idx="98">
                  <c:v>44860</c:v>
                </c:pt>
                <c:pt idx="99">
                  <c:v>44861</c:v>
                </c:pt>
                <c:pt idx="100">
                  <c:v>44862</c:v>
                </c:pt>
                <c:pt idx="101">
                  <c:v>44865</c:v>
                </c:pt>
                <c:pt idx="102">
                  <c:v>44866</c:v>
                </c:pt>
                <c:pt idx="103">
                  <c:v>44867</c:v>
                </c:pt>
                <c:pt idx="104">
                  <c:v>44868</c:v>
                </c:pt>
                <c:pt idx="105">
                  <c:v>44869</c:v>
                </c:pt>
                <c:pt idx="106">
                  <c:v>44872</c:v>
                </c:pt>
                <c:pt idx="107">
                  <c:v>44873</c:v>
                </c:pt>
                <c:pt idx="108">
                  <c:v>44874</c:v>
                </c:pt>
                <c:pt idx="109">
                  <c:v>44875</c:v>
                </c:pt>
                <c:pt idx="110">
                  <c:v>44876</c:v>
                </c:pt>
                <c:pt idx="111">
                  <c:v>44879</c:v>
                </c:pt>
                <c:pt idx="112">
                  <c:v>44880</c:v>
                </c:pt>
                <c:pt idx="113">
                  <c:v>44881</c:v>
                </c:pt>
                <c:pt idx="114">
                  <c:v>44882</c:v>
                </c:pt>
                <c:pt idx="115">
                  <c:v>44883</c:v>
                </c:pt>
                <c:pt idx="116">
                  <c:v>44886</c:v>
                </c:pt>
                <c:pt idx="117">
                  <c:v>44887</c:v>
                </c:pt>
                <c:pt idx="118">
                  <c:v>44888</c:v>
                </c:pt>
                <c:pt idx="119">
                  <c:v>44889</c:v>
                </c:pt>
                <c:pt idx="120">
                  <c:v>44890</c:v>
                </c:pt>
                <c:pt idx="121">
                  <c:v>44893</c:v>
                </c:pt>
                <c:pt idx="122">
                  <c:v>44894</c:v>
                </c:pt>
                <c:pt idx="123">
                  <c:v>44895</c:v>
                </c:pt>
                <c:pt idx="124">
                  <c:v>44896</c:v>
                </c:pt>
                <c:pt idx="125">
                  <c:v>44897</c:v>
                </c:pt>
                <c:pt idx="126">
                  <c:v>44900</c:v>
                </c:pt>
                <c:pt idx="127">
                  <c:v>44901</c:v>
                </c:pt>
                <c:pt idx="128">
                  <c:v>44902</c:v>
                </c:pt>
                <c:pt idx="129">
                  <c:v>44903</c:v>
                </c:pt>
                <c:pt idx="130">
                  <c:v>44904</c:v>
                </c:pt>
                <c:pt idx="131">
                  <c:v>44907</c:v>
                </c:pt>
                <c:pt idx="132">
                  <c:v>44908</c:v>
                </c:pt>
                <c:pt idx="133">
                  <c:v>44909</c:v>
                </c:pt>
                <c:pt idx="134">
                  <c:v>44910</c:v>
                </c:pt>
                <c:pt idx="135">
                  <c:v>44911</c:v>
                </c:pt>
                <c:pt idx="136">
                  <c:v>44914</c:v>
                </c:pt>
                <c:pt idx="137">
                  <c:v>44915</c:v>
                </c:pt>
                <c:pt idx="138">
                  <c:v>44916</c:v>
                </c:pt>
                <c:pt idx="139">
                  <c:v>44917</c:v>
                </c:pt>
                <c:pt idx="140">
                  <c:v>44918</c:v>
                </c:pt>
                <c:pt idx="141">
                  <c:v>44921</c:v>
                </c:pt>
                <c:pt idx="142">
                  <c:v>44922</c:v>
                </c:pt>
                <c:pt idx="143">
                  <c:v>44923</c:v>
                </c:pt>
                <c:pt idx="144">
                  <c:v>44924</c:v>
                </c:pt>
              </c:numCache>
            </c:numRef>
          </c:cat>
          <c:val>
            <c:numRef>
              <c:f>中国_中债国债到期收益率_1年!$S$3:$S$147</c:f>
              <c:numCache>
                <c:formatCode>0.00_);[Red]\(0.00\)</c:formatCode>
                <c:ptCount val="1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DF-4838-A488-332DDAE4B184}"/>
            </c:ext>
          </c:extLst>
        </c:ser>
        <c:ser>
          <c:idx val="1"/>
          <c:order val="2"/>
          <c:tx>
            <c:strRef>
              <c:f>中国_中债国债到期收益率_1年!$T$1</c:f>
              <c:strCache>
                <c:ptCount val="1"/>
                <c:pt idx="0">
                  <c:v>Long-Term Bond Fund Index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中国_中债国债到期收益率_1年!$J$2:$J$146</c:f>
              <c:numCache>
                <c:formatCode>yyyy\-mm\-dd</c:formatCode>
                <c:ptCount val="145"/>
                <c:pt idx="0">
                  <c:v>44713</c:v>
                </c:pt>
                <c:pt idx="1">
                  <c:v>44714</c:v>
                </c:pt>
                <c:pt idx="2">
                  <c:v>44718</c:v>
                </c:pt>
                <c:pt idx="3">
                  <c:v>44719</c:v>
                </c:pt>
                <c:pt idx="4">
                  <c:v>44720</c:v>
                </c:pt>
                <c:pt idx="5">
                  <c:v>44721</c:v>
                </c:pt>
                <c:pt idx="6">
                  <c:v>44722</c:v>
                </c:pt>
                <c:pt idx="7">
                  <c:v>44725</c:v>
                </c:pt>
                <c:pt idx="8">
                  <c:v>44726</c:v>
                </c:pt>
                <c:pt idx="9">
                  <c:v>44727</c:v>
                </c:pt>
                <c:pt idx="10">
                  <c:v>44728</c:v>
                </c:pt>
                <c:pt idx="11">
                  <c:v>44729</c:v>
                </c:pt>
                <c:pt idx="12">
                  <c:v>44732</c:v>
                </c:pt>
                <c:pt idx="13">
                  <c:v>44733</c:v>
                </c:pt>
                <c:pt idx="14">
                  <c:v>44734</c:v>
                </c:pt>
                <c:pt idx="15">
                  <c:v>44735</c:v>
                </c:pt>
                <c:pt idx="16">
                  <c:v>44736</c:v>
                </c:pt>
                <c:pt idx="17">
                  <c:v>44739</c:v>
                </c:pt>
                <c:pt idx="18">
                  <c:v>44740</c:v>
                </c:pt>
                <c:pt idx="19">
                  <c:v>44741</c:v>
                </c:pt>
                <c:pt idx="20">
                  <c:v>44742</c:v>
                </c:pt>
                <c:pt idx="21">
                  <c:v>44743</c:v>
                </c:pt>
                <c:pt idx="22">
                  <c:v>44746</c:v>
                </c:pt>
                <c:pt idx="23">
                  <c:v>44747</c:v>
                </c:pt>
                <c:pt idx="24">
                  <c:v>44748</c:v>
                </c:pt>
                <c:pt idx="25">
                  <c:v>44749</c:v>
                </c:pt>
                <c:pt idx="26">
                  <c:v>44750</c:v>
                </c:pt>
                <c:pt idx="27">
                  <c:v>44753</c:v>
                </c:pt>
                <c:pt idx="28">
                  <c:v>44754</c:v>
                </c:pt>
                <c:pt idx="29">
                  <c:v>44755</c:v>
                </c:pt>
                <c:pt idx="30">
                  <c:v>44756</c:v>
                </c:pt>
                <c:pt idx="31">
                  <c:v>44757</c:v>
                </c:pt>
                <c:pt idx="32">
                  <c:v>44760</c:v>
                </c:pt>
                <c:pt idx="33">
                  <c:v>44761</c:v>
                </c:pt>
                <c:pt idx="34">
                  <c:v>44762</c:v>
                </c:pt>
                <c:pt idx="35">
                  <c:v>44763</c:v>
                </c:pt>
                <c:pt idx="36">
                  <c:v>44764</c:v>
                </c:pt>
                <c:pt idx="37">
                  <c:v>44767</c:v>
                </c:pt>
                <c:pt idx="38">
                  <c:v>44768</c:v>
                </c:pt>
                <c:pt idx="39">
                  <c:v>44769</c:v>
                </c:pt>
                <c:pt idx="40">
                  <c:v>44770</c:v>
                </c:pt>
                <c:pt idx="41">
                  <c:v>44771</c:v>
                </c:pt>
                <c:pt idx="42">
                  <c:v>44774</c:v>
                </c:pt>
                <c:pt idx="43">
                  <c:v>44775</c:v>
                </c:pt>
                <c:pt idx="44">
                  <c:v>44776</c:v>
                </c:pt>
                <c:pt idx="45">
                  <c:v>44777</c:v>
                </c:pt>
                <c:pt idx="46">
                  <c:v>44778</c:v>
                </c:pt>
                <c:pt idx="47">
                  <c:v>44781</c:v>
                </c:pt>
                <c:pt idx="48">
                  <c:v>44782</c:v>
                </c:pt>
                <c:pt idx="49">
                  <c:v>44783</c:v>
                </c:pt>
                <c:pt idx="50">
                  <c:v>44784</c:v>
                </c:pt>
                <c:pt idx="51">
                  <c:v>44785</c:v>
                </c:pt>
                <c:pt idx="52">
                  <c:v>44788</c:v>
                </c:pt>
                <c:pt idx="53">
                  <c:v>44789</c:v>
                </c:pt>
                <c:pt idx="54">
                  <c:v>44790</c:v>
                </c:pt>
                <c:pt idx="55">
                  <c:v>44791</c:v>
                </c:pt>
                <c:pt idx="56">
                  <c:v>44792</c:v>
                </c:pt>
                <c:pt idx="57">
                  <c:v>44795</c:v>
                </c:pt>
                <c:pt idx="58">
                  <c:v>44796</c:v>
                </c:pt>
                <c:pt idx="59">
                  <c:v>44797</c:v>
                </c:pt>
                <c:pt idx="60">
                  <c:v>44798</c:v>
                </c:pt>
                <c:pt idx="61">
                  <c:v>44799</c:v>
                </c:pt>
                <c:pt idx="62">
                  <c:v>44802</c:v>
                </c:pt>
                <c:pt idx="63">
                  <c:v>44803</c:v>
                </c:pt>
                <c:pt idx="64">
                  <c:v>44804</c:v>
                </c:pt>
                <c:pt idx="65">
                  <c:v>44805</c:v>
                </c:pt>
                <c:pt idx="66">
                  <c:v>44806</c:v>
                </c:pt>
                <c:pt idx="67">
                  <c:v>44809</c:v>
                </c:pt>
                <c:pt idx="68">
                  <c:v>44810</c:v>
                </c:pt>
                <c:pt idx="69">
                  <c:v>44811</c:v>
                </c:pt>
                <c:pt idx="70">
                  <c:v>44812</c:v>
                </c:pt>
                <c:pt idx="71">
                  <c:v>44813</c:v>
                </c:pt>
                <c:pt idx="72">
                  <c:v>44817</c:v>
                </c:pt>
                <c:pt idx="73">
                  <c:v>44818</c:v>
                </c:pt>
                <c:pt idx="74">
                  <c:v>44819</c:v>
                </c:pt>
                <c:pt idx="75">
                  <c:v>44820</c:v>
                </c:pt>
                <c:pt idx="76">
                  <c:v>44823</c:v>
                </c:pt>
                <c:pt idx="77">
                  <c:v>44824</c:v>
                </c:pt>
                <c:pt idx="78">
                  <c:v>44825</c:v>
                </c:pt>
                <c:pt idx="79">
                  <c:v>44826</c:v>
                </c:pt>
                <c:pt idx="80">
                  <c:v>44827</c:v>
                </c:pt>
                <c:pt idx="81">
                  <c:v>44830</c:v>
                </c:pt>
                <c:pt idx="82">
                  <c:v>44831</c:v>
                </c:pt>
                <c:pt idx="83">
                  <c:v>44832</c:v>
                </c:pt>
                <c:pt idx="84">
                  <c:v>44833</c:v>
                </c:pt>
                <c:pt idx="85">
                  <c:v>44834</c:v>
                </c:pt>
                <c:pt idx="86">
                  <c:v>44844</c:v>
                </c:pt>
                <c:pt idx="87">
                  <c:v>44845</c:v>
                </c:pt>
                <c:pt idx="88">
                  <c:v>44846</c:v>
                </c:pt>
                <c:pt idx="89">
                  <c:v>44847</c:v>
                </c:pt>
                <c:pt idx="90">
                  <c:v>44848</c:v>
                </c:pt>
                <c:pt idx="91">
                  <c:v>44851</c:v>
                </c:pt>
                <c:pt idx="92">
                  <c:v>44852</c:v>
                </c:pt>
                <c:pt idx="93">
                  <c:v>44853</c:v>
                </c:pt>
                <c:pt idx="94">
                  <c:v>44854</c:v>
                </c:pt>
                <c:pt idx="95">
                  <c:v>44855</c:v>
                </c:pt>
                <c:pt idx="96">
                  <c:v>44858</c:v>
                </c:pt>
                <c:pt idx="97">
                  <c:v>44859</c:v>
                </c:pt>
                <c:pt idx="98">
                  <c:v>44860</c:v>
                </c:pt>
                <c:pt idx="99">
                  <c:v>44861</c:v>
                </c:pt>
                <c:pt idx="100">
                  <c:v>44862</c:v>
                </c:pt>
                <c:pt idx="101">
                  <c:v>44865</c:v>
                </c:pt>
                <c:pt idx="102">
                  <c:v>44866</c:v>
                </c:pt>
                <c:pt idx="103">
                  <c:v>44867</c:v>
                </c:pt>
                <c:pt idx="104">
                  <c:v>44868</c:v>
                </c:pt>
                <c:pt idx="105">
                  <c:v>44869</c:v>
                </c:pt>
                <c:pt idx="106">
                  <c:v>44872</c:v>
                </c:pt>
                <c:pt idx="107">
                  <c:v>44873</c:v>
                </c:pt>
                <c:pt idx="108">
                  <c:v>44874</c:v>
                </c:pt>
                <c:pt idx="109">
                  <c:v>44875</c:v>
                </c:pt>
                <c:pt idx="110">
                  <c:v>44876</c:v>
                </c:pt>
                <c:pt idx="111">
                  <c:v>44879</c:v>
                </c:pt>
                <c:pt idx="112">
                  <c:v>44880</c:v>
                </c:pt>
                <c:pt idx="113">
                  <c:v>44881</c:v>
                </c:pt>
                <c:pt idx="114">
                  <c:v>44882</c:v>
                </c:pt>
                <c:pt idx="115">
                  <c:v>44883</c:v>
                </c:pt>
                <c:pt idx="116">
                  <c:v>44886</c:v>
                </c:pt>
                <c:pt idx="117">
                  <c:v>44887</c:v>
                </c:pt>
                <c:pt idx="118">
                  <c:v>44888</c:v>
                </c:pt>
                <c:pt idx="119">
                  <c:v>44889</c:v>
                </c:pt>
                <c:pt idx="120">
                  <c:v>44890</c:v>
                </c:pt>
                <c:pt idx="121">
                  <c:v>44893</c:v>
                </c:pt>
                <c:pt idx="122">
                  <c:v>44894</c:v>
                </c:pt>
                <c:pt idx="123">
                  <c:v>44895</c:v>
                </c:pt>
                <c:pt idx="124">
                  <c:v>44896</c:v>
                </c:pt>
                <c:pt idx="125">
                  <c:v>44897</c:v>
                </c:pt>
                <c:pt idx="126">
                  <c:v>44900</c:v>
                </c:pt>
                <c:pt idx="127">
                  <c:v>44901</c:v>
                </c:pt>
                <c:pt idx="128">
                  <c:v>44902</c:v>
                </c:pt>
                <c:pt idx="129">
                  <c:v>44903</c:v>
                </c:pt>
                <c:pt idx="130">
                  <c:v>44904</c:v>
                </c:pt>
                <c:pt idx="131">
                  <c:v>44907</c:v>
                </c:pt>
                <c:pt idx="132">
                  <c:v>44908</c:v>
                </c:pt>
                <c:pt idx="133">
                  <c:v>44909</c:v>
                </c:pt>
                <c:pt idx="134">
                  <c:v>44910</c:v>
                </c:pt>
                <c:pt idx="135">
                  <c:v>44911</c:v>
                </c:pt>
                <c:pt idx="136">
                  <c:v>44914</c:v>
                </c:pt>
                <c:pt idx="137">
                  <c:v>44915</c:v>
                </c:pt>
                <c:pt idx="138">
                  <c:v>44916</c:v>
                </c:pt>
                <c:pt idx="139">
                  <c:v>44917</c:v>
                </c:pt>
                <c:pt idx="140">
                  <c:v>44918</c:v>
                </c:pt>
                <c:pt idx="141">
                  <c:v>44921</c:v>
                </c:pt>
                <c:pt idx="142">
                  <c:v>44922</c:v>
                </c:pt>
                <c:pt idx="143">
                  <c:v>44923</c:v>
                </c:pt>
                <c:pt idx="144">
                  <c:v>44924</c:v>
                </c:pt>
              </c:numCache>
            </c:numRef>
          </c:cat>
          <c:val>
            <c:numRef>
              <c:f>中国_中债国债到期收益率_1年!$T$3:$T$147</c:f>
              <c:numCache>
                <c:formatCode>0.00_);[Red]\(0.00\)</c:formatCode>
                <c:ptCount val="145"/>
                <c:pt idx="0">
                  <c:v>0.99964548931396346</c:v>
                </c:pt>
                <c:pt idx="1">
                  <c:v>0.99923173354896566</c:v>
                </c:pt>
                <c:pt idx="2">
                  <c:v>0.9991542961298524</c:v>
                </c:pt>
                <c:pt idx="3">
                  <c:v>0.99921153437992372</c:v>
                </c:pt>
                <c:pt idx="4">
                  <c:v>0.99944537357228858</c:v>
                </c:pt>
                <c:pt idx="5">
                  <c:v>0.99968771997407702</c:v>
                </c:pt>
                <c:pt idx="6">
                  <c:v>0.99978971923373161</c:v>
                </c:pt>
                <c:pt idx="7">
                  <c:v>0.99979992788504013</c:v>
                </c:pt>
                <c:pt idx="8">
                  <c:v>0.99982200300282686</c:v>
                </c:pt>
                <c:pt idx="9">
                  <c:v>1.0000391331633491</c:v>
                </c:pt>
                <c:pt idx="10">
                  <c:v>1.0004710376417842</c:v>
                </c:pt>
                <c:pt idx="11">
                  <c:v>1.0004892736086515</c:v>
                </c:pt>
                <c:pt idx="12">
                  <c:v>1.0005298464535952</c:v>
                </c:pt>
                <c:pt idx="13">
                  <c:v>1.0006962387445804</c:v>
                </c:pt>
                <c:pt idx="14">
                  <c:v>1.0008851860472168</c:v>
                </c:pt>
                <c:pt idx="15">
                  <c:v>1.0010712103599488</c:v>
                </c:pt>
                <c:pt idx="16">
                  <c:v>1.0007516446726219</c:v>
                </c:pt>
                <c:pt idx="17">
                  <c:v>1.0006639549754852</c:v>
                </c:pt>
                <c:pt idx="18">
                  <c:v>1.0007854553767419</c:v>
                </c:pt>
                <c:pt idx="19">
                  <c:v>1.0011134410200624</c:v>
                </c:pt>
                <c:pt idx="20">
                  <c:v>1.0013656470594396</c:v>
                </c:pt>
                <c:pt idx="21">
                  <c:v>1.001069683424924</c:v>
                </c:pt>
                <c:pt idx="22">
                  <c:v>1.0009614019183104</c:v>
                </c:pt>
                <c:pt idx="23">
                  <c:v>1.0011140081673573</c:v>
                </c:pt>
                <c:pt idx="24">
                  <c:v>1.0012523484806015</c:v>
                </c:pt>
                <c:pt idx="25">
                  <c:v>1.0014689114938289</c:v>
                </c:pt>
                <c:pt idx="26">
                  <c:v>1.0018721968472282</c:v>
                </c:pt>
                <c:pt idx="27">
                  <c:v>1.0022548903911506</c:v>
                </c:pt>
                <c:pt idx="28">
                  <c:v>1.0025349739014084</c:v>
                </c:pt>
                <c:pt idx="29">
                  <c:v>1.0028590767670946</c:v>
                </c:pt>
                <c:pt idx="30">
                  <c:v>1.0034471212584912</c:v>
                </c:pt>
                <c:pt idx="31">
                  <c:v>1.0038434699642065</c:v>
                </c:pt>
                <c:pt idx="32">
                  <c:v>1.0039603459336739</c:v>
                </c:pt>
                <c:pt idx="33">
                  <c:v>1.0042802606347208</c:v>
                </c:pt>
                <c:pt idx="34">
                  <c:v>1.0046655281548278</c:v>
                </c:pt>
                <c:pt idx="35">
                  <c:v>1.0048880244012943</c:v>
                </c:pt>
                <c:pt idx="36">
                  <c:v>1.0052239064800286</c:v>
                </c:pt>
                <c:pt idx="37">
                  <c:v>1.0056515791671092</c:v>
                </c:pt>
                <c:pt idx="38">
                  <c:v>1.005834156969357</c:v>
                </c:pt>
                <c:pt idx="39">
                  <c:v>1.005673043510886</c:v>
                </c:pt>
                <c:pt idx="40">
                  <c:v>1.0065181366070239</c:v>
                </c:pt>
                <c:pt idx="41">
                  <c:v>1.0072339201199212</c:v>
                </c:pt>
                <c:pt idx="42">
                  <c:v>1.0076434877202793</c:v>
                </c:pt>
                <c:pt idx="43">
                  <c:v>1.0080114790612493</c:v>
                </c:pt>
                <c:pt idx="44">
                  <c:v>1.0084151134283683</c:v>
                </c:pt>
                <c:pt idx="45">
                  <c:v>1.0086795785746585</c:v>
                </c:pt>
                <c:pt idx="46">
                  <c:v>1.0087177519502779</c:v>
                </c:pt>
                <c:pt idx="47">
                  <c:v>1.0083211414842725</c:v>
                </c:pt>
                <c:pt idx="48">
                  <c:v>1.0082551778912026</c:v>
                </c:pt>
                <c:pt idx="49">
                  <c:v>1.008066099708421</c:v>
                </c:pt>
                <c:pt idx="50">
                  <c:v>1.0080437628303442</c:v>
                </c:pt>
                <c:pt idx="51">
                  <c:v>1.0092852482589125</c:v>
                </c:pt>
                <c:pt idx="52">
                  <c:v>1.009819850024442</c:v>
                </c:pt>
                <c:pt idx="53">
                  <c:v>1.0098407472209237</c:v>
                </c:pt>
                <c:pt idx="54">
                  <c:v>1.0101694745183993</c:v>
                </c:pt>
                <c:pt idx="55">
                  <c:v>1.0105712329367738</c:v>
                </c:pt>
                <c:pt idx="56">
                  <c:v>1.0105892943967811</c:v>
                </c:pt>
                <c:pt idx="57">
                  <c:v>1.0103821983807073</c:v>
                </c:pt>
                <c:pt idx="58">
                  <c:v>1.0103154495067672</c:v>
                </c:pt>
                <c:pt idx="59">
                  <c:v>1.0098989016320099</c:v>
                </c:pt>
                <c:pt idx="60">
                  <c:v>1.0096821204852076</c:v>
                </c:pt>
                <c:pt idx="61">
                  <c:v>1.0100246774513362</c:v>
                </c:pt>
                <c:pt idx="62">
                  <c:v>1.0102967772727502</c:v>
                </c:pt>
                <c:pt idx="63">
                  <c:v>1.0104629950568751</c:v>
                </c:pt>
                <c:pt idx="64">
                  <c:v>1.0107083517019981</c:v>
                </c:pt>
                <c:pt idx="65">
                  <c:v>1.0111102846272326</c:v>
                </c:pt>
                <c:pt idx="66">
                  <c:v>1.0114899679278204</c:v>
                </c:pt>
                <c:pt idx="67">
                  <c:v>1.0116922650052451</c:v>
                </c:pt>
                <c:pt idx="68">
                  <c:v>1.0117486307210166</c:v>
                </c:pt>
                <c:pt idx="69">
                  <c:v>1.0117695715442134</c:v>
                </c:pt>
                <c:pt idx="70">
                  <c:v>1.0118418173842425</c:v>
                </c:pt>
                <c:pt idx="71">
                  <c:v>1.0119555522302304</c:v>
                </c:pt>
                <c:pt idx="72">
                  <c:v>1.0118616239128495</c:v>
                </c:pt>
                <c:pt idx="73">
                  <c:v>1.0119374471435081</c:v>
                </c:pt>
                <c:pt idx="74">
                  <c:v>1.0118850078320862</c:v>
                </c:pt>
                <c:pt idx="75">
                  <c:v>1.0119349604207535</c:v>
                </c:pt>
                <c:pt idx="76">
                  <c:v>1.012078666819942</c:v>
                </c:pt>
                <c:pt idx="77">
                  <c:v>1.0123371551062781</c:v>
                </c:pt>
                <c:pt idx="78">
                  <c:v>1.0124792473170117</c:v>
                </c:pt>
                <c:pt idx="79">
                  <c:v>1.0124857040708306</c:v>
                </c:pt>
                <c:pt idx="80">
                  <c:v>1.0120962483860843</c:v>
                </c:pt>
                <c:pt idx="81">
                  <c:v>1.0119364437290632</c:v>
                </c:pt>
                <c:pt idx="82">
                  <c:v>1.0116447555126171</c:v>
                </c:pt>
                <c:pt idx="83">
                  <c:v>1.0115048882643483</c:v>
                </c:pt>
                <c:pt idx="84">
                  <c:v>1.0112708309384086</c:v>
                </c:pt>
                <c:pt idx="85">
                  <c:v>1.0122627715572141</c:v>
                </c:pt>
                <c:pt idx="86">
                  <c:v>1.0122913906822499</c:v>
                </c:pt>
                <c:pt idx="87">
                  <c:v>1.0123936080754794</c:v>
                </c:pt>
                <c:pt idx="88">
                  <c:v>1.0125426369338972</c:v>
                </c:pt>
                <c:pt idx="89">
                  <c:v>1.0131981719533885</c:v>
                </c:pt>
                <c:pt idx="90">
                  <c:v>1.013427735727684</c:v>
                </c:pt>
                <c:pt idx="91">
                  <c:v>1.0135192209490251</c:v>
                </c:pt>
                <c:pt idx="92">
                  <c:v>1.0137109603614212</c:v>
                </c:pt>
                <c:pt idx="93">
                  <c:v>1.013678981979331</c:v>
                </c:pt>
                <c:pt idx="94">
                  <c:v>1.013733166359353</c:v>
                </c:pt>
                <c:pt idx="95">
                  <c:v>1.0138802756423109</c:v>
                </c:pt>
                <c:pt idx="96">
                  <c:v>1.0136494466932804</c:v>
                </c:pt>
                <c:pt idx="97">
                  <c:v>1.0138126542340709</c:v>
                </c:pt>
                <c:pt idx="98">
                  <c:v>1.0139761235351512</c:v>
                </c:pt>
                <c:pt idx="99">
                  <c:v>1.014317328073115</c:v>
                </c:pt>
                <c:pt idx="100">
                  <c:v>1.0146013379877221</c:v>
                </c:pt>
                <c:pt idx="101">
                  <c:v>1.0144252605660087</c:v>
                </c:pt>
                <c:pt idx="102">
                  <c:v>1.0142358333695072</c:v>
                </c:pt>
                <c:pt idx="103">
                  <c:v>1.0142470018085457</c:v>
                </c:pt>
                <c:pt idx="104">
                  <c:v>1.0139704956889173</c:v>
                </c:pt>
                <c:pt idx="105">
                  <c:v>1.0139682270997374</c:v>
                </c:pt>
                <c:pt idx="106">
                  <c:v>1.0139420074440264</c:v>
                </c:pt>
                <c:pt idx="107">
                  <c:v>1.0136767133901514</c:v>
                </c:pt>
                <c:pt idx="108">
                  <c:v>1.0132817607393159</c:v>
                </c:pt>
                <c:pt idx="109">
                  <c:v>1.0123854062530608</c:v>
                </c:pt>
                <c:pt idx="110">
                  <c:v>1.0100096262346634</c:v>
                </c:pt>
                <c:pt idx="111">
                  <c:v>1.0092574580414615</c:v>
                </c:pt>
                <c:pt idx="112">
                  <c:v>1.0081266535888318</c:v>
                </c:pt>
                <c:pt idx="113">
                  <c:v>1.0082481539900885</c:v>
                </c:pt>
                <c:pt idx="114">
                  <c:v>1.0078717863198401</c:v>
                </c:pt>
                <c:pt idx="115">
                  <c:v>1.008397444608796</c:v>
                </c:pt>
                <c:pt idx="116">
                  <c:v>1.0084619248935562</c:v>
                </c:pt>
                <c:pt idx="117">
                  <c:v>1.009001325597735</c:v>
                </c:pt>
                <c:pt idx="118">
                  <c:v>1.0097354759576445</c:v>
                </c:pt>
                <c:pt idx="119">
                  <c:v>1.0097846432654423</c:v>
                </c:pt>
                <c:pt idx="120">
                  <c:v>1.009573315458014</c:v>
                </c:pt>
                <c:pt idx="121">
                  <c:v>1.0084494476530681</c:v>
                </c:pt>
                <c:pt idx="122">
                  <c:v>1.0081802708215588</c:v>
                </c:pt>
                <c:pt idx="123">
                  <c:v>1.0081280496437115</c:v>
                </c:pt>
                <c:pt idx="124">
                  <c:v>1.0079814202546187</c:v>
                </c:pt>
                <c:pt idx="125">
                  <c:v>1.0078369285745603</c:v>
                </c:pt>
                <c:pt idx="126">
                  <c:v>1.00697564996716</c:v>
                </c:pt>
                <c:pt idx="127">
                  <c:v>1.006371463591216</c:v>
                </c:pt>
                <c:pt idx="128">
                  <c:v>1.0061373190118463</c:v>
                </c:pt>
                <c:pt idx="129">
                  <c:v>1.0054521178261595</c:v>
                </c:pt>
                <c:pt idx="130">
                  <c:v>1.004962451577073</c:v>
                </c:pt>
                <c:pt idx="131">
                  <c:v>1.003661110295534</c:v>
                </c:pt>
                <c:pt idx="132">
                  <c:v>1.0042611957602687</c:v>
                </c:pt>
                <c:pt idx="133">
                  <c:v>1.0045345171297024</c:v>
                </c:pt>
                <c:pt idx="134">
                  <c:v>1.0044198224959848</c:v>
                </c:pt>
                <c:pt idx="135">
                  <c:v>1.0050921101740335</c:v>
                </c:pt>
                <c:pt idx="136">
                  <c:v>1.0052008715745122</c:v>
                </c:pt>
                <c:pt idx="137">
                  <c:v>1.0054273378520431</c:v>
                </c:pt>
                <c:pt idx="138">
                  <c:v>1.005900076935712</c:v>
                </c:pt>
                <c:pt idx="139">
                  <c:v>1.0069718544429556</c:v>
                </c:pt>
                <c:pt idx="140">
                  <c:v>1.0072230570678877</c:v>
                </c:pt>
                <c:pt idx="141">
                  <c:v>1.0071278635757723</c:v>
                </c:pt>
                <c:pt idx="142">
                  <c:v>1.007348222113204</c:v>
                </c:pt>
                <c:pt idx="143">
                  <c:v>1.0079449046941691</c:v>
                </c:pt>
                <c:pt idx="144">
                  <c:v>1.0085685485850002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DF-4838-A488-332DDAE4B184}"/>
            </c:ext>
          </c:extLst>
        </c:ser>
        <c:ser>
          <c:idx val="2"/>
          <c:order val="3"/>
          <c:tx>
            <c:strRef>
              <c:f>中国_中债国债到期收益率_1年!$U$1</c:f>
              <c:strCache>
                <c:ptCount val="1"/>
                <c:pt idx="0">
                  <c:v>Compound Bond Fund Index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中国_中债国债到期收益率_1年!$J$2:$J$146</c:f>
              <c:numCache>
                <c:formatCode>yyyy\-mm\-dd</c:formatCode>
                <c:ptCount val="145"/>
                <c:pt idx="0">
                  <c:v>44713</c:v>
                </c:pt>
                <c:pt idx="1">
                  <c:v>44714</c:v>
                </c:pt>
                <c:pt idx="2">
                  <c:v>44718</c:v>
                </c:pt>
                <c:pt idx="3">
                  <c:v>44719</c:v>
                </c:pt>
                <c:pt idx="4">
                  <c:v>44720</c:v>
                </c:pt>
                <c:pt idx="5">
                  <c:v>44721</c:v>
                </c:pt>
                <c:pt idx="6">
                  <c:v>44722</c:v>
                </c:pt>
                <c:pt idx="7">
                  <c:v>44725</c:v>
                </c:pt>
                <c:pt idx="8">
                  <c:v>44726</c:v>
                </c:pt>
                <c:pt idx="9">
                  <c:v>44727</c:v>
                </c:pt>
                <c:pt idx="10">
                  <c:v>44728</c:v>
                </c:pt>
                <c:pt idx="11">
                  <c:v>44729</c:v>
                </c:pt>
                <c:pt idx="12">
                  <c:v>44732</c:v>
                </c:pt>
                <c:pt idx="13">
                  <c:v>44733</c:v>
                </c:pt>
                <c:pt idx="14">
                  <c:v>44734</c:v>
                </c:pt>
                <c:pt idx="15">
                  <c:v>44735</c:v>
                </c:pt>
                <c:pt idx="16">
                  <c:v>44736</c:v>
                </c:pt>
                <c:pt idx="17">
                  <c:v>44739</c:v>
                </c:pt>
                <c:pt idx="18">
                  <c:v>44740</c:v>
                </c:pt>
                <c:pt idx="19">
                  <c:v>44741</c:v>
                </c:pt>
                <c:pt idx="20">
                  <c:v>44742</c:v>
                </c:pt>
                <c:pt idx="21">
                  <c:v>44743</c:v>
                </c:pt>
                <c:pt idx="22">
                  <c:v>44746</c:v>
                </c:pt>
                <c:pt idx="23">
                  <c:v>44747</c:v>
                </c:pt>
                <c:pt idx="24">
                  <c:v>44748</c:v>
                </c:pt>
                <c:pt idx="25">
                  <c:v>44749</c:v>
                </c:pt>
                <c:pt idx="26">
                  <c:v>44750</c:v>
                </c:pt>
                <c:pt idx="27">
                  <c:v>44753</c:v>
                </c:pt>
                <c:pt idx="28">
                  <c:v>44754</c:v>
                </c:pt>
                <c:pt idx="29">
                  <c:v>44755</c:v>
                </c:pt>
                <c:pt idx="30">
                  <c:v>44756</c:v>
                </c:pt>
                <c:pt idx="31">
                  <c:v>44757</c:v>
                </c:pt>
                <c:pt idx="32">
                  <c:v>44760</c:v>
                </c:pt>
                <c:pt idx="33">
                  <c:v>44761</c:v>
                </c:pt>
                <c:pt idx="34">
                  <c:v>44762</c:v>
                </c:pt>
                <c:pt idx="35">
                  <c:v>44763</c:v>
                </c:pt>
                <c:pt idx="36">
                  <c:v>44764</c:v>
                </c:pt>
                <c:pt idx="37">
                  <c:v>44767</c:v>
                </c:pt>
                <c:pt idx="38">
                  <c:v>44768</c:v>
                </c:pt>
                <c:pt idx="39">
                  <c:v>44769</c:v>
                </c:pt>
                <c:pt idx="40">
                  <c:v>44770</c:v>
                </c:pt>
                <c:pt idx="41">
                  <c:v>44771</c:v>
                </c:pt>
                <c:pt idx="42">
                  <c:v>44774</c:v>
                </c:pt>
                <c:pt idx="43">
                  <c:v>44775</c:v>
                </c:pt>
                <c:pt idx="44">
                  <c:v>44776</c:v>
                </c:pt>
                <c:pt idx="45">
                  <c:v>44777</c:v>
                </c:pt>
                <c:pt idx="46">
                  <c:v>44778</c:v>
                </c:pt>
                <c:pt idx="47">
                  <c:v>44781</c:v>
                </c:pt>
                <c:pt idx="48">
                  <c:v>44782</c:v>
                </c:pt>
                <c:pt idx="49">
                  <c:v>44783</c:v>
                </c:pt>
                <c:pt idx="50">
                  <c:v>44784</c:v>
                </c:pt>
                <c:pt idx="51">
                  <c:v>44785</c:v>
                </c:pt>
                <c:pt idx="52">
                  <c:v>44788</c:v>
                </c:pt>
                <c:pt idx="53">
                  <c:v>44789</c:v>
                </c:pt>
                <c:pt idx="54">
                  <c:v>44790</c:v>
                </c:pt>
                <c:pt idx="55">
                  <c:v>44791</c:v>
                </c:pt>
                <c:pt idx="56">
                  <c:v>44792</c:v>
                </c:pt>
                <c:pt idx="57">
                  <c:v>44795</c:v>
                </c:pt>
                <c:pt idx="58">
                  <c:v>44796</c:v>
                </c:pt>
                <c:pt idx="59">
                  <c:v>44797</c:v>
                </c:pt>
                <c:pt idx="60">
                  <c:v>44798</c:v>
                </c:pt>
                <c:pt idx="61">
                  <c:v>44799</c:v>
                </c:pt>
                <c:pt idx="62">
                  <c:v>44802</c:v>
                </c:pt>
                <c:pt idx="63">
                  <c:v>44803</c:v>
                </c:pt>
                <c:pt idx="64">
                  <c:v>44804</c:v>
                </c:pt>
                <c:pt idx="65">
                  <c:v>44805</c:v>
                </c:pt>
                <c:pt idx="66">
                  <c:v>44806</c:v>
                </c:pt>
                <c:pt idx="67">
                  <c:v>44809</c:v>
                </c:pt>
                <c:pt idx="68">
                  <c:v>44810</c:v>
                </c:pt>
                <c:pt idx="69">
                  <c:v>44811</c:v>
                </c:pt>
                <c:pt idx="70">
                  <c:v>44812</c:v>
                </c:pt>
                <c:pt idx="71">
                  <c:v>44813</c:v>
                </c:pt>
                <c:pt idx="72">
                  <c:v>44817</c:v>
                </c:pt>
                <c:pt idx="73">
                  <c:v>44818</c:v>
                </c:pt>
                <c:pt idx="74">
                  <c:v>44819</c:v>
                </c:pt>
                <c:pt idx="75">
                  <c:v>44820</c:v>
                </c:pt>
                <c:pt idx="76">
                  <c:v>44823</c:v>
                </c:pt>
                <c:pt idx="77">
                  <c:v>44824</c:v>
                </c:pt>
                <c:pt idx="78">
                  <c:v>44825</c:v>
                </c:pt>
                <c:pt idx="79">
                  <c:v>44826</c:v>
                </c:pt>
                <c:pt idx="80">
                  <c:v>44827</c:v>
                </c:pt>
                <c:pt idx="81">
                  <c:v>44830</c:v>
                </c:pt>
                <c:pt idx="82">
                  <c:v>44831</c:v>
                </c:pt>
                <c:pt idx="83">
                  <c:v>44832</c:v>
                </c:pt>
                <c:pt idx="84">
                  <c:v>44833</c:v>
                </c:pt>
                <c:pt idx="85">
                  <c:v>44834</c:v>
                </c:pt>
                <c:pt idx="86">
                  <c:v>44844</c:v>
                </c:pt>
                <c:pt idx="87">
                  <c:v>44845</c:v>
                </c:pt>
                <c:pt idx="88">
                  <c:v>44846</c:v>
                </c:pt>
                <c:pt idx="89">
                  <c:v>44847</c:v>
                </c:pt>
                <c:pt idx="90">
                  <c:v>44848</c:v>
                </c:pt>
                <c:pt idx="91">
                  <c:v>44851</c:v>
                </c:pt>
                <c:pt idx="92">
                  <c:v>44852</c:v>
                </c:pt>
                <c:pt idx="93">
                  <c:v>44853</c:v>
                </c:pt>
                <c:pt idx="94">
                  <c:v>44854</c:v>
                </c:pt>
                <c:pt idx="95">
                  <c:v>44855</c:v>
                </c:pt>
                <c:pt idx="96">
                  <c:v>44858</c:v>
                </c:pt>
                <c:pt idx="97">
                  <c:v>44859</c:v>
                </c:pt>
                <c:pt idx="98">
                  <c:v>44860</c:v>
                </c:pt>
                <c:pt idx="99">
                  <c:v>44861</c:v>
                </c:pt>
                <c:pt idx="100">
                  <c:v>44862</c:v>
                </c:pt>
                <c:pt idx="101">
                  <c:v>44865</c:v>
                </c:pt>
                <c:pt idx="102">
                  <c:v>44866</c:v>
                </c:pt>
                <c:pt idx="103">
                  <c:v>44867</c:v>
                </c:pt>
                <c:pt idx="104">
                  <c:v>44868</c:v>
                </c:pt>
                <c:pt idx="105">
                  <c:v>44869</c:v>
                </c:pt>
                <c:pt idx="106">
                  <c:v>44872</c:v>
                </c:pt>
                <c:pt idx="107">
                  <c:v>44873</c:v>
                </c:pt>
                <c:pt idx="108">
                  <c:v>44874</c:v>
                </c:pt>
                <c:pt idx="109">
                  <c:v>44875</c:v>
                </c:pt>
                <c:pt idx="110">
                  <c:v>44876</c:v>
                </c:pt>
                <c:pt idx="111">
                  <c:v>44879</c:v>
                </c:pt>
                <c:pt idx="112">
                  <c:v>44880</c:v>
                </c:pt>
                <c:pt idx="113">
                  <c:v>44881</c:v>
                </c:pt>
                <c:pt idx="114">
                  <c:v>44882</c:v>
                </c:pt>
                <c:pt idx="115">
                  <c:v>44883</c:v>
                </c:pt>
                <c:pt idx="116">
                  <c:v>44886</c:v>
                </c:pt>
                <c:pt idx="117">
                  <c:v>44887</c:v>
                </c:pt>
                <c:pt idx="118">
                  <c:v>44888</c:v>
                </c:pt>
                <c:pt idx="119">
                  <c:v>44889</c:v>
                </c:pt>
                <c:pt idx="120">
                  <c:v>44890</c:v>
                </c:pt>
                <c:pt idx="121">
                  <c:v>44893</c:v>
                </c:pt>
                <c:pt idx="122">
                  <c:v>44894</c:v>
                </c:pt>
                <c:pt idx="123">
                  <c:v>44895</c:v>
                </c:pt>
                <c:pt idx="124">
                  <c:v>44896</c:v>
                </c:pt>
                <c:pt idx="125">
                  <c:v>44897</c:v>
                </c:pt>
                <c:pt idx="126">
                  <c:v>44900</c:v>
                </c:pt>
                <c:pt idx="127">
                  <c:v>44901</c:v>
                </c:pt>
                <c:pt idx="128">
                  <c:v>44902</c:v>
                </c:pt>
                <c:pt idx="129">
                  <c:v>44903</c:v>
                </c:pt>
                <c:pt idx="130">
                  <c:v>44904</c:v>
                </c:pt>
                <c:pt idx="131">
                  <c:v>44907</c:v>
                </c:pt>
                <c:pt idx="132">
                  <c:v>44908</c:v>
                </c:pt>
                <c:pt idx="133">
                  <c:v>44909</c:v>
                </c:pt>
                <c:pt idx="134">
                  <c:v>44910</c:v>
                </c:pt>
                <c:pt idx="135">
                  <c:v>44911</c:v>
                </c:pt>
                <c:pt idx="136">
                  <c:v>44914</c:v>
                </c:pt>
                <c:pt idx="137">
                  <c:v>44915</c:v>
                </c:pt>
                <c:pt idx="138">
                  <c:v>44916</c:v>
                </c:pt>
                <c:pt idx="139">
                  <c:v>44917</c:v>
                </c:pt>
                <c:pt idx="140">
                  <c:v>44918</c:v>
                </c:pt>
                <c:pt idx="141">
                  <c:v>44921</c:v>
                </c:pt>
                <c:pt idx="142">
                  <c:v>44922</c:v>
                </c:pt>
                <c:pt idx="143">
                  <c:v>44923</c:v>
                </c:pt>
                <c:pt idx="144">
                  <c:v>44924</c:v>
                </c:pt>
              </c:numCache>
            </c:numRef>
          </c:cat>
          <c:val>
            <c:numRef>
              <c:f>中国_中债国债到期收益率_1年!$U$3:$U$147</c:f>
              <c:numCache>
                <c:formatCode>0.00_);[Red]\(0.00\)</c:formatCode>
                <c:ptCount val="145"/>
                <c:pt idx="0">
                  <c:v>1.0000436083280642</c:v>
                </c:pt>
                <c:pt idx="1">
                  <c:v>1.0007096715159292</c:v>
                </c:pt>
                <c:pt idx="2">
                  <c:v>1.0006106582933953</c:v>
                </c:pt>
                <c:pt idx="3">
                  <c:v>1.0009060684052773</c:v>
                </c:pt>
                <c:pt idx="4">
                  <c:v>1.0006196208498537</c:v>
                </c:pt>
                <c:pt idx="5">
                  <c:v>1.0017901732334633</c:v>
                </c:pt>
                <c:pt idx="6">
                  <c:v>1.0016368178701898</c:v>
                </c:pt>
                <c:pt idx="7">
                  <c:v>1.0017116357327986</c:v>
                </c:pt>
                <c:pt idx="8">
                  <c:v>1.0021467271099584</c:v>
                </c:pt>
                <c:pt idx="9">
                  <c:v>1.0030085141098093</c:v>
                </c:pt>
                <c:pt idx="10">
                  <c:v>1.0040500836156923</c:v>
                </c:pt>
                <c:pt idx="11">
                  <c:v>1.0041996839157854</c:v>
                </c:pt>
                <c:pt idx="12">
                  <c:v>1.0038782717626369</c:v>
                </c:pt>
                <c:pt idx="13">
                  <c:v>1.0035399264000531</c:v>
                </c:pt>
                <c:pt idx="14">
                  <c:v>1.0049862633766597</c:v>
                </c:pt>
                <c:pt idx="15">
                  <c:v>1.0058735564660364</c:v>
                </c:pt>
                <c:pt idx="16">
                  <c:v>1.0063917906100253</c:v>
                </c:pt>
                <c:pt idx="17">
                  <c:v>1.0069329448094628</c:v>
                </c:pt>
                <c:pt idx="18">
                  <c:v>1.0059840828539812</c:v>
                </c:pt>
                <c:pt idx="19">
                  <c:v>1.0071291645731892</c:v>
                </c:pt>
                <c:pt idx="20">
                  <c:v>1.0072648427994166</c:v>
                </c:pt>
                <c:pt idx="21">
                  <c:v>1.0075323379133176</c:v>
                </c:pt>
                <c:pt idx="22">
                  <c:v>1.0072070998467402</c:v>
                </c:pt>
                <c:pt idx="23">
                  <c:v>1.0065383797745495</c:v>
                </c:pt>
                <c:pt idx="24">
                  <c:v>1.0071959409325728</c:v>
                </c:pt>
                <c:pt idx="25">
                  <c:v>1.0071579297741544</c:v>
                </c:pt>
                <c:pt idx="26">
                  <c:v>1.0067475651337849</c:v>
                </c:pt>
                <c:pt idx="27">
                  <c:v>1.0065867350692754</c:v>
                </c:pt>
                <c:pt idx="28">
                  <c:v>1.0070897009846731</c:v>
                </c:pt>
                <c:pt idx="29">
                  <c:v>1.0078769889480343</c:v>
                </c:pt>
                <c:pt idx="30">
                  <c:v>1.0079581124827759</c:v>
                </c:pt>
                <c:pt idx="31">
                  <c:v>1.0090519340470621</c:v>
                </c:pt>
                <c:pt idx="32">
                  <c:v>1.0091710333150976</c:v>
                </c:pt>
                <c:pt idx="33">
                  <c:v>1.0099454265331984</c:v>
                </c:pt>
                <c:pt idx="34">
                  <c:v>1.0098674558345231</c:v>
                </c:pt>
                <c:pt idx="35">
                  <c:v>1.0097953657064886</c:v>
                </c:pt>
                <c:pt idx="36">
                  <c:v>1.0096118281372763</c:v>
                </c:pt>
                <c:pt idx="37">
                  <c:v>1.0106928612316755</c:v>
                </c:pt>
                <c:pt idx="38">
                  <c:v>1.0112008575147298</c:v>
                </c:pt>
                <c:pt idx="39">
                  <c:v>1.0112701490579414</c:v>
                </c:pt>
                <c:pt idx="40">
                  <c:v>1.0117759489832865</c:v>
                </c:pt>
                <c:pt idx="41">
                  <c:v>1.0129123515470311</c:v>
                </c:pt>
                <c:pt idx="42">
                  <c:v>1.0124382925330959</c:v>
                </c:pt>
                <c:pt idx="43">
                  <c:v>1.0121692387137236</c:v>
                </c:pt>
                <c:pt idx="44">
                  <c:v>1.0126948767086998</c:v>
                </c:pt>
                <c:pt idx="45">
                  <c:v>1.0133365319858938</c:v>
                </c:pt>
                <c:pt idx="46">
                  <c:v>1.0138735414457836</c:v>
                </c:pt>
                <c:pt idx="47">
                  <c:v>1.0137738905710114</c:v>
                </c:pt>
                <c:pt idx="48">
                  <c:v>1.0134783741837563</c:v>
                </c:pt>
                <c:pt idx="49">
                  <c:v>1.0140121953824555</c:v>
                </c:pt>
                <c:pt idx="50">
                  <c:v>1.0138413400077573</c:v>
                </c:pt>
                <c:pt idx="51">
                  <c:v>1.0154041193680738</c:v>
                </c:pt>
                <c:pt idx="52">
                  <c:v>1.0161672119715097</c:v>
                </c:pt>
                <c:pt idx="53">
                  <c:v>1.0164474955552982</c:v>
                </c:pt>
                <c:pt idx="54">
                  <c:v>1.0163391655250624</c:v>
                </c:pt>
                <c:pt idx="55">
                  <c:v>1.0157603544184499</c:v>
                </c:pt>
                <c:pt idx="56">
                  <c:v>1.0162850005099446</c:v>
                </c:pt>
                <c:pt idx="57">
                  <c:v>1.01613734859169</c:v>
                </c:pt>
                <c:pt idx="58">
                  <c:v>1.0143376459997788</c:v>
                </c:pt>
                <c:pt idx="59">
                  <c:v>1.0138377974953232</c:v>
                </c:pt>
                <c:pt idx="60">
                  <c:v>1.0133583892876123</c:v>
                </c:pt>
                <c:pt idx="61">
                  <c:v>1.0135061829063643</c:v>
                </c:pt>
                <c:pt idx="62">
                  <c:v>1.0133792192607249</c:v>
                </c:pt>
                <c:pt idx="63">
                  <c:v>1.0123739959324163</c:v>
                </c:pt>
                <c:pt idx="64">
                  <c:v>1.0123983329928388</c:v>
                </c:pt>
                <c:pt idx="65">
                  <c:v>1.0129112179430522</c:v>
                </c:pt>
                <c:pt idx="66">
                  <c:v>1.0135766080535549</c:v>
                </c:pt>
                <c:pt idx="67">
                  <c:v>1.014777023816984</c:v>
                </c:pt>
                <c:pt idx="68">
                  <c:v>1.0152094937349427</c:v>
                </c:pt>
                <c:pt idx="69">
                  <c:v>1.0147186432120696</c:v>
                </c:pt>
                <c:pt idx="70">
                  <c:v>1.0149584713038602</c:v>
                </c:pt>
                <c:pt idx="71">
                  <c:v>1.0151420088730725</c:v>
                </c:pt>
                <c:pt idx="72">
                  <c:v>1.014549381967967</c:v>
                </c:pt>
                <c:pt idx="73">
                  <c:v>1.0135229035650533</c:v>
                </c:pt>
                <c:pt idx="74">
                  <c:v>1.0123618805398915</c:v>
                </c:pt>
                <c:pt idx="75">
                  <c:v>1.0121650585490511</c:v>
                </c:pt>
                <c:pt idx="76">
                  <c:v>1.0127051499947588</c:v>
                </c:pt>
                <c:pt idx="77">
                  <c:v>1.0129046997201732</c:v>
                </c:pt>
                <c:pt idx="78">
                  <c:v>1.0128941076079951</c:v>
                </c:pt>
                <c:pt idx="79">
                  <c:v>1.0122162832788488</c:v>
                </c:pt>
                <c:pt idx="80">
                  <c:v>1.0115779579633428</c:v>
                </c:pt>
                <c:pt idx="81">
                  <c:v>1.0121890413582304</c:v>
                </c:pt>
                <c:pt idx="82">
                  <c:v>1.0109564595818992</c:v>
                </c:pt>
                <c:pt idx="83">
                  <c:v>1.0107776335542242</c:v>
                </c:pt>
                <c:pt idx="84">
                  <c:v>1.0100536857131854</c:v>
                </c:pt>
                <c:pt idx="85">
                  <c:v>1.0100890399872782</c:v>
                </c:pt>
                <c:pt idx="86">
                  <c:v>1.01051190969654</c:v>
                </c:pt>
                <c:pt idx="87">
                  <c:v>1.0118239854518933</c:v>
                </c:pt>
                <c:pt idx="88">
                  <c:v>1.0119861262460035</c:v>
                </c:pt>
                <c:pt idx="89">
                  <c:v>1.0136009805391015</c:v>
                </c:pt>
                <c:pt idx="90">
                  <c:v>1.0137817195234911</c:v>
                </c:pt>
                <c:pt idx="91">
                  <c:v>1.0138820434756255</c:v>
                </c:pt>
                <c:pt idx="92">
                  <c:v>1.0134824834981799</c:v>
                </c:pt>
                <c:pt idx="93">
                  <c:v>1.0128650235809111</c:v>
                </c:pt>
                <c:pt idx="94">
                  <c:v>1.0128588950344002</c:v>
                </c:pt>
                <c:pt idx="95">
                  <c:v>1.0120193550126355</c:v>
                </c:pt>
                <c:pt idx="96">
                  <c:v>1.011647922583917</c:v>
                </c:pt>
                <c:pt idx="97">
                  <c:v>1.0123171740329728</c:v>
                </c:pt>
                <c:pt idx="98">
                  <c:v>1.0121952407549901</c:v>
                </c:pt>
                <c:pt idx="99">
                  <c:v>1.0110885244454435</c:v>
                </c:pt>
                <c:pt idx="100">
                  <c:v>1.0108548249001641</c:v>
                </c:pt>
                <c:pt idx="101">
                  <c:v>1.0118827911582999</c:v>
                </c:pt>
                <c:pt idx="102">
                  <c:v>1.0125376954319976</c:v>
                </c:pt>
                <c:pt idx="103">
                  <c:v>1.0125012075539259</c:v>
                </c:pt>
                <c:pt idx="104">
                  <c:v>1.0138308541709524</c:v>
                </c:pt>
                <c:pt idx="105">
                  <c:v>1.0135663701926201</c:v>
                </c:pt>
                <c:pt idx="106">
                  <c:v>1.0131107322433424</c:v>
                </c:pt>
                <c:pt idx="107">
                  <c:v>1.0126063847480953</c:v>
                </c:pt>
                <c:pt idx="108">
                  <c:v>1.0116350632637812</c:v>
                </c:pt>
                <c:pt idx="109">
                  <c:v>1.011886758772226</c:v>
                </c:pt>
                <c:pt idx="110">
                  <c:v>1.009209469575008</c:v>
                </c:pt>
                <c:pt idx="111">
                  <c:v>1.0092970050572554</c:v>
                </c:pt>
                <c:pt idx="112">
                  <c:v>1.0073807538062611</c:v>
                </c:pt>
                <c:pt idx="113">
                  <c:v>1.0067869578720523</c:v>
                </c:pt>
                <c:pt idx="114">
                  <c:v>1.006029533288511</c:v>
                </c:pt>
                <c:pt idx="115">
                  <c:v>1.0064596651482631</c:v>
                </c:pt>
                <c:pt idx="116">
                  <c:v>1.006199857286344</c:v>
                </c:pt>
                <c:pt idx="117">
                  <c:v>1.0067536936802959</c:v>
                </c:pt>
                <c:pt idx="118">
                  <c:v>1.007684736798234</c:v>
                </c:pt>
                <c:pt idx="119">
                  <c:v>1.0076498430507579</c:v>
                </c:pt>
                <c:pt idx="120">
                  <c:v>1.0070639823444014</c:v>
                </c:pt>
                <c:pt idx="121">
                  <c:v>1.0072540381364923</c:v>
                </c:pt>
                <c:pt idx="122">
                  <c:v>1.0070355359695553</c:v>
                </c:pt>
                <c:pt idx="123">
                  <c:v>1.0076450960840959</c:v>
                </c:pt>
                <c:pt idx="124">
                  <c:v>1.0074897569138594</c:v>
                </c:pt>
                <c:pt idx="125">
                  <c:v>1.0079433047808011</c:v>
                </c:pt>
                <c:pt idx="126">
                  <c:v>1.007182479385323</c:v>
                </c:pt>
                <c:pt idx="127">
                  <c:v>1.00618636031397</c:v>
                </c:pt>
                <c:pt idx="128">
                  <c:v>1.0057268964512633</c:v>
                </c:pt>
                <c:pt idx="129">
                  <c:v>1.005406972153337</c:v>
                </c:pt>
                <c:pt idx="130">
                  <c:v>1.0045016476756707</c:v>
                </c:pt>
                <c:pt idx="131">
                  <c:v>1.0026569906009706</c:v>
                </c:pt>
                <c:pt idx="132">
                  <c:v>1.0029123348972226</c:v>
                </c:pt>
                <c:pt idx="133">
                  <c:v>1.0031905638237992</c:v>
                </c:pt>
                <c:pt idx="134">
                  <c:v>1.0024639236733104</c:v>
                </c:pt>
                <c:pt idx="135">
                  <c:v>1.0021436451241408</c:v>
                </c:pt>
                <c:pt idx="136">
                  <c:v>1.001608406920468</c:v>
                </c:pt>
                <c:pt idx="137">
                  <c:v>1.0016825871308388</c:v>
                </c:pt>
                <c:pt idx="138">
                  <c:v>1.0016859170925267</c:v>
                </c:pt>
                <c:pt idx="139">
                  <c:v>1.0022434731245344</c:v>
                </c:pt>
                <c:pt idx="140">
                  <c:v>1.0033503311345786</c:v>
                </c:pt>
                <c:pt idx="141">
                  <c:v>1.0041700685118362</c:v>
                </c:pt>
                <c:pt idx="142">
                  <c:v>1.0040480643836047</c:v>
                </c:pt>
                <c:pt idx="143">
                  <c:v>1.0043225736721255</c:v>
                </c:pt>
                <c:pt idx="144">
                  <c:v>1.004949456672469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8DF-4838-A488-332DDAE4B1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752464"/>
        <c:axId val="21753904"/>
      </c:lineChart>
      <c:dateAx>
        <c:axId val="21752464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753904"/>
        <c:crosses val="autoZero"/>
        <c:auto val="1"/>
        <c:lblOffset val="100"/>
        <c:baseTimeUnit val="days"/>
      </c:dateAx>
      <c:valAx>
        <c:axId val="21753904"/>
        <c:scaling>
          <c:orientation val="minMax"/>
          <c:min val="0.9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752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2c84151-4c4b-4437-a0ae-812bb951351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2024.1-12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22"/>
          <c:order val="0"/>
          <c:tx>
            <c:v>Portfolio Net Value</c:v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中国_中债国债到期收益率_1年!$J$390:$J$631</c:f>
              <c:numCache>
                <c:formatCode>yyyy\-mm\-dd</c:formatCode>
                <c:ptCount val="242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45306</c:v>
                </c:pt>
                <c:pt idx="10">
                  <c:v>45307</c:v>
                </c:pt>
                <c:pt idx="11">
                  <c:v>45308</c:v>
                </c:pt>
                <c:pt idx="12">
                  <c:v>45309</c:v>
                </c:pt>
                <c:pt idx="13">
                  <c:v>45310</c:v>
                </c:pt>
                <c:pt idx="14">
                  <c:v>45313</c:v>
                </c:pt>
                <c:pt idx="15">
                  <c:v>45314</c:v>
                </c:pt>
                <c:pt idx="16">
                  <c:v>45315</c:v>
                </c:pt>
                <c:pt idx="17">
                  <c:v>45316</c:v>
                </c:pt>
                <c:pt idx="18">
                  <c:v>45317</c:v>
                </c:pt>
                <c:pt idx="19">
                  <c:v>45320</c:v>
                </c:pt>
                <c:pt idx="20">
                  <c:v>45321</c:v>
                </c:pt>
                <c:pt idx="21">
                  <c:v>45322</c:v>
                </c:pt>
                <c:pt idx="22">
                  <c:v>45323</c:v>
                </c:pt>
                <c:pt idx="23">
                  <c:v>45324</c:v>
                </c:pt>
                <c:pt idx="24">
                  <c:v>45327</c:v>
                </c:pt>
                <c:pt idx="25">
                  <c:v>45328</c:v>
                </c:pt>
                <c:pt idx="26">
                  <c:v>45329</c:v>
                </c:pt>
                <c:pt idx="27">
                  <c:v>45330</c:v>
                </c:pt>
                <c:pt idx="28">
                  <c:v>45341</c:v>
                </c:pt>
                <c:pt idx="29">
                  <c:v>45342</c:v>
                </c:pt>
                <c:pt idx="30">
                  <c:v>45343</c:v>
                </c:pt>
                <c:pt idx="31">
                  <c:v>45344</c:v>
                </c:pt>
                <c:pt idx="32">
                  <c:v>45345</c:v>
                </c:pt>
                <c:pt idx="33">
                  <c:v>45348</c:v>
                </c:pt>
                <c:pt idx="34">
                  <c:v>45349</c:v>
                </c:pt>
                <c:pt idx="35">
                  <c:v>45350</c:v>
                </c:pt>
                <c:pt idx="36">
                  <c:v>45351</c:v>
                </c:pt>
                <c:pt idx="37">
                  <c:v>45352</c:v>
                </c:pt>
                <c:pt idx="38">
                  <c:v>45355</c:v>
                </c:pt>
                <c:pt idx="39">
                  <c:v>45356</c:v>
                </c:pt>
                <c:pt idx="40">
                  <c:v>45357</c:v>
                </c:pt>
                <c:pt idx="41">
                  <c:v>45358</c:v>
                </c:pt>
                <c:pt idx="42">
                  <c:v>45359</c:v>
                </c:pt>
                <c:pt idx="43">
                  <c:v>45362</c:v>
                </c:pt>
                <c:pt idx="44">
                  <c:v>45363</c:v>
                </c:pt>
                <c:pt idx="45">
                  <c:v>45364</c:v>
                </c:pt>
                <c:pt idx="46">
                  <c:v>45365</c:v>
                </c:pt>
                <c:pt idx="47">
                  <c:v>45366</c:v>
                </c:pt>
                <c:pt idx="48">
                  <c:v>45369</c:v>
                </c:pt>
                <c:pt idx="49">
                  <c:v>45370</c:v>
                </c:pt>
                <c:pt idx="50">
                  <c:v>45371</c:v>
                </c:pt>
                <c:pt idx="51">
                  <c:v>45372</c:v>
                </c:pt>
                <c:pt idx="52">
                  <c:v>45373</c:v>
                </c:pt>
                <c:pt idx="53">
                  <c:v>45376</c:v>
                </c:pt>
                <c:pt idx="54">
                  <c:v>45377</c:v>
                </c:pt>
                <c:pt idx="55">
                  <c:v>45378</c:v>
                </c:pt>
                <c:pt idx="56">
                  <c:v>45379</c:v>
                </c:pt>
                <c:pt idx="57">
                  <c:v>45380</c:v>
                </c:pt>
                <c:pt idx="58">
                  <c:v>45383</c:v>
                </c:pt>
                <c:pt idx="59">
                  <c:v>45384</c:v>
                </c:pt>
                <c:pt idx="60">
                  <c:v>45385</c:v>
                </c:pt>
                <c:pt idx="61">
                  <c:v>45390</c:v>
                </c:pt>
                <c:pt idx="62">
                  <c:v>45391</c:v>
                </c:pt>
                <c:pt idx="63">
                  <c:v>45392</c:v>
                </c:pt>
                <c:pt idx="64">
                  <c:v>45393</c:v>
                </c:pt>
                <c:pt idx="65">
                  <c:v>45394</c:v>
                </c:pt>
                <c:pt idx="66">
                  <c:v>45397</c:v>
                </c:pt>
                <c:pt idx="67">
                  <c:v>45398</c:v>
                </c:pt>
                <c:pt idx="68">
                  <c:v>45399</c:v>
                </c:pt>
                <c:pt idx="69">
                  <c:v>45400</c:v>
                </c:pt>
                <c:pt idx="70">
                  <c:v>45401</c:v>
                </c:pt>
                <c:pt idx="71">
                  <c:v>45404</c:v>
                </c:pt>
                <c:pt idx="72">
                  <c:v>45405</c:v>
                </c:pt>
                <c:pt idx="73">
                  <c:v>45406</c:v>
                </c:pt>
                <c:pt idx="74">
                  <c:v>45407</c:v>
                </c:pt>
                <c:pt idx="75">
                  <c:v>45408</c:v>
                </c:pt>
                <c:pt idx="76">
                  <c:v>45411</c:v>
                </c:pt>
                <c:pt idx="77">
                  <c:v>45412</c:v>
                </c:pt>
                <c:pt idx="78">
                  <c:v>45418</c:v>
                </c:pt>
                <c:pt idx="79">
                  <c:v>45419</c:v>
                </c:pt>
                <c:pt idx="80">
                  <c:v>45420</c:v>
                </c:pt>
                <c:pt idx="81">
                  <c:v>45421</c:v>
                </c:pt>
                <c:pt idx="82">
                  <c:v>45422</c:v>
                </c:pt>
                <c:pt idx="83">
                  <c:v>45425</c:v>
                </c:pt>
                <c:pt idx="84">
                  <c:v>45426</c:v>
                </c:pt>
                <c:pt idx="85">
                  <c:v>45427</c:v>
                </c:pt>
                <c:pt idx="86">
                  <c:v>45428</c:v>
                </c:pt>
                <c:pt idx="87">
                  <c:v>45429</c:v>
                </c:pt>
                <c:pt idx="88">
                  <c:v>45432</c:v>
                </c:pt>
                <c:pt idx="89">
                  <c:v>45433</c:v>
                </c:pt>
                <c:pt idx="90">
                  <c:v>45434</c:v>
                </c:pt>
                <c:pt idx="91">
                  <c:v>45435</c:v>
                </c:pt>
                <c:pt idx="92">
                  <c:v>45436</c:v>
                </c:pt>
                <c:pt idx="93">
                  <c:v>45439</c:v>
                </c:pt>
                <c:pt idx="94">
                  <c:v>45440</c:v>
                </c:pt>
                <c:pt idx="95">
                  <c:v>45441</c:v>
                </c:pt>
                <c:pt idx="96">
                  <c:v>45442</c:v>
                </c:pt>
                <c:pt idx="97">
                  <c:v>45443</c:v>
                </c:pt>
                <c:pt idx="98">
                  <c:v>45446</c:v>
                </c:pt>
                <c:pt idx="99">
                  <c:v>45447</c:v>
                </c:pt>
                <c:pt idx="100">
                  <c:v>45448</c:v>
                </c:pt>
                <c:pt idx="101">
                  <c:v>45449</c:v>
                </c:pt>
                <c:pt idx="102">
                  <c:v>45450</c:v>
                </c:pt>
                <c:pt idx="103">
                  <c:v>45454</c:v>
                </c:pt>
                <c:pt idx="104">
                  <c:v>45455</c:v>
                </c:pt>
                <c:pt idx="105">
                  <c:v>45456</c:v>
                </c:pt>
                <c:pt idx="106">
                  <c:v>45457</c:v>
                </c:pt>
                <c:pt idx="107">
                  <c:v>45460</c:v>
                </c:pt>
                <c:pt idx="108">
                  <c:v>45461</c:v>
                </c:pt>
                <c:pt idx="109">
                  <c:v>45462</c:v>
                </c:pt>
                <c:pt idx="110">
                  <c:v>45463</c:v>
                </c:pt>
                <c:pt idx="111">
                  <c:v>45464</c:v>
                </c:pt>
                <c:pt idx="112">
                  <c:v>45467</c:v>
                </c:pt>
                <c:pt idx="113">
                  <c:v>45468</c:v>
                </c:pt>
                <c:pt idx="114">
                  <c:v>45469</c:v>
                </c:pt>
                <c:pt idx="115">
                  <c:v>45470</c:v>
                </c:pt>
                <c:pt idx="116">
                  <c:v>45471</c:v>
                </c:pt>
                <c:pt idx="117">
                  <c:v>45474</c:v>
                </c:pt>
                <c:pt idx="118">
                  <c:v>45475</c:v>
                </c:pt>
                <c:pt idx="119">
                  <c:v>45476</c:v>
                </c:pt>
                <c:pt idx="120">
                  <c:v>45477</c:v>
                </c:pt>
                <c:pt idx="121">
                  <c:v>45478</c:v>
                </c:pt>
                <c:pt idx="122">
                  <c:v>45481</c:v>
                </c:pt>
                <c:pt idx="123">
                  <c:v>45482</c:v>
                </c:pt>
                <c:pt idx="124">
                  <c:v>45483</c:v>
                </c:pt>
                <c:pt idx="125">
                  <c:v>45484</c:v>
                </c:pt>
                <c:pt idx="126">
                  <c:v>45485</c:v>
                </c:pt>
                <c:pt idx="127">
                  <c:v>45488</c:v>
                </c:pt>
                <c:pt idx="128">
                  <c:v>45489</c:v>
                </c:pt>
                <c:pt idx="129">
                  <c:v>45490</c:v>
                </c:pt>
                <c:pt idx="130">
                  <c:v>45491</c:v>
                </c:pt>
                <c:pt idx="131">
                  <c:v>45492</c:v>
                </c:pt>
                <c:pt idx="132">
                  <c:v>45495</c:v>
                </c:pt>
                <c:pt idx="133">
                  <c:v>45496</c:v>
                </c:pt>
                <c:pt idx="134">
                  <c:v>45497</c:v>
                </c:pt>
                <c:pt idx="135">
                  <c:v>45498</c:v>
                </c:pt>
                <c:pt idx="136">
                  <c:v>45499</c:v>
                </c:pt>
                <c:pt idx="137">
                  <c:v>45502</c:v>
                </c:pt>
                <c:pt idx="138">
                  <c:v>45503</c:v>
                </c:pt>
                <c:pt idx="139">
                  <c:v>45504</c:v>
                </c:pt>
                <c:pt idx="140">
                  <c:v>45505</c:v>
                </c:pt>
                <c:pt idx="141">
                  <c:v>45506</c:v>
                </c:pt>
                <c:pt idx="142">
                  <c:v>45509</c:v>
                </c:pt>
                <c:pt idx="143">
                  <c:v>45510</c:v>
                </c:pt>
                <c:pt idx="144">
                  <c:v>45511</c:v>
                </c:pt>
                <c:pt idx="145">
                  <c:v>45512</c:v>
                </c:pt>
                <c:pt idx="146">
                  <c:v>45513</c:v>
                </c:pt>
                <c:pt idx="147">
                  <c:v>45516</c:v>
                </c:pt>
                <c:pt idx="148">
                  <c:v>45517</c:v>
                </c:pt>
                <c:pt idx="149">
                  <c:v>45518</c:v>
                </c:pt>
                <c:pt idx="150">
                  <c:v>45519</c:v>
                </c:pt>
                <c:pt idx="151">
                  <c:v>45520</c:v>
                </c:pt>
                <c:pt idx="152">
                  <c:v>45523</c:v>
                </c:pt>
                <c:pt idx="153">
                  <c:v>45524</c:v>
                </c:pt>
                <c:pt idx="154">
                  <c:v>45525</c:v>
                </c:pt>
                <c:pt idx="155">
                  <c:v>45526</c:v>
                </c:pt>
                <c:pt idx="156">
                  <c:v>45527</c:v>
                </c:pt>
                <c:pt idx="157">
                  <c:v>45530</c:v>
                </c:pt>
                <c:pt idx="158">
                  <c:v>45531</c:v>
                </c:pt>
                <c:pt idx="159">
                  <c:v>45532</c:v>
                </c:pt>
                <c:pt idx="160">
                  <c:v>45533</c:v>
                </c:pt>
                <c:pt idx="161">
                  <c:v>45534</c:v>
                </c:pt>
                <c:pt idx="162">
                  <c:v>45537</c:v>
                </c:pt>
                <c:pt idx="163">
                  <c:v>45538</c:v>
                </c:pt>
                <c:pt idx="164">
                  <c:v>45539</c:v>
                </c:pt>
                <c:pt idx="165">
                  <c:v>45540</c:v>
                </c:pt>
                <c:pt idx="166">
                  <c:v>45541</c:v>
                </c:pt>
                <c:pt idx="167">
                  <c:v>45544</c:v>
                </c:pt>
                <c:pt idx="168">
                  <c:v>45545</c:v>
                </c:pt>
                <c:pt idx="169">
                  <c:v>45546</c:v>
                </c:pt>
                <c:pt idx="170">
                  <c:v>45547</c:v>
                </c:pt>
                <c:pt idx="171">
                  <c:v>45548</c:v>
                </c:pt>
                <c:pt idx="172">
                  <c:v>45553</c:v>
                </c:pt>
                <c:pt idx="173">
                  <c:v>45554</c:v>
                </c:pt>
                <c:pt idx="174">
                  <c:v>45555</c:v>
                </c:pt>
                <c:pt idx="175">
                  <c:v>45558</c:v>
                </c:pt>
                <c:pt idx="176">
                  <c:v>45559</c:v>
                </c:pt>
                <c:pt idx="177">
                  <c:v>45560</c:v>
                </c:pt>
                <c:pt idx="178">
                  <c:v>45561</c:v>
                </c:pt>
                <c:pt idx="179">
                  <c:v>45562</c:v>
                </c:pt>
                <c:pt idx="180">
                  <c:v>45565</c:v>
                </c:pt>
                <c:pt idx="181">
                  <c:v>45573</c:v>
                </c:pt>
                <c:pt idx="182">
                  <c:v>45574</c:v>
                </c:pt>
                <c:pt idx="183">
                  <c:v>45575</c:v>
                </c:pt>
                <c:pt idx="184">
                  <c:v>45576</c:v>
                </c:pt>
                <c:pt idx="185">
                  <c:v>45579</c:v>
                </c:pt>
                <c:pt idx="186">
                  <c:v>45580</c:v>
                </c:pt>
                <c:pt idx="187">
                  <c:v>45581</c:v>
                </c:pt>
                <c:pt idx="188">
                  <c:v>45582</c:v>
                </c:pt>
                <c:pt idx="189">
                  <c:v>45583</c:v>
                </c:pt>
                <c:pt idx="190">
                  <c:v>45586</c:v>
                </c:pt>
                <c:pt idx="191">
                  <c:v>45587</c:v>
                </c:pt>
                <c:pt idx="192">
                  <c:v>45588</c:v>
                </c:pt>
                <c:pt idx="193">
                  <c:v>45589</c:v>
                </c:pt>
                <c:pt idx="194">
                  <c:v>45590</c:v>
                </c:pt>
                <c:pt idx="195">
                  <c:v>45593</c:v>
                </c:pt>
                <c:pt idx="196">
                  <c:v>45594</c:v>
                </c:pt>
                <c:pt idx="197">
                  <c:v>45595</c:v>
                </c:pt>
                <c:pt idx="198">
                  <c:v>45596</c:v>
                </c:pt>
                <c:pt idx="199">
                  <c:v>45597</c:v>
                </c:pt>
                <c:pt idx="200">
                  <c:v>45600</c:v>
                </c:pt>
                <c:pt idx="201">
                  <c:v>45601</c:v>
                </c:pt>
                <c:pt idx="202">
                  <c:v>45602</c:v>
                </c:pt>
                <c:pt idx="203">
                  <c:v>45603</c:v>
                </c:pt>
                <c:pt idx="204">
                  <c:v>45604</c:v>
                </c:pt>
                <c:pt idx="205">
                  <c:v>45607</c:v>
                </c:pt>
                <c:pt idx="206">
                  <c:v>45608</c:v>
                </c:pt>
                <c:pt idx="207">
                  <c:v>45609</c:v>
                </c:pt>
                <c:pt idx="208">
                  <c:v>45610</c:v>
                </c:pt>
                <c:pt idx="209">
                  <c:v>45611</c:v>
                </c:pt>
                <c:pt idx="210">
                  <c:v>45614</c:v>
                </c:pt>
                <c:pt idx="211">
                  <c:v>45615</c:v>
                </c:pt>
                <c:pt idx="212">
                  <c:v>45616</c:v>
                </c:pt>
                <c:pt idx="213">
                  <c:v>45617</c:v>
                </c:pt>
                <c:pt idx="214">
                  <c:v>45618</c:v>
                </c:pt>
                <c:pt idx="215">
                  <c:v>45621</c:v>
                </c:pt>
                <c:pt idx="216">
                  <c:v>45622</c:v>
                </c:pt>
                <c:pt idx="217">
                  <c:v>45623</c:v>
                </c:pt>
                <c:pt idx="218">
                  <c:v>45624</c:v>
                </c:pt>
                <c:pt idx="219">
                  <c:v>45625</c:v>
                </c:pt>
                <c:pt idx="220">
                  <c:v>45628</c:v>
                </c:pt>
                <c:pt idx="221">
                  <c:v>45629</c:v>
                </c:pt>
                <c:pt idx="222">
                  <c:v>45630</c:v>
                </c:pt>
                <c:pt idx="223">
                  <c:v>45631</c:v>
                </c:pt>
                <c:pt idx="224">
                  <c:v>45632</c:v>
                </c:pt>
                <c:pt idx="225">
                  <c:v>45635</c:v>
                </c:pt>
                <c:pt idx="226">
                  <c:v>45636</c:v>
                </c:pt>
                <c:pt idx="227">
                  <c:v>45637</c:v>
                </c:pt>
                <c:pt idx="228">
                  <c:v>45638</c:v>
                </c:pt>
                <c:pt idx="229">
                  <c:v>45639</c:v>
                </c:pt>
                <c:pt idx="230">
                  <c:v>45642</c:v>
                </c:pt>
                <c:pt idx="231">
                  <c:v>45643</c:v>
                </c:pt>
                <c:pt idx="232">
                  <c:v>45644</c:v>
                </c:pt>
                <c:pt idx="233">
                  <c:v>45645</c:v>
                </c:pt>
                <c:pt idx="234">
                  <c:v>45646</c:v>
                </c:pt>
                <c:pt idx="235">
                  <c:v>45649</c:v>
                </c:pt>
                <c:pt idx="236">
                  <c:v>45650</c:v>
                </c:pt>
                <c:pt idx="237">
                  <c:v>45651</c:v>
                </c:pt>
                <c:pt idx="238">
                  <c:v>45652</c:v>
                </c:pt>
                <c:pt idx="239">
                  <c:v>45653</c:v>
                </c:pt>
                <c:pt idx="240">
                  <c:v>45656</c:v>
                </c:pt>
                <c:pt idx="241">
                  <c:v>45657</c:v>
                </c:pt>
              </c:numCache>
            </c:numRef>
          </c:cat>
          <c:val>
            <c:numRef>
              <c:f>PnL!$AF$401:$AF$651</c:f>
              <c:numCache>
                <c:formatCode>General</c:formatCode>
                <c:ptCount val="251"/>
                <c:pt idx="0">
                  <c:v>1.0008910367123287</c:v>
                </c:pt>
                <c:pt idx="1">
                  <c:v>0.99977334958904107</c:v>
                </c:pt>
                <c:pt idx="2">
                  <c:v>1.0006094252054796</c:v>
                </c:pt>
                <c:pt idx="3">
                  <c:v>1.0024662602739727</c:v>
                </c:pt>
                <c:pt idx="4">
                  <c:v>1.003926610410959</c:v>
                </c:pt>
                <c:pt idx="5">
                  <c:v>1.0035198991780823</c:v>
                </c:pt>
                <c:pt idx="6">
                  <c:v>1.0065413167123287</c:v>
                </c:pt>
                <c:pt idx="7">
                  <c:v>1.0059922734246576</c:v>
                </c:pt>
                <c:pt idx="8">
                  <c:v>1.0062340252054796</c:v>
                </c:pt>
                <c:pt idx="9">
                  <c:v>1.0048541873972603</c:v>
                </c:pt>
                <c:pt idx="10">
                  <c:v>1.0044184624657535</c:v>
                </c:pt>
                <c:pt idx="11">
                  <c:v>1.0043149682191781</c:v>
                </c:pt>
                <c:pt idx="12">
                  <c:v>1.0060439583561644</c:v>
                </c:pt>
                <c:pt idx="13">
                  <c:v>1.0058709030136987</c:v>
                </c:pt>
                <c:pt idx="14">
                  <c:v>1.006832304109589</c:v>
                </c:pt>
                <c:pt idx="15">
                  <c:v>1.0083053156164383</c:v>
                </c:pt>
                <c:pt idx="16">
                  <c:v>1.007626253150685</c:v>
                </c:pt>
                <c:pt idx="17">
                  <c:v>1.0078630860273972</c:v>
                </c:pt>
                <c:pt idx="18">
                  <c:v>1.0097805857534246</c:v>
                </c:pt>
                <c:pt idx="19">
                  <c:v>1.0093926410958904</c:v>
                </c:pt>
                <c:pt idx="20">
                  <c:v>1.0102419649315069</c:v>
                </c:pt>
                <c:pt idx="21">
                  <c:v>1.013850618630137</c:v>
                </c:pt>
                <c:pt idx="22">
                  <c:v>1.0158534575342466</c:v>
                </c:pt>
                <c:pt idx="23">
                  <c:v>1.0154109101369864</c:v>
                </c:pt>
                <c:pt idx="24">
                  <c:v>1.0166917041095891</c:v>
                </c:pt>
                <c:pt idx="25">
                  <c:v>1.0185710591780821</c:v>
                </c:pt>
                <c:pt idx="26">
                  <c:v>1.0191005276712328</c:v>
                </c:pt>
                <c:pt idx="27">
                  <c:v>1.0141927342465753</c:v>
                </c:pt>
                <c:pt idx="28">
                  <c:v>1.0176119561643835</c:v>
                </c:pt>
                <c:pt idx="29">
                  <c:v>1.0162414756164384</c:v>
                </c:pt>
                <c:pt idx="30">
                  <c:v>1.0166309106849316</c:v>
                </c:pt>
                <c:pt idx="31">
                  <c:v>1.0164756997260274</c:v>
                </c:pt>
                <c:pt idx="32">
                  <c:v>1.0172664416438357</c:v>
                </c:pt>
                <c:pt idx="33">
                  <c:v>1.01979128</c:v>
                </c:pt>
                <c:pt idx="34">
                  <c:v>1.0202256219178083</c:v>
                </c:pt>
                <c:pt idx="35">
                  <c:v>1.0213123473972603</c:v>
                </c:pt>
                <c:pt idx="36">
                  <c:v>1.0215210526027398</c:v>
                </c:pt>
                <c:pt idx="37">
                  <c:v>1.0238682175342466</c:v>
                </c:pt>
                <c:pt idx="38">
                  <c:v>1.0242918997260273</c:v>
                </c:pt>
                <c:pt idx="39">
                  <c:v>1.0279574975342465</c:v>
                </c:pt>
                <c:pt idx="40">
                  <c:v>1.0296249068493151</c:v>
                </c:pt>
                <c:pt idx="41">
                  <c:v>1.0268685063013698</c:v>
                </c:pt>
                <c:pt idx="42">
                  <c:v>1.0280728328767124</c:v>
                </c:pt>
                <c:pt idx="43">
                  <c:v>1.0296506312328768</c:v>
                </c:pt>
                <c:pt idx="44">
                  <c:v>1.0339169073972603</c:v>
                </c:pt>
                <c:pt idx="45">
                  <c:v>1.0328864526027397</c:v>
                </c:pt>
                <c:pt idx="46">
                  <c:v>1.0327006076712328</c:v>
                </c:pt>
                <c:pt idx="47">
                  <c:v>1.0302166986301371</c:v>
                </c:pt>
                <c:pt idx="48">
                  <c:v>1.0260468460273973</c:v>
                </c:pt>
                <c:pt idx="49">
                  <c:v>1.027595431780822</c:v>
                </c:pt>
                <c:pt idx="50">
                  <c:v>1.0269025156164384</c:v>
                </c:pt>
                <c:pt idx="51">
                  <c:v>1.0288601512328768</c:v>
                </c:pt>
                <c:pt idx="52">
                  <c:v>1.0313027978082192</c:v>
                </c:pt>
                <c:pt idx="53">
                  <c:v>1.0334165457534246</c:v>
                </c:pt>
                <c:pt idx="54">
                  <c:v>1.032120328219178</c:v>
                </c:pt>
                <c:pt idx="55">
                  <c:v>1.0330634317808218</c:v>
                </c:pt>
                <c:pt idx="56">
                  <c:v>1.0315986904109589</c:v>
                </c:pt>
                <c:pt idx="57">
                  <c:v>1.0303557424657535</c:v>
                </c:pt>
                <c:pt idx="58">
                  <c:v>1.0302202273972603</c:v>
                </c:pt>
                <c:pt idx="59">
                  <c:v>1.0337121747945206</c:v>
                </c:pt>
                <c:pt idx="60">
                  <c:v>1.0328145556164383</c:v>
                </c:pt>
                <c:pt idx="61">
                  <c:v>1.0338854153424657</c:v>
                </c:pt>
                <c:pt idx="62">
                  <c:v>1.0320462652054794</c:v>
                </c:pt>
                <c:pt idx="63">
                  <c:v>1.0334271326027398</c:v>
                </c:pt>
                <c:pt idx="64">
                  <c:v>1.0340629561643835</c:v>
                </c:pt>
                <c:pt idx="65">
                  <c:v>1.0331129983561644</c:v>
                </c:pt>
                <c:pt idx="66">
                  <c:v>1.0345599326027397</c:v>
                </c:pt>
                <c:pt idx="67">
                  <c:v>1.0352516816438357</c:v>
                </c:pt>
                <c:pt idx="68">
                  <c:v>1.0338445693150684</c:v>
                </c:pt>
                <c:pt idx="69">
                  <c:v>1.0345417052054795</c:v>
                </c:pt>
                <c:pt idx="70">
                  <c:v>1.0357965846575343</c:v>
                </c:pt>
                <c:pt idx="71">
                  <c:v>1.0357932164383561</c:v>
                </c:pt>
                <c:pt idx="72">
                  <c:v>1.0365249490410959</c:v>
                </c:pt>
                <c:pt idx="73">
                  <c:v>1.0383225539726029</c:v>
                </c:pt>
                <c:pt idx="74">
                  <c:v>1.039366442739726</c:v>
                </c:pt>
                <c:pt idx="75">
                  <c:v>1.039659811780822</c:v>
                </c:pt>
                <c:pt idx="76">
                  <c:v>1.0400978767123288</c:v>
                </c:pt>
                <c:pt idx="77">
                  <c:v>1.0412334178082192</c:v>
                </c:pt>
                <c:pt idx="78">
                  <c:v>1.0392302824657536</c:v>
                </c:pt>
                <c:pt idx="79">
                  <c:v>1.0405080397260273</c:v>
                </c:pt>
                <c:pt idx="80">
                  <c:v>1.0377543328767125</c:v>
                </c:pt>
                <c:pt idx="81">
                  <c:v>1.036082298630137</c:v>
                </c:pt>
                <c:pt idx="82">
                  <c:v>1.034015046849315</c:v>
                </c:pt>
                <c:pt idx="83">
                  <c:v>1.037926401369863</c:v>
                </c:pt>
                <c:pt idx="84">
                  <c:v>1.0380113775342465</c:v>
                </c:pt>
                <c:pt idx="85">
                  <c:v>1.0397510561643837</c:v>
                </c:pt>
                <c:pt idx="86">
                  <c:v>1.0392605684931506</c:v>
                </c:pt>
                <c:pt idx="87">
                  <c:v>1.0375470890410958</c:v>
                </c:pt>
                <c:pt idx="88">
                  <c:v>1.0376932528767124</c:v>
                </c:pt>
                <c:pt idx="89">
                  <c:v>1.0355365597260273</c:v>
                </c:pt>
                <c:pt idx="90">
                  <c:v>1.0398107309589042</c:v>
                </c:pt>
                <c:pt idx="91">
                  <c:v>1.0402250616438355</c:v>
                </c:pt>
                <c:pt idx="92">
                  <c:v>1.0397917890410959</c:v>
                </c:pt>
                <c:pt idx="93">
                  <c:v>1.0388561312328768</c:v>
                </c:pt>
                <c:pt idx="94">
                  <c:v>1.0394614405479452</c:v>
                </c:pt>
                <c:pt idx="95">
                  <c:v>1.0391431904109589</c:v>
                </c:pt>
                <c:pt idx="96">
                  <c:v>1.0390946526027398</c:v>
                </c:pt>
                <c:pt idx="97">
                  <c:v>1.0399036416438356</c:v>
                </c:pt>
                <c:pt idx="98">
                  <c:v>1.0409868736986301</c:v>
                </c:pt>
                <c:pt idx="99">
                  <c:v>1.0401446164383561</c:v>
                </c:pt>
                <c:pt idx="100">
                  <c:v>1.0402268186301371</c:v>
                </c:pt>
                <c:pt idx="101">
                  <c:v>1.0410840536986301</c:v>
                </c:pt>
                <c:pt idx="102">
                  <c:v>1.0420449528767124</c:v>
                </c:pt>
                <c:pt idx="103">
                  <c:v>1.0419299032876712</c:v>
                </c:pt>
                <c:pt idx="104">
                  <c:v>1.0414503493150686</c:v>
                </c:pt>
                <c:pt idx="105">
                  <c:v>1.0423610273972603</c:v>
                </c:pt>
                <c:pt idx="106">
                  <c:v>1.0426272630136986</c:v>
                </c:pt>
                <c:pt idx="107">
                  <c:v>1.0433472405479451</c:v>
                </c:pt>
                <c:pt idx="108">
                  <c:v>1.0433708109589042</c:v>
                </c:pt>
                <c:pt idx="109">
                  <c:v>1.0435178698630136</c:v>
                </c:pt>
                <c:pt idx="110">
                  <c:v>1.0440784939726029</c:v>
                </c:pt>
                <c:pt idx="111">
                  <c:v>1.0440407334246575</c:v>
                </c:pt>
                <c:pt idx="112">
                  <c:v>1.0444586235616438</c:v>
                </c:pt>
                <c:pt idx="113">
                  <c:v>1.0453308542465753</c:v>
                </c:pt>
                <c:pt idx="114">
                  <c:v>1.0450803619178082</c:v>
                </c:pt>
                <c:pt idx="115">
                  <c:v>1.0460609142465753</c:v>
                </c:pt>
                <c:pt idx="116">
                  <c:v>1.0476670073972603</c:v>
                </c:pt>
                <c:pt idx="117">
                  <c:v>1.0477657764383561</c:v>
                </c:pt>
                <c:pt idx="118">
                  <c:v>1.0470650394520549</c:v>
                </c:pt>
                <c:pt idx="119">
                  <c:v>1.0481925298630137</c:v>
                </c:pt>
                <c:pt idx="120">
                  <c:v>1.0487154438356165</c:v>
                </c:pt>
                <c:pt idx="121">
                  <c:v>1.0497447627397261</c:v>
                </c:pt>
                <c:pt idx="122">
                  <c:v>1.0514188610958906</c:v>
                </c:pt>
                <c:pt idx="123">
                  <c:v>1.0513052619178083</c:v>
                </c:pt>
                <c:pt idx="124">
                  <c:v>1.0480341386301371</c:v>
                </c:pt>
                <c:pt idx="125">
                  <c:v>1.0492568602739727</c:v>
                </c:pt>
                <c:pt idx="126">
                  <c:v>1.0501907712328766</c:v>
                </c:pt>
                <c:pt idx="127">
                  <c:v>1.0496012616438357</c:v>
                </c:pt>
                <c:pt idx="128">
                  <c:v>1.0476301169863014</c:v>
                </c:pt>
                <c:pt idx="129">
                  <c:v>1.0462202947945205</c:v>
                </c:pt>
                <c:pt idx="130">
                  <c:v>1.0480968030136986</c:v>
                </c:pt>
                <c:pt idx="131">
                  <c:v>1.0477785263013699</c:v>
                </c:pt>
                <c:pt idx="132">
                  <c:v>1.0483280791780822</c:v>
                </c:pt>
                <c:pt idx="133">
                  <c:v>1.0487075884931507</c:v>
                </c:pt>
                <c:pt idx="134">
                  <c:v>1.0496290997260274</c:v>
                </c:pt>
                <c:pt idx="135">
                  <c:v>1.049318295890411</c:v>
                </c:pt>
                <c:pt idx="136">
                  <c:v>1.0503787520547945</c:v>
                </c:pt>
                <c:pt idx="137">
                  <c:v>1.0500795402739727</c:v>
                </c:pt>
                <c:pt idx="138">
                  <c:v>1.0509397438356165</c:v>
                </c:pt>
                <c:pt idx="139">
                  <c:v>1.0527645400000001</c:v>
                </c:pt>
                <c:pt idx="140">
                  <c:v>1.0539346495890412</c:v>
                </c:pt>
                <c:pt idx="141">
                  <c:v>1.0536376923287671</c:v>
                </c:pt>
                <c:pt idx="142">
                  <c:v>1.0547233627945205</c:v>
                </c:pt>
                <c:pt idx="143">
                  <c:v>1.0555301347397261</c:v>
                </c:pt>
                <c:pt idx="144">
                  <c:v>1.05709587830137</c:v>
                </c:pt>
                <c:pt idx="145">
                  <c:v>1.0580288029589042</c:v>
                </c:pt>
                <c:pt idx="146">
                  <c:v>1.058763380219178</c:v>
                </c:pt>
                <c:pt idx="147">
                  <c:v>1.0604097321643835</c:v>
                </c:pt>
                <c:pt idx="148">
                  <c:v>1.0607735354520549</c:v>
                </c:pt>
                <c:pt idx="149">
                  <c:v>1.0606718729863014</c:v>
                </c:pt>
                <c:pt idx="150">
                  <c:v>1.0601747765479452</c:v>
                </c:pt>
                <c:pt idx="151">
                  <c:v>1.0613826962739727</c:v>
                </c:pt>
                <c:pt idx="152">
                  <c:v>1.0591014809315069</c:v>
                </c:pt>
                <c:pt idx="153">
                  <c:v>1.0576040135342466</c:v>
                </c:pt>
                <c:pt idx="154">
                  <c:v>1.053796937369863</c:v>
                </c:pt>
                <c:pt idx="155">
                  <c:v>1.0559265376438356</c:v>
                </c:pt>
                <c:pt idx="156">
                  <c:v>1.0577638356164385</c:v>
                </c:pt>
                <c:pt idx="157">
                  <c:v>1.0569773758904111</c:v>
                </c:pt>
                <c:pt idx="158">
                  <c:v>1.0579778389041097</c:v>
                </c:pt>
                <c:pt idx="159">
                  <c:v>1.0587690216438357</c:v>
                </c:pt>
                <c:pt idx="160">
                  <c:v>1.0587829460273974</c:v>
                </c:pt>
                <c:pt idx="161">
                  <c:v>1.0590685083835616</c:v>
                </c:pt>
                <c:pt idx="162">
                  <c:v>1.0594894885479453</c:v>
                </c:pt>
                <c:pt idx="163">
                  <c:v>1.060424334739726</c:v>
                </c:pt>
                <c:pt idx="164">
                  <c:v>1.0602027539178083</c:v>
                </c:pt>
                <c:pt idx="165">
                  <c:v>1.0586032435068493</c:v>
                </c:pt>
                <c:pt idx="166">
                  <c:v>1.0599376246027399</c:v>
                </c:pt>
                <c:pt idx="167">
                  <c:v>1.0595688424109591</c:v>
                </c:pt>
                <c:pt idx="168">
                  <c:v>1.0602818231232878</c:v>
                </c:pt>
                <c:pt idx="169">
                  <c:v>1.0629664902465754</c:v>
                </c:pt>
                <c:pt idx="170">
                  <c:v>1.0642202762739728</c:v>
                </c:pt>
                <c:pt idx="171">
                  <c:v>1.0652134661369863</c:v>
                </c:pt>
                <c:pt idx="172">
                  <c:v>1.0654325255890411</c:v>
                </c:pt>
                <c:pt idx="173">
                  <c:v>1.0654063031232877</c:v>
                </c:pt>
                <c:pt idx="174">
                  <c:v>1.0662402691506849</c:v>
                </c:pt>
                <c:pt idx="175">
                  <c:v>1.0678195023013699</c:v>
                </c:pt>
                <c:pt idx="176">
                  <c:v>1.0692652195616439</c:v>
                </c:pt>
                <c:pt idx="177">
                  <c:v>1.0692374409315069</c:v>
                </c:pt>
                <c:pt idx="178">
                  <c:v>1.0693884628493151</c:v>
                </c:pt>
                <c:pt idx="179">
                  <c:v>1.0699986557260275</c:v>
                </c:pt>
                <c:pt idx="180">
                  <c:v>1.0687581055890412</c:v>
                </c:pt>
                <c:pt idx="181">
                  <c:v>1.0677667592876712</c:v>
                </c:pt>
                <c:pt idx="182">
                  <c:v>1.0681507992876713</c:v>
                </c:pt>
                <c:pt idx="183">
                  <c:v>1.0676049866849315</c:v>
                </c:pt>
                <c:pt idx="184">
                  <c:v>1.0662453581917808</c:v>
                </c:pt>
                <c:pt idx="185">
                  <c:v>1.0683608770958903</c:v>
                </c:pt>
                <c:pt idx="186">
                  <c:v>1.0675709921643837</c:v>
                </c:pt>
                <c:pt idx="187">
                  <c:v>1.0648298677808219</c:v>
                </c:pt>
                <c:pt idx="188">
                  <c:v>1.0621450995616439</c:v>
                </c:pt>
                <c:pt idx="189">
                  <c:v>1.0650298217534246</c:v>
                </c:pt>
                <c:pt idx="190">
                  <c:v>1.0628227516164384</c:v>
                </c:pt>
                <c:pt idx="191">
                  <c:v>1.064514156</c:v>
                </c:pt>
                <c:pt idx="192">
                  <c:v>1.069337977369863</c:v>
                </c:pt>
                <c:pt idx="193">
                  <c:v>1.070121371890411</c:v>
                </c:pt>
                <c:pt idx="194">
                  <c:v>1.0706983127123288</c:v>
                </c:pt>
                <c:pt idx="195">
                  <c:v>1.0701844601095891</c:v>
                </c:pt>
                <c:pt idx="196">
                  <c:v>1.0707163609315069</c:v>
                </c:pt>
                <c:pt idx="197">
                  <c:v>1.0695558272328767</c:v>
                </c:pt>
                <c:pt idx="198">
                  <c:v>1.0724534431232877</c:v>
                </c:pt>
                <c:pt idx="199">
                  <c:v>1.0714773675068494</c:v>
                </c:pt>
                <c:pt idx="200">
                  <c:v>1.0710648294246576</c:v>
                </c:pt>
                <c:pt idx="201">
                  <c:v>1.067982542849315</c:v>
                </c:pt>
                <c:pt idx="202">
                  <c:v>1.0670596710684932</c:v>
                </c:pt>
                <c:pt idx="203">
                  <c:v>1.0668778242191781</c:v>
                </c:pt>
                <c:pt idx="204">
                  <c:v>1.0672435592876712</c:v>
                </c:pt>
                <c:pt idx="205">
                  <c:v>1.0666833058630139</c:v>
                </c:pt>
                <c:pt idx="206">
                  <c:v>1.0670908951780822</c:v>
                </c:pt>
                <c:pt idx="207">
                  <c:v>1.0675961121643835</c:v>
                </c:pt>
                <c:pt idx="208">
                  <c:v>1.069570629150685</c:v>
                </c:pt>
                <c:pt idx="209">
                  <c:v>1.0706322313424659</c:v>
                </c:pt>
                <c:pt idx="210">
                  <c:v>1.0706449431232876</c:v>
                </c:pt>
                <c:pt idx="211">
                  <c:v>1.0715956003835616</c:v>
                </c:pt>
                <c:pt idx="212">
                  <c:v>1.0715651176438357</c:v>
                </c:pt>
                <c:pt idx="213">
                  <c:v>1.0725844727123288</c:v>
                </c:pt>
                <c:pt idx="214">
                  <c:v>1.0730766124383562</c:v>
                </c:pt>
                <c:pt idx="215">
                  <c:v>1.0735078321643836</c:v>
                </c:pt>
                <c:pt idx="216">
                  <c:v>1.0749995357260274</c:v>
                </c:pt>
                <c:pt idx="217">
                  <c:v>1.0745620425753426</c:v>
                </c:pt>
                <c:pt idx="218">
                  <c:v>1.0752472469589041</c:v>
                </c:pt>
                <c:pt idx="219">
                  <c:v>1.0749492025753424</c:v>
                </c:pt>
                <c:pt idx="220">
                  <c:v>1.0741783598356165</c:v>
                </c:pt>
                <c:pt idx="221">
                  <c:v>1.0750103653150684</c:v>
                </c:pt>
                <c:pt idx="222">
                  <c:v>1.0751249083287671</c:v>
                </c:pt>
                <c:pt idx="223">
                  <c:v>1.0757538365479453</c:v>
                </c:pt>
                <c:pt idx="224">
                  <c:v>1.0756760475068494</c:v>
                </c:pt>
                <c:pt idx="225">
                  <c:v>1.076867678739726</c:v>
                </c:pt>
                <c:pt idx="226">
                  <c:v>1.0766164612054794</c:v>
                </c:pt>
                <c:pt idx="227">
                  <c:v>1.0768525428493152</c:v>
                </c:pt>
                <c:pt idx="228">
                  <c:v>1.0790240244931506</c:v>
                </c:pt>
                <c:pt idx="229">
                  <c:v>1.0805165469589042</c:v>
                </c:pt>
                <c:pt idx="230">
                  <c:v>1.0838715551780822</c:v>
                </c:pt>
                <c:pt idx="231">
                  <c:v>1.0833065061369864</c:v>
                </c:pt>
                <c:pt idx="232">
                  <c:v>1.0854986127123287</c:v>
                </c:pt>
                <c:pt idx="233">
                  <c:v>1.085863185041096</c:v>
                </c:pt>
                <c:pt idx="234">
                  <c:v>1.0853626444931508</c:v>
                </c:pt>
                <c:pt idx="235">
                  <c:v>1.0882462124383563</c:v>
                </c:pt>
                <c:pt idx="236">
                  <c:v>1.0931923896986302</c:v>
                </c:pt>
                <c:pt idx="237">
                  <c:v>1.0949137521643837</c:v>
                </c:pt>
                <c:pt idx="238">
                  <c:v>1.096387577369863</c:v>
                </c:pt>
                <c:pt idx="239">
                  <c:v>1.0998593970958905</c:v>
                </c:pt>
                <c:pt idx="240">
                  <c:v>1.1033702990136987</c:v>
                </c:pt>
                <c:pt idx="241">
                  <c:v>1.1024867677808219</c:v>
                </c:pt>
                <c:pt idx="242">
                  <c:v>1.1004091039452055</c:v>
                </c:pt>
                <c:pt idx="243">
                  <c:v>1.1020841970958903</c:v>
                </c:pt>
                <c:pt idx="244">
                  <c:v>1.1055294217534246</c:v>
                </c:pt>
                <c:pt idx="245">
                  <c:v>1.1051239565479452</c:v>
                </c:pt>
                <c:pt idx="246">
                  <c:v>1.1034735883287672</c:v>
                </c:pt>
                <c:pt idx="247">
                  <c:v>1.1018753072328769</c:v>
                </c:pt>
                <c:pt idx="248">
                  <c:v>1.1041364165479453</c:v>
                </c:pt>
                <c:pt idx="249">
                  <c:v>1.105852511890411</c:v>
                </c:pt>
                <c:pt idx="250">
                  <c:v>1.104468013260274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B0F-4582-AEA9-FC45A6FC3C29}"/>
            </c:ext>
          </c:extLst>
        </c:ser>
        <c:ser>
          <c:idx val="0"/>
          <c:order val="1"/>
          <c:tx>
            <c:strRef>
              <c:f>中国_中债国债到期收益率_1年!$S$1</c:f>
              <c:strCache>
                <c:ptCount val="1"/>
                <c:pt idx="0">
                  <c:v>Short-Term Bond Fund Index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中国_中债国债到期收益率_1年!$J$390:$J$631</c:f>
              <c:numCache>
                <c:formatCode>yyyy\-mm\-dd</c:formatCode>
                <c:ptCount val="242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45306</c:v>
                </c:pt>
                <c:pt idx="10">
                  <c:v>45307</c:v>
                </c:pt>
                <c:pt idx="11">
                  <c:v>45308</c:v>
                </c:pt>
                <c:pt idx="12">
                  <c:v>45309</c:v>
                </c:pt>
                <c:pt idx="13">
                  <c:v>45310</c:v>
                </c:pt>
                <c:pt idx="14">
                  <c:v>45313</c:v>
                </c:pt>
                <c:pt idx="15">
                  <c:v>45314</c:v>
                </c:pt>
                <c:pt idx="16">
                  <c:v>45315</c:v>
                </c:pt>
                <c:pt idx="17">
                  <c:v>45316</c:v>
                </c:pt>
                <c:pt idx="18">
                  <c:v>45317</c:v>
                </c:pt>
                <c:pt idx="19">
                  <c:v>45320</c:v>
                </c:pt>
                <c:pt idx="20">
                  <c:v>45321</c:v>
                </c:pt>
                <c:pt idx="21">
                  <c:v>45322</c:v>
                </c:pt>
                <c:pt idx="22">
                  <c:v>45323</c:v>
                </c:pt>
                <c:pt idx="23">
                  <c:v>45324</c:v>
                </c:pt>
                <c:pt idx="24">
                  <c:v>45327</c:v>
                </c:pt>
                <c:pt idx="25">
                  <c:v>45328</c:v>
                </c:pt>
                <c:pt idx="26">
                  <c:v>45329</c:v>
                </c:pt>
                <c:pt idx="27">
                  <c:v>45330</c:v>
                </c:pt>
                <c:pt idx="28">
                  <c:v>45341</c:v>
                </c:pt>
                <c:pt idx="29">
                  <c:v>45342</c:v>
                </c:pt>
                <c:pt idx="30">
                  <c:v>45343</c:v>
                </c:pt>
                <c:pt idx="31">
                  <c:v>45344</c:v>
                </c:pt>
                <c:pt idx="32">
                  <c:v>45345</c:v>
                </c:pt>
                <c:pt idx="33">
                  <c:v>45348</c:v>
                </c:pt>
                <c:pt idx="34">
                  <c:v>45349</c:v>
                </c:pt>
                <c:pt idx="35">
                  <c:v>45350</c:v>
                </c:pt>
                <c:pt idx="36">
                  <c:v>45351</c:v>
                </c:pt>
                <c:pt idx="37">
                  <c:v>45352</c:v>
                </c:pt>
                <c:pt idx="38">
                  <c:v>45355</c:v>
                </c:pt>
                <c:pt idx="39">
                  <c:v>45356</c:v>
                </c:pt>
                <c:pt idx="40">
                  <c:v>45357</c:v>
                </c:pt>
                <c:pt idx="41">
                  <c:v>45358</c:v>
                </c:pt>
                <c:pt idx="42">
                  <c:v>45359</c:v>
                </c:pt>
                <c:pt idx="43">
                  <c:v>45362</c:v>
                </c:pt>
                <c:pt idx="44">
                  <c:v>45363</c:v>
                </c:pt>
                <c:pt idx="45">
                  <c:v>45364</c:v>
                </c:pt>
                <c:pt idx="46">
                  <c:v>45365</c:v>
                </c:pt>
                <c:pt idx="47">
                  <c:v>45366</c:v>
                </c:pt>
                <c:pt idx="48">
                  <c:v>45369</c:v>
                </c:pt>
                <c:pt idx="49">
                  <c:v>45370</c:v>
                </c:pt>
                <c:pt idx="50">
                  <c:v>45371</c:v>
                </c:pt>
                <c:pt idx="51">
                  <c:v>45372</c:v>
                </c:pt>
                <c:pt idx="52">
                  <c:v>45373</c:v>
                </c:pt>
                <c:pt idx="53">
                  <c:v>45376</c:v>
                </c:pt>
                <c:pt idx="54">
                  <c:v>45377</c:v>
                </c:pt>
                <c:pt idx="55">
                  <c:v>45378</c:v>
                </c:pt>
                <c:pt idx="56">
                  <c:v>45379</c:v>
                </c:pt>
                <c:pt idx="57">
                  <c:v>45380</c:v>
                </c:pt>
                <c:pt idx="58">
                  <c:v>45383</c:v>
                </c:pt>
                <c:pt idx="59">
                  <c:v>45384</c:v>
                </c:pt>
                <c:pt idx="60">
                  <c:v>45385</c:v>
                </c:pt>
                <c:pt idx="61">
                  <c:v>45390</c:v>
                </c:pt>
                <c:pt idx="62">
                  <c:v>45391</c:v>
                </c:pt>
                <c:pt idx="63">
                  <c:v>45392</c:v>
                </c:pt>
                <c:pt idx="64">
                  <c:v>45393</c:v>
                </c:pt>
                <c:pt idx="65">
                  <c:v>45394</c:v>
                </c:pt>
                <c:pt idx="66">
                  <c:v>45397</c:v>
                </c:pt>
                <c:pt idx="67">
                  <c:v>45398</c:v>
                </c:pt>
                <c:pt idx="68">
                  <c:v>45399</c:v>
                </c:pt>
                <c:pt idx="69">
                  <c:v>45400</c:v>
                </c:pt>
                <c:pt idx="70">
                  <c:v>45401</c:v>
                </c:pt>
                <c:pt idx="71">
                  <c:v>45404</c:v>
                </c:pt>
                <c:pt idx="72">
                  <c:v>45405</c:v>
                </c:pt>
                <c:pt idx="73">
                  <c:v>45406</c:v>
                </c:pt>
                <c:pt idx="74">
                  <c:v>45407</c:v>
                </c:pt>
                <c:pt idx="75">
                  <c:v>45408</c:v>
                </c:pt>
                <c:pt idx="76">
                  <c:v>45411</c:v>
                </c:pt>
                <c:pt idx="77">
                  <c:v>45412</c:v>
                </c:pt>
                <c:pt idx="78">
                  <c:v>45418</c:v>
                </c:pt>
                <c:pt idx="79">
                  <c:v>45419</c:v>
                </c:pt>
                <c:pt idx="80">
                  <c:v>45420</c:v>
                </c:pt>
                <c:pt idx="81">
                  <c:v>45421</c:v>
                </c:pt>
                <c:pt idx="82">
                  <c:v>45422</c:v>
                </c:pt>
                <c:pt idx="83">
                  <c:v>45425</c:v>
                </c:pt>
                <c:pt idx="84">
                  <c:v>45426</c:v>
                </c:pt>
                <c:pt idx="85">
                  <c:v>45427</c:v>
                </c:pt>
                <c:pt idx="86">
                  <c:v>45428</c:v>
                </c:pt>
                <c:pt idx="87">
                  <c:v>45429</c:v>
                </c:pt>
                <c:pt idx="88">
                  <c:v>45432</c:v>
                </c:pt>
                <c:pt idx="89">
                  <c:v>45433</c:v>
                </c:pt>
                <c:pt idx="90">
                  <c:v>45434</c:v>
                </c:pt>
                <c:pt idx="91">
                  <c:v>45435</c:v>
                </c:pt>
                <c:pt idx="92">
                  <c:v>45436</c:v>
                </c:pt>
                <c:pt idx="93">
                  <c:v>45439</c:v>
                </c:pt>
                <c:pt idx="94">
                  <c:v>45440</c:v>
                </c:pt>
                <c:pt idx="95">
                  <c:v>45441</c:v>
                </c:pt>
                <c:pt idx="96">
                  <c:v>45442</c:v>
                </c:pt>
                <c:pt idx="97">
                  <c:v>45443</c:v>
                </c:pt>
                <c:pt idx="98">
                  <c:v>45446</c:v>
                </c:pt>
                <c:pt idx="99">
                  <c:v>45447</c:v>
                </c:pt>
                <c:pt idx="100">
                  <c:v>45448</c:v>
                </c:pt>
                <c:pt idx="101">
                  <c:v>45449</c:v>
                </c:pt>
                <c:pt idx="102">
                  <c:v>45450</c:v>
                </c:pt>
                <c:pt idx="103">
                  <c:v>45454</c:v>
                </c:pt>
                <c:pt idx="104">
                  <c:v>45455</c:v>
                </c:pt>
                <c:pt idx="105">
                  <c:v>45456</c:v>
                </c:pt>
                <c:pt idx="106">
                  <c:v>45457</c:v>
                </c:pt>
                <c:pt idx="107">
                  <c:v>45460</c:v>
                </c:pt>
                <c:pt idx="108">
                  <c:v>45461</c:v>
                </c:pt>
                <c:pt idx="109">
                  <c:v>45462</c:v>
                </c:pt>
                <c:pt idx="110">
                  <c:v>45463</c:v>
                </c:pt>
                <c:pt idx="111">
                  <c:v>45464</c:v>
                </c:pt>
                <c:pt idx="112">
                  <c:v>45467</c:v>
                </c:pt>
                <c:pt idx="113">
                  <c:v>45468</c:v>
                </c:pt>
                <c:pt idx="114">
                  <c:v>45469</c:v>
                </c:pt>
                <c:pt idx="115">
                  <c:v>45470</c:v>
                </c:pt>
                <c:pt idx="116">
                  <c:v>45471</c:v>
                </c:pt>
                <c:pt idx="117">
                  <c:v>45474</c:v>
                </c:pt>
                <c:pt idx="118">
                  <c:v>45475</c:v>
                </c:pt>
                <c:pt idx="119">
                  <c:v>45476</c:v>
                </c:pt>
                <c:pt idx="120">
                  <c:v>45477</c:v>
                </c:pt>
                <c:pt idx="121">
                  <c:v>45478</c:v>
                </c:pt>
                <c:pt idx="122">
                  <c:v>45481</c:v>
                </c:pt>
                <c:pt idx="123">
                  <c:v>45482</c:v>
                </c:pt>
                <c:pt idx="124">
                  <c:v>45483</c:v>
                </c:pt>
                <c:pt idx="125">
                  <c:v>45484</c:v>
                </c:pt>
                <c:pt idx="126">
                  <c:v>45485</c:v>
                </c:pt>
                <c:pt idx="127">
                  <c:v>45488</c:v>
                </c:pt>
                <c:pt idx="128">
                  <c:v>45489</c:v>
                </c:pt>
                <c:pt idx="129">
                  <c:v>45490</c:v>
                </c:pt>
                <c:pt idx="130">
                  <c:v>45491</c:v>
                </c:pt>
                <c:pt idx="131">
                  <c:v>45492</c:v>
                </c:pt>
                <c:pt idx="132">
                  <c:v>45495</c:v>
                </c:pt>
                <c:pt idx="133">
                  <c:v>45496</c:v>
                </c:pt>
                <c:pt idx="134">
                  <c:v>45497</c:v>
                </c:pt>
                <c:pt idx="135">
                  <c:v>45498</c:v>
                </c:pt>
                <c:pt idx="136">
                  <c:v>45499</c:v>
                </c:pt>
                <c:pt idx="137">
                  <c:v>45502</c:v>
                </c:pt>
                <c:pt idx="138">
                  <c:v>45503</c:v>
                </c:pt>
                <c:pt idx="139">
                  <c:v>45504</c:v>
                </c:pt>
                <c:pt idx="140">
                  <c:v>45505</c:v>
                </c:pt>
                <c:pt idx="141">
                  <c:v>45506</c:v>
                </c:pt>
                <c:pt idx="142">
                  <c:v>45509</c:v>
                </c:pt>
                <c:pt idx="143">
                  <c:v>45510</c:v>
                </c:pt>
                <c:pt idx="144">
                  <c:v>45511</c:v>
                </c:pt>
                <c:pt idx="145">
                  <c:v>45512</c:v>
                </c:pt>
                <c:pt idx="146">
                  <c:v>45513</c:v>
                </c:pt>
                <c:pt idx="147">
                  <c:v>45516</c:v>
                </c:pt>
                <c:pt idx="148">
                  <c:v>45517</c:v>
                </c:pt>
                <c:pt idx="149">
                  <c:v>45518</c:v>
                </c:pt>
                <c:pt idx="150">
                  <c:v>45519</c:v>
                </c:pt>
                <c:pt idx="151">
                  <c:v>45520</c:v>
                </c:pt>
                <c:pt idx="152">
                  <c:v>45523</c:v>
                </c:pt>
                <c:pt idx="153">
                  <c:v>45524</c:v>
                </c:pt>
                <c:pt idx="154">
                  <c:v>45525</c:v>
                </c:pt>
                <c:pt idx="155">
                  <c:v>45526</c:v>
                </c:pt>
                <c:pt idx="156">
                  <c:v>45527</c:v>
                </c:pt>
                <c:pt idx="157">
                  <c:v>45530</c:v>
                </c:pt>
                <c:pt idx="158">
                  <c:v>45531</c:v>
                </c:pt>
                <c:pt idx="159">
                  <c:v>45532</c:v>
                </c:pt>
                <c:pt idx="160">
                  <c:v>45533</c:v>
                </c:pt>
                <c:pt idx="161">
                  <c:v>45534</c:v>
                </c:pt>
                <c:pt idx="162">
                  <c:v>45537</c:v>
                </c:pt>
                <c:pt idx="163">
                  <c:v>45538</c:v>
                </c:pt>
                <c:pt idx="164">
                  <c:v>45539</c:v>
                </c:pt>
                <c:pt idx="165">
                  <c:v>45540</c:v>
                </c:pt>
                <c:pt idx="166">
                  <c:v>45541</c:v>
                </c:pt>
                <c:pt idx="167">
                  <c:v>45544</c:v>
                </c:pt>
                <c:pt idx="168">
                  <c:v>45545</c:v>
                </c:pt>
                <c:pt idx="169">
                  <c:v>45546</c:v>
                </c:pt>
                <c:pt idx="170">
                  <c:v>45547</c:v>
                </c:pt>
                <c:pt idx="171">
                  <c:v>45548</c:v>
                </c:pt>
                <c:pt idx="172">
                  <c:v>45553</c:v>
                </c:pt>
                <c:pt idx="173">
                  <c:v>45554</c:v>
                </c:pt>
                <c:pt idx="174">
                  <c:v>45555</c:v>
                </c:pt>
                <c:pt idx="175">
                  <c:v>45558</c:v>
                </c:pt>
                <c:pt idx="176">
                  <c:v>45559</c:v>
                </c:pt>
                <c:pt idx="177">
                  <c:v>45560</c:v>
                </c:pt>
                <c:pt idx="178">
                  <c:v>45561</c:v>
                </c:pt>
                <c:pt idx="179">
                  <c:v>45562</c:v>
                </c:pt>
                <c:pt idx="180">
                  <c:v>45565</c:v>
                </c:pt>
                <c:pt idx="181">
                  <c:v>45573</c:v>
                </c:pt>
                <c:pt idx="182">
                  <c:v>45574</c:v>
                </c:pt>
                <c:pt idx="183">
                  <c:v>45575</c:v>
                </c:pt>
                <c:pt idx="184">
                  <c:v>45576</c:v>
                </c:pt>
                <c:pt idx="185">
                  <c:v>45579</c:v>
                </c:pt>
                <c:pt idx="186">
                  <c:v>45580</c:v>
                </c:pt>
                <c:pt idx="187">
                  <c:v>45581</c:v>
                </c:pt>
                <c:pt idx="188">
                  <c:v>45582</c:v>
                </c:pt>
                <c:pt idx="189">
                  <c:v>45583</c:v>
                </c:pt>
                <c:pt idx="190">
                  <c:v>45586</c:v>
                </c:pt>
                <c:pt idx="191">
                  <c:v>45587</c:v>
                </c:pt>
                <c:pt idx="192">
                  <c:v>45588</c:v>
                </c:pt>
                <c:pt idx="193">
                  <c:v>45589</c:v>
                </c:pt>
                <c:pt idx="194">
                  <c:v>45590</c:v>
                </c:pt>
                <c:pt idx="195">
                  <c:v>45593</c:v>
                </c:pt>
                <c:pt idx="196">
                  <c:v>45594</c:v>
                </c:pt>
                <c:pt idx="197">
                  <c:v>45595</c:v>
                </c:pt>
                <c:pt idx="198">
                  <c:v>45596</c:v>
                </c:pt>
                <c:pt idx="199">
                  <c:v>45597</c:v>
                </c:pt>
                <c:pt idx="200">
                  <c:v>45600</c:v>
                </c:pt>
                <c:pt idx="201">
                  <c:v>45601</c:v>
                </c:pt>
                <c:pt idx="202">
                  <c:v>45602</c:v>
                </c:pt>
                <c:pt idx="203">
                  <c:v>45603</c:v>
                </c:pt>
                <c:pt idx="204">
                  <c:v>45604</c:v>
                </c:pt>
                <c:pt idx="205">
                  <c:v>45607</c:v>
                </c:pt>
                <c:pt idx="206">
                  <c:v>45608</c:v>
                </c:pt>
                <c:pt idx="207">
                  <c:v>45609</c:v>
                </c:pt>
                <c:pt idx="208">
                  <c:v>45610</c:v>
                </c:pt>
                <c:pt idx="209">
                  <c:v>45611</c:v>
                </c:pt>
                <c:pt idx="210">
                  <c:v>45614</c:v>
                </c:pt>
                <c:pt idx="211">
                  <c:v>45615</c:v>
                </c:pt>
                <c:pt idx="212">
                  <c:v>45616</c:v>
                </c:pt>
                <c:pt idx="213">
                  <c:v>45617</c:v>
                </c:pt>
                <c:pt idx="214">
                  <c:v>45618</c:v>
                </c:pt>
                <c:pt idx="215">
                  <c:v>45621</c:v>
                </c:pt>
                <c:pt idx="216">
                  <c:v>45622</c:v>
                </c:pt>
                <c:pt idx="217">
                  <c:v>45623</c:v>
                </c:pt>
                <c:pt idx="218">
                  <c:v>45624</c:v>
                </c:pt>
                <c:pt idx="219">
                  <c:v>45625</c:v>
                </c:pt>
                <c:pt idx="220">
                  <c:v>45628</c:v>
                </c:pt>
                <c:pt idx="221">
                  <c:v>45629</c:v>
                </c:pt>
                <c:pt idx="222">
                  <c:v>45630</c:v>
                </c:pt>
                <c:pt idx="223">
                  <c:v>45631</c:v>
                </c:pt>
                <c:pt idx="224">
                  <c:v>45632</c:v>
                </c:pt>
                <c:pt idx="225">
                  <c:v>45635</c:v>
                </c:pt>
                <c:pt idx="226">
                  <c:v>45636</c:v>
                </c:pt>
                <c:pt idx="227">
                  <c:v>45637</c:v>
                </c:pt>
                <c:pt idx="228">
                  <c:v>45638</c:v>
                </c:pt>
                <c:pt idx="229">
                  <c:v>45639</c:v>
                </c:pt>
                <c:pt idx="230">
                  <c:v>45642</c:v>
                </c:pt>
                <c:pt idx="231">
                  <c:v>45643</c:v>
                </c:pt>
                <c:pt idx="232">
                  <c:v>45644</c:v>
                </c:pt>
                <c:pt idx="233">
                  <c:v>45645</c:v>
                </c:pt>
                <c:pt idx="234">
                  <c:v>45646</c:v>
                </c:pt>
                <c:pt idx="235">
                  <c:v>45649</c:v>
                </c:pt>
                <c:pt idx="236">
                  <c:v>45650</c:v>
                </c:pt>
                <c:pt idx="237">
                  <c:v>45651</c:v>
                </c:pt>
                <c:pt idx="238">
                  <c:v>45652</c:v>
                </c:pt>
                <c:pt idx="239">
                  <c:v>45653</c:v>
                </c:pt>
                <c:pt idx="240">
                  <c:v>45656</c:v>
                </c:pt>
                <c:pt idx="241">
                  <c:v>45657</c:v>
                </c:pt>
              </c:numCache>
            </c:numRef>
          </c:cat>
          <c:val>
            <c:numRef>
              <c:f>中国_中债国债到期收益率_1年!$S$390:$S$631</c:f>
              <c:numCache>
                <c:formatCode>0.00_);[Red]\(0.00\)</c:formatCode>
                <c:ptCount val="242"/>
                <c:pt idx="0">
                  <c:v>1</c:v>
                </c:pt>
                <c:pt idx="1">
                  <c:v>0.99996872982105034</c:v>
                </c:pt>
                <c:pt idx="2">
                  <c:v>1.0000753403593365</c:v>
                </c:pt>
                <c:pt idx="3">
                  <c:v>1.000323480738075</c:v>
                </c:pt>
                <c:pt idx="4">
                  <c:v>1.0005688140989546</c:v>
                </c:pt>
                <c:pt idx="5">
                  <c:v>1.0008563650084339</c:v>
                </c:pt>
                <c:pt idx="6">
                  <c:v>1.0009365334384879</c:v>
                </c:pt>
                <c:pt idx="7">
                  <c:v>1.0010122667803245</c:v>
                </c:pt>
                <c:pt idx="8">
                  <c:v>1.0010723369625081</c:v>
                </c:pt>
                <c:pt idx="9">
                  <c:v>1.0012459229469106</c:v>
                </c:pt>
                <c:pt idx="10">
                  <c:v>1.0012744983887156</c:v>
                </c:pt>
                <c:pt idx="11">
                  <c:v>1.0014488141977615</c:v>
                </c:pt>
                <c:pt idx="12">
                  <c:v>1.0016103861457275</c:v>
                </c:pt>
                <c:pt idx="13">
                  <c:v>1.0018346668726643</c:v>
                </c:pt>
                <c:pt idx="14">
                  <c:v>1.0021936283164776</c:v>
                </c:pt>
                <c:pt idx="15">
                  <c:v>1.0022291090222157</c:v>
                </c:pt>
                <c:pt idx="16">
                  <c:v>1.0023275792087105</c:v>
                </c:pt>
                <c:pt idx="17">
                  <c:v>1.0024862318581031</c:v>
                </c:pt>
                <c:pt idx="18">
                  <c:v>1.0026125476617596</c:v>
                </c:pt>
                <c:pt idx="19">
                  <c:v>1.0028961126058793</c:v>
                </c:pt>
                <c:pt idx="20">
                  <c:v>1.0033529828326155</c:v>
                </c:pt>
                <c:pt idx="21">
                  <c:v>1.0037057126967817</c:v>
                </c:pt>
                <c:pt idx="22">
                  <c:v>1.0038012635847033</c:v>
                </c:pt>
                <c:pt idx="23">
                  <c:v>1.0039762530780354</c:v>
                </c:pt>
                <c:pt idx="24">
                  <c:v>1.0044290250586974</c:v>
                </c:pt>
                <c:pt idx="25">
                  <c:v>1.0042488706525048</c:v>
                </c:pt>
                <c:pt idx="26">
                  <c:v>1.0044744987480139</c:v>
                </c:pt>
                <c:pt idx="27">
                  <c:v>1.004611256658106</c:v>
                </c:pt>
                <c:pt idx="28">
                  <c:v>1.0053814462182675</c:v>
                </c:pt>
                <c:pt idx="29">
                  <c:v>1.0057116076588473</c:v>
                </c:pt>
                <c:pt idx="30">
                  <c:v>1.0059028217154045</c:v>
                </c:pt>
                <c:pt idx="31">
                  <c:v>1.006160562095221</c:v>
                </c:pt>
                <c:pt idx="32">
                  <c:v>1.0064565901986346</c:v>
                </c:pt>
                <c:pt idx="33">
                  <c:v>1.0067859656742135</c:v>
                </c:pt>
                <c:pt idx="34">
                  <c:v>1.0069760007832702</c:v>
                </c:pt>
                <c:pt idx="35">
                  <c:v>1.0071381902751653</c:v>
                </c:pt>
                <c:pt idx="36">
                  <c:v>1.0074026674978434</c:v>
                </c:pt>
                <c:pt idx="37">
                  <c:v>1.0072107236166428</c:v>
                </c:pt>
                <c:pt idx="38">
                  <c:v>1.0074349482032223</c:v>
                </c:pt>
                <c:pt idx="39">
                  <c:v>1.0075272990907844</c:v>
                </c:pt>
                <c:pt idx="40">
                  <c:v>1.0078123236841907</c:v>
                </c:pt>
                <c:pt idx="41">
                  <c:v>1.0078846324642394</c:v>
                </c:pt>
                <c:pt idx="42">
                  <c:v>1.0079518324717847</c:v>
                </c:pt>
                <c:pt idx="43">
                  <c:v>1.0079722114214413</c:v>
                </c:pt>
                <c:pt idx="44">
                  <c:v>1.0077337833244948</c:v>
                </c:pt>
                <c:pt idx="45">
                  <c:v>1.007598934186547</c:v>
                </c:pt>
                <c:pt idx="46">
                  <c:v>1.0074865973318283</c:v>
                </c:pt>
                <c:pt idx="47">
                  <c:v>1.0076404219105035</c:v>
                </c:pt>
                <c:pt idx="48">
                  <c:v>1.0079708640528688</c:v>
                </c:pt>
                <c:pt idx="49">
                  <c:v>1.0081788640762233</c:v>
                </c:pt>
                <c:pt idx="50">
                  <c:v>1.0082148500451762</c:v>
                </c:pt>
                <c:pt idx="51">
                  <c:v>1.0084037623470892</c:v>
                </c:pt>
                <c:pt idx="52">
                  <c:v>1.008448450071405</c:v>
                </c:pt>
                <c:pt idx="53">
                  <c:v>1.008524295693956</c:v>
                </c:pt>
                <c:pt idx="54">
                  <c:v>1.0085553413114769</c:v>
                </c:pt>
                <c:pt idx="55">
                  <c:v>1.0087428501044604</c:v>
                </c:pt>
                <c:pt idx="56">
                  <c:v>1.0088183588848683</c:v>
                </c:pt>
                <c:pt idx="57">
                  <c:v>1.0090234957500064</c:v>
                </c:pt>
                <c:pt idx="58">
                  <c:v>1.0091091097947071</c:v>
                </c:pt>
                <c:pt idx="59">
                  <c:v>1.0093435519262934</c:v>
                </c:pt>
                <c:pt idx="60">
                  <c:v>1.0096345835379181</c:v>
                </c:pt>
                <c:pt idx="61">
                  <c:v>1.0100490677949829</c:v>
                </c:pt>
                <c:pt idx="62">
                  <c:v>1.0103201134394513</c:v>
                </c:pt>
                <c:pt idx="63">
                  <c:v>1.0104408713477471</c:v>
                </c:pt>
                <c:pt idx="64">
                  <c:v>1.0107070889214977</c:v>
                </c:pt>
                <c:pt idx="65">
                  <c:v>1.0110979380881895</c:v>
                </c:pt>
                <c:pt idx="66">
                  <c:v>1.0113642118022974</c:v>
                </c:pt>
                <c:pt idx="67">
                  <c:v>1.0114014328591083</c:v>
                </c:pt>
                <c:pt idx="68">
                  <c:v>1.0116029206010297</c:v>
                </c:pt>
                <c:pt idx="69">
                  <c:v>1.0118670609815648</c:v>
                </c:pt>
                <c:pt idx="70">
                  <c:v>1.0121584294353323</c:v>
                </c:pt>
                <c:pt idx="71">
                  <c:v>1.0125577557959586</c:v>
                </c:pt>
                <c:pt idx="72">
                  <c:v>1.0128674821465242</c:v>
                </c:pt>
                <c:pt idx="73">
                  <c:v>1.0124972364909177</c:v>
                </c:pt>
                <c:pt idx="74">
                  <c:v>1.0124284645533714</c:v>
                </c:pt>
                <c:pt idx="75">
                  <c:v>1.0120808996020658</c:v>
                </c:pt>
                <c:pt idx="76">
                  <c:v>1.0114896293602391</c:v>
                </c:pt>
                <c:pt idx="77">
                  <c:v>1.0119002399326587</c:v>
                </c:pt>
                <c:pt idx="78">
                  <c:v>1.0123215171729423</c:v>
                </c:pt>
                <c:pt idx="79">
                  <c:v>1.0127047312510575</c:v>
                </c:pt>
                <c:pt idx="80">
                  <c:v>1.0128340224936445</c:v>
                </c:pt>
                <c:pt idx="81">
                  <c:v>1.0127584575728794</c:v>
                </c:pt>
                <c:pt idx="82">
                  <c:v>1.0128171242461332</c:v>
                </c:pt>
                <c:pt idx="83">
                  <c:v>1.0131206190170519</c:v>
                </c:pt>
                <c:pt idx="84">
                  <c:v>1.0133214892150444</c:v>
                </c:pt>
                <c:pt idx="85">
                  <c:v>1.0134528576508472</c:v>
                </c:pt>
                <c:pt idx="86">
                  <c:v>1.0134741909865759</c:v>
                </c:pt>
                <c:pt idx="87">
                  <c:v>1.01352269625518</c:v>
                </c:pt>
                <c:pt idx="88">
                  <c:v>1.0137181208385257</c:v>
                </c:pt>
                <c:pt idx="89">
                  <c:v>1.0137072296092329</c:v>
                </c:pt>
                <c:pt idx="90">
                  <c:v>1.0138118190946603</c:v>
                </c:pt>
                <c:pt idx="91">
                  <c:v>1.0139804085872739</c:v>
                </c:pt>
                <c:pt idx="92">
                  <c:v>1.0140628226316151</c:v>
                </c:pt>
                <c:pt idx="93">
                  <c:v>1.0141858822945551</c:v>
                </c:pt>
                <c:pt idx="94">
                  <c:v>1.0143119173964257</c:v>
                </c:pt>
                <c:pt idx="95">
                  <c:v>1.014445587586873</c:v>
                </c:pt>
                <c:pt idx="96">
                  <c:v>1.0145441700540823</c:v>
                </c:pt>
                <c:pt idx="97">
                  <c:v>1.0145883525151835</c:v>
                </c:pt>
                <c:pt idx="98">
                  <c:v>1.0148333490339199</c:v>
                </c:pt>
                <c:pt idx="99">
                  <c:v>1.0149536578193581</c:v>
                </c:pt>
                <c:pt idx="100">
                  <c:v>1.015148464858775</c:v>
                </c:pt>
                <c:pt idx="101">
                  <c:v>1.01527680171529</c:v>
                </c:pt>
                <c:pt idx="102">
                  <c:v>1.015395819272513</c:v>
                </c:pt>
                <c:pt idx="103">
                  <c:v>1.0156186964905203</c:v>
                </c:pt>
                <c:pt idx="104">
                  <c:v>1.0156765771987737</c:v>
                </c:pt>
                <c:pt idx="105">
                  <c:v>1.0157527035231104</c:v>
                </c:pt>
                <c:pt idx="106">
                  <c:v>1.0158716649399764</c:v>
                </c:pt>
                <c:pt idx="107">
                  <c:v>1.0159998333754199</c:v>
                </c:pt>
                <c:pt idx="108">
                  <c:v>1.0160935316315545</c:v>
                </c:pt>
                <c:pt idx="109">
                  <c:v>1.0162133912941351</c:v>
                </c:pt>
                <c:pt idx="110">
                  <c:v>1.0163052930588399</c:v>
                </c:pt>
                <c:pt idx="111">
                  <c:v>1.0162804790209661</c:v>
                </c:pt>
                <c:pt idx="112">
                  <c:v>1.0164873562371768</c:v>
                </c:pt>
                <c:pt idx="113">
                  <c:v>1.0166672299415838</c:v>
                </c:pt>
                <c:pt idx="114">
                  <c:v>1.0167917492538106</c:v>
                </c:pt>
                <c:pt idx="115">
                  <c:v>1.0169984019085925</c:v>
                </c:pt>
                <c:pt idx="116">
                  <c:v>1.0171521703469104</c:v>
                </c:pt>
                <c:pt idx="117">
                  <c:v>1.0170801984090048</c:v>
                </c:pt>
                <c:pt idx="118">
                  <c:v>1.0172670896580591</c:v>
                </c:pt>
                <c:pt idx="119">
                  <c:v>1.0174524089771126</c:v>
                </c:pt>
                <c:pt idx="120">
                  <c:v>1.0175232019675173</c:v>
                </c:pt>
                <c:pt idx="121">
                  <c:v>1.0174388230106748</c:v>
                </c:pt>
                <c:pt idx="122">
                  <c:v>1.0172958896612929</c:v>
                </c:pt>
                <c:pt idx="123">
                  <c:v>1.0174753703831994</c:v>
                </c:pt>
                <c:pt idx="124">
                  <c:v>1.0175418967064587</c:v>
                </c:pt>
                <c:pt idx="125">
                  <c:v>1.0176550195261775</c:v>
                </c:pt>
                <c:pt idx="126">
                  <c:v>1.0178070476134229</c:v>
                </c:pt>
                <c:pt idx="127">
                  <c:v>1.0180215599182101</c:v>
                </c:pt>
                <c:pt idx="128">
                  <c:v>1.018095103786117</c:v>
                </c:pt>
                <c:pt idx="129">
                  <c:v>1.0181477634411522</c:v>
                </c:pt>
                <c:pt idx="130">
                  <c:v>1.0181514687047264</c:v>
                </c:pt>
                <c:pt idx="131">
                  <c:v>1.0182412371358582</c:v>
                </c:pt>
                <c:pt idx="132">
                  <c:v>1.0186386547243402</c:v>
                </c:pt>
                <c:pt idx="133">
                  <c:v>1.0188549073802</c:v>
                </c:pt>
                <c:pt idx="134">
                  <c:v>1.0189488301977634</c:v>
                </c:pt>
                <c:pt idx="135">
                  <c:v>1.0191289846039562</c:v>
                </c:pt>
                <c:pt idx="136">
                  <c:v>1.0193237916433731</c:v>
                </c:pt>
                <c:pt idx="137">
                  <c:v>1.0196161144832128</c:v>
                </c:pt>
                <c:pt idx="138">
                  <c:v>1.0197764513433207</c:v>
                </c:pt>
                <c:pt idx="139">
                  <c:v>1.019973223295239</c:v>
                </c:pt>
                <c:pt idx="140">
                  <c:v>1.0202318619207704</c:v>
                </c:pt>
                <c:pt idx="141">
                  <c:v>1.0204489005416311</c:v>
                </c:pt>
                <c:pt idx="142">
                  <c:v>1.0206908093407223</c:v>
                </c:pt>
                <c:pt idx="143">
                  <c:v>1.0205969988038734</c:v>
                </c:pt>
                <c:pt idx="144">
                  <c:v>1.0207049005703748</c:v>
                </c:pt>
                <c:pt idx="145">
                  <c:v>1.0205032444073818</c:v>
                </c:pt>
                <c:pt idx="146">
                  <c:v>1.0202316373593416</c:v>
                </c:pt>
                <c:pt idx="147">
                  <c:v>1.0196253215017905</c:v>
                </c:pt>
                <c:pt idx="148">
                  <c:v>1.0198003109951226</c:v>
                </c:pt>
                <c:pt idx="149">
                  <c:v>1.0201415320860667</c:v>
                </c:pt>
                <c:pt idx="150">
                  <c:v>1.0200490689177901</c:v>
                </c:pt>
                <c:pt idx="151">
                  <c:v>1.0201024022571117</c:v>
                </c:pt>
                <c:pt idx="152">
                  <c:v>1.0202386549039892</c:v>
                </c:pt>
                <c:pt idx="153">
                  <c:v>1.0202374198161313</c:v>
                </c:pt>
                <c:pt idx="154">
                  <c:v>1.0200824162899556</c:v>
                </c:pt>
                <c:pt idx="155">
                  <c:v>1.0201097566439026</c:v>
                </c:pt>
                <c:pt idx="156">
                  <c:v>1.0200689987445892</c:v>
                </c:pt>
                <c:pt idx="157">
                  <c:v>1.019981251366316</c:v>
                </c:pt>
                <c:pt idx="158">
                  <c:v>1.0195868092167646</c:v>
                </c:pt>
                <c:pt idx="159">
                  <c:v>1.0196662478221752</c:v>
                </c:pt>
                <c:pt idx="160">
                  <c:v>1.0197986829247643</c:v>
                </c:pt>
                <c:pt idx="161">
                  <c:v>1.0199317917116397</c:v>
                </c:pt>
                <c:pt idx="162">
                  <c:v>1.0203261215804769</c:v>
                </c:pt>
                <c:pt idx="163">
                  <c:v>1.0204785987905796</c:v>
                </c:pt>
                <c:pt idx="164">
                  <c:v>1.0206069356470944</c:v>
                </c:pt>
                <c:pt idx="165">
                  <c:v>1.0207121426764512</c:v>
                </c:pt>
                <c:pt idx="166">
                  <c:v>1.020752844435407</c:v>
                </c:pt>
                <c:pt idx="167">
                  <c:v>1.0208981918201478</c:v>
                </c:pt>
                <c:pt idx="168">
                  <c:v>1.0209420935794631</c:v>
                </c:pt>
                <c:pt idx="169">
                  <c:v>1.0210627392070444</c:v>
                </c:pt>
                <c:pt idx="170">
                  <c:v>1.0211418971106692</c:v>
                </c:pt>
                <c:pt idx="171">
                  <c:v>1.0212636655453939</c:v>
                </c:pt>
                <c:pt idx="172">
                  <c:v>1.0216344726045723</c:v>
                </c:pt>
                <c:pt idx="173">
                  <c:v>1.0215697989131003</c:v>
                </c:pt>
                <c:pt idx="174">
                  <c:v>1.0215742340013176</c:v>
                </c:pt>
                <c:pt idx="175">
                  <c:v>1.0216493497992252</c:v>
                </c:pt>
                <c:pt idx="176">
                  <c:v>1.02162913927064</c:v>
                </c:pt>
                <c:pt idx="177">
                  <c:v>1.0219537428158589</c:v>
                </c:pt>
                <c:pt idx="178">
                  <c:v>1.021872339297947</c:v>
                </c:pt>
                <c:pt idx="179">
                  <c:v>1.0210380374498849</c:v>
                </c:pt>
                <c:pt idx="180">
                  <c:v>1.0198249004715676</c:v>
                </c:pt>
                <c:pt idx="181">
                  <c:v>1.0193740372630498</c:v>
                </c:pt>
                <c:pt idx="182">
                  <c:v>1.0182592581905132</c:v>
                </c:pt>
                <c:pt idx="183">
                  <c:v>1.018726851225471</c:v>
                </c:pt>
                <c:pt idx="184">
                  <c:v>1.0194608863956083</c:v>
                </c:pt>
                <c:pt idx="185">
                  <c:v>1.0205469216052683</c:v>
                </c:pt>
                <c:pt idx="186">
                  <c:v>1.0209647742837642</c:v>
                </c:pt>
                <c:pt idx="187">
                  <c:v>1.0211324655306628</c:v>
                </c:pt>
                <c:pt idx="188">
                  <c:v>1.0213912725772658</c:v>
                </c:pt>
                <c:pt idx="189">
                  <c:v>1.0214782339905386</c:v>
                </c:pt>
                <c:pt idx="190">
                  <c:v>1.0215769287384622</c:v>
                </c:pt>
                <c:pt idx="191">
                  <c:v>1.021373026961182</c:v>
                </c:pt>
                <c:pt idx="192">
                  <c:v>1.0210420795556019</c:v>
                </c:pt>
                <c:pt idx="193">
                  <c:v>1.0210368023620269</c:v>
                </c:pt>
                <c:pt idx="194">
                  <c:v>1.021027202360949</c:v>
                </c:pt>
                <c:pt idx="195">
                  <c:v>1.0210414058713158</c:v>
                </c:pt>
                <c:pt idx="196">
                  <c:v>1.0210442690295318</c:v>
                </c:pt>
                <c:pt idx="197">
                  <c:v>1.0210469076263196</c:v>
                </c:pt>
                <c:pt idx="198">
                  <c:v>1.0211685637803301</c:v>
                </c:pt>
                <c:pt idx="199">
                  <c:v>1.0214705427616049</c:v>
                </c:pt>
                <c:pt idx="200">
                  <c:v>1.0217043673492623</c:v>
                </c:pt>
                <c:pt idx="201">
                  <c:v>1.0217989077107545</c:v>
                </c:pt>
                <c:pt idx="202">
                  <c:v>1.0218757077193776</c:v>
                </c:pt>
                <c:pt idx="203">
                  <c:v>1.0221291814320483</c:v>
                </c:pt>
                <c:pt idx="204">
                  <c:v>1.0222536446039181</c:v>
                </c:pt>
                <c:pt idx="205">
                  <c:v>1.0225031323512288</c:v>
                </c:pt>
                <c:pt idx="206">
                  <c:v>1.0227401569392456</c:v>
                </c:pt>
                <c:pt idx="207">
                  <c:v>1.0227885499271354</c:v>
                </c:pt>
                <c:pt idx="208">
                  <c:v>1.022878206077553</c:v>
                </c:pt>
                <c:pt idx="209">
                  <c:v>1.023009349951927</c:v>
                </c:pt>
                <c:pt idx="210">
                  <c:v>1.0230688587305385</c:v>
                </c:pt>
                <c:pt idx="211">
                  <c:v>1.0231674973381051</c:v>
                </c:pt>
                <c:pt idx="212">
                  <c:v>1.023229364011718</c:v>
                </c:pt>
                <c:pt idx="213">
                  <c:v>1.0233875675382531</c:v>
                </c:pt>
                <c:pt idx="214">
                  <c:v>1.0235257289572748</c:v>
                </c:pt>
                <c:pt idx="215">
                  <c:v>1.0238246202189047</c:v>
                </c:pt>
                <c:pt idx="216">
                  <c:v>1.0239714833932894</c:v>
                </c:pt>
                <c:pt idx="217">
                  <c:v>1.0241082974437388</c:v>
                </c:pt>
                <c:pt idx="218">
                  <c:v>1.0243315115038891</c:v>
                </c:pt>
                <c:pt idx="219">
                  <c:v>1.0247335326016598</c:v>
                </c:pt>
                <c:pt idx="220">
                  <c:v>1.0256842134101574</c:v>
                </c:pt>
                <c:pt idx="221">
                  <c:v>1.0258173221970326</c:v>
                </c:pt>
                <c:pt idx="222">
                  <c:v>1.0262034555737214</c:v>
                </c:pt>
                <c:pt idx="223">
                  <c:v>1.0263746836631225</c:v>
                </c:pt>
                <c:pt idx="224">
                  <c:v>1.0264378415649507</c:v>
                </c:pt>
                <c:pt idx="225">
                  <c:v>1.0266935047515515</c:v>
                </c:pt>
                <c:pt idx="226">
                  <c:v>1.027437589045624</c:v>
                </c:pt>
                <c:pt idx="227">
                  <c:v>1.0275096171238867</c:v>
                </c:pt>
                <c:pt idx="228">
                  <c:v>1.0277078487250917</c:v>
                </c:pt>
                <c:pt idx="229">
                  <c:v>1.0283148382669292</c:v>
                </c:pt>
                <c:pt idx="230">
                  <c:v>1.028866922539444</c:v>
                </c:pt>
                <c:pt idx="231">
                  <c:v>1.0287454909468621</c:v>
                </c:pt>
                <c:pt idx="232">
                  <c:v>1.0285952032106893</c:v>
                </c:pt>
                <c:pt idx="233">
                  <c:v>1.0286110347914144</c:v>
                </c:pt>
                <c:pt idx="234">
                  <c:v>1.029072620808154</c:v>
                </c:pt>
                <c:pt idx="235">
                  <c:v>1.0293811682112188</c:v>
                </c:pt>
                <c:pt idx="236">
                  <c:v>1.0293131260983159</c:v>
                </c:pt>
                <c:pt idx="237">
                  <c:v>1.0291281436214055</c:v>
                </c:pt>
                <c:pt idx="238">
                  <c:v>1.0291502629221347</c:v>
                </c:pt>
                <c:pt idx="239">
                  <c:v>1.0295499261249039</c:v>
                </c:pt>
                <c:pt idx="240">
                  <c:v>1.0296906700003559</c:v>
                </c:pt>
                <c:pt idx="241">
                  <c:v>1.0300651261827509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ED-4AAE-99F7-6F179EFC1D7A}"/>
            </c:ext>
          </c:extLst>
        </c:ser>
        <c:ser>
          <c:idx val="1"/>
          <c:order val="2"/>
          <c:tx>
            <c:strRef>
              <c:f>中国_中债国债到期收益率_1年!$T$1</c:f>
              <c:strCache>
                <c:ptCount val="1"/>
                <c:pt idx="0">
                  <c:v>Long-Term Bond Fund Index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中国_中债国债到期收益率_1年!$J$390:$J$631</c:f>
              <c:numCache>
                <c:formatCode>yyyy\-mm\-dd</c:formatCode>
                <c:ptCount val="242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45306</c:v>
                </c:pt>
                <c:pt idx="10">
                  <c:v>45307</c:v>
                </c:pt>
                <c:pt idx="11">
                  <c:v>45308</c:v>
                </c:pt>
                <c:pt idx="12">
                  <c:v>45309</c:v>
                </c:pt>
                <c:pt idx="13">
                  <c:v>45310</c:v>
                </c:pt>
                <c:pt idx="14">
                  <c:v>45313</c:v>
                </c:pt>
                <c:pt idx="15">
                  <c:v>45314</c:v>
                </c:pt>
                <c:pt idx="16">
                  <c:v>45315</c:v>
                </c:pt>
                <c:pt idx="17">
                  <c:v>45316</c:v>
                </c:pt>
                <c:pt idx="18">
                  <c:v>45317</c:v>
                </c:pt>
                <c:pt idx="19">
                  <c:v>45320</c:v>
                </c:pt>
                <c:pt idx="20">
                  <c:v>45321</c:v>
                </c:pt>
                <c:pt idx="21">
                  <c:v>45322</c:v>
                </c:pt>
                <c:pt idx="22">
                  <c:v>45323</c:v>
                </c:pt>
                <c:pt idx="23">
                  <c:v>45324</c:v>
                </c:pt>
                <c:pt idx="24">
                  <c:v>45327</c:v>
                </c:pt>
                <c:pt idx="25">
                  <c:v>45328</c:v>
                </c:pt>
                <c:pt idx="26">
                  <c:v>45329</c:v>
                </c:pt>
                <c:pt idx="27">
                  <c:v>45330</c:v>
                </c:pt>
                <c:pt idx="28">
                  <c:v>45341</c:v>
                </c:pt>
                <c:pt idx="29">
                  <c:v>45342</c:v>
                </c:pt>
                <c:pt idx="30">
                  <c:v>45343</c:v>
                </c:pt>
                <c:pt idx="31">
                  <c:v>45344</c:v>
                </c:pt>
                <c:pt idx="32">
                  <c:v>45345</c:v>
                </c:pt>
                <c:pt idx="33">
                  <c:v>45348</c:v>
                </c:pt>
                <c:pt idx="34">
                  <c:v>45349</c:v>
                </c:pt>
                <c:pt idx="35">
                  <c:v>45350</c:v>
                </c:pt>
                <c:pt idx="36">
                  <c:v>45351</c:v>
                </c:pt>
                <c:pt idx="37">
                  <c:v>45352</c:v>
                </c:pt>
                <c:pt idx="38">
                  <c:v>45355</c:v>
                </c:pt>
                <c:pt idx="39">
                  <c:v>45356</c:v>
                </c:pt>
                <c:pt idx="40">
                  <c:v>45357</c:v>
                </c:pt>
                <c:pt idx="41">
                  <c:v>45358</c:v>
                </c:pt>
                <c:pt idx="42">
                  <c:v>45359</c:v>
                </c:pt>
                <c:pt idx="43">
                  <c:v>45362</c:v>
                </c:pt>
                <c:pt idx="44">
                  <c:v>45363</c:v>
                </c:pt>
                <c:pt idx="45">
                  <c:v>45364</c:v>
                </c:pt>
                <c:pt idx="46">
                  <c:v>45365</c:v>
                </c:pt>
                <c:pt idx="47">
                  <c:v>45366</c:v>
                </c:pt>
                <c:pt idx="48">
                  <c:v>45369</c:v>
                </c:pt>
                <c:pt idx="49">
                  <c:v>45370</c:v>
                </c:pt>
                <c:pt idx="50">
                  <c:v>45371</c:v>
                </c:pt>
                <c:pt idx="51">
                  <c:v>45372</c:v>
                </c:pt>
                <c:pt idx="52">
                  <c:v>45373</c:v>
                </c:pt>
                <c:pt idx="53">
                  <c:v>45376</c:v>
                </c:pt>
                <c:pt idx="54">
                  <c:v>45377</c:v>
                </c:pt>
                <c:pt idx="55">
                  <c:v>45378</c:v>
                </c:pt>
                <c:pt idx="56">
                  <c:v>45379</c:v>
                </c:pt>
                <c:pt idx="57">
                  <c:v>45380</c:v>
                </c:pt>
                <c:pt idx="58">
                  <c:v>45383</c:v>
                </c:pt>
                <c:pt idx="59">
                  <c:v>45384</c:v>
                </c:pt>
                <c:pt idx="60">
                  <c:v>45385</c:v>
                </c:pt>
                <c:pt idx="61">
                  <c:v>45390</c:v>
                </c:pt>
                <c:pt idx="62">
                  <c:v>45391</c:v>
                </c:pt>
                <c:pt idx="63">
                  <c:v>45392</c:v>
                </c:pt>
                <c:pt idx="64">
                  <c:v>45393</c:v>
                </c:pt>
                <c:pt idx="65">
                  <c:v>45394</c:v>
                </c:pt>
                <c:pt idx="66">
                  <c:v>45397</c:v>
                </c:pt>
                <c:pt idx="67">
                  <c:v>45398</c:v>
                </c:pt>
                <c:pt idx="68">
                  <c:v>45399</c:v>
                </c:pt>
                <c:pt idx="69">
                  <c:v>45400</c:v>
                </c:pt>
                <c:pt idx="70">
                  <c:v>45401</c:v>
                </c:pt>
                <c:pt idx="71">
                  <c:v>45404</c:v>
                </c:pt>
                <c:pt idx="72">
                  <c:v>45405</c:v>
                </c:pt>
                <c:pt idx="73">
                  <c:v>45406</c:v>
                </c:pt>
                <c:pt idx="74">
                  <c:v>45407</c:v>
                </c:pt>
                <c:pt idx="75">
                  <c:v>45408</c:v>
                </c:pt>
                <c:pt idx="76">
                  <c:v>45411</c:v>
                </c:pt>
                <c:pt idx="77">
                  <c:v>45412</c:v>
                </c:pt>
                <c:pt idx="78">
                  <c:v>45418</c:v>
                </c:pt>
                <c:pt idx="79">
                  <c:v>45419</c:v>
                </c:pt>
                <c:pt idx="80">
                  <c:v>45420</c:v>
                </c:pt>
                <c:pt idx="81">
                  <c:v>45421</c:v>
                </c:pt>
                <c:pt idx="82">
                  <c:v>45422</c:v>
                </c:pt>
                <c:pt idx="83">
                  <c:v>45425</c:v>
                </c:pt>
                <c:pt idx="84">
                  <c:v>45426</c:v>
                </c:pt>
                <c:pt idx="85">
                  <c:v>45427</c:v>
                </c:pt>
                <c:pt idx="86">
                  <c:v>45428</c:v>
                </c:pt>
                <c:pt idx="87">
                  <c:v>45429</c:v>
                </c:pt>
                <c:pt idx="88">
                  <c:v>45432</c:v>
                </c:pt>
                <c:pt idx="89">
                  <c:v>45433</c:v>
                </c:pt>
                <c:pt idx="90">
                  <c:v>45434</c:v>
                </c:pt>
                <c:pt idx="91">
                  <c:v>45435</c:v>
                </c:pt>
                <c:pt idx="92">
                  <c:v>45436</c:v>
                </c:pt>
                <c:pt idx="93">
                  <c:v>45439</c:v>
                </c:pt>
                <c:pt idx="94">
                  <c:v>45440</c:v>
                </c:pt>
                <c:pt idx="95">
                  <c:v>45441</c:v>
                </c:pt>
                <c:pt idx="96">
                  <c:v>45442</c:v>
                </c:pt>
                <c:pt idx="97">
                  <c:v>45443</c:v>
                </c:pt>
                <c:pt idx="98">
                  <c:v>45446</c:v>
                </c:pt>
                <c:pt idx="99">
                  <c:v>45447</c:v>
                </c:pt>
                <c:pt idx="100">
                  <c:v>45448</c:v>
                </c:pt>
                <c:pt idx="101">
                  <c:v>45449</c:v>
                </c:pt>
                <c:pt idx="102">
                  <c:v>45450</c:v>
                </c:pt>
                <c:pt idx="103">
                  <c:v>45454</c:v>
                </c:pt>
                <c:pt idx="104">
                  <c:v>45455</c:v>
                </c:pt>
                <c:pt idx="105">
                  <c:v>45456</c:v>
                </c:pt>
                <c:pt idx="106">
                  <c:v>45457</c:v>
                </c:pt>
                <c:pt idx="107">
                  <c:v>45460</c:v>
                </c:pt>
                <c:pt idx="108">
                  <c:v>45461</c:v>
                </c:pt>
                <c:pt idx="109">
                  <c:v>45462</c:v>
                </c:pt>
                <c:pt idx="110">
                  <c:v>45463</c:v>
                </c:pt>
                <c:pt idx="111">
                  <c:v>45464</c:v>
                </c:pt>
                <c:pt idx="112">
                  <c:v>45467</c:v>
                </c:pt>
                <c:pt idx="113">
                  <c:v>45468</c:v>
                </c:pt>
                <c:pt idx="114">
                  <c:v>45469</c:v>
                </c:pt>
                <c:pt idx="115">
                  <c:v>45470</c:v>
                </c:pt>
                <c:pt idx="116">
                  <c:v>45471</c:v>
                </c:pt>
                <c:pt idx="117">
                  <c:v>45474</c:v>
                </c:pt>
                <c:pt idx="118">
                  <c:v>45475</c:v>
                </c:pt>
                <c:pt idx="119">
                  <c:v>45476</c:v>
                </c:pt>
                <c:pt idx="120">
                  <c:v>45477</c:v>
                </c:pt>
                <c:pt idx="121">
                  <c:v>45478</c:v>
                </c:pt>
                <c:pt idx="122">
                  <c:v>45481</c:v>
                </c:pt>
                <c:pt idx="123">
                  <c:v>45482</c:v>
                </c:pt>
                <c:pt idx="124">
                  <c:v>45483</c:v>
                </c:pt>
                <c:pt idx="125">
                  <c:v>45484</c:v>
                </c:pt>
                <c:pt idx="126">
                  <c:v>45485</c:v>
                </c:pt>
                <c:pt idx="127">
                  <c:v>45488</c:v>
                </c:pt>
                <c:pt idx="128">
                  <c:v>45489</c:v>
                </c:pt>
                <c:pt idx="129">
                  <c:v>45490</c:v>
                </c:pt>
                <c:pt idx="130">
                  <c:v>45491</c:v>
                </c:pt>
                <c:pt idx="131">
                  <c:v>45492</c:v>
                </c:pt>
                <c:pt idx="132">
                  <c:v>45495</c:v>
                </c:pt>
                <c:pt idx="133">
                  <c:v>45496</c:v>
                </c:pt>
                <c:pt idx="134">
                  <c:v>45497</c:v>
                </c:pt>
                <c:pt idx="135">
                  <c:v>45498</c:v>
                </c:pt>
                <c:pt idx="136">
                  <c:v>45499</c:v>
                </c:pt>
                <c:pt idx="137">
                  <c:v>45502</c:v>
                </c:pt>
                <c:pt idx="138">
                  <c:v>45503</c:v>
                </c:pt>
                <c:pt idx="139">
                  <c:v>45504</c:v>
                </c:pt>
                <c:pt idx="140">
                  <c:v>45505</c:v>
                </c:pt>
                <c:pt idx="141">
                  <c:v>45506</c:v>
                </c:pt>
                <c:pt idx="142">
                  <c:v>45509</c:v>
                </c:pt>
                <c:pt idx="143">
                  <c:v>45510</c:v>
                </c:pt>
                <c:pt idx="144">
                  <c:v>45511</c:v>
                </c:pt>
                <c:pt idx="145">
                  <c:v>45512</c:v>
                </c:pt>
                <c:pt idx="146">
                  <c:v>45513</c:v>
                </c:pt>
                <c:pt idx="147">
                  <c:v>45516</c:v>
                </c:pt>
                <c:pt idx="148">
                  <c:v>45517</c:v>
                </c:pt>
                <c:pt idx="149">
                  <c:v>45518</c:v>
                </c:pt>
                <c:pt idx="150">
                  <c:v>45519</c:v>
                </c:pt>
                <c:pt idx="151">
                  <c:v>45520</c:v>
                </c:pt>
                <c:pt idx="152">
                  <c:v>45523</c:v>
                </c:pt>
                <c:pt idx="153">
                  <c:v>45524</c:v>
                </c:pt>
                <c:pt idx="154">
                  <c:v>45525</c:v>
                </c:pt>
                <c:pt idx="155">
                  <c:v>45526</c:v>
                </c:pt>
                <c:pt idx="156">
                  <c:v>45527</c:v>
                </c:pt>
                <c:pt idx="157">
                  <c:v>45530</c:v>
                </c:pt>
                <c:pt idx="158">
                  <c:v>45531</c:v>
                </c:pt>
                <c:pt idx="159">
                  <c:v>45532</c:v>
                </c:pt>
                <c:pt idx="160">
                  <c:v>45533</c:v>
                </c:pt>
                <c:pt idx="161">
                  <c:v>45534</c:v>
                </c:pt>
                <c:pt idx="162">
                  <c:v>45537</c:v>
                </c:pt>
                <c:pt idx="163">
                  <c:v>45538</c:v>
                </c:pt>
                <c:pt idx="164">
                  <c:v>45539</c:v>
                </c:pt>
                <c:pt idx="165">
                  <c:v>45540</c:v>
                </c:pt>
                <c:pt idx="166">
                  <c:v>45541</c:v>
                </c:pt>
                <c:pt idx="167">
                  <c:v>45544</c:v>
                </c:pt>
                <c:pt idx="168">
                  <c:v>45545</c:v>
                </c:pt>
                <c:pt idx="169">
                  <c:v>45546</c:v>
                </c:pt>
                <c:pt idx="170">
                  <c:v>45547</c:v>
                </c:pt>
                <c:pt idx="171">
                  <c:v>45548</c:v>
                </c:pt>
                <c:pt idx="172">
                  <c:v>45553</c:v>
                </c:pt>
                <c:pt idx="173">
                  <c:v>45554</c:v>
                </c:pt>
                <c:pt idx="174">
                  <c:v>45555</c:v>
                </c:pt>
                <c:pt idx="175">
                  <c:v>45558</c:v>
                </c:pt>
                <c:pt idx="176">
                  <c:v>45559</c:v>
                </c:pt>
                <c:pt idx="177">
                  <c:v>45560</c:v>
                </c:pt>
                <c:pt idx="178">
                  <c:v>45561</c:v>
                </c:pt>
                <c:pt idx="179">
                  <c:v>45562</c:v>
                </c:pt>
                <c:pt idx="180">
                  <c:v>45565</c:v>
                </c:pt>
                <c:pt idx="181">
                  <c:v>45573</c:v>
                </c:pt>
                <c:pt idx="182">
                  <c:v>45574</c:v>
                </c:pt>
                <c:pt idx="183">
                  <c:v>45575</c:v>
                </c:pt>
                <c:pt idx="184">
                  <c:v>45576</c:v>
                </c:pt>
                <c:pt idx="185">
                  <c:v>45579</c:v>
                </c:pt>
                <c:pt idx="186">
                  <c:v>45580</c:v>
                </c:pt>
                <c:pt idx="187">
                  <c:v>45581</c:v>
                </c:pt>
                <c:pt idx="188">
                  <c:v>45582</c:v>
                </c:pt>
                <c:pt idx="189">
                  <c:v>45583</c:v>
                </c:pt>
                <c:pt idx="190">
                  <c:v>45586</c:v>
                </c:pt>
                <c:pt idx="191">
                  <c:v>45587</c:v>
                </c:pt>
                <c:pt idx="192">
                  <c:v>45588</c:v>
                </c:pt>
                <c:pt idx="193">
                  <c:v>45589</c:v>
                </c:pt>
                <c:pt idx="194">
                  <c:v>45590</c:v>
                </c:pt>
                <c:pt idx="195">
                  <c:v>45593</c:v>
                </c:pt>
                <c:pt idx="196">
                  <c:v>45594</c:v>
                </c:pt>
                <c:pt idx="197">
                  <c:v>45595</c:v>
                </c:pt>
                <c:pt idx="198">
                  <c:v>45596</c:v>
                </c:pt>
                <c:pt idx="199">
                  <c:v>45597</c:v>
                </c:pt>
                <c:pt idx="200">
                  <c:v>45600</c:v>
                </c:pt>
                <c:pt idx="201">
                  <c:v>45601</c:v>
                </c:pt>
                <c:pt idx="202">
                  <c:v>45602</c:v>
                </c:pt>
                <c:pt idx="203">
                  <c:v>45603</c:v>
                </c:pt>
                <c:pt idx="204">
                  <c:v>45604</c:v>
                </c:pt>
                <c:pt idx="205">
                  <c:v>45607</c:v>
                </c:pt>
                <c:pt idx="206">
                  <c:v>45608</c:v>
                </c:pt>
                <c:pt idx="207">
                  <c:v>45609</c:v>
                </c:pt>
                <c:pt idx="208">
                  <c:v>45610</c:v>
                </c:pt>
                <c:pt idx="209">
                  <c:v>45611</c:v>
                </c:pt>
                <c:pt idx="210">
                  <c:v>45614</c:v>
                </c:pt>
                <c:pt idx="211">
                  <c:v>45615</c:v>
                </c:pt>
                <c:pt idx="212">
                  <c:v>45616</c:v>
                </c:pt>
                <c:pt idx="213">
                  <c:v>45617</c:v>
                </c:pt>
                <c:pt idx="214">
                  <c:v>45618</c:v>
                </c:pt>
                <c:pt idx="215">
                  <c:v>45621</c:v>
                </c:pt>
                <c:pt idx="216">
                  <c:v>45622</c:v>
                </c:pt>
                <c:pt idx="217">
                  <c:v>45623</c:v>
                </c:pt>
                <c:pt idx="218">
                  <c:v>45624</c:v>
                </c:pt>
                <c:pt idx="219">
                  <c:v>45625</c:v>
                </c:pt>
                <c:pt idx="220">
                  <c:v>45628</c:v>
                </c:pt>
                <c:pt idx="221">
                  <c:v>45629</c:v>
                </c:pt>
                <c:pt idx="222">
                  <c:v>45630</c:v>
                </c:pt>
                <c:pt idx="223">
                  <c:v>45631</c:v>
                </c:pt>
                <c:pt idx="224">
                  <c:v>45632</c:v>
                </c:pt>
                <c:pt idx="225">
                  <c:v>45635</c:v>
                </c:pt>
                <c:pt idx="226">
                  <c:v>45636</c:v>
                </c:pt>
                <c:pt idx="227">
                  <c:v>45637</c:v>
                </c:pt>
                <c:pt idx="228">
                  <c:v>45638</c:v>
                </c:pt>
                <c:pt idx="229">
                  <c:v>45639</c:v>
                </c:pt>
                <c:pt idx="230">
                  <c:v>45642</c:v>
                </c:pt>
                <c:pt idx="231">
                  <c:v>45643</c:v>
                </c:pt>
                <c:pt idx="232">
                  <c:v>45644</c:v>
                </c:pt>
                <c:pt idx="233">
                  <c:v>45645</c:v>
                </c:pt>
                <c:pt idx="234">
                  <c:v>45646</c:v>
                </c:pt>
                <c:pt idx="235">
                  <c:v>45649</c:v>
                </c:pt>
                <c:pt idx="236">
                  <c:v>45650</c:v>
                </c:pt>
                <c:pt idx="237">
                  <c:v>45651</c:v>
                </c:pt>
                <c:pt idx="238">
                  <c:v>45652</c:v>
                </c:pt>
                <c:pt idx="239">
                  <c:v>45653</c:v>
                </c:pt>
                <c:pt idx="240">
                  <c:v>45656</c:v>
                </c:pt>
                <c:pt idx="241">
                  <c:v>45657</c:v>
                </c:pt>
              </c:numCache>
            </c:numRef>
          </c:cat>
          <c:val>
            <c:numRef>
              <c:f>中国_中债国债到期收益率_1年!$T$390:$T$631</c:f>
              <c:numCache>
                <c:formatCode>0.00_);[Red]\(0.00\)</c:formatCode>
                <c:ptCount val="242"/>
                <c:pt idx="0">
                  <c:v>1</c:v>
                </c:pt>
                <c:pt idx="1">
                  <c:v>0.99990914975906509</c:v>
                </c:pt>
                <c:pt idx="2">
                  <c:v>1.0000896812120992</c:v>
                </c:pt>
                <c:pt idx="3">
                  <c:v>1.0005311566016415</c:v>
                </c:pt>
                <c:pt idx="4">
                  <c:v>1.0007480114506375</c:v>
                </c:pt>
                <c:pt idx="5">
                  <c:v>1.0011734126936906</c:v>
                </c:pt>
                <c:pt idx="6">
                  <c:v>1.0011207228940311</c:v>
                </c:pt>
                <c:pt idx="7">
                  <c:v>1.0011762935147499</c:v>
                </c:pt>
                <c:pt idx="8">
                  <c:v>1.0011491553453529</c:v>
                </c:pt>
                <c:pt idx="9">
                  <c:v>1.0013408760743843</c:v>
                </c:pt>
                <c:pt idx="10">
                  <c:v>1.0013051371928401</c:v>
                </c:pt>
                <c:pt idx="11">
                  <c:v>1.001601736508833</c:v>
                </c:pt>
                <c:pt idx="12">
                  <c:v>1.0017904094126862</c:v>
                </c:pt>
                <c:pt idx="13">
                  <c:v>1.0022781866943224</c:v>
                </c:pt>
                <c:pt idx="14">
                  <c:v>1.0027448797058891</c:v>
                </c:pt>
                <c:pt idx="15">
                  <c:v>1.002691730644901</c:v>
                </c:pt>
                <c:pt idx="16">
                  <c:v>1.0028256261976021</c:v>
                </c:pt>
                <c:pt idx="17">
                  <c:v>1.0031641017965258</c:v>
                </c:pt>
                <c:pt idx="18">
                  <c:v>1.0033859250180728</c:v>
                </c:pt>
                <c:pt idx="19">
                  <c:v>1.0037844385979087</c:v>
                </c:pt>
                <c:pt idx="20">
                  <c:v>1.0045696919671645</c:v>
                </c:pt>
                <c:pt idx="21">
                  <c:v>1.0050229828981518</c:v>
                </c:pt>
                <c:pt idx="22">
                  <c:v>1.0050907030685545</c:v>
                </c:pt>
                <c:pt idx="23">
                  <c:v>1.0054450440588178</c:v>
                </c:pt>
                <c:pt idx="24">
                  <c:v>1.006036322143431</c:v>
                </c:pt>
                <c:pt idx="25">
                  <c:v>1.0054291369164485</c:v>
                </c:pt>
                <c:pt idx="26">
                  <c:v>1.005916037426458</c:v>
                </c:pt>
                <c:pt idx="27">
                  <c:v>1.0060175759310324</c:v>
                </c:pt>
                <c:pt idx="28">
                  <c:v>1.0067787389560696</c:v>
                </c:pt>
                <c:pt idx="29">
                  <c:v>1.0072891035448501</c:v>
                </c:pt>
                <c:pt idx="30">
                  <c:v>1.0075359356332723</c:v>
                </c:pt>
                <c:pt idx="31">
                  <c:v>1.0079732776708603</c:v>
                </c:pt>
                <c:pt idx="32">
                  <c:v>1.008669392591405</c:v>
                </c:pt>
                <c:pt idx="33">
                  <c:v>1.0092070206026718</c:v>
                </c:pt>
                <c:pt idx="34">
                  <c:v>1.0094368182709186</c:v>
                </c:pt>
                <c:pt idx="35">
                  <c:v>1.0097979646790463</c:v>
                </c:pt>
                <c:pt idx="36">
                  <c:v>1.0102218211339955</c:v>
                </c:pt>
                <c:pt idx="37">
                  <c:v>1.0097471954267592</c:v>
                </c:pt>
                <c:pt idx="38">
                  <c:v>1.0101005343923064</c:v>
                </c:pt>
                <c:pt idx="39">
                  <c:v>1.0103143414161238</c:v>
                </c:pt>
                <c:pt idx="40">
                  <c:v>1.0110637306507462</c:v>
                </c:pt>
                <c:pt idx="41">
                  <c:v>1.0110698680521326</c:v>
                </c:pt>
                <c:pt idx="42">
                  <c:v>1.0112033460945355</c:v>
                </c:pt>
                <c:pt idx="43">
                  <c:v>1.0110067822460425</c:v>
                </c:pt>
                <c:pt idx="44">
                  <c:v>1.0103259482024198</c:v>
                </c:pt>
                <c:pt idx="45">
                  <c:v>1.01014955010134</c:v>
                </c:pt>
                <c:pt idx="46">
                  <c:v>1.009903511282485</c:v>
                </c:pt>
                <c:pt idx="47">
                  <c:v>1.0101332671997021</c:v>
                </c:pt>
                <c:pt idx="48">
                  <c:v>1.0106816252256381</c:v>
                </c:pt>
                <c:pt idx="49">
                  <c:v>1.0110371769957671</c:v>
                </c:pt>
                <c:pt idx="50">
                  <c:v>1.010959812337471</c:v>
                </c:pt>
                <c:pt idx="51">
                  <c:v>1.0111593405090826</c:v>
                </c:pt>
                <c:pt idx="52">
                  <c:v>1.0112362876570802</c:v>
                </c:pt>
                <c:pt idx="53">
                  <c:v>1.0111410535580123</c:v>
                </c:pt>
                <c:pt idx="54">
                  <c:v>1.0111677324660808</c:v>
                </c:pt>
                <c:pt idx="55">
                  <c:v>1.0116829819253528</c:v>
                </c:pt>
                <c:pt idx="56">
                  <c:v>1.0117259854860894</c:v>
                </c:pt>
                <c:pt idx="57">
                  <c:v>1.0121183616645384</c:v>
                </c:pt>
                <c:pt idx="58">
                  <c:v>1.0120014170299527</c:v>
                </c:pt>
                <c:pt idx="59">
                  <c:v>1.0123862362720004</c:v>
                </c:pt>
                <c:pt idx="60">
                  <c:v>1.0128902547042451</c:v>
                </c:pt>
                <c:pt idx="61">
                  <c:v>1.0133817478275371</c:v>
                </c:pt>
                <c:pt idx="62">
                  <c:v>1.0137670680819428</c:v>
                </c:pt>
                <c:pt idx="63">
                  <c:v>1.0137824324609246</c:v>
                </c:pt>
                <c:pt idx="64">
                  <c:v>1.0141835346046102</c:v>
                </c:pt>
                <c:pt idx="65">
                  <c:v>1.0150228555575109</c:v>
                </c:pt>
                <c:pt idx="66">
                  <c:v>1.0152802506564826</c:v>
                </c:pt>
                <c:pt idx="67">
                  <c:v>1.0153690968479852</c:v>
                </c:pt>
                <c:pt idx="68">
                  <c:v>1.0157412237769607</c:v>
                </c:pt>
                <c:pt idx="69">
                  <c:v>1.0162511291044132</c:v>
                </c:pt>
                <c:pt idx="70">
                  <c:v>1.016808797610004</c:v>
                </c:pt>
                <c:pt idx="71">
                  <c:v>1.0173828742703224</c:v>
                </c:pt>
                <c:pt idx="72">
                  <c:v>1.0179200012692313</c:v>
                </c:pt>
                <c:pt idx="73">
                  <c:v>1.0170038584214227</c:v>
                </c:pt>
                <c:pt idx="74">
                  <c:v>1.0169955499664842</c:v>
                </c:pt>
                <c:pt idx="75">
                  <c:v>1.01604408574743</c:v>
                </c:pt>
                <c:pt idx="76">
                  <c:v>1.0147267155028463</c:v>
                </c:pt>
                <c:pt idx="77">
                  <c:v>1.015541946111528</c:v>
                </c:pt>
                <c:pt idx="78">
                  <c:v>1.0160679673364992</c:v>
                </c:pt>
                <c:pt idx="79">
                  <c:v>1.0167741442552356</c:v>
                </c:pt>
                <c:pt idx="80">
                  <c:v>1.0168723844284522</c:v>
                </c:pt>
                <c:pt idx="81">
                  <c:v>1.0165339088295284</c:v>
                </c:pt>
                <c:pt idx="82">
                  <c:v>1.0166893479136279</c:v>
                </c:pt>
                <c:pt idx="83">
                  <c:v>1.0171931575907234</c:v>
                </c:pt>
                <c:pt idx="84">
                  <c:v>1.0174965623245804</c:v>
                </c:pt>
                <c:pt idx="85">
                  <c:v>1.0176039042223024</c:v>
                </c:pt>
                <c:pt idx="86">
                  <c:v>1.0175098391520698</c:v>
                </c:pt>
                <c:pt idx="87">
                  <c:v>1.0176700378535712</c:v>
                </c:pt>
                <c:pt idx="88">
                  <c:v>1.0179150328966799</c:v>
                </c:pt>
                <c:pt idx="89">
                  <c:v>1.0178719875849136</c:v>
                </c:pt>
                <c:pt idx="90">
                  <c:v>1.0180455883669941</c:v>
                </c:pt>
                <c:pt idx="91">
                  <c:v>1.0183692005992941</c:v>
                </c:pt>
                <c:pt idx="92">
                  <c:v>1.0184939109254303</c:v>
                </c:pt>
                <c:pt idx="93">
                  <c:v>1.018641626069009</c:v>
                </c:pt>
                <c:pt idx="94">
                  <c:v>1.0188838655441483</c:v>
                </c:pt>
                <c:pt idx="95">
                  <c:v>1.0191174208050808</c:v>
                </c:pt>
                <c:pt idx="96">
                  <c:v>1.0192108596098657</c:v>
                </c:pt>
                <c:pt idx="97">
                  <c:v>1.0192920653629072</c:v>
                </c:pt>
                <c:pt idx="98">
                  <c:v>1.0196989291487109</c:v>
                </c:pt>
                <c:pt idx="99">
                  <c:v>1.0198613406547938</c:v>
                </c:pt>
                <c:pt idx="100">
                  <c:v>1.0201950566363156</c:v>
                </c:pt>
                <c:pt idx="101">
                  <c:v>1.0203719975007832</c:v>
                </c:pt>
                <c:pt idx="102">
                  <c:v>1.0206431286885729</c:v>
                </c:pt>
                <c:pt idx="103">
                  <c:v>1.0209463246672807</c:v>
                </c:pt>
                <c:pt idx="104">
                  <c:v>1.0209704150114993</c:v>
                </c:pt>
                <c:pt idx="105">
                  <c:v>1.0210835185513394</c:v>
                </c:pt>
                <c:pt idx="106">
                  <c:v>1.0214063375140725</c:v>
                </c:pt>
                <c:pt idx="107">
                  <c:v>1.0215215286054049</c:v>
                </c:pt>
                <c:pt idx="108">
                  <c:v>1.0217600104878586</c:v>
                </c:pt>
                <c:pt idx="109">
                  <c:v>1.0220896348684561</c:v>
                </c:pt>
                <c:pt idx="110">
                  <c:v>1.0222109633611749</c:v>
                </c:pt>
                <c:pt idx="111">
                  <c:v>1.0221102181261679</c:v>
                </c:pt>
                <c:pt idx="112">
                  <c:v>1.0225591669500518</c:v>
                </c:pt>
                <c:pt idx="113">
                  <c:v>1.0228978513041245</c:v>
                </c:pt>
                <c:pt idx="114">
                  <c:v>1.0231330766062507</c:v>
                </c:pt>
                <c:pt idx="115">
                  <c:v>1.0235650745120191</c:v>
                </c:pt>
                <c:pt idx="116">
                  <c:v>1.0238779149786201</c:v>
                </c:pt>
                <c:pt idx="117">
                  <c:v>1.0233051326002269</c:v>
                </c:pt>
                <c:pt idx="118">
                  <c:v>1.0237385082899799</c:v>
                </c:pt>
                <c:pt idx="119">
                  <c:v>1.0240526847895361</c:v>
                </c:pt>
                <c:pt idx="120">
                  <c:v>1.0240841650660366</c:v>
                </c:pt>
                <c:pt idx="121">
                  <c:v>1.0237225176455509</c:v>
                </c:pt>
                <c:pt idx="122">
                  <c:v>1.0232265989130953</c:v>
                </c:pt>
                <c:pt idx="123">
                  <c:v>1.0236536701973424</c:v>
                </c:pt>
                <c:pt idx="124">
                  <c:v>1.0237390093023382</c:v>
                </c:pt>
                <c:pt idx="125">
                  <c:v>1.0239394977476362</c:v>
                </c:pt>
                <c:pt idx="126">
                  <c:v>1.0242914589291987</c:v>
                </c:pt>
                <c:pt idx="127">
                  <c:v>1.0246350281537631</c:v>
                </c:pt>
                <c:pt idx="128">
                  <c:v>1.0247494259755283</c:v>
                </c:pt>
                <c:pt idx="129">
                  <c:v>1.0248422802658954</c:v>
                </c:pt>
                <c:pt idx="130">
                  <c:v>1.0247461693952007</c:v>
                </c:pt>
                <c:pt idx="131">
                  <c:v>1.0249997233994272</c:v>
                </c:pt>
                <c:pt idx="132">
                  <c:v>1.0257696958917613</c:v>
                </c:pt>
                <c:pt idx="133">
                  <c:v>1.0262343431028655</c:v>
                </c:pt>
                <c:pt idx="134">
                  <c:v>1.0263290344385456</c:v>
                </c:pt>
                <c:pt idx="135">
                  <c:v>1.0267117243780715</c:v>
                </c:pt>
                <c:pt idx="136">
                  <c:v>1.027229687654283</c:v>
                </c:pt>
                <c:pt idx="137">
                  <c:v>1.0277491539675689</c:v>
                </c:pt>
                <c:pt idx="138">
                  <c:v>1.0280427054583834</c:v>
                </c:pt>
                <c:pt idx="139">
                  <c:v>1.0283323323523927</c:v>
                </c:pt>
                <c:pt idx="140">
                  <c:v>1.0288551387480662</c:v>
                </c:pt>
                <c:pt idx="141">
                  <c:v>1.0294047910559274</c:v>
                </c:pt>
                <c:pt idx="142">
                  <c:v>1.0297569609926389</c:v>
                </c:pt>
                <c:pt idx="143">
                  <c:v>1.0294900466588635</c:v>
                </c:pt>
                <c:pt idx="144">
                  <c:v>1.0297883995181096</c:v>
                </c:pt>
                <c:pt idx="145">
                  <c:v>1.0291385864896589</c:v>
                </c:pt>
                <c:pt idx="146">
                  <c:v>1.0285068099060999</c:v>
                </c:pt>
                <c:pt idx="147">
                  <c:v>1.0271054783405051</c:v>
                </c:pt>
                <c:pt idx="148">
                  <c:v>1.0276549218932169</c:v>
                </c:pt>
                <c:pt idx="149">
                  <c:v>1.0283434798773605</c:v>
                </c:pt>
                <c:pt idx="150">
                  <c:v>1.027955195299836</c:v>
                </c:pt>
                <c:pt idx="151">
                  <c:v>1.0279680963680571</c:v>
                </c:pt>
                <c:pt idx="152">
                  <c:v>1.028224906952611</c:v>
                </c:pt>
                <c:pt idx="153">
                  <c:v>1.0282227358990592</c:v>
                </c:pt>
                <c:pt idx="154">
                  <c:v>1.0279769058353534</c:v>
                </c:pt>
                <c:pt idx="155">
                  <c:v>1.0280836632186579</c:v>
                </c:pt>
                <c:pt idx="156">
                  <c:v>1.028132553674602</c:v>
                </c:pt>
                <c:pt idx="157">
                  <c:v>1.0279139452823527</c:v>
                </c:pt>
                <c:pt idx="158">
                  <c:v>1.0271213019808147</c:v>
                </c:pt>
                <c:pt idx="159">
                  <c:v>1.0274639526827227</c:v>
                </c:pt>
                <c:pt idx="160">
                  <c:v>1.0275464527176892</c:v>
                </c:pt>
                <c:pt idx="161">
                  <c:v>1.0276636896094837</c:v>
                </c:pt>
                <c:pt idx="162">
                  <c:v>1.0284325765750417</c:v>
                </c:pt>
                <c:pt idx="163">
                  <c:v>1.0287254600493789</c:v>
                </c:pt>
                <c:pt idx="164">
                  <c:v>1.0289799743272918</c:v>
                </c:pt>
                <c:pt idx="165">
                  <c:v>1.0291716115542635</c:v>
                </c:pt>
                <c:pt idx="166">
                  <c:v>1.0293647100672796</c:v>
                </c:pt>
                <c:pt idx="167">
                  <c:v>1.0296552554839453</c:v>
                </c:pt>
                <c:pt idx="168">
                  <c:v>1.0298263929552651</c:v>
                </c:pt>
                <c:pt idx="169">
                  <c:v>1.0301831972562892</c:v>
                </c:pt>
                <c:pt idx="170">
                  <c:v>1.0303344194863746</c:v>
                </c:pt>
                <c:pt idx="171">
                  <c:v>1.030841402241738</c:v>
                </c:pt>
                <c:pt idx="172">
                  <c:v>1.0314928435603523</c:v>
                </c:pt>
                <c:pt idx="173">
                  <c:v>1.031421324046234</c:v>
                </c:pt>
                <c:pt idx="174">
                  <c:v>1.0315408154936401</c:v>
                </c:pt>
                <c:pt idx="175">
                  <c:v>1.0316536267762715</c:v>
                </c:pt>
                <c:pt idx="176">
                  <c:v>1.0313093060331699</c:v>
                </c:pt>
                <c:pt idx="177">
                  <c:v>1.0322209815207852</c:v>
                </c:pt>
                <c:pt idx="178">
                  <c:v>1.0316876538655921</c:v>
                </c:pt>
                <c:pt idx="179">
                  <c:v>1.0292393317246662</c:v>
                </c:pt>
                <c:pt idx="180">
                  <c:v>1.0272149495407492</c:v>
                </c:pt>
                <c:pt idx="181">
                  <c:v>1.0260009965970822</c:v>
                </c:pt>
                <c:pt idx="182">
                  <c:v>1.0252792047931851</c:v>
                </c:pt>
                <c:pt idx="183">
                  <c:v>1.0267083425446542</c:v>
                </c:pt>
                <c:pt idx="184">
                  <c:v>1.0277511580170013</c:v>
                </c:pt>
                <c:pt idx="185">
                  <c:v>1.028890668874461</c:v>
                </c:pt>
                <c:pt idx="186">
                  <c:v>1.0294014092225101</c:v>
                </c:pt>
                <c:pt idx="187">
                  <c:v>1.0293865876069166</c:v>
                </c:pt>
                <c:pt idx="188">
                  <c:v>1.0299455503944324</c:v>
                </c:pt>
                <c:pt idx="189">
                  <c:v>1.0299954428750926</c:v>
                </c:pt>
                <c:pt idx="190">
                  <c:v>1.0299954428750926</c:v>
                </c:pt>
                <c:pt idx="191">
                  <c:v>1.0293769431190232</c:v>
                </c:pt>
                <c:pt idx="192">
                  <c:v>1.0287935559790502</c:v>
                </c:pt>
                <c:pt idx="193">
                  <c:v>1.0287429119798526</c:v>
                </c:pt>
                <c:pt idx="194">
                  <c:v>1.0286879676245815</c:v>
                </c:pt>
                <c:pt idx="195">
                  <c:v>1.0285557421130738</c:v>
                </c:pt>
                <c:pt idx="196">
                  <c:v>1.0286354865800709</c:v>
                </c:pt>
                <c:pt idx="197">
                  <c:v>1.0286740645316441</c:v>
                </c:pt>
                <c:pt idx="198">
                  <c:v>1.0290185522788651</c:v>
                </c:pt>
                <c:pt idx="199">
                  <c:v>1.0297275682676308</c:v>
                </c:pt>
                <c:pt idx="200">
                  <c:v>1.0299956933812719</c:v>
                </c:pt>
                <c:pt idx="201">
                  <c:v>1.0302230277387578</c:v>
                </c:pt>
                <c:pt idx="202">
                  <c:v>1.0302398951548137</c:v>
                </c:pt>
                <c:pt idx="203">
                  <c:v>1.0307164831604527</c:v>
                </c:pt>
                <c:pt idx="204">
                  <c:v>1.0310115794393713</c:v>
                </c:pt>
                <c:pt idx="205">
                  <c:v>1.0313959394200907</c:v>
                </c:pt>
                <c:pt idx="206">
                  <c:v>1.0319188710688534</c:v>
                </c:pt>
                <c:pt idx="207">
                  <c:v>1.0317689848717231</c:v>
                </c:pt>
                <c:pt idx="208">
                  <c:v>1.0318809611337576</c:v>
                </c:pt>
                <c:pt idx="209">
                  <c:v>1.0320462952119291</c:v>
                </c:pt>
                <c:pt idx="210">
                  <c:v>1.0318290228526348</c:v>
                </c:pt>
                <c:pt idx="211">
                  <c:v>1.0320759384431164</c:v>
                </c:pt>
                <c:pt idx="212">
                  <c:v>1.0320769404678327</c:v>
                </c:pt>
                <c:pt idx="213">
                  <c:v>1.0324974568403948</c:v>
                </c:pt>
                <c:pt idx="214">
                  <c:v>1.0327699240611392</c:v>
                </c:pt>
                <c:pt idx="215">
                  <c:v>1.0333148167515986</c:v>
                </c:pt>
                <c:pt idx="216">
                  <c:v>1.033496558984498</c:v>
                </c:pt>
                <c:pt idx="217">
                  <c:v>1.0336197662735598</c:v>
                </c:pt>
                <c:pt idx="218">
                  <c:v>1.0341873297732229</c:v>
                </c:pt>
                <c:pt idx="219">
                  <c:v>1.0350830146164092</c:v>
                </c:pt>
                <c:pt idx="220">
                  <c:v>1.0367326395564704</c:v>
                </c:pt>
                <c:pt idx="221">
                  <c:v>1.036765121857687</c:v>
                </c:pt>
                <c:pt idx="222">
                  <c:v>1.0375888696764566</c:v>
                </c:pt>
                <c:pt idx="223">
                  <c:v>1.0378149932540774</c:v>
                </c:pt>
                <c:pt idx="224">
                  <c:v>1.0379948984416636</c:v>
                </c:pt>
                <c:pt idx="225">
                  <c:v>1.0387122228853676</c:v>
                </c:pt>
                <c:pt idx="226">
                  <c:v>1.0404909002586684</c:v>
                </c:pt>
                <c:pt idx="227">
                  <c:v>1.0407672085741584</c:v>
                </c:pt>
                <c:pt idx="228">
                  <c:v>1.0411480197173413</c:v>
                </c:pt>
                <c:pt idx="229">
                  <c:v>1.0427711327534532</c:v>
                </c:pt>
                <c:pt idx="230">
                  <c:v>1.0439916823598347</c:v>
                </c:pt>
                <c:pt idx="231">
                  <c:v>1.0436806371875169</c:v>
                </c:pt>
                <c:pt idx="232">
                  <c:v>1.043039049111945</c:v>
                </c:pt>
                <c:pt idx="233">
                  <c:v>1.0431789985639732</c:v>
                </c:pt>
                <c:pt idx="234">
                  <c:v>1.0444876010922903</c:v>
                </c:pt>
                <c:pt idx="235">
                  <c:v>1.044842401343882</c:v>
                </c:pt>
                <c:pt idx="236">
                  <c:v>1.0443056501042418</c:v>
                </c:pt>
                <c:pt idx="237">
                  <c:v>1.0437336609954153</c:v>
                </c:pt>
                <c:pt idx="238">
                  <c:v>1.0440659156908929</c:v>
                </c:pt>
                <c:pt idx="239">
                  <c:v>1.0450452695978811</c:v>
                </c:pt>
                <c:pt idx="240">
                  <c:v>1.0450345395832119</c:v>
                </c:pt>
                <c:pt idx="241">
                  <c:v>1.0459798664008795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ED-4AAE-99F7-6F179EFC1D7A}"/>
            </c:ext>
          </c:extLst>
        </c:ser>
        <c:ser>
          <c:idx val="2"/>
          <c:order val="3"/>
          <c:tx>
            <c:strRef>
              <c:f>中国_中债国债到期收益率_1年!$U$1</c:f>
              <c:strCache>
                <c:ptCount val="1"/>
                <c:pt idx="0">
                  <c:v>Compound Bond Fund Index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中国_中债国债到期收益率_1年!$J$390:$J$631</c:f>
              <c:numCache>
                <c:formatCode>yyyy\-mm\-dd</c:formatCode>
                <c:ptCount val="242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45306</c:v>
                </c:pt>
                <c:pt idx="10">
                  <c:v>45307</c:v>
                </c:pt>
                <c:pt idx="11">
                  <c:v>45308</c:v>
                </c:pt>
                <c:pt idx="12">
                  <c:v>45309</c:v>
                </c:pt>
                <c:pt idx="13">
                  <c:v>45310</c:v>
                </c:pt>
                <c:pt idx="14">
                  <c:v>45313</c:v>
                </c:pt>
                <c:pt idx="15">
                  <c:v>45314</c:v>
                </c:pt>
                <c:pt idx="16">
                  <c:v>45315</c:v>
                </c:pt>
                <c:pt idx="17">
                  <c:v>45316</c:v>
                </c:pt>
                <c:pt idx="18">
                  <c:v>45317</c:v>
                </c:pt>
                <c:pt idx="19">
                  <c:v>45320</c:v>
                </c:pt>
                <c:pt idx="20">
                  <c:v>45321</c:v>
                </c:pt>
                <c:pt idx="21">
                  <c:v>45322</c:v>
                </c:pt>
                <c:pt idx="22">
                  <c:v>45323</c:v>
                </c:pt>
                <c:pt idx="23">
                  <c:v>45324</c:v>
                </c:pt>
                <c:pt idx="24">
                  <c:v>45327</c:v>
                </c:pt>
                <c:pt idx="25">
                  <c:v>45328</c:v>
                </c:pt>
                <c:pt idx="26">
                  <c:v>45329</c:v>
                </c:pt>
                <c:pt idx="27">
                  <c:v>45330</c:v>
                </c:pt>
                <c:pt idx="28">
                  <c:v>45341</c:v>
                </c:pt>
                <c:pt idx="29">
                  <c:v>45342</c:v>
                </c:pt>
                <c:pt idx="30">
                  <c:v>45343</c:v>
                </c:pt>
                <c:pt idx="31">
                  <c:v>45344</c:v>
                </c:pt>
                <c:pt idx="32">
                  <c:v>45345</c:v>
                </c:pt>
                <c:pt idx="33">
                  <c:v>45348</c:v>
                </c:pt>
                <c:pt idx="34">
                  <c:v>45349</c:v>
                </c:pt>
                <c:pt idx="35">
                  <c:v>45350</c:v>
                </c:pt>
                <c:pt idx="36">
                  <c:v>45351</c:v>
                </c:pt>
                <c:pt idx="37">
                  <c:v>45352</c:v>
                </c:pt>
                <c:pt idx="38">
                  <c:v>45355</c:v>
                </c:pt>
                <c:pt idx="39">
                  <c:v>45356</c:v>
                </c:pt>
                <c:pt idx="40">
                  <c:v>45357</c:v>
                </c:pt>
                <c:pt idx="41">
                  <c:v>45358</c:v>
                </c:pt>
                <c:pt idx="42">
                  <c:v>45359</c:v>
                </c:pt>
                <c:pt idx="43">
                  <c:v>45362</c:v>
                </c:pt>
                <c:pt idx="44">
                  <c:v>45363</c:v>
                </c:pt>
                <c:pt idx="45">
                  <c:v>45364</c:v>
                </c:pt>
                <c:pt idx="46">
                  <c:v>45365</c:v>
                </c:pt>
                <c:pt idx="47">
                  <c:v>45366</c:v>
                </c:pt>
                <c:pt idx="48">
                  <c:v>45369</c:v>
                </c:pt>
                <c:pt idx="49">
                  <c:v>45370</c:v>
                </c:pt>
                <c:pt idx="50">
                  <c:v>45371</c:v>
                </c:pt>
                <c:pt idx="51">
                  <c:v>45372</c:v>
                </c:pt>
                <c:pt idx="52">
                  <c:v>45373</c:v>
                </c:pt>
                <c:pt idx="53">
                  <c:v>45376</c:v>
                </c:pt>
                <c:pt idx="54">
                  <c:v>45377</c:v>
                </c:pt>
                <c:pt idx="55">
                  <c:v>45378</c:v>
                </c:pt>
                <c:pt idx="56">
                  <c:v>45379</c:v>
                </c:pt>
                <c:pt idx="57">
                  <c:v>45380</c:v>
                </c:pt>
                <c:pt idx="58">
                  <c:v>45383</c:v>
                </c:pt>
                <c:pt idx="59">
                  <c:v>45384</c:v>
                </c:pt>
                <c:pt idx="60">
                  <c:v>45385</c:v>
                </c:pt>
                <c:pt idx="61">
                  <c:v>45390</c:v>
                </c:pt>
                <c:pt idx="62">
                  <c:v>45391</c:v>
                </c:pt>
                <c:pt idx="63">
                  <c:v>45392</c:v>
                </c:pt>
                <c:pt idx="64">
                  <c:v>45393</c:v>
                </c:pt>
                <c:pt idx="65">
                  <c:v>45394</c:v>
                </c:pt>
                <c:pt idx="66">
                  <c:v>45397</c:v>
                </c:pt>
                <c:pt idx="67">
                  <c:v>45398</c:v>
                </c:pt>
                <c:pt idx="68">
                  <c:v>45399</c:v>
                </c:pt>
                <c:pt idx="69">
                  <c:v>45400</c:v>
                </c:pt>
                <c:pt idx="70">
                  <c:v>45401</c:v>
                </c:pt>
                <c:pt idx="71">
                  <c:v>45404</c:v>
                </c:pt>
                <c:pt idx="72">
                  <c:v>45405</c:v>
                </c:pt>
                <c:pt idx="73">
                  <c:v>45406</c:v>
                </c:pt>
                <c:pt idx="74">
                  <c:v>45407</c:v>
                </c:pt>
                <c:pt idx="75">
                  <c:v>45408</c:v>
                </c:pt>
                <c:pt idx="76">
                  <c:v>45411</c:v>
                </c:pt>
                <c:pt idx="77">
                  <c:v>45412</c:v>
                </c:pt>
                <c:pt idx="78">
                  <c:v>45418</c:v>
                </c:pt>
                <c:pt idx="79">
                  <c:v>45419</c:v>
                </c:pt>
                <c:pt idx="80">
                  <c:v>45420</c:v>
                </c:pt>
                <c:pt idx="81">
                  <c:v>45421</c:v>
                </c:pt>
                <c:pt idx="82">
                  <c:v>45422</c:v>
                </c:pt>
                <c:pt idx="83">
                  <c:v>45425</c:v>
                </c:pt>
                <c:pt idx="84">
                  <c:v>45426</c:v>
                </c:pt>
                <c:pt idx="85">
                  <c:v>45427</c:v>
                </c:pt>
                <c:pt idx="86">
                  <c:v>45428</c:v>
                </c:pt>
                <c:pt idx="87">
                  <c:v>45429</c:v>
                </c:pt>
                <c:pt idx="88">
                  <c:v>45432</c:v>
                </c:pt>
                <c:pt idx="89">
                  <c:v>45433</c:v>
                </c:pt>
                <c:pt idx="90">
                  <c:v>45434</c:v>
                </c:pt>
                <c:pt idx="91">
                  <c:v>45435</c:v>
                </c:pt>
                <c:pt idx="92">
                  <c:v>45436</c:v>
                </c:pt>
                <c:pt idx="93">
                  <c:v>45439</c:v>
                </c:pt>
                <c:pt idx="94">
                  <c:v>45440</c:v>
                </c:pt>
                <c:pt idx="95">
                  <c:v>45441</c:v>
                </c:pt>
                <c:pt idx="96">
                  <c:v>45442</c:v>
                </c:pt>
                <c:pt idx="97">
                  <c:v>45443</c:v>
                </c:pt>
                <c:pt idx="98">
                  <c:v>45446</c:v>
                </c:pt>
                <c:pt idx="99">
                  <c:v>45447</c:v>
                </c:pt>
                <c:pt idx="100">
                  <c:v>45448</c:v>
                </c:pt>
                <c:pt idx="101">
                  <c:v>45449</c:v>
                </c:pt>
                <c:pt idx="102">
                  <c:v>45450</c:v>
                </c:pt>
                <c:pt idx="103">
                  <c:v>45454</c:v>
                </c:pt>
                <c:pt idx="104">
                  <c:v>45455</c:v>
                </c:pt>
                <c:pt idx="105">
                  <c:v>45456</c:v>
                </c:pt>
                <c:pt idx="106">
                  <c:v>45457</c:v>
                </c:pt>
                <c:pt idx="107">
                  <c:v>45460</c:v>
                </c:pt>
                <c:pt idx="108">
                  <c:v>45461</c:v>
                </c:pt>
                <c:pt idx="109">
                  <c:v>45462</c:v>
                </c:pt>
                <c:pt idx="110">
                  <c:v>45463</c:v>
                </c:pt>
                <c:pt idx="111">
                  <c:v>45464</c:v>
                </c:pt>
                <c:pt idx="112">
                  <c:v>45467</c:v>
                </c:pt>
                <c:pt idx="113">
                  <c:v>45468</c:v>
                </c:pt>
                <c:pt idx="114">
                  <c:v>45469</c:v>
                </c:pt>
                <c:pt idx="115">
                  <c:v>45470</c:v>
                </c:pt>
                <c:pt idx="116">
                  <c:v>45471</c:v>
                </c:pt>
                <c:pt idx="117">
                  <c:v>45474</c:v>
                </c:pt>
                <c:pt idx="118">
                  <c:v>45475</c:v>
                </c:pt>
                <c:pt idx="119">
                  <c:v>45476</c:v>
                </c:pt>
                <c:pt idx="120">
                  <c:v>45477</c:v>
                </c:pt>
                <c:pt idx="121">
                  <c:v>45478</c:v>
                </c:pt>
                <c:pt idx="122">
                  <c:v>45481</c:v>
                </c:pt>
                <c:pt idx="123">
                  <c:v>45482</c:v>
                </c:pt>
                <c:pt idx="124">
                  <c:v>45483</c:v>
                </c:pt>
                <c:pt idx="125">
                  <c:v>45484</c:v>
                </c:pt>
                <c:pt idx="126">
                  <c:v>45485</c:v>
                </c:pt>
                <c:pt idx="127">
                  <c:v>45488</c:v>
                </c:pt>
                <c:pt idx="128">
                  <c:v>45489</c:v>
                </c:pt>
                <c:pt idx="129">
                  <c:v>45490</c:v>
                </c:pt>
                <c:pt idx="130">
                  <c:v>45491</c:v>
                </c:pt>
                <c:pt idx="131">
                  <c:v>45492</c:v>
                </c:pt>
                <c:pt idx="132">
                  <c:v>45495</c:v>
                </c:pt>
                <c:pt idx="133">
                  <c:v>45496</c:v>
                </c:pt>
                <c:pt idx="134">
                  <c:v>45497</c:v>
                </c:pt>
                <c:pt idx="135">
                  <c:v>45498</c:v>
                </c:pt>
                <c:pt idx="136">
                  <c:v>45499</c:v>
                </c:pt>
                <c:pt idx="137">
                  <c:v>45502</c:v>
                </c:pt>
                <c:pt idx="138">
                  <c:v>45503</c:v>
                </c:pt>
                <c:pt idx="139">
                  <c:v>45504</c:v>
                </c:pt>
                <c:pt idx="140">
                  <c:v>45505</c:v>
                </c:pt>
                <c:pt idx="141">
                  <c:v>45506</c:v>
                </c:pt>
                <c:pt idx="142">
                  <c:v>45509</c:v>
                </c:pt>
                <c:pt idx="143">
                  <c:v>45510</c:v>
                </c:pt>
                <c:pt idx="144">
                  <c:v>45511</c:v>
                </c:pt>
                <c:pt idx="145">
                  <c:v>45512</c:v>
                </c:pt>
                <c:pt idx="146">
                  <c:v>45513</c:v>
                </c:pt>
                <c:pt idx="147">
                  <c:v>45516</c:v>
                </c:pt>
                <c:pt idx="148">
                  <c:v>45517</c:v>
                </c:pt>
                <c:pt idx="149">
                  <c:v>45518</c:v>
                </c:pt>
                <c:pt idx="150">
                  <c:v>45519</c:v>
                </c:pt>
                <c:pt idx="151">
                  <c:v>45520</c:v>
                </c:pt>
                <c:pt idx="152">
                  <c:v>45523</c:v>
                </c:pt>
                <c:pt idx="153">
                  <c:v>45524</c:v>
                </c:pt>
                <c:pt idx="154">
                  <c:v>45525</c:v>
                </c:pt>
                <c:pt idx="155">
                  <c:v>45526</c:v>
                </c:pt>
                <c:pt idx="156">
                  <c:v>45527</c:v>
                </c:pt>
                <c:pt idx="157">
                  <c:v>45530</c:v>
                </c:pt>
                <c:pt idx="158">
                  <c:v>45531</c:v>
                </c:pt>
                <c:pt idx="159">
                  <c:v>45532</c:v>
                </c:pt>
                <c:pt idx="160">
                  <c:v>45533</c:v>
                </c:pt>
                <c:pt idx="161">
                  <c:v>45534</c:v>
                </c:pt>
                <c:pt idx="162">
                  <c:v>45537</c:v>
                </c:pt>
                <c:pt idx="163">
                  <c:v>45538</c:v>
                </c:pt>
                <c:pt idx="164">
                  <c:v>45539</c:v>
                </c:pt>
                <c:pt idx="165">
                  <c:v>45540</c:v>
                </c:pt>
                <c:pt idx="166">
                  <c:v>45541</c:v>
                </c:pt>
                <c:pt idx="167">
                  <c:v>45544</c:v>
                </c:pt>
                <c:pt idx="168">
                  <c:v>45545</c:v>
                </c:pt>
                <c:pt idx="169">
                  <c:v>45546</c:v>
                </c:pt>
                <c:pt idx="170">
                  <c:v>45547</c:v>
                </c:pt>
                <c:pt idx="171">
                  <c:v>45548</c:v>
                </c:pt>
                <c:pt idx="172">
                  <c:v>45553</c:v>
                </c:pt>
                <c:pt idx="173">
                  <c:v>45554</c:v>
                </c:pt>
                <c:pt idx="174">
                  <c:v>45555</c:v>
                </c:pt>
                <c:pt idx="175">
                  <c:v>45558</c:v>
                </c:pt>
                <c:pt idx="176">
                  <c:v>45559</c:v>
                </c:pt>
                <c:pt idx="177">
                  <c:v>45560</c:v>
                </c:pt>
                <c:pt idx="178">
                  <c:v>45561</c:v>
                </c:pt>
                <c:pt idx="179">
                  <c:v>45562</c:v>
                </c:pt>
                <c:pt idx="180">
                  <c:v>45565</c:v>
                </c:pt>
                <c:pt idx="181">
                  <c:v>45573</c:v>
                </c:pt>
                <c:pt idx="182">
                  <c:v>45574</c:v>
                </c:pt>
                <c:pt idx="183">
                  <c:v>45575</c:v>
                </c:pt>
                <c:pt idx="184">
                  <c:v>45576</c:v>
                </c:pt>
                <c:pt idx="185">
                  <c:v>45579</c:v>
                </c:pt>
                <c:pt idx="186">
                  <c:v>45580</c:v>
                </c:pt>
                <c:pt idx="187">
                  <c:v>45581</c:v>
                </c:pt>
                <c:pt idx="188">
                  <c:v>45582</c:v>
                </c:pt>
                <c:pt idx="189">
                  <c:v>45583</c:v>
                </c:pt>
                <c:pt idx="190">
                  <c:v>45586</c:v>
                </c:pt>
                <c:pt idx="191">
                  <c:v>45587</c:v>
                </c:pt>
                <c:pt idx="192">
                  <c:v>45588</c:v>
                </c:pt>
                <c:pt idx="193">
                  <c:v>45589</c:v>
                </c:pt>
                <c:pt idx="194">
                  <c:v>45590</c:v>
                </c:pt>
                <c:pt idx="195">
                  <c:v>45593</c:v>
                </c:pt>
                <c:pt idx="196">
                  <c:v>45594</c:v>
                </c:pt>
                <c:pt idx="197">
                  <c:v>45595</c:v>
                </c:pt>
                <c:pt idx="198">
                  <c:v>45596</c:v>
                </c:pt>
                <c:pt idx="199">
                  <c:v>45597</c:v>
                </c:pt>
                <c:pt idx="200">
                  <c:v>45600</c:v>
                </c:pt>
                <c:pt idx="201">
                  <c:v>45601</c:v>
                </c:pt>
                <c:pt idx="202">
                  <c:v>45602</c:v>
                </c:pt>
                <c:pt idx="203">
                  <c:v>45603</c:v>
                </c:pt>
                <c:pt idx="204">
                  <c:v>45604</c:v>
                </c:pt>
                <c:pt idx="205">
                  <c:v>45607</c:v>
                </c:pt>
                <c:pt idx="206">
                  <c:v>45608</c:v>
                </c:pt>
                <c:pt idx="207">
                  <c:v>45609</c:v>
                </c:pt>
                <c:pt idx="208">
                  <c:v>45610</c:v>
                </c:pt>
                <c:pt idx="209">
                  <c:v>45611</c:v>
                </c:pt>
                <c:pt idx="210">
                  <c:v>45614</c:v>
                </c:pt>
                <c:pt idx="211">
                  <c:v>45615</c:v>
                </c:pt>
                <c:pt idx="212">
                  <c:v>45616</c:v>
                </c:pt>
                <c:pt idx="213">
                  <c:v>45617</c:v>
                </c:pt>
                <c:pt idx="214">
                  <c:v>45618</c:v>
                </c:pt>
                <c:pt idx="215">
                  <c:v>45621</c:v>
                </c:pt>
                <c:pt idx="216">
                  <c:v>45622</c:v>
                </c:pt>
                <c:pt idx="217">
                  <c:v>45623</c:v>
                </c:pt>
                <c:pt idx="218">
                  <c:v>45624</c:v>
                </c:pt>
                <c:pt idx="219">
                  <c:v>45625</c:v>
                </c:pt>
                <c:pt idx="220">
                  <c:v>45628</c:v>
                </c:pt>
                <c:pt idx="221">
                  <c:v>45629</c:v>
                </c:pt>
                <c:pt idx="222">
                  <c:v>45630</c:v>
                </c:pt>
                <c:pt idx="223">
                  <c:v>45631</c:v>
                </c:pt>
                <c:pt idx="224">
                  <c:v>45632</c:v>
                </c:pt>
                <c:pt idx="225">
                  <c:v>45635</c:v>
                </c:pt>
                <c:pt idx="226">
                  <c:v>45636</c:v>
                </c:pt>
                <c:pt idx="227">
                  <c:v>45637</c:v>
                </c:pt>
                <c:pt idx="228">
                  <c:v>45638</c:v>
                </c:pt>
                <c:pt idx="229">
                  <c:v>45639</c:v>
                </c:pt>
                <c:pt idx="230">
                  <c:v>45642</c:v>
                </c:pt>
                <c:pt idx="231">
                  <c:v>45643</c:v>
                </c:pt>
                <c:pt idx="232">
                  <c:v>45644</c:v>
                </c:pt>
                <c:pt idx="233">
                  <c:v>45645</c:v>
                </c:pt>
                <c:pt idx="234">
                  <c:v>45646</c:v>
                </c:pt>
                <c:pt idx="235">
                  <c:v>45649</c:v>
                </c:pt>
                <c:pt idx="236">
                  <c:v>45650</c:v>
                </c:pt>
                <c:pt idx="237">
                  <c:v>45651</c:v>
                </c:pt>
                <c:pt idx="238">
                  <c:v>45652</c:v>
                </c:pt>
                <c:pt idx="239">
                  <c:v>45653</c:v>
                </c:pt>
                <c:pt idx="240">
                  <c:v>45656</c:v>
                </c:pt>
                <c:pt idx="241">
                  <c:v>45657</c:v>
                </c:pt>
              </c:numCache>
            </c:numRef>
          </c:cat>
          <c:val>
            <c:numRef>
              <c:f>中国_中债国债到期收益率_1年!$U$390:$U$631</c:f>
              <c:numCache>
                <c:formatCode>0.00_);[Red]\(0.00\)</c:formatCode>
                <c:ptCount val="242"/>
                <c:pt idx="0">
                  <c:v>1</c:v>
                </c:pt>
                <c:pt idx="1">
                  <c:v>0.99948964733232437</c:v>
                </c:pt>
                <c:pt idx="2">
                  <c:v>0.99935767257250574</c:v>
                </c:pt>
                <c:pt idx="3">
                  <c:v>0.99923580753851071</c:v>
                </c:pt>
                <c:pt idx="4">
                  <c:v>0.99858090292668689</c:v>
                </c:pt>
                <c:pt idx="5">
                  <c:v>0.9991360810905564</c:v>
                </c:pt>
                <c:pt idx="6">
                  <c:v>0.99887994518952183</c:v>
                </c:pt>
                <c:pt idx="7">
                  <c:v>0.99934814544105177</c:v>
                </c:pt>
                <c:pt idx="8">
                  <c:v>0.99934951625133295</c:v>
                </c:pt>
                <c:pt idx="9">
                  <c:v>0.99940544531080422</c:v>
                </c:pt>
                <c:pt idx="10">
                  <c:v>0.99924259304940255</c:v>
                </c:pt>
                <c:pt idx="11">
                  <c:v>0.99838186127386241</c:v>
                </c:pt>
                <c:pt idx="12">
                  <c:v>0.99859951167625349</c:v>
                </c:pt>
                <c:pt idx="13">
                  <c:v>0.99870780568846518</c:v>
                </c:pt>
                <c:pt idx="14">
                  <c:v>0.99743062174950903</c:v>
                </c:pt>
                <c:pt idx="15">
                  <c:v>0.99771112380329119</c:v>
                </c:pt>
                <c:pt idx="16">
                  <c:v>0.99810848743354219</c:v>
                </c:pt>
                <c:pt idx="17">
                  <c:v>0.99975513901352786</c:v>
                </c:pt>
                <c:pt idx="18">
                  <c:v>0.99982182893370641</c:v>
                </c:pt>
                <c:pt idx="19">
                  <c:v>0.99936229905720464</c:v>
                </c:pt>
                <c:pt idx="20">
                  <c:v>0.99911671839533489</c:v>
                </c:pt>
                <c:pt idx="21">
                  <c:v>0.99872524924929285</c:v>
                </c:pt>
                <c:pt idx="22">
                  <c:v>0.9987896087919933</c:v>
                </c:pt>
                <c:pt idx="23">
                  <c:v>0.99840053856394329</c:v>
                </c:pt>
                <c:pt idx="24">
                  <c:v>0.99813802839510124</c:v>
                </c:pt>
                <c:pt idx="25">
                  <c:v>0.99951596688972277</c:v>
                </c:pt>
                <c:pt idx="26">
                  <c:v>1.000558193946488</c:v>
                </c:pt>
                <c:pt idx="27">
                  <c:v>1.001509673362641</c:v>
                </c:pt>
                <c:pt idx="28">
                  <c:v>1.002710091925852</c:v>
                </c:pt>
                <c:pt idx="29">
                  <c:v>1.0037231549938859</c:v>
                </c:pt>
                <c:pt idx="30">
                  <c:v>1.0044501299562416</c:v>
                </c:pt>
                <c:pt idx="31">
                  <c:v>1.0053055841121992</c:v>
                </c:pt>
                <c:pt idx="32">
                  <c:v>1.0060846155949821</c:v>
                </c:pt>
                <c:pt idx="33">
                  <c:v>1.0064027463909822</c:v>
                </c:pt>
                <c:pt idx="34">
                  <c:v>1.007276158161623</c:v>
                </c:pt>
                <c:pt idx="35">
                  <c:v>1.0061822172870005</c:v>
                </c:pt>
                <c:pt idx="36">
                  <c:v>1.0075720818310681</c:v>
                </c:pt>
                <c:pt idx="37">
                  <c:v>1.0074676260876436</c:v>
                </c:pt>
                <c:pt idx="38">
                  <c:v>1.0078693763107944</c:v>
                </c:pt>
                <c:pt idx="39">
                  <c:v>1.0077543995984621</c:v>
                </c:pt>
                <c:pt idx="40">
                  <c:v>1.0084586876506649</c:v>
                </c:pt>
                <c:pt idx="41">
                  <c:v>1.0082481311914788</c:v>
                </c:pt>
                <c:pt idx="42">
                  <c:v>1.0086631782743569</c:v>
                </c:pt>
                <c:pt idx="43">
                  <c:v>1.0089385397895847</c:v>
                </c:pt>
                <c:pt idx="44">
                  <c:v>1.0082740737760498</c:v>
                </c:pt>
                <c:pt idx="45">
                  <c:v>1.0081292819401024</c:v>
                </c:pt>
                <c:pt idx="46">
                  <c:v>1.0077497388435064</c:v>
                </c:pt>
                <c:pt idx="47">
                  <c:v>1.0083150952737134</c:v>
                </c:pt>
                <c:pt idx="48">
                  <c:v>1.009360715085925</c:v>
                </c:pt>
                <c:pt idx="49">
                  <c:v>1.0095754867867255</c:v>
                </c:pt>
                <c:pt idx="50">
                  <c:v>1.0098032811851971</c:v>
                </c:pt>
                <c:pt idx="51">
                  <c:v>1.0100306643405843</c:v>
                </c:pt>
                <c:pt idx="52">
                  <c:v>1.0096598258892739</c:v>
                </c:pt>
                <c:pt idx="53">
                  <c:v>1.0091798366693259</c:v>
                </c:pt>
                <c:pt idx="54">
                  <c:v>1.0090413162904146</c:v>
                </c:pt>
                <c:pt idx="55">
                  <c:v>1.0087508073215801</c:v>
                </c:pt>
                <c:pt idx="56">
                  <c:v>1.0092222632475278</c:v>
                </c:pt>
                <c:pt idx="57">
                  <c:v>1.0100214799117007</c:v>
                </c:pt>
                <c:pt idx="58">
                  <c:v>1.0106130530885349</c:v>
                </c:pt>
                <c:pt idx="59">
                  <c:v>1.010892081521265</c:v>
                </c:pt>
                <c:pt idx="60">
                  <c:v>1.0114327976366684</c:v>
                </c:pt>
                <c:pt idx="61">
                  <c:v>1.0114599396802351</c:v>
                </c:pt>
                <c:pt idx="62">
                  <c:v>1.0120597719890134</c:v>
                </c:pt>
                <c:pt idx="63">
                  <c:v>1.0118337939141644</c:v>
                </c:pt>
                <c:pt idx="64">
                  <c:v>1.0123948322919858</c:v>
                </c:pt>
                <c:pt idx="65">
                  <c:v>1.0131641652920296</c:v>
                </c:pt>
                <c:pt idx="66">
                  <c:v>1.0134288687573214</c:v>
                </c:pt>
                <c:pt idx="67">
                  <c:v>1.0125966498356296</c:v>
                </c:pt>
                <c:pt idx="68">
                  <c:v>1.0139677342788451</c:v>
                </c:pt>
                <c:pt idx="69">
                  <c:v>1.0145576967535992</c:v>
                </c:pt>
                <c:pt idx="70">
                  <c:v>1.0148321672421443</c:v>
                </c:pt>
                <c:pt idx="71">
                  <c:v>1.0149506395206935</c:v>
                </c:pt>
                <c:pt idx="72">
                  <c:v>1.0151256577233405</c:v>
                </c:pt>
                <c:pt idx="73">
                  <c:v>1.0148002616328504</c:v>
                </c:pt>
                <c:pt idx="74">
                  <c:v>1.0148685279848522</c:v>
                </c:pt>
                <c:pt idx="75">
                  <c:v>1.0147553333258852</c:v>
                </c:pt>
                <c:pt idx="76">
                  <c:v>1.013998406158886</c:v>
                </c:pt>
                <c:pt idx="77">
                  <c:v>1.0148366566458149</c:v>
                </c:pt>
                <c:pt idx="78">
                  <c:v>1.0162393725362684</c:v>
                </c:pt>
                <c:pt idx="79">
                  <c:v>1.0170665880004341</c:v>
                </c:pt>
                <c:pt idx="80">
                  <c:v>1.0167951332945075</c:v>
                </c:pt>
                <c:pt idx="81">
                  <c:v>1.017289995806006</c:v>
                </c:pt>
                <c:pt idx="82">
                  <c:v>1.0174729647082836</c:v>
                </c:pt>
                <c:pt idx="83">
                  <c:v>1.0177886623160348</c:v>
                </c:pt>
                <c:pt idx="84">
                  <c:v>1.0181670402238918</c:v>
                </c:pt>
                <c:pt idx="85">
                  <c:v>1.0179318091796448</c:v>
                </c:pt>
                <c:pt idx="86">
                  <c:v>1.0178636113681572</c:v>
                </c:pt>
                <c:pt idx="87">
                  <c:v>1.0182613862414924</c:v>
                </c:pt>
                <c:pt idx="88">
                  <c:v>1.0189544336493896</c:v>
                </c:pt>
                <c:pt idx="89">
                  <c:v>1.0186049112979512</c:v>
                </c:pt>
                <c:pt idx="90">
                  <c:v>1.0187348641126051</c:v>
                </c:pt>
                <c:pt idx="91">
                  <c:v>1.0183129629783212</c:v>
                </c:pt>
                <c:pt idx="92">
                  <c:v>1.018115360676292</c:v>
                </c:pt>
                <c:pt idx="93">
                  <c:v>1.0187900392264218</c:v>
                </c:pt>
                <c:pt idx="94">
                  <c:v>1.0187241032518979</c:v>
                </c:pt>
                <c:pt idx="95">
                  <c:v>1.0189616304033657</c:v>
                </c:pt>
                <c:pt idx="96">
                  <c:v>1.0188724934648334</c:v>
                </c:pt>
                <c:pt idx="97">
                  <c:v>1.0188488469874835</c:v>
                </c:pt>
                <c:pt idx="98">
                  <c:v>1.0188338366149046</c:v>
                </c:pt>
                <c:pt idx="99">
                  <c:v>1.019355704088942</c:v>
                </c:pt>
                <c:pt idx="100">
                  <c:v>1.0192380542965616</c:v>
                </c:pt>
                <c:pt idx="101">
                  <c:v>1.0192366834862805</c:v>
                </c:pt>
                <c:pt idx="102">
                  <c:v>1.0194749645834029</c:v>
                </c:pt>
                <c:pt idx="103">
                  <c:v>1.0196920323914245</c:v>
                </c:pt>
                <c:pt idx="104">
                  <c:v>1.0199587578018812</c:v>
                </c:pt>
                <c:pt idx="105">
                  <c:v>1.0197534104217634</c:v>
                </c:pt>
                <c:pt idx="106">
                  <c:v>1.0200930972094346</c:v>
                </c:pt>
                <c:pt idx="107">
                  <c:v>1.0200028293524204</c:v>
                </c:pt>
                <c:pt idx="108">
                  <c:v>1.0204015637929527</c:v>
                </c:pt>
                <c:pt idx="109">
                  <c:v>1.0203638322399635</c:v>
                </c:pt>
                <c:pt idx="110">
                  <c:v>1.0198716085382564</c:v>
                </c:pt>
                <c:pt idx="111">
                  <c:v>1.0195418943953805</c:v>
                </c:pt>
                <c:pt idx="112">
                  <c:v>1.0188795531377814</c:v>
                </c:pt>
                <c:pt idx="113">
                  <c:v>1.0192378144047622</c:v>
                </c:pt>
                <c:pt idx="114">
                  <c:v>1.0202281562923858</c:v>
                </c:pt>
                <c:pt idx="115">
                  <c:v>1.0201335361127288</c:v>
                </c:pt>
                <c:pt idx="116">
                  <c:v>1.0207927245066815</c:v>
                </c:pt>
                <c:pt idx="117">
                  <c:v>1.0207780225664158</c:v>
                </c:pt>
                <c:pt idx="118">
                  <c:v>1.0208638352900166</c:v>
                </c:pt>
                <c:pt idx="119">
                  <c:v>1.0207270969644708</c:v>
                </c:pt>
                <c:pt idx="120">
                  <c:v>1.0202704800598168</c:v>
                </c:pt>
                <c:pt idx="121">
                  <c:v>1.0201520763217815</c:v>
                </c:pt>
                <c:pt idx="122">
                  <c:v>1.0190515212875528</c:v>
                </c:pt>
                <c:pt idx="123">
                  <c:v>1.0200987860721014</c:v>
                </c:pt>
                <c:pt idx="124">
                  <c:v>1.0198663994591881</c:v>
                </c:pt>
                <c:pt idx="125">
                  <c:v>1.0206842934134417</c:v>
                </c:pt>
                <c:pt idx="126">
                  <c:v>1.0207524569546722</c:v>
                </c:pt>
                <c:pt idx="127">
                  <c:v>1.0208510867544018</c:v>
                </c:pt>
                <c:pt idx="128">
                  <c:v>1.0209916976189917</c:v>
                </c:pt>
                <c:pt idx="129">
                  <c:v>1.0205104746697906</c:v>
                </c:pt>
                <c:pt idx="130">
                  <c:v>1.0205664037292619</c:v>
                </c:pt>
                <c:pt idx="131">
                  <c:v>1.0207512917659334</c:v>
                </c:pt>
                <c:pt idx="132">
                  <c:v>1.0210328561976836</c:v>
                </c:pt>
                <c:pt idx="133">
                  <c:v>1.0203222281479305</c:v>
                </c:pt>
                <c:pt idx="134">
                  <c:v>1.0197689691184546</c:v>
                </c:pt>
                <c:pt idx="135">
                  <c:v>1.0198835345877024</c:v>
                </c:pt>
                <c:pt idx="136">
                  <c:v>1.0210744260194595</c:v>
                </c:pt>
                <c:pt idx="137">
                  <c:v>1.0213916657887769</c:v>
                </c:pt>
                <c:pt idx="138">
                  <c:v>1.0214276838289145</c:v>
                </c:pt>
                <c:pt idx="139">
                  <c:v>1.0228879737511765</c:v>
                </c:pt>
                <c:pt idx="140">
                  <c:v>1.0232337263743418</c:v>
                </c:pt>
                <c:pt idx="141">
                  <c:v>1.0232390382641814</c:v>
                </c:pt>
                <c:pt idx="142">
                  <c:v>1.0226970198790108</c:v>
                </c:pt>
                <c:pt idx="143">
                  <c:v>1.0226386576312907</c:v>
                </c:pt>
                <c:pt idx="144">
                  <c:v>1.023009187650288</c:v>
                </c:pt>
                <c:pt idx="145">
                  <c:v>1.0223730288690589</c:v>
                </c:pt>
                <c:pt idx="146">
                  <c:v>1.0216685351953141</c:v>
                </c:pt>
                <c:pt idx="147">
                  <c:v>1.0201897050639994</c:v>
                </c:pt>
                <c:pt idx="148">
                  <c:v>1.020695294165948</c:v>
                </c:pt>
                <c:pt idx="149">
                  <c:v>1.0209386815313679</c:v>
                </c:pt>
                <c:pt idx="150">
                  <c:v>1.0205184253694215</c:v>
                </c:pt>
                <c:pt idx="151">
                  <c:v>1.0199238021397115</c:v>
                </c:pt>
                <c:pt idx="152">
                  <c:v>1.0204505359902469</c:v>
                </c:pt>
                <c:pt idx="153">
                  <c:v>1.0197262683781965</c:v>
                </c:pt>
                <c:pt idx="154">
                  <c:v>1.0194068353124293</c:v>
                </c:pt>
                <c:pt idx="155">
                  <c:v>1.0192674239068353</c:v>
                </c:pt>
                <c:pt idx="156">
                  <c:v>1.0193345250700983</c:v>
                </c:pt>
                <c:pt idx="157">
                  <c:v>1.019507144354753</c:v>
                </c:pt>
                <c:pt idx="158">
                  <c:v>1.0184726623760763</c:v>
                </c:pt>
                <c:pt idx="159">
                  <c:v>1.0187153300660983</c:v>
                </c:pt>
                <c:pt idx="160">
                  <c:v>1.0191165319651367</c:v>
                </c:pt>
                <c:pt idx="161">
                  <c:v>1.0199672225553673</c:v>
                </c:pt>
                <c:pt idx="162">
                  <c:v>1.0199955983281872</c:v>
                </c:pt>
                <c:pt idx="163">
                  <c:v>1.0203874787173135</c:v>
                </c:pt>
                <c:pt idx="164">
                  <c:v>1.0204783634389545</c:v>
                </c:pt>
                <c:pt idx="165">
                  <c:v>1.0209822732983087</c:v>
                </c:pt>
                <c:pt idx="166">
                  <c:v>1.0207218536151454</c:v>
                </c:pt>
                <c:pt idx="167">
                  <c:v>1.0204749706835088</c:v>
                </c:pt>
                <c:pt idx="168">
                  <c:v>1.020411536437748</c:v>
                </c:pt>
                <c:pt idx="169">
                  <c:v>1.0205595496778561</c:v>
                </c:pt>
                <c:pt idx="170">
                  <c:v>1.0205523871941371</c:v>
                </c:pt>
                <c:pt idx="171">
                  <c:v>1.02073679544721</c:v>
                </c:pt>
                <c:pt idx="172">
                  <c:v>1.0213096570637066</c:v>
                </c:pt>
                <c:pt idx="173">
                  <c:v>1.0216540046063338</c:v>
                </c:pt>
                <c:pt idx="174">
                  <c:v>1.0216042784633848</c:v>
                </c:pt>
                <c:pt idx="175">
                  <c:v>1.0217142859884478</c:v>
                </c:pt>
                <c:pt idx="176">
                  <c:v>1.0231968515777787</c:v>
                </c:pt>
                <c:pt idx="177">
                  <c:v>1.0243981611676727</c:v>
                </c:pt>
                <c:pt idx="178">
                  <c:v>1.0255784288197509</c:v>
                </c:pt>
                <c:pt idx="179">
                  <c:v>1.0251091319199959</c:v>
                </c:pt>
                <c:pt idx="180">
                  <c:v>1.0266423832194727</c:v>
                </c:pt>
                <c:pt idx="181">
                  <c:v>1.0280411923006247</c:v>
                </c:pt>
                <c:pt idx="182">
                  <c:v>1.0236766694464414</c:v>
                </c:pt>
                <c:pt idx="183">
                  <c:v>1.02518140789207</c:v>
                </c:pt>
                <c:pt idx="184">
                  <c:v>1.0248286641364708</c:v>
                </c:pt>
                <c:pt idx="185">
                  <c:v>1.027087108344938</c:v>
                </c:pt>
                <c:pt idx="186">
                  <c:v>1.0267889913790427</c:v>
                </c:pt>
                <c:pt idx="187">
                  <c:v>1.0270299798264706</c:v>
                </c:pt>
                <c:pt idx="188">
                  <c:v>1.0272785762709586</c:v>
                </c:pt>
                <c:pt idx="189">
                  <c:v>1.028715253986128</c:v>
                </c:pt>
                <c:pt idx="190">
                  <c:v>1.0291592937064524</c:v>
                </c:pt>
                <c:pt idx="191">
                  <c:v>1.0288306076712874</c:v>
                </c:pt>
                <c:pt idx="192">
                  <c:v>1.0284732374309893</c:v>
                </c:pt>
                <c:pt idx="193">
                  <c:v>1.0277929728289639</c:v>
                </c:pt>
                <c:pt idx="194">
                  <c:v>1.0282901657179404</c:v>
                </c:pt>
                <c:pt idx="195">
                  <c:v>1.0284481858731009</c:v>
                </c:pt>
                <c:pt idx="196">
                  <c:v>1.0278569896690939</c:v>
                </c:pt>
                <c:pt idx="197">
                  <c:v>1.0275792292358741</c:v>
                </c:pt>
                <c:pt idx="198">
                  <c:v>1.0280359489512993</c:v>
                </c:pt>
                <c:pt idx="199">
                  <c:v>1.0284688165678324</c:v>
                </c:pt>
                <c:pt idx="200">
                  <c:v>1.029353880225863</c:v>
                </c:pt>
                <c:pt idx="201">
                  <c:v>1.0305609472189379</c:v>
                </c:pt>
                <c:pt idx="202">
                  <c:v>1.0304649562289996</c:v>
                </c:pt>
                <c:pt idx="203">
                  <c:v>1.0317487543275623</c:v>
                </c:pt>
                <c:pt idx="204">
                  <c:v>1.0317904612303668</c:v>
                </c:pt>
                <c:pt idx="205">
                  <c:v>1.032909385122363</c:v>
                </c:pt>
                <c:pt idx="206">
                  <c:v>1.0328340590974132</c:v>
                </c:pt>
                <c:pt idx="207">
                  <c:v>1.032785395332432</c:v>
                </c:pt>
                <c:pt idx="208">
                  <c:v>1.0318888511382969</c:v>
                </c:pt>
                <c:pt idx="209">
                  <c:v>1.031327195895849</c:v>
                </c:pt>
                <c:pt idx="210">
                  <c:v>1.030574278348922</c:v>
                </c:pt>
                <c:pt idx="211">
                  <c:v>1.0314360725024301</c:v>
                </c:pt>
                <c:pt idx="212">
                  <c:v>1.0319140397772133</c:v>
                </c:pt>
                <c:pt idx="213">
                  <c:v>1.0323372774515212</c:v>
                </c:pt>
                <c:pt idx="214">
                  <c:v>1.0314595476284949</c:v>
                </c:pt>
                <c:pt idx="215">
                  <c:v>1.0318726070364652</c:v>
                </c:pt>
                <c:pt idx="216">
                  <c:v>1.031906637401695</c:v>
                </c:pt>
                <c:pt idx="217">
                  <c:v>1.0328043467845691</c:v>
                </c:pt>
                <c:pt idx="218">
                  <c:v>1.0331959187413824</c:v>
                </c:pt>
                <c:pt idx="219">
                  <c:v>1.0345914721481166</c:v>
                </c:pt>
                <c:pt idx="220">
                  <c:v>1.0365589618744078</c:v>
                </c:pt>
                <c:pt idx="221">
                  <c:v>1.0366393941676546</c:v>
                </c:pt>
                <c:pt idx="222">
                  <c:v>1.0369242142738226</c:v>
                </c:pt>
                <c:pt idx="223">
                  <c:v>1.0373620168073678</c:v>
                </c:pt>
                <c:pt idx="224">
                  <c:v>1.0380213765526054</c:v>
                </c:pt>
                <c:pt idx="225">
                  <c:v>1.0386549307943003</c:v>
                </c:pt>
                <c:pt idx="226">
                  <c:v>1.0407537784157834</c:v>
                </c:pt>
                <c:pt idx="227">
                  <c:v>1.0415387386530321</c:v>
                </c:pt>
                <c:pt idx="228">
                  <c:v>1.042471403698076</c:v>
                </c:pt>
                <c:pt idx="229">
                  <c:v>1.0430494401233841</c:v>
                </c:pt>
                <c:pt idx="230">
                  <c:v>1.0434430340253618</c:v>
                </c:pt>
                <c:pt idx="231">
                  <c:v>1.0427002262042586</c:v>
                </c:pt>
                <c:pt idx="232">
                  <c:v>1.0425442965347766</c:v>
                </c:pt>
                <c:pt idx="233">
                  <c:v>1.0426094442933886</c:v>
                </c:pt>
                <c:pt idx="234">
                  <c:v>1.0439644902563148</c:v>
                </c:pt>
                <c:pt idx="235">
                  <c:v>1.0438845720169232</c:v>
                </c:pt>
                <c:pt idx="236">
                  <c:v>1.0439432426969568</c:v>
                </c:pt>
                <c:pt idx="237">
                  <c:v>1.0432537936660478</c:v>
                </c:pt>
                <c:pt idx="238">
                  <c:v>1.0437464971513535</c:v>
                </c:pt>
                <c:pt idx="239">
                  <c:v>1.0446926989479237</c:v>
                </c:pt>
                <c:pt idx="240">
                  <c:v>1.0447753588078776</c:v>
                </c:pt>
                <c:pt idx="241">
                  <c:v>1.0448353660279355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ED-4AAE-99F7-6F179EFC1D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911648"/>
        <c:axId val="112894848"/>
      </c:lineChart>
      <c:dateAx>
        <c:axId val="112911648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2894848"/>
        <c:crosses val="autoZero"/>
        <c:auto val="1"/>
        <c:lblOffset val="100"/>
        <c:baseTimeUnit val="days"/>
      </c:dateAx>
      <c:valAx>
        <c:axId val="112894848"/>
        <c:scaling>
          <c:orientation val="minMax"/>
          <c:min val="0.9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2911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8f026bd-2b23-4a25-b19c-777f545178b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summary!$B$1</c:f>
              <c:strCache>
                <c:ptCount val="1"/>
                <c:pt idx="0">
                  <c:v> Return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summary!$A$2:$A$33</c:f>
              <c:numCache>
                <c:formatCode>yyyy\-mm\-dd;@</c:formatCode>
                <c:ptCount val="32"/>
                <c:pt idx="0">
                  <c:v>44742</c:v>
                </c:pt>
                <c:pt idx="1">
                  <c:v>44771</c:v>
                </c:pt>
                <c:pt idx="2">
                  <c:v>44804</c:v>
                </c:pt>
                <c:pt idx="3">
                  <c:v>44834</c:v>
                </c:pt>
                <c:pt idx="4">
                  <c:v>44865</c:v>
                </c:pt>
                <c:pt idx="5">
                  <c:v>44895</c:v>
                </c:pt>
                <c:pt idx="6">
                  <c:v>44925</c:v>
                </c:pt>
                <c:pt idx="7">
                  <c:v>44957</c:v>
                </c:pt>
                <c:pt idx="8">
                  <c:v>44985</c:v>
                </c:pt>
                <c:pt idx="9">
                  <c:v>45016</c:v>
                </c:pt>
                <c:pt idx="10">
                  <c:v>45044</c:v>
                </c:pt>
                <c:pt idx="11">
                  <c:v>45077</c:v>
                </c:pt>
                <c:pt idx="12">
                  <c:v>45107</c:v>
                </c:pt>
                <c:pt idx="13">
                  <c:v>45138</c:v>
                </c:pt>
                <c:pt idx="14">
                  <c:v>45169</c:v>
                </c:pt>
                <c:pt idx="15">
                  <c:v>45197</c:v>
                </c:pt>
                <c:pt idx="16">
                  <c:v>45230</c:v>
                </c:pt>
                <c:pt idx="17">
                  <c:v>45260</c:v>
                </c:pt>
                <c:pt idx="18">
                  <c:v>45291</c:v>
                </c:pt>
                <c:pt idx="19">
                  <c:v>45322</c:v>
                </c:pt>
                <c:pt idx="20">
                  <c:v>45351</c:v>
                </c:pt>
                <c:pt idx="21">
                  <c:v>45380</c:v>
                </c:pt>
                <c:pt idx="22">
                  <c:v>45412</c:v>
                </c:pt>
                <c:pt idx="23">
                  <c:v>45442</c:v>
                </c:pt>
                <c:pt idx="24">
                  <c:v>45443</c:v>
                </c:pt>
                <c:pt idx="25">
                  <c:v>45471</c:v>
                </c:pt>
                <c:pt idx="26">
                  <c:v>45504</c:v>
                </c:pt>
                <c:pt idx="27">
                  <c:v>45534</c:v>
                </c:pt>
                <c:pt idx="28">
                  <c:v>45565</c:v>
                </c:pt>
                <c:pt idx="29">
                  <c:v>45595</c:v>
                </c:pt>
                <c:pt idx="30">
                  <c:v>45625</c:v>
                </c:pt>
                <c:pt idx="31">
                  <c:v>45657</c:v>
                </c:pt>
              </c:numCache>
            </c:numRef>
          </c:cat>
          <c:val>
            <c:numRef>
              <c:f>summary!$B$21:$B$33</c:f>
              <c:numCache>
                <c:formatCode>0.00%</c:formatCode>
                <c:ptCount val="13"/>
                <c:pt idx="0">
                  <c:v>1.3850618630137035E-2</c:v>
                </c:pt>
                <c:pt idx="1">
                  <c:v>2.7957497534246478E-2</c:v>
                </c:pt>
                <c:pt idx="2">
                  <c:v>3.2814555616438312E-2</c:v>
                </c:pt>
                <c:pt idx="3">
                  <c:v>3.4015046849315E-2</c:v>
                </c:pt>
                <c:pt idx="4">
                  <c:v>4.2044952876712394E-2</c:v>
                </c:pt>
                <c:pt idx="5">
                  <c:v>4.1929903287671211E-2</c:v>
                </c:pt>
                <c:pt idx="6">
                  <c:v>5.1418861095890556E-2</c:v>
                </c:pt>
                <c:pt idx="7">
                  <c:v>5.8028802958904224E-2</c:v>
                </c:pt>
                <c:pt idx="8">
                  <c:v>5.9568842410959055E-2</c:v>
                </c:pt>
                <c:pt idx="9">
                  <c:v>6.2145099561643935E-2</c:v>
                </c:pt>
                <c:pt idx="10">
                  <c:v>6.7090895178082199E-2</c:v>
                </c:pt>
                <c:pt idx="11">
                  <c:v>7.9024024493150602E-2</c:v>
                </c:pt>
                <c:pt idx="12">
                  <c:v>0.104468013260274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4B-45EB-8EE9-78A3EF6094CD}"/>
            </c:ext>
          </c:extLst>
        </c:ser>
        <c:ser>
          <c:idx val="1"/>
          <c:order val="1"/>
          <c:tx>
            <c:strRef>
              <c:f>summary!$C$1</c:f>
              <c:strCache>
                <c:ptCount val="1"/>
                <c:pt idx="0">
                  <c:v>Short-term Bond Fund Index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summary!$A$2:$A$33</c:f>
              <c:numCache>
                <c:formatCode>yyyy\-mm\-dd;@</c:formatCode>
                <c:ptCount val="32"/>
                <c:pt idx="0">
                  <c:v>44742</c:v>
                </c:pt>
                <c:pt idx="1">
                  <c:v>44771</c:v>
                </c:pt>
                <c:pt idx="2">
                  <c:v>44804</c:v>
                </c:pt>
                <c:pt idx="3">
                  <c:v>44834</c:v>
                </c:pt>
                <c:pt idx="4">
                  <c:v>44865</c:v>
                </c:pt>
                <c:pt idx="5">
                  <c:v>44895</c:v>
                </c:pt>
                <c:pt idx="6">
                  <c:v>44925</c:v>
                </c:pt>
                <c:pt idx="7">
                  <c:v>44957</c:v>
                </c:pt>
                <c:pt idx="8">
                  <c:v>44985</c:v>
                </c:pt>
                <c:pt idx="9">
                  <c:v>45016</c:v>
                </c:pt>
                <c:pt idx="10">
                  <c:v>45044</c:v>
                </c:pt>
                <c:pt idx="11">
                  <c:v>45077</c:v>
                </c:pt>
                <c:pt idx="12">
                  <c:v>45107</c:v>
                </c:pt>
                <c:pt idx="13">
                  <c:v>45138</c:v>
                </c:pt>
                <c:pt idx="14">
                  <c:v>45169</c:v>
                </c:pt>
                <c:pt idx="15">
                  <c:v>45197</c:v>
                </c:pt>
                <c:pt idx="16">
                  <c:v>45230</c:v>
                </c:pt>
                <c:pt idx="17">
                  <c:v>45260</c:v>
                </c:pt>
                <c:pt idx="18">
                  <c:v>45291</c:v>
                </c:pt>
                <c:pt idx="19">
                  <c:v>45322</c:v>
                </c:pt>
                <c:pt idx="20">
                  <c:v>45351</c:v>
                </c:pt>
                <c:pt idx="21">
                  <c:v>45380</c:v>
                </c:pt>
                <c:pt idx="22">
                  <c:v>45412</c:v>
                </c:pt>
                <c:pt idx="23">
                  <c:v>45442</c:v>
                </c:pt>
                <c:pt idx="24">
                  <c:v>45443</c:v>
                </c:pt>
                <c:pt idx="25">
                  <c:v>45471</c:v>
                </c:pt>
                <c:pt idx="26">
                  <c:v>45504</c:v>
                </c:pt>
                <c:pt idx="27">
                  <c:v>45534</c:v>
                </c:pt>
                <c:pt idx="28">
                  <c:v>45565</c:v>
                </c:pt>
                <c:pt idx="29">
                  <c:v>45595</c:v>
                </c:pt>
                <c:pt idx="30">
                  <c:v>45625</c:v>
                </c:pt>
                <c:pt idx="31">
                  <c:v>45657</c:v>
                </c:pt>
              </c:numCache>
            </c:numRef>
          </c:cat>
          <c:val>
            <c:numRef>
              <c:f>summary!$C$21:$C$33</c:f>
              <c:numCache>
                <c:formatCode>0.00%</c:formatCode>
                <c:ptCount val="13"/>
                <c:pt idx="0">
                  <c:v>3.70571269678166E-3</c:v>
                </c:pt>
                <c:pt idx="1">
                  <c:v>7.4026674978433515E-3</c:v>
                </c:pt>
                <c:pt idx="2">
                  <c:v>9.0234957500063828E-3</c:v>
                </c:pt>
                <c:pt idx="3">
                  <c:v>1.1900239932658652E-2</c:v>
                </c:pt>
                <c:pt idx="4">
                  <c:v>1.4544170054082262E-2</c:v>
                </c:pt>
                <c:pt idx="5">
                  <c:v>1.4588352515183534E-2</c:v>
                </c:pt>
                <c:pt idx="6">
                  <c:v>1.7152170346910411E-2</c:v>
                </c:pt>
                <c:pt idx="7">
                  <c:v>1.9973223295238984E-2</c:v>
                </c:pt>
                <c:pt idx="8">
                  <c:v>1.9931791711639724E-2</c:v>
                </c:pt>
                <c:pt idx="9">
                  <c:v>1.9824900471567597E-2</c:v>
                </c:pt>
                <c:pt idx="10">
                  <c:v>2.1046907626319555E-2</c:v>
                </c:pt>
                <c:pt idx="11">
                  <c:v>2.473353260165978E-2</c:v>
                </c:pt>
                <c:pt idx="12">
                  <c:v>3.0065126182750923E-2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4B-45EB-8EE9-78A3EF6094CD}"/>
            </c:ext>
          </c:extLst>
        </c:ser>
        <c:ser>
          <c:idx val="2"/>
          <c:order val="2"/>
          <c:tx>
            <c:strRef>
              <c:f>summary!$D$1</c:f>
              <c:strCache>
                <c:ptCount val="1"/>
                <c:pt idx="0">
                  <c:v>Long-term Bond Fund Index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summary!$A$2:$A$33</c:f>
              <c:numCache>
                <c:formatCode>yyyy\-mm\-dd;@</c:formatCode>
                <c:ptCount val="32"/>
                <c:pt idx="0">
                  <c:v>44742</c:v>
                </c:pt>
                <c:pt idx="1">
                  <c:v>44771</c:v>
                </c:pt>
                <c:pt idx="2">
                  <c:v>44804</c:v>
                </c:pt>
                <c:pt idx="3">
                  <c:v>44834</c:v>
                </c:pt>
                <c:pt idx="4">
                  <c:v>44865</c:v>
                </c:pt>
                <c:pt idx="5">
                  <c:v>44895</c:v>
                </c:pt>
                <c:pt idx="6">
                  <c:v>44925</c:v>
                </c:pt>
                <c:pt idx="7">
                  <c:v>44957</c:v>
                </c:pt>
                <c:pt idx="8">
                  <c:v>44985</c:v>
                </c:pt>
                <c:pt idx="9">
                  <c:v>45016</c:v>
                </c:pt>
                <c:pt idx="10">
                  <c:v>45044</c:v>
                </c:pt>
                <c:pt idx="11">
                  <c:v>45077</c:v>
                </c:pt>
                <c:pt idx="12">
                  <c:v>45107</c:v>
                </c:pt>
                <c:pt idx="13">
                  <c:v>45138</c:v>
                </c:pt>
                <c:pt idx="14">
                  <c:v>45169</c:v>
                </c:pt>
                <c:pt idx="15">
                  <c:v>45197</c:v>
                </c:pt>
                <c:pt idx="16">
                  <c:v>45230</c:v>
                </c:pt>
                <c:pt idx="17">
                  <c:v>45260</c:v>
                </c:pt>
                <c:pt idx="18">
                  <c:v>45291</c:v>
                </c:pt>
                <c:pt idx="19">
                  <c:v>45322</c:v>
                </c:pt>
                <c:pt idx="20">
                  <c:v>45351</c:v>
                </c:pt>
                <c:pt idx="21">
                  <c:v>45380</c:v>
                </c:pt>
                <c:pt idx="22">
                  <c:v>45412</c:v>
                </c:pt>
                <c:pt idx="23">
                  <c:v>45442</c:v>
                </c:pt>
                <c:pt idx="24">
                  <c:v>45443</c:v>
                </c:pt>
                <c:pt idx="25">
                  <c:v>45471</c:v>
                </c:pt>
                <c:pt idx="26">
                  <c:v>45504</c:v>
                </c:pt>
                <c:pt idx="27">
                  <c:v>45534</c:v>
                </c:pt>
                <c:pt idx="28">
                  <c:v>45565</c:v>
                </c:pt>
                <c:pt idx="29">
                  <c:v>45595</c:v>
                </c:pt>
                <c:pt idx="30">
                  <c:v>45625</c:v>
                </c:pt>
                <c:pt idx="31">
                  <c:v>45657</c:v>
                </c:pt>
              </c:numCache>
            </c:numRef>
          </c:cat>
          <c:val>
            <c:numRef>
              <c:f>summary!$D$21:$D$33</c:f>
              <c:numCache>
                <c:formatCode>0.00%</c:formatCode>
                <c:ptCount val="13"/>
                <c:pt idx="0">
                  <c:v>5.0229828981518398E-3</c:v>
                </c:pt>
                <c:pt idx="1">
                  <c:v>1.0221821133995501E-2</c:v>
                </c:pt>
                <c:pt idx="2">
                  <c:v>1.2118361664538391E-2</c:v>
                </c:pt>
                <c:pt idx="3">
                  <c:v>1.5541946111528038E-2</c:v>
                </c:pt>
                <c:pt idx="4">
                  <c:v>1.9210859609865683E-2</c:v>
                </c:pt>
                <c:pt idx="5">
                  <c:v>1.9292065362907174E-2</c:v>
                </c:pt>
                <c:pt idx="6">
                  <c:v>2.3877914978620129E-2</c:v>
                </c:pt>
                <c:pt idx="7">
                  <c:v>2.8332332352392742E-2</c:v>
                </c:pt>
                <c:pt idx="8">
                  <c:v>2.7663689609483733E-2</c:v>
                </c:pt>
                <c:pt idx="9">
                  <c:v>2.7214949540749211E-2</c:v>
                </c:pt>
                <c:pt idx="10">
                  <c:v>2.8674064531644117E-2</c:v>
                </c:pt>
                <c:pt idx="11">
                  <c:v>3.5083014616409169E-2</c:v>
                </c:pt>
                <c:pt idx="12">
                  <c:v>4.5979866400879477E-2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F4B-45EB-8EE9-78A3EF6094CD}"/>
            </c:ext>
          </c:extLst>
        </c:ser>
        <c:ser>
          <c:idx val="3"/>
          <c:order val="3"/>
          <c:tx>
            <c:strRef>
              <c:f>summary!$E$1</c:f>
              <c:strCache>
                <c:ptCount val="1"/>
                <c:pt idx="0">
                  <c:v>Compound Bond Fund Index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summary!$A$2:$A$33</c:f>
              <c:numCache>
                <c:formatCode>yyyy\-mm\-dd;@</c:formatCode>
                <c:ptCount val="32"/>
                <c:pt idx="0">
                  <c:v>44742</c:v>
                </c:pt>
                <c:pt idx="1">
                  <c:v>44771</c:v>
                </c:pt>
                <c:pt idx="2">
                  <c:v>44804</c:v>
                </c:pt>
                <c:pt idx="3">
                  <c:v>44834</c:v>
                </c:pt>
                <c:pt idx="4">
                  <c:v>44865</c:v>
                </c:pt>
                <c:pt idx="5">
                  <c:v>44895</c:v>
                </c:pt>
                <c:pt idx="6">
                  <c:v>44925</c:v>
                </c:pt>
                <c:pt idx="7">
                  <c:v>44957</c:v>
                </c:pt>
                <c:pt idx="8">
                  <c:v>44985</c:v>
                </c:pt>
                <c:pt idx="9">
                  <c:v>45016</c:v>
                </c:pt>
                <c:pt idx="10">
                  <c:v>45044</c:v>
                </c:pt>
                <c:pt idx="11">
                  <c:v>45077</c:v>
                </c:pt>
                <c:pt idx="12">
                  <c:v>45107</c:v>
                </c:pt>
                <c:pt idx="13">
                  <c:v>45138</c:v>
                </c:pt>
                <c:pt idx="14">
                  <c:v>45169</c:v>
                </c:pt>
                <c:pt idx="15">
                  <c:v>45197</c:v>
                </c:pt>
                <c:pt idx="16">
                  <c:v>45230</c:v>
                </c:pt>
                <c:pt idx="17">
                  <c:v>45260</c:v>
                </c:pt>
                <c:pt idx="18">
                  <c:v>45291</c:v>
                </c:pt>
                <c:pt idx="19">
                  <c:v>45322</c:v>
                </c:pt>
                <c:pt idx="20">
                  <c:v>45351</c:v>
                </c:pt>
                <c:pt idx="21">
                  <c:v>45380</c:v>
                </c:pt>
                <c:pt idx="22">
                  <c:v>45412</c:v>
                </c:pt>
                <c:pt idx="23">
                  <c:v>45442</c:v>
                </c:pt>
                <c:pt idx="24">
                  <c:v>45443</c:v>
                </c:pt>
                <c:pt idx="25">
                  <c:v>45471</c:v>
                </c:pt>
                <c:pt idx="26">
                  <c:v>45504</c:v>
                </c:pt>
                <c:pt idx="27">
                  <c:v>45534</c:v>
                </c:pt>
                <c:pt idx="28">
                  <c:v>45565</c:v>
                </c:pt>
                <c:pt idx="29">
                  <c:v>45595</c:v>
                </c:pt>
                <c:pt idx="30">
                  <c:v>45625</c:v>
                </c:pt>
                <c:pt idx="31">
                  <c:v>45657</c:v>
                </c:pt>
              </c:numCache>
            </c:numRef>
          </c:cat>
          <c:val>
            <c:numRef>
              <c:f>summary!$E$21:$E$33</c:f>
              <c:numCache>
                <c:formatCode>0.00%</c:formatCode>
                <c:ptCount val="13"/>
                <c:pt idx="0">
                  <c:v>-1.2747507507071543E-3</c:v>
                </c:pt>
                <c:pt idx="1">
                  <c:v>7.572081831068056E-3</c:v>
                </c:pt>
                <c:pt idx="2">
                  <c:v>1.0021479911700659E-2</c:v>
                </c:pt>
                <c:pt idx="3">
                  <c:v>1.4836656645814905E-2</c:v>
                </c:pt>
                <c:pt idx="4">
                  <c:v>1.887249346483344E-2</c:v>
                </c:pt>
                <c:pt idx="5">
                  <c:v>1.8848846987483459E-2</c:v>
                </c:pt>
                <c:pt idx="6">
                  <c:v>2.0792724506681459E-2</c:v>
                </c:pt>
                <c:pt idx="7">
                  <c:v>2.288797375117646E-2</c:v>
                </c:pt>
                <c:pt idx="8">
                  <c:v>1.9967222555367314E-2</c:v>
                </c:pt>
                <c:pt idx="9">
                  <c:v>2.6642383219472654E-2</c:v>
                </c:pt>
                <c:pt idx="10">
                  <c:v>2.7579229235874081E-2</c:v>
                </c:pt>
                <c:pt idx="11">
                  <c:v>3.4591472148116642E-2</c:v>
                </c:pt>
                <c:pt idx="12">
                  <c:v>4.4835366027935475E-2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F4B-45EB-8EE9-78A3EF6094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154192"/>
        <c:axId val="130599488"/>
      </c:lineChart>
      <c:dateAx>
        <c:axId val="165154192"/>
        <c:scaling>
          <c:orientation val="minMax"/>
        </c:scaling>
        <c:delete val="0"/>
        <c:axPos val="b"/>
        <c:numFmt formatCode="yyyy\-mm\-d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0599488"/>
        <c:crosses val="autoZero"/>
        <c:auto val="1"/>
        <c:lblOffset val="100"/>
        <c:baseTimeUnit val="months"/>
      </c:dateAx>
      <c:valAx>
        <c:axId val="13059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5154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187325</xdr:colOff>
      <xdr:row>0</xdr:row>
      <xdr:rowOff>146050</xdr:rowOff>
    </xdr:from>
    <xdr:to>
      <xdr:col>15</xdr:col>
      <xdr:colOff>100925</xdr:colOff>
      <xdr:row>26</xdr:row>
      <xdr:rowOff>8350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222248</xdr:colOff>
      <xdr:row>0</xdr:row>
      <xdr:rowOff>161923</xdr:rowOff>
    </xdr:from>
    <xdr:to>
      <xdr:col>7</xdr:col>
      <xdr:colOff>59648</xdr:colOff>
      <xdr:row>26</xdr:row>
      <xdr:rowOff>24223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298449</xdr:colOff>
      <xdr:row>0</xdr:row>
      <xdr:rowOff>146048</xdr:rowOff>
    </xdr:from>
    <xdr:to>
      <xdr:col>23</xdr:col>
      <xdr:colOff>212049</xdr:colOff>
      <xdr:row>26</xdr:row>
      <xdr:rowOff>8348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304800</xdr:colOff>
      <xdr:row>3</xdr:row>
      <xdr:rowOff>63499</xdr:rowOff>
    </xdr:from>
    <xdr:to>
      <xdr:col>15</xdr:col>
      <xdr:colOff>647700</xdr:colOff>
      <xdr:row>21</xdr:row>
      <xdr:rowOff>168275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2FE3FA-B059-F90D-6710-2921E1C950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\Wind.NET.Client\WindNET\DataBrowse\XLA\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WSD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664"/>
  <sheetViews>
    <sheetView topLeftCell="C349" zoomScale="85" zoomScaleNormal="85" workbookViewId="0">
      <selection activeCell="B382" sqref="B382"/>
    </sheetView>
  </sheetViews>
  <sheetFormatPr defaultColWidth="9" defaultRowHeight="14" x14ac:dyDescent="0.25"/>
  <cols>
    <col min="1" max="1" width="15" customWidth="1"/>
    <col min="2" max="2" width="24" customWidth="1"/>
    <col min="3" max="3" width="22" customWidth="1"/>
    <col min="4" max="4" width="24" customWidth="1"/>
    <col min="5" max="5" width="23" customWidth="1"/>
    <col min="6" max="7" width="18" customWidth="1"/>
    <col min="10" max="14" width="15.90625" customWidth="1"/>
  </cols>
  <sheetData>
    <row r="1" spans="1:22" x14ac:dyDescent="0.25">
      <c r="A1" s="5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s="5" t="s">
        <v>0</v>
      </c>
      <c r="K1" s="5" t="s">
        <v>38</v>
      </c>
      <c r="L1" s="5" t="s">
        <v>37</v>
      </c>
      <c r="M1" s="5" t="s">
        <v>36</v>
      </c>
      <c r="N1" s="5" t="s">
        <v>39</v>
      </c>
      <c r="O1" s="5" t="s">
        <v>38</v>
      </c>
      <c r="P1" s="5" t="s">
        <v>37</v>
      </c>
      <c r="Q1" s="5" t="s">
        <v>36</v>
      </c>
      <c r="R1" s="5" t="s">
        <v>39</v>
      </c>
      <c r="S1" s="16" t="s">
        <v>56</v>
      </c>
      <c r="T1" s="16" t="s">
        <v>57</v>
      </c>
      <c r="U1" s="16" t="s">
        <v>58</v>
      </c>
      <c r="V1" s="16" t="s">
        <v>56</v>
      </c>
    </row>
    <row r="2" spans="1:22" x14ac:dyDescent="0.25">
      <c r="A2" s="6">
        <v>44713</v>
      </c>
      <c r="B2" s="10" t="str">
        <f>[1]!WSD("S0059744,S0059747,S0059749,S0059752,M0048486,M0048490,M0017153","EDBclose","2022-06-01","","TradingCalendar=SSE","PriceAdj=F","rptType=1","ShowCodes=N","ShowParams=Y","cols=7;rows=663")</f>
        <v>Fetching...</v>
      </c>
      <c r="C2" s="10">
        <v>2.5594000000000001</v>
      </c>
      <c r="D2" s="10">
        <v>2.7551000000000001</v>
      </c>
      <c r="E2" s="10">
        <v>3.2643</v>
      </c>
      <c r="F2" s="10">
        <v>2.0815000000000001</v>
      </c>
      <c r="G2" s="10">
        <v>2.5253999999999999</v>
      </c>
      <c r="H2" s="11">
        <v>1.64</v>
      </c>
      <c r="J2" s="8">
        <v>44713</v>
      </c>
      <c r="K2" s="11" t="str">
        <f>[1]!WSD("C8439326,M0062649,M0062646,M0062637","EDBclose","2022-06-01","","TradingCalendar=SSE","PriceAdj=F","rptType=1","ShowParams=Y","cols=4;rows=642")</f>
        <v>Fetching...</v>
      </c>
      <c r="L2" s="11">
        <v>2292.1734999999999</v>
      </c>
      <c r="M2" s="11">
        <v>2822.8553000000002</v>
      </c>
      <c r="N2" s="11">
        <v>2994.1983</v>
      </c>
    </row>
    <row r="3" spans="1:22" x14ac:dyDescent="0.25">
      <c r="A3" s="6">
        <v>44714</v>
      </c>
      <c r="B3" s="10">
        <v>1.9563999999999999</v>
      </c>
      <c r="C3" s="10">
        <v>2.5630000000000002</v>
      </c>
      <c r="D3" s="10">
        <v>2.7601</v>
      </c>
      <c r="E3" s="10">
        <v>3.2669000000000001</v>
      </c>
      <c r="F3" s="10">
        <v>2.0916999999999999</v>
      </c>
      <c r="G3" s="10">
        <v>2.5396999999999998</v>
      </c>
      <c r="H3" s="11">
        <v>1.65</v>
      </c>
      <c r="J3" s="8">
        <v>44714</v>
      </c>
      <c r="K3" s="11">
        <v>1710.1206</v>
      </c>
      <c r="L3" s="11">
        <v>2291.3609000000001</v>
      </c>
      <c r="M3" s="11">
        <v>2822.9784</v>
      </c>
      <c r="N3" s="11">
        <v>2993.9983999999999</v>
      </c>
      <c r="O3" s="3" t="e">
        <f>K3/$K$2-1</f>
        <v>#VALUE!</v>
      </c>
      <c r="P3" s="3">
        <f>L3/$L$2-1</f>
        <v>-3.5451068603653546E-4</v>
      </c>
      <c r="Q3" s="3">
        <f>M3/$M$2-1</f>
        <v>4.3608328064159707E-5</v>
      </c>
      <c r="R3" s="3">
        <f>N3/$N$2-1</f>
        <v>-6.6762445226187239E-5</v>
      </c>
      <c r="S3" s="15" t="e">
        <f>(O3+1)</f>
        <v>#VALUE!</v>
      </c>
      <c r="T3" s="15">
        <f>(P3+1)</f>
        <v>0.99964548931396346</v>
      </c>
      <c r="U3" s="15">
        <f t="shared" ref="U3" si="0">(Q3+1)</f>
        <v>1.0000436083280642</v>
      </c>
      <c r="V3" s="15">
        <f>(R3+1)</f>
        <v>0.99993323755477381</v>
      </c>
    </row>
    <row r="4" spans="1:22" x14ac:dyDescent="0.25">
      <c r="A4" s="6">
        <v>44718</v>
      </c>
      <c r="B4" s="10">
        <v>2.0198999999999998</v>
      </c>
      <c r="C4" s="10">
        <v>2.5994000000000002</v>
      </c>
      <c r="D4" s="10">
        <v>2.7776000000000001</v>
      </c>
      <c r="E4" s="10">
        <v>3.2745000000000002</v>
      </c>
      <c r="F4" s="10">
        <v>2.1124999999999998</v>
      </c>
      <c r="G4" s="10">
        <v>2.5583</v>
      </c>
      <c r="H4" s="11">
        <v>1.68</v>
      </c>
      <c r="J4" s="8">
        <v>44718</v>
      </c>
      <c r="K4" s="11">
        <v>1709.9694999999999</v>
      </c>
      <c r="L4" s="11">
        <v>2290.4124999999999</v>
      </c>
      <c r="M4" s="11">
        <v>2824.8586</v>
      </c>
      <c r="N4" s="11">
        <v>2995.3692999999998</v>
      </c>
      <c r="O4" s="3" t="e">
        <f t="shared" ref="O4:O67" si="1">K4/$K$2-1</f>
        <v>#VALUE!</v>
      </c>
      <c r="P4" s="3">
        <f t="shared" ref="P4:P67" si="2">L4/$L$2-1</f>
        <v>-7.6826645103433844E-4</v>
      </c>
      <c r="Q4" s="3">
        <f t="shared" ref="Q4:Q67" si="3">M4/$M$2-1</f>
        <v>7.0967151592915556E-4</v>
      </c>
      <c r="R4" s="3">
        <f t="shared" ref="R4:R67" si="4">N4/$N$2-1</f>
        <v>3.9108966162992864E-4</v>
      </c>
      <c r="S4" s="15" t="e">
        <f t="shared" ref="S4:S67" si="5">(O4+1)</f>
        <v>#VALUE!</v>
      </c>
      <c r="T4" s="15">
        <f t="shared" ref="T4:T67" si="6">(P4+1)</f>
        <v>0.99923173354896566</v>
      </c>
      <c r="U4" s="15">
        <f t="shared" ref="U4:U67" si="7">(Q4+1)</f>
        <v>1.0007096715159292</v>
      </c>
      <c r="V4" s="15">
        <f t="shared" ref="V4:V67" si="8">(R4+1)</f>
        <v>1.0003910896616299</v>
      </c>
    </row>
    <row r="5" spans="1:22" x14ac:dyDescent="0.25">
      <c r="A5" s="6">
        <v>44719</v>
      </c>
      <c r="B5" s="10">
        <v>2.0179999999999998</v>
      </c>
      <c r="C5" s="10">
        <v>2.5842000000000001</v>
      </c>
      <c r="D5" s="10">
        <v>2.7576000000000001</v>
      </c>
      <c r="E5" s="10">
        <v>3.2671000000000001</v>
      </c>
      <c r="F5" s="10">
        <v>2.12</v>
      </c>
      <c r="G5" s="10">
        <v>2.5627</v>
      </c>
      <c r="H5" s="11">
        <v>1.65</v>
      </c>
      <c r="J5" s="8">
        <v>44719</v>
      </c>
      <c r="K5" s="11">
        <v>1709.6981000000001</v>
      </c>
      <c r="L5" s="11">
        <v>2290.2350000000001</v>
      </c>
      <c r="M5" s="11">
        <v>2824.5790999999999</v>
      </c>
      <c r="N5" s="11">
        <v>2995.1037000000001</v>
      </c>
      <c r="O5" s="3" t="e">
        <f t="shared" si="1"/>
        <v>#VALUE!</v>
      </c>
      <c r="P5" s="3">
        <f t="shared" si="2"/>
        <v>-8.4570387014759607E-4</v>
      </c>
      <c r="Q5" s="3">
        <f t="shared" si="3"/>
        <v>6.1065829339534972E-4</v>
      </c>
      <c r="R5" s="3">
        <f t="shared" si="4"/>
        <v>3.0238478192989859E-4</v>
      </c>
      <c r="S5" s="15" t="e">
        <f t="shared" si="5"/>
        <v>#VALUE!</v>
      </c>
      <c r="T5" s="15">
        <f t="shared" si="6"/>
        <v>0.9991542961298524</v>
      </c>
      <c r="U5" s="15">
        <f t="shared" si="7"/>
        <v>1.0006106582933953</v>
      </c>
      <c r="V5" s="15">
        <f t="shared" si="8"/>
        <v>1.0003023847819299</v>
      </c>
    </row>
    <row r="6" spans="1:22" x14ac:dyDescent="0.25">
      <c r="A6" s="6">
        <v>44720</v>
      </c>
      <c r="B6" s="10">
        <v>2.0282</v>
      </c>
      <c r="C6" s="10">
        <v>2.585</v>
      </c>
      <c r="D6" s="10">
        <v>2.7660999999999998</v>
      </c>
      <c r="E6" s="10">
        <v>3.2746</v>
      </c>
      <c r="F6" s="10">
        <v>2.1052</v>
      </c>
      <c r="G6" s="10">
        <v>2.5499999999999998</v>
      </c>
      <c r="H6" s="11">
        <v>1.65</v>
      </c>
      <c r="J6" s="8">
        <v>44720</v>
      </c>
      <c r="K6" s="11">
        <v>1709.7836</v>
      </c>
      <c r="L6" s="11">
        <v>2290.3661999999999</v>
      </c>
      <c r="M6" s="11">
        <v>2825.413</v>
      </c>
      <c r="N6" s="11">
        <v>2996.0029</v>
      </c>
      <c r="O6" s="3" t="e">
        <f t="shared" si="1"/>
        <v>#VALUE!</v>
      </c>
      <c r="P6" s="3">
        <f t="shared" si="2"/>
        <v>-7.8846562007628407E-4</v>
      </c>
      <c r="Q6" s="3">
        <f t="shared" si="3"/>
        <v>9.0606840527729382E-4</v>
      </c>
      <c r="R6" s="3">
        <f t="shared" si="4"/>
        <v>6.0269889272190902E-4</v>
      </c>
      <c r="S6" s="15" t="e">
        <f t="shared" si="5"/>
        <v>#VALUE!</v>
      </c>
      <c r="T6" s="15">
        <f t="shared" si="6"/>
        <v>0.99921153437992372</v>
      </c>
      <c r="U6" s="15">
        <f t="shared" si="7"/>
        <v>1.0009060684052773</v>
      </c>
      <c r="V6" s="15">
        <f t="shared" si="8"/>
        <v>1.0006026988927219</v>
      </c>
    </row>
    <row r="7" spans="1:22" x14ac:dyDescent="0.25">
      <c r="A7" s="6">
        <v>44721</v>
      </c>
      <c r="B7" s="10">
        <v>2.0150999999999999</v>
      </c>
      <c r="C7" s="10">
        <v>2.5726</v>
      </c>
      <c r="D7" s="10">
        <v>2.7576000000000001</v>
      </c>
      <c r="E7" s="10">
        <v>3.2646000000000002</v>
      </c>
      <c r="F7" s="10">
        <v>2.0983999999999998</v>
      </c>
      <c r="G7" s="10">
        <v>2.5421</v>
      </c>
      <c r="H7" s="11">
        <v>1.65</v>
      </c>
      <c r="J7" s="8">
        <v>44721</v>
      </c>
      <c r="K7" s="11">
        <v>1709.9507000000001</v>
      </c>
      <c r="L7" s="11">
        <v>2290.9022</v>
      </c>
      <c r="M7" s="11">
        <v>2824.6044000000002</v>
      </c>
      <c r="N7" s="11">
        <v>2995.4486000000002</v>
      </c>
      <c r="O7" s="3" t="e">
        <f t="shared" si="1"/>
        <v>#VALUE!</v>
      </c>
      <c r="P7" s="3">
        <f t="shared" si="2"/>
        <v>-5.5462642771142434E-4</v>
      </c>
      <c r="Q7" s="3">
        <f t="shared" si="3"/>
        <v>6.1962084985367483E-4</v>
      </c>
      <c r="R7" s="3">
        <f t="shared" si="4"/>
        <v>4.1757421343802115E-4</v>
      </c>
      <c r="S7" s="15" t="e">
        <f t="shared" si="5"/>
        <v>#VALUE!</v>
      </c>
      <c r="T7" s="15">
        <f t="shared" si="6"/>
        <v>0.99944537357228858</v>
      </c>
      <c r="U7" s="15">
        <f t="shared" si="7"/>
        <v>1.0006196208498537</v>
      </c>
      <c r="V7" s="15">
        <f t="shared" si="8"/>
        <v>1.000417574213438</v>
      </c>
    </row>
    <row r="8" spans="1:22" x14ac:dyDescent="0.25">
      <c r="A8" s="6">
        <v>44722</v>
      </c>
      <c r="B8" s="10">
        <v>2.0051000000000001</v>
      </c>
      <c r="C8" s="10">
        <v>2.5680000000000001</v>
      </c>
      <c r="D8" s="10">
        <v>2.7526000000000002</v>
      </c>
      <c r="E8" s="10">
        <v>3.2622</v>
      </c>
      <c r="F8" s="10">
        <v>2.0933999999999999</v>
      </c>
      <c r="G8" s="10">
        <v>2.5367999999999999</v>
      </c>
      <c r="H8" s="11">
        <v>1.62</v>
      </c>
      <c r="J8" s="8">
        <v>44722</v>
      </c>
      <c r="K8" s="11">
        <v>1710.1838</v>
      </c>
      <c r="L8" s="11">
        <v>2291.4576999999999</v>
      </c>
      <c r="M8" s="11">
        <v>2827.9087</v>
      </c>
      <c r="N8" s="11">
        <v>2998.1990999999998</v>
      </c>
      <c r="O8" s="3" t="e">
        <f t="shared" si="1"/>
        <v>#VALUE!</v>
      </c>
      <c r="P8" s="3">
        <f t="shared" si="2"/>
        <v>-3.1228002592298409E-4</v>
      </c>
      <c r="Q8" s="3">
        <f t="shared" si="3"/>
        <v>1.7901732334633103E-3</v>
      </c>
      <c r="R8" s="3">
        <f t="shared" si="4"/>
        <v>1.3361840463270713E-3</v>
      </c>
      <c r="S8" s="15" t="e">
        <f t="shared" si="5"/>
        <v>#VALUE!</v>
      </c>
      <c r="T8" s="15">
        <f t="shared" si="6"/>
        <v>0.99968771997407702</v>
      </c>
      <c r="U8" s="15">
        <f t="shared" si="7"/>
        <v>1.0017901732334633</v>
      </c>
      <c r="V8" s="15">
        <f t="shared" si="8"/>
        <v>1.0013361840463271</v>
      </c>
    </row>
    <row r="9" spans="1:22" x14ac:dyDescent="0.25">
      <c r="A9" s="6">
        <v>44725</v>
      </c>
      <c r="B9" s="10">
        <v>2.0026000000000002</v>
      </c>
      <c r="C9" s="10">
        <v>2.5899000000000001</v>
      </c>
      <c r="D9" s="10">
        <v>2.7652000000000001</v>
      </c>
      <c r="E9" s="10">
        <v>3.2698</v>
      </c>
      <c r="F9" s="10">
        <v>2.1034999999999999</v>
      </c>
      <c r="G9" s="10">
        <v>2.5507</v>
      </c>
      <c r="H9" s="11">
        <v>1.65</v>
      </c>
      <c r="J9" s="8">
        <v>44725</v>
      </c>
      <c r="K9" s="11">
        <v>1710.4629</v>
      </c>
      <c r="L9" s="11">
        <v>2291.6914999999999</v>
      </c>
      <c r="M9" s="11">
        <v>2827.4758000000002</v>
      </c>
      <c r="N9" s="11">
        <v>2997.6273999999999</v>
      </c>
      <c r="O9" s="3" t="e">
        <f t="shared" si="1"/>
        <v>#VALUE!</v>
      </c>
      <c r="P9" s="3">
        <f t="shared" si="2"/>
        <v>-2.1028076626838921E-4</v>
      </c>
      <c r="Q9" s="3">
        <f t="shared" si="3"/>
        <v>1.6368178701897662E-3</v>
      </c>
      <c r="R9" s="3">
        <f t="shared" si="4"/>
        <v>1.1452481286893246E-3</v>
      </c>
      <c r="S9" s="15" t="e">
        <f t="shared" si="5"/>
        <v>#VALUE!</v>
      </c>
      <c r="T9" s="15">
        <f t="shared" si="6"/>
        <v>0.99978971923373161</v>
      </c>
      <c r="U9" s="15">
        <f t="shared" si="7"/>
        <v>1.0016368178701898</v>
      </c>
      <c r="V9" s="15">
        <f t="shared" si="8"/>
        <v>1.0011452481286893</v>
      </c>
    </row>
    <row r="10" spans="1:22" x14ac:dyDescent="0.25">
      <c r="A10" s="6">
        <v>44726</v>
      </c>
      <c r="B10" s="10">
        <v>2.0175999999999998</v>
      </c>
      <c r="C10" s="10">
        <v>2.5952000000000002</v>
      </c>
      <c r="D10" s="10">
        <v>2.7702</v>
      </c>
      <c r="E10" s="10">
        <v>3.2698</v>
      </c>
      <c r="F10" s="10">
        <v>2.1193</v>
      </c>
      <c r="G10" s="10">
        <v>2.5674999999999999</v>
      </c>
      <c r="H10" s="11">
        <v>1.63</v>
      </c>
      <c r="J10" s="8">
        <v>44726</v>
      </c>
      <c r="K10" s="11">
        <v>1710.5377000000001</v>
      </c>
      <c r="L10" s="11">
        <v>2291.7148999999999</v>
      </c>
      <c r="M10" s="11">
        <v>2827.6869999999999</v>
      </c>
      <c r="N10" s="11">
        <v>2998.1169</v>
      </c>
      <c r="O10" s="3" t="e">
        <f t="shared" si="1"/>
        <v>#VALUE!</v>
      </c>
      <c r="P10" s="3">
        <f t="shared" si="2"/>
        <v>-2.0007211495987054E-4</v>
      </c>
      <c r="Q10" s="3">
        <f t="shared" si="3"/>
        <v>1.7116357327986442E-3</v>
      </c>
      <c r="R10" s="3">
        <f t="shared" si="4"/>
        <v>1.3087309547934467E-3</v>
      </c>
      <c r="S10" s="15" t="e">
        <f t="shared" si="5"/>
        <v>#VALUE!</v>
      </c>
      <c r="T10" s="15">
        <f t="shared" si="6"/>
        <v>0.99979992788504013</v>
      </c>
      <c r="U10" s="15">
        <f t="shared" si="7"/>
        <v>1.0017116357327986</v>
      </c>
      <c r="V10" s="15">
        <f t="shared" si="8"/>
        <v>1.0013087309547934</v>
      </c>
    </row>
    <row r="11" spans="1:22" x14ac:dyDescent="0.25">
      <c r="A11" s="6">
        <v>44727</v>
      </c>
      <c r="B11" s="10">
        <v>2.036</v>
      </c>
      <c r="C11" s="10">
        <v>2.6112000000000002</v>
      </c>
      <c r="D11" s="10">
        <v>2.7827000000000002</v>
      </c>
      <c r="E11" s="10">
        <v>3.2722000000000002</v>
      </c>
      <c r="F11" s="10">
        <v>2.1269999999999998</v>
      </c>
      <c r="G11" s="10">
        <v>2.5754999999999999</v>
      </c>
      <c r="H11" s="11">
        <v>1.63</v>
      </c>
      <c r="J11" s="8">
        <v>44727</v>
      </c>
      <c r="K11" s="11">
        <v>1710.6380999999999</v>
      </c>
      <c r="L11" s="11">
        <v>2291.7655</v>
      </c>
      <c r="M11" s="11">
        <v>2828.9151999999999</v>
      </c>
      <c r="N11" s="11">
        <v>2999.2226000000001</v>
      </c>
      <c r="O11" s="3" t="e">
        <f t="shared" si="1"/>
        <v>#VALUE!</v>
      </c>
      <c r="P11" s="3">
        <f t="shared" si="2"/>
        <v>-1.7799699717313544E-4</v>
      </c>
      <c r="Q11" s="3">
        <f t="shared" si="3"/>
        <v>2.1467271099584462E-3</v>
      </c>
      <c r="R11" s="3">
        <f t="shared" si="4"/>
        <v>1.6780117736356903E-3</v>
      </c>
      <c r="S11" s="15" t="e">
        <f t="shared" si="5"/>
        <v>#VALUE!</v>
      </c>
      <c r="T11" s="15">
        <f t="shared" si="6"/>
        <v>0.99982200300282686</v>
      </c>
      <c r="U11" s="15">
        <f t="shared" si="7"/>
        <v>1.0021467271099584</v>
      </c>
      <c r="V11" s="15">
        <f t="shared" si="8"/>
        <v>1.0016780117736357</v>
      </c>
    </row>
    <row r="12" spans="1:22" x14ac:dyDescent="0.25">
      <c r="A12" s="6">
        <v>44728</v>
      </c>
      <c r="B12" s="10">
        <v>2.0352000000000001</v>
      </c>
      <c r="C12" s="10">
        <v>2.5935999999999999</v>
      </c>
      <c r="D12" s="10">
        <v>2.7728000000000002</v>
      </c>
      <c r="E12" s="10">
        <v>3.2623000000000002</v>
      </c>
      <c r="F12" s="10">
        <v>2.1181999999999999</v>
      </c>
      <c r="G12" s="10">
        <v>2.5697999999999999</v>
      </c>
      <c r="H12" s="11">
        <v>1.65</v>
      </c>
      <c r="J12" s="8">
        <v>44728</v>
      </c>
      <c r="K12" s="11">
        <v>1710.8593000000001</v>
      </c>
      <c r="L12" s="11">
        <v>2292.2631999999999</v>
      </c>
      <c r="M12" s="11">
        <v>2831.3479000000002</v>
      </c>
      <c r="N12" s="11">
        <v>2999.5545999999999</v>
      </c>
      <c r="O12" s="3" t="e">
        <f t="shared" si="1"/>
        <v>#VALUE!</v>
      </c>
      <c r="P12" s="3">
        <f t="shared" si="2"/>
        <v>3.9133163349136524E-5</v>
      </c>
      <c r="Q12" s="3">
        <f t="shared" si="3"/>
        <v>3.0085141098092905E-3</v>
      </c>
      <c r="R12" s="3">
        <f t="shared" si="4"/>
        <v>1.7888928732610054E-3</v>
      </c>
      <c r="S12" s="15" t="e">
        <f t="shared" si="5"/>
        <v>#VALUE!</v>
      </c>
      <c r="T12" s="15">
        <f t="shared" si="6"/>
        <v>1.0000391331633491</v>
      </c>
      <c r="U12" s="15">
        <f t="shared" si="7"/>
        <v>1.0030085141098093</v>
      </c>
      <c r="V12" s="15">
        <f t="shared" si="8"/>
        <v>1.001788892873261</v>
      </c>
    </row>
    <row r="13" spans="1:22" x14ac:dyDescent="0.25">
      <c r="A13" s="6">
        <v>44729</v>
      </c>
      <c r="B13" s="10">
        <v>2.0102000000000002</v>
      </c>
      <c r="C13" s="10">
        <v>2.5943999999999998</v>
      </c>
      <c r="D13" s="10">
        <v>2.7751999999999999</v>
      </c>
      <c r="E13" s="10">
        <v>3.2597999999999998</v>
      </c>
      <c r="F13" s="10">
        <v>2.1057999999999999</v>
      </c>
      <c r="G13" s="10">
        <v>2.5594000000000001</v>
      </c>
      <c r="H13" s="11">
        <v>1.7</v>
      </c>
      <c r="J13" s="8">
        <v>44729</v>
      </c>
      <c r="K13" s="11">
        <v>1711.2067</v>
      </c>
      <c r="L13" s="11">
        <v>2293.2532000000001</v>
      </c>
      <c r="M13" s="11">
        <v>2834.2881000000002</v>
      </c>
      <c r="N13" s="11">
        <v>3002.0180999999998</v>
      </c>
      <c r="O13" s="3" t="e">
        <f t="shared" si="1"/>
        <v>#VALUE!</v>
      </c>
      <c r="P13" s="3">
        <f t="shared" si="2"/>
        <v>4.7103764178424434E-4</v>
      </c>
      <c r="Q13" s="3">
        <f t="shared" si="3"/>
        <v>4.0500836156922571E-3</v>
      </c>
      <c r="R13" s="3">
        <f t="shared" si="4"/>
        <v>2.6116506712330345E-3</v>
      </c>
      <c r="S13" s="15" t="e">
        <f t="shared" si="5"/>
        <v>#VALUE!</v>
      </c>
      <c r="T13" s="15">
        <f t="shared" si="6"/>
        <v>1.0004710376417842</v>
      </c>
      <c r="U13" s="15">
        <f t="shared" si="7"/>
        <v>1.0040500836156923</v>
      </c>
      <c r="V13" s="15">
        <f t="shared" si="8"/>
        <v>1.002611650671233</v>
      </c>
    </row>
    <row r="14" spans="1:22" x14ac:dyDescent="0.25">
      <c r="A14" s="6">
        <v>44732</v>
      </c>
      <c r="B14" s="10">
        <v>2.0055999999999998</v>
      </c>
      <c r="C14" s="10">
        <v>2.6162999999999998</v>
      </c>
      <c r="D14" s="10">
        <v>2.7852999999999999</v>
      </c>
      <c r="E14" s="10">
        <v>3.2673999999999999</v>
      </c>
      <c r="F14" s="10">
        <v>2.1311</v>
      </c>
      <c r="G14" s="10">
        <v>2.5829</v>
      </c>
      <c r="H14" s="11">
        <v>1.7</v>
      </c>
      <c r="J14" s="8">
        <v>44732</v>
      </c>
      <c r="K14" s="11">
        <v>1711.4367</v>
      </c>
      <c r="L14" s="11">
        <v>2293.2950000000001</v>
      </c>
      <c r="M14" s="11">
        <v>2834.7103999999999</v>
      </c>
      <c r="N14" s="11">
        <v>3002.3643999999999</v>
      </c>
      <c r="O14" s="3" t="e">
        <f t="shared" si="1"/>
        <v>#VALUE!</v>
      </c>
      <c r="P14" s="3">
        <f t="shared" si="2"/>
        <v>4.8927360865147485E-4</v>
      </c>
      <c r="Q14" s="3">
        <f t="shared" si="3"/>
        <v>4.1996839157854016E-3</v>
      </c>
      <c r="R14" s="3">
        <f t="shared" si="4"/>
        <v>2.7273076736433755E-3</v>
      </c>
      <c r="S14" s="15" t="e">
        <f t="shared" si="5"/>
        <v>#VALUE!</v>
      </c>
      <c r="T14" s="15">
        <f t="shared" si="6"/>
        <v>1.0004892736086515</v>
      </c>
      <c r="U14" s="15">
        <f t="shared" si="7"/>
        <v>1.0041996839157854</v>
      </c>
      <c r="V14" s="15">
        <f t="shared" si="8"/>
        <v>1.0027273076736434</v>
      </c>
    </row>
    <row r="15" spans="1:22" x14ac:dyDescent="0.25">
      <c r="A15" s="6">
        <v>44733</v>
      </c>
      <c r="B15" s="10">
        <v>2.0017999999999998</v>
      </c>
      <c r="C15" s="10">
        <v>2.6118000000000001</v>
      </c>
      <c r="D15" s="10">
        <v>2.7852999999999999</v>
      </c>
      <c r="E15" s="10">
        <v>3.2664</v>
      </c>
      <c r="F15" s="10">
        <v>2.1408999999999998</v>
      </c>
      <c r="G15" s="10">
        <v>2.5907</v>
      </c>
      <c r="H15" s="11">
        <v>1.75</v>
      </c>
      <c r="J15" s="8">
        <v>44733</v>
      </c>
      <c r="K15" s="11">
        <v>1711.5347999999999</v>
      </c>
      <c r="L15" s="11">
        <v>2293.3879999999999</v>
      </c>
      <c r="M15" s="11">
        <v>2833.8031000000001</v>
      </c>
      <c r="N15" s="11">
        <v>3001.9893999999999</v>
      </c>
      <c r="O15" s="3" t="e">
        <f t="shared" si="1"/>
        <v>#VALUE!</v>
      </c>
      <c r="P15" s="3">
        <f t="shared" si="2"/>
        <v>5.2984645359521743E-4</v>
      </c>
      <c r="Q15" s="3">
        <f t="shared" si="3"/>
        <v>3.8782717626368868E-3</v>
      </c>
      <c r="R15" s="3">
        <f t="shared" si="4"/>
        <v>2.6020654677414434E-3</v>
      </c>
      <c r="S15" s="15" t="e">
        <f t="shared" si="5"/>
        <v>#VALUE!</v>
      </c>
      <c r="T15" s="15">
        <f t="shared" si="6"/>
        <v>1.0005298464535952</v>
      </c>
      <c r="U15" s="15">
        <f t="shared" si="7"/>
        <v>1.0038782717626369</v>
      </c>
      <c r="V15" s="15">
        <f t="shared" si="8"/>
        <v>1.0026020654677414</v>
      </c>
    </row>
    <row r="16" spans="1:22" x14ac:dyDescent="0.25">
      <c r="A16" s="6">
        <v>44734</v>
      </c>
      <c r="B16" s="10">
        <v>1.9869000000000001</v>
      </c>
      <c r="C16" s="10">
        <v>2.6044999999999998</v>
      </c>
      <c r="D16" s="10">
        <v>2.7772999999999999</v>
      </c>
      <c r="E16" s="10">
        <v>3.2654999999999998</v>
      </c>
      <c r="F16" s="10">
        <v>2.1307999999999998</v>
      </c>
      <c r="G16" s="10">
        <v>2.58</v>
      </c>
      <c r="H16" s="11">
        <v>1.7373000000000001</v>
      </c>
      <c r="J16" s="8">
        <v>44734</v>
      </c>
      <c r="K16" s="11">
        <v>1711.7284</v>
      </c>
      <c r="L16" s="11">
        <v>2293.7694000000001</v>
      </c>
      <c r="M16" s="11">
        <v>2832.848</v>
      </c>
      <c r="N16" s="11">
        <v>3001.1464999999998</v>
      </c>
      <c r="O16" s="3" t="e">
        <f t="shared" si="1"/>
        <v>#VALUE!</v>
      </c>
      <c r="P16" s="3">
        <f t="shared" si="2"/>
        <v>6.962387445803575E-4</v>
      </c>
      <c r="Q16" s="3">
        <f t="shared" si="3"/>
        <v>3.5399264000530728E-3</v>
      </c>
      <c r="R16" s="3">
        <f t="shared" si="4"/>
        <v>2.3205543867952372E-3</v>
      </c>
      <c r="S16" s="15" t="e">
        <f t="shared" si="5"/>
        <v>#VALUE!</v>
      </c>
      <c r="T16" s="15">
        <f t="shared" si="6"/>
        <v>1.0006962387445804</v>
      </c>
      <c r="U16" s="15">
        <f t="shared" si="7"/>
        <v>1.0035399264000531</v>
      </c>
      <c r="V16" s="15">
        <f t="shared" si="8"/>
        <v>1.0023205543867952</v>
      </c>
    </row>
    <row r="17" spans="1:22" x14ac:dyDescent="0.25">
      <c r="A17" s="6">
        <v>44735</v>
      </c>
      <c r="B17" s="10">
        <v>1.9608000000000001</v>
      </c>
      <c r="C17" s="10">
        <v>2.6076999999999999</v>
      </c>
      <c r="D17" s="10">
        <v>2.7803</v>
      </c>
      <c r="E17" s="10">
        <v>3.2675000000000001</v>
      </c>
      <c r="F17" s="10">
        <v>2.1259999999999999</v>
      </c>
      <c r="G17" s="10">
        <v>2.5743999999999998</v>
      </c>
      <c r="H17" s="11">
        <v>1.65</v>
      </c>
      <c r="J17" s="8">
        <v>44735</v>
      </c>
      <c r="K17" s="11">
        <v>1711.9738</v>
      </c>
      <c r="L17" s="11">
        <v>2294.2024999999999</v>
      </c>
      <c r="M17" s="11">
        <v>2836.9308000000001</v>
      </c>
      <c r="N17" s="11">
        <v>3003.9585000000002</v>
      </c>
      <c r="O17" s="3" t="e">
        <f t="shared" si="1"/>
        <v>#VALUE!</v>
      </c>
      <c r="P17" s="3">
        <f t="shared" si="2"/>
        <v>8.851860472167683E-4</v>
      </c>
      <c r="Q17" s="3">
        <f t="shared" si="3"/>
        <v>4.9862633766597497E-3</v>
      </c>
      <c r="R17" s="3">
        <f t="shared" si="4"/>
        <v>3.2597039414523632E-3</v>
      </c>
      <c r="S17" s="15" t="e">
        <f t="shared" si="5"/>
        <v>#VALUE!</v>
      </c>
      <c r="T17" s="15">
        <f t="shared" si="6"/>
        <v>1.0008851860472168</v>
      </c>
      <c r="U17" s="15">
        <f t="shared" si="7"/>
        <v>1.0049862633766597</v>
      </c>
      <c r="V17" s="15">
        <f t="shared" si="8"/>
        <v>1.0032597039414524</v>
      </c>
    </row>
    <row r="18" spans="1:22" x14ac:dyDescent="0.25">
      <c r="A18" s="6">
        <v>44736</v>
      </c>
      <c r="B18" s="10">
        <v>1.9653</v>
      </c>
      <c r="C18" s="10">
        <v>2.6339999999999999</v>
      </c>
      <c r="D18" s="10">
        <v>2.7978000000000001</v>
      </c>
      <c r="E18" s="10">
        <v>3.2825000000000002</v>
      </c>
      <c r="F18" s="10">
        <v>2.1467999999999998</v>
      </c>
      <c r="G18" s="10">
        <v>2.5956000000000001</v>
      </c>
      <c r="H18" s="11">
        <v>2.5</v>
      </c>
      <c r="J18" s="8">
        <v>44736</v>
      </c>
      <c r="K18" s="11">
        <v>1712.1177</v>
      </c>
      <c r="L18" s="11">
        <v>2294.6289000000002</v>
      </c>
      <c r="M18" s="11">
        <v>2839.4355</v>
      </c>
      <c r="N18" s="11">
        <v>3005.3184999999999</v>
      </c>
      <c r="O18" s="3" t="e">
        <f t="shared" si="1"/>
        <v>#VALUE!</v>
      </c>
      <c r="P18" s="3">
        <f t="shared" si="2"/>
        <v>1.0712103599488376E-3</v>
      </c>
      <c r="Q18" s="3">
        <f t="shared" si="3"/>
        <v>5.8735564660363782E-3</v>
      </c>
      <c r="R18" s="3">
        <f t="shared" si="4"/>
        <v>3.7139156748569047E-3</v>
      </c>
      <c r="S18" s="15" t="e">
        <f t="shared" si="5"/>
        <v>#VALUE!</v>
      </c>
      <c r="T18" s="15">
        <f t="shared" si="6"/>
        <v>1.0010712103599488</v>
      </c>
      <c r="U18" s="15">
        <f t="shared" si="7"/>
        <v>1.0058735564660364</v>
      </c>
      <c r="V18" s="15">
        <f t="shared" si="8"/>
        <v>1.0037139156748569</v>
      </c>
    </row>
    <row r="19" spans="1:22" x14ac:dyDescent="0.25">
      <c r="A19" s="6">
        <v>44739</v>
      </c>
      <c r="B19" s="10">
        <v>1.9971000000000001</v>
      </c>
      <c r="C19" s="10">
        <v>2.6703999999999999</v>
      </c>
      <c r="D19" s="10">
        <v>2.8329</v>
      </c>
      <c r="E19" s="10">
        <v>3.2923</v>
      </c>
      <c r="F19" s="10">
        <v>2.1878000000000002</v>
      </c>
      <c r="G19" s="10">
        <v>2.6396000000000002</v>
      </c>
      <c r="H19" s="11">
        <v>2.5</v>
      </c>
      <c r="J19" s="8">
        <v>44739</v>
      </c>
      <c r="K19" s="11">
        <v>1712.0778</v>
      </c>
      <c r="L19" s="11">
        <v>2293.8964000000001</v>
      </c>
      <c r="M19" s="11">
        <v>2840.8984</v>
      </c>
      <c r="N19" s="11">
        <v>3006.4814000000001</v>
      </c>
      <c r="O19" s="3" t="e">
        <f t="shared" si="1"/>
        <v>#VALUE!</v>
      </c>
      <c r="P19" s="3">
        <f t="shared" si="2"/>
        <v>7.5164467262189838E-4</v>
      </c>
      <c r="Q19" s="3">
        <f t="shared" si="3"/>
        <v>6.3917906100252608E-3</v>
      </c>
      <c r="R19" s="3">
        <f t="shared" si="4"/>
        <v>4.1023001048394736E-3</v>
      </c>
      <c r="S19" s="15" t="e">
        <f t="shared" si="5"/>
        <v>#VALUE!</v>
      </c>
      <c r="T19" s="15">
        <f t="shared" si="6"/>
        <v>1.0007516446726219</v>
      </c>
      <c r="U19" s="15">
        <f t="shared" si="7"/>
        <v>1.0063917906100253</v>
      </c>
      <c r="V19" s="15">
        <f t="shared" si="8"/>
        <v>1.0041023001048395</v>
      </c>
    </row>
    <row r="20" spans="1:22" x14ac:dyDescent="0.25">
      <c r="A20" s="6">
        <v>44740</v>
      </c>
      <c r="B20" s="10">
        <v>1.9976</v>
      </c>
      <c r="C20" s="10">
        <v>2.6825000000000001</v>
      </c>
      <c r="D20" s="10">
        <v>2.8414000000000001</v>
      </c>
      <c r="E20" s="10">
        <v>3.2972999999999999</v>
      </c>
      <c r="F20" s="10">
        <v>2.1855000000000002</v>
      </c>
      <c r="G20" s="10">
        <v>2.6507999999999998</v>
      </c>
      <c r="H20" s="11">
        <v>2.5</v>
      </c>
      <c r="J20" s="8">
        <v>44740</v>
      </c>
      <c r="K20" s="11">
        <v>1712.0556999999999</v>
      </c>
      <c r="L20" s="11">
        <v>2293.6954000000001</v>
      </c>
      <c r="M20" s="11">
        <v>2842.4259999999999</v>
      </c>
      <c r="N20" s="11">
        <v>3007.7366000000002</v>
      </c>
      <c r="O20" s="3" t="e">
        <f t="shared" si="1"/>
        <v>#VALUE!</v>
      </c>
      <c r="P20" s="3">
        <f t="shared" si="2"/>
        <v>6.6395497548521476E-4</v>
      </c>
      <c r="Q20" s="3">
        <f t="shared" si="3"/>
        <v>6.9329448094628265E-3</v>
      </c>
      <c r="R20" s="3">
        <f t="shared" si="4"/>
        <v>4.521510816434704E-3</v>
      </c>
      <c r="S20" s="15" t="e">
        <f t="shared" si="5"/>
        <v>#VALUE!</v>
      </c>
      <c r="T20" s="15">
        <f t="shared" si="6"/>
        <v>1.0006639549754852</v>
      </c>
      <c r="U20" s="15">
        <f t="shared" si="7"/>
        <v>1.0069329448094628</v>
      </c>
      <c r="V20" s="15">
        <f t="shared" si="8"/>
        <v>1.0045215108164347</v>
      </c>
    </row>
    <row r="21" spans="1:22" x14ac:dyDescent="0.25">
      <c r="A21" s="6">
        <v>44741</v>
      </c>
      <c r="B21" s="10">
        <v>1.9762999999999999</v>
      </c>
      <c r="C21" s="10">
        <v>2.6732</v>
      </c>
      <c r="D21" s="10">
        <v>2.8294000000000001</v>
      </c>
      <c r="E21" s="10">
        <v>3.2949999999999999</v>
      </c>
      <c r="F21" s="10">
        <v>2.1797</v>
      </c>
      <c r="G21" s="10">
        <v>2.6478000000000002</v>
      </c>
      <c r="H21" s="11">
        <v>2.5</v>
      </c>
      <c r="J21" s="8">
        <v>44741</v>
      </c>
      <c r="K21" s="11">
        <v>1712.1965</v>
      </c>
      <c r="L21" s="11">
        <v>2293.9739</v>
      </c>
      <c r="M21" s="11">
        <v>2839.7474999999999</v>
      </c>
      <c r="N21" s="11">
        <v>3005.7498999999998</v>
      </c>
      <c r="O21" s="3" t="e">
        <f t="shared" si="1"/>
        <v>#VALUE!</v>
      </c>
      <c r="P21" s="3">
        <f t="shared" si="2"/>
        <v>7.8545537674190591E-4</v>
      </c>
      <c r="Q21" s="3">
        <f t="shared" si="3"/>
        <v>5.9840828539812208E-3</v>
      </c>
      <c r="R21" s="3">
        <f t="shared" si="4"/>
        <v>3.8579943085266244E-3</v>
      </c>
      <c r="S21" s="15" t="e">
        <f t="shared" si="5"/>
        <v>#VALUE!</v>
      </c>
      <c r="T21" s="15">
        <f t="shared" si="6"/>
        <v>1.0007854553767419</v>
      </c>
      <c r="U21" s="15">
        <f t="shared" si="7"/>
        <v>1.0059840828539812</v>
      </c>
      <c r="V21" s="15">
        <f t="shared" si="8"/>
        <v>1.0038579943085266</v>
      </c>
    </row>
    <row r="22" spans="1:22" x14ac:dyDescent="0.25">
      <c r="A22" s="6">
        <v>44742</v>
      </c>
      <c r="B22" s="10">
        <v>1.9503999999999999</v>
      </c>
      <c r="C22" s="10">
        <v>2.6528999999999998</v>
      </c>
      <c r="D22" s="10">
        <v>2.8205</v>
      </c>
      <c r="E22" s="10">
        <v>3.29</v>
      </c>
      <c r="F22" s="10">
        <v>2.1652</v>
      </c>
      <c r="G22" s="10">
        <v>2.6322999999999999</v>
      </c>
      <c r="H22" s="11">
        <v>2.5</v>
      </c>
      <c r="J22" s="8">
        <v>44742</v>
      </c>
      <c r="K22" s="11">
        <v>1712.4840999999999</v>
      </c>
      <c r="L22" s="11">
        <v>2294.7257</v>
      </c>
      <c r="M22" s="11">
        <v>2842.9798999999998</v>
      </c>
      <c r="N22" s="11">
        <v>3008.2851000000001</v>
      </c>
      <c r="O22" s="3" t="e">
        <f t="shared" si="1"/>
        <v>#VALUE!</v>
      </c>
      <c r="P22" s="3">
        <f t="shared" si="2"/>
        <v>1.113441020062389E-3</v>
      </c>
      <c r="Q22" s="3">
        <f t="shared" si="3"/>
        <v>7.1291645731892395E-3</v>
      </c>
      <c r="R22" s="3">
        <f t="shared" si="4"/>
        <v>4.7046984162673056E-3</v>
      </c>
      <c r="S22" s="15" t="e">
        <f t="shared" si="5"/>
        <v>#VALUE!</v>
      </c>
      <c r="T22" s="15">
        <f t="shared" si="6"/>
        <v>1.0011134410200624</v>
      </c>
      <c r="U22" s="15">
        <f t="shared" si="7"/>
        <v>1.0071291645731892</v>
      </c>
      <c r="V22" s="15">
        <f t="shared" si="8"/>
        <v>1.0047046984162673</v>
      </c>
    </row>
    <row r="23" spans="1:22" x14ac:dyDescent="0.25">
      <c r="A23" s="6">
        <v>44743</v>
      </c>
      <c r="B23" s="10">
        <v>1.9323999999999999</v>
      </c>
      <c r="C23" s="10">
        <v>2.6484999999999999</v>
      </c>
      <c r="D23" s="10">
        <v>2.8254999999999999</v>
      </c>
      <c r="E23" s="10">
        <v>3.2926000000000002</v>
      </c>
      <c r="F23" s="10">
        <v>2.1413000000000002</v>
      </c>
      <c r="G23" s="10">
        <v>2.6202000000000001</v>
      </c>
      <c r="H23" s="11">
        <v>1.75</v>
      </c>
      <c r="J23" s="8">
        <v>44743</v>
      </c>
      <c r="K23" s="11">
        <v>1712.8105</v>
      </c>
      <c r="L23" s="11">
        <v>2295.3038000000001</v>
      </c>
      <c r="M23" s="11">
        <v>2843.3629000000001</v>
      </c>
      <c r="N23" s="11">
        <v>3008.5684000000001</v>
      </c>
      <c r="O23" s="3" t="e">
        <f t="shared" si="1"/>
        <v>#VALUE!</v>
      </c>
      <c r="P23" s="3">
        <f t="shared" si="2"/>
        <v>1.3656470594396453E-3</v>
      </c>
      <c r="Q23" s="3">
        <f t="shared" si="3"/>
        <v>7.2648427994166376E-3</v>
      </c>
      <c r="R23" s="3">
        <f t="shared" si="4"/>
        <v>4.7993147280860349E-3</v>
      </c>
      <c r="S23" s="15" t="e">
        <f t="shared" si="5"/>
        <v>#VALUE!</v>
      </c>
      <c r="T23" s="15">
        <f t="shared" si="6"/>
        <v>1.0013656470594396</v>
      </c>
      <c r="U23" s="15">
        <f t="shared" si="7"/>
        <v>1.0072648427994166</v>
      </c>
      <c r="V23" s="15">
        <f t="shared" si="8"/>
        <v>1.004799314728086</v>
      </c>
    </row>
    <row r="24" spans="1:22" x14ac:dyDescent="0.25">
      <c r="A24" s="6">
        <v>44746</v>
      </c>
      <c r="B24" s="10">
        <v>1.9831000000000001</v>
      </c>
      <c r="C24" s="10">
        <v>2.6964999999999999</v>
      </c>
      <c r="D24" s="10">
        <v>2.8445</v>
      </c>
      <c r="E24" s="10">
        <v>3.3100999999999998</v>
      </c>
      <c r="F24" s="10">
        <v>2.2050999999999998</v>
      </c>
      <c r="G24" s="10">
        <v>2.6656</v>
      </c>
      <c r="H24" s="11">
        <v>1.6</v>
      </c>
      <c r="J24" s="8">
        <v>44746</v>
      </c>
      <c r="K24" s="11">
        <v>1712.7682</v>
      </c>
      <c r="L24" s="11">
        <v>2294.6253999999999</v>
      </c>
      <c r="M24" s="11">
        <v>2844.1179999999999</v>
      </c>
      <c r="N24" s="11">
        <v>3008.9448000000002</v>
      </c>
      <c r="O24" s="3" t="e">
        <f t="shared" si="1"/>
        <v>#VALUE!</v>
      </c>
      <c r="P24" s="3">
        <f t="shared" si="2"/>
        <v>1.0696834249239728E-3</v>
      </c>
      <c r="Q24" s="3">
        <f t="shared" si="3"/>
        <v>7.5323379133176438E-3</v>
      </c>
      <c r="R24" s="3">
        <f t="shared" si="4"/>
        <v>4.9250245048899632E-3</v>
      </c>
      <c r="S24" s="15" t="e">
        <f t="shared" si="5"/>
        <v>#VALUE!</v>
      </c>
      <c r="T24" s="15">
        <f t="shared" si="6"/>
        <v>1.001069683424924</v>
      </c>
      <c r="U24" s="15">
        <f t="shared" si="7"/>
        <v>1.0075323379133176</v>
      </c>
      <c r="V24" s="15">
        <f t="shared" si="8"/>
        <v>1.00492502450489</v>
      </c>
    </row>
    <row r="25" spans="1:22" x14ac:dyDescent="0.25">
      <c r="A25" s="6">
        <v>44747</v>
      </c>
      <c r="B25" s="10">
        <v>2.0099999999999998</v>
      </c>
      <c r="C25" s="10">
        <v>2.6930000000000001</v>
      </c>
      <c r="D25" s="10">
        <v>2.8332999999999999</v>
      </c>
      <c r="E25" s="10">
        <v>3.3153000000000001</v>
      </c>
      <c r="F25" s="10">
        <v>2.2094999999999998</v>
      </c>
      <c r="G25" s="10">
        <v>2.6858</v>
      </c>
      <c r="H25" s="11">
        <v>1.7</v>
      </c>
      <c r="J25" s="8">
        <v>44747</v>
      </c>
      <c r="K25" s="11">
        <v>1712.6594</v>
      </c>
      <c r="L25" s="11">
        <v>2294.3771999999999</v>
      </c>
      <c r="M25" s="11">
        <v>2843.1999000000001</v>
      </c>
      <c r="N25" s="11">
        <v>3008.2134000000001</v>
      </c>
      <c r="O25" s="3" t="e">
        <f t="shared" si="1"/>
        <v>#VALUE!</v>
      </c>
      <c r="P25" s="3">
        <f t="shared" si="2"/>
        <v>9.6140191831040056E-4</v>
      </c>
      <c r="Q25" s="3">
        <f t="shared" si="3"/>
        <v>7.2070998467401726E-3</v>
      </c>
      <c r="R25" s="3">
        <f t="shared" si="4"/>
        <v>4.6807521064988755E-3</v>
      </c>
      <c r="S25" s="15" t="e">
        <f t="shared" si="5"/>
        <v>#VALUE!</v>
      </c>
      <c r="T25" s="15">
        <f t="shared" si="6"/>
        <v>1.0009614019183104</v>
      </c>
      <c r="U25" s="15">
        <f t="shared" si="7"/>
        <v>1.0072070998467402</v>
      </c>
      <c r="V25" s="15">
        <f t="shared" si="8"/>
        <v>1.0046807521064989</v>
      </c>
    </row>
    <row r="26" spans="1:22" x14ac:dyDescent="0.25">
      <c r="A26" s="6">
        <v>44748</v>
      </c>
      <c r="B26" s="10">
        <v>1.9911000000000001</v>
      </c>
      <c r="C26" s="10">
        <v>2.6901999999999999</v>
      </c>
      <c r="D26" s="10">
        <v>2.8355999999999999</v>
      </c>
      <c r="E26" s="10">
        <v>3.3153000000000001</v>
      </c>
      <c r="F26" s="10">
        <v>2.1924999999999999</v>
      </c>
      <c r="G26" s="10">
        <v>2.6684000000000001</v>
      </c>
      <c r="H26" s="11">
        <v>1.7</v>
      </c>
      <c r="J26" s="8">
        <v>44748</v>
      </c>
      <c r="K26" s="11">
        <v>1712.9168</v>
      </c>
      <c r="L26" s="11">
        <v>2294.7269999999999</v>
      </c>
      <c r="M26" s="11">
        <v>2841.3121999999998</v>
      </c>
      <c r="N26" s="11">
        <v>3006.5607</v>
      </c>
      <c r="O26" s="3" t="e">
        <f t="shared" si="1"/>
        <v>#VALUE!</v>
      </c>
      <c r="P26" s="3">
        <f t="shared" si="2"/>
        <v>1.1140081673572944E-3</v>
      </c>
      <c r="Q26" s="3">
        <f t="shared" si="3"/>
        <v>6.5383797745495187E-3</v>
      </c>
      <c r="R26" s="3">
        <f t="shared" si="4"/>
        <v>4.1287846566475661E-3</v>
      </c>
      <c r="S26" s="15" t="e">
        <f t="shared" si="5"/>
        <v>#VALUE!</v>
      </c>
      <c r="T26" s="15">
        <f t="shared" si="6"/>
        <v>1.0011140081673573</v>
      </c>
      <c r="U26" s="15">
        <f t="shared" si="7"/>
        <v>1.0065383797745495</v>
      </c>
      <c r="V26" s="15">
        <f t="shared" si="8"/>
        <v>1.0041287846566476</v>
      </c>
    </row>
    <row r="27" spans="1:22" x14ac:dyDescent="0.25">
      <c r="A27" s="6">
        <v>44749</v>
      </c>
      <c r="B27" s="10">
        <v>1.9823999999999999</v>
      </c>
      <c r="C27" s="10">
        <v>2.6857000000000002</v>
      </c>
      <c r="D27" s="10">
        <v>2.8355999999999999</v>
      </c>
      <c r="E27" s="10">
        <v>3.3153999999999999</v>
      </c>
      <c r="F27" s="10">
        <v>2.1962000000000002</v>
      </c>
      <c r="G27" s="10">
        <v>2.6720999999999999</v>
      </c>
      <c r="H27" s="11">
        <v>1.65</v>
      </c>
      <c r="J27" s="8">
        <v>44749</v>
      </c>
      <c r="K27" s="11">
        <v>1713.1334999999999</v>
      </c>
      <c r="L27" s="11">
        <v>2295.0441000000001</v>
      </c>
      <c r="M27" s="11">
        <v>2843.1684</v>
      </c>
      <c r="N27" s="11">
        <v>3007.8020000000001</v>
      </c>
      <c r="O27" s="3" t="e">
        <f t="shared" si="1"/>
        <v>#VALUE!</v>
      </c>
      <c r="P27" s="3">
        <f t="shared" si="2"/>
        <v>1.2523484806015173E-3</v>
      </c>
      <c r="Q27" s="3">
        <f t="shared" si="3"/>
        <v>7.1959409325728085E-3</v>
      </c>
      <c r="R27" s="3">
        <f t="shared" si="4"/>
        <v>4.5433530571439285E-3</v>
      </c>
      <c r="S27" s="15" t="e">
        <f t="shared" si="5"/>
        <v>#VALUE!</v>
      </c>
      <c r="T27" s="15">
        <f t="shared" si="6"/>
        <v>1.0012523484806015</v>
      </c>
      <c r="U27" s="15">
        <f t="shared" si="7"/>
        <v>1.0071959409325728</v>
      </c>
      <c r="V27" s="15">
        <f t="shared" si="8"/>
        <v>1.0045433530571439</v>
      </c>
    </row>
    <row r="28" spans="1:22" x14ac:dyDescent="0.25">
      <c r="A28" s="6">
        <v>44750</v>
      </c>
      <c r="B28" s="10">
        <v>1.9583999999999999</v>
      </c>
      <c r="C28" s="10">
        <v>2.6785000000000001</v>
      </c>
      <c r="D28" s="10">
        <v>2.8384</v>
      </c>
      <c r="E28" s="10">
        <v>3.3407</v>
      </c>
      <c r="F28" s="10">
        <v>2.1903000000000001</v>
      </c>
      <c r="G28" s="10">
        <v>2.6720999999999999</v>
      </c>
      <c r="H28" s="11">
        <v>1.6</v>
      </c>
      <c r="J28" s="8">
        <v>44750</v>
      </c>
      <c r="K28" s="11">
        <v>1713.3759</v>
      </c>
      <c r="L28" s="11">
        <v>2295.5405000000001</v>
      </c>
      <c r="M28" s="11">
        <v>2843.0610999999999</v>
      </c>
      <c r="N28" s="11">
        <v>3008.0077000000001</v>
      </c>
      <c r="O28" s="3" t="e">
        <f t="shared" si="1"/>
        <v>#VALUE!</v>
      </c>
      <c r="P28" s="3">
        <f t="shared" si="2"/>
        <v>1.4689114938288839E-3</v>
      </c>
      <c r="Q28" s="3">
        <f t="shared" si="3"/>
        <v>7.1579297741544146E-3</v>
      </c>
      <c r="R28" s="3">
        <f t="shared" si="4"/>
        <v>4.612052581821402E-3</v>
      </c>
      <c r="S28" s="15" t="e">
        <f t="shared" si="5"/>
        <v>#VALUE!</v>
      </c>
      <c r="T28" s="15">
        <f t="shared" si="6"/>
        <v>1.0014689114938289</v>
      </c>
      <c r="U28" s="15">
        <f t="shared" si="7"/>
        <v>1.0071579297741544</v>
      </c>
      <c r="V28" s="15">
        <f t="shared" si="8"/>
        <v>1.0046120525818214</v>
      </c>
    </row>
    <row r="29" spans="1:22" x14ac:dyDescent="0.25">
      <c r="A29" s="6">
        <v>44753</v>
      </c>
      <c r="B29" s="10">
        <v>1.9417</v>
      </c>
      <c r="C29" s="10">
        <v>2.6535000000000002</v>
      </c>
      <c r="D29" s="10">
        <v>2.8266</v>
      </c>
      <c r="E29" s="10">
        <v>3.3323999999999998</v>
      </c>
      <c r="F29" s="10">
        <v>2.1566999999999998</v>
      </c>
      <c r="G29" s="10">
        <v>2.6446999999999998</v>
      </c>
      <c r="H29" s="11">
        <v>1.6</v>
      </c>
      <c r="J29" s="8">
        <v>44753</v>
      </c>
      <c r="K29" s="11">
        <v>1713.8471999999999</v>
      </c>
      <c r="L29" s="11">
        <v>2296.4648999999999</v>
      </c>
      <c r="M29" s="11">
        <v>2841.9027000000001</v>
      </c>
      <c r="N29" s="11">
        <v>3007.2114999999999</v>
      </c>
      <c r="O29" s="3" t="e">
        <f t="shared" si="1"/>
        <v>#VALUE!</v>
      </c>
      <c r="P29" s="3">
        <f t="shared" si="2"/>
        <v>1.8721968472281691E-3</v>
      </c>
      <c r="Q29" s="3">
        <f t="shared" si="3"/>
        <v>6.7475651337849385E-3</v>
      </c>
      <c r="R29" s="3">
        <f t="shared" si="4"/>
        <v>4.3461383302501044E-3</v>
      </c>
      <c r="S29" s="15" t="e">
        <f t="shared" si="5"/>
        <v>#VALUE!</v>
      </c>
      <c r="T29" s="15">
        <f t="shared" si="6"/>
        <v>1.0018721968472282</v>
      </c>
      <c r="U29" s="15">
        <f t="shared" si="7"/>
        <v>1.0067475651337849</v>
      </c>
      <c r="V29" s="15">
        <f t="shared" si="8"/>
        <v>1.0043461383302501</v>
      </c>
    </row>
    <row r="30" spans="1:22" x14ac:dyDescent="0.25">
      <c r="A30" s="6">
        <v>44754</v>
      </c>
      <c r="B30" s="10">
        <v>1.9345000000000001</v>
      </c>
      <c r="C30" s="10">
        <v>2.6208999999999998</v>
      </c>
      <c r="D30" s="10">
        <v>2.8117000000000001</v>
      </c>
      <c r="E30" s="10">
        <v>3.3184</v>
      </c>
      <c r="F30" s="10">
        <v>2.1309</v>
      </c>
      <c r="G30" s="10">
        <v>2.6147</v>
      </c>
      <c r="H30" s="11">
        <v>1.6</v>
      </c>
      <c r="J30" s="8">
        <v>44754</v>
      </c>
      <c r="K30" s="11">
        <v>1714.1846</v>
      </c>
      <c r="L30" s="11">
        <v>2297.3420999999998</v>
      </c>
      <c r="M30" s="11">
        <v>2841.4486999999999</v>
      </c>
      <c r="N30" s="11">
        <v>3007.1210000000001</v>
      </c>
      <c r="O30" s="3" t="e">
        <f t="shared" si="1"/>
        <v>#VALUE!</v>
      </c>
      <c r="P30" s="3">
        <f t="shared" si="2"/>
        <v>2.2548903911505658E-3</v>
      </c>
      <c r="Q30" s="3">
        <f t="shared" si="3"/>
        <v>6.586735069275429E-3</v>
      </c>
      <c r="R30" s="3">
        <f t="shared" si="4"/>
        <v>4.3159132112258192E-3</v>
      </c>
      <c r="S30" s="15" t="e">
        <f t="shared" si="5"/>
        <v>#VALUE!</v>
      </c>
      <c r="T30" s="15">
        <f t="shared" si="6"/>
        <v>1.0022548903911506</v>
      </c>
      <c r="U30" s="15">
        <f t="shared" si="7"/>
        <v>1.0065867350692754</v>
      </c>
      <c r="V30" s="15">
        <f t="shared" si="8"/>
        <v>1.0043159132112258</v>
      </c>
    </row>
    <row r="31" spans="1:22" x14ac:dyDescent="0.25">
      <c r="A31" s="6">
        <v>44755</v>
      </c>
      <c r="B31" s="10">
        <v>1.9376</v>
      </c>
      <c r="C31" s="10">
        <v>2.6133999999999999</v>
      </c>
      <c r="D31" s="10">
        <v>2.8067000000000002</v>
      </c>
      <c r="E31" s="10">
        <v>3.3159999999999998</v>
      </c>
      <c r="F31" s="10">
        <v>2.1196000000000002</v>
      </c>
      <c r="G31" s="10">
        <v>2.5962000000000001</v>
      </c>
      <c r="H31" s="11">
        <v>1.59</v>
      </c>
      <c r="J31" s="8">
        <v>44755</v>
      </c>
      <c r="K31" s="11">
        <v>1714.4840999999999</v>
      </c>
      <c r="L31" s="11">
        <v>2297.9841000000001</v>
      </c>
      <c r="M31" s="11">
        <v>2842.8685</v>
      </c>
      <c r="N31" s="11">
        <v>3008.2955000000002</v>
      </c>
      <c r="O31" s="3" t="e">
        <f t="shared" si="1"/>
        <v>#VALUE!</v>
      </c>
      <c r="P31" s="3">
        <f t="shared" si="2"/>
        <v>2.5349739014084438E-3</v>
      </c>
      <c r="Q31" s="3">
        <f t="shared" si="3"/>
        <v>7.0897009846730974E-3</v>
      </c>
      <c r="R31" s="3">
        <f t="shared" si="4"/>
        <v>4.7081718001109607E-3</v>
      </c>
      <c r="S31" s="15" t="e">
        <f t="shared" si="5"/>
        <v>#VALUE!</v>
      </c>
      <c r="T31" s="15">
        <f t="shared" si="6"/>
        <v>1.0025349739014084</v>
      </c>
      <c r="U31" s="15">
        <f t="shared" si="7"/>
        <v>1.0070897009846731</v>
      </c>
      <c r="V31" s="15">
        <f t="shared" si="8"/>
        <v>1.004708171800111</v>
      </c>
    </row>
    <row r="32" spans="1:22" x14ac:dyDescent="0.25">
      <c r="A32" s="6">
        <v>44756</v>
      </c>
      <c r="B32" s="10">
        <v>1.9147000000000001</v>
      </c>
      <c r="C32" s="10">
        <v>2.5870000000000002</v>
      </c>
      <c r="D32" s="10">
        <v>2.7907000000000002</v>
      </c>
      <c r="E32" s="10">
        <v>3.2959999999999998</v>
      </c>
      <c r="F32" s="10">
        <v>2.1006999999999998</v>
      </c>
      <c r="G32" s="10">
        <v>2.5832000000000002</v>
      </c>
      <c r="H32" s="11">
        <v>1.6</v>
      </c>
      <c r="J32" s="8">
        <v>44756</v>
      </c>
      <c r="K32" s="11">
        <v>1714.8426999999999</v>
      </c>
      <c r="L32" s="11">
        <v>2298.7269999999999</v>
      </c>
      <c r="M32" s="11">
        <v>2845.0909000000001</v>
      </c>
      <c r="N32" s="11">
        <v>3009.9405999999999</v>
      </c>
      <c r="O32" s="3" t="e">
        <f t="shared" si="1"/>
        <v>#VALUE!</v>
      </c>
      <c r="P32" s="3">
        <f t="shared" si="2"/>
        <v>2.859076767094626E-3</v>
      </c>
      <c r="Q32" s="3">
        <f t="shared" si="3"/>
        <v>7.8769889480343469E-3</v>
      </c>
      <c r="R32" s="3">
        <f t="shared" si="4"/>
        <v>5.2576010079226076E-3</v>
      </c>
      <c r="S32" s="15" t="e">
        <f t="shared" si="5"/>
        <v>#VALUE!</v>
      </c>
      <c r="T32" s="15">
        <f t="shared" si="6"/>
        <v>1.0028590767670946</v>
      </c>
      <c r="U32" s="15">
        <f t="shared" si="7"/>
        <v>1.0078769889480343</v>
      </c>
      <c r="V32" s="15">
        <f t="shared" si="8"/>
        <v>1.0052576010079226</v>
      </c>
    </row>
    <row r="33" spans="1:22" x14ac:dyDescent="0.25">
      <c r="A33" s="6">
        <v>44757</v>
      </c>
      <c r="B33" s="10">
        <v>1.8836999999999999</v>
      </c>
      <c r="C33" s="10">
        <v>2.5848</v>
      </c>
      <c r="D33" s="10">
        <v>2.7856999999999998</v>
      </c>
      <c r="E33" s="10">
        <v>3.2858999999999998</v>
      </c>
      <c r="F33" s="10">
        <v>2.0882999999999998</v>
      </c>
      <c r="G33" s="10">
        <v>2.5674000000000001</v>
      </c>
      <c r="H33" s="11">
        <v>1.57</v>
      </c>
      <c r="J33" s="8">
        <v>44757</v>
      </c>
      <c r="K33" s="11">
        <v>1715.2833000000001</v>
      </c>
      <c r="L33" s="11">
        <v>2300.0749000000001</v>
      </c>
      <c r="M33" s="11">
        <v>2845.3199</v>
      </c>
      <c r="N33" s="11">
        <v>3010.4078</v>
      </c>
      <c r="O33" s="3" t="e">
        <f t="shared" si="1"/>
        <v>#VALUE!</v>
      </c>
      <c r="P33" s="3">
        <f t="shared" si="2"/>
        <v>3.4471212584912259E-3</v>
      </c>
      <c r="Q33" s="3">
        <f t="shared" si="3"/>
        <v>7.958112482775892E-3</v>
      </c>
      <c r="R33" s="3">
        <f t="shared" si="4"/>
        <v>5.4136360975156617E-3</v>
      </c>
      <c r="S33" s="15" t="e">
        <f t="shared" si="5"/>
        <v>#VALUE!</v>
      </c>
      <c r="T33" s="15">
        <f t="shared" si="6"/>
        <v>1.0034471212584912</v>
      </c>
      <c r="U33" s="15">
        <f t="shared" si="7"/>
        <v>1.0079581124827759</v>
      </c>
      <c r="V33" s="15">
        <f t="shared" si="8"/>
        <v>1.0054136360975157</v>
      </c>
    </row>
    <row r="34" spans="1:22" x14ac:dyDescent="0.25">
      <c r="A34" s="6">
        <v>44760</v>
      </c>
      <c r="B34" s="10">
        <v>1.8488</v>
      </c>
      <c r="C34" s="10">
        <v>2.5789</v>
      </c>
      <c r="D34" s="10">
        <v>2.7837000000000001</v>
      </c>
      <c r="E34" s="10">
        <v>3.2785000000000002</v>
      </c>
      <c r="F34" s="10">
        <v>2.0808</v>
      </c>
      <c r="G34" s="10">
        <v>2.5640999999999998</v>
      </c>
      <c r="H34" s="11">
        <v>1.6103000000000001</v>
      </c>
      <c r="J34" s="8">
        <v>44760</v>
      </c>
      <c r="K34" s="11">
        <v>1715.9167</v>
      </c>
      <c r="L34" s="11">
        <v>2300.9834000000001</v>
      </c>
      <c r="M34" s="11">
        <v>2848.4076</v>
      </c>
      <c r="N34" s="11">
        <v>3013.2707</v>
      </c>
      <c r="O34" s="3" t="e">
        <f t="shared" si="1"/>
        <v>#VALUE!</v>
      </c>
      <c r="P34" s="3">
        <f t="shared" si="2"/>
        <v>3.8434699642064807E-3</v>
      </c>
      <c r="Q34" s="3">
        <f t="shared" si="3"/>
        <v>9.0519340470620602E-3</v>
      </c>
      <c r="R34" s="3">
        <f t="shared" si="4"/>
        <v>6.3697851942539074E-3</v>
      </c>
      <c r="S34" s="15" t="e">
        <f t="shared" si="5"/>
        <v>#VALUE!</v>
      </c>
      <c r="T34" s="15">
        <f t="shared" si="6"/>
        <v>1.0038434699642065</v>
      </c>
      <c r="U34" s="15">
        <f t="shared" si="7"/>
        <v>1.0090519340470621</v>
      </c>
      <c r="V34" s="15">
        <f t="shared" si="8"/>
        <v>1.0063697851942539</v>
      </c>
    </row>
    <row r="35" spans="1:22" x14ac:dyDescent="0.25">
      <c r="A35" s="6">
        <v>44761</v>
      </c>
      <c r="B35" s="10">
        <v>1.8491</v>
      </c>
      <c r="C35" s="10">
        <v>2.5868000000000002</v>
      </c>
      <c r="D35" s="10">
        <v>2.7858999999999998</v>
      </c>
      <c r="E35" s="10">
        <v>3.2785000000000002</v>
      </c>
      <c r="F35" s="10">
        <v>2.0874999999999999</v>
      </c>
      <c r="G35" s="10">
        <v>2.5735000000000001</v>
      </c>
      <c r="H35" s="11">
        <v>1.6</v>
      </c>
      <c r="J35" s="8">
        <v>44761</v>
      </c>
      <c r="K35" s="11">
        <v>1716.1737000000001</v>
      </c>
      <c r="L35" s="11">
        <v>2301.2512999999999</v>
      </c>
      <c r="M35" s="11">
        <v>2848.7438000000002</v>
      </c>
      <c r="N35" s="11">
        <v>3013.6439</v>
      </c>
      <c r="O35" s="3" t="e">
        <f t="shared" si="1"/>
        <v>#VALUE!</v>
      </c>
      <c r="P35" s="3">
        <f t="shared" si="2"/>
        <v>3.9603459336738922E-3</v>
      </c>
      <c r="Q35" s="3">
        <f t="shared" si="3"/>
        <v>9.1710333150976098E-3</v>
      </c>
      <c r="R35" s="3">
        <f t="shared" si="4"/>
        <v>6.4944262375674633E-3</v>
      </c>
      <c r="S35" s="15" t="e">
        <f t="shared" si="5"/>
        <v>#VALUE!</v>
      </c>
      <c r="T35" s="15">
        <f t="shared" si="6"/>
        <v>1.0039603459336739</v>
      </c>
      <c r="U35" s="15">
        <f t="shared" si="7"/>
        <v>1.0091710333150976</v>
      </c>
      <c r="V35" s="15">
        <f t="shared" si="8"/>
        <v>1.0064944262375675</v>
      </c>
    </row>
    <row r="36" spans="1:22" x14ac:dyDescent="0.25">
      <c r="A36" s="6">
        <v>44762</v>
      </c>
      <c r="B36" s="10">
        <v>1.8712</v>
      </c>
      <c r="C36" s="10">
        <v>2.5634000000000001</v>
      </c>
      <c r="D36" s="10">
        <v>2.7709999999999999</v>
      </c>
      <c r="E36" s="10">
        <v>3.2635999999999998</v>
      </c>
      <c r="F36" s="10">
        <v>2.0792999999999999</v>
      </c>
      <c r="G36" s="10">
        <v>2.5611000000000002</v>
      </c>
      <c r="H36" s="11">
        <v>1.6</v>
      </c>
      <c r="J36" s="8">
        <v>44762</v>
      </c>
      <c r="K36" s="11">
        <v>1716.5006000000001</v>
      </c>
      <c r="L36" s="11">
        <v>2301.9845999999998</v>
      </c>
      <c r="M36" s="11">
        <v>2850.9297999999999</v>
      </c>
      <c r="N36" s="11">
        <v>3015.5327000000002</v>
      </c>
      <c r="O36" s="3" t="e">
        <f t="shared" si="1"/>
        <v>#VALUE!</v>
      </c>
      <c r="P36" s="3">
        <f t="shared" si="2"/>
        <v>4.2802606347207561E-3</v>
      </c>
      <c r="Q36" s="3">
        <f t="shared" si="3"/>
        <v>9.9454265331984093E-3</v>
      </c>
      <c r="R36" s="3">
        <f t="shared" si="4"/>
        <v>7.125246180254674E-3</v>
      </c>
      <c r="S36" s="15" t="e">
        <f t="shared" si="5"/>
        <v>#VALUE!</v>
      </c>
      <c r="T36" s="15">
        <f t="shared" si="6"/>
        <v>1.0042802606347208</v>
      </c>
      <c r="U36" s="15">
        <f t="shared" si="7"/>
        <v>1.0099454265331984</v>
      </c>
      <c r="V36" s="15">
        <f t="shared" si="8"/>
        <v>1.0071252461802547</v>
      </c>
    </row>
    <row r="37" spans="1:22" x14ac:dyDescent="0.25">
      <c r="A37" s="6">
        <v>44763</v>
      </c>
      <c r="B37" s="10">
        <v>1.8716999999999999</v>
      </c>
      <c r="C37" s="10">
        <v>2.5516000000000001</v>
      </c>
      <c r="D37" s="10">
        <v>2.7635000000000001</v>
      </c>
      <c r="E37" s="10">
        <v>3.2566000000000002</v>
      </c>
      <c r="F37" s="10">
        <v>2.0573999999999999</v>
      </c>
      <c r="G37" s="10">
        <v>2.5314999999999999</v>
      </c>
      <c r="H37" s="11">
        <v>1.6</v>
      </c>
      <c r="J37" s="8">
        <v>44763</v>
      </c>
      <c r="K37" s="11">
        <v>1716.9048</v>
      </c>
      <c r="L37" s="11">
        <v>2302.8676999999998</v>
      </c>
      <c r="M37" s="11">
        <v>2850.7096999999999</v>
      </c>
      <c r="N37" s="11">
        <v>3015.5650000000001</v>
      </c>
      <c r="O37" s="3" t="e">
        <f t="shared" si="1"/>
        <v>#VALUE!</v>
      </c>
      <c r="P37" s="3">
        <f t="shared" si="2"/>
        <v>4.6655281548277916E-3</v>
      </c>
      <c r="Q37" s="3">
        <f t="shared" si="3"/>
        <v>9.8674558345230867E-3</v>
      </c>
      <c r="R37" s="3">
        <f t="shared" si="4"/>
        <v>7.1360337089230175E-3</v>
      </c>
      <c r="S37" s="15" t="e">
        <f t="shared" si="5"/>
        <v>#VALUE!</v>
      </c>
      <c r="T37" s="15">
        <f t="shared" si="6"/>
        <v>1.0046655281548278</v>
      </c>
      <c r="U37" s="15">
        <f t="shared" si="7"/>
        <v>1.0098674558345231</v>
      </c>
      <c r="V37" s="15">
        <f t="shared" si="8"/>
        <v>1.007136033708923</v>
      </c>
    </row>
    <row r="38" spans="1:22" x14ac:dyDescent="0.25">
      <c r="A38" s="6">
        <v>44764</v>
      </c>
      <c r="B38" s="10">
        <v>1.9036</v>
      </c>
      <c r="C38" s="10">
        <v>2.5800999999999998</v>
      </c>
      <c r="D38" s="10">
        <v>2.7869999999999999</v>
      </c>
      <c r="E38" s="10">
        <v>3.2688000000000001</v>
      </c>
      <c r="F38" s="10">
        <v>2.0743</v>
      </c>
      <c r="G38" s="10">
        <v>2.5499000000000001</v>
      </c>
      <c r="H38" s="11">
        <v>1.55</v>
      </c>
      <c r="J38" s="8">
        <v>44764</v>
      </c>
      <c r="K38" s="11">
        <v>1717.0266999999999</v>
      </c>
      <c r="L38" s="11">
        <v>2303.3777</v>
      </c>
      <c r="M38" s="11">
        <v>2850.5061999999998</v>
      </c>
      <c r="N38" s="11">
        <v>3015.5162</v>
      </c>
      <c r="O38" s="3" t="e">
        <f t="shared" si="1"/>
        <v>#VALUE!</v>
      </c>
      <c r="P38" s="3">
        <f t="shared" si="2"/>
        <v>4.8880244012943219E-3</v>
      </c>
      <c r="Q38" s="3">
        <f t="shared" si="3"/>
        <v>9.7953657064886457E-3</v>
      </c>
      <c r="R38" s="3">
        <f t="shared" si="4"/>
        <v>7.1197355231948922E-3</v>
      </c>
      <c r="S38" s="15" t="e">
        <f t="shared" si="5"/>
        <v>#VALUE!</v>
      </c>
      <c r="T38" s="15">
        <f t="shared" si="6"/>
        <v>1.0048880244012943</v>
      </c>
      <c r="U38" s="15">
        <f t="shared" si="7"/>
        <v>1.0097953657064886</v>
      </c>
      <c r="V38" s="15">
        <f t="shared" si="8"/>
        <v>1.0071197355231949</v>
      </c>
    </row>
    <row r="39" spans="1:22" x14ac:dyDescent="0.25">
      <c r="A39" s="6">
        <v>44767</v>
      </c>
      <c r="B39" s="10">
        <v>1.9007000000000001</v>
      </c>
      <c r="C39" s="10">
        <v>2.5554999999999999</v>
      </c>
      <c r="D39" s="10">
        <v>2.7789999999999999</v>
      </c>
      <c r="E39" s="10">
        <v>3.2639</v>
      </c>
      <c r="F39" s="10">
        <v>2.0712999999999999</v>
      </c>
      <c r="G39" s="10">
        <v>2.5459000000000001</v>
      </c>
      <c r="H39" s="11">
        <v>1.8</v>
      </c>
      <c r="J39" s="8">
        <v>44767</v>
      </c>
      <c r="K39" s="11">
        <v>1717.5222000000001</v>
      </c>
      <c r="L39" s="11">
        <v>2304.1475999999998</v>
      </c>
      <c r="M39" s="11">
        <v>2849.9881</v>
      </c>
      <c r="N39" s="11">
        <v>3015.4877999999999</v>
      </c>
      <c r="O39" s="3" t="e">
        <f t="shared" si="1"/>
        <v>#VALUE!</v>
      </c>
      <c r="P39" s="3">
        <f t="shared" si="2"/>
        <v>5.2239064800285728E-3</v>
      </c>
      <c r="Q39" s="3">
        <f t="shared" si="3"/>
        <v>9.6118281372763459E-3</v>
      </c>
      <c r="R39" s="3">
        <f t="shared" si="4"/>
        <v>7.1102505134679195E-3</v>
      </c>
      <c r="S39" s="15" t="e">
        <f t="shared" si="5"/>
        <v>#VALUE!</v>
      </c>
      <c r="T39" s="15">
        <f t="shared" si="6"/>
        <v>1.0052239064800286</v>
      </c>
      <c r="U39" s="15">
        <f t="shared" si="7"/>
        <v>1.0096118281372763</v>
      </c>
      <c r="V39" s="15">
        <f t="shared" si="8"/>
        <v>1.0071102505134679</v>
      </c>
    </row>
    <row r="40" spans="1:22" x14ac:dyDescent="0.25">
      <c r="A40" s="6">
        <v>44768</v>
      </c>
      <c r="B40" s="10">
        <v>1.881</v>
      </c>
      <c r="C40" s="10">
        <v>2.5415000000000001</v>
      </c>
      <c r="D40" s="10">
        <v>2.77</v>
      </c>
      <c r="E40" s="10">
        <v>3.2570999999999999</v>
      </c>
      <c r="F40" s="10">
        <v>2.0617999999999999</v>
      </c>
      <c r="G40" s="10">
        <v>2.5337999999999998</v>
      </c>
      <c r="H40" s="11">
        <v>1.75</v>
      </c>
      <c r="J40" s="8">
        <v>44768</v>
      </c>
      <c r="K40" s="11">
        <v>1717.9666999999999</v>
      </c>
      <c r="L40" s="11">
        <v>2305.1279</v>
      </c>
      <c r="M40" s="11">
        <v>2853.0396999999998</v>
      </c>
      <c r="N40" s="11">
        <v>3018.0612999999998</v>
      </c>
      <c r="O40" s="3" t="e">
        <f t="shared" si="1"/>
        <v>#VALUE!</v>
      </c>
      <c r="P40" s="3">
        <f t="shared" si="2"/>
        <v>5.651579167109233E-3</v>
      </c>
      <c r="Q40" s="3">
        <f t="shared" si="3"/>
        <v>1.0692861231675455E-2</v>
      </c>
      <c r="R40" s="3">
        <f t="shared" si="4"/>
        <v>7.9697460251713093E-3</v>
      </c>
      <c r="S40" s="15" t="e">
        <f t="shared" si="5"/>
        <v>#VALUE!</v>
      </c>
      <c r="T40" s="15">
        <f t="shared" si="6"/>
        <v>1.0056515791671092</v>
      </c>
      <c r="U40" s="15">
        <f t="shared" si="7"/>
        <v>1.0106928612316755</v>
      </c>
      <c r="V40" s="15">
        <f t="shared" si="8"/>
        <v>1.0079697460251713</v>
      </c>
    </row>
    <row r="41" spans="1:22" x14ac:dyDescent="0.25">
      <c r="A41" s="6">
        <v>44769</v>
      </c>
      <c r="B41" s="10">
        <v>1.8772</v>
      </c>
      <c r="C41" s="10">
        <v>2.5205000000000002</v>
      </c>
      <c r="D41" s="10">
        <v>2.7700999999999998</v>
      </c>
      <c r="E41" s="10">
        <v>3.2566000000000002</v>
      </c>
      <c r="F41" s="10">
        <v>2.056</v>
      </c>
      <c r="G41" s="10">
        <v>2.5308000000000002</v>
      </c>
      <c r="H41" s="11">
        <v>1.7</v>
      </c>
      <c r="J41" s="8">
        <v>44769</v>
      </c>
      <c r="K41" s="11">
        <v>1718.2070000000001</v>
      </c>
      <c r="L41" s="11">
        <v>2305.5464000000002</v>
      </c>
      <c r="M41" s="11">
        <v>2854.4737</v>
      </c>
      <c r="N41" s="11">
        <v>3019.0889000000002</v>
      </c>
      <c r="O41" s="3" t="e">
        <f t="shared" si="1"/>
        <v>#VALUE!</v>
      </c>
      <c r="P41" s="3">
        <f t="shared" si="2"/>
        <v>5.8341569693569628E-3</v>
      </c>
      <c r="Q41" s="3">
        <f t="shared" si="3"/>
        <v>1.1200857514729767E-2</v>
      </c>
      <c r="R41" s="3">
        <f t="shared" si="4"/>
        <v>8.3129430672645999E-3</v>
      </c>
      <c r="S41" s="15" t="e">
        <f t="shared" si="5"/>
        <v>#VALUE!</v>
      </c>
      <c r="T41" s="15">
        <f t="shared" si="6"/>
        <v>1.005834156969357</v>
      </c>
      <c r="U41" s="15">
        <f t="shared" si="7"/>
        <v>1.0112008575147298</v>
      </c>
      <c r="V41" s="15">
        <f t="shared" si="8"/>
        <v>1.0083129430672646</v>
      </c>
    </row>
    <row r="42" spans="1:22" x14ac:dyDescent="0.25">
      <c r="A42" s="6">
        <v>44770</v>
      </c>
      <c r="B42" s="10">
        <v>1.8905000000000001</v>
      </c>
      <c r="C42" s="10">
        <v>2.5482999999999998</v>
      </c>
      <c r="D42" s="10">
        <v>2.7850000000000001</v>
      </c>
      <c r="E42" s="10">
        <v>3.2692999999999999</v>
      </c>
      <c r="F42" s="10">
        <v>2.0695000000000001</v>
      </c>
      <c r="G42" s="10">
        <v>2.5537999999999998</v>
      </c>
      <c r="H42" s="11">
        <v>1.7</v>
      </c>
      <c r="J42" s="8">
        <v>44770</v>
      </c>
      <c r="K42" s="11">
        <v>1718.2150999999999</v>
      </c>
      <c r="L42" s="11">
        <v>2305.1770999999999</v>
      </c>
      <c r="M42" s="11">
        <v>2854.6693</v>
      </c>
      <c r="N42" s="11">
        <v>3019.0855000000001</v>
      </c>
      <c r="O42" s="3" t="e">
        <f t="shared" si="1"/>
        <v>#VALUE!</v>
      </c>
      <c r="P42" s="3">
        <f t="shared" si="2"/>
        <v>5.6730435108860444E-3</v>
      </c>
      <c r="Q42" s="3">
        <f t="shared" si="3"/>
        <v>1.1270149057941437E-2</v>
      </c>
      <c r="R42" s="3">
        <f t="shared" si="4"/>
        <v>8.3118075379309264E-3</v>
      </c>
      <c r="S42" s="15" t="e">
        <f t="shared" si="5"/>
        <v>#VALUE!</v>
      </c>
      <c r="T42" s="15">
        <f t="shared" si="6"/>
        <v>1.005673043510886</v>
      </c>
      <c r="U42" s="15">
        <f t="shared" si="7"/>
        <v>1.0112701490579414</v>
      </c>
      <c r="V42" s="15">
        <f t="shared" si="8"/>
        <v>1.0083118075379309</v>
      </c>
    </row>
    <row r="43" spans="1:22" x14ac:dyDescent="0.25">
      <c r="A43" s="6">
        <v>44771</v>
      </c>
      <c r="B43" s="10">
        <v>1.8623000000000001</v>
      </c>
      <c r="C43" s="10">
        <v>2.5135999999999998</v>
      </c>
      <c r="D43" s="10">
        <v>2.7559999999999998</v>
      </c>
      <c r="E43" s="10">
        <v>3.2448999999999999</v>
      </c>
      <c r="F43" s="10">
        <v>2.0388000000000002</v>
      </c>
      <c r="G43" s="10">
        <v>2.5253000000000001</v>
      </c>
      <c r="H43" s="11">
        <v>1.65</v>
      </c>
      <c r="J43" s="8">
        <v>44771</v>
      </c>
      <c r="K43" s="11">
        <v>1718.787</v>
      </c>
      <c r="L43" s="11">
        <v>2307.1142</v>
      </c>
      <c r="M43" s="11">
        <v>2856.0971</v>
      </c>
      <c r="N43" s="11">
        <v>3020.4816000000001</v>
      </c>
      <c r="O43" s="3" t="e">
        <f t="shared" si="1"/>
        <v>#VALUE!</v>
      </c>
      <c r="P43" s="3">
        <f t="shared" si="2"/>
        <v>6.5181366070239388E-3</v>
      </c>
      <c r="Q43" s="3">
        <f t="shared" si="3"/>
        <v>1.1775948983286488E-2</v>
      </c>
      <c r="R43" s="3">
        <f t="shared" si="4"/>
        <v>8.7780759210236425E-3</v>
      </c>
      <c r="S43" s="15" t="e">
        <f t="shared" si="5"/>
        <v>#VALUE!</v>
      </c>
      <c r="T43" s="15">
        <f t="shared" si="6"/>
        <v>1.0065181366070239</v>
      </c>
      <c r="U43" s="15">
        <f t="shared" si="7"/>
        <v>1.0117759489832865</v>
      </c>
      <c r="V43" s="15">
        <f t="shared" si="8"/>
        <v>1.0087780759210236</v>
      </c>
    </row>
    <row r="44" spans="1:22" x14ac:dyDescent="0.25">
      <c r="A44" s="6">
        <v>44774</v>
      </c>
      <c r="B44" s="10">
        <v>1.8269</v>
      </c>
      <c r="C44" s="10">
        <v>2.4895</v>
      </c>
      <c r="D44" s="10">
        <v>2.7292000000000001</v>
      </c>
      <c r="E44" s="10">
        <v>3.2246000000000001</v>
      </c>
      <c r="F44" s="10">
        <v>2.0158</v>
      </c>
      <c r="G44" s="10">
        <v>2.5043000000000002</v>
      </c>
      <c r="H44" s="11">
        <v>1.55</v>
      </c>
      <c r="J44" s="8">
        <v>44774</v>
      </c>
      <c r="K44" s="11">
        <v>1719.6567</v>
      </c>
      <c r="L44" s="11">
        <v>2308.7548999999999</v>
      </c>
      <c r="M44" s="11">
        <v>2859.3049999999998</v>
      </c>
      <c r="N44" s="11">
        <v>3023.2692999999999</v>
      </c>
      <c r="O44" s="3" t="e">
        <f t="shared" si="1"/>
        <v>#VALUE!</v>
      </c>
      <c r="P44" s="3">
        <f t="shared" si="2"/>
        <v>7.2339201199211889E-3</v>
      </c>
      <c r="Q44" s="3">
        <f t="shared" si="3"/>
        <v>1.2912351547031076E-2</v>
      </c>
      <c r="R44" s="3">
        <f t="shared" si="4"/>
        <v>9.7091097807382454E-3</v>
      </c>
      <c r="S44" s="15" t="e">
        <f t="shared" si="5"/>
        <v>#VALUE!</v>
      </c>
      <c r="T44" s="15">
        <f t="shared" si="6"/>
        <v>1.0072339201199212</v>
      </c>
      <c r="U44" s="15">
        <f t="shared" si="7"/>
        <v>1.0129123515470311</v>
      </c>
      <c r="V44" s="15">
        <f t="shared" si="8"/>
        <v>1.0097091097807382</v>
      </c>
    </row>
    <row r="45" spans="1:22" x14ac:dyDescent="0.25">
      <c r="A45" s="6">
        <v>44775</v>
      </c>
      <c r="B45" s="10">
        <v>1.7705</v>
      </c>
      <c r="C45" s="10">
        <v>2.4899</v>
      </c>
      <c r="D45" s="10">
        <v>2.7313999999999998</v>
      </c>
      <c r="E45" s="10">
        <v>3.2273000000000001</v>
      </c>
      <c r="F45" s="10">
        <v>1.9994000000000001</v>
      </c>
      <c r="G45" s="10">
        <v>2.4912999999999998</v>
      </c>
      <c r="H45" s="11">
        <v>1.5</v>
      </c>
      <c r="J45" s="8">
        <v>44775</v>
      </c>
      <c r="K45" s="11">
        <v>1720.3078</v>
      </c>
      <c r="L45" s="11">
        <v>2309.6936999999998</v>
      </c>
      <c r="M45" s="11">
        <v>2857.9668000000001</v>
      </c>
      <c r="N45" s="11">
        <v>3022.2566999999999</v>
      </c>
      <c r="O45" s="3" t="e">
        <f t="shared" si="1"/>
        <v>#VALUE!</v>
      </c>
      <c r="P45" s="3">
        <f t="shared" si="2"/>
        <v>7.6434877202793405E-3</v>
      </c>
      <c r="Q45" s="3">
        <f t="shared" si="3"/>
        <v>1.2438292533095918E-2</v>
      </c>
      <c r="R45" s="3">
        <f t="shared" si="4"/>
        <v>9.3709224268812008E-3</v>
      </c>
      <c r="S45" s="15" t="e">
        <f t="shared" si="5"/>
        <v>#VALUE!</v>
      </c>
      <c r="T45" s="15">
        <f t="shared" si="6"/>
        <v>1.0076434877202793</v>
      </c>
      <c r="U45" s="15">
        <f t="shared" si="7"/>
        <v>1.0124382925330959</v>
      </c>
      <c r="V45" s="15">
        <f t="shared" si="8"/>
        <v>1.0093709224268812</v>
      </c>
    </row>
    <row r="46" spans="1:22" x14ac:dyDescent="0.25">
      <c r="A46" s="6">
        <v>44776</v>
      </c>
      <c r="B46" s="10">
        <v>1.7527999999999999</v>
      </c>
      <c r="C46" s="10">
        <v>2.4500999999999999</v>
      </c>
      <c r="D46" s="10">
        <v>2.7218</v>
      </c>
      <c r="E46" s="10">
        <v>3.2197</v>
      </c>
      <c r="F46" s="10">
        <v>1.9672000000000001</v>
      </c>
      <c r="G46" s="10">
        <v>2.4784000000000002</v>
      </c>
      <c r="H46" s="11">
        <v>1.4</v>
      </c>
      <c r="J46" s="8">
        <v>44776</v>
      </c>
      <c r="K46" s="11">
        <v>1720.7212</v>
      </c>
      <c r="L46" s="11">
        <v>2310.5372000000002</v>
      </c>
      <c r="M46" s="11">
        <v>2857.2073</v>
      </c>
      <c r="N46" s="11">
        <v>3021.9414999999999</v>
      </c>
      <c r="O46" s="3" t="e">
        <f t="shared" si="1"/>
        <v>#VALUE!</v>
      </c>
      <c r="P46" s="3">
        <f t="shared" si="2"/>
        <v>8.011479061249327E-3</v>
      </c>
      <c r="Q46" s="3">
        <f t="shared" si="3"/>
        <v>1.2169238713723551E-2</v>
      </c>
      <c r="R46" s="3">
        <f t="shared" si="4"/>
        <v>9.2656521780805079E-3</v>
      </c>
      <c r="S46" s="15" t="e">
        <f t="shared" si="5"/>
        <v>#VALUE!</v>
      </c>
      <c r="T46" s="15">
        <f t="shared" si="6"/>
        <v>1.0080114790612493</v>
      </c>
      <c r="U46" s="15">
        <f t="shared" si="7"/>
        <v>1.0121692387137236</v>
      </c>
      <c r="V46" s="15">
        <f t="shared" si="8"/>
        <v>1.0092656521780805</v>
      </c>
    </row>
    <row r="47" spans="1:22" x14ac:dyDescent="0.25">
      <c r="A47" s="6">
        <v>44777</v>
      </c>
      <c r="B47" s="10">
        <v>1.6907000000000001</v>
      </c>
      <c r="C47" s="10">
        <v>2.4379</v>
      </c>
      <c r="D47" s="10">
        <v>2.7191999999999998</v>
      </c>
      <c r="E47" s="10">
        <v>3.2191000000000001</v>
      </c>
      <c r="F47" s="10">
        <v>1.9063000000000001</v>
      </c>
      <c r="G47" s="10">
        <v>2.4373999999999998</v>
      </c>
      <c r="H47" s="11">
        <v>1.4</v>
      </c>
      <c r="J47" s="8">
        <v>44777</v>
      </c>
      <c r="K47" s="11">
        <v>1721.1916000000001</v>
      </c>
      <c r="L47" s="11">
        <v>2311.4623999999999</v>
      </c>
      <c r="M47" s="11">
        <v>2858.6911</v>
      </c>
      <c r="N47" s="11">
        <v>3023.5032000000001</v>
      </c>
      <c r="O47" s="3" t="e">
        <f t="shared" si="1"/>
        <v>#VALUE!</v>
      </c>
      <c r="P47" s="3">
        <f t="shared" si="2"/>
        <v>8.4151134283683149E-3</v>
      </c>
      <c r="Q47" s="3">
        <f t="shared" si="3"/>
        <v>1.2694876708699843E-2</v>
      </c>
      <c r="R47" s="3">
        <f t="shared" si="4"/>
        <v>9.7872275192996128E-3</v>
      </c>
      <c r="S47" s="15" t="e">
        <f t="shared" si="5"/>
        <v>#VALUE!</v>
      </c>
      <c r="T47" s="15">
        <f t="shared" si="6"/>
        <v>1.0084151134283683</v>
      </c>
      <c r="U47" s="15">
        <f t="shared" si="7"/>
        <v>1.0126948767086998</v>
      </c>
      <c r="V47" s="15">
        <f t="shared" si="8"/>
        <v>1.0097872275192996</v>
      </c>
    </row>
    <row r="48" spans="1:22" x14ac:dyDescent="0.25">
      <c r="A48" s="6">
        <v>44778</v>
      </c>
      <c r="B48" s="10">
        <v>1.7116</v>
      </c>
      <c r="C48" s="10">
        <v>2.4657</v>
      </c>
      <c r="D48" s="10">
        <v>2.7339000000000002</v>
      </c>
      <c r="E48" s="10">
        <v>3.2319</v>
      </c>
      <c r="F48" s="10">
        <v>1.9325000000000001</v>
      </c>
      <c r="G48" s="10">
        <v>2.4607000000000001</v>
      </c>
      <c r="H48" s="11">
        <v>1.4</v>
      </c>
      <c r="J48" s="8">
        <v>44778</v>
      </c>
      <c r="K48" s="11">
        <v>1721.2356</v>
      </c>
      <c r="L48" s="11">
        <v>2312.0686000000001</v>
      </c>
      <c r="M48" s="11">
        <v>2860.5023999999999</v>
      </c>
      <c r="N48" s="11">
        <v>3025.9544999999998</v>
      </c>
      <c r="O48" s="3" t="e">
        <f t="shared" si="1"/>
        <v>#VALUE!</v>
      </c>
      <c r="P48" s="3">
        <f t="shared" si="2"/>
        <v>8.6795785746585086E-3</v>
      </c>
      <c r="Q48" s="3">
        <f t="shared" si="3"/>
        <v>1.3336531985893796E-2</v>
      </c>
      <c r="R48" s="3">
        <f t="shared" si="4"/>
        <v>1.0605910770839611E-2</v>
      </c>
      <c r="S48" s="15" t="e">
        <f t="shared" si="5"/>
        <v>#VALUE!</v>
      </c>
      <c r="T48" s="15">
        <f t="shared" si="6"/>
        <v>1.0086795785746585</v>
      </c>
      <c r="U48" s="15">
        <f t="shared" si="7"/>
        <v>1.0133365319858938</v>
      </c>
      <c r="V48" s="15">
        <f t="shared" si="8"/>
        <v>1.0106059107708396</v>
      </c>
    </row>
    <row r="49" spans="1:22" x14ac:dyDescent="0.25">
      <c r="A49" s="6">
        <v>44781</v>
      </c>
      <c r="B49" s="10">
        <v>1.7316</v>
      </c>
      <c r="C49" s="10">
        <v>2.4714999999999998</v>
      </c>
      <c r="D49" s="10">
        <v>2.7408999999999999</v>
      </c>
      <c r="E49" s="10">
        <v>3.2416</v>
      </c>
      <c r="F49" s="10">
        <v>1.9383999999999999</v>
      </c>
      <c r="G49" s="10">
        <v>2.4742000000000002</v>
      </c>
      <c r="H49" s="11">
        <v>1.37</v>
      </c>
      <c r="J49" s="8">
        <v>44781</v>
      </c>
      <c r="K49" s="11">
        <v>1721.4050999999999</v>
      </c>
      <c r="L49" s="11">
        <v>2312.1561000000002</v>
      </c>
      <c r="M49" s="11">
        <v>2862.0183000000002</v>
      </c>
      <c r="N49" s="11">
        <v>3026.9295000000002</v>
      </c>
      <c r="O49" s="3" t="e">
        <f t="shared" si="1"/>
        <v>#VALUE!</v>
      </c>
      <c r="P49" s="3">
        <f t="shared" si="2"/>
        <v>8.7177519502779077E-3</v>
      </c>
      <c r="Q49" s="3">
        <f t="shared" si="3"/>
        <v>1.3873541445783566E-2</v>
      </c>
      <c r="R49" s="3">
        <f t="shared" si="4"/>
        <v>1.0931540506184945E-2</v>
      </c>
      <c r="S49" s="15" t="e">
        <f t="shared" si="5"/>
        <v>#VALUE!</v>
      </c>
      <c r="T49" s="15">
        <f t="shared" si="6"/>
        <v>1.0087177519502779</v>
      </c>
      <c r="U49" s="15">
        <f t="shared" si="7"/>
        <v>1.0138735414457836</v>
      </c>
      <c r="V49" s="15">
        <f t="shared" si="8"/>
        <v>1.0109315405061849</v>
      </c>
    </row>
    <row r="50" spans="1:22" x14ac:dyDescent="0.25">
      <c r="A50" s="6">
        <v>44782</v>
      </c>
      <c r="B50" s="10">
        <v>1.7886</v>
      </c>
      <c r="C50" s="10">
        <v>2.4889000000000001</v>
      </c>
      <c r="D50" s="10">
        <v>2.74</v>
      </c>
      <c r="E50" s="10">
        <v>3.2440000000000002</v>
      </c>
      <c r="F50" s="10">
        <v>1.9787999999999999</v>
      </c>
      <c r="G50" s="10">
        <v>2.5030999999999999</v>
      </c>
      <c r="H50" s="11">
        <v>1.3736999999999999</v>
      </c>
      <c r="J50" s="8">
        <v>44782</v>
      </c>
      <c r="K50" s="11">
        <v>1721.0643</v>
      </c>
      <c r="L50" s="11">
        <v>2311.2469999999998</v>
      </c>
      <c r="M50" s="11">
        <v>2861.7370000000001</v>
      </c>
      <c r="N50" s="11">
        <v>3026.3697000000002</v>
      </c>
      <c r="O50" s="3" t="e">
        <f t="shared" si="1"/>
        <v>#VALUE!</v>
      </c>
      <c r="P50" s="3">
        <f t="shared" si="2"/>
        <v>8.3211414842725429E-3</v>
      </c>
      <c r="Q50" s="3">
        <f t="shared" si="3"/>
        <v>1.3773890571011416E-2</v>
      </c>
      <c r="R50" s="3">
        <f t="shared" si="4"/>
        <v>1.0744578941214389E-2</v>
      </c>
      <c r="S50" s="15" t="e">
        <f t="shared" si="5"/>
        <v>#VALUE!</v>
      </c>
      <c r="T50" s="15">
        <f t="shared" si="6"/>
        <v>1.0083211414842725</v>
      </c>
      <c r="U50" s="15">
        <f t="shared" si="7"/>
        <v>1.0137738905710114</v>
      </c>
      <c r="V50" s="15">
        <f t="shared" si="8"/>
        <v>1.0107445789412144</v>
      </c>
    </row>
    <row r="51" spans="1:22" x14ac:dyDescent="0.25">
      <c r="A51" s="6">
        <v>44783</v>
      </c>
      <c r="B51" s="10">
        <v>1.8136000000000001</v>
      </c>
      <c r="C51" s="10">
        <v>2.4914000000000001</v>
      </c>
      <c r="D51" s="10">
        <v>2.7366000000000001</v>
      </c>
      <c r="E51" s="10">
        <v>3.242</v>
      </c>
      <c r="F51" s="10">
        <v>1.9872000000000001</v>
      </c>
      <c r="G51" s="10">
        <v>2.4984999999999999</v>
      </c>
      <c r="H51" s="11">
        <v>1.4</v>
      </c>
      <c r="J51" s="8">
        <v>44783</v>
      </c>
      <c r="K51" s="11">
        <v>1721.0308</v>
      </c>
      <c r="L51" s="11">
        <v>2311.0958000000001</v>
      </c>
      <c r="M51" s="11">
        <v>2860.9027999999998</v>
      </c>
      <c r="N51" s="11">
        <v>3025.4450000000002</v>
      </c>
      <c r="O51" s="3" t="e">
        <f t="shared" si="1"/>
        <v>#VALUE!</v>
      </c>
      <c r="P51" s="3">
        <f t="shared" si="2"/>
        <v>8.2551778912025586E-3</v>
      </c>
      <c r="Q51" s="3">
        <f t="shared" si="3"/>
        <v>1.3478374183756303E-2</v>
      </c>
      <c r="R51" s="3">
        <f t="shared" si="4"/>
        <v>1.0435748360420938E-2</v>
      </c>
      <c r="S51" s="15" t="e">
        <f t="shared" si="5"/>
        <v>#VALUE!</v>
      </c>
      <c r="T51" s="15">
        <f t="shared" si="6"/>
        <v>1.0082551778912026</v>
      </c>
      <c r="U51" s="15">
        <f t="shared" si="7"/>
        <v>1.0134783741837563</v>
      </c>
      <c r="V51" s="15">
        <f t="shared" si="8"/>
        <v>1.0104357483604209</v>
      </c>
    </row>
    <row r="52" spans="1:22" x14ac:dyDescent="0.25">
      <c r="A52" s="6">
        <v>44784</v>
      </c>
      <c r="B52" s="10">
        <v>1.8161</v>
      </c>
      <c r="C52" s="10">
        <v>2.4839000000000002</v>
      </c>
      <c r="D52" s="10">
        <v>2.7317</v>
      </c>
      <c r="E52" s="10">
        <v>3.2403</v>
      </c>
      <c r="F52" s="10">
        <v>2.0097</v>
      </c>
      <c r="G52" s="10">
        <v>2.5150000000000001</v>
      </c>
      <c r="H52" s="11">
        <v>1.4</v>
      </c>
      <c r="J52" s="8">
        <v>44784</v>
      </c>
      <c r="K52" s="11">
        <v>1720.8567</v>
      </c>
      <c r="L52" s="11">
        <v>2310.6624000000002</v>
      </c>
      <c r="M52" s="11">
        <v>2862.4097000000002</v>
      </c>
      <c r="N52" s="11">
        <v>3026.8395</v>
      </c>
      <c r="O52" s="3" t="e">
        <f t="shared" si="1"/>
        <v>#VALUE!</v>
      </c>
      <c r="P52" s="3">
        <f t="shared" si="2"/>
        <v>8.0660997084209818E-3</v>
      </c>
      <c r="Q52" s="3">
        <f t="shared" si="3"/>
        <v>1.4012195382455461E-2</v>
      </c>
      <c r="R52" s="3">
        <f t="shared" si="4"/>
        <v>1.0901482376768357E-2</v>
      </c>
      <c r="S52" s="15" t="e">
        <f t="shared" si="5"/>
        <v>#VALUE!</v>
      </c>
      <c r="T52" s="15">
        <f t="shared" si="6"/>
        <v>1.008066099708421</v>
      </c>
      <c r="U52" s="15">
        <f t="shared" si="7"/>
        <v>1.0140121953824555</v>
      </c>
      <c r="V52" s="15">
        <f t="shared" si="8"/>
        <v>1.0109014823767684</v>
      </c>
    </row>
    <row r="53" spans="1:22" x14ac:dyDescent="0.25">
      <c r="A53" s="6">
        <v>44785</v>
      </c>
      <c r="B53" s="10">
        <v>1.8115000000000001</v>
      </c>
      <c r="C53" s="10">
        <v>2.4891999999999999</v>
      </c>
      <c r="D53" s="10">
        <v>2.7347000000000001</v>
      </c>
      <c r="E53" s="10">
        <v>3.2422</v>
      </c>
      <c r="F53" s="10">
        <v>2.0114999999999998</v>
      </c>
      <c r="G53" s="10">
        <v>2.5156000000000001</v>
      </c>
      <c r="H53" s="11">
        <v>1.45</v>
      </c>
      <c r="J53" s="8">
        <v>44785</v>
      </c>
      <c r="K53" s="11">
        <v>1720.88</v>
      </c>
      <c r="L53" s="11">
        <v>2310.6111999999998</v>
      </c>
      <c r="M53" s="11">
        <v>2861.9274</v>
      </c>
      <c r="N53" s="11">
        <v>3026.8015</v>
      </c>
      <c r="O53" s="3" t="e">
        <f t="shared" si="1"/>
        <v>#VALUE!</v>
      </c>
      <c r="P53" s="3">
        <f t="shared" si="2"/>
        <v>8.0437628303442477E-3</v>
      </c>
      <c r="Q53" s="3">
        <f t="shared" si="3"/>
        <v>1.3841340007757275E-2</v>
      </c>
      <c r="R53" s="3">
        <f t="shared" si="4"/>
        <v>1.0888791166570266E-2</v>
      </c>
      <c r="S53" s="15" t="e">
        <f t="shared" si="5"/>
        <v>#VALUE!</v>
      </c>
      <c r="T53" s="15">
        <f t="shared" si="6"/>
        <v>1.0080437628303442</v>
      </c>
      <c r="U53" s="15">
        <f t="shared" si="7"/>
        <v>1.0138413400077573</v>
      </c>
      <c r="V53" s="15">
        <f t="shared" si="8"/>
        <v>1.0108887911665703</v>
      </c>
    </row>
    <row r="54" spans="1:22" x14ac:dyDescent="0.25">
      <c r="A54" s="6">
        <v>44788</v>
      </c>
      <c r="B54" s="10">
        <v>1.7166999999999999</v>
      </c>
      <c r="C54" s="10">
        <v>2.395</v>
      </c>
      <c r="D54" s="10">
        <v>2.6581999999999999</v>
      </c>
      <c r="E54" s="10">
        <v>3.1882999999999999</v>
      </c>
      <c r="F54" s="10">
        <v>1.9164000000000001</v>
      </c>
      <c r="G54" s="10">
        <v>2.4180000000000001</v>
      </c>
      <c r="H54" s="11">
        <v>1.41</v>
      </c>
      <c r="J54" s="8">
        <v>44788</v>
      </c>
      <c r="K54" s="11">
        <v>1722.096</v>
      </c>
      <c r="L54" s="11">
        <v>2313.4569000000001</v>
      </c>
      <c r="M54" s="11">
        <v>2866.3389000000002</v>
      </c>
      <c r="N54" s="11">
        <v>3030.4126000000001</v>
      </c>
      <c r="O54" s="3" t="e">
        <f t="shared" si="1"/>
        <v>#VALUE!</v>
      </c>
      <c r="P54" s="3">
        <f t="shared" si="2"/>
        <v>9.2852482589125263E-3</v>
      </c>
      <c r="Q54" s="3">
        <f t="shared" si="3"/>
        <v>1.5404119368073843E-2</v>
      </c>
      <c r="R54" s="3">
        <f t="shared" si="4"/>
        <v>1.2094823512524222E-2</v>
      </c>
      <c r="S54" s="15" t="e">
        <f t="shared" si="5"/>
        <v>#VALUE!</v>
      </c>
      <c r="T54" s="15">
        <f t="shared" si="6"/>
        <v>1.0092852482589125</v>
      </c>
      <c r="U54" s="15">
        <f t="shared" si="7"/>
        <v>1.0154041193680738</v>
      </c>
      <c r="V54" s="15">
        <f t="shared" si="8"/>
        <v>1.0120948235125242</v>
      </c>
    </row>
    <row r="55" spans="1:22" x14ac:dyDescent="0.25">
      <c r="A55" s="6">
        <v>44789</v>
      </c>
      <c r="B55" s="10">
        <v>1.7199</v>
      </c>
      <c r="C55" s="10">
        <v>2.3828</v>
      </c>
      <c r="D55" s="10">
        <v>2.6345999999999998</v>
      </c>
      <c r="E55" s="10">
        <v>3.1758999999999999</v>
      </c>
      <c r="F55" s="10">
        <v>1.8896999999999999</v>
      </c>
      <c r="G55" s="10">
        <v>2.3929999999999998</v>
      </c>
      <c r="H55" s="11">
        <v>1.4</v>
      </c>
      <c r="J55" s="8">
        <v>44789</v>
      </c>
      <c r="K55" s="11">
        <v>1722.6461999999999</v>
      </c>
      <c r="L55" s="11">
        <v>2314.6822999999999</v>
      </c>
      <c r="M55" s="11">
        <v>2868.4929999999999</v>
      </c>
      <c r="N55" s="11">
        <v>3032.0830000000001</v>
      </c>
      <c r="O55" s="3" t="e">
        <f t="shared" si="1"/>
        <v>#VALUE!</v>
      </c>
      <c r="P55" s="3">
        <f t="shared" si="2"/>
        <v>9.8198500244419673E-3</v>
      </c>
      <c r="Q55" s="3">
        <f t="shared" si="3"/>
        <v>1.6167211971509721E-2</v>
      </c>
      <c r="R55" s="3">
        <f t="shared" si="4"/>
        <v>1.2652702394494009E-2</v>
      </c>
      <c r="S55" s="15" t="e">
        <f t="shared" si="5"/>
        <v>#VALUE!</v>
      </c>
      <c r="T55" s="15">
        <f t="shared" si="6"/>
        <v>1.009819850024442</v>
      </c>
      <c r="U55" s="15">
        <f t="shared" si="7"/>
        <v>1.0161672119715097</v>
      </c>
      <c r="V55" s="15">
        <f t="shared" si="8"/>
        <v>1.012652702394494</v>
      </c>
    </row>
    <row r="56" spans="1:22" x14ac:dyDescent="0.25">
      <c r="A56" s="6">
        <v>44790</v>
      </c>
      <c r="B56" s="10">
        <v>1.7190000000000001</v>
      </c>
      <c r="C56" s="10">
        <v>2.3801000000000001</v>
      </c>
      <c r="D56" s="10">
        <v>2.6124000000000001</v>
      </c>
      <c r="E56" s="10">
        <v>3.1709000000000001</v>
      </c>
      <c r="F56" s="10">
        <v>1.9046000000000001</v>
      </c>
      <c r="G56" s="10">
        <v>2.4129999999999998</v>
      </c>
      <c r="H56" s="11">
        <v>1.5</v>
      </c>
      <c r="J56" s="8">
        <v>44790</v>
      </c>
      <c r="K56" s="11">
        <v>1722.7555</v>
      </c>
      <c r="L56" s="11">
        <v>2314.7302</v>
      </c>
      <c r="M56" s="11">
        <v>2869.2842000000001</v>
      </c>
      <c r="N56" s="11">
        <v>3032.7287999999999</v>
      </c>
      <c r="O56" s="3" t="e">
        <f t="shared" si="1"/>
        <v>#VALUE!</v>
      </c>
      <c r="P56" s="3">
        <f t="shared" si="2"/>
        <v>9.8407472209236513E-3</v>
      </c>
      <c r="Q56" s="3">
        <f t="shared" si="3"/>
        <v>1.644749555529823E-2</v>
      </c>
      <c r="R56" s="3">
        <f t="shared" si="4"/>
        <v>1.286838617201802E-2</v>
      </c>
      <c r="S56" s="15" t="e">
        <f t="shared" si="5"/>
        <v>#VALUE!</v>
      </c>
      <c r="T56" s="15">
        <f t="shared" si="6"/>
        <v>1.0098407472209237</v>
      </c>
      <c r="U56" s="15">
        <f t="shared" si="7"/>
        <v>1.0164474955552982</v>
      </c>
      <c r="V56" s="15">
        <f t="shared" si="8"/>
        <v>1.012868386172018</v>
      </c>
    </row>
    <row r="57" spans="1:22" x14ac:dyDescent="0.25">
      <c r="A57" s="6">
        <v>44791</v>
      </c>
      <c r="B57" s="10">
        <v>1.7003999999999999</v>
      </c>
      <c r="C57" s="10">
        <v>2.3578000000000001</v>
      </c>
      <c r="D57" s="10">
        <v>2.58</v>
      </c>
      <c r="E57" s="10">
        <v>3.1377999999999999</v>
      </c>
      <c r="F57" s="10">
        <v>1.8854</v>
      </c>
      <c r="G57" s="10">
        <v>2.3957000000000002</v>
      </c>
      <c r="H57" s="11">
        <v>1.5</v>
      </c>
      <c r="J57" s="8">
        <v>44791</v>
      </c>
      <c r="K57" s="11">
        <v>1723.0975000000001</v>
      </c>
      <c r="L57" s="11">
        <v>2315.4837000000002</v>
      </c>
      <c r="M57" s="11">
        <v>2868.9784</v>
      </c>
      <c r="N57" s="11">
        <v>3032.6120000000001</v>
      </c>
      <c r="O57" s="3" t="e">
        <f t="shared" si="1"/>
        <v>#VALUE!</v>
      </c>
      <c r="P57" s="3">
        <f t="shared" si="2"/>
        <v>1.0169474518399335E-2</v>
      </c>
      <c r="Q57" s="3">
        <f t="shared" si="3"/>
        <v>1.6339165525062427E-2</v>
      </c>
      <c r="R57" s="3">
        <f t="shared" si="4"/>
        <v>1.2829377399619757E-2</v>
      </c>
      <c r="S57" s="15" t="e">
        <f t="shared" si="5"/>
        <v>#VALUE!</v>
      </c>
      <c r="T57" s="15">
        <f t="shared" si="6"/>
        <v>1.0101694745183993</v>
      </c>
      <c r="U57" s="15">
        <f t="shared" si="7"/>
        <v>1.0163391655250624</v>
      </c>
      <c r="V57" s="15">
        <f t="shared" si="8"/>
        <v>1.0128293773996198</v>
      </c>
    </row>
    <row r="58" spans="1:22" x14ac:dyDescent="0.25">
      <c r="A58" s="6">
        <v>44792</v>
      </c>
      <c r="B58" s="10">
        <v>1.7248000000000001</v>
      </c>
      <c r="C58" s="10">
        <v>2.3708</v>
      </c>
      <c r="D58" s="10">
        <v>2.5874999999999999</v>
      </c>
      <c r="E58" s="10">
        <v>3.1141000000000001</v>
      </c>
      <c r="F58" s="10">
        <v>1.8878999999999999</v>
      </c>
      <c r="G58" s="10">
        <v>2.3975</v>
      </c>
      <c r="H58" s="11">
        <v>1.5</v>
      </c>
      <c r="J58" s="8">
        <v>44792</v>
      </c>
      <c r="K58" s="11">
        <v>1723.1786</v>
      </c>
      <c r="L58" s="11">
        <v>2316.4045999999998</v>
      </c>
      <c r="M58" s="11">
        <v>2867.3445000000002</v>
      </c>
      <c r="N58" s="11">
        <v>3032.5459999999998</v>
      </c>
      <c r="O58" s="3" t="e">
        <f t="shared" si="1"/>
        <v>#VALUE!</v>
      </c>
      <c r="P58" s="3">
        <f t="shared" si="2"/>
        <v>1.0571232936773756E-2</v>
      </c>
      <c r="Q58" s="3">
        <f t="shared" si="3"/>
        <v>1.5760354418449918E-2</v>
      </c>
      <c r="R58" s="3">
        <f t="shared" si="4"/>
        <v>1.2807334771381074E-2</v>
      </c>
      <c r="S58" s="15" t="e">
        <f t="shared" si="5"/>
        <v>#VALUE!</v>
      </c>
      <c r="T58" s="15">
        <f t="shared" si="6"/>
        <v>1.0105712329367738</v>
      </c>
      <c r="U58" s="15">
        <f t="shared" si="7"/>
        <v>1.0157603544184499</v>
      </c>
      <c r="V58" s="15">
        <f t="shared" si="8"/>
        <v>1.0128073347713811</v>
      </c>
    </row>
    <row r="59" spans="1:22" x14ac:dyDescent="0.25">
      <c r="A59" s="6">
        <v>44795</v>
      </c>
      <c r="B59" s="10">
        <v>1.7569999999999999</v>
      </c>
      <c r="C59" s="10">
        <v>2.3967000000000001</v>
      </c>
      <c r="D59" s="10">
        <v>2.5924999999999998</v>
      </c>
      <c r="E59" s="10">
        <v>3.0985</v>
      </c>
      <c r="F59" s="10">
        <v>1.9004000000000001</v>
      </c>
      <c r="G59" s="10">
        <v>2.4028999999999998</v>
      </c>
      <c r="H59" s="11">
        <v>1.5</v>
      </c>
      <c r="J59" s="8">
        <v>44795</v>
      </c>
      <c r="K59" s="11">
        <v>1723.3377</v>
      </c>
      <c r="L59" s="11">
        <v>2316.4459999999999</v>
      </c>
      <c r="M59" s="11">
        <v>2868.8254999999999</v>
      </c>
      <c r="N59" s="11">
        <v>3033.8512000000001</v>
      </c>
      <c r="O59" s="3" t="e">
        <f t="shared" si="1"/>
        <v>#VALUE!</v>
      </c>
      <c r="P59" s="3">
        <f t="shared" si="2"/>
        <v>1.0589294396781135E-2</v>
      </c>
      <c r="Q59" s="3">
        <f t="shared" si="3"/>
        <v>1.6285000509944636E-2</v>
      </c>
      <c r="R59" s="3">
        <f t="shared" si="4"/>
        <v>1.3243244443763125E-2</v>
      </c>
      <c r="S59" s="15" t="e">
        <f t="shared" si="5"/>
        <v>#VALUE!</v>
      </c>
      <c r="T59" s="15">
        <f t="shared" si="6"/>
        <v>1.0105892943967811</v>
      </c>
      <c r="U59" s="15">
        <f t="shared" si="7"/>
        <v>1.0162850005099446</v>
      </c>
      <c r="V59" s="15">
        <f t="shared" si="8"/>
        <v>1.0132432444437631</v>
      </c>
    </row>
    <row r="60" spans="1:22" x14ac:dyDescent="0.25">
      <c r="A60" s="6">
        <v>44796</v>
      </c>
      <c r="B60" s="10">
        <v>1.7571000000000001</v>
      </c>
      <c r="C60" s="10">
        <v>2.4091</v>
      </c>
      <c r="D60" s="10">
        <v>2.6074999999999999</v>
      </c>
      <c r="E60" s="10">
        <v>3.1105</v>
      </c>
      <c r="F60" s="10">
        <v>1.9159999999999999</v>
      </c>
      <c r="G60" s="10">
        <v>2.4220999999999999</v>
      </c>
      <c r="H60" s="11">
        <v>1.45</v>
      </c>
      <c r="J60" s="8">
        <v>44796</v>
      </c>
      <c r="K60" s="11">
        <v>1723.2203</v>
      </c>
      <c r="L60" s="11">
        <v>2315.9713000000002</v>
      </c>
      <c r="M60" s="11">
        <v>2868.4087</v>
      </c>
      <c r="N60" s="11">
        <v>3033.1617999999999</v>
      </c>
      <c r="O60" s="3" t="e">
        <f t="shared" si="1"/>
        <v>#VALUE!</v>
      </c>
      <c r="P60" s="3">
        <f t="shared" si="2"/>
        <v>1.0382198380707308E-2</v>
      </c>
      <c r="Q60" s="3">
        <f t="shared" si="3"/>
        <v>1.6137348591690026E-2</v>
      </c>
      <c r="R60" s="3">
        <f t="shared" si="4"/>
        <v>1.3012999172432815E-2</v>
      </c>
      <c r="S60" s="15" t="e">
        <f t="shared" si="5"/>
        <v>#VALUE!</v>
      </c>
      <c r="T60" s="15">
        <f t="shared" si="6"/>
        <v>1.0103821983807073</v>
      </c>
      <c r="U60" s="15">
        <f t="shared" si="7"/>
        <v>1.01613734859169</v>
      </c>
      <c r="V60" s="15">
        <f t="shared" si="8"/>
        <v>1.0130129991724328</v>
      </c>
    </row>
    <row r="61" spans="1:22" x14ac:dyDescent="0.25">
      <c r="A61" s="6">
        <v>44797</v>
      </c>
      <c r="B61" s="10">
        <v>1.7496</v>
      </c>
      <c r="C61" s="10">
        <v>2.4121999999999999</v>
      </c>
      <c r="D61" s="10">
        <v>2.61</v>
      </c>
      <c r="E61" s="10">
        <v>3.1128999999999998</v>
      </c>
      <c r="F61" s="10">
        <v>1.9149</v>
      </c>
      <c r="G61" s="10">
        <v>2.4222000000000001</v>
      </c>
      <c r="H61" s="11">
        <v>1.45</v>
      </c>
      <c r="J61" s="8">
        <v>44797</v>
      </c>
      <c r="K61" s="11">
        <v>1723.1292000000001</v>
      </c>
      <c r="L61" s="11">
        <v>2315.8182999999999</v>
      </c>
      <c r="M61" s="11">
        <v>2863.3283999999999</v>
      </c>
      <c r="N61" s="11">
        <v>3030.0336000000002</v>
      </c>
      <c r="O61" s="3" t="e">
        <f t="shared" si="1"/>
        <v>#VALUE!</v>
      </c>
      <c r="P61" s="3">
        <f t="shared" si="2"/>
        <v>1.0315449506767216E-2</v>
      </c>
      <c r="Q61" s="3">
        <f t="shared" si="3"/>
        <v>1.4337645999778825E-2</v>
      </c>
      <c r="R61" s="3">
        <f t="shared" si="4"/>
        <v>1.196824538975938E-2</v>
      </c>
      <c r="S61" s="15" t="e">
        <f t="shared" si="5"/>
        <v>#VALUE!</v>
      </c>
      <c r="T61" s="15">
        <f t="shared" si="6"/>
        <v>1.0103154495067672</v>
      </c>
      <c r="U61" s="15">
        <f t="shared" si="7"/>
        <v>1.0143376459997788</v>
      </c>
      <c r="V61" s="15">
        <f t="shared" si="8"/>
        <v>1.0119682453897594</v>
      </c>
    </row>
    <row r="62" spans="1:22" x14ac:dyDescent="0.25">
      <c r="A62" s="6">
        <v>44798</v>
      </c>
      <c r="B62" s="10">
        <v>1.7911999999999999</v>
      </c>
      <c r="C62" s="10">
        <v>2.4447999999999999</v>
      </c>
      <c r="D62" s="10">
        <v>2.6389999999999998</v>
      </c>
      <c r="E62" s="10">
        <v>3.1425999999999998</v>
      </c>
      <c r="F62" s="10">
        <v>1.9400999999999999</v>
      </c>
      <c r="G62" s="10">
        <v>2.4443000000000001</v>
      </c>
      <c r="H62" s="11">
        <v>1.7</v>
      </c>
      <c r="J62" s="8">
        <v>44798</v>
      </c>
      <c r="K62" s="11">
        <v>1722.8231000000001</v>
      </c>
      <c r="L62" s="11">
        <v>2314.8634999999999</v>
      </c>
      <c r="M62" s="11">
        <v>2861.9173999999998</v>
      </c>
      <c r="N62" s="11">
        <v>3029.1210999999998</v>
      </c>
      <c r="O62" s="3" t="e">
        <f t="shared" si="1"/>
        <v>#VALUE!</v>
      </c>
      <c r="P62" s="3">
        <f t="shared" si="2"/>
        <v>9.8989016320099044E-3</v>
      </c>
      <c r="Q62" s="3">
        <f t="shared" si="3"/>
        <v>1.3837797495323212E-2</v>
      </c>
      <c r="R62" s="3">
        <f t="shared" si="4"/>
        <v>1.1663489355397738E-2</v>
      </c>
      <c r="S62" s="15" t="e">
        <f t="shared" si="5"/>
        <v>#VALUE!</v>
      </c>
      <c r="T62" s="15">
        <f t="shared" si="6"/>
        <v>1.0098989016320099</v>
      </c>
      <c r="U62" s="15">
        <f t="shared" si="7"/>
        <v>1.0138377974953232</v>
      </c>
      <c r="V62" s="15">
        <f t="shared" si="8"/>
        <v>1.0116634893553977</v>
      </c>
    </row>
    <row r="63" spans="1:22" x14ac:dyDescent="0.25">
      <c r="A63" s="6">
        <v>44799</v>
      </c>
      <c r="B63" s="10">
        <v>1.7922</v>
      </c>
      <c r="C63" s="10">
        <v>2.4432999999999998</v>
      </c>
      <c r="D63" s="10">
        <v>2.6429999999999998</v>
      </c>
      <c r="E63" s="10">
        <v>3.1438999999999999</v>
      </c>
      <c r="F63" s="10">
        <v>1.9569000000000001</v>
      </c>
      <c r="G63" s="10">
        <v>2.4535999999999998</v>
      </c>
      <c r="H63" s="11">
        <v>1.8</v>
      </c>
      <c r="J63" s="8">
        <v>44799</v>
      </c>
      <c r="K63" s="11">
        <v>1722.63</v>
      </c>
      <c r="L63" s="11">
        <v>2314.3665999999998</v>
      </c>
      <c r="M63" s="11">
        <v>2860.5641000000001</v>
      </c>
      <c r="N63" s="11">
        <v>3028.0749000000001</v>
      </c>
      <c r="O63" s="3" t="e">
        <f t="shared" si="1"/>
        <v>#VALUE!</v>
      </c>
      <c r="P63" s="3">
        <f t="shared" si="2"/>
        <v>9.6821204852075571E-3</v>
      </c>
      <c r="Q63" s="3">
        <f t="shared" si="3"/>
        <v>1.3358389287612349E-2</v>
      </c>
      <c r="R63" s="3">
        <f t="shared" si="4"/>
        <v>1.1314080299891893E-2</v>
      </c>
      <c r="S63" s="15" t="e">
        <f t="shared" si="5"/>
        <v>#VALUE!</v>
      </c>
      <c r="T63" s="15">
        <f t="shared" si="6"/>
        <v>1.0096821204852076</v>
      </c>
      <c r="U63" s="15">
        <f t="shared" si="7"/>
        <v>1.0133583892876123</v>
      </c>
      <c r="V63" s="15">
        <f t="shared" si="8"/>
        <v>1.0113140802998919</v>
      </c>
    </row>
    <row r="64" spans="1:22" x14ac:dyDescent="0.25">
      <c r="A64" s="6">
        <v>44802</v>
      </c>
      <c r="B64" s="10">
        <v>1.7561</v>
      </c>
      <c r="C64" s="10">
        <v>2.4129999999999998</v>
      </c>
      <c r="D64" s="10">
        <v>2.6225000000000001</v>
      </c>
      <c r="E64" s="10">
        <v>3.1234999999999999</v>
      </c>
      <c r="F64" s="10">
        <v>1.9410000000000001</v>
      </c>
      <c r="G64" s="10">
        <v>2.4436</v>
      </c>
      <c r="H64" s="11">
        <v>1.8</v>
      </c>
      <c r="J64" s="8">
        <v>44802</v>
      </c>
      <c r="K64" s="11">
        <v>1722.9448</v>
      </c>
      <c r="L64" s="11">
        <v>2315.1518000000001</v>
      </c>
      <c r="M64" s="11">
        <v>2860.9812999999999</v>
      </c>
      <c r="N64" s="11">
        <v>3028.7125999999998</v>
      </c>
      <c r="O64" s="3" t="e">
        <f t="shared" si="1"/>
        <v>#VALUE!</v>
      </c>
      <c r="P64" s="3">
        <f t="shared" si="2"/>
        <v>1.0024677451336172E-2</v>
      </c>
      <c r="Q64" s="3">
        <f t="shared" si="3"/>
        <v>1.3506182906364295E-2</v>
      </c>
      <c r="R64" s="3">
        <f t="shared" si="4"/>
        <v>1.1527058845768545E-2</v>
      </c>
      <c r="S64" s="15" t="e">
        <f t="shared" si="5"/>
        <v>#VALUE!</v>
      </c>
      <c r="T64" s="15">
        <f t="shared" si="6"/>
        <v>1.0100246774513362</v>
      </c>
      <c r="U64" s="15">
        <f t="shared" si="7"/>
        <v>1.0135061829063643</v>
      </c>
      <c r="V64" s="15">
        <f t="shared" si="8"/>
        <v>1.0115270588457685</v>
      </c>
    </row>
    <row r="65" spans="1:22" x14ac:dyDescent="0.25">
      <c r="A65" s="6">
        <v>44803</v>
      </c>
      <c r="B65" s="10">
        <v>1.7405999999999999</v>
      </c>
      <c r="C65" s="10">
        <v>2.4070999999999998</v>
      </c>
      <c r="D65" s="10">
        <v>2.613</v>
      </c>
      <c r="E65" s="10">
        <v>3.1162000000000001</v>
      </c>
      <c r="F65" s="10">
        <v>1.9260999999999999</v>
      </c>
      <c r="G65" s="10">
        <v>2.4211</v>
      </c>
      <c r="H65" s="11">
        <v>1.75</v>
      </c>
      <c r="J65" s="8">
        <v>44803</v>
      </c>
      <c r="K65" s="11">
        <v>1723.2427</v>
      </c>
      <c r="L65" s="11">
        <v>2315.7755000000002</v>
      </c>
      <c r="M65" s="11">
        <v>2860.6228999999998</v>
      </c>
      <c r="N65" s="11">
        <v>3028.7716</v>
      </c>
      <c r="O65" s="3" t="e">
        <f t="shared" si="1"/>
        <v>#VALUE!</v>
      </c>
      <c r="P65" s="3">
        <f t="shared" si="2"/>
        <v>1.0296777272750246E-2</v>
      </c>
      <c r="Q65" s="3">
        <f t="shared" si="3"/>
        <v>1.3379219260724939E-2</v>
      </c>
      <c r="R65" s="3">
        <f t="shared" si="4"/>
        <v>1.1546763619497025E-2</v>
      </c>
      <c r="S65" s="15" t="e">
        <f t="shared" si="5"/>
        <v>#VALUE!</v>
      </c>
      <c r="T65" s="15">
        <f t="shared" si="6"/>
        <v>1.0102967772727502</v>
      </c>
      <c r="U65" s="15">
        <f t="shared" si="7"/>
        <v>1.0133792192607249</v>
      </c>
      <c r="V65" s="15">
        <f t="shared" si="8"/>
        <v>1.011546763619497</v>
      </c>
    </row>
    <row r="66" spans="1:22" x14ac:dyDescent="0.25">
      <c r="A66" s="6">
        <v>44804</v>
      </c>
      <c r="B66" s="10">
        <v>1.7378</v>
      </c>
      <c r="C66" s="10">
        <v>2.4064999999999999</v>
      </c>
      <c r="D66" s="10">
        <v>2.6225000000000001</v>
      </c>
      <c r="E66" s="10">
        <v>3.1162000000000001</v>
      </c>
      <c r="F66" s="10">
        <v>1.9137999999999999</v>
      </c>
      <c r="G66" s="10">
        <v>2.4243999999999999</v>
      </c>
      <c r="H66" s="11">
        <v>1.7</v>
      </c>
      <c r="J66" s="8">
        <v>44804</v>
      </c>
      <c r="K66" s="11">
        <v>1723.4559999999999</v>
      </c>
      <c r="L66" s="11">
        <v>2316.1565000000001</v>
      </c>
      <c r="M66" s="11">
        <v>2857.7853</v>
      </c>
      <c r="N66" s="11">
        <v>3027.8434000000002</v>
      </c>
      <c r="O66" s="3" t="e">
        <f t="shared" si="1"/>
        <v>#VALUE!</v>
      </c>
      <c r="P66" s="3">
        <f t="shared" si="2"/>
        <v>1.0462995056875091E-2</v>
      </c>
      <c r="Q66" s="3">
        <f t="shared" si="3"/>
        <v>1.2373995932416282E-2</v>
      </c>
      <c r="R66" s="3">
        <f t="shared" si="4"/>
        <v>1.1236764111448583E-2</v>
      </c>
      <c r="S66" s="15" t="e">
        <f t="shared" si="5"/>
        <v>#VALUE!</v>
      </c>
      <c r="T66" s="15">
        <f t="shared" si="6"/>
        <v>1.0104629950568751</v>
      </c>
      <c r="U66" s="15">
        <f t="shared" si="7"/>
        <v>1.0123739959324163</v>
      </c>
      <c r="V66" s="15">
        <f t="shared" si="8"/>
        <v>1.0112367641114486</v>
      </c>
    </row>
    <row r="67" spans="1:22" x14ac:dyDescent="0.25">
      <c r="A67" s="6">
        <v>44805</v>
      </c>
      <c r="B67" s="10">
        <v>1.7242999999999999</v>
      </c>
      <c r="C67" s="10">
        <v>2.3965000000000001</v>
      </c>
      <c r="D67" s="10">
        <v>2.6124999999999998</v>
      </c>
      <c r="E67" s="10">
        <v>3.1032000000000002</v>
      </c>
      <c r="F67" s="10">
        <v>1.9044000000000001</v>
      </c>
      <c r="G67" s="10">
        <v>2.415</v>
      </c>
      <c r="H67" s="11">
        <v>1.5</v>
      </c>
      <c r="J67" s="8">
        <v>44805</v>
      </c>
      <c r="K67" s="11">
        <v>1723.6968999999999</v>
      </c>
      <c r="L67" s="11">
        <v>2316.7188999999998</v>
      </c>
      <c r="M67" s="11">
        <v>2857.8539999999998</v>
      </c>
      <c r="N67" s="11">
        <v>3028.0536999999999</v>
      </c>
      <c r="O67" s="3" t="e">
        <f t="shared" si="1"/>
        <v>#VALUE!</v>
      </c>
      <c r="P67" s="3">
        <f t="shared" si="2"/>
        <v>1.0708351701998131E-2</v>
      </c>
      <c r="Q67" s="3">
        <f t="shared" si="3"/>
        <v>1.2398332992838768E-2</v>
      </c>
      <c r="R67" s="3">
        <f t="shared" si="4"/>
        <v>1.1306999940518203E-2</v>
      </c>
      <c r="S67" s="15" t="e">
        <f t="shared" si="5"/>
        <v>#VALUE!</v>
      </c>
      <c r="T67" s="15">
        <f t="shared" si="6"/>
        <v>1.0107083517019981</v>
      </c>
      <c r="U67" s="15">
        <f t="shared" si="7"/>
        <v>1.0123983329928388</v>
      </c>
      <c r="V67" s="15">
        <f t="shared" si="8"/>
        <v>1.0113069999405182</v>
      </c>
    </row>
    <row r="68" spans="1:22" x14ac:dyDescent="0.25">
      <c r="A68" s="6">
        <v>44806</v>
      </c>
      <c r="B68" s="10">
        <v>1.7193000000000001</v>
      </c>
      <c r="C68" s="10">
        <v>2.4024000000000001</v>
      </c>
      <c r="D68" s="10">
        <v>2.6225999999999998</v>
      </c>
      <c r="E68" s="10">
        <v>3.1008</v>
      </c>
      <c r="F68" s="10">
        <v>1.8939999999999999</v>
      </c>
      <c r="G68" s="10">
        <v>2.4020999999999999</v>
      </c>
      <c r="H68" s="11">
        <v>1.5199</v>
      </c>
      <c r="J68" s="8">
        <v>44806</v>
      </c>
      <c r="K68" s="11">
        <v>1723.9417000000001</v>
      </c>
      <c r="L68" s="11">
        <v>2317.6401999999998</v>
      </c>
      <c r="M68" s="11">
        <v>2859.3018000000002</v>
      </c>
      <c r="N68" s="11">
        <v>3029.2953000000002</v>
      </c>
      <c r="O68" s="3" t="e">
        <f t="shared" ref="O68:O131" si="9">K68/$K$2-1</f>
        <v>#VALUE!</v>
      </c>
      <c r="P68" s="3">
        <f t="shared" ref="P68:P131" si="10">L68/$L$2-1</f>
        <v>1.1110284627232625E-2</v>
      </c>
      <c r="Q68" s="3">
        <f t="shared" ref="Q68:Q131" si="11">M68/$M$2-1</f>
        <v>1.2911217943052167E-2</v>
      </c>
      <c r="R68" s="3">
        <f t="shared" ref="R68:R131" si="12">N68/$N$2-1</f>
        <v>1.1721668534779406E-2</v>
      </c>
      <c r="S68" s="15" t="e">
        <f t="shared" ref="S68:S131" si="13">(O68+1)</f>
        <v>#VALUE!</v>
      </c>
      <c r="T68" s="15">
        <f t="shared" ref="T68:T131" si="14">(P68+1)</f>
        <v>1.0111102846272326</v>
      </c>
      <c r="U68" s="15">
        <f t="shared" ref="U68:U131" si="15">(Q68+1)</f>
        <v>1.0129112179430522</v>
      </c>
      <c r="V68" s="15">
        <f t="shared" ref="V68:V131" si="16">(R68+1)</f>
        <v>1.0117216685347794</v>
      </c>
    </row>
    <row r="69" spans="1:22" x14ac:dyDescent="0.25">
      <c r="A69" s="6">
        <v>44809</v>
      </c>
      <c r="B69" s="10">
        <v>1.7132000000000001</v>
      </c>
      <c r="C69" s="10">
        <v>2.3881999999999999</v>
      </c>
      <c r="D69" s="10">
        <v>2.6179999999999999</v>
      </c>
      <c r="E69" s="10">
        <v>3.09</v>
      </c>
      <c r="F69" s="10">
        <v>1.8845000000000001</v>
      </c>
      <c r="G69" s="10">
        <v>2.3971</v>
      </c>
      <c r="H69" s="11">
        <v>1.5</v>
      </c>
      <c r="J69" s="8">
        <v>44809</v>
      </c>
      <c r="K69" s="11">
        <v>1724.3643999999999</v>
      </c>
      <c r="L69" s="11">
        <v>2318.5104999999999</v>
      </c>
      <c r="M69" s="11">
        <v>2861.1801</v>
      </c>
      <c r="N69" s="11">
        <v>3030.7075</v>
      </c>
      <c r="O69" s="3" t="e">
        <f t="shared" si="9"/>
        <v>#VALUE!</v>
      </c>
      <c r="P69" s="3">
        <f t="shared" si="10"/>
        <v>1.1489967927820421E-2</v>
      </c>
      <c r="Q69" s="3">
        <f t="shared" si="11"/>
        <v>1.3576608053554873E-2</v>
      </c>
      <c r="R69" s="3">
        <f t="shared" si="12"/>
        <v>1.2193313983245524E-2</v>
      </c>
      <c r="S69" s="15" t="e">
        <f t="shared" si="13"/>
        <v>#VALUE!</v>
      </c>
      <c r="T69" s="15">
        <f t="shared" si="14"/>
        <v>1.0114899679278204</v>
      </c>
      <c r="U69" s="15">
        <f t="shared" si="15"/>
        <v>1.0135766080535549</v>
      </c>
      <c r="V69" s="15">
        <f t="shared" si="16"/>
        <v>1.0121933139832455</v>
      </c>
    </row>
    <row r="70" spans="1:22" x14ac:dyDescent="0.25">
      <c r="A70" s="6">
        <v>44810</v>
      </c>
      <c r="B70" s="10">
        <v>1.7126999999999999</v>
      </c>
      <c r="C70" s="10">
        <v>2.3835000000000002</v>
      </c>
      <c r="D70" s="10">
        <v>2.6139999999999999</v>
      </c>
      <c r="E70" s="10">
        <v>3.0846</v>
      </c>
      <c r="F70" s="10">
        <v>1.8845000000000001</v>
      </c>
      <c r="G70" s="10">
        <v>2.3942999999999999</v>
      </c>
      <c r="H70" s="11">
        <v>1.5</v>
      </c>
      <c r="J70" s="8">
        <v>44810</v>
      </c>
      <c r="K70" s="11">
        <v>1724.5836999999999</v>
      </c>
      <c r="L70" s="11">
        <v>2318.9742000000001</v>
      </c>
      <c r="M70" s="11">
        <v>2864.5686999999998</v>
      </c>
      <c r="N70" s="11">
        <v>3032.942</v>
      </c>
      <c r="O70" s="3" t="e">
        <f t="shared" si="9"/>
        <v>#VALUE!</v>
      </c>
      <c r="P70" s="3">
        <f t="shared" si="10"/>
        <v>1.1692265005245117E-2</v>
      </c>
      <c r="Q70" s="3">
        <f t="shared" si="11"/>
        <v>1.4777023816983981E-2</v>
      </c>
      <c r="R70" s="3">
        <f t="shared" si="12"/>
        <v>1.2939590540813617E-2</v>
      </c>
      <c r="S70" s="15" t="e">
        <f t="shared" si="13"/>
        <v>#VALUE!</v>
      </c>
      <c r="T70" s="15">
        <f t="shared" si="14"/>
        <v>1.0116922650052451</v>
      </c>
      <c r="U70" s="15">
        <f t="shared" si="15"/>
        <v>1.014777023816984</v>
      </c>
      <c r="V70" s="15">
        <f t="shared" si="16"/>
        <v>1.0129395905408136</v>
      </c>
    </row>
    <row r="71" spans="1:22" x14ac:dyDescent="0.25">
      <c r="A71" s="6">
        <v>44811</v>
      </c>
      <c r="B71" s="10">
        <v>1.7364999999999999</v>
      </c>
      <c r="C71" s="10">
        <v>2.3914</v>
      </c>
      <c r="D71" s="10">
        <v>2.6215000000000002</v>
      </c>
      <c r="E71" s="10">
        <v>3.0886999999999998</v>
      </c>
      <c r="F71" s="10">
        <v>1.8897999999999999</v>
      </c>
      <c r="G71" s="10">
        <v>2.3988</v>
      </c>
      <c r="H71" s="11">
        <v>1.51</v>
      </c>
      <c r="J71" s="8">
        <v>44811</v>
      </c>
      <c r="K71" s="11">
        <v>1724.7040999999999</v>
      </c>
      <c r="L71" s="11">
        <v>2319.1034</v>
      </c>
      <c r="M71" s="11">
        <v>2865.7894999999999</v>
      </c>
      <c r="N71" s="11">
        <v>3033.6124</v>
      </c>
      <c r="O71" s="3" t="e">
        <f t="shared" si="9"/>
        <v>#VALUE!</v>
      </c>
      <c r="P71" s="3">
        <f t="shared" si="10"/>
        <v>1.1748630721016617E-2</v>
      </c>
      <c r="Q71" s="3">
        <f t="shared" si="11"/>
        <v>1.5209493734942736E-2</v>
      </c>
      <c r="R71" s="3">
        <f t="shared" si="12"/>
        <v>1.316349020704477E-2</v>
      </c>
      <c r="S71" s="15" t="e">
        <f t="shared" si="13"/>
        <v>#VALUE!</v>
      </c>
      <c r="T71" s="15">
        <f t="shared" si="14"/>
        <v>1.0117486307210166</v>
      </c>
      <c r="U71" s="15">
        <f t="shared" si="15"/>
        <v>1.0152094937349427</v>
      </c>
      <c r="V71" s="15">
        <f t="shared" si="16"/>
        <v>1.0131634902070448</v>
      </c>
    </row>
    <row r="72" spans="1:22" x14ac:dyDescent="0.25">
      <c r="A72" s="6">
        <v>44812</v>
      </c>
      <c r="B72" s="10">
        <v>1.7490000000000001</v>
      </c>
      <c r="C72" s="10">
        <v>2.3986000000000001</v>
      </c>
      <c r="D72" s="10">
        <v>2.6255999999999999</v>
      </c>
      <c r="E72" s="10">
        <v>3.0901000000000001</v>
      </c>
      <c r="F72" s="10">
        <v>1.9059999999999999</v>
      </c>
      <c r="G72" s="10">
        <v>2.4121999999999999</v>
      </c>
      <c r="H72" s="11">
        <v>1.5</v>
      </c>
      <c r="J72" s="8">
        <v>44812</v>
      </c>
      <c r="K72" s="11">
        <v>1724.7892999999999</v>
      </c>
      <c r="L72" s="11">
        <v>2319.1514000000002</v>
      </c>
      <c r="M72" s="11">
        <v>2864.4038999999998</v>
      </c>
      <c r="N72" s="11">
        <v>3033.0641999999998</v>
      </c>
      <c r="O72" s="3" t="e">
        <f t="shared" si="9"/>
        <v>#VALUE!</v>
      </c>
      <c r="P72" s="3">
        <f t="shared" si="10"/>
        <v>1.1769571544213431E-2</v>
      </c>
      <c r="Q72" s="3">
        <f t="shared" si="11"/>
        <v>1.4718643212069615E-2</v>
      </c>
      <c r="R72" s="3">
        <f t="shared" si="12"/>
        <v>1.2980402800976787E-2</v>
      </c>
      <c r="S72" s="15" t="e">
        <f t="shared" si="13"/>
        <v>#VALUE!</v>
      </c>
      <c r="T72" s="15">
        <f t="shared" si="14"/>
        <v>1.0117695715442134</v>
      </c>
      <c r="U72" s="15">
        <f t="shared" si="15"/>
        <v>1.0147186432120696</v>
      </c>
      <c r="V72" s="15">
        <f t="shared" si="16"/>
        <v>1.0129804028009768</v>
      </c>
    </row>
    <row r="73" spans="1:22" x14ac:dyDescent="0.25">
      <c r="A73" s="6">
        <v>44813</v>
      </c>
      <c r="B73" s="10">
        <v>1.7597</v>
      </c>
      <c r="C73" s="10">
        <v>2.4184000000000001</v>
      </c>
      <c r="D73" s="10">
        <v>2.6349999999999998</v>
      </c>
      <c r="E73" s="10">
        <v>3.0981999999999998</v>
      </c>
      <c r="F73" s="10">
        <v>1.9135</v>
      </c>
      <c r="G73" s="10">
        <v>2.4201999999999999</v>
      </c>
      <c r="H73" s="11">
        <v>1.55</v>
      </c>
      <c r="J73" s="8">
        <v>44813</v>
      </c>
      <c r="K73" s="11">
        <v>1724.8083999999999</v>
      </c>
      <c r="L73" s="11">
        <v>2319.317</v>
      </c>
      <c r="M73" s="11">
        <v>2865.0808999999999</v>
      </c>
      <c r="N73" s="11">
        <v>3034.1475</v>
      </c>
      <c r="O73" s="3" t="e">
        <f t="shared" si="9"/>
        <v>#VALUE!</v>
      </c>
      <c r="P73" s="3">
        <f t="shared" si="10"/>
        <v>1.1841817384242503E-2</v>
      </c>
      <c r="Q73" s="3">
        <f t="shared" si="11"/>
        <v>1.4958471303860188E-2</v>
      </c>
      <c r="R73" s="3">
        <f t="shared" si="12"/>
        <v>1.3342202485386423E-2</v>
      </c>
      <c r="S73" s="15" t="e">
        <f t="shared" si="13"/>
        <v>#VALUE!</v>
      </c>
      <c r="T73" s="15">
        <f t="shared" si="14"/>
        <v>1.0118418173842425</v>
      </c>
      <c r="U73" s="15">
        <f t="shared" si="15"/>
        <v>1.0149584713038602</v>
      </c>
      <c r="V73" s="15">
        <f t="shared" si="16"/>
        <v>1.0133422024853864</v>
      </c>
    </row>
    <row r="74" spans="1:22" x14ac:dyDescent="0.25">
      <c r="A74" s="6">
        <v>44817</v>
      </c>
      <c r="B74" s="10">
        <v>1.7697000000000001</v>
      </c>
      <c r="C74" s="10">
        <v>2.4302999999999999</v>
      </c>
      <c r="D74" s="10">
        <v>2.6427</v>
      </c>
      <c r="E74" s="10">
        <v>3.1011000000000002</v>
      </c>
      <c r="F74" s="10">
        <v>1.9220999999999999</v>
      </c>
      <c r="G74" s="10">
        <v>2.4356</v>
      </c>
      <c r="H74" s="11">
        <v>1.55</v>
      </c>
      <c r="J74" s="8">
        <v>44817</v>
      </c>
      <c r="K74" s="11">
        <v>1725.1443999999999</v>
      </c>
      <c r="L74" s="11">
        <v>2319.5776999999998</v>
      </c>
      <c r="M74" s="11">
        <v>2865.5990000000002</v>
      </c>
      <c r="N74" s="11">
        <v>3034.5902000000001</v>
      </c>
      <c r="O74" s="3" t="e">
        <f t="shared" si="9"/>
        <v>#VALUE!</v>
      </c>
      <c r="P74" s="3">
        <f t="shared" si="10"/>
        <v>1.1955552230230371E-2</v>
      </c>
      <c r="Q74" s="3">
        <f t="shared" si="11"/>
        <v>1.5142008873072488E-2</v>
      </c>
      <c r="R74" s="3">
        <f t="shared" si="12"/>
        <v>1.3490055084194097E-2</v>
      </c>
      <c r="S74" s="15" t="e">
        <f t="shared" si="13"/>
        <v>#VALUE!</v>
      </c>
      <c r="T74" s="15">
        <f t="shared" si="14"/>
        <v>1.0119555522302304</v>
      </c>
      <c r="U74" s="15">
        <f t="shared" si="15"/>
        <v>1.0151420088730725</v>
      </c>
      <c r="V74" s="15">
        <f t="shared" si="16"/>
        <v>1.0134900550841941</v>
      </c>
    </row>
    <row r="75" spans="1:22" x14ac:dyDescent="0.25">
      <c r="A75" s="6">
        <v>44818</v>
      </c>
      <c r="B75" s="10">
        <v>1.8015000000000001</v>
      </c>
      <c r="C75" s="10">
        <v>2.4499</v>
      </c>
      <c r="D75" s="10">
        <v>2.6625000000000001</v>
      </c>
      <c r="E75" s="10">
        <v>3.1089000000000002</v>
      </c>
      <c r="F75" s="10">
        <v>1.9350000000000001</v>
      </c>
      <c r="G75" s="10">
        <v>2.4498000000000002</v>
      </c>
      <c r="H75" s="11">
        <v>1.6</v>
      </c>
      <c r="J75" s="8">
        <v>44818</v>
      </c>
      <c r="K75" s="11">
        <v>1725.1256000000001</v>
      </c>
      <c r="L75" s="11">
        <v>2319.3624</v>
      </c>
      <c r="M75" s="11">
        <v>2863.9261000000001</v>
      </c>
      <c r="N75" s="11">
        <v>3033.4450999999999</v>
      </c>
      <c r="O75" s="3" t="e">
        <f t="shared" si="9"/>
        <v>#VALUE!</v>
      </c>
      <c r="P75" s="3">
        <f t="shared" si="10"/>
        <v>1.1861623912849506E-2</v>
      </c>
      <c r="Q75" s="3">
        <f t="shared" si="11"/>
        <v>1.4549381967966957E-2</v>
      </c>
      <c r="R75" s="3">
        <f t="shared" si="12"/>
        <v>1.3107615484251545E-2</v>
      </c>
      <c r="S75" s="15" t="e">
        <f t="shared" si="13"/>
        <v>#VALUE!</v>
      </c>
      <c r="T75" s="15">
        <f t="shared" si="14"/>
        <v>1.0118616239128495</v>
      </c>
      <c r="U75" s="15">
        <f t="shared" si="15"/>
        <v>1.014549381967967</v>
      </c>
      <c r="V75" s="15">
        <f t="shared" si="16"/>
        <v>1.0131076154842515</v>
      </c>
    </row>
    <row r="76" spans="1:22" x14ac:dyDescent="0.25">
      <c r="A76" s="6">
        <v>44819</v>
      </c>
      <c r="B76" s="10">
        <v>1.8058000000000001</v>
      </c>
      <c r="C76" s="10">
        <v>2.4546000000000001</v>
      </c>
      <c r="D76" s="10">
        <v>2.6625000000000001</v>
      </c>
      <c r="E76" s="10">
        <v>3.1059999999999999</v>
      </c>
      <c r="F76" s="10">
        <v>1.9439</v>
      </c>
      <c r="G76" s="10">
        <v>2.4521000000000002</v>
      </c>
      <c r="H76" s="11">
        <v>1.6</v>
      </c>
      <c r="J76" s="8">
        <v>44819</v>
      </c>
      <c r="K76" s="11">
        <v>1725.2336</v>
      </c>
      <c r="L76" s="11">
        <v>2319.5362</v>
      </c>
      <c r="M76" s="11">
        <v>2861.0284999999999</v>
      </c>
      <c r="N76" s="11">
        <v>3031.9931999999999</v>
      </c>
      <c r="O76" s="3" t="e">
        <f t="shared" si="9"/>
        <v>#VALUE!</v>
      </c>
      <c r="P76" s="3">
        <f t="shared" si="10"/>
        <v>1.1937447143508084E-2</v>
      </c>
      <c r="Q76" s="3">
        <f t="shared" si="11"/>
        <v>1.3522903565053257E-2</v>
      </c>
      <c r="R76" s="3">
        <f t="shared" si="12"/>
        <v>1.2622711060920722E-2</v>
      </c>
      <c r="S76" s="15" t="e">
        <f t="shared" si="13"/>
        <v>#VALUE!</v>
      </c>
      <c r="T76" s="15">
        <f t="shared" si="14"/>
        <v>1.0119374471435081</v>
      </c>
      <c r="U76" s="15">
        <f t="shared" si="15"/>
        <v>1.0135229035650533</v>
      </c>
      <c r="V76" s="15">
        <f t="shared" si="16"/>
        <v>1.0126227110609207</v>
      </c>
    </row>
    <row r="77" spans="1:22" x14ac:dyDescent="0.25">
      <c r="A77" s="6">
        <v>44820</v>
      </c>
      <c r="B77" s="10">
        <v>1.8298000000000001</v>
      </c>
      <c r="C77" s="10">
        <v>2.4666000000000001</v>
      </c>
      <c r="D77" s="10">
        <v>2.673</v>
      </c>
      <c r="E77" s="10">
        <v>3.1059000000000001</v>
      </c>
      <c r="F77" s="10">
        <v>1.9756</v>
      </c>
      <c r="G77" s="10">
        <v>2.4790000000000001</v>
      </c>
      <c r="H77" s="11">
        <v>1.63</v>
      </c>
      <c r="J77" s="8">
        <v>44820</v>
      </c>
      <c r="K77" s="11">
        <v>1725.1826000000001</v>
      </c>
      <c r="L77" s="11">
        <v>2319.4160000000002</v>
      </c>
      <c r="M77" s="11">
        <v>2857.7511</v>
      </c>
      <c r="N77" s="11">
        <v>3029.6147999999998</v>
      </c>
      <c r="O77" s="3" t="e">
        <f t="shared" si="9"/>
        <v>#VALUE!</v>
      </c>
      <c r="P77" s="3">
        <f t="shared" si="10"/>
        <v>1.1885007832086236E-2</v>
      </c>
      <c r="Q77" s="3">
        <f t="shared" si="11"/>
        <v>1.2361880539891512E-2</v>
      </c>
      <c r="R77" s="3">
        <f t="shared" si="12"/>
        <v>1.1828374894207849E-2</v>
      </c>
      <c r="S77" s="15" t="e">
        <f t="shared" si="13"/>
        <v>#VALUE!</v>
      </c>
      <c r="T77" s="15">
        <f t="shared" si="14"/>
        <v>1.0118850078320862</v>
      </c>
      <c r="U77" s="15">
        <f t="shared" si="15"/>
        <v>1.0123618805398915</v>
      </c>
      <c r="V77" s="15">
        <f t="shared" si="16"/>
        <v>1.0118283748942078</v>
      </c>
    </row>
    <row r="78" spans="1:22" x14ac:dyDescent="0.25">
      <c r="A78" s="6">
        <v>44823</v>
      </c>
      <c r="B78" s="10">
        <v>1.8506</v>
      </c>
      <c r="C78" s="10">
        <v>2.4590000000000001</v>
      </c>
      <c r="D78" s="10">
        <v>2.6749999999999998</v>
      </c>
      <c r="E78" s="10">
        <v>3.1038999999999999</v>
      </c>
      <c r="F78" s="10">
        <v>1.9685999999999999</v>
      </c>
      <c r="G78" s="10">
        <v>2.4685000000000001</v>
      </c>
      <c r="H78" s="11">
        <v>1.7</v>
      </c>
      <c r="J78" s="8">
        <v>44823</v>
      </c>
      <c r="K78" s="11">
        <v>1725.2556</v>
      </c>
      <c r="L78" s="11">
        <v>2319.5304999999998</v>
      </c>
      <c r="M78" s="11">
        <v>2857.1954999999998</v>
      </c>
      <c r="N78" s="11">
        <v>3029.6079</v>
      </c>
      <c r="O78" s="3" t="e">
        <f t="shared" si="9"/>
        <v>#VALUE!</v>
      </c>
      <c r="P78" s="3">
        <f t="shared" si="10"/>
        <v>1.1934960420753482E-2</v>
      </c>
      <c r="Q78" s="3">
        <f t="shared" si="11"/>
        <v>1.2165058549051144E-2</v>
      </c>
      <c r="R78" s="3">
        <f t="shared" si="12"/>
        <v>1.1826070437619407E-2</v>
      </c>
      <c r="S78" s="15" t="e">
        <f t="shared" si="13"/>
        <v>#VALUE!</v>
      </c>
      <c r="T78" s="15">
        <f t="shared" si="14"/>
        <v>1.0119349604207535</v>
      </c>
      <c r="U78" s="15">
        <f t="shared" si="15"/>
        <v>1.0121650585490511</v>
      </c>
      <c r="V78" s="15">
        <f t="shared" si="16"/>
        <v>1.0118260704376194</v>
      </c>
    </row>
    <row r="79" spans="1:22" x14ac:dyDescent="0.25">
      <c r="A79" s="6">
        <v>44824</v>
      </c>
      <c r="B79" s="10">
        <v>1.8483000000000001</v>
      </c>
      <c r="C79" s="10">
        <v>2.4415</v>
      </c>
      <c r="D79" s="10">
        <v>2.6640000000000001</v>
      </c>
      <c r="E79" s="10">
        <v>3.101</v>
      </c>
      <c r="F79" s="10">
        <v>1.9561999999999999</v>
      </c>
      <c r="G79" s="10">
        <v>2.4554</v>
      </c>
      <c r="H79" s="11">
        <v>1.75</v>
      </c>
      <c r="J79" s="8">
        <v>44824</v>
      </c>
      <c r="K79" s="11">
        <v>1725.3176000000001</v>
      </c>
      <c r="L79" s="11">
        <v>2319.8598999999999</v>
      </c>
      <c r="M79" s="11">
        <v>2858.7201</v>
      </c>
      <c r="N79" s="11">
        <v>3030.5774999999999</v>
      </c>
      <c r="O79" s="3" t="e">
        <f t="shared" si="9"/>
        <v>#VALUE!</v>
      </c>
      <c r="P79" s="3">
        <f t="shared" si="10"/>
        <v>1.2078666819941963E-2</v>
      </c>
      <c r="Q79" s="3">
        <f t="shared" si="11"/>
        <v>1.2705149994758802E-2</v>
      </c>
      <c r="R79" s="3">
        <f t="shared" si="12"/>
        <v>1.2149896685199391E-2</v>
      </c>
      <c r="S79" s="15" t="e">
        <f t="shared" si="13"/>
        <v>#VALUE!</v>
      </c>
      <c r="T79" s="15">
        <f t="shared" si="14"/>
        <v>1.012078666819942</v>
      </c>
      <c r="U79" s="15">
        <f t="shared" si="15"/>
        <v>1.0127051499947588</v>
      </c>
      <c r="V79" s="15">
        <f t="shared" si="16"/>
        <v>1.0121498966851994</v>
      </c>
    </row>
    <row r="80" spans="1:22" x14ac:dyDescent="0.25">
      <c r="A80" s="6">
        <v>44825</v>
      </c>
      <c r="B80" s="10">
        <v>1.8282</v>
      </c>
      <c r="C80" s="10">
        <v>2.4325000000000001</v>
      </c>
      <c r="D80" s="10">
        <v>2.6450999999999998</v>
      </c>
      <c r="E80" s="10">
        <v>3.089</v>
      </c>
      <c r="F80" s="10">
        <v>1.9533</v>
      </c>
      <c r="G80" s="10">
        <v>2.4464999999999999</v>
      </c>
      <c r="H80" s="11">
        <v>1.74</v>
      </c>
      <c r="J80" s="8">
        <v>44825</v>
      </c>
      <c r="K80" s="11">
        <v>1725.5109</v>
      </c>
      <c r="L80" s="11">
        <v>2320.4524000000001</v>
      </c>
      <c r="M80" s="11">
        <v>2859.2833999999998</v>
      </c>
      <c r="N80" s="11">
        <v>3031.0967999999998</v>
      </c>
      <c r="O80" s="3" t="e">
        <f t="shared" si="9"/>
        <v>#VALUE!</v>
      </c>
      <c r="P80" s="3">
        <f t="shared" si="10"/>
        <v>1.2337155106278086E-2</v>
      </c>
      <c r="Q80" s="3">
        <f t="shared" si="11"/>
        <v>1.2904699720173163E-2</v>
      </c>
      <c r="R80" s="3">
        <f t="shared" si="12"/>
        <v>1.2323332091932482E-2</v>
      </c>
      <c r="S80" s="15" t="e">
        <f t="shared" si="13"/>
        <v>#VALUE!</v>
      </c>
      <c r="T80" s="15">
        <f t="shared" si="14"/>
        <v>1.0123371551062781</v>
      </c>
      <c r="U80" s="15">
        <f t="shared" si="15"/>
        <v>1.0129046997201732</v>
      </c>
      <c r="V80" s="15">
        <f t="shared" si="16"/>
        <v>1.0123233320919325</v>
      </c>
    </row>
    <row r="81" spans="1:22" x14ac:dyDescent="0.25">
      <c r="A81" s="6">
        <v>44826</v>
      </c>
      <c r="B81" s="10">
        <v>1.8231999999999999</v>
      </c>
      <c r="C81" s="10">
        <v>2.4428999999999998</v>
      </c>
      <c r="D81" s="10">
        <v>2.6501000000000001</v>
      </c>
      <c r="E81" s="10">
        <v>3.0912999999999999</v>
      </c>
      <c r="F81" s="10">
        <v>1.9617</v>
      </c>
      <c r="G81" s="10">
        <v>2.4510000000000001</v>
      </c>
      <c r="H81" s="11">
        <v>1.65</v>
      </c>
      <c r="J81" s="8">
        <v>44826</v>
      </c>
      <c r="K81" s="11">
        <v>1725.6668999999999</v>
      </c>
      <c r="L81" s="11">
        <v>2320.7781</v>
      </c>
      <c r="M81" s="11">
        <v>2859.2534999999998</v>
      </c>
      <c r="N81" s="11">
        <v>3031.0812000000001</v>
      </c>
      <c r="O81" s="3" t="e">
        <f t="shared" si="9"/>
        <v>#VALUE!</v>
      </c>
      <c r="P81" s="3">
        <f t="shared" si="10"/>
        <v>1.2479247317011666E-2</v>
      </c>
      <c r="Q81" s="3">
        <f t="shared" si="11"/>
        <v>1.2894107607995142E-2</v>
      </c>
      <c r="R81" s="3">
        <f t="shared" si="12"/>
        <v>1.2318122016166999E-2</v>
      </c>
      <c r="S81" s="15" t="e">
        <f t="shared" si="13"/>
        <v>#VALUE!</v>
      </c>
      <c r="T81" s="15">
        <f t="shared" si="14"/>
        <v>1.0124792473170117</v>
      </c>
      <c r="U81" s="15">
        <f t="shared" si="15"/>
        <v>1.0128941076079951</v>
      </c>
      <c r="V81" s="15">
        <f t="shared" si="16"/>
        <v>1.012318122016167</v>
      </c>
    </row>
    <row r="82" spans="1:22" x14ac:dyDescent="0.25">
      <c r="A82" s="6">
        <v>44827</v>
      </c>
      <c r="B82" s="10">
        <v>1.8280000000000001</v>
      </c>
      <c r="C82" s="10">
        <v>2.4687999999999999</v>
      </c>
      <c r="D82" s="10">
        <v>2.6802000000000001</v>
      </c>
      <c r="E82" s="10">
        <v>3.1008</v>
      </c>
      <c r="F82" s="10">
        <v>1.9686999999999999</v>
      </c>
      <c r="G82" s="10">
        <v>2.4721000000000002</v>
      </c>
      <c r="H82" s="11">
        <v>1.55</v>
      </c>
      <c r="J82" s="8">
        <v>44827</v>
      </c>
      <c r="K82" s="11">
        <v>1725.6413</v>
      </c>
      <c r="L82" s="11">
        <v>2320.7928999999999</v>
      </c>
      <c r="M82" s="11">
        <v>2857.3400999999999</v>
      </c>
      <c r="N82" s="11">
        <v>3029.57</v>
      </c>
      <c r="O82" s="3" t="e">
        <f t="shared" si="9"/>
        <v>#VALUE!</v>
      </c>
      <c r="P82" s="3">
        <f t="shared" si="10"/>
        <v>1.2485704070830606E-2</v>
      </c>
      <c r="Q82" s="3">
        <f t="shared" si="11"/>
        <v>1.2216283278848827E-2</v>
      </c>
      <c r="R82" s="3">
        <f t="shared" si="12"/>
        <v>1.1813412625342856E-2</v>
      </c>
      <c r="S82" s="15" t="e">
        <f t="shared" si="13"/>
        <v>#VALUE!</v>
      </c>
      <c r="T82" s="15">
        <f t="shared" si="14"/>
        <v>1.0124857040708306</v>
      </c>
      <c r="U82" s="15">
        <f t="shared" si="15"/>
        <v>1.0122162832788488</v>
      </c>
      <c r="V82" s="15">
        <f t="shared" si="16"/>
        <v>1.0118134126253429</v>
      </c>
    </row>
    <row r="83" spans="1:22" x14ac:dyDescent="0.25">
      <c r="A83" s="6">
        <v>44830</v>
      </c>
      <c r="B83" s="10">
        <v>1.8608</v>
      </c>
      <c r="C83" s="10">
        <v>2.512</v>
      </c>
      <c r="D83" s="10">
        <v>2.7153999999999998</v>
      </c>
      <c r="E83" s="10">
        <v>3.1274000000000002</v>
      </c>
      <c r="F83" s="10">
        <v>2.0095000000000001</v>
      </c>
      <c r="G83" s="10">
        <v>2.5082</v>
      </c>
      <c r="H83" s="11">
        <v>1.79</v>
      </c>
      <c r="J83" s="8">
        <v>44830</v>
      </c>
      <c r="K83" s="11">
        <v>1725.4719</v>
      </c>
      <c r="L83" s="11">
        <v>2319.9002</v>
      </c>
      <c r="M83" s="11">
        <v>2855.5382</v>
      </c>
      <c r="N83" s="11">
        <v>3028.0619000000002</v>
      </c>
      <c r="O83" s="3" t="e">
        <f t="shared" si="9"/>
        <v>#VALUE!</v>
      </c>
      <c r="P83" s="3">
        <f t="shared" si="10"/>
        <v>1.2096248386084252E-2</v>
      </c>
      <c r="Q83" s="3">
        <f t="shared" si="11"/>
        <v>1.1577957963342822E-2</v>
      </c>
      <c r="R83" s="3">
        <f t="shared" si="12"/>
        <v>1.1309738570087324E-2</v>
      </c>
      <c r="S83" s="15" t="e">
        <f t="shared" si="13"/>
        <v>#VALUE!</v>
      </c>
      <c r="T83" s="15">
        <f t="shared" si="14"/>
        <v>1.0120962483860843</v>
      </c>
      <c r="U83" s="15">
        <f t="shared" si="15"/>
        <v>1.0115779579633428</v>
      </c>
      <c r="V83" s="15">
        <f t="shared" si="16"/>
        <v>1.0113097385700873</v>
      </c>
    </row>
    <row r="84" spans="1:22" x14ac:dyDescent="0.25">
      <c r="A84" s="6">
        <v>44831</v>
      </c>
      <c r="B84" s="10">
        <v>1.8711</v>
      </c>
      <c r="C84" s="10">
        <v>2.5026000000000002</v>
      </c>
      <c r="D84" s="10">
        <v>2.7050999999999998</v>
      </c>
      <c r="E84" s="10">
        <v>3.1202000000000001</v>
      </c>
      <c r="F84" s="10">
        <v>1.9974000000000001</v>
      </c>
      <c r="G84" s="10">
        <v>2.5158</v>
      </c>
      <c r="H84" s="11">
        <v>1.45</v>
      </c>
      <c r="J84" s="8">
        <v>44831</v>
      </c>
      <c r="K84" s="11">
        <v>1725.2021999999999</v>
      </c>
      <c r="L84" s="11">
        <v>2319.5338999999999</v>
      </c>
      <c r="M84" s="11">
        <v>2857.2631999999999</v>
      </c>
      <c r="N84" s="11">
        <v>3028.9113000000002</v>
      </c>
      <c r="O84" s="3" t="e">
        <f t="shared" si="9"/>
        <v>#VALUE!</v>
      </c>
      <c r="P84" s="3">
        <f t="shared" si="10"/>
        <v>1.1936443729063217E-2</v>
      </c>
      <c r="Q84" s="3">
        <f t="shared" si="11"/>
        <v>1.2189041358230401E-2</v>
      </c>
      <c r="R84" s="3">
        <f t="shared" si="12"/>
        <v>1.1593420515935815E-2</v>
      </c>
      <c r="S84" s="15" t="e">
        <f t="shared" si="13"/>
        <v>#VALUE!</v>
      </c>
      <c r="T84" s="15">
        <f t="shared" si="14"/>
        <v>1.0119364437290632</v>
      </c>
      <c r="U84" s="15">
        <f t="shared" si="15"/>
        <v>1.0121890413582304</v>
      </c>
      <c r="V84" s="15">
        <f t="shared" si="16"/>
        <v>1.0115934205159358</v>
      </c>
    </row>
    <row r="85" spans="1:22" x14ac:dyDescent="0.25">
      <c r="A85" s="6">
        <v>44832</v>
      </c>
      <c r="B85" s="10">
        <v>1.9024000000000001</v>
      </c>
      <c r="C85" s="10">
        <v>2.5314999999999999</v>
      </c>
      <c r="D85" s="10">
        <v>2.7401</v>
      </c>
      <c r="E85" s="10">
        <v>3.1448</v>
      </c>
      <c r="F85" s="10">
        <v>1.9991000000000001</v>
      </c>
      <c r="G85" s="10">
        <v>2.5303</v>
      </c>
      <c r="H85" s="11">
        <v>1.6854</v>
      </c>
      <c r="J85" s="8">
        <v>44832</v>
      </c>
      <c r="K85" s="11">
        <v>1724.9991</v>
      </c>
      <c r="L85" s="11">
        <v>2318.8652999999999</v>
      </c>
      <c r="M85" s="11">
        <v>2853.7838000000002</v>
      </c>
      <c r="N85" s="11">
        <v>3026.1813999999999</v>
      </c>
      <c r="O85" s="3" t="e">
        <f t="shared" si="9"/>
        <v>#VALUE!</v>
      </c>
      <c r="P85" s="3">
        <f t="shared" si="10"/>
        <v>1.1644755512617122E-2</v>
      </c>
      <c r="Q85" s="3">
        <f t="shared" si="11"/>
        <v>1.0956459581899169E-2</v>
      </c>
      <c r="R85" s="3">
        <f t="shared" si="12"/>
        <v>1.0681690654890774E-2</v>
      </c>
      <c r="S85" s="15" t="e">
        <f t="shared" si="13"/>
        <v>#VALUE!</v>
      </c>
      <c r="T85" s="15">
        <f t="shared" si="14"/>
        <v>1.0116447555126171</v>
      </c>
      <c r="U85" s="15">
        <f t="shared" si="15"/>
        <v>1.0109564595818992</v>
      </c>
      <c r="V85" s="15">
        <f t="shared" si="16"/>
        <v>1.0106816906548908</v>
      </c>
    </row>
    <row r="86" spans="1:22" x14ac:dyDescent="0.25">
      <c r="A86" s="6">
        <v>44833</v>
      </c>
      <c r="B86" s="10">
        <v>1.893</v>
      </c>
      <c r="C86" s="10">
        <v>2.5615999999999999</v>
      </c>
      <c r="D86" s="10">
        <v>2.7501000000000002</v>
      </c>
      <c r="E86" s="10">
        <v>3.1444999999999999</v>
      </c>
      <c r="F86" s="10">
        <v>2.0234999999999999</v>
      </c>
      <c r="G86" s="10">
        <v>2.5461</v>
      </c>
      <c r="H86" s="11">
        <v>2.06</v>
      </c>
      <c r="J86" s="8">
        <v>44833</v>
      </c>
      <c r="K86" s="11">
        <v>1724.9764</v>
      </c>
      <c r="L86" s="11">
        <v>2318.5446999999999</v>
      </c>
      <c r="M86" s="11">
        <v>2853.279</v>
      </c>
      <c r="N86" s="11">
        <v>3025.6333</v>
      </c>
      <c r="O86" s="3" t="e">
        <f t="shared" si="9"/>
        <v>#VALUE!</v>
      </c>
      <c r="P86" s="3">
        <f t="shared" si="10"/>
        <v>1.1504888264348256E-2</v>
      </c>
      <c r="Q86" s="3">
        <f t="shared" si="11"/>
        <v>1.0777633554224231E-2</v>
      </c>
      <c r="R86" s="3">
        <f t="shared" si="12"/>
        <v>1.0498636646744552E-2</v>
      </c>
      <c r="S86" s="15" t="e">
        <f t="shared" si="13"/>
        <v>#VALUE!</v>
      </c>
      <c r="T86" s="15">
        <f t="shared" si="14"/>
        <v>1.0115048882643483</v>
      </c>
      <c r="U86" s="15">
        <f t="shared" si="15"/>
        <v>1.0107776335542242</v>
      </c>
      <c r="V86" s="15">
        <f t="shared" si="16"/>
        <v>1.0104986366467446</v>
      </c>
    </row>
    <row r="87" spans="1:22" x14ac:dyDescent="0.25">
      <c r="A87" s="6">
        <v>44834</v>
      </c>
      <c r="B87" s="10">
        <v>1.8534999999999999</v>
      </c>
      <c r="C87" s="10">
        <v>2.5836000000000001</v>
      </c>
      <c r="D87" s="10">
        <v>2.7601</v>
      </c>
      <c r="E87" s="10">
        <v>3.1789999999999998</v>
      </c>
      <c r="F87" s="10">
        <v>2.0234999999999999</v>
      </c>
      <c r="G87" s="10">
        <v>2.5707</v>
      </c>
      <c r="H87" s="11">
        <v>2.06</v>
      </c>
      <c r="J87" s="8">
        <v>44834</v>
      </c>
      <c r="K87" s="11">
        <v>1725.019</v>
      </c>
      <c r="L87" s="11">
        <v>2318.0082000000002</v>
      </c>
      <c r="M87" s="11">
        <v>2851.2354</v>
      </c>
      <c r="N87" s="11">
        <v>3024.0868</v>
      </c>
      <c r="O87" s="3" t="e">
        <f t="shared" si="9"/>
        <v>#VALUE!</v>
      </c>
      <c r="P87" s="3">
        <f t="shared" si="10"/>
        <v>1.1270830938408638E-2</v>
      </c>
      <c r="Q87" s="3">
        <f t="shared" si="11"/>
        <v>1.0053685713185434E-2</v>
      </c>
      <c r="R87" s="3">
        <f t="shared" si="12"/>
        <v>9.9821377896045504E-3</v>
      </c>
      <c r="S87" s="15" t="e">
        <f t="shared" si="13"/>
        <v>#VALUE!</v>
      </c>
      <c r="T87" s="15">
        <f t="shared" si="14"/>
        <v>1.0112708309384086</v>
      </c>
      <c r="U87" s="15">
        <f t="shared" si="15"/>
        <v>1.0100536857131854</v>
      </c>
      <c r="V87" s="15">
        <f t="shared" si="16"/>
        <v>1.0099821377896046</v>
      </c>
    </row>
    <row r="88" spans="1:22" x14ac:dyDescent="0.25">
      <c r="A88" s="6">
        <v>44842</v>
      </c>
      <c r="B88" s="10">
        <v>1.8323</v>
      </c>
      <c r="C88" s="10">
        <v>2.5811000000000002</v>
      </c>
      <c r="D88" s="10">
        <v>2.7625999999999999</v>
      </c>
      <c r="E88" s="10">
        <v>3.1850999999999998</v>
      </c>
      <c r="F88" s="10">
        <v>2.0150000000000001</v>
      </c>
      <c r="G88" s="10">
        <v>2.5499999999999998</v>
      </c>
      <c r="H88" s="11">
        <v>1.65</v>
      </c>
      <c r="J88" s="8">
        <v>44844</v>
      </c>
      <c r="K88" s="11">
        <v>1726.4253000000001</v>
      </c>
      <c r="L88" s="11">
        <v>2320.2819</v>
      </c>
      <c r="M88" s="11">
        <v>2851.3352</v>
      </c>
      <c r="N88" s="11">
        <v>3025.1435999999999</v>
      </c>
      <c r="O88" s="3" t="e">
        <f t="shared" si="9"/>
        <v>#VALUE!</v>
      </c>
      <c r="P88" s="3">
        <f t="shared" si="10"/>
        <v>1.2262771557214114E-2</v>
      </c>
      <c r="Q88" s="3">
        <f t="shared" si="11"/>
        <v>1.008903998727817E-2</v>
      </c>
      <c r="R88" s="3">
        <f t="shared" si="12"/>
        <v>1.0335087024797129E-2</v>
      </c>
      <c r="S88" s="15" t="e">
        <f t="shared" si="13"/>
        <v>#VALUE!</v>
      </c>
      <c r="T88" s="15">
        <f t="shared" si="14"/>
        <v>1.0122627715572141</v>
      </c>
      <c r="U88" s="15">
        <f t="shared" si="15"/>
        <v>1.0100890399872782</v>
      </c>
      <c r="V88" s="15">
        <f t="shared" si="16"/>
        <v>1.0103350870247971</v>
      </c>
    </row>
    <row r="89" spans="1:22" x14ac:dyDescent="0.25">
      <c r="A89" s="6">
        <v>44843</v>
      </c>
      <c r="B89" s="10">
        <v>1.829</v>
      </c>
      <c r="C89" s="10">
        <v>2.5486</v>
      </c>
      <c r="D89" s="10">
        <v>2.7452000000000001</v>
      </c>
      <c r="E89" s="10">
        <v>3.1640000000000001</v>
      </c>
      <c r="F89" s="10">
        <v>2.0032999999999999</v>
      </c>
      <c r="G89" s="10">
        <v>2.5503</v>
      </c>
      <c r="H89" s="11">
        <v>1.4</v>
      </c>
      <c r="J89" s="8">
        <v>44845</v>
      </c>
      <c r="K89" s="11">
        <v>1726.5387000000001</v>
      </c>
      <c r="L89" s="11">
        <v>2320.3474999999999</v>
      </c>
      <c r="M89" s="11">
        <v>2852.5288999999998</v>
      </c>
      <c r="N89" s="11">
        <v>3025.7800999999999</v>
      </c>
      <c r="O89" s="3" t="e">
        <f t="shared" si="9"/>
        <v>#VALUE!</v>
      </c>
      <c r="P89" s="3">
        <f t="shared" si="10"/>
        <v>1.2291390682249936E-2</v>
      </c>
      <c r="Q89" s="3">
        <f t="shared" si="11"/>
        <v>1.0511909696540034E-2</v>
      </c>
      <c r="R89" s="3">
        <f t="shared" si="12"/>
        <v>1.0547664795614864E-2</v>
      </c>
      <c r="S89" s="15" t="e">
        <f t="shared" si="13"/>
        <v>#VALUE!</v>
      </c>
      <c r="T89" s="15">
        <f t="shared" si="14"/>
        <v>1.0122913906822499</v>
      </c>
      <c r="U89" s="15">
        <f t="shared" si="15"/>
        <v>1.01051190969654</v>
      </c>
      <c r="V89" s="15">
        <f t="shared" si="16"/>
        <v>1.0105476647956149</v>
      </c>
    </row>
    <row r="90" spans="1:22" x14ac:dyDescent="0.25">
      <c r="A90" s="6">
        <v>44844</v>
      </c>
      <c r="B90" s="10">
        <v>1.7907999999999999</v>
      </c>
      <c r="C90" s="10">
        <v>2.5306000000000002</v>
      </c>
      <c r="D90" s="10">
        <v>2.7402000000000002</v>
      </c>
      <c r="E90" s="10">
        <v>3.1637</v>
      </c>
      <c r="F90" s="10">
        <v>1.9757</v>
      </c>
      <c r="G90" s="10">
        <v>2.5373999999999999</v>
      </c>
      <c r="H90" s="11">
        <v>1.5401</v>
      </c>
      <c r="J90" s="8">
        <v>44846</v>
      </c>
      <c r="K90" s="11">
        <v>1726.6389999999999</v>
      </c>
      <c r="L90" s="11">
        <v>2320.5817999999999</v>
      </c>
      <c r="M90" s="11">
        <v>2856.2327</v>
      </c>
      <c r="N90" s="11">
        <v>3028.0654</v>
      </c>
      <c r="O90" s="3" t="e">
        <f t="shared" si="9"/>
        <v>#VALUE!</v>
      </c>
      <c r="P90" s="3">
        <f t="shared" si="10"/>
        <v>1.2393608075479401E-2</v>
      </c>
      <c r="Q90" s="3">
        <f t="shared" si="11"/>
        <v>1.1823985451893337E-2</v>
      </c>
      <c r="R90" s="3">
        <f t="shared" si="12"/>
        <v>1.1310907497342315E-2</v>
      </c>
      <c r="S90" s="15" t="e">
        <f t="shared" si="13"/>
        <v>#VALUE!</v>
      </c>
      <c r="T90" s="15">
        <f t="shared" si="14"/>
        <v>1.0123936080754794</v>
      </c>
      <c r="U90" s="15">
        <f t="shared" si="15"/>
        <v>1.0118239854518933</v>
      </c>
      <c r="V90" s="15">
        <f t="shared" si="16"/>
        <v>1.0113109074973423</v>
      </c>
    </row>
    <row r="91" spans="1:22" x14ac:dyDescent="0.25">
      <c r="A91" s="6">
        <v>44845</v>
      </c>
      <c r="B91" s="10">
        <v>1.7867</v>
      </c>
      <c r="C91" s="10">
        <v>2.5350000000000001</v>
      </c>
      <c r="D91" s="10">
        <v>2.7425999999999999</v>
      </c>
      <c r="E91" s="10">
        <v>3.1631999999999998</v>
      </c>
      <c r="F91" s="10">
        <v>1.9722999999999999</v>
      </c>
      <c r="G91" s="10">
        <v>2.5285000000000002</v>
      </c>
      <c r="H91" s="11">
        <v>1.6</v>
      </c>
      <c r="J91" s="8">
        <v>44847</v>
      </c>
      <c r="K91" s="11">
        <v>1726.7943</v>
      </c>
      <c r="L91" s="11">
        <v>2320.9234000000001</v>
      </c>
      <c r="M91" s="11">
        <v>2856.6904</v>
      </c>
      <c r="N91" s="11">
        <v>3028.3658</v>
      </c>
      <c r="O91" s="3" t="e">
        <f t="shared" si="9"/>
        <v>#VALUE!</v>
      </c>
      <c r="P91" s="3">
        <f t="shared" si="10"/>
        <v>1.2542636933897233E-2</v>
      </c>
      <c r="Q91" s="3">
        <f t="shared" si="11"/>
        <v>1.1986126246003481E-2</v>
      </c>
      <c r="R91" s="3">
        <f t="shared" si="12"/>
        <v>1.1411234853750285E-2</v>
      </c>
      <c r="S91" s="15" t="e">
        <f t="shared" si="13"/>
        <v>#VALUE!</v>
      </c>
      <c r="T91" s="15">
        <f t="shared" si="14"/>
        <v>1.0125426369338972</v>
      </c>
      <c r="U91" s="15">
        <f t="shared" si="15"/>
        <v>1.0119861262460035</v>
      </c>
      <c r="V91" s="15">
        <f t="shared" si="16"/>
        <v>1.0114112348537503</v>
      </c>
    </row>
    <row r="92" spans="1:22" x14ac:dyDescent="0.25">
      <c r="A92" s="6">
        <v>44846</v>
      </c>
      <c r="B92" s="10">
        <v>1.8067</v>
      </c>
      <c r="C92" s="10">
        <v>2.5219</v>
      </c>
      <c r="D92" s="10">
        <v>2.7351999999999999</v>
      </c>
      <c r="E92" s="10">
        <v>3.1606999999999998</v>
      </c>
      <c r="F92" s="10">
        <v>1.9716</v>
      </c>
      <c r="G92" s="10">
        <v>2.5301999999999998</v>
      </c>
      <c r="H92" s="11">
        <v>1.61</v>
      </c>
      <c r="J92" s="8">
        <v>44848</v>
      </c>
      <c r="K92" s="11">
        <v>1727.0641000000001</v>
      </c>
      <c r="L92" s="11">
        <v>2322.4259999999999</v>
      </c>
      <c r="M92" s="11">
        <v>2861.2489</v>
      </c>
      <c r="N92" s="11">
        <v>3032.3598000000002</v>
      </c>
      <c r="O92" s="3" t="e">
        <f t="shared" si="9"/>
        <v>#VALUE!</v>
      </c>
      <c r="P92" s="3">
        <f t="shared" si="10"/>
        <v>1.319817195338846E-2</v>
      </c>
      <c r="Q92" s="3">
        <f t="shared" si="11"/>
        <v>1.3600980539101526E-2</v>
      </c>
      <c r="R92" s="3">
        <f t="shared" si="12"/>
        <v>1.2745147841410454E-2</v>
      </c>
      <c r="S92" s="15" t="e">
        <f t="shared" si="13"/>
        <v>#VALUE!</v>
      </c>
      <c r="T92" s="15">
        <f t="shared" si="14"/>
        <v>1.0131981719533885</v>
      </c>
      <c r="U92" s="15">
        <f t="shared" si="15"/>
        <v>1.0136009805391015</v>
      </c>
      <c r="V92" s="15">
        <f t="shared" si="16"/>
        <v>1.0127451478414105</v>
      </c>
    </row>
    <row r="93" spans="1:22" x14ac:dyDescent="0.25">
      <c r="A93" s="6">
        <v>44847</v>
      </c>
      <c r="B93" s="10">
        <v>1.8050999999999999</v>
      </c>
      <c r="C93" s="10">
        <v>2.5122</v>
      </c>
      <c r="D93" s="10">
        <v>2.7252000000000001</v>
      </c>
      <c r="E93" s="10">
        <v>3.1533000000000002</v>
      </c>
      <c r="F93" s="10">
        <v>1.9607000000000001</v>
      </c>
      <c r="G93" s="10">
        <v>2.5192999999999999</v>
      </c>
      <c r="H93" s="11">
        <v>1.62</v>
      </c>
      <c r="J93" s="8">
        <v>44851</v>
      </c>
      <c r="K93" s="11">
        <v>1727.4372000000001</v>
      </c>
      <c r="L93" s="11">
        <v>2322.9522000000002</v>
      </c>
      <c r="M93" s="11">
        <v>2861.7591000000002</v>
      </c>
      <c r="N93" s="11">
        <v>3033.2788</v>
      </c>
      <c r="O93" s="3" t="e">
        <f t="shared" si="9"/>
        <v>#VALUE!</v>
      </c>
      <c r="P93" s="3">
        <f t="shared" si="10"/>
        <v>1.3427735727683965E-2</v>
      </c>
      <c r="Q93" s="3">
        <f t="shared" si="11"/>
        <v>1.3781719523491054E-2</v>
      </c>
      <c r="R93" s="3">
        <f t="shared" si="12"/>
        <v>1.305207474067438E-2</v>
      </c>
      <c r="S93" s="15" t="e">
        <f t="shared" si="13"/>
        <v>#VALUE!</v>
      </c>
      <c r="T93" s="15">
        <f t="shared" si="14"/>
        <v>1.013427735727684</v>
      </c>
      <c r="U93" s="15">
        <f t="shared" si="15"/>
        <v>1.0137817195234911</v>
      </c>
      <c r="V93" s="15">
        <f t="shared" si="16"/>
        <v>1.0130520747406744</v>
      </c>
    </row>
    <row r="94" spans="1:22" x14ac:dyDescent="0.25">
      <c r="A94" s="6">
        <v>44848</v>
      </c>
      <c r="B94" s="10">
        <v>1.7850999999999999</v>
      </c>
      <c r="C94" s="10">
        <v>2.4904999999999999</v>
      </c>
      <c r="D94" s="10">
        <v>2.6977000000000002</v>
      </c>
      <c r="E94" s="10">
        <v>3.1288999999999998</v>
      </c>
      <c r="F94" s="10">
        <v>1.9555</v>
      </c>
      <c r="G94" s="10">
        <v>2.5114999999999998</v>
      </c>
      <c r="H94" s="11">
        <v>1.6</v>
      </c>
      <c r="J94" s="8">
        <v>44852</v>
      </c>
      <c r="K94" s="11">
        <v>1727.5373</v>
      </c>
      <c r="L94" s="11">
        <v>2323.1619000000001</v>
      </c>
      <c r="M94" s="11">
        <v>2862.0423000000001</v>
      </c>
      <c r="N94" s="11">
        <v>3033.4870000000001</v>
      </c>
      <c r="O94" s="3" t="e">
        <f t="shared" si="9"/>
        <v>#VALUE!</v>
      </c>
      <c r="P94" s="3">
        <f t="shared" si="10"/>
        <v>1.3519220949025135E-2</v>
      </c>
      <c r="Q94" s="3">
        <f t="shared" si="11"/>
        <v>1.3882043475625494E-2</v>
      </c>
      <c r="R94" s="3">
        <f t="shared" si="12"/>
        <v>1.3121609213391228E-2</v>
      </c>
      <c r="S94" s="15" t="e">
        <f t="shared" si="13"/>
        <v>#VALUE!</v>
      </c>
      <c r="T94" s="15">
        <f t="shared" si="14"/>
        <v>1.0135192209490251</v>
      </c>
      <c r="U94" s="15">
        <f t="shared" si="15"/>
        <v>1.0138820434756255</v>
      </c>
      <c r="V94" s="15">
        <f t="shared" si="16"/>
        <v>1.0131216092133912</v>
      </c>
    </row>
    <row r="95" spans="1:22" x14ac:dyDescent="0.25">
      <c r="A95" s="6">
        <v>44851</v>
      </c>
      <c r="B95" s="10">
        <v>1.7856000000000001</v>
      </c>
      <c r="C95" s="10">
        <v>2.4931000000000001</v>
      </c>
      <c r="D95" s="10">
        <v>2.7002000000000002</v>
      </c>
      <c r="E95" s="10">
        <v>3.129</v>
      </c>
      <c r="F95" s="10">
        <v>1.9473</v>
      </c>
      <c r="G95" s="10">
        <v>2.4990000000000001</v>
      </c>
      <c r="H95" s="11">
        <v>1.55</v>
      </c>
      <c r="J95" s="8">
        <v>44853</v>
      </c>
      <c r="K95" s="11">
        <v>1727.7411999999999</v>
      </c>
      <c r="L95" s="11">
        <v>2323.6014</v>
      </c>
      <c r="M95" s="11">
        <v>2860.9144000000001</v>
      </c>
      <c r="N95" s="11">
        <v>3032.6783999999998</v>
      </c>
      <c r="O95" s="3" t="e">
        <f t="shared" si="9"/>
        <v>#VALUE!</v>
      </c>
      <c r="P95" s="3">
        <f t="shared" si="10"/>
        <v>1.3710960361421165E-2</v>
      </c>
      <c r="Q95" s="3">
        <f t="shared" si="11"/>
        <v>1.3482483498179931E-2</v>
      </c>
      <c r="R95" s="3">
        <f t="shared" si="12"/>
        <v>1.285155361954482E-2</v>
      </c>
      <c r="S95" s="15" t="e">
        <f t="shared" si="13"/>
        <v>#VALUE!</v>
      </c>
      <c r="T95" s="15">
        <f t="shared" si="14"/>
        <v>1.0137109603614212</v>
      </c>
      <c r="U95" s="15">
        <f t="shared" si="15"/>
        <v>1.0134824834981799</v>
      </c>
      <c r="V95" s="15">
        <f t="shared" si="16"/>
        <v>1.0128515536195448</v>
      </c>
    </row>
    <row r="96" spans="1:22" x14ac:dyDescent="0.25">
      <c r="A96" s="6">
        <v>44852</v>
      </c>
      <c r="B96" s="10">
        <v>1.7856000000000001</v>
      </c>
      <c r="C96" s="10">
        <v>2.4910999999999999</v>
      </c>
      <c r="D96" s="10">
        <v>2.7002000000000002</v>
      </c>
      <c r="E96" s="10">
        <v>3.1314000000000002</v>
      </c>
      <c r="F96" s="10">
        <v>1.9466000000000001</v>
      </c>
      <c r="G96" s="10">
        <v>2.5017999999999998</v>
      </c>
      <c r="H96" s="11">
        <v>1.5248999999999999</v>
      </c>
      <c r="J96" s="8">
        <v>44854</v>
      </c>
      <c r="K96" s="11">
        <v>1727.7742000000001</v>
      </c>
      <c r="L96" s="11">
        <v>2323.5281</v>
      </c>
      <c r="M96" s="11">
        <v>2859.1714000000002</v>
      </c>
      <c r="N96" s="11">
        <v>3031.6412</v>
      </c>
      <c r="O96" s="3" t="e">
        <f t="shared" si="9"/>
        <v>#VALUE!</v>
      </c>
      <c r="P96" s="3">
        <f t="shared" si="10"/>
        <v>1.367898197933104E-2</v>
      </c>
      <c r="Q96" s="3">
        <f t="shared" si="11"/>
        <v>1.2865023580911128E-2</v>
      </c>
      <c r="R96" s="3">
        <f t="shared" si="12"/>
        <v>1.2505150376980634E-2</v>
      </c>
      <c r="S96" s="15" t="e">
        <f t="shared" si="13"/>
        <v>#VALUE!</v>
      </c>
      <c r="T96" s="15">
        <f t="shared" si="14"/>
        <v>1.013678981979331</v>
      </c>
      <c r="U96" s="15">
        <f t="shared" si="15"/>
        <v>1.0128650235809111</v>
      </c>
      <c r="V96" s="15">
        <f t="shared" si="16"/>
        <v>1.0125051503769806</v>
      </c>
    </row>
    <row r="97" spans="1:22" x14ac:dyDescent="0.25">
      <c r="A97" s="6">
        <v>44853</v>
      </c>
      <c r="B97" s="10">
        <v>1.7806</v>
      </c>
      <c r="C97" s="10">
        <v>2.4762</v>
      </c>
      <c r="D97" s="10">
        <v>2.7052</v>
      </c>
      <c r="E97" s="10">
        <v>3.1343000000000001</v>
      </c>
      <c r="F97" s="10">
        <v>1.9460999999999999</v>
      </c>
      <c r="G97" s="10">
        <v>2.5002</v>
      </c>
      <c r="H97" s="11">
        <v>1.58</v>
      </c>
      <c r="J97" s="8">
        <v>44855</v>
      </c>
      <c r="K97" s="11">
        <v>1727.8207</v>
      </c>
      <c r="L97" s="11">
        <v>2323.6523000000002</v>
      </c>
      <c r="M97" s="11">
        <v>2859.1541000000002</v>
      </c>
      <c r="N97" s="11">
        <v>3031.8163</v>
      </c>
      <c r="O97" s="3" t="e">
        <f t="shared" si="9"/>
        <v>#VALUE!</v>
      </c>
      <c r="P97" s="3">
        <f t="shared" si="10"/>
        <v>1.3733166359352955E-2</v>
      </c>
      <c r="Q97" s="3">
        <f t="shared" si="11"/>
        <v>1.2858895034400186E-2</v>
      </c>
      <c r="R97" s="3">
        <f t="shared" si="12"/>
        <v>1.2563630137656601E-2</v>
      </c>
      <c r="S97" s="15" t="e">
        <f t="shared" si="13"/>
        <v>#VALUE!</v>
      </c>
      <c r="T97" s="15">
        <f t="shared" si="14"/>
        <v>1.013733166359353</v>
      </c>
      <c r="U97" s="15">
        <f t="shared" si="15"/>
        <v>1.0128588950344002</v>
      </c>
      <c r="V97" s="15">
        <f t="shared" si="16"/>
        <v>1.0125636301376566</v>
      </c>
    </row>
    <row r="98" spans="1:22" x14ac:dyDescent="0.25">
      <c r="A98" s="6">
        <v>44854</v>
      </c>
      <c r="B98" s="10">
        <v>1.7656000000000001</v>
      </c>
      <c r="C98" s="10">
        <v>2.4841000000000002</v>
      </c>
      <c r="D98" s="10">
        <v>2.7174999999999998</v>
      </c>
      <c r="E98" s="10">
        <v>3.1471</v>
      </c>
      <c r="F98" s="10">
        <v>1.9568000000000001</v>
      </c>
      <c r="G98" s="10">
        <v>2.5167000000000002</v>
      </c>
      <c r="H98" s="11">
        <v>1.6</v>
      </c>
      <c r="J98" s="8">
        <v>44858</v>
      </c>
      <c r="K98" s="11">
        <v>1728.0093999999999</v>
      </c>
      <c r="L98" s="11">
        <v>2323.9895000000001</v>
      </c>
      <c r="M98" s="11">
        <v>2856.7842000000001</v>
      </c>
      <c r="N98" s="11">
        <v>3030.0319</v>
      </c>
      <c r="O98" s="3" t="e">
        <f t="shared" si="9"/>
        <v>#VALUE!</v>
      </c>
      <c r="P98" s="3">
        <f t="shared" si="10"/>
        <v>1.3880275642310869E-2</v>
      </c>
      <c r="Q98" s="3">
        <f t="shared" si="11"/>
        <v>1.2019355012635513E-2</v>
      </c>
      <c r="R98" s="3">
        <f t="shared" si="12"/>
        <v>1.1967677625092543E-2</v>
      </c>
      <c r="S98" s="15" t="e">
        <f t="shared" si="13"/>
        <v>#VALUE!</v>
      </c>
      <c r="T98" s="15">
        <f t="shared" si="14"/>
        <v>1.0138802756423109</v>
      </c>
      <c r="U98" s="15">
        <f t="shared" si="15"/>
        <v>1.0120193550126355</v>
      </c>
      <c r="V98" s="15">
        <f t="shared" si="16"/>
        <v>1.0119676776250925</v>
      </c>
    </row>
    <row r="99" spans="1:22" x14ac:dyDescent="0.25">
      <c r="A99" s="6">
        <v>44855</v>
      </c>
      <c r="B99" s="10">
        <v>1.7706</v>
      </c>
      <c r="C99" s="10">
        <v>2.4918</v>
      </c>
      <c r="D99" s="10">
        <v>2.7277999999999998</v>
      </c>
      <c r="E99" s="10">
        <v>3.1555</v>
      </c>
      <c r="F99" s="10">
        <v>1.9751000000000001</v>
      </c>
      <c r="G99" s="10">
        <v>2.5251000000000001</v>
      </c>
      <c r="H99" s="11">
        <v>1.67</v>
      </c>
      <c r="J99" s="8">
        <v>44859</v>
      </c>
      <c r="K99" s="11">
        <v>1727.789</v>
      </c>
      <c r="L99" s="11">
        <v>2323.4603999999999</v>
      </c>
      <c r="M99" s="11">
        <v>2855.7357000000002</v>
      </c>
      <c r="N99" s="11">
        <v>3029.0086999999999</v>
      </c>
      <c r="O99" s="3" t="e">
        <f t="shared" si="9"/>
        <v>#VALUE!</v>
      </c>
      <c r="P99" s="3">
        <f t="shared" si="10"/>
        <v>1.3649446693280387E-2</v>
      </c>
      <c r="Q99" s="3">
        <f t="shared" si="11"/>
        <v>1.1647922583917003E-2</v>
      </c>
      <c r="R99" s="3">
        <f t="shared" si="12"/>
        <v>1.1625950091548765E-2</v>
      </c>
      <c r="S99" s="15" t="e">
        <f t="shared" si="13"/>
        <v>#VALUE!</v>
      </c>
      <c r="T99" s="15">
        <f t="shared" si="14"/>
        <v>1.0136494466932804</v>
      </c>
      <c r="U99" s="15">
        <f t="shared" si="15"/>
        <v>1.011647922583917</v>
      </c>
      <c r="V99" s="15">
        <f t="shared" si="16"/>
        <v>1.0116259500915488</v>
      </c>
    </row>
    <row r="100" spans="1:22" x14ac:dyDescent="0.25">
      <c r="A100" s="6">
        <v>44858</v>
      </c>
      <c r="B100" s="10">
        <v>1.77</v>
      </c>
      <c r="C100" s="10">
        <v>2.4851999999999999</v>
      </c>
      <c r="D100" s="10">
        <v>2.7153</v>
      </c>
      <c r="E100" s="10">
        <v>3.1415999999999999</v>
      </c>
      <c r="F100" s="10">
        <v>1.9792000000000001</v>
      </c>
      <c r="G100" s="10">
        <v>2.5198</v>
      </c>
      <c r="H100" s="11">
        <v>1.71</v>
      </c>
      <c r="J100" s="8">
        <v>44860</v>
      </c>
      <c r="K100" s="11">
        <v>1727.9023</v>
      </c>
      <c r="L100" s="11">
        <v>2323.8344999999999</v>
      </c>
      <c r="M100" s="11">
        <v>2857.6248999999998</v>
      </c>
      <c r="N100" s="11">
        <v>3030.44</v>
      </c>
      <c r="O100" s="3" t="e">
        <f t="shared" si="9"/>
        <v>#VALUE!</v>
      </c>
      <c r="P100" s="3">
        <f t="shared" si="10"/>
        <v>1.3812654234070854E-2</v>
      </c>
      <c r="Q100" s="3">
        <f t="shared" si="11"/>
        <v>1.2317174032972833E-2</v>
      </c>
      <c r="R100" s="3">
        <f t="shared" si="12"/>
        <v>1.2103974543035356E-2</v>
      </c>
      <c r="S100" s="15" t="e">
        <f t="shared" si="13"/>
        <v>#VALUE!</v>
      </c>
      <c r="T100" s="15">
        <f t="shared" si="14"/>
        <v>1.0138126542340709</v>
      </c>
      <c r="U100" s="15">
        <f t="shared" si="15"/>
        <v>1.0123171740329728</v>
      </c>
      <c r="V100" s="15">
        <f t="shared" si="16"/>
        <v>1.0121039745430354</v>
      </c>
    </row>
    <row r="101" spans="1:22" x14ac:dyDescent="0.25">
      <c r="A101" s="6">
        <v>44859</v>
      </c>
      <c r="B101" s="10">
        <v>1.7945</v>
      </c>
      <c r="C101" s="10">
        <v>2.5030999999999999</v>
      </c>
      <c r="D101" s="10">
        <v>2.7277999999999998</v>
      </c>
      <c r="E101" s="10">
        <v>3.1486000000000001</v>
      </c>
      <c r="F101" s="10">
        <v>1.9999</v>
      </c>
      <c r="G101" s="10">
        <v>2.5276000000000001</v>
      </c>
      <c r="H101" s="11">
        <v>2.2000000000000002</v>
      </c>
      <c r="J101" s="8">
        <v>44861</v>
      </c>
      <c r="K101" s="11">
        <v>1728.0463</v>
      </c>
      <c r="L101" s="11">
        <v>2324.2091999999998</v>
      </c>
      <c r="M101" s="11">
        <v>2857.2806999999998</v>
      </c>
      <c r="N101" s="11">
        <v>3030.4274</v>
      </c>
      <c r="O101" s="3" t="e">
        <f t="shared" si="9"/>
        <v>#VALUE!</v>
      </c>
      <c r="P101" s="3">
        <f t="shared" si="10"/>
        <v>1.3976123535151208E-2</v>
      </c>
      <c r="Q101" s="3">
        <f t="shared" si="11"/>
        <v>1.2195240754990122E-2</v>
      </c>
      <c r="R101" s="3">
        <f t="shared" si="12"/>
        <v>1.2099766404917167E-2</v>
      </c>
      <c r="S101" s="15" t="e">
        <f t="shared" si="13"/>
        <v>#VALUE!</v>
      </c>
      <c r="T101" s="15">
        <f t="shared" si="14"/>
        <v>1.0139761235351512</v>
      </c>
      <c r="U101" s="15">
        <f t="shared" si="15"/>
        <v>1.0121952407549901</v>
      </c>
      <c r="V101" s="15">
        <f t="shared" si="16"/>
        <v>1.0120997664049172</v>
      </c>
    </row>
    <row r="102" spans="1:22" x14ac:dyDescent="0.25">
      <c r="A102" s="6">
        <v>44860</v>
      </c>
      <c r="B102" s="10">
        <v>1.8005</v>
      </c>
      <c r="C102" s="10">
        <v>2.4834999999999998</v>
      </c>
      <c r="D102" s="10">
        <v>2.7025000000000001</v>
      </c>
      <c r="E102" s="10">
        <v>3.1394000000000002</v>
      </c>
      <c r="F102" s="10">
        <v>1.9944</v>
      </c>
      <c r="G102" s="10">
        <v>2.5217000000000001</v>
      </c>
      <c r="H102" s="11">
        <v>2.2000000000000002</v>
      </c>
      <c r="J102" s="8">
        <v>44862</v>
      </c>
      <c r="K102" s="11">
        <v>1728.2746</v>
      </c>
      <c r="L102" s="11">
        <v>2324.9913000000001</v>
      </c>
      <c r="M102" s="11">
        <v>2854.1565999999998</v>
      </c>
      <c r="N102" s="11">
        <v>3028.8056000000001</v>
      </c>
      <c r="O102" s="3" t="e">
        <f t="shared" si="9"/>
        <v>#VALUE!</v>
      </c>
      <c r="P102" s="3">
        <f t="shared" si="10"/>
        <v>1.4317328073115032E-2</v>
      </c>
      <c r="Q102" s="3">
        <f t="shared" si="11"/>
        <v>1.1088524445443504E-2</v>
      </c>
      <c r="R102" s="3">
        <f t="shared" si="12"/>
        <v>1.1558118912832205E-2</v>
      </c>
      <c r="S102" s="15" t="e">
        <f t="shared" si="13"/>
        <v>#VALUE!</v>
      </c>
      <c r="T102" s="15">
        <f t="shared" si="14"/>
        <v>1.014317328073115</v>
      </c>
      <c r="U102" s="15">
        <f t="shared" si="15"/>
        <v>1.0110885244454435</v>
      </c>
      <c r="V102" s="15">
        <f t="shared" si="16"/>
        <v>1.0115581189128322</v>
      </c>
    </row>
    <row r="103" spans="1:22" x14ac:dyDescent="0.25">
      <c r="A103" s="6">
        <v>44861</v>
      </c>
      <c r="B103" s="10">
        <v>1.7551000000000001</v>
      </c>
      <c r="C103" s="10">
        <v>2.4636</v>
      </c>
      <c r="D103" s="10">
        <v>2.6953</v>
      </c>
      <c r="E103" s="10">
        <v>3.1141999999999999</v>
      </c>
      <c r="F103" s="10">
        <v>1.9782</v>
      </c>
      <c r="G103" s="10">
        <v>2.4990000000000001</v>
      </c>
      <c r="H103" s="11">
        <v>2.2000000000000002</v>
      </c>
      <c r="J103" s="8">
        <v>44865</v>
      </c>
      <c r="K103" s="11">
        <v>1728.6775</v>
      </c>
      <c r="L103" s="11">
        <v>2325.6423</v>
      </c>
      <c r="M103" s="11">
        <v>2853.4969000000001</v>
      </c>
      <c r="N103" s="11">
        <v>3028.6426999999999</v>
      </c>
      <c r="O103" s="3" t="e">
        <f t="shared" si="9"/>
        <v>#VALUE!</v>
      </c>
      <c r="P103" s="3">
        <f t="shared" si="10"/>
        <v>1.4601337987722118E-2</v>
      </c>
      <c r="Q103" s="3">
        <f t="shared" si="11"/>
        <v>1.0854824900164095E-2</v>
      </c>
      <c r="R103" s="3">
        <f t="shared" si="12"/>
        <v>1.1503713698588269E-2</v>
      </c>
      <c r="S103" s="15" t="e">
        <f t="shared" si="13"/>
        <v>#VALUE!</v>
      </c>
      <c r="T103" s="15">
        <f t="shared" si="14"/>
        <v>1.0146013379877221</v>
      </c>
      <c r="U103" s="15">
        <f t="shared" si="15"/>
        <v>1.0108548249001641</v>
      </c>
      <c r="V103" s="15">
        <f t="shared" si="16"/>
        <v>1.0115037136985883</v>
      </c>
    </row>
    <row r="104" spans="1:22" x14ac:dyDescent="0.25">
      <c r="A104" s="6">
        <v>44862</v>
      </c>
      <c r="B104" s="10">
        <v>1.7403</v>
      </c>
      <c r="C104" s="10">
        <v>2.4337</v>
      </c>
      <c r="D104" s="10">
        <v>2.6652999999999998</v>
      </c>
      <c r="E104" s="10">
        <v>3.0775999999999999</v>
      </c>
      <c r="F104" s="10">
        <v>1.9619</v>
      </c>
      <c r="G104" s="10">
        <v>2.4864000000000002</v>
      </c>
      <c r="H104" s="11">
        <v>1.99</v>
      </c>
      <c r="J104" s="8">
        <v>44866</v>
      </c>
      <c r="K104" s="11">
        <v>1728.5958000000001</v>
      </c>
      <c r="L104" s="11">
        <v>2325.2386999999999</v>
      </c>
      <c r="M104" s="11">
        <v>2856.3987000000002</v>
      </c>
      <c r="N104" s="11">
        <v>3030.7591000000002</v>
      </c>
      <c r="O104" s="3" t="e">
        <f t="shared" si="9"/>
        <v>#VALUE!</v>
      </c>
      <c r="P104" s="3">
        <f t="shared" si="10"/>
        <v>1.442526056600868E-2</v>
      </c>
      <c r="Q104" s="3">
        <f t="shared" si="11"/>
        <v>1.1882791158299932E-2</v>
      </c>
      <c r="R104" s="3">
        <f t="shared" si="12"/>
        <v>1.2210547310777642E-2</v>
      </c>
      <c r="S104" s="15" t="e">
        <f t="shared" si="13"/>
        <v>#VALUE!</v>
      </c>
      <c r="T104" s="15">
        <f t="shared" si="14"/>
        <v>1.0144252605660087</v>
      </c>
      <c r="U104" s="15">
        <f t="shared" si="15"/>
        <v>1.0118827911582999</v>
      </c>
      <c r="V104" s="15">
        <f t="shared" si="16"/>
        <v>1.0122105473107776</v>
      </c>
    </row>
    <row r="105" spans="1:22" x14ac:dyDescent="0.25">
      <c r="A105" s="6">
        <v>44865</v>
      </c>
      <c r="B105" s="10">
        <v>1.7304999999999999</v>
      </c>
      <c r="C105" s="10">
        <v>2.4272</v>
      </c>
      <c r="D105" s="10">
        <v>2.6433</v>
      </c>
      <c r="E105" s="10">
        <v>3.0653000000000001</v>
      </c>
      <c r="F105" s="10">
        <v>1.9516</v>
      </c>
      <c r="G105" s="10">
        <v>2.4597000000000002</v>
      </c>
      <c r="H105" s="11">
        <v>1.94</v>
      </c>
      <c r="J105" s="8">
        <v>44867</v>
      </c>
      <c r="K105" s="11">
        <v>1728.5253</v>
      </c>
      <c r="L105" s="11">
        <v>2324.8045000000002</v>
      </c>
      <c r="M105" s="11">
        <v>2858.2474000000002</v>
      </c>
      <c r="N105" s="11">
        <v>3031.9072999999999</v>
      </c>
      <c r="O105" s="3" t="e">
        <f t="shared" si="9"/>
        <v>#VALUE!</v>
      </c>
      <c r="P105" s="3">
        <f t="shared" si="10"/>
        <v>1.4235833369507178E-2</v>
      </c>
      <c r="Q105" s="3">
        <f t="shared" si="11"/>
        <v>1.2537695431997564E-2</v>
      </c>
      <c r="R105" s="3">
        <f t="shared" si="12"/>
        <v>1.2594022246288805E-2</v>
      </c>
      <c r="S105" s="15" t="e">
        <f t="shared" si="13"/>
        <v>#VALUE!</v>
      </c>
      <c r="T105" s="15">
        <f t="shared" si="14"/>
        <v>1.0142358333695072</v>
      </c>
      <c r="U105" s="15">
        <f t="shared" si="15"/>
        <v>1.0125376954319976</v>
      </c>
      <c r="V105" s="15">
        <f t="shared" si="16"/>
        <v>1.0125940222462888</v>
      </c>
    </row>
    <row r="106" spans="1:22" x14ac:dyDescent="0.25">
      <c r="A106" s="6">
        <v>44866</v>
      </c>
      <c r="B106" s="10">
        <v>1.7523</v>
      </c>
      <c r="C106" s="10">
        <v>2.4476</v>
      </c>
      <c r="D106" s="10">
        <v>2.6629</v>
      </c>
      <c r="E106" s="10">
        <v>3.0752999999999999</v>
      </c>
      <c r="F106" s="10">
        <v>1.9781</v>
      </c>
      <c r="G106" s="10">
        <v>2.4834000000000001</v>
      </c>
      <c r="H106" s="11">
        <v>1.85</v>
      </c>
      <c r="J106" s="8">
        <v>44868</v>
      </c>
      <c r="K106" s="11">
        <v>1728.5657000000001</v>
      </c>
      <c r="L106" s="11">
        <v>2324.8301000000001</v>
      </c>
      <c r="M106" s="11">
        <v>2858.1444000000001</v>
      </c>
      <c r="N106" s="11">
        <v>3031.6774999999998</v>
      </c>
      <c r="O106" s="3" t="e">
        <f t="shared" si="9"/>
        <v>#VALUE!</v>
      </c>
      <c r="P106" s="3">
        <f t="shared" si="10"/>
        <v>1.4247001808545656E-2</v>
      </c>
      <c r="Q106" s="3">
        <f t="shared" si="11"/>
        <v>1.2501207553925919E-2</v>
      </c>
      <c r="R106" s="3">
        <f t="shared" si="12"/>
        <v>1.2517273822511887E-2</v>
      </c>
      <c r="S106" s="15" t="e">
        <f t="shared" si="13"/>
        <v>#VALUE!</v>
      </c>
      <c r="T106" s="15">
        <f t="shared" si="14"/>
        <v>1.0142470018085457</v>
      </c>
      <c r="U106" s="15">
        <f t="shared" si="15"/>
        <v>1.0125012075539259</v>
      </c>
      <c r="V106" s="15">
        <f t="shared" si="16"/>
        <v>1.0125172738225119</v>
      </c>
    </row>
    <row r="107" spans="1:22" x14ac:dyDescent="0.25">
      <c r="A107" s="6">
        <v>44867</v>
      </c>
      <c r="B107" s="10">
        <v>1.7633000000000001</v>
      </c>
      <c r="C107" s="10">
        <v>2.4628999999999999</v>
      </c>
      <c r="D107" s="10">
        <v>2.6854</v>
      </c>
      <c r="E107" s="10">
        <v>3.0853000000000002</v>
      </c>
      <c r="F107" s="10">
        <v>1.9851000000000001</v>
      </c>
      <c r="G107" s="10">
        <v>2.4981</v>
      </c>
      <c r="H107" s="11">
        <v>1.8</v>
      </c>
      <c r="J107" s="8">
        <v>44869</v>
      </c>
      <c r="K107" s="11">
        <v>1728.3784000000001</v>
      </c>
      <c r="L107" s="11">
        <v>2324.1963000000001</v>
      </c>
      <c r="M107" s="11">
        <v>2861.8978000000002</v>
      </c>
      <c r="N107" s="11">
        <v>3033.828</v>
      </c>
      <c r="O107" s="3" t="e">
        <f t="shared" si="9"/>
        <v>#VALUE!</v>
      </c>
      <c r="P107" s="3">
        <f t="shared" si="10"/>
        <v>1.3970495688917284E-2</v>
      </c>
      <c r="Q107" s="3">
        <f t="shared" si="11"/>
        <v>1.3830854170952422E-2</v>
      </c>
      <c r="R107" s="3">
        <f t="shared" si="12"/>
        <v>1.323549612595798E-2</v>
      </c>
      <c r="S107" s="15" t="e">
        <f t="shared" si="13"/>
        <v>#VALUE!</v>
      </c>
      <c r="T107" s="15">
        <f t="shared" si="14"/>
        <v>1.0139704956889173</v>
      </c>
      <c r="U107" s="15">
        <f t="shared" si="15"/>
        <v>1.0138308541709524</v>
      </c>
      <c r="V107" s="15">
        <f t="shared" si="16"/>
        <v>1.013235496125958</v>
      </c>
    </row>
    <row r="108" spans="1:22" x14ac:dyDescent="0.25">
      <c r="A108" s="6">
        <v>44868</v>
      </c>
      <c r="B108" s="10">
        <v>1.7529999999999999</v>
      </c>
      <c r="C108" s="10">
        <v>2.4632000000000001</v>
      </c>
      <c r="D108" s="10">
        <v>2.6776</v>
      </c>
      <c r="E108" s="10">
        <v>3.0853999999999999</v>
      </c>
      <c r="F108" s="10">
        <v>1.9865999999999999</v>
      </c>
      <c r="G108" s="10">
        <v>2.5004</v>
      </c>
      <c r="H108" s="11">
        <v>1.65</v>
      </c>
      <c r="J108" s="8">
        <v>44872</v>
      </c>
      <c r="K108" s="11">
        <v>1728.5295000000001</v>
      </c>
      <c r="L108" s="11">
        <v>2324.1911</v>
      </c>
      <c r="M108" s="11">
        <v>2861.1511999999998</v>
      </c>
      <c r="N108" s="11">
        <v>3033.6061</v>
      </c>
      <c r="O108" s="3" t="e">
        <f t="shared" si="9"/>
        <v>#VALUE!</v>
      </c>
      <c r="P108" s="3">
        <f t="shared" si="10"/>
        <v>1.396822709973744E-2</v>
      </c>
      <c r="Q108" s="3">
        <f t="shared" si="11"/>
        <v>1.3566370192620081E-2</v>
      </c>
      <c r="R108" s="3">
        <f t="shared" si="12"/>
        <v>1.3161386137985565E-2</v>
      </c>
      <c r="S108" s="15" t="e">
        <f t="shared" si="13"/>
        <v>#VALUE!</v>
      </c>
      <c r="T108" s="15">
        <f t="shared" si="14"/>
        <v>1.0139682270997374</v>
      </c>
      <c r="U108" s="15">
        <f t="shared" si="15"/>
        <v>1.0135663701926201</v>
      </c>
      <c r="V108" s="15">
        <f t="shared" si="16"/>
        <v>1.0131613861379856</v>
      </c>
    </row>
    <row r="109" spans="1:22" x14ac:dyDescent="0.25">
      <c r="A109" s="6">
        <v>44869</v>
      </c>
      <c r="B109" s="10">
        <v>1.7627999999999999</v>
      </c>
      <c r="C109" s="10">
        <v>2.4887000000000001</v>
      </c>
      <c r="D109" s="10">
        <v>2.7023000000000001</v>
      </c>
      <c r="E109" s="10">
        <v>3.1029</v>
      </c>
      <c r="F109" s="10">
        <v>1.9992000000000001</v>
      </c>
      <c r="G109" s="10">
        <v>2.5266999999999999</v>
      </c>
      <c r="H109" s="11">
        <v>1.68</v>
      </c>
      <c r="J109" s="8">
        <v>44873</v>
      </c>
      <c r="K109" s="11">
        <v>1728.258</v>
      </c>
      <c r="L109" s="11">
        <v>2324.1309999999999</v>
      </c>
      <c r="M109" s="11">
        <v>2859.8649999999998</v>
      </c>
      <c r="N109" s="11">
        <v>3032.2384999999999</v>
      </c>
      <c r="O109" s="3" t="e">
        <f t="shared" si="9"/>
        <v>#VALUE!</v>
      </c>
      <c r="P109" s="3">
        <f t="shared" si="10"/>
        <v>1.3942007444026405E-2</v>
      </c>
      <c r="Q109" s="3">
        <f t="shared" si="11"/>
        <v>1.311073224334236E-2</v>
      </c>
      <c r="R109" s="3">
        <f t="shared" si="12"/>
        <v>1.2704636162541361E-2</v>
      </c>
      <c r="S109" s="15" t="e">
        <f t="shared" si="13"/>
        <v>#VALUE!</v>
      </c>
      <c r="T109" s="15">
        <f t="shared" si="14"/>
        <v>1.0139420074440264</v>
      </c>
      <c r="U109" s="15">
        <f t="shared" si="15"/>
        <v>1.0131107322433424</v>
      </c>
      <c r="V109" s="15">
        <f t="shared" si="16"/>
        <v>1.0127046361625414</v>
      </c>
    </row>
    <row r="110" spans="1:22" x14ac:dyDescent="0.25">
      <c r="A110" s="6">
        <v>44872</v>
      </c>
      <c r="B110" s="10">
        <v>1.7516</v>
      </c>
      <c r="C110" s="10">
        <v>2.4944999999999999</v>
      </c>
      <c r="D110" s="10">
        <v>2.7002999999999999</v>
      </c>
      <c r="E110" s="10">
        <v>3.1044999999999998</v>
      </c>
      <c r="F110" s="10">
        <v>2.0150000000000001</v>
      </c>
      <c r="G110" s="10">
        <v>2.5390000000000001</v>
      </c>
      <c r="H110" s="11">
        <v>1.75</v>
      </c>
      <c r="J110" s="8">
        <v>44874</v>
      </c>
      <c r="K110" s="11">
        <v>1728.0588</v>
      </c>
      <c r="L110" s="11">
        <v>2323.5228999999999</v>
      </c>
      <c r="M110" s="11">
        <v>2858.4413</v>
      </c>
      <c r="N110" s="11">
        <v>3031.0949000000001</v>
      </c>
      <c r="O110" s="3" t="e">
        <f t="shared" si="9"/>
        <v>#VALUE!</v>
      </c>
      <c r="P110" s="3">
        <f t="shared" si="10"/>
        <v>1.3676713390151418E-2</v>
      </c>
      <c r="Q110" s="3">
        <f t="shared" si="11"/>
        <v>1.2606384748095278E-2</v>
      </c>
      <c r="R110" s="3">
        <f t="shared" si="12"/>
        <v>1.2322697531422788E-2</v>
      </c>
      <c r="S110" s="15" t="e">
        <f t="shared" si="13"/>
        <v>#VALUE!</v>
      </c>
      <c r="T110" s="15">
        <f t="shared" si="14"/>
        <v>1.0136767133901514</v>
      </c>
      <c r="U110" s="15">
        <f t="shared" si="15"/>
        <v>1.0126063847480953</v>
      </c>
      <c r="V110" s="15">
        <f t="shared" si="16"/>
        <v>1.0123226975314228</v>
      </c>
    </row>
    <row r="111" spans="1:22" x14ac:dyDescent="0.25">
      <c r="A111" s="6">
        <v>44873</v>
      </c>
      <c r="B111" s="10">
        <v>1.7774000000000001</v>
      </c>
      <c r="C111" s="10">
        <v>2.4841000000000002</v>
      </c>
      <c r="D111" s="10">
        <v>2.6852999999999998</v>
      </c>
      <c r="E111" s="10">
        <v>3.1006</v>
      </c>
      <c r="F111" s="10">
        <v>2.0413000000000001</v>
      </c>
      <c r="G111" s="10">
        <v>2.5566</v>
      </c>
      <c r="H111" s="11">
        <v>1.84</v>
      </c>
      <c r="J111" s="8">
        <v>44875</v>
      </c>
      <c r="K111" s="11">
        <v>1727.6106</v>
      </c>
      <c r="L111" s="11">
        <v>2322.6176</v>
      </c>
      <c r="M111" s="11">
        <v>2855.6994</v>
      </c>
      <c r="N111" s="11">
        <v>3029.0167999999999</v>
      </c>
      <c r="O111" s="3" t="e">
        <f t="shared" si="9"/>
        <v>#VALUE!</v>
      </c>
      <c r="P111" s="3">
        <f t="shared" si="10"/>
        <v>1.3281760739315862E-2</v>
      </c>
      <c r="Q111" s="3">
        <f t="shared" si="11"/>
        <v>1.1635063263781165E-2</v>
      </c>
      <c r="R111" s="3">
        <f t="shared" si="12"/>
        <v>1.1628655323196124E-2</v>
      </c>
      <c r="S111" s="15" t="e">
        <f t="shared" si="13"/>
        <v>#VALUE!</v>
      </c>
      <c r="T111" s="15">
        <f t="shared" si="14"/>
        <v>1.0132817607393159</v>
      </c>
      <c r="U111" s="15">
        <f t="shared" si="15"/>
        <v>1.0116350632637812</v>
      </c>
      <c r="V111" s="15">
        <f t="shared" si="16"/>
        <v>1.0116286553231961</v>
      </c>
    </row>
    <row r="112" spans="1:22" x14ac:dyDescent="0.25">
      <c r="A112" s="6">
        <v>44874</v>
      </c>
      <c r="B112" s="10">
        <v>1.8156000000000001</v>
      </c>
      <c r="C112" s="10">
        <v>2.4967999999999999</v>
      </c>
      <c r="D112" s="10">
        <v>2.6953</v>
      </c>
      <c r="E112" s="10">
        <v>3.1105</v>
      </c>
      <c r="F112" s="10">
        <v>2.0455999999999999</v>
      </c>
      <c r="G112" s="10">
        <v>2.5457999999999998</v>
      </c>
      <c r="H112" s="11">
        <v>1.91</v>
      </c>
      <c r="J112" s="8">
        <v>44876</v>
      </c>
      <c r="K112" s="11">
        <v>1727.0217</v>
      </c>
      <c r="L112" s="11">
        <v>2320.5630000000001</v>
      </c>
      <c r="M112" s="11">
        <v>2856.4099000000001</v>
      </c>
      <c r="N112" s="11">
        <v>3029.1514000000002</v>
      </c>
      <c r="O112" s="3" t="e">
        <f t="shared" si="9"/>
        <v>#VALUE!</v>
      </c>
      <c r="P112" s="3">
        <f t="shared" si="10"/>
        <v>1.2385406253060838E-2</v>
      </c>
      <c r="Q112" s="3">
        <f t="shared" si="11"/>
        <v>1.1886758772226003E-2</v>
      </c>
      <c r="R112" s="3">
        <f t="shared" si="12"/>
        <v>1.1673608925634626E-2</v>
      </c>
      <c r="S112" s="15" t="e">
        <f t="shared" si="13"/>
        <v>#VALUE!</v>
      </c>
      <c r="T112" s="15">
        <f t="shared" si="14"/>
        <v>1.0123854062530608</v>
      </c>
      <c r="U112" s="15">
        <f t="shared" si="15"/>
        <v>1.011886758772226</v>
      </c>
      <c r="V112" s="15">
        <f t="shared" si="16"/>
        <v>1.0116736089256346</v>
      </c>
    </row>
    <row r="113" spans="1:22" x14ac:dyDescent="0.25">
      <c r="A113" s="6">
        <v>44875</v>
      </c>
      <c r="B113" s="10">
        <v>1.8584000000000001</v>
      </c>
      <c r="C113" s="10">
        <v>2.5022000000000002</v>
      </c>
      <c r="D113" s="10">
        <v>2.7027999999999999</v>
      </c>
      <c r="E113" s="10">
        <v>3.1166</v>
      </c>
      <c r="F113" s="10">
        <v>2.0661999999999998</v>
      </c>
      <c r="G113" s="10">
        <v>2.5514999999999999</v>
      </c>
      <c r="H113" s="11">
        <v>1.9</v>
      </c>
      <c r="J113" s="8">
        <v>44879</v>
      </c>
      <c r="K113" s="11">
        <v>1724.8159000000001</v>
      </c>
      <c r="L113" s="11">
        <v>2315.1172999999999</v>
      </c>
      <c r="M113" s="11">
        <v>2848.8523</v>
      </c>
      <c r="N113" s="11">
        <v>3022.3323999999998</v>
      </c>
      <c r="O113" s="3" t="e">
        <f t="shared" si="9"/>
        <v>#VALUE!</v>
      </c>
      <c r="P113" s="3">
        <f t="shared" si="10"/>
        <v>1.0009626234663394E-2</v>
      </c>
      <c r="Q113" s="3">
        <f t="shared" si="11"/>
        <v>9.2094695750080113E-3</v>
      </c>
      <c r="R113" s="3">
        <f t="shared" si="12"/>
        <v>9.396204653512763E-3</v>
      </c>
      <c r="S113" s="15" t="e">
        <f t="shared" si="13"/>
        <v>#VALUE!</v>
      </c>
      <c r="T113" s="15">
        <f t="shared" si="14"/>
        <v>1.0100096262346634</v>
      </c>
      <c r="U113" s="15">
        <f t="shared" si="15"/>
        <v>1.009209469575008</v>
      </c>
      <c r="V113" s="15">
        <f t="shared" si="16"/>
        <v>1.0093962046535128</v>
      </c>
    </row>
    <row r="114" spans="1:22" x14ac:dyDescent="0.25">
      <c r="A114" s="6">
        <v>44876</v>
      </c>
      <c r="B114" s="10">
        <v>1.9614</v>
      </c>
      <c r="C114" s="10">
        <v>2.5348000000000002</v>
      </c>
      <c r="D114" s="10">
        <v>2.7353999999999998</v>
      </c>
      <c r="E114" s="10">
        <v>3.1356999999999999</v>
      </c>
      <c r="F114" s="10">
        <v>2.0819000000000001</v>
      </c>
      <c r="G114" s="10">
        <v>2.5865999999999998</v>
      </c>
      <c r="H114" s="11">
        <v>1.85</v>
      </c>
      <c r="J114" s="8">
        <v>44880</v>
      </c>
      <c r="K114" s="11">
        <v>1723.8072</v>
      </c>
      <c r="L114" s="11">
        <v>2313.3932</v>
      </c>
      <c r="M114" s="11">
        <v>2849.0994000000001</v>
      </c>
      <c r="N114" s="11">
        <v>3021.7447000000002</v>
      </c>
      <c r="O114" s="3" t="e">
        <f t="shared" si="9"/>
        <v>#VALUE!</v>
      </c>
      <c r="P114" s="3">
        <f t="shared" si="10"/>
        <v>9.2574580414614971E-3</v>
      </c>
      <c r="Q114" s="3">
        <f t="shared" si="11"/>
        <v>9.2970050572553919E-3</v>
      </c>
      <c r="R114" s="3">
        <f t="shared" si="12"/>
        <v>9.1999250684231537E-3</v>
      </c>
      <c r="S114" s="15" t="e">
        <f t="shared" si="13"/>
        <v>#VALUE!</v>
      </c>
      <c r="T114" s="15">
        <f t="shared" si="14"/>
        <v>1.0092574580414615</v>
      </c>
      <c r="U114" s="15">
        <f t="shared" si="15"/>
        <v>1.0092970050572554</v>
      </c>
      <c r="V114" s="15">
        <f t="shared" si="16"/>
        <v>1.0091999250684232</v>
      </c>
    </row>
    <row r="115" spans="1:22" x14ac:dyDescent="0.25">
      <c r="A115" s="6">
        <v>44879</v>
      </c>
      <c r="B115" s="10">
        <v>2.0663</v>
      </c>
      <c r="C115" s="10">
        <v>2.6474000000000002</v>
      </c>
      <c r="D115" s="10">
        <v>2.8353999999999999</v>
      </c>
      <c r="E115" s="10">
        <v>3.2206999999999999</v>
      </c>
      <c r="F115" s="10">
        <v>2.1808999999999998</v>
      </c>
      <c r="G115" s="10">
        <v>2.7143000000000002</v>
      </c>
      <c r="H115" s="11">
        <v>1.85</v>
      </c>
      <c r="J115" s="8">
        <v>44881</v>
      </c>
      <c r="K115" s="11">
        <v>1722.4994999999999</v>
      </c>
      <c r="L115" s="11">
        <v>2310.8011999999999</v>
      </c>
      <c r="M115" s="11">
        <v>2843.6900999999998</v>
      </c>
      <c r="N115" s="11">
        <v>3016.9274</v>
      </c>
      <c r="O115" s="3" t="e">
        <f t="shared" si="9"/>
        <v>#VALUE!</v>
      </c>
      <c r="P115" s="3">
        <f t="shared" si="10"/>
        <v>8.1266535888318003E-3</v>
      </c>
      <c r="Q115" s="3">
        <f t="shared" si="11"/>
        <v>7.3807538062611311E-3</v>
      </c>
      <c r="R115" s="3">
        <f t="shared" si="12"/>
        <v>7.5910469924453938E-3</v>
      </c>
      <c r="S115" s="15" t="e">
        <f t="shared" si="13"/>
        <v>#VALUE!</v>
      </c>
      <c r="T115" s="15">
        <f t="shared" si="14"/>
        <v>1.0081266535888318</v>
      </c>
      <c r="U115" s="15">
        <f t="shared" si="15"/>
        <v>1.0073807538062611</v>
      </c>
      <c r="V115" s="15">
        <f t="shared" si="16"/>
        <v>1.0075910469924454</v>
      </c>
    </row>
    <row r="116" spans="1:22" x14ac:dyDescent="0.25">
      <c r="A116" s="6">
        <v>44880</v>
      </c>
      <c r="B116" s="10">
        <v>2.1341999999999999</v>
      </c>
      <c r="C116" s="10">
        <v>2.6475</v>
      </c>
      <c r="D116" s="10">
        <v>2.8155000000000001</v>
      </c>
      <c r="E116" s="10">
        <v>3.2158000000000002</v>
      </c>
      <c r="F116" s="10">
        <v>2.2250999999999999</v>
      </c>
      <c r="G116" s="10">
        <v>2.7483</v>
      </c>
      <c r="H116" s="11">
        <v>2</v>
      </c>
      <c r="J116" s="8">
        <v>44882</v>
      </c>
      <c r="K116" s="11">
        <v>1722.1597999999999</v>
      </c>
      <c r="L116" s="11">
        <v>2311.0796999999998</v>
      </c>
      <c r="M116" s="11">
        <v>2842.0138999999999</v>
      </c>
      <c r="N116" s="11">
        <v>3015.8816999999999</v>
      </c>
      <c r="O116" s="3" t="e">
        <f t="shared" si="9"/>
        <v>#VALUE!</v>
      </c>
      <c r="P116" s="3">
        <f t="shared" si="10"/>
        <v>8.2481539900884915E-3</v>
      </c>
      <c r="Q116" s="3">
        <f t="shared" si="11"/>
        <v>6.7869578720523016E-3</v>
      </c>
      <c r="R116" s="3">
        <f t="shared" si="12"/>
        <v>7.2418049265474682E-3</v>
      </c>
      <c r="S116" s="15" t="e">
        <f t="shared" si="13"/>
        <v>#VALUE!</v>
      </c>
      <c r="T116" s="15">
        <f t="shared" si="14"/>
        <v>1.0082481539900885</v>
      </c>
      <c r="U116" s="15">
        <f t="shared" si="15"/>
        <v>1.0067869578720523</v>
      </c>
      <c r="V116" s="15">
        <f t="shared" si="16"/>
        <v>1.0072418049265475</v>
      </c>
    </row>
    <row r="117" spans="1:22" x14ac:dyDescent="0.25">
      <c r="A117" s="6">
        <v>44881</v>
      </c>
      <c r="B117" s="10">
        <v>2.2014</v>
      </c>
      <c r="C117" s="10">
        <v>2.6823999999999999</v>
      </c>
      <c r="D117" s="10">
        <v>2.8329</v>
      </c>
      <c r="E117" s="10">
        <v>3.2309000000000001</v>
      </c>
      <c r="F117" s="10">
        <v>2.2873999999999999</v>
      </c>
      <c r="G117" s="10">
        <v>2.7884000000000002</v>
      </c>
      <c r="H117" s="11">
        <v>2.0312999999999999</v>
      </c>
      <c r="J117" s="8">
        <v>44883</v>
      </c>
      <c r="K117" s="11">
        <v>1722.3551</v>
      </c>
      <c r="L117" s="11">
        <v>2310.2170000000001</v>
      </c>
      <c r="M117" s="11">
        <v>2839.8757999999998</v>
      </c>
      <c r="N117" s="11">
        <v>3014.0756000000001</v>
      </c>
      <c r="O117" s="3" t="e">
        <f t="shared" si="9"/>
        <v>#VALUE!</v>
      </c>
      <c r="P117" s="3">
        <f t="shared" si="10"/>
        <v>7.8717863198400906E-3</v>
      </c>
      <c r="Q117" s="3">
        <f t="shared" si="11"/>
        <v>6.0295332885109687E-3</v>
      </c>
      <c r="R117" s="3">
        <f t="shared" si="12"/>
        <v>6.6386050650018014E-3</v>
      </c>
      <c r="S117" s="15" t="e">
        <f t="shared" si="13"/>
        <v>#VALUE!</v>
      </c>
      <c r="T117" s="15">
        <f t="shared" si="14"/>
        <v>1.0078717863198401</v>
      </c>
      <c r="U117" s="15">
        <f t="shared" si="15"/>
        <v>1.006029533288511</v>
      </c>
      <c r="V117" s="15">
        <f t="shared" si="16"/>
        <v>1.0066386050650018</v>
      </c>
    </row>
    <row r="118" spans="1:22" x14ac:dyDescent="0.25">
      <c r="A118" s="6">
        <v>44882</v>
      </c>
      <c r="B118" s="10">
        <v>2.1715</v>
      </c>
      <c r="C118" s="10">
        <v>2.6379000000000001</v>
      </c>
      <c r="D118" s="10">
        <v>2.8026</v>
      </c>
      <c r="E118" s="10">
        <v>3.2109000000000001</v>
      </c>
      <c r="F118" s="10">
        <v>2.2745000000000002</v>
      </c>
      <c r="G118" s="10">
        <v>2.7924000000000002</v>
      </c>
      <c r="H118" s="11">
        <v>1.95</v>
      </c>
      <c r="J118" s="8">
        <v>44886</v>
      </c>
      <c r="K118" s="11">
        <v>1722.9953</v>
      </c>
      <c r="L118" s="11">
        <v>2311.4218999999998</v>
      </c>
      <c r="M118" s="11">
        <v>2841.09</v>
      </c>
      <c r="N118" s="11">
        <v>3015.1167999999998</v>
      </c>
      <c r="O118" s="3" t="e">
        <f t="shared" si="9"/>
        <v>#VALUE!</v>
      </c>
      <c r="P118" s="3">
        <f t="shared" si="10"/>
        <v>8.3974446087959898E-3</v>
      </c>
      <c r="Q118" s="3">
        <f t="shared" si="11"/>
        <v>6.4596651482631273E-3</v>
      </c>
      <c r="R118" s="3">
        <f t="shared" si="12"/>
        <v>6.9863442244288976E-3</v>
      </c>
      <c r="S118" s="15" t="e">
        <f t="shared" si="13"/>
        <v>#VALUE!</v>
      </c>
      <c r="T118" s="15">
        <f t="shared" si="14"/>
        <v>1.008397444608796</v>
      </c>
      <c r="U118" s="15">
        <f t="shared" si="15"/>
        <v>1.0064596651482631</v>
      </c>
      <c r="V118" s="15">
        <f t="shared" si="16"/>
        <v>1.0069863442244289</v>
      </c>
    </row>
    <row r="119" spans="1:22" x14ac:dyDescent="0.25">
      <c r="A119" s="6">
        <v>44883</v>
      </c>
      <c r="B119" s="10">
        <v>2.1718000000000002</v>
      </c>
      <c r="C119" s="10">
        <v>2.6280999999999999</v>
      </c>
      <c r="D119" s="10">
        <v>2.8250000000000002</v>
      </c>
      <c r="E119" s="10">
        <v>3.2208999999999999</v>
      </c>
      <c r="F119" s="10">
        <v>2.2353000000000001</v>
      </c>
      <c r="G119" s="10">
        <v>2.7644000000000002</v>
      </c>
      <c r="H119" s="11">
        <v>1.81</v>
      </c>
      <c r="J119" s="8">
        <v>44887</v>
      </c>
      <c r="K119" s="11">
        <v>1723.1454000000001</v>
      </c>
      <c r="L119" s="11">
        <v>2311.5697</v>
      </c>
      <c r="M119" s="11">
        <v>2840.3566000000001</v>
      </c>
      <c r="N119" s="11">
        <v>3014.7231000000002</v>
      </c>
      <c r="O119" s="3" t="e">
        <f t="shared" si="9"/>
        <v>#VALUE!</v>
      </c>
      <c r="P119" s="3">
        <f t="shared" si="10"/>
        <v>8.4619248935562386E-3</v>
      </c>
      <c r="Q119" s="3">
        <f t="shared" si="11"/>
        <v>6.1998572863439794E-3</v>
      </c>
      <c r="R119" s="3">
        <f t="shared" si="12"/>
        <v>6.8548566071926498E-3</v>
      </c>
      <c r="S119" s="15" t="e">
        <f t="shared" si="13"/>
        <v>#VALUE!</v>
      </c>
      <c r="T119" s="15">
        <f t="shared" si="14"/>
        <v>1.0084619248935562</v>
      </c>
      <c r="U119" s="15">
        <f t="shared" si="15"/>
        <v>1.006199857286344</v>
      </c>
      <c r="V119" s="15">
        <f t="shared" si="16"/>
        <v>1.0068548566071926</v>
      </c>
    </row>
    <row r="120" spans="1:22" x14ac:dyDescent="0.25">
      <c r="A120" s="6">
        <v>44886</v>
      </c>
      <c r="B120" s="10">
        <v>2.1503999999999999</v>
      </c>
      <c r="C120" s="10">
        <v>2.6194999999999999</v>
      </c>
      <c r="D120" s="10">
        <v>2.8180000000000001</v>
      </c>
      <c r="E120" s="10">
        <v>3.2086000000000001</v>
      </c>
      <c r="F120" s="10">
        <v>2.2122999999999999</v>
      </c>
      <c r="G120" s="10">
        <v>2.7362000000000002</v>
      </c>
      <c r="H120" s="11">
        <v>1.7</v>
      </c>
      <c r="J120" s="8">
        <v>44888</v>
      </c>
      <c r="K120" s="11">
        <v>1723.6366</v>
      </c>
      <c r="L120" s="11">
        <v>2312.8060999999998</v>
      </c>
      <c r="M120" s="11">
        <v>2841.92</v>
      </c>
      <c r="N120" s="11">
        <v>3016.2102</v>
      </c>
      <c r="O120" s="3" t="e">
        <f t="shared" si="9"/>
        <v>#VALUE!</v>
      </c>
      <c r="P120" s="3">
        <f t="shared" si="10"/>
        <v>9.0013255977350326E-3</v>
      </c>
      <c r="Q120" s="3">
        <f t="shared" si="11"/>
        <v>6.7536936802958802E-3</v>
      </c>
      <c r="R120" s="3">
        <f t="shared" si="12"/>
        <v>7.3515170989175704E-3</v>
      </c>
      <c r="S120" s="15" t="e">
        <f t="shared" si="13"/>
        <v>#VALUE!</v>
      </c>
      <c r="T120" s="15">
        <f t="shared" si="14"/>
        <v>1.009001325597735</v>
      </c>
      <c r="U120" s="15">
        <f t="shared" si="15"/>
        <v>1.0067536936802959</v>
      </c>
      <c r="V120" s="15">
        <f t="shared" si="16"/>
        <v>1.0073515170989176</v>
      </c>
    </row>
    <row r="121" spans="1:22" x14ac:dyDescent="0.25">
      <c r="A121" s="6">
        <v>44887</v>
      </c>
      <c r="B121" s="10">
        <v>2.1431</v>
      </c>
      <c r="C121" s="10">
        <v>2.6158000000000001</v>
      </c>
      <c r="D121" s="10">
        <v>2.8275999999999999</v>
      </c>
      <c r="E121" s="10">
        <v>3.2161</v>
      </c>
      <c r="F121" s="10">
        <v>2.2187000000000001</v>
      </c>
      <c r="G121" s="10">
        <v>2.7524999999999999</v>
      </c>
      <c r="H121" s="11">
        <v>1.7111000000000001</v>
      </c>
      <c r="J121" s="8">
        <v>44889</v>
      </c>
      <c r="K121" s="11">
        <v>1724.5949000000001</v>
      </c>
      <c r="L121" s="11">
        <v>2314.4888999999998</v>
      </c>
      <c r="M121" s="11">
        <v>2844.5482000000002</v>
      </c>
      <c r="N121" s="11">
        <v>3018.7820999999999</v>
      </c>
      <c r="O121" s="3" t="e">
        <f t="shared" si="9"/>
        <v>#VALUE!</v>
      </c>
      <c r="P121" s="3">
        <f t="shared" si="10"/>
        <v>9.7354759576444572E-3</v>
      </c>
      <c r="Q121" s="3">
        <f t="shared" si="11"/>
        <v>7.6847367982340042E-3</v>
      </c>
      <c r="R121" s="3">
        <f t="shared" si="12"/>
        <v>8.210478243875885E-3</v>
      </c>
      <c r="S121" s="15" t="e">
        <f t="shared" si="13"/>
        <v>#VALUE!</v>
      </c>
      <c r="T121" s="15">
        <f t="shared" si="14"/>
        <v>1.0097354759576445</v>
      </c>
      <c r="U121" s="15">
        <f t="shared" si="15"/>
        <v>1.007684736798234</v>
      </c>
      <c r="V121" s="15">
        <f t="shared" si="16"/>
        <v>1.0082104782438759</v>
      </c>
    </row>
    <row r="122" spans="1:22" x14ac:dyDescent="0.25">
      <c r="A122" s="6">
        <v>44888</v>
      </c>
      <c r="B122" s="10">
        <v>2.1023999999999998</v>
      </c>
      <c r="C122" s="10">
        <v>2.5813000000000001</v>
      </c>
      <c r="D122" s="10">
        <v>2.7974999999999999</v>
      </c>
      <c r="E122" s="10">
        <v>3.1911999999999998</v>
      </c>
      <c r="F122" s="10">
        <v>2.1915</v>
      </c>
      <c r="G122" s="10">
        <v>2.7231000000000001</v>
      </c>
      <c r="H122" s="11">
        <v>1.7</v>
      </c>
      <c r="J122" s="8">
        <v>44890</v>
      </c>
      <c r="K122" s="11">
        <v>1724.663</v>
      </c>
      <c r="L122" s="11">
        <v>2314.6016</v>
      </c>
      <c r="M122" s="11">
        <v>2844.4497000000001</v>
      </c>
      <c r="N122" s="11">
        <v>3018.8366000000001</v>
      </c>
      <c r="O122" s="3" t="e">
        <f t="shared" si="9"/>
        <v>#VALUE!</v>
      </c>
      <c r="P122" s="3">
        <f t="shared" si="10"/>
        <v>9.784643265442261E-3</v>
      </c>
      <c r="Q122" s="3">
        <f t="shared" si="11"/>
        <v>7.6498430507578874E-3</v>
      </c>
      <c r="R122" s="3">
        <f t="shared" si="12"/>
        <v>8.228680111133535E-3</v>
      </c>
      <c r="S122" s="15" t="e">
        <f t="shared" si="13"/>
        <v>#VALUE!</v>
      </c>
      <c r="T122" s="15">
        <f t="shared" si="14"/>
        <v>1.0097846432654423</v>
      </c>
      <c r="U122" s="15">
        <f t="shared" si="15"/>
        <v>1.0076498430507579</v>
      </c>
      <c r="V122" s="15">
        <f t="shared" si="16"/>
        <v>1.0082286801111335</v>
      </c>
    </row>
    <row r="123" spans="1:22" x14ac:dyDescent="0.25">
      <c r="A123" s="6">
        <v>44889</v>
      </c>
      <c r="B123" s="10">
        <v>2.0581</v>
      </c>
      <c r="C123" s="10">
        <v>2.5722999999999998</v>
      </c>
      <c r="D123" s="10">
        <v>2.7949999999999999</v>
      </c>
      <c r="E123" s="10">
        <v>3.1812999999999998</v>
      </c>
      <c r="F123" s="10">
        <v>2.1408999999999998</v>
      </c>
      <c r="G123" s="10">
        <v>2.6673</v>
      </c>
      <c r="H123" s="11">
        <v>2.1</v>
      </c>
      <c r="J123" s="8">
        <v>44893</v>
      </c>
      <c r="K123" s="11">
        <v>1724.8287</v>
      </c>
      <c r="L123" s="11">
        <v>2314.1172000000001</v>
      </c>
      <c r="M123" s="11">
        <v>2842.7959000000001</v>
      </c>
      <c r="N123" s="11">
        <v>3016.9816999999998</v>
      </c>
      <c r="O123" s="3" t="e">
        <f t="shared" si="9"/>
        <v>#VALUE!</v>
      </c>
      <c r="P123" s="3">
        <f t="shared" si="10"/>
        <v>9.5733154580139868E-3</v>
      </c>
      <c r="Q123" s="3">
        <f t="shared" si="11"/>
        <v>7.0639823444014205E-3</v>
      </c>
      <c r="R123" s="3">
        <f t="shared" si="12"/>
        <v>7.609182063859965E-3</v>
      </c>
      <c r="S123" s="15" t="e">
        <f t="shared" si="13"/>
        <v>#VALUE!</v>
      </c>
      <c r="T123" s="15">
        <f t="shared" si="14"/>
        <v>1.009573315458014</v>
      </c>
      <c r="U123" s="15">
        <f t="shared" si="15"/>
        <v>1.0070639823444014</v>
      </c>
      <c r="V123" s="15">
        <f t="shared" si="16"/>
        <v>1.00760918206386</v>
      </c>
    </row>
    <row r="124" spans="1:22" x14ac:dyDescent="0.25">
      <c r="A124" s="6">
        <v>44890</v>
      </c>
      <c r="B124" s="10">
        <v>2.0684999999999998</v>
      </c>
      <c r="C124" s="10">
        <v>2.6143999999999998</v>
      </c>
      <c r="D124" s="10">
        <v>2.83</v>
      </c>
      <c r="E124" s="10">
        <v>3.2162000000000002</v>
      </c>
      <c r="F124" s="10">
        <v>2.1791999999999998</v>
      </c>
      <c r="G124" s="10">
        <v>2.7069999999999999</v>
      </c>
      <c r="H124" s="11">
        <v>2.15</v>
      </c>
      <c r="J124" s="8">
        <v>44894</v>
      </c>
      <c r="K124" s="11">
        <v>1723.9422</v>
      </c>
      <c r="L124" s="11">
        <v>2311.5410999999999</v>
      </c>
      <c r="M124" s="11">
        <v>2843.3323999999998</v>
      </c>
      <c r="N124" s="11">
        <v>3016.6855999999998</v>
      </c>
      <c r="O124" s="3" t="e">
        <f t="shared" si="9"/>
        <v>#VALUE!</v>
      </c>
      <c r="P124" s="3">
        <f t="shared" si="10"/>
        <v>8.4494476530680984E-3</v>
      </c>
      <c r="Q124" s="3">
        <f t="shared" si="11"/>
        <v>7.2540381364922801E-3</v>
      </c>
      <c r="R124" s="3">
        <f t="shared" si="12"/>
        <v>7.5102908180797456E-3</v>
      </c>
      <c r="S124" s="15" t="e">
        <f t="shared" si="13"/>
        <v>#VALUE!</v>
      </c>
      <c r="T124" s="15">
        <f t="shared" si="14"/>
        <v>1.0084494476530681</v>
      </c>
      <c r="U124" s="15">
        <f t="shared" si="15"/>
        <v>1.0072540381364923</v>
      </c>
      <c r="V124" s="15">
        <f t="shared" si="16"/>
        <v>1.0075102908180797</v>
      </c>
    </row>
    <row r="125" spans="1:22" x14ac:dyDescent="0.25">
      <c r="A125" s="6">
        <v>44893</v>
      </c>
      <c r="B125" s="10">
        <v>2.0699000000000001</v>
      </c>
      <c r="C125" s="10">
        <v>2.6541000000000001</v>
      </c>
      <c r="D125" s="10">
        <v>2.86</v>
      </c>
      <c r="E125" s="10">
        <v>3.2336999999999998</v>
      </c>
      <c r="F125" s="10">
        <v>2.2191999999999998</v>
      </c>
      <c r="G125" s="10">
        <v>2.7538</v>
      </c>
      <c r="H125" s="11">
        <v>2.0499999999999998</v>
      </c>
      <c r="J125" s="8">
        <v>44895</v>
      </c>
      <c r="K125" s="11">
        <v>1723.7126000000001</v>
      </c>
      <c r="L125" s="11">
        <v>2310.9241000000002</v>
      </c>
      <c r="M125" s="11">
        <v>2842.7156</v>
      </c>
      <c r="N125" s="11">
        <v>3015.9558999999999</v>
      </c>
      <c r="O125" s="3" t="e">
        <f t="shared" si="9"/>
        <v>#VALUE!</v>
      </c>
      <c r="P125" s="3">
        <f t="shared" si="10"/>
        <v>8.1802708215588105E-3</v>
      </c>
      <c r="Q125" s="3">
        <f t="shared" si="11"/>
        <v>7.0355359695553066E-3</v>
      </c>
      <c r="R125" s="3">
        <f t="shared" si="12"/>
        <v>7.2665861843552726E-3</v>
      </c>
      <c r="S125" s="15" t="e">
        <f t="shared" si="13"/>
        <v>#VALUE!</v>
      </c>
      <c r="T125" s="15">
        <f t="shared" si="14"/>
        <v>1.0081802708215588</v>
      </c>
      <c r="U125" s="15">
        <f t="shared" si="15"/>
        <v>1.0070355359695553</v>
      </c>
      <c r="V125" s="15">
        <f t="shared" si="16"/>
        <v>1.0072665861843553</v>
      </c>
    </row>
    <row r="126" spans="1:22" x14ac:dyDescent="0.25">
      <c r="A126" s="6">
        <v>44894</v>
      </c>
      <c r="B126" s="10">
        <v>2.1139000000000001</v>
      </c>
      <c r="C126" s="10">
        <v>2.7046999999999999</v>
      </c>
      <c r="D126" s="10">
        <v>2.88</v>
      </c>
      <c r="E126" s="10">
        <v>3.2663000000000002</v>
      </c>
      <c r="F126" s="10">
        <v>2.2684000000000002</v>
      </c>
      <c r="G126" s="10">
        <v>2.8334000000000001</v>
      </c>
      <c r="H126" s="11">
        <v>2.1</v>
      </c>
      <c r="J126" s="8">
        <v>44896</v>
      </c>
      <c r="K126" s="11">
        <v>1723.5513000000001</v>
      </c>
      <c r="L126" s="11">
        <v>2310.8044</v>
      </c>
      <c r="M126" s="11">
        <v>2844.4362999999998</v>
      </c>
      <c r="N126" s="11">
        <v>3016.9573</v>
      </c>
      <c r="O126" s="3" t="e">
        <f t="shared" si="9"/>
        <v>#VALUE!</v>
      </c>
      <c r="P126" s="3">
        <f t="shared" si="10"/>
        <v>8.1280496437114991E-3</v>
      </c>
      <c r="Q126" s="3">
        <f t="shared" si="11"/>
        <v>7.6450960840959148E-3</v>
      </c>
      <c r="R126" s="3">
        <f t="shared" si="12"/>
        <v>7.6010329709959024E-3</v>
      </c>
      <c r="S126" s="15" t="e">
        <f t="shared" si="13"/>
        <v>#VALUE!</v>
      </c>
      <c r="T126" s="15">
        <f t="shared" si="14"/>
        <v>1.0081280496437115</v>
      </c>
      <c r="U126" s="15">
        <f t="shared" si="15"/>
        <v>1.0076450960840959</v>
      </c>
      <c r="V126" s="15">
        <f t="shared" si="16"/>
        <v>1.0076010329709959</v>
      </c>
    </row>
    <row r="127" spans="1:22" x14ac:dyDescent="0.25">
      <c r="A127" s="6">
        <v>44895</v>
      </c>
      <c r="B127" s="10">
        <v>2.1341000000000001</v>
      </c>
      <c r="C127" s="10">
        <v>2.6945000000000001</v>
      </c>
      <c r="D127" s="10">
        <v>2.8849999999999998</v>
      </c>
      <c r="E127" s="10">
        <v>3.2763</v>
      </c>
      <c r="F127" s="10">
        <v>2.2498</v>
      </c>
      <c r="G127" s="10">
        <v>2.8149999999999999</v>
      </c>
      <c r="H127" s="11">
        <v>2.2000000000000002</v>
      </c>
      <c r="J127" s="8">
        <v>44897</v>
      </c>
      <c r="K127" s="11">
        <v>1723.5780999999999</v>
      </c>
      <c r="L127" s="11">
        <v>2310.4683</v>
      </c>
      <c r="M127" s="11">
        <v>2843.9978000000001</v>
      </c>
      <c r="N127" s="11">
        <v>3015.9924000000001</v>
      </c>
      <c r="O127" s="3" t="e">
        <f t="shared" si="9"/>
        <v>#VALUE!</v>
      </c>
      <c r="P127" s="3">
        <f t="shared" si="10"/>
        <v>7.9814202546186763E-3</v>
      </c>
      <c r="Q127" s="3">
        <f t="shared" si="11"/>
        <v>7.4897569138594466E-3</v>
      </c>
      <c r="R127" s="3">
        <f t="shared" si="12"/>
        <v>7.2787764257298271E-3</v>
      </c>
      <c r="S127" s="15" t="e">
        <f t="shared" si="13"/>
        <v>#VALUE!</v>
      </c>
      <c r="T127" s="15">
        <f t="shared" si="14"/>
        <v>1.0079814202546187</v>
      </c>
      <c r="U127" s="15">
        <f t="shared" si="15"/>
        <v>1.0074897569138594</v>
      </c>
      <c r="V127" s="15">
        <f t="shared" si="16"/>
        <v>1.0072787764257298</v>
      </c>
    </row>
    <row r="128" spans="1:22" x14ac:dyDescent="0.25">
      <c r="A128" s="6">
        <v>44896</v>
      </c>
      <c r="B128" s="10">
        <v>2.1456</v>
      </c>
      <c r="C128" s="10">
        <v>2.6749000000000001</v>
      </c>
      <c r="D128" s="10">
        <v>2.86</v>
      </c>
      <c r="E128" s="10">
        <v>3.2614999999999998</v>
      </c>
      <c r="F128" s="10">
        <v>2.2383000000000002</v>
      </c>
      <c r="G128" s="10">
        <v>2.8149000000000002</v>
      </c>
      <c r="H128" s="11">
        <v>1.75</v>
      </c>
      <c r="J128" s="8">
        <v>44900</v>
      </c>
      <c r="K128" s="11">
        <v>1723.6470999999999</v>
      </c>
      <c r="L128" s="11">
        <v>2310.1370999999999</v>
      </c>
      <c r="M128" s="11">
        <v>2845.2781</v>
      </c>
      <c r="N128" s="11">
        <v>3017.1759999999999</v>
      </c>
      <c r="O128" s="3" t="e">
        <f t="shared" si="9"/>
        <v>#VALUE!</v>
      </c>
      <c r="P128" s="3">
        <f t="shared" si="10"/>
        <v>7.836928574560309E-3</v>
      </c>
      <c r="Q128" s="3">
        <f t="shared" si="11"/>
        <v>7.9433047808010748E-3</v>
      </c>
      <c r="R128" s="3">
        <f t="shared" si="12"/>
        <v>7.6740742254779448E-3</v>
      </c>
      <c r="S128" s="15" t="e">
        <f t="shared" si="13"/>
        <v>#VALUE!</v>
      </c>
      <c r="T128" s="15">
        <f t="shared" si="14"/>
        <v>1.0078369285745603</v>
      </c>
      <c r="U128" s="15">
        <f t="shared" si="15"/>
        <v>1.0079433047808011</v>
      </c>
      <c r="V128" s="15">
        <f t="shared" si="16"/>
        <v>1.0076740742254779</v>
      </c>
    </row>
    <row r="129" spans="1:22" x14ac:dyDescent="0.25">
      <c r="A129" s="6">
        <v>44897</v>
      </c>
      <c r="B129" s="10">
        <v>2.1554000000000002</v>
      </c>
      <c r="C129" s="10">
        <v>2.6701999999999999</v>
      </c>
      <c r="D129" s="10">
        <v>2.8675999999999999</v>
      </c>
      <c r="E129" s="10">
        <v>3.2629999999999999</v>
      </c>
      <c r="F129" s="10">
        <v>2.2187000000000001</v>
      </c>
      <c r="G129" s="10">
        <v>2.7848999999999999</v>
      </c>
      <c r="H129" s="11">
        <v>1.7</v>
      </c>
      <c r="J129" s="8">
        <v>44901</v>
      </c>
      <c r="K129" s="11">
        <v>1722.9465</v>
      </c>
      <c r="L129" s="11">
        <v>2308.1628999999998</v>
      </c>
      <c r="M129" s="11">
        <v>2843.1304</v>
      </c>
      <c r="N129" s="11">
        <v>3014.7800999999999</v>
      </c>
      <c r="O129" s="3" t="e">
        <f t="shared" si="9"/>
        <v>#VALUE!</v>
      </c>
      <c r="P129" s="3">
        <f t="shared" si="10"/>
        <v>6.9756499671600469E-3</v>
      </c>
      <c r="Q129" s="3">
        <f t="shared" si="11"/>
        <v>7.1824793853230151E-3</v>
      </c>
      <c r="R129" s="3">
        <f t="shared" si="12"/>
        <v>6.8738934224896742E-3</v>
      </c>
      <c r="S129" s="15" t="e">
        <f t="shared" si="13"/>
        <v>#VALUE!</v>
      </c>
      <c r="T129" s="15">
        <f t="shared" si="14"/>
        <v>1.00697564996716</v>
      </c>
      <c r="U129" s="15">
        <f t="shared" si="15"/>
        <v>1.007182479385323</v>
      </c>
      <c r="V129" s="15">
        <f t="shared" si="16"/>
        <v>1.0068738934224897</v>
      </c>
    </row>
    <row r="130" spans="1:22" x14ac:dyDescent="0.25">
      <c r="A130" s="6">
        <v>44900</v>
      </c>
      <c r="B130" s="10">
        <v>2.1461999999999999</v>
      </c>
      <c r="C130" s="10">
        <v>2.6865999999999999</v>
      </c>
      <c r="D130" s="10">
        <v>2.8902000000000001</v>
      </c>
      <c r="E130" s="10">
        <v>3.2715999999999998</v>
      </c>
      <c r="F130" s="10">
        <v>2.2315999999999998</v>
      </c>
      <c r="G130" s="10">
        <v>2.8069999999999999</v>
      </c>
      <c r="H130" s="11">
        <v>1.7</v>
      </c>
      <c r="J130" s="8">
        <v>44902</v>
      </c>
      <c r="K130" s="11">
        <v>1722.0098</v>
      </c>
      <c r="L130" s="11">
        <v>2306.7779999999998</v>
      </c>
      <c r="M130" s="11">
        <v>2840.3184999999999</v>
      </c>
      <c r="N130" s="11">
        <v>3011.7797999999998</v>
      </c>
      <c r="O130" s="3" t="e">
        <f t="shared" si="9"/>
        <v>#VALUE!</v>
      </c>
      <c r="P130" s="3">
        <f t="shared" si="10"/>
        <v>6.3714635912159867E-3</v>
      </c>
      <c r="Q130" s="3">
        <f t="shared" si="11"/>
        <v>6.1863603139700185E-3</v>
      </c>
      <c r="R130" s="3">
        <f t="shared" si="12"/>
        <v>5.8718555815089335E-3</v>
      </c>
      <c r="S130" s="15" t="e">
        <f t="shared" si="13"/>
        <v>#VALUE!</v>
      </c>
      <c r="T130" s="15">
        <f t="shared" si="14"/>
        <v>1.006371463591216</v>
      </c>
      <c r="U130" s="15">
        <f t="shared" si="15"/>
        <v>1.00618636031397</v>
      </c>
      <c r="V130" s="15">
        <f t="shared" si="16"/>
        <v>1.0058718555815089</v>
      </c>
    </row>
    <row r="131" spans="1:22" x14ac:dyDescent="0.25">
      <c r="A131" s="6">
        <v>44901</v>
      </c>
      <c r="B131" s="10">
        <v>2.1566000000000001</v>
      </c>
      <c r="C131" s="10">
        <v>2.7324999999999999</v>
      </c>
      <c r="D131" s="10">
        <v>2.9152</v>
      </c>
      <c r="E131" s="10">
        <v>3.2865000000000002</v>
      </c>
      <c r="F131" s="10">
        <v>2.2551999999999999</v>
      </c>
      <c r="G131" s="10">
        <v>2.8504999999999998</v>
      </c>
      <c r="H131" s="11">
        <v>1.66</v>
      </c>
      <c r="J131" s="8">
        <v>44903</v>
      </c>
      <c r="K131" s="11">
        <v>1721.6321</v>
      </c>
      <c r="L131" s="11">
        <v>2306.2413000000001</v>
      </c>
      <c r="M131" s="11">
        <v>2839.0214999999998</v>
      </c>
      <c r="N131" s="11">
        <v>3010.9128000000001</v>
      </c>
      <c r="O131" s="3" t="e">
        <f t="shared" si="9"/>
        <v>#VALUE!</v>
      </c>
      <c r="P131" s="3">
        <f t="shared" si="10"/>
        <v>6.1373190118463317E-3</v>
      </c>
      <c r="Q131" s="3">
        <f t="shared" si="11"/>
        <v>5.7268964512633413E-3</v>
      </c>
      <c r="R131" s="3">
        <f t="shared" si="12"/>
        <v>5.5822956014637271E-3</v>
      </c>
      <c r="S131" s="15" t="e">
        <f t="shared" si="13"/>
        <v>#VALUE!</v>
      </c>
      <c r="T131" s="15">
        <f t="shared" si="14"/>
        <v>1.0061373190118463</v>
      </c>
      <c r="U131" s="15">
        <f t="shared" si="15"/>
        <v>1.0057268964512633</v>
      </c>
      <c r="V131" s="15">
        <f t="shared" si="16"/>
        <v>1.0055822956014637</v>
      </c>
    </row>
    <row r="132" spans="1:22" x14ac:dyDescent="0.25">
      <c r="A132" s="6">
        <v>44902</v>
      </c>
      <c r="B132" s="10">
        <v>2.2494999999999998</v>
      </c>
      <c r="C132" s="10">
        <v>2.7061000000000002</v>
      </c>
      <c r="D132" s="10">
        <v>2.8702000000000001</v>
      </c>
      <c r="E132" s="10">
        <v>3.2719</v>
      </c>
      <c r="F132" s="10">
        <v>2.2789999999999999</v>
      </c>
      <c r="G132" s="10">
        <v>2.8788999999999998</v>
      </c>
      <c r="H132" s="11">
        <v>1.68</v>
      </c>
      <c r="J132" s="8">
        <v>44904</v>
      </c>
      <c r="K132" s="11">
        <v>1721.1349</v>
      </c>
      <c r="L132" s="11">
        <v>2304.6707000000001</v>
      </c>
      <c r="M132" s="11">
        <v>2838.1183999999998</v>
      </c>
      <c r="N132" s="11">
        <v>3009.5974999999999</v>
      </c>
      <c r="O132" s="3" t="e">
        <f t="shared" ref="O132:O147" si="17">K132/$K$2-1</f>
        <v>#VALUE!</v>
      </c>
      <c r="P132" s="3">
        <f t="shared" ref="P132:P147" si="18">L132/$L$2-1</f>
        <v>5.4521178261595082E-3</v>
      </c>
      <c r="Q132" s="3">
        <f t="shared" ref="Q132:Q147" si="19">M132/$M$2-1</f>
        <v>5.4069721533369641E-3</v>
      </c>
      <c r="R132" s="3">
        <f t="shared" ref="R132:R147" si="20">N132/$N$2-1</f>
        <v>5.1430127390026392E-3</v>
      </c>
      <c r="S132" s="15" t="e">
        <f t="shared" ref="S132:S195" si="21">(O132+1)</f>
        <v>#VALUE!</v>
      </c>
      <c r="T132" s="15">
        <f t="shared" ref="T132:T195" si="22">(P132+1)</f>
        <v>1.0054521178261595</v>
      </c>
      <c r="U132" s="15">
        <f t="shared" ref="U132:U195" si="23">(Q132+1)</f>
        <v>1.005406972153337</v>
      </c>
      <c r="V132" s="15">
        <f t="shared" ref="V132:V195" si="24">(R132+1)</f>
        <v>1.0051430127390026</v>
      </c>
    </row>
    <row r="133" spans="1:22" x14ac:dyDescent="0.25">
      <c r="A133" s="6">
        <v>44903</v>
      </c>
      <c r="B133" s="10">
        <v>2.2456999999999998</v>
      </c>
      <c r="C133" s="10">
        <v>2.6951999999999998</v>
      </c>
      <c r="D133" s="10">
        <v>2.8853</v>
      </c>
      <c r="E133" s="10">
        <v>3.2755000000000001</v>
      </c>
      <c r="F133" s="10">
        <v>2.2443</v>
      </c>
      <c r="G133" s="10">
        <v>2.8277999999999999</v>
      </c>
      <c r="H133" s="11">
        <v>1.7</v>
      </c>
      <c r="J133" s="8">
        <v>44907</v>
      </c>
      <c r="K133" s="11">
        <v>1720.6713999999999</v>
      </c>
      <c r="L133" s="11">
        <v>2303.5482999999999</v>
      </c>
      <c r="M133" s="11">
        <v>2835.5628000000002</v>
      </c>
      <c r="N133" s="11">
        <v>3007.02</v>
      </c>
      <c r="O133" s="3" t="e">
        <f t="shared" si="17"/>
        <v>#VALUE!</v>
      </c>
      <c r="P133" s="3">
        <f t="shared" si="18"/>
        <v>4.9624515770729793E-3</v>
      </c>
      <c r="Q133" s="3">
        <f t="shared" si="19"/>
        <v>4.5016476756707391E-3</v>
      </c>
      <c r="R133" s="3">
        <f t="shared" si="20"/>
        <v>4.2821813104363393E-3</v>
      </c>
      <c r="S133" s="15" t="e">
        <f t="shared" si="21"/>
        <v>#VALUE!</v>
      </c>
      <c r="T133" s="15">
        <f t="shared" si="22"/>
        <v>1.004962451577073</v>
      </c>
      <c r="U133" s="15">
        <f t="shared" si="23"/>
        <v>1.0045016476756707</v>
      </c>
      <c r="V133" s="15">
        <f t="shared" si="24"/>
        <v>1.0042821813104363</v>
      </c>
    </row>
    <row r="134" spans="1:22" x14ac:dyDescent="0.25">
      <c r="A134" s="6">
        <v>44904</v>
      </c>
      <c r="B134" s="10">
        <v>2.2869000000000002</v>
      </c>
      <c r="C134" s="10">
        <v>2.7343999999999999</v>
      </c>
      <c r="D134" s="10">
        <v>2.8902999999999999</v>
      </c>
      <c r="E134" s="10">
        <v>3.2843</v>
      </c>
      <c r="F134" s="10">
        <v>2.2578999999999998</v>
      </c>
      <c r="G134" s="10">
        <v>2.8489</v>
      </c>
      <c r="H134" s="11">
        <v>1.76</v>
      </c>
      <c r="J134" s="8">
        <v>44908</v>
      </c>
      <c r="K134" s="11">
        <v>1719.1188</v>
      </c>
      <c r="L134" s="11">
        <v>2300.5654</v>
      </c>
      <c r="M134" s="11">
        <v>2830.3555999999999</v>
      </c>
      <c r="N134" s="11">
        <v>3002.0859</v>
      </c>
      <c r="O134" s="3" t="e">
        <f t="shared" si="17"/>
        <v>#VALUE!</v>
      </c>
      <c r="P134" s="3">
        <f t="shared" si="18"/>
        <v>3.6611102955339536E-3</v>
      </c>
      <c r="Q134" s="3">
        <f t="shared" si="19"/>
        <v>2.6569906009705768E-3</v>
      </c>
      <c r="R134" s="3">
        <f t="shared" si="20"/>
        <v>2.6342944620600939E-3</v>
      </c>
      <c r="S134" s="15" t="e">
        <f t="shared" si="21"/>
        <v>#VALUE!</v>
      </c>
      <c r="T134" s="15">
        <f t="shared" si="22"/>
        <v>1.003661110295534</v>
      </c>
      <c r="U134" s="15">
        <f t="shared" si="23"/>
        <v>1.0026569906009706</v>
      </c>
      <c r="V134" s="15">
        <f t="shared" si="24"/>
        <v>1.0026342944620601</v>
      </c>
    </row>
    <row r="135" spans="1:22" x14ac:dyDescent="0.25">
      <c r="A135" s="6">
        <v>44907</v>
      </c>
      <c r="B135" s="10">
        <v>2.3018999999999998</v>
      </c>
      <c r="C135" s="10">
        <v>2.7414000000000001</v>
      </c>
      <c r="D135" s="10">
        <v>2.8902000000000001</v>
      </c>
      <c r="E135" s="10">
        <v>3.2844000000000002</v>
      </c>
      <c r="F135" s="10">
        <v>2.2464</v>
      </c>
      <c r="G135" s="10">
        <v>2.8391000000000002</v>
      </c>
      <c r="H135" s="11">
        <v>1.75</v>
      </c>
      <c r="J135" s="8">
        <v>44909</v>
      </c>
      <c r="K135" s="11">
        <v>1719.4324999999999</v>
      </c>
      <c r="L135" s="11">
        <v>2301.9409000000001</v>
      </c>
      <c r="M135" s="11">
        <v>2831.0763999999999</v>
      </c>
      <c r="N135" s="11">
        <v>3003.7323999999999</v>
      </c>
      <c r="O135" s="3" t="e">
        <f t="shared" si="17"/>
        <v>#VALUE!</v>
      </c>
      <c r="P135" s="3">
        <f t="shared" si="18"/>
        <v>4.2611957602687323E-3</v>
      </c>
      <c r="Q135" s="3">
        <f t="shared" si="19"/>
        <v>2.9123348972226459E-3</v>
      </c>
      <c r="R135" s="3">
        <f t="shared" si="20"/>
        <v>3.1841912407737372E-3</v>
      </c>
      <c r="S135" s="15" t="e">
        <f t="shared" si="21"/>
        <v>#VALUE!</v>
      </c>
      <c r="T135" s="15">
        <f t="shared" si="22"/>
        <v>1.0042611957602687</v>
      </c>
      <c r="U135" s="15">
        <f t="shared" si="23"/>
        <v>1.0029123348972226</v>
      </c>
      <c r="V135" s="15">
        <f t="shared" si="24"/>
        <v>1.0031841912407737</v>
      </c>
    </row>
    <row r="136" spans="1:22" x14ac:dyDescent="0.25">
      <c r="A136" s="6">
        <v>44908</v>
      </c>
      <c r="B136" s="10">
        <v>2.3369</v>
      </c>
      <c r="C136" s="10">
        <v>2.7595000000000001</v>
      </c>
      <c r="D136" s="10">
        <v>2.8952</v>
      </c>
      <c r="E136" s="10">
        <v>3.2896000000000001</v>
      </c>
      <c r="F136" s="10">
        <v>2.2654999999999998</v>
      </c>
      <c r="G136" s="10">
        <v>2.8538999999999999</v>
      </c>
      <c r="H136" s="11">
        <v>1.81</v>
      </c>
      <c r="J136" s="8">
        <v>44910</v>
      </c>
      <c r="K136" s="11">
        <v>1719.6295</v>
      </c>
      <c r="L136" s="11">
        <v>2302.5673999999999</v>
      </c>
      <c r="M136" s="11">
        <v>2831.8618000000001</v>
      </c>
      <c r="N136" s="11">
        <v>3004.5252</v>
      </c>
      <c r="O136" s="3" t="e">
        <f t="shared" si="17"/>
        <v>#VALUE!</v>
      </c>
      <c r="P136" s="3">
        <f t="shared" si="18"/>
        <v>4.5345171297024311E-3</v>
      </c>
      <c r="Q136" s="3">
        <f t="shared" si="19"/>
        <v>3.1905638237992306E-3</v>
      </c>
      <c r="R136" s="3">
        <f t="shared" si="20"/>
        <v>3.4489699630115833E-3</v>
      </c>
      <c r="S136" s="15" t="e">
        <f t="shared" si="21"/>
        <v>#VALUE!</v>
      </c>
      <c r="T136" s="15">
        <f t="shared" si="22"/>
        <v>1.0045345171297024</v>
      </c>
      <c r="U136" s="15">
        <f t="shared" si="23"/>
        <v>1.0031905638237992</v>
      </c>
      <c r="V136" s="15">
        <f t="shared" si="24"/>
        <v>1.0034489699630116</v>
      </c>
    </row>
    <row r="137" spans="1:22" x14ac:dyDescent="0.25">
      <c r="A137" s="6">
        <v>44909</v>
      </c>
      <c r="B137" s="10">
        <v>2.3018999999999998</v>
      </c>
      <c r="C137" s="10">
        <v>2.6968000000000001</v>
      </c>
      <c r="D137" s="10">
        <v>2.8654999999999999</v>
      </c>
      <c r="E137" s="10">
        <v>3.2621000000000002</v>
      </c>
      <c r="F137" s="10">
        <v>2.2332999999999998</v>
      </c>
      <c r="G137" s="10">
        <v>2.8037000000000001</v>
      </c>
      <c r="H137" s="11">
        <v>1.8</v>
      </c>
      <c r="J137" s="8">
        <v>44911</v>
      </c>
      <c r="K137" s="11">
        <v>1719.6322</v>
      </c>
      <c r="L137" s="11">
        <v>2302.3045000000002</v>
      </c>
      <c r="M137" s="11">
        <v>2829.8105999999998</v>
      </c>
      <c r="N137" s="11">
        <v>3002.4405999999999</v>
      </c>
      <c r="O137" s="3" t="e">
        <f t="shared" si="17"/>
        <v>#VALUE!</v>
      </c>
      <c r="P137" s="3">
        <f t="shared" si="18"/>
        <v>4.4198224959848265E-3</v>
      </c>
      <c r="Q137" s="3">
        <f t="shared" si="19"/>
        <v>2.4639236733103864E-3</v>
      </c>
      <c r="R137" s="3">
        <f t="shared" si="20"/>
        <v>2.7527568898826349E-3</v>
      </c>
      <c r="S137" s="15" t="e">
        <f t="shared" si="21"/>
        <v>#VALUE!</v>
      </c>
      <c r="T137" s="15">
        <f t="shared" si="22"/>
        <v>1.0044198224959848</v>
      </c>
      <c r="U137" s="15">
        <f t="shared" si="23"/>
        <v>1.0024639236733104</v>
      </c>
      <c r="V137" s="15">
        <f t="shared" si="24"/>
        <v>1.0027527568898826</v>
      </c>
    </row>
    <row r="138" spans="1:22" x14ac:dyDescent="0.25">
      <c r="A138" s="6">
        <v>44910</v>
      </c>
      <c r="B138" s="10">
        <v>2.3169</v>
      </c>
      <c r="C138" s="10">
        <v>2.7057000000000002</v>
      </c>
      <c r="D138" s="10">
        <v>2.8828999999999998</v>
      </c>
      <c r="E138" s="10">
        <v>3.2770000000000001</v>
      </c>
      <c r="F138" s="10">
        <v>2.2343000000000002</v>
      </c>
      <c r="G138" s="10">
        <v>2.7991000000000001</v>
      </c>
      <c r="H138" s="11">
        <v>1.88</v>
      </c>
      <c r="J138" s="8">
        <v>44914</v>
      </c>
      <c r="K138" s="11">
        <v>1720.3824</v>
      </c>
      <c r="L138" s="11">
        <v>2303.8454999999999</v>
      </c>
      <c r="M138" s="11">
        <v>2828.9065000000001</v>
      </c>
      <c r="N138" s="11">
        <v>3002.0437000000002</v>
      </c>
      <c r="O138" s="3" t="e">
        <f t="shared" si="17"/>
        <v>#VALUE!</v>
      </c>
      <c r="P138" s="3">
        <f t="shared" si="18"/>
        <v>5.0921101740335484E-3</v>
      </c>
      <c r="Q138" s="3">
        <f t="shared" si="19"/>
        <v>2.1436451241407806E-3</v>
      </c>
      <c r="R138" s="3">
        <f t="shared" si="20"/>
        <v>2.6202005391560146E-3</v>
      </c>
      <c r="S138" s="15" t="e">
        <f t="shared" si="21"/>
        <v>#VALUE!</v>
      </c>
      <c r="T138" s="15">
        <f t="shared" si="22"/>
        <v>1.0050921101740335</v>
      </c>
      <c r="U138" s="15">
        <f t="shared" si="23"/>
        <v>1.0021436451241408</v>
      </c>
      <c r="V138" s="15">
        <f t="shared" si="24"/>
        <v>1.002620200539156</v>
      </c>
    </row>
    <row r="139" spans="1:22" x14ac:dyDescent="0.25">
      <c r="A139" s="6">
        <v>44911</v>
      </c>
      <c r="B139" s="10">
        <v>2.3169</v>
      </c>
      <c r="C139" s="10">
        <v>2.7052</v>
      </c>
      <c r="D139" s="10">
        <v>2.8856000000000002</v>
      </c>
      <c r="E139" s="10">
        <v>3.2696999999999998</v>
      </c>
      <c r="F139" s="10">
        <v>2.2389999999999999</v>
      </c>
      <c r="G139" s="10">
        <v>2.8138999999999998</v>
      </c>
      <c r="H139" s="11">
        <v>1.82</v>
      </c>
      <c r="J139" s="8">
        <v>44915</v>
      </c>
      <c r="K139" s="11">
        <v>1720.5563</v>
      </c>
      <c r="L139" s="11">
        <v>2304.0947999999999</v>
      </c>
      <c r="M139" s="11">
        <v>2827.3955999999998</v>
      </c>
      <c r="N139" s="11">
        <v>3001.0643</v>
      </c>
      <c r="O139" s="3" t="e">
        <f t="shared" si="17"/>
        <v>#VALUE!</v>
      </c>
      <c r="P139" s="3">
        <f t="shared" si="18"/>
        <v>5.2008715745122114E-3</v>
      </c>
      <c r="Q139" s="3">
        <f t="shared" si="19"/>
        <v>1.6084069204680418E-3</v>
      </c>
      <c r="R139" s="3">
        <f t="shared" si="20"/>
        <v>2.2931012952616125E-3</v>
      </c>
      <c r="S139" s="15" t="e">
        <f t="shared" si="21"/>
        <v>#VALUE!</v>
      </c>
      <c r="T139" s="15">
        <f t="shared" si="22"/>
        <v>1.0052008715745122</v>
      </c>
      <c r="U139" s="15">
        <f t="shared" si="23"/>
        <v>1.001608406920468</v>
      </c>
      <c r="V139" s="15">
        <f t="shared" si="24"/>
        <v>1.0022931012952616</v>
      </c>
    </row>
    <row r="140" spans="1:22" x14ac:dyDescent="0.25">
      <c r="A140" s="6">
        <v>44914</v>
      </c>
      <c r="B140" s="10">
        <v>2.2968999999999999</v>
      </c>
      <c r="C140" s="10">
        <v>2.6705000000000001</v>
      </c>
      <c r="D140" s="10">
        <v>2.8632</v>
      </c>
      <c r="E140" s="10">
        <v>3.2524999999999999</v>
      </c>
      <c r="F140" s="10">
        <v>2.1920999999999999</v>
      </c>
      <c r="G140" s="10">
        <v>2.7663000000000002</v>
      </c>
      <c r="H140" s="11">
        <v>1.83</v>
      </c>
      <c r="J140" s="8">
        <v>44916</v>
      </c>
      <c r="K140" s="11">
        <v>1720.8323</v>
      </c>
      <c r="L140" s="11">
        <v>2304.6138999999998</v>
      </c>
      <c r="M140" s="11">
        <v>2827.605</v>
      </c>
      <c r="N140" s="11">
        <v>3001.6561000000002</v>
      </c>
      <c r="O140" s="3" t="e">
        <f t="shared" si="17"/>
        <v>#VALUE!</v>
      </c>
      <c r="P140" s="3">
        <f t="shared" si="18"/>
        <v>5.4273378520430793E-3</v>
      </c>
      <c r="Q140" s="3">
        <f t="shared" si="19"/>
        <v>1.6825871308387974E-3</v>
      </c>
      <c r="R140" s="3">
        <f t="shared" si="20"/>
        <v>2.4907501951356714E-3</v>
      </c>
      <c r="S140" s="15" t="e">
        <f t="shared" si="21"/>
        <v>#VALUE!</v>
      </c>
      <c r="T140" s="15">
        <f t="shared" si="22"/>
        <v>1.0054273378520431</v>
      </c>
      <c r="U140" s="15">
        <f t="shared" si="23"/>
        <v>1.0016825871308388</v>
      </c>
      <c r="V140" s="15">
        <f t="shared" si="24"/>
        <v>1.0024907501951357</v>
      </c>
    </row>
    <row r="141" spans="1:22" x14ac:dyDescent="0.25">
      <c r="A141" s="6">
        <v>44915</v>
      </c>
      <c r="B141" s="10">
        <v>2.2968999999999999</v>
      </c>
      <c r="C141" s="10">
        <v>2.6757</v>
      </c>
      <c r="D141" s="10">
        <v>2.8732000000000002</v>
      </c>
      <c r="E141" s="10">
        <v>3.2473999999999998</v>
      </c>
      <c r="F141" s="10">
        <v>2.2037</v>
      </c>
      <c r="G141" s="10">
        <v>2.7745000000000002</v>
      </c>
      <c r="H141" s="11">
        <v>1.9</v>
      </c>
      <c r="J141" s="8">
        <v>44917</v>
      </c>
      <c r="K141" s="11">
        <v>1721.3714</v>
      </c>
      <c r="L141" s="11">
        <v>2305.6975000000002</v>
      </c>
      <c r="M141" s="11">
        <v>2827.6143999999999</v>
      </c>
      <c r="N141" s="11">
        <v>3002.3984999999998</v>
      </c>
      <c r="O141" s="3" t="e">
        <f t="shared" si="17"/>
        <v>#VALUE!</v>
      </c>
      <c r="P141" s="3">
        <f t="shared" si="18"/>
        <v>5.9000769357120397E-3</v>
      </c>
      <c r="Q141" s="3">
        <f t="shared" si="19"/>
        <v>1.6859170925267453E-3</v>
      </c>
      <c r="R141" s="3">
        <f t="shared" si="20"/>
        <v>2.738696364900095E-3</v>
      </c>
      <c r="S141" s="15" t="e">
        <f t="shared" si="21"/>
        <v>#VALUE!</v>
      </c>
      <c r="T141" s="15">
        <f t="shared" si="22"/>
        <v>1.005900076935712</v>
      </c>
      <c r="U141" s="15">
        <f t="shared" si="23"/>
        <v>1.0016859170925267</v>
      </c>
      <c r="V141" s="15">
        <f t="shared" si="24"/>
        <v>1.0027386963649001</v>
      </c>
    </row>
    <row r="142" spans="1:22" x14ac:dyDescent="0.25">
      <c r="A142" s="6">
        <v>44916</v>
      </c>
      <c r="B142" s="10">
        <v>2.2919</v>
      </c>
      <c r="C142" s="10">
        <v>2.6612</v>
      </c>
      <c r="D142" s="10">
        <v>2.8605999999999998</v>
      </c>
      <c r="E142" s="10">
        <v>3.2374999999999998</v>
      </c>
      <c r="F142" s="10">
        <v>2.2010999999999998</v>
      </c>
      <c r="G142" s="10">
        <v>2.7808000000000002</v>
      </c>
      <c r="H142" s="11">
        <v>2</v>
      </c>
      <c r="J142" s="8">
        <v>44918</v>
      </c>
      <c r="K142" s="11">
        <v>1722.1343999999999</v>
      </c>
      <c r="L142" s="11">
        <v>2308.1541999999999</v>
      </c>
      <c r="M142" s="11">
        <v>2829.1882999999998</v>
      </c>
      <c r="N142" s="11">
        <v>3004.2152000000001</v>
      </c>
      <c r="O142" s="3" t="e">
        <f t="shared" si="17"/>
        <v>#VALUE!</v>
      </c>
      <c r="P142" s="3">
        <f t="shared" si="18"/>
        <v>6.9718544429555607E-3</v>
      </c>
      <c r="Q142" s="3">
        <f t="shared" si="19"/>
        <v>2.2434731245344341E-3</v>
      </c>
      <c r="R142" s="3">
        <f t="shared" si="20"/>
        <v>3.3454364061324959E-3</v>
      </c>
      <c r="S142" s="15" t="e">
        <f t="shared" si="21"/>
        <v>#VALUE!</v>
      </c>
      <c r="T142" s="15">
        <f t="shared" si="22"/>
        <v>1.0069718544429556</v>
      </c>
      <c r="U142" s="15">
        <f t="shared" si="23"/>
        <v>1.0022434731245344</v>
      </c>
      <c r="V142" s="15">
        <f t="shared" si="24"/>
        <v>1.0033454364061325</v>
      </c>
    </row>
    <row r="143" spans="1:22" x14ac:dyDescent="0.25">
      <c r="A143" s="6">
        <v>44917</v>
      </c>
      <c r="B143" s="10">
        <v>2.2669000000000001</v>
      </c>
      <c r="C143" s="10">
        <v>2.6415999999999999</v>
      </c>
      <c r="D143" s="10">
        <v>2.8502999999999998</v>
      </c>
      <c r="E143" s="10">
        <v>3.23</v>
      </c>
      <c r="F143" s="10">
        <v>2.1806000000000001</v>
      </c>
      <c r="G143" s="10">
        <v>2.7534999999999998</v>
      </c>
      <c r="H143" s="11">
        <v>1.8</v>
      </c>
      <c r="J143" s="8">
        <v>44921</v>
      </c>
      <c r="K143" s="11">
        <v>1722.6802</v>
      </c>
      <c r="L143" s="11">
        <v>2308.73</v>
      </c>
      <c r="M143" s="11">
        <v>2832.3128000000002</v>
      </c>
      <c r="N143" s="11">
        <v>3006.4227999999998</v>
      </c>
      <c r="O143" s="3" t="e">
        <f t="shared" si="17"/>
        <v>#VALUE!</v>
      </c>
      <c r="P143" s="3">
        <f t="shared" si="18"/>
        <v>7.2230570678877282E-3</v>
      </c>
      <c r="Q143" s="3">
        <f t="shared" si="19"/>
        <v>3.3503311345786102E-3</v>
      </c>
      <c r="R143" s="3">
        <f t="shared" si="20"/>
        <v>4.0827289227971519E-3</v>
      </c>
      <c r="S143" s="15" t="e">
        <f t="shared" si="21"/>
        <v>#VALUE!</v>
      </c>
      <c r="T143" s="15">
        <f t="shared" si="22"/>
        <v>1.0072230570678877</v>
      </c>
      <c r="U143" s="15">
        <f t="shared" si="23"/>
        <v>1.0033503311345786</v>
      </c>
      <c r="V143" s="15">
        <f t="shared" si="24"/>
        <v>1.0040827289227972</v>
      </c>
    </row>
    <row r="144" spans="1:22" x14ac:dyDescent="0.25">
      <c r="A144" s="6">
        <v>44918</v>
      </c>
      <c r="B144" s="10">
        <v>2.2269000000000001</v>
      </c>
      <c r="C144" s="10">
        <v>2.6061999999999999</v>
      </c>
      <c r="D144" s="10">
        <v>2.8250999999999999</v>
      </c>
      <c r="E144" s="10">
        <v>3.2151999999999998</v>
      </c>
      <c r="F144" s="10">
        <v>2.1688000000000001</v>
      </c>
      <c r="G144" s="10">
        <v>2.7376</v>
      </c>
      <c r="H144" s="11">
        <v>1.8</v>
      </c>
      <c r="J144" s="8">
        <v>44922</v>
      </c>
      <c r="K144" s="11">
        <v>1722.8409999999999</v>
      </c>
      <c r="L144" s="11">
        <v>2308.5118000000002</v>
      </c>
      <c r="M144" s="11">
        <v>2834.6268</v>
      </c>
      <c r="N144" s="11">
        <v>3007.8519999999999</v>
      </c>
      <c r="O144" s="3" t="e">
        <f t="shared" si="17"/>
        <v>#VALUE!</v>
      </c>
      <c r="P144" s="3">
        <f t="shared" si="18"/>
        <v>7.1278635757723308E-3</v>
      </c>
      <c r="Q144" s="3">
        <f t="shared" si="19"/>
        <v>4.1700685118362113E-3</v>
      </c>
      <c r="R144" s="3">
        <f t="shared" si="20"/>
        <v>4.5600520179307491E-3</v>
      </c>
      <c r="S144" s="15" t="e">
        <f t="shared" si="21"/>
        <v>#VALUE!</v>
      </c>
      <c r="T144" s="15">
        <f t="shared" si="22"/>
        <v>1.0071278635757723</v>
      </c>
      <c r="U144" s="15">
        <f t="shared" si="23"/>
        <v>1.0041700685118362</v>
      </c>
      <c r="V144" s="15">
        <f t="shared" si="24"/>
        <v>1.0045600520179307</v>
      </c>
    </row>
    <row r="145" spans="1:22" x14ac:dyDescent="0.25">
      <c r="A145" s="6">
        <v>44921</v>
      </c>
      <c r="B145" s="10">
        <v>2.2469000000000001</v>
      </c>
      <c r="C145" s="10">
        <v>2.6276000000000002</v>
      </c>
      <c r="D145" s="10">
        <v>2.8378000000000001</v>
      </c>
      <c r="E145" s="10">
        <v>3.2202000000000002</v>
      </c>
      <c r="F145" s="10"/>
      <c r="G145" s="10"/>
      <c r="H145" s="11">
        <v>2.0558000000000001</v>
      </c>
      <c r="J145" s="8">
        <v>44923</v>
      </c>
      <c r="K145" s="11">
        <v>1723.1405</v>
      </c>
      <c r="L145" s="11">
        <v>2309.0169000000001</v>
      </c>
      <c r="M145" s="11">
        <v>2834.2824000000001</v>
      </c>
      <c r="N145" s="11">
        <v>3007.7438000000002</v>
      </c>
      <c r="O145" s="3" t="e">
        <f t="shared" si="17"/>
        <v>#VALUE!</v>
      </c>
      <c r="P145" s="3">
        <f t="shared" si="18"/>
        <v>7.3482221132039616E-3</v>
      </c>
      <c r="Q145" s="3">
        <f t="shared" si="19"/>
        <v>4.0480643836047214E-3</v>
      </c>
      <c r="R145" s="3">
        <f t="shared" si="20"/>
        <v>4.5239154667879866E-3</v>
      </c>
      <c r="S145" s="15" t="e">
        <f t="shared" si="21"/>
        <v>#VALUE!</v>
      </c>
      <c r="T145" s="15">
        <f t="shared" si="22"/>
        <v>1.007348222113204</v>
      </c>
      <c r="U145" s="15">
        <f t="shared" si="23"/>
        <v>1.0040480643836047</v>
      </c>
      <c r="V145" s="15">
        <f t="shared" si="24"/>
        <v>1.004523915466788</v>
      </c>
    </row>
    <row r="146" spans="1:22" x14ac:dyDescent="0.25">
      <c r="A146" s="6">
        <v>44922</v>
      </c>
      <c r="B146" s="10">
        <v>2.2469000000000001</v>
      </c>
      <c r="C146" s="10">
        <v>2.6703000000000001</v>
      </c>
      <c r="D146" s="10">
        <v>2.8656999999999999</v>
      </c>
      <c r="E146" s="10">
        <v>3.2174999999999998</v>
      </c>
      <c r="F146" s="10">
        <v>2.2315</v>
      </c>
      <c r="G146" s="10">
        <v>2.7833000000000001</v>
      </c>
      <c r="H146" s="11">
        <v>5</v>
      </c>
      <c r="J146" s="8">
        <v>44924</v>
      </c>
      <c r="K146" s="11">
        <v>1723.7989</v>
      </c>
      <c r="L146" s="11">
        <v>2310.3845999999999</v>
      </c>
      <c r="M146" s="11">
        <v>2835.0572999999999</v>
      </c>
      <c r="N146" s="11">
        <v>3008.5997000000002</v>
      </c>
      <c r="O146" s="3" t="e">
        <f t="shared" si="17"/>
        <v>#VALUE!</v>
      </c>
      <c r="P146" s="3">
        <f t="shared" si="18"/>
        <v>7.944904694169086E-3</v>
      </c>
      <c r="Q146" s="3">
        <f t="shared" si="19"/>
        <v>4.3225736721255181E-3</v>
      </c>
      <c r="R146" s="3">
        <f t="shared" si="20"/>
        <v>4.8097682775387618E-3</v>
      </c>
      <c r="S146" s="15" t="e">
        <f t="shared" si="21"/>
        <v>#VALUE!</v>
      </c>
      <c r="T146" s="15">
        <f t="shared" si="22"/>
        <v>1.0079449046941691</v>
      </c>
      <c r="U146" s="15">
        <f t="shared" si="23"/>
        <v>1.0043225736721255</v>
      </c>
      <c r="V146" s="15">
        <f t="shared" si="24"/>
        <v>1.0048097682775388</v>
      </c>
    </row>
    <row r="147" spans="1:22" x14ac:dyDescent="0.25">
      <c r="A147" s="6">
        <v>44923</v>
      </c>
      <c r="B147" s="10">
        <v>2.2368999999999999</v>
      </c>
      <c r="C147" s="10">
        <v>2.6703999999999999</v>
      </c>
      <c r="D147" s="10">
        <v>2.8502999999999998</v>
      </c>
      <c r="E147" s="10">
        <v>3.2126999999999999</v>
      </c>
      <c r="F147" s="10">
        <v>2.2309000000000001</v>
      </c>
      <c r="G147" s="10">
        <v>2.7812999999999999</v>
      </c>
      <c r="H147" s="11">
        <v>4.8</v>
      </c>
      <c r="J147" s="8">
        <v>44925</v>
      </c>
      <c r="K147" s="11">
        <v>1724.4299000000001</v>
      </c>
      <c r="L147" s="11">
        <v>2311.8141000000001</v>
      </c>
      <c r="M147" s="11">
        <v>2836.8269</v>
      </c>
      <c r="N147" s="11">
        <v>3010.5565000000001</v>
      </c>
      <c r="O147" s="3" t="e">
        <f t="shared" si="17"/>
        <v>#VALUE!</v>
      </c>
      <c r="P147" s="3">
        <f t="shared" si="18"/>
        <v>8.5685485850002241E-3</v>
      </c>
      <c r="Q147" s="3">
        <f t="shared" si="19"/>
        <v>4.9494566724690436E-3</v>
      </c>
      <c r="R147" s="3">
        <f t="shared" si="20"/>
        <v>5.4632988068961108E-3</v>
      </c>
      <c r="S147" s="15" t="e">
        <f t="shared" si="21"/>
        <v>#VALUE!</v>
      </c>
      <c r="T147" s="15">
        <f t="shared" si="22"/>
        <v>1.0085685485850002</v>
      </c>
      <c r="U147" s="15">
        <f t="shared" si="23"/>
        <v>1.004949456672469</v>
      </c>
      <c r="V147" s="15">
        <f t="shared" si="24"/>
        <v>1.0054632988068961</v>
      </c>
    </row>
    <row r="148" spans="1:22" x14ac:dyDescent="0.25">
      <c r="A148" s="6">
        <v>44924</v>
      </c>
      <c r="B148" s="10">
        <v>2.1669</v>
      </c>
      <c r="C148" s="10">
        <v>2.6381999999999999</v>
      </c>
      <c r="D148" s="10">
        <v>2.8376000000000001</v>
      </c>
      <c r="E148" s="10">
        <v>3.1926000000000001</v>
      </c>
      <c r="F148" s="10">
        <v>2.2006999999999999</v>
      </c>
      <c r="G148" s="10">
        <v>2.7574000000000001</v>
      </c>
      <c r="H148" s="11">
        <v>3.5</v>
      </c>
      <c r="J148" s="8">
        <v>44929</v>
      </c>
      <c r="K148" s="11">
        <v>1725.4384</v>
      </c>
      <c r="L148" s="11">
        <v>2313.2716</v>
      </c>
      <c r="M148" s="11">
        <v>2840.3218999999999</v>
      </c>
      <c r="N148" s="11">
        <v>3013.6909999999998</v>
      </c>
      <c r="O148" s="3"/>
      <c r="P148" s="3"/>
      <c r="Q148" s="3"/>
      <c r="R148" s="3"/>
      <c r="S148" s="15">
        <f t="shared" si="21"/>
        <v>1</v>
      </c>
      <c r="T148" s="15">
        <f t="shared" si="22"/>
        <v>1</v>
      </c>
      <c r="U148" s="15">
        <f t="shared" si="23"/>
        <v>1</v>
      </c>
      <c r="V148" s="15">
        <f t="shared" si="24"/>
        <v>1</v>
      </c>
    </row>
    <row r="149" spans="1:22" x14ac:dyDescent="0.25">
      <c r="A149" s="6">
        <v>44925</v>
      </c>
      <c r="B149" s="10">
        <v>2.0969000000000002</v>
      </c>
      <c r="C149" s="10">
        <v>2.6446000000000001</v>
      </c>
      <c r="D149" s="10">
        <v>2.8353000000000002</v>
      </c>
      <c r="E149" s="10">
        <v>3.1951999999999998</v>
      </c>
      <c r="F149" s="10">
        <v>2.1800999999999999</v>
      </c>
      <c r="G149" s="10">
        <v>2.7589999999999999</v>
      </c>
      <c r="H149" s="11">
        <v>3</v>
      </c>
      <c r="J149" s="8">
        <v>44930</v>
      </c>
      <c r="K149" s="11">
        <v>1726.2177999999999</v>
      </c>
      <c r="L149" s="11">
        <v>2314.6424999999999</v>
      </c>
      <c r="M149" s="11">
        <v>2842.4883</v>
      </c>
      <c r="N149" s="11">
        <v>3016.0183000000002</v>
      </c>
      <c r="O149" s="3">
        <f>K149/$K$148-1</f>
        <v>4.5171128682430783E-4</v>
      </c>
      <c r="P149" s="3">
        <f>L149/$L$148-1</f>
        <v>5.9262388385339371E-4</v>
      </c>
      <c r="Q149" s="3">
        <f>M149/$M$148-1</f>
        <v>7.6273044967201109E-4</v>
      </c>
      <c r="R149" s="3">
        <f>N149/$N$148-1</f>
        <v>7.7224240972295632E-4</v>
      </c>
      <c r="S149" s="15">
        <f t="shared" si="21"/>
        <v>1.0004517112868243</v>
      </c>
      <c r="T149" s="15">
        <f t="shared" si="22"/>
        <v>1.0005926238838534</v>
      </c>
      <c r="U149" s="15">
        <f t="shared" si="23"/>
        <v>1.000762730449672</v>
      </c>
      <c r="V149" s="15">
        <f t="shared" si="24"/>
        <v>1.000772242409723</v>
      </c>
    </row>
    <row r="150" spans="1:22" x14ac:dyDescent="0.25">
      <c r="A150" s="6">
        <v>44926</v>
      </c>
      <c r="B150" s="10">
        <v>2.0969000000000002</v>
      </c>
      <c r="C150" s="10">
        <v>2.6446000000000001</v>
      </c>
      <c r="D150" s="10">
        <v>2.8353000000000002</v>
      </c>
      <c r="E150" s="10">
        <v>3.1951999999999998</v>
      </c>
      <c r="F150" s="10"/>
      <c r="G150" s="10"/>
      <c r="H150" s="11"/>
      <c r="J150" s="8">
        <v>44931</v>
      </c>
      <c r="K150" s="11">
        <v>1726.6447000000001</v>
      </c>
      <c r="L150" s="11">
        <v>2315.0324000000001</v>
      </c>
      <c r="M150" s="11">
        <v>2845.7134999999998</v>
      </c>
      <c r="N150" s="11">
        <v>3018.7154999999998</v>
      </c>
      <c r="O150" s="3">
        <f t="shared" ref="O150:O213" si="25">K150/$K$148-1</f>
        <v>6.9912666832960824E-4</v>
      </c>
      <c r="P150" s="3">
        <f t="shared" ref="P150:P213" si="26">L150/$L$148-1</f>
        <v>7.6117305032408211E-4</v>
      </c>
      <c r="Q150" s="3">
        <f t="shared" ref="Q150:Q213" si="27">M150/$M$148-1</f>
        <v>1.8982355485834823E-3</v>
      </c>
      <c r="R150" s="3">
        <f t="shared" ref="R150:R213" si="28">N150/$N$148-1</f>
        <v>1.6672246756552767E-3</v>
      </c>
      <c r="S150" s="15">
        <f t="shared" si="21"/>
        <v>1.0006991266683296</v>
      </c>
      <c r="T150" s="15">
        <f t="shared" si="22"/>
        <v>1.0007611730503241</v>
      </c>
      <c r="U150" s="15">
        <f t="shared" si="23"/>
        <v>1.0018982355485835</v>
      </c>
      <c r="V150" s="15">
        <f t="shared" si="24"/>
        <v>1.0016672246756553</v>
      </c>
    </row>
    <row r="151" spans="1:22" x14ac:dyDescent="0.25">
      <c r="A151" s="6">
        <v>44929</v>
      </c>
      <c r="B151" s="10">
        <v>2.1120000000000001</v>
      </c>
      <c r="C151" s="10">
        <v>2.6297999999999999</v>
      </c>
      <c r="D151" s="10">
        <v>2.8228</v>
      </c>
      <c r="E151" s="10">
        <v>3.1930000000000001</v>
      </c>
      <c r="F151" s="10">
        <v>2.1751999999999998</v>
      </c>
      <c r="G151" s="10">
        <v>2.7650999999999999</v>
      </c>
      <c r="H151" s="11">
        <v>1.9242999999999999</v>
      </c>
      <c r="J151" s="8">
        <v>44932</v>
      </c>
      <c r="K151" s="11">
        <v>1726.5932</v>
      </c>
      <c r="L151" s="11">
        <v>2314.7103000000002</v>
      </c>
      <c r="M151" s="11">
        <v>2846.4189000000001</v>
      </c>
      <c r="N151" s="11">
        <v>3018.7510000000002</v>
      </c>
      <c r="O151" s="3">
        <f t="shared" si="25"/>
        <v>6.6927918145331944E-4</v>
      </c>
      <c r="P151" s="3">
        <f t="shared" si="26"/>
        <v>6.2193302334234701E-4</v>
      </c>
      <c r="Q151" s="3">
        <f t="shared" si="27"/>
        <v>2.1465876807837958E-3</v>
      </c>
      <c r="R151" s="3">
        <f t="shared" si="28"/>
        <v>1.6790042509335912E-3</v>
      </c>
      <c r="S151" s="15">
        <f t="shared" si="21"/>
        <v>1.0006692791814533</v>
      </c>
      <c r="T151" s="15">
        <f t="shared" si="22"/>
        <v>1.0006219330233423</v>
      </c>
      <c r="U151" s="15">
        <f t="shared" si="23"/>
        <v>1.0021465876807838</v>
      </c>
      <c r="V151" s="15">
        <f t="shared" si="24"/>
        <v>1.0016790042509336</v>
      </c>
    </row>
    <row r="152" spans="1:22" x14ac:dyDescent="0.25">
      <c r="A152" s="6">
        <v>44930</v>
      </c>
      <c r="B152" s="10">
        <v>2.0670000000000002</v>
      </c>
      <c r="C152" s="10">
        <v>2.6071</v>
      </c>
      <c r="D152" s="10">
        <v>2.8102999999999998</v>
      </c>
      <c r="E152" s="10">
        <v>3.1930999999999998</v>
      </c>
      <c r="F152" s="10">
        <v>2.1469</v>
      </c>
      <c r="G152" s="10">
        <v>2.7342</v>
      </c>
      <c r="H152" s="11">
        <v>1.7</v>
      </c>
      <c r="J152" s="8">
        <v>44935</v>
      </c>
      <c r="K152" s="11">
        <v>1726.9309000000001</v>
      </c>
      <c r="L152" s="11">
        <v>2314.6985</v>
      </c>
      <c r="M152" s="11">
        <v>2847.2474000000002</v>
      </c>
      <c r="N152" s="11">
        <v>3019.5219999999999</v>
      </c>
      <c r="O152" s="3">
        <f t="shared" si="25"/>
        <v>8.6499755656310739E-4</v>
      </c>
      <c r="P152" s="3">
        <f t="shared" si="26"/>
        <v>6.1683202266427095E-4</v>
      </c>
      <c r="Q152" s="3">
        <f t="shared" si="27"/>
        <v>2.4382799710132019E-3</v>
      </c>
      <c r="R152" s="3">
        <f t="shared" si="28"/>
        <v>1.9348367168365854E-3</v>
      </c>
      <c r="S152" s="15">
        <f t="shared" si="21"/>
        <v>1.0008649975565631</v>
      </c>
      <c r="T152" s="15">
        <f t="shared" si="22"/>
        <v>1.0006168320226643</v>
      </c>
      <c r="U152" s="15">
        <f t="shared" si="23"/>
        <v>1.0024382799710132</v>
      </c>
      <c r="V152" s="15">
        <f t="shared" si="24"/>
        <v>1.0019348367168366</v>
      </c>
    </row>
    <row r="153" spans="1:22" x14ac:dyDescent="0.25">
      <c r="A153" s="6">
        <v>44931</v>
      </c>
      <c r="B153" s="10">
        <v>2.0819999999999999</v>
      </c>
      <c r="C153" s="10">
        <v>2.625</v>
      </c>
      <c r="D153" s="10">
        <v>2.8304</v>
      </c>
      <c r="E153" s="10">
        <v>3.2056</v>
      </c>
      <c r="F153" s="10">
        <v>2.1440000000000001</v>
      </c>
      <c r="G153" s="10">
        <v>2.7366000000000001</v>
      </c>
      <c r="H153" s="11">
        <v>1.7</v>
      </c>
      <c r="J153" s="8">
        <v>44936</v>
      </c>
      <c r="K153" s="11">
        <v>1726.5686000000001</v>
      </c>
      <c r="L153" s="11">
        <v>2313.2849000000001</v>
      </c>
      <c r="M153" s="11">
        <v>2845.4036999999998</v>
      </c>
      <c r="N153" s="11">
        <v>3017.4834999999998</v>
      </c>
      <c r="O153" s="3">
        <f t="shared" si="25"/>
        <v>6.5502193529476394E-4</v>
      </c>
      <c r="P153" s="3">
        <f t="shared" si="26"/>
        <v>5.7494329677165723E-6</v>
      </c>
      <c r="Q153" s="3">
        <f t="shared" si="27"/>
        <v>1.7891634043309956E-3</v>
      </c>
      <c r="R153" s="3">
        <f t="shared" si="28"/>
        <v>1.2584236406452121E-3</v>
      </c>
      <c r="S153" s="15">
        <f t="shared" si="21"/>
        <v>1.0006550219352948</v>
      </c>
      <c r="T153" s="15">
        <f t="shared" si="22"/>
        <v>1.0000057494329677</v>
      </c>
      <c r="U153" s="15">
        <f t="shared" si="23"/>
        <v>1.001789163404331</v>
      </c>
      <c r="V153" s="15">
        <f t="shared" si="24"/>
        <v>1.0012584236406452</v>
      </c>
    </row>
    <row r="154" spans="1:22" x14ac:dyDescent="0.25">
      <c r="A154" s="6">
        <v>44932</v>
      </c>
      <c r="B154" s="10">
        <v>2.097</v>
      </c>
      <c r="C154" s="10">
        <v>2.6495000000000002</v>
      </c>
      <c r="D154" s="10">
        <v>2.8328000000000002</v>
      </c>
      <c r="E154" s="10">
        <v>3.2105999999999999</v>
      </c>
      <c r="F154" s="10">
        <v>2.1610999999999998</v>
      </c>
      <c r="G154" s="10">
        <v>2.7604000000000002</v>
      </c>
      <c r="H154" s="11">
        <v>1.75</v>
      </c>
      <c r="J154" s="8">
        <v>44937</v>
      </c>
      <c r="K154" s="11">
        <v>1726.5282</v>
      </c>
      <c r="L154" s="11">
        <v>2313.3121000000001</v>
      </c>
      <c r="M154" s="11">
        <v>2844.8368999999998</v>
      </c>
      <c r="N154" s="11">
        <v>3017.1255000000001</v>
      </c>
      <c r="O154" s="3">
        <f t="shared" si="25"/>
        <v>6.3160759607527872E-4</v>
      </c>
      <c r="P154" s="3">
        <f t="shared" si="26"/>
        <v>1.7507671818517423E-5</v>
      </c>
      <c r="Q154" s="3">
        <f t="shared" si="27"/>
        <v>1.5896085581004193E-3</v>
      </c>
      <c r="R154" s="3">
        <f t="shared" si="28"/>
        <v>1.1396324307968442E-3</v>
      </c>
      <c r="S154" s="15">
        <f t="shared" si="21"/>
        <v>1.0006316075960753</v>
      </c>
      <c r="T154" s="15">
        <f t="shared" si="22"/>
        <v>1.0000175076718185</v>
      </c>
      <c r="U154" s="15">
        <f t="shared" si="23"/>
        <v>1.0015896085581004</v>
      </c>
      <c r="V154" s="15">
        <f t="shared" si="24"/>
        <v>1.0011396324307968</v>
      </c>
    </row>
    <row r="155" spans="1:22" x14ac:dyDescent="0.25">
      <c r="A155" s="6">
        <v>44935</v>
      </c>
      <c r="B155" s="10">
        <v>2.0996000000000001</v>
      </c>
      <c r="C155" s="10">
        <v>2.6648999999999998</v>
      </c>
      <c r="D155" s="10">
        <v>2.8428</v>
      </c>
      <c r="E155" s="10">
        <v>3.2155999999999998</v>
      </c>
      <c r="F155" s="10">
        <v>2.1796000000000002</v>
      </c>
      <c r="G155" s="10">
        <v>2.7700999999999998</v>
      </c>
      <c r="H155" s="11">
        <v>1.85</v>
      </c>
      <c r="J155" s="8">
        <v>44938</v>
      </c>
      <c r="K155" s="11">
        <v>1726.8308</v>
      </c>
      <c r="L155" s="11">
        <v>2313.6383999999998</v>
      </c>
      <c r="M155" s="11">
        <v>2845.4832000000001</v>
      </c>
      <c r="N155" s="11">
        <v>3017.6158</v>
      </c>
      <c r="O155" s="3">
        <f t="shared" si="25"/>
        <v>8.0698331508100019E-4</v>
      </c>
      <c r="P155" s="3">
        <f t="shared" si="26"/>
        <v>1.5856330921093509E-4</v>
      </c>
      <c r="Q155" s="3">
        <f t="shared" si="27"/>
        <v>1.8171531895734283E-3</v>
      </c>
      <c r="R155" s="3">
        <f t="shared" si="28"/>
        <v>1.3023232972457777E-3</v>
      </c>
      <c r="S155" s="15">
        <f t="shared" si="21"/>
        <v>1.000806983315081</v>
      </c>
      <c r="T155" s="15">
        <f t="shared" si="22"/>
        <v>1.0001585633092109</v>
      </c>
      <c r="U155" s="15">
        <f t="shared" si="23"/>
        <v>1.0018171531895734</v>
      </c>
      <c r="V155" s="15">
        <f t="shared" si="24"/>
        <v>1.0013023232972458</v>
      </c>
    </row>
    <row r="156" spans="1:22" x14ac:dyDescent="0.25">
      <c r="A156" s="6">
        <v>44936</v>
      </c>
      <c r="B156" s="10">
        <v>2.1219999999999999</v>
      </c>
      <c r="C156" s="10">
        <v>2.7103999999999999</v>
      </c>
      <c r="D156" s="10">
        <v>2.8601999999999999</v>
      </c>
      <c r="E156" s="10">
        <v>3.2330999999999999</v>
      </c>
      <c r="F156" s="10">
        <v>2.2330999999999999</v>
      </c>
      <c r="G156" s="10">
        <v>2.8136000000000001</v>
      </c>
      <c r="H156" s="11">
        <v>1.98</v>
      </c>
      <c r="J156" s="8">
        <v>44939</v>
      </c>
      <c r="K156" s="11">
        <v>1726.9672</v>
      </c>
      <c r="L156" s="11">
        <v>2313.4236000000001</v>
      </c>
      <c r="M156" s="11">
        <v>2846.2114999999999</v>
      </c>
      <c r="N156" s="11">
        <v>3018.3380000000002</v>
      </c>
      <c r="O156" s="3">
        <f t="shared" si="25"/>
        <v>8.8603568808953703E-4</v>
      </c>
      <c r="P156" s="3">
        <f t="shared" si="26"/>
        <v>6.570780534365106E-5</v>
      </c>
      <c r="Q156" s="3">
        <f t="shared" si="27"/>
        <v>2.0735677882144365E-3</v>
      </c>
      <c r="R156" s="3">
        <f t="shared" si="28"/>
        <v>1.5419629948791869E-3</v>
      </c>
      <c r="S156" s="15">
        <f t="shared" si="21"/>
        <v>1.0008860356880895</v>
      </c>
      <c r="T156" s="15">
        <f t="shared" si="22"/>
        <v>1.0000657078053437</v>
      </c>
      <c r="U156" s="15">
        <f t="shared" si="23"/>
        <v>1.0020735677882144</v>
      </c>
      <c r="V156" s="15">
        <f t="shared" si="24"/>
        <v>1.0015419629948792</v>
      </c>
    </row>
    <row r="157" spans="1:22" x14ac:dyDescent="0.25">
      <c r="A157" s="6">
        <v>44937</v>
      </c>
      <c r="B157" s="10">
        <v>2.1269999999999998</v>
      </c>
      <c r="C157" s="10">
        <v>2.6989000000000001</v>
      </c>
      <c r="D157" s="10">
        <v>2.8603000000000001</v>
      </c>
      <c r="E157" s="10">
        <v>3.2330999999999999</v>
      </c>
      <c r="F157" s="10">
        <v>2.2547000000000001</v>
      </c>
      <c r="G157" s="10">
        <v>2.8283999999999998</v>
      </c>
      <c r="H157" s="11">
        <v>2.2999999999999998</v>
      </c>
      <c r="J157" s="8">
        <v>44942</v>
      </c>
      <c r="K157" s="11">
        <v>1726.9743000000001</v>
      </c>
      <c r="L157" s="11">
        <v>2312.5787</v>
      </c>
      <c r="M157" s="11">
        <v>2847.5417000000002</v>
      </c>
      <c r="N157" s="11">
        <v>3018.9765000000002</v>
      </c>
      <c r="O157" s="3">
        <f t="shared" si="25"/>
        <v>8.9015058433838945E-4</v>
      </c>
      <c r="P157" s="3">
        <f t="shared" si="26"/>
        <v>-2.9953248896497087E-4</v>
      </c>
      <c r="Q157" s="3">
        <f t="shared" si="27"/>
        <v>2.5418949873252661E-3</v>
      </c>
      <c r="R157" s="3">
        <f t="shared" si="28"/>
        <v>1.7538294403773858E-3</v>
      </c>
      <c r="S157" s="15">
        <f t="shared" si="21"/>
        <v>1.0008901505843384</v>
      </c>
      <c r="T157" s="15">
        <f t="shared" si="22"/>
        <v>0.99970046751103503</v>
      </c>
      <c r="U157" s="15">
        <f t="shared" si="23"/>
        <v>1.0025418949873253</v>
      </c>
      <c r="V157" s="15">
        <f t="shared" si="24"/>
        <v>1.0017538294403774</v>
      </c>
    </row>
    <row r="158" spans="1:22" x14ac:dyDescent="0.25">
      <c r="A158" s="6">
        <v>44938</v>
      </c>
      <c r="B158" s="10">
        <v>2.097</v>
      </c>
      <c r="C158" s="10">
        <v>2.6974</v>
      </c>
      <c r="D158" s="10">
        <v>2.8778000000000001</v>
      </c>
      <c r="E158" s="10">
        <v>3.2378</v>
      </c>
      <c r="F158" s="10">
        <v>2.2357</v>
      </c>
      <c r="G158" s="10">
        <v>2.8169</v>
      </c>
      <c r="H158" s="11">
        <v>2.2000000000000002</v>
      </c>
      <c r="J158" s="8">
        <v>44943</v>
      </c>
      <c r="K158" s="11">
        <v>1727.078</v>
      </c>
      <c r="L158" s="11">
        <v>2312.79</v>
      </c>
      <c r="M158" s="11">
        <v>2848.5808999999999</v>
      </c>
      <c r="N158" s="11">
        <v>3019.5953</v>
      </c>
      <c r="O158" s="3">
        <f t="shared" si="25"/>
        <v>9.502512520875861E-4</v>
      </c>
      <c r="P158" s="3">
        <f t="shared" si="26"/>
        <v>-2.0818999377336667E-4</v>
      </c>
      <c r="Q158" s="3">
        <f t="shared" si="27"/>
        <v>2.9077690102661258E-3</v>
      </c>
      <c r="R158" s="3">
        <f t="shared" si="28"/>
        <v>1.959159051143633E-3</v>
      </c>
      <c r="S158" s="15">
        <f t="shared" si="21"/>
        <v>1.0009502512520876</v>
      </c>
      <c r="T158" s="15">
        <f t="shared" si="22"/>
        <v>0.99979181000622663</v>
      </c>
      <c r="U158" s="15">
        <f t="shared" si="23"/>
        <v>1.0029077690102661</v>
      </c>
      <c r="V158" s="15">
        <f t="shared" si="24"/>
        <v>1.0019591590511436</v>
      </c>
    </row>
    <row r="159" spans="1:22" x14ac:dyDescent="0.25">
      <c r="A159" s="6">
        <v>44939</v>
      </c>
      <c r="B159" s="10">
        <v>2.097</v>
      </c>
      <c r="C159" s="10">
        <v>2.7096</v>
      </c>
      <c r="D159" s="10">
        <v>2.9009999999999998</v>
      </c>
      <c r="E159" s="10">
        <v>3.2475999999999998</v>
      </c>
      <c r="F159" s="10">
        <v>2.2448999999999999</v>
      </c>
      <c r="G159" s="10">
        <v>2.8414000000000001</v>
      </c>
      <c r="H159" s="11">
        <v>1.95</v>
      </c>
      <c r="J159" s="8">
        <v>44944</v>
      </c>
      <c r="K159" s="11">
        <v>1727.3637000000001</v>
      </c>
      <c r="L159" s="11">
        <v>2312.9364</v>
      </c>
      <c r="M159" s="11">
        <v>2849.3144000000002</v>
      </c>
      <c r="N159" s="11">
        <v>3020.1327000000001</v>
      </c>
      <c r="O159" s="3">
        <f t="shared" si="25"/>
        <v>1.1158323588951191E-3</v>
      </c>
      <c r="P159" s="3">
        <f t="shared" si="26"/>
        <v>-1.4490300231062569E-4</v>
      </c>
      <c r="Q159" s="3">
        <f t="shared" si="27"/>
        <v>3.1660143873131208E-3</v>
      </c>
      <c r="R159" s="3">
        <f t="shared" si="28"/>
        <v>2.1374785935255325E-3</v>
      </c>
      <c r="S159" s="15">
        <f t="shared" si="21"/>
        <v>1.0011158323588951</v>
      </c>
      <c r="T159" s="15">
        <f t="shared" si="22"/>
        <v>0.99985509699768937</v>
      </c>
      <c r="U159" s="15">
        <f t="shared" si="23"/>
        <v>1.0031660143873131</v>
      </c>
      <c r="V159" s="15">
        <f t="shared" si="24"/>
        <v>1.0021374785935255</v>
      </c>
    </row>
    <row r="160" spans="1:22" x14ac:dyDescent="0.25">
      <c r="A160" s="6">
        <v>44942</v>
      </c>
      <c r="B160" s="10">
        <v>2.1269999999999998</v>
      </c>
      <c r="C160" s="10">
        <v>2.7570999999999999</v>
      </c>
      <c r="D160" s="10">
        <v>2.9167000000000001</v>
      </c>
      <c r="E160" s="10">
        <v>3.2677</v>
      </c>
      <c r="F160" s="10">
        <v>2.2877000000000001</v>
      </c>
      <c r="G160" s="10">
        <v>2.8972000000000002</v>
      </c>
      <c r="H160" s="11">
        <v>2.15</v>
      </c>
      <c r="J160" s="8">
        <v>44945</v>
      </c>
      <c r="K160" s="11">
        <v>1727.5926999999999</v>
      </c>
      <c r="L160" s="11">
        <v>2313.2006999999999</v>
      </c>
      <c r="M160" s="11">
        <v>2850.7141000000001</v>
      </c>
      <c r="N160" s="11">
        <v>3021.7984000000001</v>
      </c>
      <c r="O160" s="3">
        <f t="shared" si="25"/>
        <v>1.248552251995827E-3</v>
      </c>
      <c r="P160" s="3">
        <f t="shared" si="26"/>
        <v>-3.0649232887425271E-5</v>
      </c>
      <c r="Q160" s="3">
        <f t="shared" si="27"/>
        <v>3.6588106439625623E-3</v>
      </c>
      <c r="R160" s="3">
        <f t="shared" si="28"/>
        <v>2.6901895383435459E-3</v>
      </c>
      <c r="S160" s="15">
        <f t="shared" si="21"/>
        <v>1.0012485522519958</v>
      </c>
      <c r="T160" s="15">
        <f t="shared" si="22"/>
        <v>0.99996935076711257</v>
      </c>
      <c r="U160" s="15">
        <f t="shared" si="23"/>
        <v>1.0036588106439626</v>
      </c>
      <c r="V160" s="15">
        <f t="shared" si="24"/>
        <v>1.0026901895383435</v>
      </c>
    </row>
    <row r="161" spans="1:22" x14ac:dyDescent="0.25">
      <c r="A161" s="6">
        <v>44943</v>
      </c>
      <c r="B161" s="10">
        <v>2.1269999999999998</v>
      </c>
      <c r="C161" s="10">
        <v>2.7345999999999999</v>
      </c>
      <c r="D161" s="10">
        <v>2.9016999999999999</v>
      </c>
      <c r="E161" s="10">
        <v>3.2530999999999999</v>
      </c>
      <c r="F161" s="10">
        <v>2.2970000000000002</v>
      </c>
      <c r="G161" s="10">
        <v>2.8954</v>
      </c>
      <c r="H161" s="11">
        <v>2.6</v>
      </c>
      <c r="J161" s="8">
        <v>44946</v>
      </c>
      <c r="K161" s="11">
        <v>1727.9404</v>
      </c>
      <c r="L161" s="11">
        <v>2313.6147000000001</v>
      </c>
      <c r="M161" s="11">
        <v>2852.8182999999999</v>
      </c>
      <c r="N161" s="11">
        <v>3023.4841999999999</v>
      </c>
      <c r="O161" s="3">
        <f t="shared" si="25"/>
        <v>1.4500662556251598E-3</v>
      </c>
      <c r="P161" s="3">
        <f t="shared" si="26"/>
        <v>1.4831807903581407E-4</v>
      </c>
      <c r="Q161" s="3">
        <f t="shared" si="27"/>
        <v>4.3996421673191399E-3</v>
      </c>
      <c r="R161" s="3">
        <f t="shared" si="28"/>
        <v>3.2495700455024146E-3</v>
      </c>
      <c r="S161" s="15">
        <f t="shared" si="21"/>
        <v>1.0014500662556252</v>
      </c>
      <c r="T161" s="15">
        <f t="shared" si="22"/>
        <v>1.0001483180790358</v>
      </c>
      <c r="U161" s="15">
        <f t="shared" si="23"/>
        <v>1.0043996421673191</v>
      </c>
      <c r="V161" s="15">
        <f t="shared" si="24"/>
        <v>1.0032495700455024</v>
      </c>
    </row>
    <row r="162" spans="1:22" x14ac:dyDescent="0.25">
      <c r="A162" s="6">
        <v>44944</v>
      </c>
      <c r="B162" s="10">
        <v>2.1615000000000002</v>
      </c>
      <c r="C162" s="10">
        <v>2.7256999999999998</v>
      </c>
      <c r="D162" s="10">
        <v>2.9222000000000001</v>
      </c>
      <c r="E162" s="10">
        <v>3.2753999999999999</v>
      </c>
      <c r="F162" s="10">
        <v>2.2932999999999999</v>
      </c>
      <c r="G162" s="10">
        <v>2.8874</v>
      </c>
      <c r="H162" s="11">
        <v>2.6</v>
      </c>
      <c r="J162" s="8">
        <v>44956</v>
      </c>
      <c r="K162" s="11">
        <v>1729.3595</v>
      </c>
      <c r="L162" s="11">
        <v>2315.1651000000002</v>
      </c>
      <c r="M162" s="11">
        <v>2855.2599</v>
      </c>
      <c r="N162" s="11">
        <v>3025.7127999999998</v>
      </c>
      <c r="O162" s="3">
        <f t="shared" si="25"/>
        <v>2.2725238988536844E-3</v>
      </c>
      <c r="P162" s="3">
        <f t="shared" si="26"/>
        <v>8.1853769354189865E-4</v>
      </c>
      <c r="Q162" s="3">
        <f t="shared" si="27"/>
        <v>5.2592630433896392E-3</v>
      </c>
      <c r="R162" s="3">
        <f t="shared" si="28"/>
        <v>3.9890619177613829E-3</v>
      </c>
      <c r="S162" s="15">
        <f t="shared" si="21"/>
        <v>1.0022725238988537</v>
      </c>
      <c r="T162" s="15">
        <f t="shared" si="22"/>
        <v>1.0008185376935419</v>
      </c>
      <c r="U162" s="15">
        <f t="shared" si="23"/>
        <v>1.0052592630433896</v>
      </c>
      <c r="V162" s="15">
        <f t="shared" si="24"/>
        <v>1.0039890619177614</v>
      </c>
    </row>
    <row r="163" spans="1:22" x14ac:dyDescent="0.25">
      <c r="A163" s="6">
        <v>44945</v>
      </c>
      <c r="B163" s="10">
        <v>2.1677</v>
      </c>
      <c r="C163" s="10">
        <v>2.7210000000000001</v>
      </c>
      <c r="D163" s="10">
        <v>2.9144999999999999</v>
      </c>
      <c r="E163" s="10">
        <v>3.2730000000000001</v>
      </c>
      <c r="F163" s="10">
        <v>2.3079999999999998</v>
      </c>
      <c r="G163" s="10">
        <v>2.9123000000000001</v>
      </c>
      <c r="H163" s="11">
        <v>2.4</v>
      </c>
      <c r="J163" s="8">
        <v>44957</v>
      </c>
      <c r="K163" s="11">
        <v>1729.5863999999999</v>
      </c>
      <c r="L163" s="11">
        <v>2315.5922999999998</v>
      </c>
      <c r="M163" s="11">
        <v>2854.6507000000001</v>
      </c>
      <c r="N163" s="11">
        <v>3025.2716</v>
      </c>
      <c r="O163" s="3">
        <f t="shared" si="25"/>
        <v>2.4040267099654233E-3</v>
      </c>
      <c r="P163" s="3">
        <f t="shared" si="26"/>
        <v>1.0032112096132195E-3</v>
      </c>
      <c r="Q163" s="3">
        <f t="shared" si="27"/>
        <v>5.0447803116964174E-3</v>
      </c>
      <c r="R163" s="3">
        <f t="shared" si="28"/>
        <v>3.8426633652886011E-3</v>
      </c>
      <c r="S163" s="15">
        <f t="shared" si="21"/>
        <v>1.0024040267099654</v>
      </c>
      <c r="T163" s="15">
        <f t="shared" si="22"/>
        <v>1.0010032112096132</v>
      </c>
      <c r="U163" s="15">
        <f t="shared" si="23"/>
        <v>1.0050447803116964</v>
      </c>
      <c r="V163" s="15">
        <f t="shared" si="24"/>
        <v>1.0038426633652886</v>
      </c>
    </row>
    <row r="164" spans="1:22" x14ac:dyDescent="0.25">
      <c r="A164" s="6">
        <v>44946</v>
      </c>
      <c r="B164" s="10">
        <v>2.1648000000000001</v>
      </c>
      <c r="C164" s="10">
        <v>2.7288000000000001</v>
      </c>
      <c r="D164" s="10">
        <v>2.9331</v>
      </c>
      <c r="E164" s="10">
        <v>3.2778999999999998</v>
      </c>
      <c r="F164" s="10">
        <v>2.2936999999999999</v>
      </c>
      <c r="G164" s="10">
        <v>2.9066000000000001</v>
      </c>
      <c r="H164" s="11">
        <v>2</v>
      </c>
      <c r="J164" s="8">
        <v>44958</v>
      </c>
      <c r="K164" s="11">
        <v>1729.7074</v>
      </c>
      <c r="L164" s="11">
        <v>2315.6507999999999</v>
      </c>
      <c r="M164" s="11">
        <v>2856.6913</v>
      </c>
      <c r="N164" s="11">
        <v>3026.8328000000001</v>
      </c>
      <c r="O164" s="3">
        <f t="shared" si="25"/>
        <v>2.4741538150536702E-3</v>
      </c>
      <c r="P164" s="3">
        <f t="shared" si="26"/>
        <v>1.0285000689067569E-3</v>
      </c>
      <c r="Q164" s="3">
        <f t="shared" si="27"/>
        <v>5.7632200068591377E-3</v>
      </c>
      <c r="R164" s="3">
        <f t="shared" si="28"/>
        <v>4.3606992223159668E-3</v>
      </c>
      <c r="S164" s="15">
        <f t="shared" si="21"/>
        <v>1.0024741538150537</v>
      </c>
      <c r="T164" s="15">
        <f t="shared" si="22"/>
        <v>1.0010285000689068</v>
      </c>
      <c r="U164" s="15">
        <f t="shared" si="23"/>
        <v>1.0057632200068591</v>
      </c>
      <c r="V164" s="15">
        <f t="shared" si="24"/>
        <v>1.004360699222316</v>
      </c>
    </row>
    <row r="165" spans="1:22" x14ac:dyDescent="0.25">
      <c r="A165" s="6">
        <v>44954</v>
      </c>
      <c r="B165" s="10">
        <v>2.1496</v>
      </c>
      <c r="C165" s="10">
        <v>2.7282999999999999</v>
      </c>
      <c r="D165" s="10">
        <v>2.9340999999999999</v>
      </c>
      <c r="E165" s="10">
        <v>3.2829999999999999</v>
      </c>
      <c r="F165" s="10"/>
      <c r="G165" s="10">
        <v>2.9434</v>
      </c>
      <c r="H165" s="11">
        <v>1.95</v>
      </c>
      <c r="J165" s="8">
        <v>44959</v>
      </c>
      <c r="K165" s="11">
        <v>1730.0096000000001</v>
      </c>
      <c r="L165" s="11">
        <v>2316.3515000000002</v>
      </c>
      <c r="M165" s="11">
        <v>2857.7854000000002</v>
      </c>
      <c r="N165" s="11">
        <v>3027.9636999999998</v>
      </c>
      <c r="O165" s="3">
        <f t="shared" si="25"/>
        <v>2.6492977089185299E-3</v>
      </c>
      <c r="P165" s="3">
        <f t="shared" si="26"/>
        <v>1.3314044057775032E-3</v>
      </c>
      <c r="Q165" s="3">
        <f t="shared" si="27"/>
        <v>6.1484228248918082E-3</v>
      </c>
      <c r="R165" s="3">
        <f t="shared" si="28"/>
        <v>4.7359533542090659E-3</v>
      </c>
      <c r="S165" s="15">
        <f t="shared" si="21"/>
        <v>1.0026492977089185</v>
      </c>
      <c r="T165" s="15">
        <f t="shared" si="22"/>
        <v>1.0013314044057775</v>
      </c>
      <c r="U165" s="15">
        <f t="shared" si="23"/>
        <v>1.0061484228248918</v>
      </c>
      <c r="V165" s="15">
        <f t="shared" si="24"/>
        <v>1.0047359533542091</v>
      </c>
    </row>
    <row r="166" spans="1:22" x14ac:dyDescent="0.25">
      <c r="A166" s="6">
        <v>44955</v>
      </c>
      <c r="B166" s="10">
        <v>2.1518999999999999</v>
      </c>
      <c r="C166" s="10">
        <v>2.7225000000000001</v>
      </c>
      <c r="D166" s="10">
        <v>2.9218999999999999</v>
      </c>
      <c r="E166" s="10">
        <v>3.2805</v>
      </c>
      <c r="F166" s="10"/>
      <c r="G166" s="10"/>
      <c r="H166" s="11">
        <v>1.8540000000000001</v>
      </c>
      <c r="J166" s="8">
        <v>44960</v>
      </c>
      <c r="K166" s="11">
        <v>1730.4285</v>
      </c>
      <c r="L166" s="11">
        <v>2317.7602999999999</v>
      </c>
      <c r="M166" s="11">
        <v>2858.0001000000002</v>
      </c>
      <c r="N166" s="11">
        <v>3029.0160000000001</v>
      </c>
      <c r="O166" s="3">
        <f t="shared" si="25"/>
        <v>2.89207658760815E-3</v>
      </c>
      <c r="P166" s="3">
        <f t="shared" si="26"/>
        <v>1.9404120121475632E-3</v>
      </c>
      <c r="Q166" s="3">
        <f t="shared" si="27"/>
        <v>6.2240128486845681E-3</v>
      </c>
      <c r="R166" s="3">
        <f t="shared" si="28"/>
        <v>5.0851265109794763E-3</v>
      </c>
      <c r="S166" s="15">
        <f t="shared" si="21"/>
        <v>1.0028920765876082</v>
      </c>
      <c r="T166" s="15">
        <f t="shared" si="22"/>
        <v>1.0019404120121476</v>
      </c>
      <c r="U166" s="15">
        <f t="shared" si="23"/>
        <v>1.0062240128486846</v>
      </c>
      <c r="V166" s="15">
        <f t="shared" si="24"/>
        <v>1.0050851265109795</v>
      </c>
    </row>
    <row r="167" spans="1:22" x14ac:dyDescent="0.25">
      <c r="A167" s="6">
        <v>44956</v>
      </c>
      <c r="B167" s="10">
        <v>2.1760000000000002</v>
      </c>
      <c r="C167" s="10">
        <v>2.7238000000000002</v>
      </c>
      <c r="D167" s="10">
        <v>2.9133</v>
      </c>
      <c r="E167" s="10">
        <v>3.2782</v>
      </c>
      <c r="F167" s="10">
        <v>2.3007</v>
      </c>
      <c r="G167" s="10">
        <v>2.9291999999999998</v>
      </c>
      <c r="H167" s="11">
        <v>2.14</v>
      </c>
      <c r="J167" s="8">
        <v>44963</v>
      </c>
      <c r="K167" s="11">
        <v>1730.8445999999999</v>
      </c>
      <c r="L167" s="11">
        <v>2318.1894000000002</v>
      </c>
      <c r="M167" s="11">
        <v>2856.0628000000002</v>
      </c>
      <c r="N167" s="11">
        <v>3027.9663999999998</v>
      </c>
      <c r="O167" s="3">
        <f t="shared" si="25"/>
        <v>3.1332326903121821E-3</v>
      </c>
      <c r="P167" s="3">
        <f t="shared" si="26"/>
        <v>2.1259068757859545E-3</v>
      </c>
      <c r="Q167" s="3">
        <f t="shared" si="27"/>
        <v>5.5419422706983745E-3</v>
      </c>
      <c r="R167" s="3">
        <f t="shared" si="28"/>
        <v>4.736849265568388E-3</v>
      </c>
      <c r="S167" s="15">
        <f t="shared" si="21"/>
        <v>1.0031332326903122</v>
      </c>
      <c r="T167" s="15">
        <f t="shared" si="22"/>
        <v>1.002125906875786</v>
      </c>
      <c r="U167" s="15">
        <f t="shared" si="23"/>
        <v>1.0055419422706984</v>
      </c>
      <c r="V167" s="15">
        <f t="shared" si="24"/>
        <v>1.0047368492655684</v>
      </c>
    </row>
    <row r="168" spans="1:22" x14ac:dyDescent="0.25">
      <c r="A168" s="6">
        <v>44957</v>
      </c>
      <c r="B168" s="10">
        <v>2.1535000000000002</v>
      </c>
      <c r="C168" s="10">
        <v>2.7039</v>
      </c>
      <c r="D168" s="10">
        <v>2.8976999999999999</v>
      </c>
      <c r="E168" s="10">
        <v>3.2793000000000001</v>
      </c>
      <c r="F168" s="10">
        <v>2.2867999999999999</v>
      </c>
      <c r="G168" s="10">
        <v>2.9066999999999998</v>
      </c>
      <c r="H168" s="11">
        <v>2.2000000000000002</v>
      </c>
      <c r="J168" s="8">
        <v>44964</v>
      </c>
      <c r="K168" s="11">
        <v>1730.9749999999999</v>
      </c>
      <c r="L168" s="11">
        <v>2318.3310999999999</v>
      </c>
      <c r="M168" s="11">
        <v>2856.8339999999998</v>
      </c>
      <c r="N168" s="11">
        <v>3028.6115</v>
      </c>
      <c r="O168" s="3">
        <f t="shared" si="25"/>
        <v>3.2088076862089032E-3</v>
      </c>
      <c r="P168" s="3">
        <f t="shared" si="26"/>
        <v>2.187162112740948E-3</v>
      </c>
      <c r="Q168" s="3">
        <f t="shared" si="27"/>
        <v>5.8134607911870528E-3</v>
      </c>
      <c r="R168" s="3">
        <f t="shared" si="28"/>
        <v>4.9509057166112758E-3</v>
      </c>
      <c r="S168" s="15">
        <f t="shared" si="21"/>
        <v>1.0032088076862089</v>
      </c>
      <c r="T168" s="15">
        <f t="shared" si="22"/>
        <v>1.0021871621127409</v>
      </c>
      <c r="U168" s="15">
        <f t="shared" si="23"/>
        <v>1.0058134607911871</v>
      </c>
      <c r="V168" s="15">
        <f t="shared" si="24"/>
        <v>1.0049509057166113</v>
      </c>
    </row>
    <row r="169" spans="1:22" x14ac:dyDescent="0.25">
      <c r="A169" s="6">
        <v>44958</v>
      </c>
      <c r="B169" s="10">
        <v>2.1631</v>
      </c>
      <c r="C169" s="10">
        <v>2.7090999999999998</v>
      </c>
      <c r="D169" s="10">
        <v>2.9100999999999999</v>
      </c>
      <c r="E169" s="10">
        <v>3.2888999999999999</v>
      </c>
      <c r="F169" s="10">
        <v>2.2814000000000001</v>
      </c>
      <c r="G169" s="10">
        <v>2.9032</v>
      </c>
      <c r="H169" s="11">
        <v>2.0499999999999998</v>
      </c>
      <c r="J169" s="8">
        <v>44965</v>
      </c>
      <c r="K169" s="11">
        <v>1731.1774</v>
      </c>
      <c r="L169" s="11">
        <v>2318.6648</v>
      </c>
      <c r="M169" s="11">
        <v>2856.3797</v>
      </c>
      <c r="N169" s="11">
        <v>3028.5129999999999</v>
      </c>
      <c r="O169" s="3">
        <f t="shared" si="25"/>
        <v>3.3261112074474131E-3</v>
      </c>
      <c r="P169" s="3">
        <f t="shared" si="26"/>
        <v>2.3314166827621552E-3</v>
      </c>
      <c r="Q169" s="3">
        <f t="shared" si="27"/>
        <v>5.6535141316200743E-3</v>
      </c>
      <c r="R169" s="3">
        <f t="shared" si="28"/>
        <v>4.9182215429519616E-3</v>
      </c>
      <c r="S169" s="15">
        <f t="shared" si="21"/>
        <v>1.0033261112074474</v>
      </c>
      <c r="T169" s="15">
        <f t="shared" si="22"/>
        <v>1.0023314166827622</v>
      </c>
      <c r="U169" s="15">
        <f t="shared" si="23"/>
        <v>1.0056535141316201</v>
      </c>
      <c r="V169" s="15">
        <f t="shared" si="24"/>
        <v>1.004918221542952</v>
      </c>
    </row>
    <row r="170" spans="1:22" x14ac:dyDescent="0.25">
      <c r="A170" s="6">
        <v>44959</v>
      </c>
      <c r="B170" s="10">
        <v>2.1507000000000001</v>
      </c>
      <c r="C170" s="10">
        <v>2.6945000000000001</v>
      </c>
      <c r="D170" s="10">
        <v>2.8969999999999998</v>
      </c>
      <c r="E170" s="10">
        <v>3.2852999999999999</v>
      </c>
      <c r="F170" s="10">
        <v>2.266</v>
      </c>
      <c r="G170" s="10">
        <v>2.8845000000000001</v>
      </c>
      <c r="H170" s="11">
        <v>2.0499999999999998</v>
      </c>
      <c r="J170" s="8">
        <v>44966</v>
      </c>
      <c r="K170" s="11">
        <v>1731.4448</v>
      </c>
      <c r="L170" s="11">
        <v>2319.2442999999998</v>
      </c>
      <c r="M170" s="11">
        <v>2859.4268000000002</v>
      </c>
      <c r="N170" s="11">
        <v>3031.0565999999999</v>
      </c>
      <c r="O170" s="3">
        <f t="shared" si="25"/>
        <v>3.4810863140637416E-3</v>
      </c>
      <c r="P170" s="3">
        <f t="shared" si="26"/>
        <v>2.581927690635144E-3</v>
      </c>
      <c r="Q170" s="3">
        <f t="shared" si="27"/>
        <v>6.7263150701335483E-3</v>
      </c>
      <c r="R170" s="3">
        <f t="shared" si="28"/>
        <v>5.7622364071168164E-3</v>
      </c>
      <c r="S170" s="15">
        <f t="shared" si="21"/>
        <v>1.0034810863140637</v>
      </c>
      <c r="T170" s="15">
        <f t="shared" si="22"/>
        <v>1.0025819276906351</v>
      </c>
      <c r="U170" s="15">
        <f t="shared" si="23"/>
        <v>1.0067263150701335</v>
      </c>
      <c r="V170" s="15">
        <f t="shared" si="24"/>
        <v>1.0057622364071168</v>
      </c>
    </row>
    <row r="171" spans="1:22" x14ac:dyDescent="0.25">
      <c r="A171" s="6">
        <v>44960</v>
      </c>
      <c r="B171" s="10">
        <v>2.1503999999999999</v>
      </c>
      <c r="C171" s="10">
        <v>2.6920999999999999</v>
      </c>
      <c r="D171" s="10">
        <v>2.8942999999999999</v>
      </c>
      <c r="E171" s="10">
        <v>3.2829999999999999</v>
      </c>
      <c r="F171" s="10">
        <v>2.2524999999999999</v>
      </c>
      <c r="G171" s="10">
        <v>2.8571</v>
      </c>
      <c r="H171" s="11">
        <v>1.9</v>
      </c>
      <c r="J171" s="8">
        <v>44967</v>
      </c>
      <c r="K171" s="11">
        <v>1731.7574</v>
      </c>
      <c r="L171" s="11">
        <v>2320.1046999999999</v>
      </c>
      <c r="M171" s="11">
        <v>2859.4324999999999</v>
      </c>
      <c r="N171" s="11">
        <v>3031.4602</v>
      </c>
      <c r="O171" s="3">
        <f t="shared" si="25"/>
        <v>3.6622576615890079E-3</v>
      </c>
      <c r="P171" s="3">
        <f t="shared" si="26"/>
        <v>2.9538684519361258E-3</v>
      </c>
      <c r="Q171" s="3">
        <f t="shared" si="27"/>
        <v>6.7283218849243376E-3</v>
      </c>
      <c r="R171" s="3">
        <f t="shared" si="28"/>
        <v>5.8961585643650949E-3</v>
      </c>
      <c r="S171" s="15">
        <f t="shared" si="21"/>
        <v>1.003662257661589</v>
      </c>
      <c r="T171" s="15">
        <f t="shared" si="22"/>
        <v>1.0029538684519361</v>
      </c>
      <c r="U171" s="15">
        <f t="shared" si="23"/>
        <v>1.0067283218849243</v>
      </c>
      <c r="V171" s="15">
        <f t="shared" si="24"/>
        <v>1.0058961585643651</v>
      </c>
    </row>
    <row r="172" spans="1:22" x14ac:dyDescent="0.25">
      <c r="A172" s="6">
        <v>44963</v>
      </c>
      <c r="B172" s="10">
        <v>2.1581000000000001</v>
      </c>
      <c r="C172" s="10">
        <v>2.7054</v>
      </c>
      <c r="D172" s="10">
        <v>2.9016999999999999</v>
      </c>
      <c r="E172" s="10">
        <v>3.2879</v>
      </c>
      <c r="F172" s="10">
        <v>2.2652999999999999</v>
      </c>
      <c r="G172" s="10">
        <v>2.8654000000000002</v>
      </c>
      <c r="H172" s="11">
        <v>2.0299999999999998</v>
      </c>
      <c r="J172" s="8">
        <v>44970</v>
      </c>
      <c r="K172" s="11">
        <v>1732.3101999999999</v>
      </c>
      <c r="L172" s="11">
        <v>2320.8240999999998</v>
      </c>
      <c r="M172" s="11">
        <v>2861.3827999999999</v>
      </c>
      <c r="N172" s="11">
        <v>3033.1201000000001</v>
      </c>
      <c r="O172" s="3">
        <f t="shared" si="25"/>
        <v>3.9826400061571121E-3</v>
      </c>
      <c r="P172" s="3">
        <f t="shared" si="26"/>
        <v>3.2648565780168948E-3</v>
      </c>
      <c r="Q172" s="3">
        <f t="shared" si="27"/>
        <v>7.414969408925165E-3</v>
      </c>
      <c r="R172" s="3">
        <f t="shared" si="28"/>
        <v>6.4469449588562266E-3</v>
      </c>
      <c r="S172" s="15">
        <f t="shared" si="21"/>
        <v>1.0039826400061571</v>
      </c>
      <c r="T172" s="15">
        <f t="shared" si="22"/>
        <v>1.0032648565780169</v>
      </c>
      <c r="U172" s="15">
        <f t="shared" si="23"/>
        <v>1.0074149694089252</v>
      </c>
      <c r="V172" s="15">
        <f t="shared" si="24"/>
        <v>1.0064469449588562</v>
      </c>
    </row>
    <row r="173" spans="1:22" x14ac:dyDescent="0.25">
      <c r="A173" s="6">
        <v>44964</v>
      </c>
      <c r="B173" s="10">
        <v>2.1629999999999998</v>
      </c>
      <c r="C173" s="10">
        <v>2.6983000000000001</v>
      </c>
      <c r="D173" s="10">
        <v>2.8963999999999999</v>
      </c>
      <c r="E173" s="10">
        <v>3.2827000000000002</v>
      </c>
      <c r="F173" s="10">
        <v>2.2894000000000001</v>
      </c>
      <c r="G173" s="10">
        <v>2.8793000000000002</v>
      </c>
      <c r="H173" s="11">
        <v>2.2999999999999998</v>
      </c>
      <c r="J173" s="8">
        <v>44971</v>
      </c>
      <c r="K173" s="11">
        <v>1732.5754999999999</v>
      </c>
      <c r="L173" s="11">
        <v>2321.1750000000002</v>
      </c>
      <c r="M173" s="11">
        <v>2861.7294999999999</v>
      </c>
      <c r="N173" s="11">
        <v>3033.6324</v>
      </c>
      <c r="O173" s="3">
        <f t="shared" si="25"/>
        <v>4.1363980307844717E-3</v>
      </c>
      <c r="P173" s="3">
        <f t="shared" si="26"/>
        <v>3.4165465049587063E-3</v>
      </c>
      <c r="Q173" s="3">
        <f t="shared" si="27"/>
        <v>7.5370330384032513E-3</v>
      </c>
      <c r="R173" s="3">
        <f t="shared" si="28"/>
        <v>6.6169358437875303E-3</v>
      </c>
      <c r="S173" s="15">
        <f t="shared" si="21"/>
        <v>1.0041363980307845</v>
      </c>
      <c r="T173" s="15">
        <f t="shared" si="22"/>
        <v>1.0034165465049587</v>
      </c>
      <c r="U173" s="15">
        <f t="shared" si="23"/>
        <v>1.0075370330384033</v>
      </c>
      <c r="V173" s="15">
        <f t="shared" si="24"/>
        <v>1.0066169358437875</v>
      </c>
    </row>
    <row r="174" spans="1:22" x14ac:dyDescent="0.25">
      <c r="A174" s="6">
        <v>44965</v>
      </c>
      <c r="B174" s="10">
        <v>2.1617000000000002</v>
      </c>
      <c r="C174" s="10">
        <v>2.7029999999999998</v>
      </c>
      <c r="D174" s="10">
        <v>2.8973</v>
      </c>
      <c r="E174" s="10">
        <v>3.2808000000000002</v>
      </c>
      <c r="F174" s="10">
        <v>2.2993999999999999</v>
      </c>
      <c r="G174" s="10">
        <v>2.8748</v>
      </c>
      <c r="H174" s="11">
        <v>2.4500000000000002</v>
      </c>
      <c r="J174" s="8">
        <v>44972</v>
      </c>
      <c r="K174" s="11">
        <v>1732.7878000000001</v>
      </c>
      <c r="L174" s="11">
        <v>2321.4436000000001</v>
      </c>
      <c r="M174" s="11">
        <v>2861.0812000000001</v>
      </c>
      <c r="N174" s="11">
        <v>3033.2550999999999</v>
      </c>
      <c r="O174" s="3">
        <f t="shared" si="25"/>
        <v>4.2594392242574219E-3</v>
      </c>
      <c r="P174" s="3">
        <f t="shared" si="26"/>
        <v>3.5326591136120022E-3</v>
      </c>
      <c r="Q174" s="3">
        <f t="shared" si="27"/>
        <v>7.3087842613894782E-3</v>
      </c>
      <c r="R174" s="3">
        <f t="shared" si="28"/>
        <v>6.4917405268158923E-3</v>
      </c>
      <c r="S174" s="15">
        <f t="shared" si="21"/>
        <v>1.0042594392242574</v>
      </c>
      <c r="T174" s="15">
        <f t="shared" si="22"/>
        <v>1.003532659113612</v>
      </c>
      <c r="U174" s="15">
        <f t="shared" si="23"/>
        <v>1.0073087842613895</v>
      </c>
      <c r="V174" s="15">
        <f t="shared" si="24"/>
        <v>1.0064917405268159</v>
      </c>
    </row>
    <row r="175" spans="1:22" x14ac:dyDescent="0.25">
      <c r="A175" s="6">
        <v>44966</v>
      </c>
      <c r="B175" s="10">
        <v>2.1673</v>
      </c>
      <c r="C175" s="10">
        <v>2.6959</v>
      </c>
      <c r="D175" s="10">
        <v>2.8912</v>
      </c>
      <c r="E175" s="10">
        <v>3.2784</v>
      </c>
      <c r="F175" s="10">
        <v>2.2948</v>
      </c>
      <c r="G175" s="10">
        <v>2.8740000000000001</v>
      </c>
      <c r="H175" s="11">
        <v>2.4</v>
      </c>
      <c r="J175" s="8">
        <v>44973</v>
      </c>
      <c r="K175" s="11">
        <v>1733.1495</v>
      </c>
      <c r="L175" s="11">
        <v>2321.9666999999999</v>
      </c>
      <c r="M175" s="11">
        <v>2859.4711000000002</v>
      </c>
      <c r="N175" s="11">
        <v>3032.4829</v>
      </c>
      <c r="O175" s="3">
        <f t="shared" si="25"/>
        <v>4.4690671078144728E-3</v>
      </c>
      <c r="P175" s="3">
        <f t="shared" si="26"/>
        <v>3.758789067396906E-3</v>
      </c>
      <c r="Q175" s="3">
        <f t="shared" si="27"/>
        <v>6.7419118938596423E-3</v>
      </c>
      <c r="R175" s="3">
        <f t="shared" si="28"/>
        <v>6.2355098780864093E-3</v>
      </c>
      <c r="S175" s="15">
        <f t="shared" si="21"/>
        <v>1.0044690671078145</v>
      </c>
      <c r="T175" s="15">
        <f t="shared" si="22"/>
        <v>1.0037587890673969</v>
      </c>
      <c r="U175" s="15">
        <f t="shared" si="23"/>
        <v>1.0067419118938596</v>
      </c>
      <c r="V175" s="15">
        <f t="shared" si="24"/>
        <v>1.0062355098780864</v>
      </c>
    </row>
    <row r="176" spans="1:22" x14ac:dyDescent="0.25">
      <c r="A176" s="6">
        <v>44967</v>
      </c>
      <c r="B176" s="10">
        <v>2.1682000000000001</v>
      </c>
      <c r="C176" s="10">
        <v>2.6960999999999999</v>
      </c>
      <c r="D176" s="10">
        <v>2.9003000000000001</v>
      </c>
      <c r="E176" s="10">
        <v>3.2856999999999998</v>
      </c>
      <c r="F176" s="10">
        <v>2.2805</v>
      </c>
      <c r="G176" s="10">
        <v>2.8666</v>
      </c>
      <c r="H176" s="11">
        <v>2.08</v>
      </c>
      <c r="J176" s="8">
        <v>44974</v>
      </c>
      <c r="K176" s="11">
        <v>1733.3309999999999</v>
      </c>
      <c r="L176" s="11">
        <v>2322.5880999999999</v>
      </c>
      <c r="M176" s="11">
        <v>2857.6412</v>
      </c>
      <c r="N176" s="11">
        <v>3031.6887999999999</v>
      </c>
      <c r="O176" s="3">
        <f t="shared" si="25"/>
        <v>4.574257765446621E-3</v>
      </c>
      <c r="P176" s="3">
        <f t="shared" si="26"/>
        <v>4.0274129505588618E-3</v>
      </c>
      <c r="Q176" s="3">
        <f t="shared" si="27"/>
        <v>6.0976539314083755E-3</v>
      </c>
      <c r="R176" s="3">
        <f t="shared" si="28"/>
        <v>5.9720123927768931E-3</v>
      </c>
      <c r="S176" s="15">
        <f t="shared" si="21"/>
        <v>1.0045742577654466</v>
      </c>
      <c r="T176" s="15">
        <f t="shared" si="22"/>
        <v>1.0040274129505589</v>
      </c>
      <c r="U176" s="15">
        <f t="shared" si="23"/>
        <v>1.0060976539314084</v>
      </c>
      <c r="V176" s="15">
        <f t="shared" si="24"/>
        <v>1.0059720123927769</v>
      </c>
    </row>
    <row r="177" spans="1:22" x14ac:dyDescent="0.25">
      <c r="A177" s="6">
        <v>44970</v>
      </c>
      <c r="B177" s="10">
        <v>2.1734</v>
      </c>
      <c r="C177" s="10">
        <v>2.6966999999999999</v>
      </c>
      <c r="D177" s="10">
        <v>2.8942999999999999</v>
      </c>
      <c r="E177" s="10">
        <v>3.2829000000000002</v>
      </c>
      <c r="F177" s="10">
        <v>2.2770999999999999</v>
      </c>
      <c r="G177" s="10">
        <v>2.8551000000000002</v>
      </c>
      <c r="H177" s="11">
        <v>2</v>
      </c>
      <c r="J177" s="8">
        <v>44977</v>
      </c>
      <c r="K177" s="11">
        <v>1733.415</v>
      </c>
      <c r="L177" s="11">
        <v>2321.9063999999998</v>
      </c>
      <c r="M177" s="11">
        <v>2860.0709000000002</v>
      </c>
      <c r="N177" s="11">
        <v>3033.2546000000002</v>
      </c>
      <c r="O177" s="3">
        <f t="shared" si="25"/>
        <v>4.6229410450120412E-3</v>
      </c>
      <c r="P177" s="3">
        <f t="shared" si="26"/>
        <v>3.7327220893559332E-3</v>
      </c>
      <c r="Q177" s="3">
        <f t="shared" si="27"/>
        <v>6.9530851415116057E-3</v>
      </c>
      <c r="R177" s="3">
        <f t="shared" si="28"/>
        <v>6.4915746173048738E-3</v>
      </c>
      <c r="S177" s="15">
        <f t="shared" si="21"/>
        <v>1.004622941045012</v>
      </c>
      <c r="T177" s="15">
        <f t="shared" si="22"/>
        <v>1.0037327220893559</v>
      </c>
      <c r="U177" s="15">
        <f t="shared" si="23"/>
        <v>1.0069530851415116</v>
      </c>
      <c r="V177" s="15">
        <f t="shared" si="24"/>
        <v>1.0064915746173049</v>
      </c>
    </row>
    <row r="178" spans="1:22" x14ac:dyDescent="0.25">
      <c r="A178" s="6">
        <v>44971</v>
      </c>
      <c r="B178" s="10">
        <v>2.1781000000000001</v>
      </c>
      <c r="C178" s="10">
        <v>2.6949999999999998</v>
      </c>
      <c r="D178" s="10">
        <v>2.8914</v>
      </c>
      <c r="E178" s="10">
        <v>3.2810000000000001</v>
      </c>
      <c r="F178" s="10">
        <v>2.2894999999999999</v>
      </c>
      <c r="G178" s="10">
        <v>2.8551000000000002</v>
      </c>
      <c r="H178" s="11">
        <v>2.13</v>
      </c>
      <c r="J178" s="8">
        <v>44978</v>
      </c>
      <c r="K178" s="11">
        <v>1733.2599</v>
      </c>
      <c r="L178" s="11">
        <v>2321.3856000000001</v>
      </c>
      <c r="M178" s="11">
        <v>2860.0391</v>
      </c>
      <c r="N178" s="11">
        <v>3033.0027</v>
      </c>
      <c r="O178" s="3">
        <f t="shared" si="25"/>
        <v>4.5330508466718822E-3</v>
      </c>
      <c r="P178" s="3">
        <f t="shared" si="26"/>
        <v>3.5075863984150857E-3</v>
      </c>
      <c r="Q178" s="3">
        <f t="shared" si="27"/>
        <v>6.9418892274146771E-3</v>
      </c>
      <c r="R178" s="3">
        <f t="shared" si="28"/>
        <v>6.4079894056823239E-3</v>
      </c>
      <c r="S178" s="15">
        <f t="shared" si="21"/>
        <v>1.0045330508466719</v>
      </c>
      <c r="T178" s="15">
        <f t="shared" si="22"/>
        <v>1.0035075863984151</v>
      </c>
      <c r="U178" s="15">
        <f t="shared" si="23"/>
        <v>1.0069418892274147</v>
      </c>
      <c r="V178" s="15">
        <f t="shared" si="24"/>
        <v>1.0064079894056823</v>
      </c>
    </row>
    <row r="179" spans="1:22" x14ac:dyDescent="0.25">
      <c r="A179" s="6">
        <v>44972</v>
      </c>
      <c r="B179" s="10">
        <v>2.1791999999999998</v>
      </c>
      <c r="C179" s="10">
        <v>2.6945000000000001</v>
      </c>
      <c r="D179" s="10">
        <v>2.8917999999999999</v>
      </c>
      <c r="E179" s="10">
        <v>3.2816000000000001</v>
      </c>
      <c r="F179" s="10">
        <v>2.3081</v>
      </c>
      <c r="G179" s="10">
        <v>2.8626</v>
      </c>
      <c r="H179" s="11">
        <v>2.1</v>
      </c>
      <c r="J179" s="8">
        <v>44979</v>
      </c>
      <c r="K179" s="11">
        <v>1733.4335000000001</v>
      </c>
      <c r="L179" s="11">
        <v>2321.7566999999999</v>
      </c>
      <c r="M179" s="11">
        <v>2859.8269</v>
      </c>
      <c r="N179" s="11">
        <v>3032.9648000000002</v>
      </c>
      <c r="O179" s="3">
        <f t="shared" si="25"/>
        <v>4.6336629577736765E-3</v>
      </c>
      <c r="P179" s="3">
        <f t="shared" si="26"/>
        <v>3.6680085468563384E-3</v>
      </c>
      <c r="Q179" s="3">
        <f t="shared" si="27"/>
        <v>6.867179385547928E-3</v>
      </c>
      <c r="R179" s="3">
        <f t="shared" si="28"/>
        <v>6.395413464751476E-3</v>
      </c>
      <c r="S179" s="15">
        <f t="shared" si="21"/>
        <v>1.0046336629577737</v>
      </c>
      <c r="T179" s="15">
        <f t="shared" si="22"/>
        <v>1.0036680085468563</v>
      </c>
      <c r="U179" s="15">
        <f t="shared" si="23"/>
        <v>1.0068671793855479</v>
      </c>
      <c r="V179" s="15">
        <f t="shared" si="24"/>
        <v>1.0063954134647515</v>
      </c>
    </row>
    <row r="180" spans="1:22" x14ac:dyDescent="0.25">
      <c r="A180" s="6">
        <v>44973</v>
      </c>
      <c r="B180" s="10">
        <v>2.1916000000000002</v>
      </c>
      <c r="C180" s="10">
        <v>2.6920999999999999</v>
      </c>
      <c r="D180" s="10">
        <v>2.8906999999999998</v>
      </c>
      <c r="E180" s="10">
        <v>3.2829999999999999</v>
      </c>
      <c r="F180" s="10">
        <v>2.3165</v>
      </c>
      <c r="G180" s="10">
        <v>2.8639000000000001</v>
      </c>
      <c r="H180" s="11">
        <v>2.13</v>
      </c>
      <c r="J180" s="8">
        <v>44980</v>
      </c>
      <c r="K180" s="11">
        <v>1733.5488</v>
      </c>
      <c r="L180" s="11">
        <v>2321.7532999999999</v>
      </c>
      <c r="M180" s="11">
        <v>2859.7127999999998</v>
      </c>
      <c r="N180" s="11">
        <v>3032.8155000000002</v>
      </c>
      <c r="O180" s="3">
        <f t="shared" si="25"/>
        <v>4.7004865546054209E-3</v>
      </c>
      <c r="P180" s="3">
        <f t="shared" si="26"/>
        <v>3.6665387669998495E-3</v>
      </c>
      <c r="Q180" s="3">
        <f t="shared" si="27"/>
        <v>6.8270078824514968E-3</v>
      </c>
      <c r="R180" s="3">
        <f t="shared" si="28"/>
        <v>6.3458728847782808E-3</v>
      </c>
      <c r="S180" s="15">
        <f t="shared" si="21"/>
        <v>1.0047004865546054</v>
      </c>
      <c r="T180" s="15">
        <f t="shared" si="22"/>
        <v>1.0036665387669998</v>
      </c>
      <c r="U180" s="15">
        <f t="shared" si="23"/>
        <v>1.0068270078824515</v>
      </c>
      <c r="V180" s="15">
        <f t="shared" si="24"/>
        <v>1.0063458728847783</v>
      </c>
    </row>
    <row r="181" spans="1:22" x14ac:dyDescent="0.25">
      <c r="A181" s="6">
        <v>44974</v>
      </c>
      <c r="B181" s="10">
        <v>2.1972999999999998</v>
      </c>
      <c r="C181" s="10">
        <v>2.6976</v>
      </c>
      <c r="D181" s="10">
        <v>2.8919999999999999</v>
      </c>
      <c r="E181" s="10">
        <v>3.2829999999999999</v>
      </c>
      <c r="F181" s="10">
        <v>2.3191999999999999</v>
      </c>
      <c r="G181" s="10">
        <v>2.8666999999999998</v>
      </c>
      <c r="H181" s="11">
        <v>2.5</v>
      </c>
      <c r="J181" s="8">
        <v>44981</v>
      </c>
      <c r="K181" s="11">
        <v>1733.6824999999999</v>
      </c>
      <c r="L181" s="11">
        <v>2321.8782999999999</v>
      </c>
      <c r="M181" s="11">
        <v>2858.7577999999999</v>
      </c>
      <c r="N181" s="11">
        <v>3032.0463</v>
      </c>
      <c r="O181" s="3">
        <f t="shared" si="25"/>
        <v>4.7779741079136961E-3</v>
      </c>
      <c r="P181" s="3">
        <f t="shared" si="26"/>
        <v>3.7205747911313036E-3</v>
      </c>
      <c r="Q181" s="3">
        <f t="shared" si="27"/>
        <v>6.490778386773588E-3</v>
      </c>
      <c r="R181" s="3">
        <f t="shared" si="28"/>
        <v>6.0906376931146866E-3</v>
      </c>
      <c r="S181" s="15">
        <f t="shared" si="21"/>
        <v>1.0047779741079137</v>
      </c>
      <c r="T181" s="15">
        <f t="shared" si="22"/>
        <v>1.0037205747911313</v>
      </c>
      <c r="U181" s="15">
        <f t="shared" si="23"/>
        <v>1.0064907783867736</v>
      </c>
      <c r="V181" s="15">
        <f t="shared" si="24"/>
        <v>1.0060906376931147</v>
      </c>
    </row>
    <row r="182" spans="1:22" x14ac:dyDescent="0.25">
      <c r="A182" s="6">
        <v>44977</v>
      </c>
      <c r="B182" s="10">
        <v>2.2395</v>
      </c>
      <c r="C182" s="10">
        <v>2.7391999999999999</v>
      </c>
      <c r="D182" s="10">
        <v>2.9169999999999998</v>
      </c>
      <c r="E182" s="10">
        <v>3.2976999999999999</v>
      </c>
      <c r="F182" s="10">
        <v>2.339</v>
      </c>
      <c r="G182" s="10">
        <v>2.8946999999999998</v>
      </c>
      <c r="H182" s="11">
        <v>2.2999999999999998</v>
      </c>
      <c r="J182" s="8">
        <v>44984</v>
      </c>
      <c r="K182" s="11">
        <v>1733.9570000000001</v>
      </c>
      <c r="L182" s="11">
        <v>2322.0077000000001</v>
      </c>
      <c r="M182" s="11">
        <v>2857.9744999999998</v>
      </c>
      <c r="N182" s="11">
        <v>3031.5214999999998</v>
      </c>
      <c r="O182" s="3">
        <f t="shared" si="25"/>
        <v>4.9370641107790991E-3</v>
      </c>
      <c r="P182" s="3">
        <f t="shared" si="26"/>
        <v>3.7765128833120443E-3</v>
      </c>
      <c r="Q182" s="3">
        <f t="shared" si="27"/>
        <v>6.2149997857636752E-3</v>
      </c>
      <c r="R182" s="3">
        <f t="shared" si="28"/>
        <v>5.9164990704090314E-3</v>
      </c>
      <c r="S182" s="15">
        <f t="shared" si="21"/>
        <v>1.0049370641107791</v>
      </c>
      <c r="T182" s="15">
        <f t="shared" si="22"/>
        <v>1.003776512883312</v>
      </c>
      <c r="U182" s="15">
        <f t="shared" si="23"/>
        <v>1.0062149997857637</v>
      </c>
      <c r="V182" s="15">
        <f t="shared" si="24"/>
        <v>1.005916499070409</v>
      </c>
    </row>
    <row r="183" spans="1:22" x14ac:dyDescent="0.25">
      <c r="A183" s="6">
        <v>44978</v>
      </c>
      <c r="B183" s="10">
        <v>2.2422</v>
      </c>
      <c r="C183" s="10">
        <v>2.7389999999999999</v>
      </c>
      <c r="D183" s="10">
        <v>2.919</v>
      </c>
      <c r="E183" s="10">
        <v>3.3025000000000002</v>
      </c>
      <c r="F183" s="10">
        <v>2.3626999999999998</v>
      </c>
      <c r="G183" s="10">
        <v>2.9356</v>
      </c>
      <c r="H183" s="11">
        <v>2.2006999999999999</v>
      </c>
      <c r="J183" s="8">
        <v>44985</v>
      </c>
      <c r="K183" s="11">
        <v>1734.0109</v>
      </c>
      <c r="L183" s="11">
        <v>2321.9870000000001</v>
      </c>
      <c r="M183" s="11">
        <v>2858.5612999999998</v>
      </c>
      <c r="N183" s="11">
        <v>3031.9956000000002</v>
      </c>
      <c r="O183" s="3">
        <f t="shared" si="25"/>
        <v>4.9683025485001142E-3</v>
      </c>
      <c r="P183" s="3">
        <f t="shared" si="26"/>
        <v>3.7675645177159822E-3</v>
      </c>
      <c r="Q183" s="3">
        <f t="shared" si="27"/>
        <v>6.4215960874012268E-3</v>
      </c>
      <c r="R183" s="3">
        <f t="shared" si="28"/>
        <v>6.0738144687031426E-3</v>
      </c>
      <c r="S183" s="15">
        <f t="shared" si="21"/>
        <v>1.0049683025485001</v>
      </c>
      <c r="T183" s="15">
        <f t="shared" si="22"/>
        <v>1.003767564517716</v>
      </c>
      <c r="U183" s="15">
        <f t="shared" si="23"/>
        <v>1.0064215960874012</v>
      </c>
      <c r="V183" s="15">
        <f t="shared" si="24"/>
        <v>1.0060738144687031</v>
      </c>
    </row>
    <row r="184" spans="1:22" x14ac:dyDescent="0.25">
      <c r="A184" s="6">
        <v>44979</v>
      </c>
      <c r="B184" s="10">
        <v>2.2400000000000002</v>
      </c>
      <c r="C184" s="10">
        <v>2.7342</v>
      </c>
      <c r="D184" s="10">
        <v>2.9175</v>
      </c>
      <c r="E184" s="10">
        <v>3.3025000000000002</v>
      </c>
      <c r="F184" s="10">
        <v>2.3757000000000001</v>
      </c>
      <c r="G184" s="10">
        <v>2.9192999999999998</v>
      </c>
      <c r="H184" s="11">
        <v>2.65</v>
      </c>
      <c r="J184" s="8">
        <v>44986</v>
      </c>
      <c r="K184" s="11">
        <v>1734.1932999999999</v>
      </c>
      <c r="L184" s="11">
        <v>2322.2044000000001</v>
      </c>
      <c r="M184" s="11">
        <v>2860.6840000000002</v>
      </c>
      <c r="N184" s="11">
        <v>3033.6563000000001</v>
      </c>
      <c r="O184" s="3">
        <f t="shared" si="25"/>
        <v>5.0740148126990903E-3</v>
      </c>
      <c r="P184" s="3">
        <f t="shared" si="26"/>
        <v>3.8615439708853394E-3</v>
      </c>
      <c r="Q184" s="3">
        <f t="shared" si="27"/>
        <v>7.1689409570092621E-3</v>
      </c>
      <c r="R184" s="3">
        <f t="shared" si="28"/>
        <v>6.6248663184116374E-3</v>
      </c>
      <c r="S184" s="15">
        <f t="shared" si="21"/>
        <v>1.0050740148126991</v>
      </c>
      <c r="T184" s="15">
        <f t="shared" si="22"/>
        <v>1.0038615439708853</v>
      </c>
      <c r="U184" s="15">
        <f t="shared" si="23"/>
        <v>1.0071689409570093</v>
      </c>
      <c r="V184" s="15">
        <f t="shared" si="24"/>
        <v>1.0066248663184116</v>
      </c>
    </row>
    <row r="185" spans="1:22" x14ac:dyDescent="0.25">
      <c r="A185" s="6">
        <v>44980</v>
      </c>
      <c r="B185" s="10">
        <v>2.2603</v>
      </c>
      <c r="C185" s="10">
        <v>2.7446000000000002</v>
      </c>
      <c r="D185" s="10">
        <v>2.9220000000000002</v>
      </c>
      <c r="E185" s="10">
        <v>3.3052999999999999</v>
      </c>
      <c r="F185" s="10">
        <v>2.4116</v>
      </c>
      <c r="G185" s="10">
        <v>2.9359000000000002</v>
      </c>
      <c r="H185" s="11">
        <v>2.6</v>
      </c>
      <c r="J185" s="8">
        <v>44987</v>
      </c>
      <c r="K185" s="11">
        <v>1734.3831</v>
      </c>
      <c r="L185" s="11">
        <v>2322.3173999999999</v>
      </c>
      <c r="M185" s="11">
        <v>2860.3389000000002</v>
      </c>
      <c r="N185" s="11">
        <v>3033.6595000000002</v>
      </c>
      <c r="O185" s="3">
        <f t="shared" si="25"/>
        <v>5.1840158420028981E-3</v>
      </c>
      <c r="P185" s="3">
        <f t="shared" si="26"/>
        <v>3.9103925366998915E-3</v>
      </c>
      <c r="Q185" s="3">
        <f t="shared" si="27"/>
        <v>7.0474406439637871E-3</v>
      </c>
      <c r="R185" s="3">
        <f t="shared" si="28"/>
        <v>6.6259281392817559E-3</v>
      </c>
      <c r="S185" s="15">
        <f t="shared" si="21"/>
        <v>1.0051840158420029</v>
      </c>
      <c r="T185" s="15">
        <f t="shared" si="22"/>
        <v>1.0039103925366999</v>
      </c>
      <c r="U185" s="15">
        <f t="shared" si="23"/>
        <v>1.0070474406439638</v>
      </c>
      <c r="V185" s="15">
        <f t="shared" si="24"/>
        <v>1.0066259281392818</v>
      </c>
    </row>
    <row r="186" spans="1:22" x14ac:dyDescent="0.25">
      <c r="A186" s="6">
        <v>44981</v>
      </c>
      <c r="B186" s="10">
        <v>2.2948</v>
      </c>
      <c r="C186" s="10">
        <v>2.7395</v>
      </c>
      <c r="D186" s="10">
        <v>2.9125999999999999</v>
      </c>
      <c r="E186" s="10">
        <v>3.3016000000000001</v>
      </c>
      <c r="F186" s="10">
        <v>2.4157000000000002</v>
      </c>
      <c r="G186" s="10">
        <v>2.9380000000000002</v>
      </c>
      <c r="H186" s="11">
        <v>2.6</v>
      </c>
      <c r="J186" s="8">
        <v>44988</v>
      </c>
      <c r="K186" s="11">
        <v>1734.5127</v>
      </c>
      <c r="L186" s="11">
        <v>2322.5504999999998</v>
      </c>
      <c r="M186" s="11">
        <v>2861.0448999999999</v>
      </c>
      <c r="N186" s="11">
        <v>3034.2718</v>
      </c>
      <c r="O186" s="3">
        <f t="shared" si="25"/>
        <v>5.2591271876178958E-3</v>
      </c>
      <c r="P186" s="3">
        <f t="shared" si="26"/>
        <v>4.0111589144999904E-3</v>
      </c>
      <c r="Q186" s="3">
        <f t="shared" si="27"/>
        <v>7.2960040198259968E-3</v>
      </c>
      <c r="R186" s="3">
        <f t="shared" si="28"/>
        <v>6.8291009264056513E-3</v>
      </c>
      <c r="S186" s="15">
        <f t="shared" si="21"/>
        <v>1.0052591271876179</v>
      </c>
      <c r="T186" s="15">
        <f t="shared" si="22"/>
        <v>1.0040111589145</v>
      </c>
      <c r="U186" s="15">
        <f t="shared" si="23"/>
        <v>1.007296004019826</v>
      </c>
      <c r="V186" s="15">
        <f t="shared" si="24"/>
        <v>1.0068291009264057</v>
      </c>
    </row>
    <row r="187" spans="1:22" x14ac:dyDescent="0.25">
      <c r="A187" s="6">
        <v>44984</v>
      </c>
      <c r="B187" s="10">
        <v>2.3165</v>
      </c>
      <c r="C187" s="10">
        <v>2.7397999999999998</v>
      </c>
      <c r="D187" s="10">
        <v>2.9117000000000002</v>
      </c>
      <c r="E187" s="10">
        <v>3.3050999999999999</v>
      </c>
      <c r="F187" s="10">
        <v>2.4226000000000001</v>
      </c>
      <c r="G187" s="10">
        <v>2.9426999999999999</v>
      </c>
      <c r="H187" s="11">
        <v>2.65</v>
      </c>
      <c r="J187" s="8">
        <v>44991</v>
      </c>
      <c r="K187" s="11">
        <v>1735.2074</v>
      </c>
      <c r="L187" s="11">
        <v>2323.7411999999999</v>
      </c>
      <c r="M187" s="11">
        <v>2862.5036</v>
      </c>
      <c r="N187" s="11">
        <v>3035.5187999999998</v>
      </c>
      <c r="O187" s="3">
        <f t="shared" si="25"/>
        <v>5.6617495008803864E-3</v>
      </c>
      <c r="P187" s="3">
        <f t="shared" si="26"/>
        <v>4.5258844659659125E-3</v>
      </c>
      <c r="Q187" s="3">
        <f t="shared" si="27"/>
        <v>7.8095725699260932E-3</v>
      </c>
      <c r="R187" s="3">
        <f t="shared" si="28"/>
        <v>7.2428792467442715E-3</v>
      </c>
      <c r="S187" s="15">
        <f t="shared" si="21"/>
        <v>1.0056617495008804</v>
      </c>
      <c r="T187" s="15">
        <f t="shared" si="22"/>
        <v>1.0045258844659659</v>
      </c>
      <c r="U187" s="15">
        <f t="shared" si="23"/>
        <v>1.0078095725699261</v>
      </c>
      <c r="V187" s="15">
        <f t="shared" si="24"/>
        <v>1.0072428792467443</v>
      </c>
    </row>
    <row r="188" spans="1:22" x14ac:dyDescent="0.25">
      <c r="A188" s="6">
        <v>44985</v>
      </c>
      <c r="B188" s="10">
        <v>2.3290999999999999</v>
      </c>
      <c r="C188" s="10">
        <v>2.7374000000000001</v>
      </c>
      <c r="D188" s="10">
        <v>2.9016999999999999</v>
      </c>
      <c r="E188" s="10">
        <v>3.3029000000000002</v>
      </c>
      <c r="F188" s="10">
        <v>2.4548999999999999</v>
      </c>
      <c r="G188" s="10">
        <v>2.9598</v>
      </c>
      <c r="H188" s="11">
        <v>2.85</v>
      </c>
      <c r="J188" s="8">
        <v>44992</v>
      </c>
      <c r="K188" s="11">
        <v>1735.5706</v>
      </c>
      <c r="L188" s="11">
        <v>2324.5029</v>
      </c>
      <c r="M188" s="11">
        <v>2860.8438999999998</v>
      </c>
      <c r="N188" s="11">
        <v>3034.7022999999999</v>
      </c>
      <c r="O188" s="3">
        <f t="shared" si="25"/>
        <v>5.8722467287153357E-3</v>
      </c>
      <c r="P188" s="3">
        <f t="shared" si="26"/>
        <v>4.8551583826126343E-3</v>
      </c>
      <c r="Q188" s="3">
        <f t="shared" si="27"/>
        <v>7.2252373929870828E-3</v>
      </c>
      <c r="R188" s="3">
        <f t="shared" si="28"/>
        <v>6.9719490153437036E-3</v>
      </c>
      <c r="S188" s="15">
        <f t="shared" si="21"/>
        <v>1.0058722467287153</v>
      </c>
      <c r="T188" s="15">
        <f t="shared" si="22"/>
        <v>1.0048551583826126</v>
      </c>
      <c r="U188" s="15">
        <f t="shared" si="23"/>
        <v>1.0072252373929871</v>
      </c>
      <c r="V188" s="15">
        <f t="shared" si="24"/>
        <v>1.0069719490153437</v>
      </c>
    </row>
    <row r="189" spans="1:22" x14ac:dyDescent="0.25">
      <c r="A189" s="6">
        <v>44986</v>
      </c>
      <c r="B189" s="10">
        <v>2.3197000000000001</v>
      </c>
      <c r="C189" s="10">
        <v>2.7353999999999998</v>
      </c>
      <c r="D189" s="10">
        <v>2.8976999999999999</v>
      </c>
      <c r="E189" s="10">
        <v>3.3048999999999999</v>
      </c>
      <c r="F189" s="10">
        <v>2.4228999999999998</v>
      </c>
      <c r="G189" s="10">
        <v>2.9554</v>
      </c>
      <c r="H189" s="11">
        <v>2.12</v>
      </c>
      <c r="J189" s="8">
        <v>44993</v>
      </c>
      <c r="K189" s="11">
        <v>1735.8985</v>
      </c>
      <c r="L189" s="11">
        <v>2325.0578999999998</v>
      </c>
      <c r="M189" s="11">
        <v>2860.9812000000002</v>
      </c>
      <c r="N189" s="11">
        <v>3035.0646999999999</v>
      </c>
      <c r="O189" s="3">
        <f t="shared" si="25"/>
        <v>6.0622853878760097E-3</v>
      </c>
      <c r="P189" s="3">
        <f t="shared" si="26"/>
        <v>5.0950783297558644E-3</v>
      </c>
      <c r="Q189" s="3">
        <f t="shared" si="27"/>
        <v>7.2735769843552678E-3</v>
      </c>
      <c r="R189" s="3">
        <f t="shared" si="28"/>
        <v>7.0922002288889008E-3</v>
      </c>
      <c r="S189" s="15">
        <f t="shared" si="21"/>
        <v>1.006062285387876</v>
      </c>
      <c r="T189" s="15">
        <f t="shared" si="22"/>
        <v>1.0050950783297559</v>
      </c>
      <c r="U189" s="15">
        <f t="shared" si="23"/>
        <v>1.0072735769843553</v>
      </c>
      <c r="V189" s="15">
        <f t="shared" si="24"/>
        <v>1.0070922002288889</v>
      </c>
    </row>
    <row r="190" spans="1:22" x14ac:dyDescent="0.25">
      <c r="A190" s="6">
        <v>44987</v>
      </c>
      <c r="B190" s="10">
        <v>2.3247</v>
      </c>
      <c r="C190" s="10">
        <v>2.7513000000000001</v>
      </c>
      <c r="D190" s="10">
        <v>2.9110999999999998</v>
      </c>
      <c r="E190" s="10">
        <v>3.31</v>
      </c>
      <c r="F190" s="10">
        <v>2.431</v>
      </c>
      <c r="G190" s="10">
        <v>2.9689999999999999</v>
      </c>
      <c r="H190" s="11">
        <v>2.2000000000000002</v>
      </c>
      <c r="J190" s="8">
        <v>44994</v>
      </c>
      <c r="K190" s="11">
        <v>1736.2005999999999</v>
      </c>
      <c r="L190" s="11">
        <v>2325.4913000000001</v>
      </c>
      <c r="M190" s="11">
        <v>2861.3434000000002</v>
      </c>
      <c r="N190" s="11">
        <v>3035.5171999999998</v>
      </c>
      <c r="O190" s="3">
        <f t="shared" si="25"/>
        <v>6.237371325455543E-3</v>
      </c>
      <c r="P190" s="3">
        <f t="shared" si="26"/>
        <v>5.2824320326243512E-3</v>
      </c>
      <c r="Q190" s="3">
        <f t="shared" si="27"/>
        <v>7.4010977417737767E-3</v>
      </c>
      <c r="R190" s="3">
        <f t="shared" si="28"/>
        <v>7.2423483363091012E-3</v>
      </c>
      <c r="S190" s="15">
        <f t="shared" si="21"/>
        <v>1.0062373713254555</v>
      </c>
      <c r="T190" s="15">
        <f t="shared" si="22"/>
        <v>1.0052824320326244</v>
      </c>
      <c r="U190" s="15">
        <f t="shared" si="23"/>
        <v>1.0074010977417738</v>
      </c>
      <c r="V190" s="15">
        <f t="shared" si="24"/>
        <v>1.0072423483363091</v>
      </c>
    </row>
    <row r="191" spans="1:22" x14ac:dyDescent="0.25">
      <c r="A191" s="6">
        <v>44988</v>
      </c>
      <c r="B191" s="10">
        <v>2.323</v>
      </c>
      <c r="C191" s="10">
        <v>2.7387000000000001</v>
      </c>
      <c r="D191" s="10">
        <v>2.9026000000000001</v>
      </c>
      <c r="E191" s="10">
        <v>3.3079000000000001</v>
      </c>
      <c r="F191" s="10">
        <v>2.4584999999999999</v>
      </c>
      <c r="G191" s="10">
        <v>2.9923000000000002</v>
      </c>
      <c r="H191" s="11">
        <v>2</v>
      </c>
      <c r="J191" s="8">
        <v>44995</v>
      </c>
      <c r="K191" s="11">
        <v>1736.5092999999999</v>
      </c>
      <c r="L191" s="11">
        <v>2326.6080000000002</v>
      </c>
      <c r="M191" s="11">
        <v>2860.33</v>
      </c>
      <c r="N191" s="11">
        <v>3034.9250000000002</v>
      </c>
      <c r="O191" s="3">
        <f t="shared" si="25"/>
        <v>6.4162823778581846E-3</v>
      </c>
      <c r="P191" s="3">
        <f t="shared" si="26"/>
        <v>5.7651682578043761E-3</v>
      </c>
      <c r="Q191" s="3">
        <f t="shared" si="27"/>
        <v>7.0443071963075532E-3</v>
      </c>
      <c r="R191" s="3">
        <f t="shared" si="28"/>
        <v>7.0458451115260612E-3</v>
      </c>
      <c r="S191" s="15">
        <f t="shared" si="21"/>
        <v>1.0064162823778582</v>
      </c>
      <c r="T191" s="15">
        <f t="shared" si="22"/>
        <v>1.0057651682578044</v>
      </c>
      <c r="U191" s="15">
        <f t="shared" si="23"/>
        <v>1.0070443071963076</v>
      </c>
      <c r="V191" s="15">
        <f t="shared" si="24"/>
        <v>1.0070458451115261</v>
      </c>
    </row>
    <row r="192" spans="1:22" x14ac:dyDescent="0.25">
      <c r="A192" s="6">
        <v>44991</v>
      </c>
      <c r="B192" s="10">
        <v>2.2955000000000001</v>
      </c>
      <c r="C192" s="10">
        <v>2.7113999999999998</v>
      </c>
      <c r="D192" s="10">
        <v>2.8826000000000001</v>
      </c>
      <c r="E192" s="10">
        <v>3.2896999999999998</v>
      </c>
      <c r="F192" s="10">
        <v>2.4211999999999998</v>
      </c>
      <c r="G192" s="10">
        <v>2.9407999999999999</v>
      </c>
      <c r="H192" s="11">
        <v>2</v>
      </c>
      <c r="J192" s="8">
        <v>44998</v>
      </c>
      <c r="K192" s="11">
        <v>1736.9431</v>
      </c>
      <c r="L192" s="11">
        <v>2327.038</v>
      </c>
      <c r="M192" s="11">
        <v>2862.085</v>
      </c>
      <c r="N192" s="11">
        <v>3036.4666000000002</v>
      </c>
      <c r="O192" s="3">
        <f t="shared" si="25"/>
        <v>6.6676967430421286E-3</v>
      </c>
      <c r="P192" s="3">
        <f t="shared" si="26"/>
        <v>5.9510521808161521E-3</v>
      </c>
      <c r="Q192" s="3">
        <f t="shared" si="27"/>
        <v>7.6621949082602558E-3</v>
      </c>
      <c r="R192" s="3">
        <f t="shared" si="28"/>
        <v>7.5573773157235902E-3</v>
      </c>
      <c r="S192" s="15">
        <f t="shared" si="21"/>
        <v>1.0066676967430421</v>
      </c>
      <c r="T192" s="15">
        <f t="shared" si="22"/>
        <v>1.0059510521808162</v>
      </c>
      <c r="U192" s="15">
        <f t="shared" si="23"/>
        <v>1.0076621949082603</v>
      </c>
      <c r="V192" s="15">
        <f t="shared" si="24"/>
        <v>1.0075573773157236</v>
      </c>
    </row>
    <row r="193" spans="1:22" x14ac:dyDescent="0.25">
      <c r="A193" s="6">
        <v>44992</v>
      </c>
      <c r="B193" s="10">
        <v>2.2879999999999998</v>
      </c>
      <c r="C193" s="10">
        <v>2.7014</v>
      </c>
      <c r="D193" s="10">
        <v>2.8725999999999998</v>
      </c>
      <c r="E193" s="10">
        <v>3.286</v>
      </c>
      <c r="F193" s="10">
        <v>2.4198</v>
      </c>
      <c r="G193" s="10">
        <v>2.9298000000000002</v>
      </c>
      <c r="H193" s="11">
        <v>2</v>
      </c>
      <c r="J193" s="8">
        <v>44999</v>
      </c>
      <c r="K193" s="11">
        <v>1737.1433</v>
      </c>
      <c r="L193" s="11">
        <v>2327.3515000000002</v>
      </c>
      <c r="M193" s="11">
        <v>2861.5962</v>
      </c>
      <c r="N193" s="11">
        <v>3036.5279</v>
      </c>
      <c r="O193" s="3">
        <f t="shared" si="25"/>
        <v>6.783725226006343E-3</v>
      </c>
      <c r="P193" s="3">
        <f t="shared" si="26"/>
        <v>6.086574529337696E-3</v>
      </c>
      <c r="Q193" s="3">
        <f t="shared" si="27"/>
        <v>7.4901017381163726E-3</v>
      </c>
      <c r="R193" s="3">
        <f t="shared" si="28"/>
        <v>7.5777178217675267E-3</v>
      </c>
      <c r="S193" s="15">
        <f t="shared" si="21"/>
        <v>1.0067837252260063</v>
      </c>
      <c r="T193" s="15">
        <f t="shared" si="22"/>
        <v>1.0060865745293377</v>
      </c>
      <c r="U193" s="15">
        <f t="shared" si="23"/>
        <v>1.0074901017381164</v>
      </c>
      <c r="V193" s="15">
        <f t="shared" si="24"/>
        <v>1.0075777178217675</v>
      </c>
    </row>
    <row r="194" spans="1:22" x14ac:dyDescent="0.25">
      <c r="A194" s="6">
        <v>44993</v>
      </c>
      <c r="B194" s="10">
        <v>2.2730000000000001</v>
      </c>
      <c r="C194" s="10">
        <v>2.7122999999999999</v>
      </c>
      <c r="D194" s="10">
        <v>2.8828</v>
      </c>
      <c r="E194" s="10">
        <v>3.2907000000000002</v>
      </c>
      <c r="F194" s="10">
        <v>2.4237000000000002</v>
      </c>
      <c r="G194" s="10">
        <v>2.9234</v>
      </c>
      <c r="H194" s="11">
        <v>2</v>
      </c>
      <c r="J194" s="8">
        <v>45000</v>
      </c>
      <c r="K194" s="11">
        <v>1737.2611999999999</v>
      </c>
      <c r="L194" s="11">
        <v>2327.4081999999999</v>
      </c>
      <c r="M194" s="11">
        <v>2862.1453000000001</v>
      </c>
      <c r="N194" s="11">
        <v>3037.0358999999999</v>
      </c>
      <c r="O194" s="3">
        <f t="shared" si="25"/>
        <v>6.8520556862534665E-3</v>
      </c>
      <c r="P194" s="3">
        <f t="shared" si="26"/>
        <v>6.111085269883576E-3</v>
      </c>
      <c r="Q194" s="3">
        <f t="shared" si="27"/>
        <v>7.6834248963120189E-3</v>
      </c>
      <c r="R194" s="3">
        <f t="shared" si="28"/>
        <v>7.74628188490456E-3</v>
      </c>
      <c r="S194" s="15">
        <f t="shared" si="21"/>
        <v>1.0068520556862535</v>
      </c>
      <c r="T194" s="15">
        <f t="shared" si="22"/>
        <v>1.0061110852698836</v>
      </c>
      <c r="U194" s="15">
        <f t="shared" si="23"/>
        <v>1.007683424896312</v>
      </c>
      <c r="V194" s="15">
        <f t="shared" si="24"/>
        <v>1.0077462818849046</v>
      </c>
    </row>
    <row r="195" spans="1:22" x14ac:dyDescent="0.25">
      <c r="A195" s="6">
        <v>44994</v>
      </c>
      <c r="B195" s="10">
        <v>2.2730000000000001</v>
      </c>
      <c r="C195" s="10">
        <v>2.7027000000000001</v>
      </c>
      <c r="D195" s="10">
        <v>2.8752</v>
      </c>
      <c r="E195" s="10">
        <v>3.2854000000000001</v>
      </c>
      <c r="F195" s="10">
        <v>2.4249999999999998</v>
      </c>
      <c r="G195" s="10">
        <v>2.91</v>
      </c>
      <c r="H195" s="11">
        <v>2.1</v>
      </c>
      <c r="J195" s="8">
        <v>45001</v>
      </c>
      <c r="K195" s="11">
        <v>1737.4570000000001</v>
      </c>
      <c r="L195" s="11">
        <v>2327.8865000000001</v>
      </c>
      <c r="M195" s="11">
        <v>2860.4110999999998</v>
      </c>
      <c r="N195" s="11">
        <v>3036.1381999999999</v>
      </c>
      <c r="O195" s="3">
        <f t="shared" si="25"/>
        <v>6.965534092668868E-3</v>
      </c>
      <c r="P195" s="3">
        <f t="shared" si="26"/>
        <v>6.3178487126198668E-3</v>
      </c>
      <c r="Q195" s="3">
        <f t="shared" si="27"/>
        <v>7.0728602979823751E-3</v>
      </c>
      <c r="R195" s="3">
        <f t="shared" si="28"/>
        <v>7.4484079489238741E-3</v>
      </c>
      <c r="S195" s="15">
        <f t="shared" si="21"/>
        <v>1.0069655340926689</v>
      </c>
      <c r="T195" s="15">
        <f t="shared" si="22"/>
        <v>1.0063178487126199</v>
      </c>
      <c r="U195" s="15">
        <f t="shared" si="23"/>
        <v>1.0070728602979824</v>
      </c>
      <c r="V195" s="15">
        <f t="shared" si="24"/>
        <v>1.0074484079489239</v>
      </c>
    </row>
    <row r="196" spans="1:22" x14ac:dyDescent="0.25">
      <c r="A196" s="6">
        <v>44995</v>
      </c>
      <c r="B196" s="10">
        <v>2.2629999999999999</v>
      </c>
      <c r="C196" s="10">
        <v>2.6955</v>
      </c>
      <c r="D196" s="10">
        <v>2.8626999999999998</v>
      </c>
      <c r="E196" s="10">
        <v>3.2734999999999999</v>
      </c>
      <c r="F196" s="10">
        <v>2.4083000000000001</v>
      </c>
      <c r="G196" s="10">
        <v>2.8704000000000001</v>
      </c>
      <c r="H196" s="11">
        <v>2.1</v>
      </c>
      <c r="J196" s="8">
        <v>45002</v>
      </c>
      <c r="K196" s="11">
        <v>1737.7974999999999</v>
      </c>
      <c r="L196" s="11">
        <v>2328.7426999999998</v>
      </c>
      <c r="M196" s="11">
        <v>2862.1228999999998</v>
      </c>
      <c r="N196" s="11">
        <v>3036.7957999999999</v>
      </c>
      <c r="O196" s="3">
        <f t="shared" si="25"/>
        <v>7.162875243764022E-3</v>
      </c>
      <c r="P196" s="3">
        <f t="shared" si="26"/>
        <v>6.6879738635099439E-3</v>
      </c>
      <c r="Q196" s="3">
        <f t="shared" si="27"/>
        <v>7.6755384662561266E-3</v>
      </c>
      <c r="R196" s="3">
        <f t="shared" si="28"/>
        <v>7.6666121377406693E-3</v>
      </c>
      <c r="S196" s="15">
        <f t="shared" ref="S196:S259" si="29">(O196+1)</f>
        <v>1.007162875243764</v>
      </c>
      <c r="T196" s="15">
        <f t="shared" ref="T196:T259" si="30">(P196+1)</f>
        <v>1.0066879738635099</v>
      </c>
      <c r="U196" s="15">
        <f t="shared" ref="U196:U259" si="31">(Q196+1)</f>
        <v>1.0076755384662561</v>
      </c>
      <c r="V196" s="15">
        <f t="shared" ref="V196:V259" si="32">(R196+1)</f>
        <v>1.0076666121377407</v>
      </c>
    </row>
    <row r="197" spans="1:22" x14ac:dyDescent="0.25">
      <c r="A197" s="6">
        <v>44998</v>
      </c>
      <c r="B197" s="10">
        <v>2.2629999999999999</v>
      </c>
      <c r="C197" s="10">
        <v>2.7046999999999999</v>
      </c>
      <c r="D197" s="10">
        <v>2.8702999999999999</v>
      </c>
      <c r="E197" s="10">
        <v>3.2764000000000002</v>
      </c>
      <c r="F197" s="10">
        <v>2.4077999999999999</v>
      </c>
      <c r="G197" s="10">
        <v>2.8763000000000001</v>
      </c>
      <c r="H197" s="11">
        <v>2.2000000000000002</v>
      </c>
      <c r="J197" s="8">
        <v>45005</v>
      </c>
      <c r="K197" s="11">
        <v>1738.5672</v>
      </c>
      <c r="L197" s="11">
        <v>2330.2174</v>
      </c>
      <c r="M197" s="11">
        <v>2863.4733000000001</v>
      </c>
      <c r="N197" s="11">
        <v>3038.4897999999998</v>
      </c>
      <c r="O197" s="3">
        <f t="shared" si="25"/>
        <v>7.6089647709243202E-3</v>
      </c>
      <c r="P197" s="3">
        <f t="shared" si="26"/>
        <v>7.3254692618021089E-3</v>
      </c>
      <c r="Q197" s="3">
        <f t="shared" si="27"/>
        <v>8.1509775353281189E-3</v>
      </c>
      <c r="R197" s="3">
        <f t="shared" si="28"/>
        <v>8.2287135608793971E-3</v>
      </c>
      <c r="S197" s="15">
        <f t="shared" si="29"/>
        <v>1.0076089647709243</v>
      </c>
      <c r="T197" s="15">
        <f t="shared" si="30"/>
        <v>1.0073254692618021</v>
      </c>
      <c r="U197" s="15">
        <f t="shared" si="31"/>
        <v>1.0081509775353281</v>
      </c>
      <c r="V197" s="15">
        <f t="shared" si="32"/>
        <v>1.0082287135608794</v>
      </c>
    </row>
    <row r="198" spans="1:22" x14ac:dyDescent="0.25">
      <c r="A198" s="6">
        <v>44999</v>
      </c>
      <c r="B198" s="10">
        <v>2.2690000000000001</v>
      </c>
      <c r="C198" s="10">
        <v>2.6968000000000001</v>
      </c>
      <c r="D198" s="10">
        <v>2.8652000000000002</v>
      </c>
      <c r="E198" s="10">
        <v>3.2709999999999999</v>
      </c>
      <c r="F198" s="10">
        <v>2.4020999999999999</v>
      </c>
      <c r="G198" s="10">
        <v>2.8395000000000001</v>
      </c>
      <c r="H198" s="11">
        <v>2.2000000000000002</v>
      </c>
      <c r="J198" s="8">
        <v>45006</v>
      </c>
      <c r="K198" s="11">
        <v>1738.7094</v>
      </c>
      <c r="L198" s="11">
        <v>2330.2194</v>
      </c>
      <c r="M198" s="11">
        <v>2865.0938000000001</v>
      </c>
      <c r="N198" s="11">
        <v>3039.5419999999999</v>
      </c>
      <c r="O198" s="3">
        <f t="shared" si="25"/>
        <v>7.6913786084742419E-3</v>
      </c>
      <c r="P198" s="3">
        <f t="shared" si="26"/>
        <v>7.3263338381883703E-3</v>
      </c>
      <c r="Q198" s="3">
        <f t="shared" si="27"/>
        <v>8.7215114596694843E-3</v>
      </c>
      <c r="R198" s="3">
        <f t="shared" si="28"/>
        <v>8.5778535357474706E-3</v>
      </c>
      <c r="S198" s="15">
        <f t="shared" si="29"/>
        <v>1.0076913786084742</v>
      </c>
      <c r="T198" s="15">
        <f t="shared" si="30"/>
        <v>1.0073263338381884</v>
      </c>
      <c r="U198" s="15">
        <f t="shared" si="31"/>
        <v>1.0087215114596695</v>
      </c>
      <c r="V198" s="15">
        <f t="shared" si="32"/>
        <v>1.0085778535357475</v>
      </c>
    </row>
    <row r="199" spans="1:22" x14ac:dyDescent="0.25">
      <c r="A199" s="6">
        <v>45000</v>
      </c>
      <c r="B199" s="10">
        <v>2.2789999999999999</v>
      </c>
      <c r="C199" s="10">
        <v>2.6987000000000001</v>
      </c>
      <c r="D199" s="10">
        <v>2.8652000000000002</v>
      </c>
      <c r="E199" s="10">
        <v>3.2724000000000002</v>
      </c>
      <c r="F199" s="10">
        <v>2.4228999999999998</v>
      </c>
      <c r="G199" s="10">
        <v>2.8614000000000002</v>
      </c>
      <c r="H199" s="11">
        <v>2.25</v>
      </c>
      <c r="J199" s="8">
        <v>45007</v>
      </c>
      <c r="K199" s="11">
        <v>1738.8672999999999</v>
      </c>
      <c r="L199" s="11">
        <v>2330.4142999999999</v>
      </c>
      <c r="M199" s="11">
        <v>2865.9834000000001</v>
      </c>
      <c r="N199" s="11">
        <v>3041.0729000000001</v>
      </c>
      <c r="O199" s="3">
        <f t="shared" si="25"/>
        <v>7.7828915827999889E-3</v>
      </c>
      <c r="P199" s="3">
        <f t="shared" si="26"/>
        <v>7.4105868070137859E-3</v>
      </c>
      <c r="Q199" s="3">
        <f t="shared" si="27"/>
        <v>9.0347153961669591E-3</v>
      </c>
      <c r="R199" s="3">
        <f t="shared" si="28"/>
        <v>9.0858352764102701E-3</v>
      </c>
      <c r="S199" s="15">
        <f t="shared" si="29"/>
        <v>1.0077828915828</v>
      </c>
      <c r="T199" s="15">
        <f t="shared" si="30"/>
        <v>1.0074105868070138</v>
      </c>
      <c r="U199" s="15">
        <f t="shared" si="31"/>
        <v>1.009034715396167</v>
      </c>
      <c r="V199" s="15">
        <f t="shared" si="32"/>
        <v>1.0090858352764103</v>
      </c>
    </row>
    <row r="200" spans="1:22" x14ac:dyDescent="0.25">
      <c r="A200" s="6">
        <v>45001</v>
      </c>
      <c r="B200" s="10">
        <v>2.2490000000000001</v>
      </c>
      <c r="C200" s="10">
        <v>2.6839</v>
      </c>
      <c r="D200" s="10">
        <v>2.8552</v>
      </c>
      <c r="E200" s="10">
        <v>3.2517</v>
      </c>
      <c r="F200" s="10">
        <v>2.4104000000000001</v>
      </c>
      <c r="G200" s="10">
        <v>2.8321999999999998</v>
      </c>
      <c r="H200" s="11">
        <v>2.2999999999999998</v>
      </c>
      <c r="J200" s="8">
        <v>45008</v>
      </c>
      <c r="K200" s="11">
        <v>1739.0891999999999</v>
      </c>
      <c r="L200" s="11">
        <v>2330.6657</v>
      </c>
      <c r="M200" s="11">
        <v>2867.1246000000001</v>
      </c>
      <c r="N200" s="11">
        <v>3042.1336000000001</v>
      </c>
      <c r="O200" s="3">
        <f t="shared" si="25"/>
        <v>7.9114965796518444E-3</v>
      </c>
      <c r="P200" s="3">
        <f t="shared" si="26"/>
        <v>7.5192640587469217E-3</v>
      </c>
      <c r="Q200" s="3">
        <f t="shared" si="27"/>
        <v>9.4365008416827934E-3</v>
      </c>
      <c r="R200" s="3">
        <f t="shared" si="28"/>
        <v>9.4377957129647694E-3</v>
      </c>
      <c r="S200" s="15">
        <f t="shared" si="29"/>
        <v>1.0079114965796518</v>
      </c>
      <c r="T200" s="15">
        <f t="shared" si="30"/>
        <v>1.0075192640587469</v>
      </c>
      <c r="U200" s="15">
        <f t="shared" si="31"/>
        <v>1.0094365008416828</v>
      </c>
      <c r="V200" s="15">
        <f t="shared" si="32"/>
        <v>1.0094377957129648</v>
      </c>
    </row>
    <row r="201" spans="1:22" x14ac:dyDescent="0.25">
      <c r="A201" s="6">
        <v>45002</v>
      </c>
      <c r="B201" s="10">
        <v>2.2490000000000001</v>
      </c>
      <c r="C201" s="10">
        <v>2.6865000000000001</v>
      </c>
      <c r="D201" s="10">
        <v>2.8601999999999999</v>
      </c>
      <c r="E201" s="10">
        <v>3.2381000000000002</v>
      </c>
      <c r="F201" s="10">
        <v>2.3992</v>
      </c>
      <c r="G201" s="10">
        <v>2.8323</v>
      </c>
      <c r="H201" s="11">
        <v>2.2999999999999998</v>
      </c>
      <c r="J201" s="8">
        <v>45009</v>
      </c>
      <c r="K201" s="11">
        <v>1739.1058</v>
      </c>
      <c r="L201" s="11">
        <v>2330.6777999999999</v>
      </c>
      <c r="M201" s="11">
        <v>2866.6356999999998</v>
      </c>
      <c r="N201" s="11">
        <v>3040.4386</v>
      </c>
      <c r="O201" s="3">
        <f t="shared" si="25"/>
        <v>7.9211173229944976E-3</v>
      </c>
      <c r="P201" s="3">
        <f t="shared" si="26"/>
        <v>7.5244947458827927E-3</v>
      </c>
      <c r="Q201" s="3">
        <f t="shared" si="27"/>
        <v>9.2643724642618164E-3</v>
      </c>
      <c r="R201" s="3">
        <f t="shared" si="28"/>
        <v>8.8753624708042267E-3</v>
      </c>
      <c r="S201" s="15">
        <f t="shared" si="29"/>
        <v>1.0079211173229945</v>
      </c>
      <c r="T201" s="15">
        <f t="shared" si="30"/>
        <v>1.0075244947458828</v>
      </c>
      <c r="U201" s="15">
        <f t="shared" si="31"/>
        <v>1.0092643724642618</v>
      </c>
      <c r="V201" s="15">
        <f t="shared" si="32"/>
        <v>1.0088753624708042</v>
      </c>
    </row>
    <row r="202" spans="1:22" x14ac:dyDescent="0.25">
      <c r="A202" s="6">
        <v>45005</v>
      </c>
      <c r="B202" s="10">
        <v>2.234</v>
      </c>
      <c r="C202" s="10">
        <v>2.6576</v>
      </c>
      <c r="D202" s="10">
        <v>2.8504</v>
      </c>
      <c r="E202" s="10">
        <v>3.2237</v>
      </c>
      <c r="F202" s="10">
        <v>2.3431000000000002</v>
      </c>
      <c r="G202" s="10">
        <v>2.8060999999999998</v>
      </c>
      <c r="H202" s="11">
        <v>2.25</v>
      </c>
      <c r="J202" s="8">
        <v>45012</v>
      </c>
      <c r="K202" s="11">
        <v>1739.6044999999999</v>
      </c>
      <c r="L202" s="11">
        <v>2331.4821999999999</v>
      </c>
      <c r="M202" s="11">
        <v>2867.212</v>
      </c>
      <c r="N202" s="11">
        <v>3040.884</v>
      </c>
      <c r="O202" s="3">
        <f t="shared" si="25"/>
        <v>8.2101453172711558E-3</v>
      </c>
      <c r="P202" s="3">
        <f t="shared" si="26"/>
        <v>7.8722273683728972E-3</v>
      </c>
      <c r="Q202" s="3">
        <f t="shared" si="27"/>
        <v>9.4672720018107448E-3</v>
      </c>
      <c r="R202" s="3">
        <f t="shared" si="28"/>
        <v>9.0231546631689419E-3</v>
      </c>
      <c r="S202" s="15">
        <f t="shared" si="29"/>
        <v>1.0082101453172712</v>
      </c>
      <c r="T202" s="15">
        <f t="shared" si="30"/>
        <v>1.0078722273683729</v>
      </c>
      <c r="U202" s="15">
        <f t="shared" si="31"/>
        <v>1.0094672720018107</v>
      </c>
      <c r="V202" s="15">
        <f t="shared" si="32"/>
        <v>1.0090231546631689</v>
      </c>
    </row>
    <row r="203" spans="1:22" x14ac:dyDescent="0.25">
      <c r="A203" s="6">
        <v>45006</v>
      </c>
      <c r="B203" s="10">
        <v>2.2490000000000001</v>
      </c>
      <c r="C203" s="10">
        <v>2.6800999999999999</v>
      </c>
      <c r="D203" s="10">
        <v>2.8603999999999998</v>
      </c>
      <c r="E203" s="10">
        <v>3.2269999999999999</v>
      </c>
      <c r="F203" s="10">
        <v>2.3723000000000001</v>
      </c>
      <c r="G203" s="10">
        <v>2.8157000000000001</v>
      </c>
      <c r="H203" s="11">
        <v>2.35</v>
      </c>
      <c r="J203" s="8">
        <v>45013</v>
      </c>
      <c r="K203" s="11">
        <v>1739.7593999999999</v>
      </c>
      <c r="L203" s="11">
        <v>2331.7671</v>
      </c>
      <c r="M203" s="11">
        <v>2866.5082000000002</v>
      </c>
      <c r="N203" s="11">
        <v>3040.4983999999999</v>
      </c>
      <c r="O203" s="3">
        <f t="shared" si="25"/>
        <v>8.299919603041106E-3</v>
      </c>
      <c r="P203" s="3">
        <f t="shared" si="26"/>
        <v>7.9953862745731907E-3</v>
      </c>
      <c r="Q203" s="3">
        <f t="shared" si="27"/>
        <v>9.2194831860432647E-3</v>
      </c>
      <c r="R203" s="3">
        <f t="shared" si="28"/>
        <v>8.8952052483151078E-3</v>
      </c>
      <c r="S203" s="15">
        <f t="shared" si="29"/>
        <v>1.0082999196030411</v>
      </c>
      <c r="T203" s="15">
        <f t="shared" si="30"/>
        <v>1.0079953862745732</v>
      </c>
      <c r="U203" s="15">
        <f t="shared" si="31"/>
        <v>1.0092194831860433</v>
      </c>
      <c r="V203" s="15">
        <f t="shared" si="32"/>
        <v>1.0088952052483151</v>
      </c>
    </row>
    <row r="204" spans="1:22" x14ac:dyDescent="0.25">
      <c r="A204" s="6">
        <v>45007</v>
      </c>
      <c r="B204" s="10">
        <v>2.2728000000000002</v>
      </c>
      <c r="C204" s="10">
        <v>2.6882000000000001</v>
      </c>
      <c r="D204" s="10">
        <v>2.8576999999999999</v>
      </c>
      <c r="E204" s="10">
        <v>3.2275999999999998</v>
      </c>
      <c r="F204" s="10">
        <v>2.3812000000000002</v>
      </c>
      <c r="G204" s="10">
        <v>2.8361999999999998</v>
      </c>
      <c r="H204" s="11">
        <v>2.2999999999999998</v>
      </c>
      <c r="J204" s="8">
        <v>45014</v>
      </c>
      <c r="K204" s="11">
        <v>1740.1125999999999</v>
      </c>
      <c r="L204" s="11">
        <v>2332.1988999999999</v>
      </c>
      <c r="M204" s="11">
        <v>2866.9944999999998</v>
      </c>
      <c r="N204" s="11">
        <v>3040.9362999999998</v>
      </c>
      <c r="O204" s="3">
        <f t="shared" si="25"/>
        <v>8.5046212023565104E-3</v>
      </c>
      <c r="P204" s="3">
        <f t="shared" si="26"/>
        <v>8.1820483163326241E-3</v>
      </c>
      <c r="Q204" s="3">
        <f t="shared" si="27"/>
        <v>9.3906961742611372E-3</v>
      </c>
      <c r="R204" s="3">
        <f t="shared" si="28"/>
        <v>9.0405087980154342E-3</v>
      </c>
      <c r="S204" s="15">
        <f t="shared" si="29"/>
        <v>1.0085046212023565</v>
      </c>
      <c r="T204" s="15">
        <f t="shared" si="30"/>
        <v>1.0081820483163326</v>
      </c>
      <c r="U204" s="15">
        <f t="shared" si="31"/>
        <v>1.0093906961742611</v>
      </c>
      <c r="V204" s="15">
        <f t="shared" si="32"/>
        <v>1.0090405087980154</v>
      </c>
    </row>
    <row r="205" spans="1:22" x14ac:dyDescent="0.25">
      <c r="A205" s="6">
        <v>45008</v>
      </c>
      <c r="B205" s="10">
        <v>2.2677999999999998</v>
      </c>
      <c r="C205" s="10">
        <v>2.694</v>
      </c>
      <c r="D205" s="10">
        <v>2.8652000000000002</v>
      </c>
      <c r="E205" s="10">
        <v>3.2366000000000001</v>
      </c>
      <c r="F205" s="10">
        <v>2.3687</v>
      </c>
      <c r="G205" s="10">
        <v>2.8307000000000002</v>
      </c>
      <c r="H205" s="11">
        <v>2.2000000000000002</v>
      </c>
      <c r="J205" s="8">
        <v>45015</v>
      </c>
      <c r="K205" s="11">
        <v>1740.2447</v>
      </c>
      <c r="L205" s="11">
        <v>2332.4432000000002</v>
      </c>
      <c r="M205" s="11">
        <v>2867.9049</v>
      </c>
      <c r="N205" s="11">
        <v>3041.8987000000002</v>
      </c>
      <c r="O205" s="3">
        <f t="shared" si="25"/>
        <v>8.5811814551015608E-3</v>
      </c>
      <c r="P205" s="3">
        <f t="shared" si="26"/>
        <v>8.2876563218949872E-3</v>
      </c>
      <c r="Q205" s="3">
        <f t="shared" si="27"/>
        <v>9.711223224381671E-3</v>
      </c>
      <c r="R205" s="3">
        <f t="shared" si="28"/>
        <v>9.359851424714849E-3</v>
      </c>
      <c r="S205" s="15">
        <f t="shared" si="29"/>
        <v>1.0085811814551016</v>
      </c>
      <c r="T205" s="15">
        <f t="shared" si="30"/>
        <v>1.008287656321895</v>
      </c>
      <c r="U205" s="15">
        <f t="shared" si="31"/>
        <v>1.0097112232243817</v>
      </c>
      <c r="V205" s="15">
        <f t="shared" si="32"/>
        <v>1.0093598514247148</v>
      </c>
    </row>
    <row r="206" spans="1:22" x14ac:dyDescent="0.25">
      <c r="A206" s="6">
        <v>45009</v>
      </c>
      <c r="B206" s="10">
        <v>2.2928000000000002</v>
      </c>
      <c r="C206" s="10">
        <v>2.7065999999999999</v>
      </c>
      <c r="D206" s="10">
        <v>2.8675999999999999</v>
      </c>
      <c r="E206" s="10">
        <v>3.2418999999999998</v>
      </c>
      <c r="F206" s="10">
        <v>2.3803999999999998</v>
      </c>
      <c r="G206" s="10">
        <v>2.8498000000000001</v>
      </c>
      <c r="H206" s="11">
        <v>1.9</v>
      </c>
      <c r="J206" s="8">
        <v>45016</v>
      </c>
      <c r="K206" s="11">
        <v>1740.6986999999999</v>
      </c>
      <c r="L206" s="11">
        <v>2333.5799000000002</v>
      </c>
      <c r="M206" s="11">
        <v>2870.1478999999999</v>
      </c>
      <c r="N206" s="11">
        <v>3043.8769000000002</v>
      </c>
      <c r="O206" s="3">
        <f t="shared" si="25"/>
        <v>8.8443029898952474E-3</v>
      </c>
      <c r="P206" s="3">
        <f t="shared" si="26"/>
        <v>8.7790383109360715E-3</v>
      </c>
      <c r="Q206" s="3">
        <f t="shared" si="27"/>
        <v>1.0500922448261951E-2</v>
      </c>
      <c r="R206" s="3">
        <f t="shared" si="28"/>
        <v>1.0016255813884101E-2</v>
      </c>
      <c r="S206" s="15">
        <f t="shared" si="29"/>
        <v>1.0088443029898952</v>
      </c>
      <c r="T206" s="15">
        <f t="shared" si="30"/>
        <v>1.0087790383109361</v>
      </c>
      <c r="U206" s="15">
        <f t="shared" si="31"/>
        <v>1.010500922448262</v>
      </c>
      <c r="V206" s="15">
        <f t="shared" si="32"/>
        <v>1.0100162558138841</v>
      </c>
    </row>
    <row r="207" spans="1:22" x14ac:dyDescent="0.25">
      <c r="A207" s="6">
        <v>45012</v>
      </c>
      <c r="B207" s="10">
        <v>2.2728000000000002</v>
      </c>
      <c r="C207" s="10">
        <v>2.6922000000000001</v>
      </c>
      <c r="D207" s="10">
        <v>2.8551000000000002</v>
      </c>
      <c r="E207" s="10">
        <v>3.2319</v>
      </c>
      <c r="F207" s="10">
        <v>2.3633000000000002</v>
      </c>
      <c r="G207" s="10">
        <v>2.8229000000000002</v>
      </c>
      <c r="H207" s="11">
        <v>2.85</v>
      </c>
      <c r="J207" s="8">
        <v>45019</v>
      </c>
      <c r="K207" s="11">
        <v>1741.1827000000001</v>
      </c>
      <c r="L207" s="11">
        <v>2334.0360999999998</v>
      </c>
      <c r="M207" s="11">
        <v>2872.4413</v>
      </c>
      <c r="N207" s="11">
        <v>3045.6239</v>
      </c>
      <c r="O207" s="3">
        <f t="shared" si="25"/>
        <v>9.1248114102480127E-3</v>
      </c>
      <c r="P207" s="3">
        <f t="shared" si="26"/>
        <v>8.9762481846056286E-3</v>
      </c>
      <c r="Q207" s="3">
        <f t="shared" si="27"/>
        <v>1.1308366139767489E-2</v>
      </c>
      <c r="R207" s="3">
        <f t="shared" si="28"/>
        <v>1.0595943645184569E-2</v>
      </c>
      <c r="S207" s="15">
        <f t="shared" si="29"/>
        <v>1.009124811410248</v>
      </c>
      <c r="T207" s="15">
        <f t="shared" si="30"/>
        <v>1.0089762481846056</v>
      </c>
      <c r="U207" s="15">
        <f t="shared" si="31"/>
        <v>1.0113083661397675</v>
      </c>
      <c r="V207" s="15">
        <f t="shared" si="32"/>
        <v>1.0105959436451846</v>
      </c>
    </row>
    <row r="208" spans="1:22" x14ac:dyDescent="0.25">
      <c r="A208" s="6">
        <v>45013</v>
      </c>
      <c r="B208" s="10">
        <v>2.2778</v>
      </c>
      <c r="C208" s="10">
        <v>2.7002999999999999</v>
      </c>
      <c r="D208" s="10">
        <v>2.8555999999999999</v>
      </c>
      <c r="E208" s="10">
        <v>3.2319</v>
      </c>
      <c r="F208" s="10">
        <v>2.3752</v>
      </c>
      <c r="G208" s="10">
        <v>2.8216999999999999</v>
      </c>
      <c r="H208" s="11">
        <v>3.6</v>
      </c>
      <c r="J208" s="8">
        <v>45020</v>
      </c>
      <c r="K208" s="11">
        <v>1741.4608000000001</v>
      </c>
      <c r="L208" s="11">
        <v>2334.0855000000001</v>
      </c>
      <c r="M208" s="11">
        <v>2872.5328</v>
      </c>
      <c r="N208" s="11">
        <v>3045.7628</v>
      </c>
      <c r="O208" s="3">
        <f t="shared" si="25"/>
        <v>9.2859878393805051E-3</v>
      </c>
      <c r="P208" s="3">
        <f t="shared" si="26"/>
        <v>8.9976032213425761E-3</v>
      </c>
      <c r="Q208" s="3">
        <f t="shared" si="27"/>
        <v>1.1340580798253841E-2</v>
      </c>
      <c r="R208" s="3">
        <f t="shared" si="28"/>
        <v>1.0642033307329823E-2</v>
      </c>
      <c r="S208" s="15">
        <f t="shared" si="29"/>
        <v>1.0092859878393805</v>
      </c>
      <c r="T208" s="15">
        <f t="shared" si="30"/>
        <v>1.0089976032213426</v>
      </c>
      <c r="U208" s="15">
        <f t="shared" si="31"/>
        <v>1.0113405807982538</v>
      </c>
      <c r="V208" s="15">
        <f t="shared" si="32"/>
        <v>1.0106420333073298</v>
      </c>
    </row>
    <row r="209" spans="1:22" x14ac:dyDescent="0.25">
      <c r="A209" s="6">
        <v>45014</v>
      </c>
      <c r="B209" s="10">
        <v>2.2753000000000001</v>
      </c>
      <c r="C209" s="10">
        <v>2.6953999999999998</v>
      </c>
      <c r="D209" s="10">
        <v>2.8532000000000002</v>
      </c>
      <c r="E209" s="10">
        <v>3.2286000000000001</v>
      </c>
      <c r="F209" s="10">
        <v>2.3715000000000002</v>
      </c>
      <c r="G209" s="10">
        <v>2.8279000000000001</v>
      </c>
      <c r="H209" s="11">
        <v>3.49</v>
      </c>
      <c r="J209" s="8">
        <v>45022</v>
      </c>
      <c r="K209" s="11">
        <v>1741.7525000000001</v>
      </c>
      <c r="L209" s="11">
        <v>2334.1837999999998</v>
      </c>
      <c r="M209" s="11">
        <v>2873.2433999999998</v>
      </c>
      <c r="N209" s="11">
        <v>3046.2028</v>
      </c>
      <c r="O209" s="3">
        <f t="shared" si="25"/>
        <v>9.4550463232996318E-3</v>
      </c>
      <c r="P209" s="3">
        <f t="shared" si="26"/>
        <v>9.0400971507191841E-3</v>
      </c>
      <c r="Q209" s="3">
        <f t="shared" si="27"/>
        <v>1.1590763708859919E-2</v>
      </c>
      <c r="R209" s="3">
        <f t="shared" si="28"/>
        <v>1.0788033676976339E-2</v>
      </c>
      <c r="S209" s="15">
        <f t="shared" si="29"/>
        <v>1.0094550463232996</v>
      </c>
      <c r="T209" s="15">
        <f t="shared" si="30"/>
        <v>1.0090400971507192</v>
      </c>
      <c r="U209" s="15">
        <f t="shared" si="31"/>
        <v>1.0115907637088599</v>
      </c>
      <c r="V209" s="15">
        <f t="shared" si="32"/>
        <v>1.0107880336769763</v>
      </c>
    </row>
    <row r="210" spans="1:22" x14ac:dyDescent="0.25">
      <c r="A210" s="6">
        <v>45015</v>
      </c>
      <c r="B210" s="10">
        <v>2.2728000000000002</v>
      </c>
      <c r="C210" s="10">
        <v>2.7006999999999999</v>
      </c>
      <c r="D210" s="10">
        <v>2.8603000000000001</v>
      </c>
      <c r="E210" s="10">
        <v>3.2294999999999998</v>
      </c>
      <c r="F210" s="10">
        <v>2.3631000000000002</v>
      </c>
      <c r="G210" s="10">
        <v>2.8227000000000002</v>
      </c>
      <c r="H210" s="11">
        <v>3.1</v>
      </c>
      <c r="J210" s="8">
        <v>45023</v>
      </c>
      <c r="K210" s="11">
        <v>1741.9511</v>
      </c>
      <c r="L210" s="11">
        <v>2334.7525999999998</v>
      </c>
      <c r="M210" s="11">
        <v>2875.3422</v>
      </c>
      <c r="N210" s="11">
        <v>3047.98</v>
      </c>
      <c r="O210" s="3">
        <f t="shared" si="25"/>
        <v>9.5701475057006213E-3</v>
      </c>
      <c r="P210" s="3">
        <f t="shared" si="26"/>
        <v>9.2859826749265295E-3</v>
      </c>
      <c r="Q210" s="3">
        <f t="shared" si="27"/>
        <v>1.2329694039256545E-2</v>
      </c>
      <c r="R210" s="3">
        <f t="shared" si="28"/>
        <v>1.1377742442738814E-2</v>
      </c>
      <c r="S210" s="15">
        <f t="shared" si="29"/>
        <v>1.0095701475057006</v>
      </c>
      <c r="T210" s="15">
        <f t="shared" si="30"/>
        <v>1.0092859826749265</v>
      </c>
      <c r="U210" s="15">
        <f t="shared" si="31"/>
        <v>1.0123296940392565</v>
      </c>
      <c r="V210" s="15">
        <f t="shared" si="32"/>
        <v>1.0113777424427388</v>
      </c>
    </row>
    <row r="211" spans="1:22" x14ac:dyDescent="0.25">
      <c r="A211" s="6">
        <v>45016</v>
      </c>
      <c r="B211" s="10">
        <v>2.2328000000000001</v>
      </c>
      <c r="C211" s="10">
        <v>2.6837</v>
      </c>
      <c r="D211" s="10">
        <v>2.8527999999999998</v>
      </c>
      <c r="E211" s="10">
        <v>3.2332000000000001</v>
      </c>
      <c r="F211" s="10">
        <v>2.3523000000000001</v>
      </c>
      <c r="G211" s="10">
        <v>2.8285</v>
      </c>
      <c r="H211" s="11">
        <v>2.7</v>
      </c>
      <c r="J211" s="8">
        <v>45026</v>
      </c>
      <c r="K211" s="11">
        <v>1742.4186999999999</v>
      </c>
      <c r="L211" s="11">
        <v>2335.3526000000002</v>
      </c>
      <c r="M211" s="11">
        <v>2874.9360999999999</v>
      </c>
      <c r="N211" s="11">
        <v>3048.0137</v>
      </c>
      <c r="O211" s="3">
        <f t="shared" si="25"/>
        <v>9.8411510952809422E-3</v>
      </c>
      <c r="P211" s="3">
        <f t="shared" si="26"/>
        <v>9.5453555907574206E-3</v>
      </c>
      <c r="Q211" s="3">
        <f t="shared" si="27"/>
        <v>1.2186717287220095E-2</v>
      </c>
      <c r="R211" s="3">
        <f t="shared" si="28"/>
        <v>1.1388924743777729E-2</v>
      </c>
      <c r="S211" s="15">
        <f t="shared" si="29"/>
        <v>1.0098411510952809</v>
      </c>
      <c r="T211" s="15">
        <f t="shared" si="30"/>
        <v>1.0095453555907574</v>
      </c>
      <c r="U211" s="15">
        <f t="shared" si="31"/>
        <v>1.0121867172872201</v>
      </c>
      <c r="V211" s="15">
        <f t="shared" si="32"/>
        <v>1.0113889247437777</v>
      </c>
    </row>
    <row r="212" spans="1:22" x14ac:dyDescent="0.25">
      <c r="A212" s="6">
        <v>45019</v>
      </c>
      <c r="B212" s="10">
        <v>2.2328000000000001</v>
      </c>
      <c r="C212" s="10">
        <v>2.6949000000000001</v>
      </c>
      <c r="D212" s="10">
        <v>2.8603999999999998</v>
      </c>
      <c r="E212" s="10">
        <v>3.2406999999999999</v>
      </c>
      <c r="F212" s="10">
        <v>2.339</v>
      </c>
      <c r="G212" s="10">
        <v>2.8302999999999998</v>
      </c>
      <c r="H212" s="11">
        <v>2.02</v>
      </c>
      <c r="J212" s="8">
        <v>45027</v>
      </c>
      <c r="K212" s="11">
        <v>1742.6991</v>
      </c>
      <c r="L212" s="11">
        <v>2335.9852999999998</v>
      </c>
      <c r="M212" s="11">
        <v>2875.1221999999998</v>
      </c>
      <c r="N212" s="11">
        <v>3048.4544999999998</v>
      </c>
      <c r="O212" s="3">
        <f t="shared" si="25"/>
        <v>1.0003660518973057E-2</v>
      </c>
      <c r="P212" s="3">
        <f t="shared" si="26"/>
        <v>9.8188643305003875E-3</v>
      </c>
      <c r="Q212" s="3">
        <f t="shared" si="27"/>
        <v>1.2252238029780926E-2</v>
      </c>
      <c r="R212" s="3">
        <f t="shared" si="28"/>
        <v>1.1535190568641607E-2</v>
      </c>
      <c r="S212" s="15">
        <f t="shared" si="29"/>
        <v>1.0100036605189731</v>
      </c>
      <c r="T212" s="15">
        <f t="shared" si="30"/>
        <v>1.0098188643305004</v>
      </c>
      <c r="U212" s="15">
        <f t="shared" si="31"/>
        <v>1.0122522380297809</v>
      </c>
      <c r="V212" s="15">
        <f t="shared" si="32"/>
        <v>1.0115351905686416</v>
      </c>
    </row>
    <row r="213" spans="1:22" x14ac:dyDescent="0.25">
      <c r="A213" s="6">
        <v>45020</v>
      </c>
      <c r="B213" s="10">
        <v>2.2303000000000002</v>
      </c>
      <c r="C213" s="10">
        <v>2.6979000000000002</v>
      </c>
      <c r="D213" s="10">
        <v>2.8584000000000001</v>
      </c>
      <c r="E213" s="10">
        <v>3.2421000000000002</v>
      </c>
      <c r="F213" s="10">
        <v>2.3536000000000001</v>
      </c>
      <c r="G213" s="10">
        <v>2.8412000000000002</v>
      </c>
      <c r="H213" s="11">
        <v>2</v>
      </c>
      <c r="J213" s="8">
        <v>45028</v>
      </c>
      <c r="K213" s="11">
        <v>1742.9991</v>
      </c>
      <c r="L213" s="11">
        <v>2336.5646999999999</v>
      </c>
      <c r="M213" s="11">
        <v>2876.3647999999998</v>
      </c>
      <c r="N213" s="11">
        <v>3049.5473999999999</v>
      </c>
      <c r="O213" s="3">
        <f t="shared" si="25"/>
        <v>1.0177529374563621E-2</v>
      </c>
      <c r="P213" s="3">
        <f t="shared" si="26"/>
        <v>1.0069332109554185E-2</v>
      </c>
      <c r="Q213" s="3">
        <f t="shared" si="27"/>
        <v>1.2689723654209839E-2</v>
      </c>
      <c r="R213" s="3">
        <f t="shared" si="28"/>
        <v>1.1897835577701965E-2</v>
      </c>
      <c r="S213" s="15">
        <f t="shared" si="29"/>
        <v>1.0101775293745636</v>
      </c>
      <c r="T213" s="15">
        <f t="shared" si="30"/>
        <v>1.0100693321095542</v>
      </c>
      <c r="U213" s="15">
        <f t="shared" si="31"/>
        <v>1.0126897236542098</v>
      </c>
      <c r="V213" s="15">
        <f t="shared" si="32"/>
        <v>1.011897835577702</v>
      </c>
    </row>
    <row r="214" spans="1:22" x14ac:dyDescent="0.25">
      <c r="A214" s="6">
        <v>45022</v>
      </c>
      <c r="B214" s="10">
        <v>2.2277999999999998</v>
      </c>
      <c r="C214" s="10">
        <v>2.7027999999999999</v>
      </c>
      <c r="D214" s="10">
        <v>2.8605</v>
      </c>
      <c r="E214" s="10">
        <v>3.2463000000000002</v>
      </c>
      <c r="F214" s="10">
        <v>2.3853</v>
      </c>
      <c r="G214" s="10">
        <v>2.8576000000000001</v>
      </c>
      <c r="H214" s="11">
        <v>2.15</v>
      </c>
      <c r="J214" s="8">
        <v>45029</v>
      </c>
      <c r="K214" s="11">
        <v>1743.0571</v>
      </c>
      <c r="L214" s="11">
        <v>2336.6459</v>
      </c>
      <c r="M214" s="11">
        <v>2875.3112000000001</v>
      </c>
      <c r="N214" s="11">
        <v>3048.873</v>
      </c>
      <c r="O214" s="3">
        <f t="shared" ref="O214:O277" si="33">K214/$K$148-1</f>
        <v>1.0211144019977691E-2</v>
      </c>
      <c r="P214" s="3">
        <f t="shared" ref="P214:P277" si="34">L214/$L$148-1</f>
        <v>1.0104433910830046E-2</v>
      </c>
      <c r="Q214" s="3">
        <f t="shared" ref="Q214:Q277" si="35">M214/$M$148-1</f>
        <v>1.2318779783375922E-2</v>
      </c>
      <c r="R214" s="3">
        <f t="shared" ref="R214:R277" si="36">N214/$N$148-1</f>
        <v>1.167405682931677E-2</v>
      </c>
      <c r="S214" s="15">
        <f t="shared" si="29"/>
        <v>1.0102111440199777</v>
      </c>
      <c r="T214" s="15">
        <f t="shared" si="30"/>
        <v>1.01010443391083</v>
      </c>
      <c r="U214" s="15">
        <f t="shared" si="31"/>
        <v>1.0123187797833759</v>
      </c>
      <c r="V214" s="15">
        <f t="shared" si="32"/>
        <v>1.0116740568293168</v>
      </c>
    </row>
    <row r="215" spans="1:22" x14ac:dyDescent="0.25">
      <c r="A215" s="6">
        <v>45023</v>
      </c>
      <c r="B215" s="10">
        <v>2.2277999999999998</v>
      </c>
      <c r="C215" s="10">
        <v>2.6880000000000002</v>
      </c>
      <c r="D215" s="10">
        <v>2.8464</v>
      </c>
      <c r="E215" s="10">
        <v>3.2360000000000002</v>
      </c>
      <c r="F215" s="10">
        <v>2.3904000000000001</v>
      </c>
      <c r="G215" s="10">
        <v>2.8624999999999998</v>
      </c>
      <c r="H215" s="11">
        <v>2.2000000000000002</v>
      </c>
      <c r="J215" s="8">
        <v>45030</v>
      </c>
      <c r="K215" s="11">
        <v>1743.2277999999999</v>
      </c>
      <c r="L215" s="11">
        <v>2337.1880999999998</v>
      </c>
      <c r="M215" s="11">
        <v>2877.2352000000001</v>
      </c>
      <c r="N215" s="11">
        <v>3050.5005999999998</v>
      </c>
      <c r="O215" s="3">
        <f t="shared" si="33"/>
        <v>1.0310075398808793E-2</v>
      </c>
      <c r="P215" s="3">
        <f t="shared" si="34"/>
        <v>1.0338820569102181E-2</v>
      </c>
      <c r="Q215" s="3">
        <f t="shared" si="35"/>
        <v>1.2996167793516644E-2</v>
      </c>
      <c r="R215" s="3">
        <f t="shared" si="36"/>
        <v>1.2214125469399484E-2</v>
      </c>
      <c r="S215" s="15">
        <f t="shared" si="29"/>
        <v>1.0103100753988088</v>
      </c>
      <c r="T215" s="15">
        <f t="shared" si="30"/>
        <v>1.0103388205691022</v>
      </c>
      <c r="U215" s="15">
        <f t="shared" si="31"/>
        <v>1.0129961677935166</v>
      </c>
      <c r="V215" s="15">
        <f t="shared" si="32"/>
        <v>1.0122141254693995</v>
      </c>
    </row>
    <row r="216" spans="1:22" x14ac:dyDescent="0.25">
      <c r="A216" s="6">
        <v>45026</v>
      </c>
      <c r="B216" s="10">
        <v>2.2227999999999999</v>
      </c>
      <c r="C216" s="10">
        <v>2.6918000000000002</v>
      </c>
      <c r="D216" s="10">
        <v>2.8454999999999999</v>
      </c>
      <c r="E216" s="10">
        <v>3.2347000000000001</v>
      </c>
      <c r="F216" s="10">
        <v>2.3852000000000002</v>
      </c>
      <c r="G216" s="10">
        <v>2.8525</v>
      </c>
      <c r="H216" s="11">
        <v>2.1</v>
      </c>
      <c r="J216" s="8">
        <v>45033</v>
      </c>
      <c r="K216" s="11">
        <v>1743.5363</v>
      </c>
      <c r="L216" s="11">
        <v>2337.3344000000002</v>
      </c>
      <c r="M216" s="11">
        <v>2878.6565999999998</v>
      </c>
      <c r="N216" s="11">
        <v>3051.7080999999998</v>
      </c>
      <c r="O216" s="3">
        <f t="shared" si="33"/>
        <v>1.0488870538641004E-2</v>
      </c>
      <c r="P216" s="3">
        <f t="shared" si="34"/>
        <v>1.0402064331745731E-2</v>
      </c>
      <c r="Q216" s="3">
        <f t="shared" si="35"/>
        <v>1.3496604029282766E-2</v>
      </c>
      <c r="R216" s="3">
        <f t="shared" si="36"/>
        <v>1.2614796938372308E-2</v>
      </c>
      <c r="S216" s="15">
        <f t="shared" si="29"/>
        <v>1.010488870538641</v>
      </c>
      <c r="T216" s="15">
        <f t="shared" si="30"/>
        <v>1.0104020643317457</v>
      </c>
      <c r="U216" s="15">
        <f t="shared" si="31"/>
        <v>1.0134966040292828</v>
      </c>
      <c r="V216" s="15">
        <f t="shared" si="32"/>
        <v>1.0126147969383723</v>
      </c>
    </row>
    <row r="217" spans="1:22" x14ac:dyDescent="0.25">
      <c r="A217" s="6">
        <v>45027</v>
      </c>
      <c r="B217" s="10">
        <v>2.2128000000000001</v>
      </c>
      <c r="C217" s="10">
        <v>2.6793</v>
      </c>
      <c r="D217" s="10">
        <v>2.8203</v>
      </c>
      <c r="E217" s="10">
        <v>3.2172999999999998</v>
      </c>
      <c r="F217" s="10">
        <v>2.3776000000000002</v>
      </c>
      <c r="G217" s="10">
        <v>2.8300999999999998</v>
      </c>
      <c r="H217" s="11">
        <v>2.15</v>
      </c>
      <c r="J217" s="8">
        <v>45034</v>
      </c>
      <c r="K217" s="11">
        <v>1743.7488000000001</v>
      </c>
      <c r="L217" s="11">
        <v>2337.7568999999999</v>
      </c>
      <c r="M217" s="11">
        <v>2879.2098999999998</v>
      </c>
      <c r="N217" s="11">
        <v>3052.3058000000001</v>
      </c>
      <c r="O217" s="3">
        <f t="shared" si="33"/>
        <v>1.0612027644684385E-2</v>
      </c>
      <c r="P217" s="3">
        <f t="shared" si="34"/>
        <v>1.0584706093309526E-2</v>
      </c>
      <c r="Q217" s="3">
        <f t="shared" si="35"/>
        <v>1.3691405893113684E-2</v>
      </c>
      <c r="R217" s="3">
        <f t="shared" si="36"/>
        <v>1.2813125167776107E-2</v>
      </c>
      <c r="S217" s="15">
        <f t="shared" si="29"/>
        <v>1.0106120276446844</v>
      </c>
      <c r="T217" s="15">
        <f t="shared" si="30"/>
        <v>1.0105847060933095</v>
      </c>
      <c r="U217" s="15">
        <f t="shared" si="31"/>
        <v>1.0136914058931137</v>
      </c>
      <c r="V217" s="15">
        <f t="shared" si="32"/>
        <v>1.0128131251677761</v>
      </c>
    </row>
    <row r="218" spans="1:22" x14ac:dyDescent="0.25">
      <c r="A218" s="6">
        <v>45028</v>
      </c>
      <c r="B218" s="10">
        <v>2.2090999999999998</v>
      </c>
      <c r="C218" s="10">
        <v>2.669</v>
      </c>
      <c r="D218" s="10">
        <v>2.8157999999999999</v>
      </c>
      <c r="E218" s="10">
        <v>3.1977000000000002</v>
      </c>
      <c r="F218" s="10">
        <v>2.3694999999999999</v>
      </c>
      <c r="G218" s="10">
        <v>2.8144</v>
      </c>
      <c r="H218" s="11">
        <v>2.1</v>
      </c>
      <c r="J218" s="8">
        <v>45035</v>
      </c>
      <c r="K218" s="11">
        <v>1744.0461</v>
      </c>
      <c r="L218" s="11">
        <v>2338.3159000000001</v>
      </c>
      <c r="M218" s="11">
        <v>2878.6178</v>
      </c>
      <c r="N218" s="11">
        <v>3051.96</v>
      </c>
      <c r="O218" s="3">
        <f t="shared" si="33"/>
        <v>1.0784331680574688E-2</v>
      </c>
      <c r="P218" s="3">
        <f t="shared" si="34"/>
        <v>1.0826355193225057E-2</v>
      </c>
      <c r="Q218" s="3">
        <f t="shared" si="35"/>
        <v>1.3482943605793496E-2</v>
      </c>
      <c r="R218" s="3">
        <f t="shared" si="36"/>
        <v>1.2698382149994858E-2</v>
      </c>
      <c r="S218" s="15">
        <f t="shared" si="29"/>
        <v>1.0107843316805747</v>
      </c>
      <c r="T218" s="15">
        <f t="shared" si="30"/>
        <v>1.0108263551932251</v>
      </c>
      <c r="U218" s="15">
        <f t="shared" si="31"/>
        <v>1.0134829436057935</v>
      </c>
      <c r="V218" s="15">
        <f t="shared" si="32"/>
        <v>1.0126983821499949</v>
      </c>
    </row>
    <row r="219" spans="1:22" x14ac:dyDescent="0.25">
      <c r="A219" s="6">
        <v>45029</v>
      </c>
      <c r="B219" s="10">
        <v>2.2065999999999999</v>
      </c>
      <c r="C219" s="10">
        <v>2.6793</v>
      </c>
      <c r="D219" s="10">
        <v>2.8277000000000001</v>
      </c>
      <c r="E219" s="10">
        <v>3.2031000000000001</v>
      </c>
      <c r="F219" s="10">
        <v>2.3792</v>
      </c>
      <c r="G219" s="10">
        <v>2.8283999999999998</v>
      </c>
      <c r="H219" s="11">
        <v>2.1</v>
      </c>
      <c r="J219" s="8">
        <v>45036</v>
      </c>
      <c r="K219" s="11">
        <v>1744.261</v>
      </c>
      <c r="L219" s="11">
        <v>2338.6242999999999</v>
      </c>
      <c r="M219" s="11">
        <v>2878.2890000000002</v>
      </c>
      <c r="N219" s="11">
        <v>3051.6741999999999</v>
      </c>
      <c r="O219" s="3">
        <f t="shared" si="33"/>
        <v>1.0908879737462573E-2</v>
      </c>
      <c r="P219" s="3">
        <f t="shared" si="34"/>
        <v>1.0959672871961867E-2</v>
      </c>
      <c r="Q219" s="3">
        <f t="shared" si="35"/>
        <v>1.3367182078904527E-2</v>
      </c>
      <c r="R219" s="3">
        <f t="shared" si="36"/>
        <v>1.2603548273529164E-2</v>
      </c>
      <c r="S219" s="15">
        <f t="shared" si="29"/>
        <v>1.0109088797374626</v>
      </c>
      <c r="T219" s="15">
        <f t="shared" si="30"/>
        <v>1.0109596728719619</v>
      </c>
      <c r="U219" s="15">
        <f t="shared" si="31"/>
        <v>1.0133671820789045</v>
      </c>
      <c r="V219" s="15">
        <f t="shared" si="32"/>
        <v>1.0126035482735292</v>
      </c>
    </row>
    <row r="220" spans="1:22" x14ac:dyDescent="0.25">
      <c r="A220" s="6">
        <v>45030</v>
      </c>
      <c r="B220" s="10">
        <v>2.2090999999999998</v>
      </c>
      <c r="C220" s="10">
        <v>2.6825999999999999</v>
      </c>
      <c r="D220" s="10">
        <v>2.8281000000000001</v>
      </c>
      <c r="E220" s="10">
        <v>3.2031999999999998</v>
      </c>
      <c r="F220" s="10">
        <v>2.3704000000000001</v>
      </c>
      <c r="G220" s="10">
        <v>2.831</v>
      </c>
      <c r="H220" s="11">
        <v>2.1</v>
      </c>
      <c r="J220" s="8">
        <v>45037</v>
      </c>
      <c r="K220" s="11">
        <v>1744.4449999999999</v>
      </c>
      <c r="L220" s="11">
        <v>2339.1594</v>
      </c>
      <c r="M220" s="11">
        <v>2875.2806</v>
      </c>
      <c r="N220" s="11">
        <v>3049.8316</v>
      </c>
      <c r="O220" s="3">
        <f t="shared" si="33"/>
        <v>1.1015519302224774E-2</v>
      </c>
      <c r="P220" s="3">
        <f t="shared" si="34"/>
        <v>1.1190990284063451E-2</v>
      </c>
      <c r="Q220" s="3">
        <f t="shared" si="35"/>
        <v>1.2308006356603451E-2</v>
      </c>
      <c r="R220" s="3">
        <f t="shared" si="36"/>
        <v>1.1992138543732711E-2</v>
      </c>
      <c r="S220" s="15">
        <f t="shared" si="29"/>
        <v>1.0110155193022248</v>
      </c>
      <c r="T220" s="15">
        <f t="shared" si="30"/>
        <v>1.0111909902840635</v>
      </c>
      <c r="U220" s="15">
        <f t="shared" si="31"/>
        <v>1.0123080063566035</v>
      </c>
      <c r="V220" s="15">
        <f t="shared" si="32"/>
        <v>1.0119921385437327</v>
      </c>
    </row>
    <row r="221" spans="1:22" x14ac:dyDescent="0.25">
      <c r="A221" s="6">
        <v>45033</v>
      </c>
      <c r="B221" s="10">
        <v>2.2141000000000002</v>
      </c>
      <c r="C221" s="10">
        <v>2.6945999999999999</v>
      </c>
      <c r="D221" s="10">
        <v>2.8431999999999999</v>
      </c>
      <c r="E221" s="10">
        <v>3.2136</v>
      </c>
      <c r="F221" s="10">
        <v>2.3879999999999999</v>
      </c>
      <c r="G221" s="10">
        <v>2.8464999999999998</v>
      </c>
      <c r="H221" s="11">
        <v>2.2000000000000002</v>
      </c>
      <c r="J221" s="8">
        <v>45040</v>
      </c>
      <c r="K221" s="11">
        <v>1744.8884</v>
      </c>
      <c r="L221" s="11">
        <v>2339.7873</v>
      </c>
      <c r="M221" s="11">
        <v>2873.7894000000001</v>
      </c>
      <c r="N221" s="11">
        <v>3048.9050000000002</v>
      </c>
      <c r="O221" s="3">
        <f t="shared" si="33"/>
        <v>1.1272497470787846E-2</v>
      </c>
      <c r="P221" s="3">
        <f t="shared" si="34"/>
        <v>1.1462424040480146E-2</v>
      </c>
      <c r="Q221" s="3">
        <f t="shared" si="35"/>
        <v>1.1782995441467436E-2</v>
      </c>
      <c r="R221" s="3">
        <f t="shared" si="36"/>
        <v>1.1684675038018399E-2</v>
      </c>
      <c r="S221" s="15">
        <f t="shared" si="29"/>
        <v>1.0112724974707878</v>
      </c>
      <c r="T221" s="15">
        <f t="shared" si="30"/>
        <v>1.0114624240404801</v>
      </c>
      <c r="U221" s="15">
        <f t="shared" si="31"/>
        <v>1.0117829954414674</v>
      </c>
      <c r="V221" s="15">
        <f t="shared" si="32"/>
        <v>1.0116846750380184</v>
      </c>
    </row>
    <row r="222" spans="1:22" x14ac:dyDescent="0.25">
      <c r="A222" s="6">
        <v>45034</v>
      </c>
      <c r="B222" s="10">
        <v>2.2016</v>
      </c>
      <c r="C222" s="10">
        <v>2.6852</v>
      </c>
      <c r="D222" s="10">
        <v>2.8319000000000001</v>
      </c>
      <c r="E222" s="10">
        <v>3.2056</v>
      </c>
      <c r="F222" s="10">
        <v>2.3875000000000002</v>
      </c>
      <c r="G222" s="10">
        <v>2.8487</v>
      </c>
      <c r="H222" s="11">
        <v>2.25</v>
      </c>
      <c r="J222" s="8">
        <v>45041</v>
      </c>
      <c r="K222" s="11">
        <v>1745.1086</v>
      </c>
      <c r="L222" s="11">
        <v>2340.1178</v>
      </c>
      <c r="M222" s="11">
        <v>2873.2046</v>
      </c>
      <c r="N222" s="11">
        <v>3048.4847</v>
      </c>
      <c r="O222" s="3">
        <f t="shared" si="33"/>
        <v>1.140011721079115E-2</v>
      </c>
      <c r="P222" s="3">
        <f t="shared" si="34"/>
        <v>1.1605295288283468E-2</v>
      </c>
      <c r="Q222" s="3">
        <f t="shared" si="35"/>
        <v>1.1577103285370649E-2</v>
      </c>
      <c r="R222" s="3">
        <f t="shared" si="36"/>
        <v>1.1545211503103836E-2</v>
      </c>
      <c r="S222" s="15">
        <f t="shared" si="29"/>
        <v>1.0114001172107911</v>
      </c>
      <c r="T222" s="15">
        <f t="shared" si="30"/>
        <v>1.0116052952882835</v>
      </c>
      <c r="U222" s="15">
        <f t="shared" si="31"/>
        <v>1.0115771032853706</v>
      </c>
      <c r="V222" s="15">
        <f t="shared" si="32"/>
        <v>1.0115452115031038</v>
      </c>
    </row>
    <row r="223" spans="1:22" x14ac:dyDescent="0.25">
      <c r="A223" s="6">
        <v>45035</v>
      </c>
      <c r="B223" s="10">
        <v>2.1890999999999998</v>
      </c>
      <c r="C223" s="10">
        <v>2.6735000000000002</v>
      </c>
      <c r="D223" s="10">
        <v>2.8332999999999999</v>
      </c>
      <c r="E223" s="10">
        <v>3.1875</v>
      </c>
      <c r="F223" s="10">
        <v>2.379</v>
      </c>
      <c r="G223" s="10">
        <v>2.8372999999999999</v>
      </c>
      <c r="H223" s="11">
        <v>2.15</v>
      </c>
      <c r="J223" s="8">
        <v>45042</v>
      </c>
      <c r="K223" s="11">
        <v>1745.3751999999999</v>
      </c>
      <c r="L223" s="11">
        <v>2340.5699</v>
      </c>
      <c r="M223" s="11">
        <v>2874.6749</v>
      </c>
      <c r="N223" s="11">
        <v>3049.5938999999998</v>
      </c>
      <c r="O223" s="3">
        <f t="shared" si="33"/>
        <v>1.1554628667125977E-2</v>
      </c>
      <c r="P223" s="3">
        <f t="shared" si="34"/>
        <v>1.1800732780361756E-2</v>
      </c>
      <c r="Q223" s="3">
        <f t="shared" si="35"/>
        <v>1.2094755879606511E-2</v>
      </c>
      <c r="R223" s="3">
        <f t="shared" si="36"/>
        <v>1.1913265162221354E-2</v>
      </c>
      <c r="S223" s="15">
        <f t="shared" si="29"/>
        <v>1.011554628667126</v>
      </c>
      <c r="T223" s="15">
        <f t="shared" si="30"/>
        <v>1.0118007327803618</v>
      </c>
      <c r="U223" s="15">
        <f t="shared" si="31"/>
        <v>1.0120947558796065</v>
      </c>
      <c r="V223" s="15">
        <f t="shared" si="32"/>
        <v>1.0119132651622214</v>
      </c>
    </row>
    <row r="224" spans="1:22" x14ac:dyDescent="0.25">
      <c r="A224" s="6">
        <v>45036</v>
      </c>
      <c r="B224" s="10">
        <v>2.1905000000000001</v>
      </c>
      <c r="C224" s="10">
        <v>2.6709999999999998</v>
      </c>
      <c r="D224" s="10">
        <v>2.8332000000000002</v>
      </c>
      <c r="E224" s="10">
        <v>3.1775000000000002</v>
      </c>
      <c r="F224" s="10">
        <v>2.3809999999999998</v>
      </c>
      <c r="G224" s="10">
        <v>2.8464999999999998</v>
      </c>
      <c r="H224" s="11">
        <v>2.15</v>
      </c>
      <c r="J224" s="8">
        <v>45043</v>
      </c>
      <c r="K224" s="11">
        <v>1745.8732</v>
      </c>
      <c r="L224" s="11">
        <v>2341.6066999999998</v>
      </c>
      <c r="M224" s="11">
        <v>2877.1087000000002</v>
      </c>
      <c r="N224" s="11">
        <v>3051.8290999999999</v>
      </c>
      <c r="O224" s="3">
        <f t="shared" si="33"/>
        <v>1.1843250967406238E-2</v>
      </c>
      <c r="P224" s="3">
        <f t="shared" si="34"/>
        <v>1.2248929178916956E-2</v>
      </c>
      <c r="Q224" s="3">
        <f t="shared" si="35"/>
        <v>1.2951630588068364E-2</v>
      </c>
      <c r="R224" s="3">
        <f t="shared" si="36"/>
        <v>1.2654947040025011E-2</v>
      </c>
      <c r="S224" s="15">
        <f t="shared" si="29"/>
        <v>1.0118432509674062</v>
      </c>
      <c r="T224" s="15">
        <f t="shared" si="30"/>
        <v>1.012248929178917</v>
      </c>
      <c r="U224" s="15">
        <f t="shared" si="31"/>
        <v>1.0129516305880684</v>
      </c>
      <c r="V224" s="15">
        <f t="shared" si="32"/>
        <v>1.012654947040025</v>
      </c>
    </row>
    <row r="225" spans="1:22" x14ac:dyDescent="0.25">
      <c r="A225" s="6">
        <v>45037</v>
      </c>
      <c r="B225" s="10">
        <v>2.1894</v>
      </c>
      <c r="C225" s="10">
        <v>2.669</v>
      </c>
      <c r="D225" s="10">
        <v>2.8258000000000001</v>
      </c>
      <c r="E225" s="10">
        <v>3.1726000000000001</v>
      </c>
      <c r="F225" s="10">
        <v>2.387</v>
      </c>
      <c r="G225" s="10">
        <v>2.8433999999999999</v>
      </c>
      <c r="H225" s="11">
        <v>2.5</v>
      </c>
      <c r="J225" s="8">
        <v>45044</v>
      </c>
      <c r="K225" s="11">
        <v>1746.1543999999999</v>
      </c>
      <c r="L225" s="11">
        <v>2342.4639999999999</v>
      </c>
      <c r="M225" s="11">
        <v>2879.5962</v>
      </c>
      <c r="N225" s="11">
        <v>3054.0713999999998</v>
      </c>
      <c r="O225" s="3">
        <f t="shared" si="33"/>
        <v>1.2006224041379854E-2</v>
      </c>
      <c r="P225" s="3">
        <f t="shared" si="34"/>
        <v>1.2619529846819466E-2</v>
      </c>
      <c r="Q225" s="3">
        <f t="shared" si="35"/>
        <v>1.3827411604297346E-2</v>
      </c>
      <c r="R225" s="3">
        <f t="shared" si="36"/>
        <v>1.3398984832884375E-2</v>
      </c>
      <c r="S225" s="15">
        <f t="shared" si="29"/>
        <v>1.0120062240413799</v>
      </c>
      <c r="T225" s="15">
        <f t="shared" si="30"/>
        <v>1.0126195298468195</v>
      </c>
      <c r="U225" s="15">
        <f t="shared" si="31"/>
        <v>1.0138274116042973</v>
      </c>
      <c r="V225" s="15">
        <f t="shared" si="32"/>
        <v>1.0133989848328844</v>
      </c>
    </row>
    <row r="226" spans="1:22" x14ac:dyDescent="0.25">
      <c r="A226" s="6">
        <v>45039</v>
      </c>
      <c r="B226" s="10">
        <v>2.1905999999999999</v>
      </c>
      <c r="C226" s="10">
        <v>2.6682000000000001</v>
      </c>
      <c r="D226" s="10">
        <v>2.8220000000000001</v>
      </c>
      <c r="E226" s="10">
        <v>3.1715</v>
      </c>
      <c r="F226" s="10">
        <v>2.37</v>
      </c>
      <c r="G226" s="10"/>
      <c r="H226" s="11">
        <v>2.1</v>
      </c>
      <c r="J226" s="8">
        <v>45050</v>
      </c>
      <c r="K226" s="11">
        <v>1747.2103999999999</v>
      </c>
      <c r="L226" s="11">
        <v>2344.0034999999998</v>
      </c>
      <c r="M226" s="11">
        <v>2881.2518</v>
      </c>
      <c r="N226" s="11">
        <v>3055.7986999999998</v>
      </c>
      <c r="O226" s="3">
        <f t="shared" si="33"/>
        <v>1.2618242413058534E-2</v>
      </c>
      <c r="P226" s="3">
        <f t="shared" si="34"/>
        <v>1.3285037520021303E-2</v>
      </c>
      <c r="Q226" s="3">
        <f t="shared" si="35"/>
        <v>1.4410303282877956E-2</v>
      </c>
      <c r="R226" s="3">
        <f t="shared" si="36"/>
        <v>1.3972135829452892E-2</v>
      </c>
      <c r="S226" s="15">
        <f t="shared" si="29"/>
        <v>1.0126182424130585</v>
      </c>
      <c r="T226" s="15">
        <f t="shared" si="30"/>
        <v>1.0132850375200213</v>
      </c>
      <c r="U226" s="15">
        <f t="shared" si="31"/>
        <v>1.014410303282878</v>
      </c>
      <c r="V226" s="15">
        <f t="shared" si="32"/>
        <v>1.0139721358294529</v>
      </c>
    </row>
    <row r="227" spans="1:22" x14ac:dyDescent="0.25">
      <c r="A227" s="6">
        <v>45040</v>
      </c>
      <c r="B227" s="10">
        <v>2.1855000000000002</v>
      </c>
      <c r="C227" s="10">
        <v>2.6631999999999998</v>
      </c>
      <c r="D227" s="10">
        <v>2.8176000000000001</v>
      </c>
      <c r="E227" s="10">
        <v>3.1608000000000001</v>
      </c>
      <c r="F227" s="10">
        <v>2.3791000000000002</v>
      </c>
      <c r="G227" s="10">
        <v>2.8271999999999999</v>
      </c>
      <c r="H227" s="11">
        <v>2.5499999999999998</v>
      </c>
      <c r="J227" s="8">
        <v>45051</v>
      </c>
      <c r="K227" s="11">
        <v>1747.846</v>
      </c>
      <c r="L227" s="11">
        <v>2345.6660999999999</v>
      </c>
      <c r="M227" s="11">
        <v>2881.3085999999998</v>
      </c>
      <c r="N227" s="11">
        <v>3056.6907999999999</v>
      </c>
      <c r="O227" s="3">
        <f t="shared" si="33"/>
        <v>1.2986612561769917E-2</v>
      </c>
      <c r="P227" s="3">
        <f t="shared" si="34"/>
        <v>1.4003759869787746E-2</v>
      </c>
      <c r="Q227" s="3">
        <f t="shared" si="35"/>
        <v>1.4430301016233438E-2</v>
      </c>
      <c r="R227" s="3">
        <f t="shared" si="36"/>
        <v>1.4268151578911148E-2</v>
      </c>
      <c r="S227" s="15">
        <f t="shared" si="29"/>
        <v>1.0129866125617699</v>
      </c>
      <c r="T227" s="15">
        <f t="shared" si="30"/>
        <v>1.0140037598697877</v>
      </c>
      <c r="U227" s="15">
        <f t="shared" si="31"/>
        <v>1.0144303010162334</v>
      </c>
      <c r="V227" s="15">
        <f t="shared" si="32"/>
        <v>1.0142681515789111</v>
      </c>
    </row>
    <row r="228" spans="1:22" x14ac:dyDescent="0.25">
      <c r="A228" s="6">
        <v>45041</v>
      </c>
      <c r="B228" s="10">
        <v>2.1753999999999998</v>
      </c>
      <c r="C228" s="10">
        <v>2.6598999999999999</v>
      </c>
      <c r="D228" s="10">
        <v>2.8157000000000001</v>
      </c>
      <c r="E228" s="10">
        <v>3.1583999999999999</v>
      </c>
      <c r="F228" s="10">
        <v>2.3815</v>
      </c>
      <c r="G228" s="10">
        <v>2.8264</v>
      </c>
      <c r="H228" s="11">
        <v>2.6</v>
      </c>
      <c r="J228" s="8">
        <v>45054</v>
      </c>
      <c r="K228" s="11">
        <v>1748.2447999999999</v>
      </c>
      <c r="L228" s="11">
        <v>2345.7921000000001</v>
      </c>
      <c r="M228" s="11">
        <v>2882.9890999999998</v>
      </c>
      <c r="N228" s="11">
        <v>3058.0136000000002</v>
      </c>
      <c r="O228" s="3">
        <f t="shared" si="33"/>
        <v>1.3217742227134899E-2</v>
      </c>
      <c r="P228" s="3">
        <f t="shared" si="34"/>
        <v>1.405822818211222E-2</v>
      </c>
      <c r="Q228" s="3">
        <f t="shared" si="35"/>
        <v>1.5021959306795507E-2</v>
      </c>
      <c r="R228" s="3">
        <f t="shared" si="36"/>
        <v>1.4707081781111686E-2</v>
      </c>
      <c r="S228" s="15">
        <f t="shared" si="29"/>
        <v>1.0132177422271349</v>
      </c>
      <c r="T228" s="15">
        <f t="shared" si="30"/>
        <v>1.0140582281821122</v>
      </c>
      <c r="U228" s="15">
        <f t="shared" si="31"/>
        <v>1.0150219593067955</v>
      </c>
      <c r="V228" s="15">
        <f t="shared" si="32"/>
        <v>1.0147070817811117</v>
      </c>
    </row>
    <row r="229" spans="1:22" x14ac:dyDescent="0.25">
      <c r="A229" s="6">
        <v>45042</v>
      </c>
      <c r="B229" s="10">
        <v>2.1726999999999999</v>
      </c>
      <c r="C229" s="10">
        <v>2.6375000000000002</v>
      </c>
      <c r="D229" s="10">
        <v>2.8058000000000001</v>
      </c>
      <c r="E229" s="10">
        <v>3.1574</v>
      </c>
      <c r="F229" s="10">
        <v>2.3632</v>
      </c>
      <c r="G229" s="10">
        <v>2.8108</v>
      </c>
      <c r="H229" s="11">
        <v>2.5</v>
      </c>
      <c r="J229" s="8">
        <v>45055</v>
      </c>
      <c r="K229" s="11">
        <v>1748.5733</v>
      </c>
      <c r="L229" s="11">
        <v>2346.3238999999999</v>
      </c>
      <c r="M229" s="11">
        <v>2881.9313000000002</v>
      </c>
      <c r="N229" s="11">
        <v>3057.4760000000001</v>
      </c>
      <c r="O229" s="3">
        <f t="shared" si="33"/>
        <v>1.3408128624006421E-2</v>
      </c>
      <c r="P229" s="3">
        <f t="shared" si="34"/>
        <v>1.4288119043176728E-2</v>
      </c>
      <c r="Q229" s="3">
        <f t="shared" si="35"/>
        <v>1.4649536730326318E-2</v>
      </c>
      <c r="R229" s="3">
        <f t="shared" si="36"/>
        <v>1.4528695874925557E-2</v>
      </c>
      <c r="S229" s="15">
        <f t="shared" si="29"/>
        <v>1.0134081286240064</v>
      </c>
      <c r="T229" s="15">
        <f t="shared" si="30"/>
        <v>1.0142881190431767</v>
      </c>
      <c r="U229" s="15">
        <f t="shared" si="31"/>
        <v>1.0146495367303263</v>
      </c>
      <c r="V229" s="15">
        <f t="shared" si="32"/>
        <v>1.0145286958749256</v>
      </c>
    </row>
    <row r="230" spans="1:22" x14ac:dyDescent="0.25">
      <c r="A230" s="6">
        <v>45043</v>
      </c>
      <c r="B230" s="10">
        <v>2.1560000000000001</v>
      </c>
      <c r="C230" s="10">
        <v>2.6152000000000002</v>
      </c>
      <c r="D230" s="10">
        <v>2.7852000000000001</v>
      </c>
      <c r="E230" s="10">
        <v>3.1379000000000001</v>
      </c>
      <c r="F230" s="10">
        <v>2.3338000000000001</v>
      </c>
      <c r="G230" s="10">
        <v>2.7755000000000001</v>
      </c>
      <c r="H230" s="11">
        <v>2.5</v>
      </c>
      <c r="J230" s="8">
        <v>45056</v>
      </c>
      <c r="K230" s="11">
        <v>1749.0486000000001</v>
      </c>
      <c r="L230" s="11">
        <v>2347.2698</v>
      </c>
      <c r="M230" s="11">
        <v>2882.0064000000002</v>
      </c>
      <c r="N230" s="11">
        <v>3058.0394999999999</v>
      </c>
      <c r="O230" s="3">
        <f t="shared" si="33"/>
        <v>1.3683594847547109E-2</v>
      </c>
      <c r="P230" s="3">
        <f t="shared" si="34"/>
        <v>1.4697020444983666E-2</v>
      </c>
      <c r="Q230" s="3">
        <f t="shared" si="35"/>
        <v>1.467597739537907E-2</v>
      </c>
      <c r="R230" s="3">
        <f t="shared" si="36"/>
        <v>1.4715675893779423E-2</v>
      </c>
      <c r="S230" s="15">
        <f t="shared" si="29"/>
        <v>1.0136835948475471</v>
      </c>
      <c r="T230" s="15">
        <f t="shared" si="30"/>
        <v>1.0146970204449837</v>
      </c>
      <c r="U230" s="15">
        <f t="shared" si="31"/>
        <v>1.0146759773953791</v>
      </c>
      <c r="V230" s="15">
        <f t="shared" si="32"/>
        <v>1.0147156758937794</v>
      </c>
    </row>
    <row r="231" spans="1:22" x14ac:dyDescent="0.25">
      <c r="A231" s="6">
        <v>45044</v>
      </c>
      <c r="B231" s="10">
        <v>2.1463999999999999</v>
      </c>
      <c r="C231" s="10">
        <v>2.613</v>
      </c>
      <c r="D231" s="10">
        <v>2.7787999999999999</v>
      </c>
      <c r="E231" s="10">
        <v>3.1355</v>
      </c>
      <c r="F231" s="10">
        <v>2.3372000000000002</v>
      </c>
      <c r="G231" s="10">
        <v>2.7793000000000001</v>
      </c>
      <c r="H231" s="11">
        <v>2.4</v>
      </c>
      <c r="J231" s="8">
        <v>45057</v>
      </c>
      <c r="K231" s="11">
        <v>1749.6668</v>
      </c>
      <c r="L231" s="11">
        <v>2348.4791</v>
      </c>
      <c r="M231" s="11">
        <v>2883.5354000000002</v>
      </c>
      <c r="N231" s="11">
        <v>3059.5047</v>
      </c>
      <c r="O231" s="3">
        <f t="shared" si="33"/>
        <v>1.4041880602634116E-2</v>
      </c>
      <c r="P231" s="3">
        <f t="shared" si="34"/>
        <v>1.5219786556840198E-2</v>
      </c>
      <c r="Q231" s="3">
        <f t="shared" si="35"/>
        <v>1.5214296661234084E-2</v>
      </c>
      <c r="R231" s="3">
        <f t="shared" si="36"/>
        <v>1.5201857124701901E-2</v>
      </c>
      <c r="S231" s="15">
        <f t="shared" si="29"/>
        <v>1.0140418806026341</v>
      </c>
      <c r="T231" s="15">
        <f t="shared" si="30"/>
        <v>1.0152197865568402</v>
      </c>
      <c r="U231" s="15">
        <f t="shared" si="31"/>
        <v>1.0152142966612341</v>
      </c>
      <c r="V231" s="15">
        <f t="shared" si="32"/>
        <v>1.0152018571247019</v>
      </c>
    </row>
    <row r="232" spans="1:22" x14ac:dyDescent="0.25">
      <c r="A232" s="6">
        <v>45050</v>
      </c>
      <c r="B232" s="10">
        <v>2.1362000000000001</v>
      </c>
      <c r="C232" s="10">
        <v>2.5968</v>
      </c>
      <c r="D232" s="10">
        <v>2.7612999999999999</v>
      </c>
      <c r="E232" s="10">
        <v>3.1181999999999999</v>
      </c>
      <c r="F232" s="10">
        <v>2.3003</v>
      </c>
      <c r="G232" s="10">
        <v>2.7403</v>
      </c>
      <c r="H232" s="11">
        <v>2.0145</v>
      </c>
      <c r="J232" s="8">
        <v>45058</v>
      </c>
      <c r="K232" s="11">
        <v>1749.9064000000001</v>
      </c>
      <c r="L232" s="11">
        <v>2349.0320999999999</v>
      </c>
      <c r="M232" s="11">
        <v>2881.2381</v>
      </c>
      <c r="N232" s="11">
        <v>3058.1091999999999</v>
      </c>
      <c r="O232" s="3">
        <f t="shared" si="33"/>
        <v>1.4180743861965883E-2</v>
      </c>
      <c r="P232" s="3">
        <f t="shared" si="34"/>
        <v>1.5458841927597167E-2</v>
      </c>
      <c r="Q232" s="3">
        <f t="shared" si="35"/>
        <v>1.4405479885924333E-2</v>
      </c>
      <c r="R232" s="3">
        <f t="shared" si="36"/>
        <v>1.4738803679607448E-2</v>
      </c>
      <c r="S232" s="15">
        <f t="shared" si="29"/>
        <v>1.0141807438619659</v>
      </c>
      <c r="T232" s="15">
        <f t="shared" si="30"/>
        <v>1.0154588419275972</v>
      </c>
      <c r="U232" s="15">
        <f t="shared" si="31"/>
        <v>1.0144054798859243</v>
      </c>
      <c r="V232" s="15">
        <f t="shared" si="32"/>
        <v>1.0147388036796074</v>
      </c>
    </row>
    <row r="233" spans="1:22" x14ac:dyDescent="0.25">
      <c r="A233" s="6">
        <v>45051</v>
      </c>
      <c r="B233" s="10">
        <v>2.1265999999999998</v>
      </c>
      <c r="C233" s="10">
        <v>2.5644999999999998</v>
      </c>
      <c r="D233" s="10">
        <v>2.7338</v>
      </c>
      <c r="E233" s="10">
        <v>3.0831</v>
      </c>
      <c r="F233" s="10">
        <v>2.2637</v>
      </c>
      <c r="G233" s="10">
        <v>2.7107000000000001</v>
      </c>
      <c r="H233" s="11">
        <v>1.95</v>
      </c>
      <c r="J233" s="8">
        <v>45061</v>
      </c>
      <c r="K233" s="11">
        <v>1750.2251000000001</v>
      </c>
      <c r="L233" s="11">
        <v>2349.1008000000002</v>
      </c>
      <c r="M233" s="11">
        <v>2883.1275000000001</v>
      </c>
      <c r="N233" s="11">
        <v>3059.4576000000002</v>
      </c>
      <c r="O233" s="3">
        <f t="shared" si="33"/>
        <v>1.436545054288807E-2</v>
      </c>
      <c r="P233" s="3">
        <f t="shared" si="34"/>
        <v>1.5488540126459949E-2</v>
      </c>
      <c r="Q233" s="3">
        <f t="shared" si="35"/>
        <v>1.5070686178211057E-2</v>
      </c>
      <c r="R233" s="3">
        <f t="shared" si="36"/>
        <v>1.5186228448769379E-2</v>
      </c>
      <c r="S233" s="15">
        <f t="shared" si="29"/>
        <v>1.0143654505428881</v>
      </c>
      <c r="T233" s="15">
        <f t="shared" si="30"/>
        <v>1.0154885401264599</v>
      </c>
      <c r="U233" s="15">
        <f t="shared" si="31"/>
        <v>1.0150706861782111</v>
      </c>
      <c r="V233" s="15">
        <f t="shared" si="32"/>
        <v>1.0151862284487694</v>
      </c>
    </row>
    <row r="234" spans="1:22" x14ac:dyDescent="0.25">
      <c r="A234" s="6">
        <v>45052</v>
      </c>
      <c r="B234" s="10">
        <v>2.1215000000000002</v>
      </c>
      <c r="C234" s="10">
        <v>2.5634999999999999</v>
      </c>
      <c r="D234" s="10">
        <v>2.7311000000000001</v>
      </c>
      <c r="E234" s="10">
        <v>3.0882000000000001</v>
      </c>
      <c r="F234" s="10">
        <v>2.2339000000000002</v>
      </c>
      <c r="G234" s="10">
        <v>2.6819999999999999</v>
      </c>
      <c r="H234" s="11">
        <v>1.75</v>
      </c>
      <c r="J234" s="8">
        <v>45062</v>
      </c>
      <c r="K234" s="11">
        <v>1750.3145</v>
      </c>
      <c r="L234" s="11">
        <v>2349.0758000000001</v>
      </c>
      <c r="M234" s="11">
        <v>2882.759</v>
      </c>
      <c r="N234" s="11">
        <v>3059.0318000000002</v>
      </c>
      <c r="O234" s="3">
        <f t="shared" si="33"/>
        <v>1.4417263461854013E-2</v>
      </c>
      <c r="P234" s="3">
        <f t="shared" si="34"/>
        <v>1.5477732921633569E-2</v>
      </c>
      <c r="Q234" s="3">
        <f t="shared" si="35"/>
        <v>1.4940947362339418E-2</v>
      </c>
      <c r="R234" s="3">
        <f t="shared" si="36"/>
        <v>1.5044939909234278E-2</v>
      </c>
      <c r="S234" s="15">
        <f t="shared" si="29"/>
        <v>1.014417263461854</v>
      </c>
      <c r="T234" s="15">
        <f t="shared" si="30"/>
        <v>1.0154777329216336</v>
      </c>
      <c r="U234" s="15">
        <f t="shared" si="31"/>
        <v>1.0149409473623394</v>
      </c>
      <c r="V234" s="15">
        <f t="shared" si="32"/>
        <v>1.0150449399092343</v>
      </c>
    </row>
    <row r="235" spans="1:22" x14ac:dyDescent="0.25">
      <c r="A235" s="6">
        <v>45054</v>
      </c>
      <c r="B235" s="10">
        <v>2.1322999999999999</v>
      </c>
      <c r="C235" s="10">
        <v>2.5853999999999999</v>
      </c>
      <c r="D235" s="10">
        <v>2.7484000000000002</v>
      </c>
      <c r="E235" s="10">
        <v>3.1057999999999999</v>
      </c>
      <c r="F235" s="10">
        <v>2.2538</v>
      </c>
      <c r="G235" s="10">
        <v>2.7031999999999998</v>
      </c>
      <c r="H235" s="11">
        <v>2</v>
      </c>
      <c r="J235" s="8">
        <v>45063</v>
      </c>
      <c r="K235" s="11">
        <v>1750.4222</v>
      </c>
      <c r="L235" s="11">
        <v>2349.0210999999999</v>
      </c>
      <c r="M235" s="11">
        <v>2883.0801999999999</v>
      </c>
      <c r="N235" s="11">
        <v>3059.0385999999999</v>
      </c>
      <c r="O235" s="3">
        <f t="shared" si="33"/>
        <v>1.4479682381011161E-2</v>
      </c>
      <c r="P235" s="3">
        <f t="shared" si="34"/>
        <v>1.5454086757473728E-2</v>
      </c>
      <c r="Q235" s="3">
        <f t="shared" si="35"/>
        <v>1.5054033136173706E-2</v>
      </c>
      <c r="R235" s="3">
        <f t="shared" si="36"/>
        <v>1.5047196278583419E-2</v>
      </c>
      <c r="S235" s="15">
        <f t="shared" si="29"/>
        <v>1.0144796823810112</v>
      </c>
      <c r="T235" s="15">
        <f t="shared" si="30"/>
        <v>1.0154540867574737</v>
      </c>
      <c r="U235" s="15">
        <f t="shared" si="31"/>
        <v>1.0150540331361737</v>
      </c>
      <c r="V235" s="15">
        <f t="shared" si="32"/>
        <v>1.0150471962785834</v>
      </c>
    </row>
    <row r="236" spans="1:22" x14ac:dyDescent="0.25">
      <c r="A236" s="6">
        <v>45055</v>
      </c>
      <c r="B236" s="10">
        <v>2.1202999999999999</v>
      </c>
      <c r="C236" s="10">
        <v>2.5779999999999998</v>
      </c>
      <c r="D236" s="10">
        <v>2.7383000000000002</v>
      </c>
      <c r="E236" s="10">
        <v>3.0998000000000001</v>
      </c>
      <c r="F236" s="10">
        <v>2.2452999999999999</v>
      </c>
      <c r="G236" s="10">
        <v>2.6888000000000001</v>
      </c>
      <c r="H236" s="11">
        <v>1.93</v>
      </c>
      <c r="J236" s="8">
        <v>45064</v>
      </c>
      <c r="K236" s="11">
        <v>1750.4858999999999</v>
      </c>
      <c r="L236" s="11">
        <v>2348.9694</v>
      </c>
      <c r="M236" s="11">
        <v>2883.5911999999998</v>
      </c>
      <c r="N236" s="11">
        <v>3059.1561000000002</v>
      </c>
      <c r="O236" s="3">
        <f t="shared" si="33"/>
        <v>1.4516600534681512E-2</v>
      </c>
      <c r="P236" s="3">
        <f t="shared" si="34"/>
        <v>1.5431737457892947E-2</v>
      </c>
      <c r="Q236" s="3">
        <f t="shared" si="35"/>
        <v>1.5233942321819294E-2</v>
      </c>
      <c r="R236" s="3">
        <f t="shared" si="36"/>
        <v>1.5086185013659437E-2</v>
      </c>
      <c r="S236" s="15">
        <f t="shared" si="29"/>
        <v>1.0145166005346815</v>
      </c>
      <c r="T236" s="15">
        <f t="shared" si="30"/>
        <v>1.0154317374578929</v>
      </c>
      <c r="U236" s="15">
        <f t="shared" si="31"/>
        <v>1.0152339423218193</v>
      </c>
      <c r="V236" s="15">
        <f t="shared" si="32"/>
        <v>1.0150861850136594</v>
      </c>
    </row>
    <row r="237" spans="1:22" x14ac:dyDescent="0.25">
      <c r="A237" s="6">
        <v>45056</v>
      </c>
      <c r="B237" s="10">
        <v>2.0882999999999998</v>
      </c>
      <c r="C237" s="10">
        <v>2.5482</v>
      </c>
      <c r="D237" s="10">
        <v>2.7210000000000001</v>
      </c>
      <c r="E237" s="10">
        <v>3.0849000000000002</v>
      </c>
      <c r="F237" s="10">
        <v>2.2195999999999998</v>
      </c>
      <c r="G237" s="10">
        <v>2.6612</v>
      </c>
      <c r="H237" s="11">
        <v>1.9</v>
      </c>
      <c r="J237" s="8">
        <v>45065</v>
      </c>
      <c r="K237" s="11">
        <v>1750.7851000000001</v>
      </c>
      <c r="L237" s="11">
        <v>2349.69</v>
      </c>
      <c r="M237" s="11">
        <v>2884.4132</v>
      </c>
      <c r="N237" s="11">
        <v>3059.9751000000001</v>
      </c>
      <c r="O237" s="3">
        <f t="shared" si="33"/>
        <v>1.4690005739990575E-2</v>
      </c>
      <c r="P237" s="3">
        <f t="shared" si="34"/>
        <v>1.5743244329805561E-2</v>
      </c>
      <c r="Q237" s="3">
        <f t="shared" si="35"/>
        <v>1.5523346139041605E-2</v>
      </c>
      <c r="R237" s="3">
        <f t="shared" si="36"/>
        <v>1.5357944792614875E-2</v>
      </c>
      <c r="S237" s="15">
        <f t="shared" si="29"/>
        <v>1.0146900057399906</v>
      </c>
      <c r="T237" s="15">
        <f t="shared" si="30"/>
        <v>1.0157432443298056</v>
      </c>
      <c r="U237" s="15">
        <f t="shared" si="31"/>
        <v>1.0155233461390416</v>
      </c>
      <c r="V237" s="15">
        <f t="shared" si="32"/>
        <v>1.0153579447926149</v>
      </c>
    </row>
    <row r="238" spans="1:22" x14ac:dyDescent="0.25">
      <c r="A238" s="6">
        <v>45057</v>
      </c>
      <c r="B238" s="10">
        <v>2.0352999999999999</v>
      </c>
      <c r="C238" s="10">
        <v>2.5211000000000001</v>
      </c>
      <c r="D238" s="10">
        <v>2.7010000000000001</v>
      </c>
      <c r="E238" s="10">
        <v>3.0672000000000001</v>
      </c>
      <c r="F238" s="10">
        <v>2.1735000000000002</v>
      </c>
      <c r="G238" s="10">
        <v>2.6194000000000002</v>
      </c>
      <c r="H238" s="11">
        <v>1.85</v>
      </c>
      <c r="J238" s="8">
        <v>45068</v>
      </c>
      <c r="K238" s="11">
        <v>1751.3916999999999</v>
      </c>
      <c r="L238" s="11">
        <v>2350.7689</v>
      </c>
      <c r="M238" s="11">
        <v>2886.0383000000002</v>
      </c>
      <c r="N238" s="11">
        <v>3061.6628999999998</v>
      </c>
      <c r="O238" s="3">
        <f t="shared" si="33"/>
        <v>1.504156856599459E-2</v>
      </c>
      <c r="P238" s="3">
        <f t="shared" si="34"/>
        <v>1.6209640061288111E-2</v>
      </c>
      <c r="Q238" s="3">
        <f t="shared" si="35"/>
        <v>1.6095499598126617E-2</v>
      </c>
      <c r="R238" s="3">
        <f t="shared" si="36"/>
        <v>1.5917988937817373E-2</v>
      </c>
      <c r="S238" s="15">
        <f t="shared" si="29"/>
        <v>1.0150415685659946</v>
      </c>
      <c r="T238" s="15">
        <f t="shared" si="30"/>
        <v>1.0162096400612881</v>
      </c>
      <c r="U238" s="15">
        <f t="shared" si="31"/>
        <v>1.0160954995981266</v>
      </c>
      <c r="V238" s="15">
        <f t="shared" si="32"/>
        <v>1.0159179889378174</v>
      </c>
    </row>
    <row r="239" spans="1:22" x14ac:dyDescent="0.25">
      <c r="A239" s="6">
        <v>45058</v>
      </c>
      <c r="B239" s="10">
        <v>2.0440999999999998</v>
      </c>
      <c r="C239" s="10">
        <v>2.5164</v>
      </c>
      <c r="D239" s="10">
        <v>2.7058</v>
      </c>
      <c r="E239" s="10">
        <v>3.0608</v>
      </c>
      <c r="F239" s="10">
        <v>2.1560999999999999</v>
      </c>
      <c r="G239" s="10">
        <v>2.6242999999999999</v>
      </c>
      <c r="H239" s="11">
        <v>1.85</v>
      </c>
      <c r="J239" s="8">
        <v>45069</v>
      </c>
      <c r="K239" s="11">
        <v>1751.8907999999999</v>
      </c>
      <c r="L239" s="11">
        <v>2351.7570000000001</v>
      </c>
      <c r="M239" s="11">
        <v>2885.4468000000002</v>
      </c>
      <c r="N239" s="11">
        <v>3061.5990000000002</v>
      </c>
      <c r="O239" s="3">
        <f t="shared" si="33"/>
        <v>1.533082838541211E-2</v>
      </c>
      <c r="P239" s="3">
        <f t="shared" si="34"/>
        <v>1.6636784024841811E-2</v>
      </c>
      <c r="Q239" s="3">
        <f t="shared" si="35"/>
        <v>1.5887248554468547E-2</v>
      </c>
      <c r="R239" s="3">
        <f t="shared" si="36"/>
        <v>1.5896785702316674E-2</v>
      </c>
      <c r="S239" s="15">
        <f t="shared" si="29"/>
        <v>1.0153308283854121</v>
      </c>
      <c r="T239" s="15">
        <f t="shared" si="30"/>
        <v>1.0166367840248418</v>
      </c>
      <c r="U239" s="15">
        <f t="shared" si="31"/>
        <v>1.0158872485544685</v>
      </c>
      <c r="V239" s="15">
        <f t="shared" si="32"/>
        <v>1.0158967857023167</v>
      </c>
    </row>
    <row r="240" spans="1:22" x14ac:dyDescent="0.25">
      <c r="A240" s="6">
        <v>45061</v>
      </c>
      <c r="B240" s="10">
        <v>2.0602</v>
      </c>
      <c r="C240" s="10">
        <v>2.5394999999999999</v>
      </c>
      <c r="D240" s="10">
        <v>2.7189999999999999</v>
      </c>
      <c r="E240" s="10">
        <v>3.0649000000000002</v>
      </c>
      <c r="F240" s="10">
        <v>2.1534</v>
      </c>
      <c r="G240" s="10">
        <v>2.6217999999999999</v>
      </c>
      <c r="H240" s="11">
        <v>1.9</v>
      </c>
      <c r="J240" s="8">
        <v>45070</v>
      </c>
      <c r="K240" s="11">
        <v>1752.0137999999999</v>
      </c>
      <c r="L240" s="11">
        <v>2351.7278999999999</v>
      </c>
      <c r="M240" s="11">
        <v>2884.2469999999998</v>
      </c>
      <c r="N240" s="11">
        <v>3060.5981999999999</v>
      </c>
      <c r="O240" s="3">
        <f t="shared" si="33"/>
        <v>1.5402114616204221E-2</v>
      </c>
      <c r="P240" s="3">
        <f t="shared" si="34"/>
        <v>1.662420443842394E-2</v>
      </c>
      <c r="Q240" s="3">
        <f t="shared" si="35"/>
        <v>1.5464831644610433E-2</v>
      </c>
      <c r="R240" s="3">
        <f t="shared" si="36"/>
        <v>1.5564701225175392E-2</v>
      </c>
      <c r="S240" s="15">
        <f t="shared" si="29"/>
        <v>1.0154021146162042</v>
      </c>
      <c r="T240" s="15">
        <f t="shared" si="30"/>
        <v>1.0166242044384239</v>
      </c>
      <c r="U240" s="15">
        <f t="shared" si="31"/>
        <v>1.0154648316446104</v>
      </c>
      <c r="V240" s="15">
        <f t="shared" si="32"/>
        <v>1.0155647012251754</v>
      </c>
    </row>
    <row r="241" spans="1:22" x14ac:dyDescent="0.25">
      <c r="A241" s="6">
        <v>45062</v>
      </c>
      <c r="B241" s="10">
        <v>2.0653000000000001</v>
      </c>
      <c r="C241" s="10">
        <v>2.5371000000000001</v>
      </c>
      <c r="D241" s="10">
        <v>2.7128999999999999</v>
      </c>
      <c r="E241" s="10">
        <v>3.0659999999999998</v>
      </c>
      <c r="F241" s="10">
        <v>2.1793999999999998</v>
      </c>
      <c r="G241" s="10">
        <v>2.6343999999999999</v>
      </c>
      <c r="H241" s="11">
        <v>1.95</v>
      </c>
      <c r="J241" s="8">
        <v>45071</v>
      </c>
      <c r="K241" s="11">
        <v>1752.0708</v>
      </c>
      <c r="L241" s="11">
        <v>2351.6795999999999</v>
      </c>
      <c r="M241" s="11">
        <v>2883.9308000000001</v>
      </c>
      <c r="N241" s="11">
        <v>3060.1934000000001</v>
      </c>
      <c r="O241" s="3">
        <f t="shared" si="33"/>
        <v>1.5435149698766359E-2</v>
      </c>
      <c r="P241" s="3">
        <f t="shared" si="34"/>
        <v>1.6603324918699425E-2</v>
      </c>
      <c r="Q241" s="3">
        <f t="shared" si="35"/>
        <v>1.5353506234627945E-2</v>
      </c>
      <c r="R241" s="3">
        <f t="shared" si="36"/>
        <v>1.5430380885100847E-2</v>
      </c>
      <c r="S241" s="15">
        <f t="shared" si="29"/>
        <v>1.0154351496987664</v>
      </c>
      <c r="T241" s="15">
        <f t="shared" si="30"/>
        <v>1.0166033249186994</v>
      </c>
      <c r="U241" s="15">
        <f t="shared" si="31"/>
        <v>1.0153535062346279</v>
      </c>
      <c r="V241" s="15">
        <f t="shared" si="32"/>
        <v>1.0154303808851008</v>
      </c>
    </row>
    <row r="242" spans="1:22" x14ac:dyDescent="0.25">
      <c r="A242" s="6">
        <v>45063</v>
      </c>
      <c r="B242" s="10">
        <v>2.0779999999999998</v>
      </c>
      <c r="C242" s="10">
        <v>2.5533000000000001</v>
      </c>
      <c r="D242" s="10">
        <v>2.7210000000000001</v>
      </c>
      <c r="E242" s="10">
        <v>3.081</v>
      </c>
      <c r="F242" s="10">
        <v>2.1709000000000001</v>
      </c>
      <c r="G242" s="10">
        <v>2.6347999999999998</v>
      </c>
      <c r="H242" s="11">
        <v>2</v>
      </c>
      <c r="J242" s="8">
        <v>45072</v>
      </c>
      <c r="K242" s="11">
        <v>1752.1431</v>
      </c>
      <c r="L242" s="11">
        <v>2351.8755000000001</v>
      </c>
      <c r="M242" s="11">
        <v>2884.9755</v>
      </c>
      <c r="N242" s="11">
        <v>3060.9670000000001</v>
      </c>
      <c r="O242" s="3">
        <f t="shared" si="33"/>
        <v>1.5477052092963683E-2</v>
      </c>
      <c r="P242" s="3">
        <f t="shared" si="34"/>
        <v>1.6688010175718304E-2</v>
      </c>
      <c r="Q242" s="3">
        <f t="shared" si="35"/>
        <v>1.5721316657805628E-2</v>
      </c>
      <c r="R242" s="3">
        <f t="shared" si="36"/>
        <v>1.5687076080460827E-2</v>
      </c>
      <c r="S242" s="15">
        <f t="shared" si="29"/>
        <v>1.0154770520929637</v>
      </c>
      <c r="T242" s="15">
        <f t="shared" si="30"/>
        <v>1.0166880101757183</v>
      </c>
      <c r="U242" s="15">
        <f t="shared" si="31"/>
        <v>1.0157213166578056</v>
      </c>
      <c r="V242" s="15">
        <f t="shared" si="32"/>
        <v>1.0156870760804608</v>
      </c>
    </row>
    <row r="243" spans="1:22" x14ac:dyDescent="0.25">
      <c r="A243" s="6">
        <v>45064</v>
      </c>
      <c r="B243" s="10">
        <v>2.0729000000000002</v>
      </c>
      <c r="C243" s="10">
        <v>2.5453999999999999</v>
      </c>
      <c r="D243" s="10">
        <v>2.7183999999999999</v>
      </c>
      <c r="E243" s="10">
        <v>3.081</v>
      </c>
      <c r="F243" s="10">
        <v>2.177</v>
      </c>
      <c r="G243" s="10">
        <v>2.6497000000000002</v>
      </c>
      <c r="H243" s="11">
        <v>1.95</v>
      </c>
      <c r="J243" s="8">
        <v>45075</v>
      </c>
      <c r="K243" s="11">
        <v>1752.5673999999999</v>
      </c>
      <c r="L243" s="11">
        <v>2352.6273999999999</v>
      </c>
      <c r="M243" s="11">
        <v>2885.3171000000002</v>
      </c>
      <c r="N243" s="11">
        <v>3061.3973000000001</v>
      </c>
      <c r="O243" s="3">
        <f t="shared" si="33"/>
        <v>1.5722960611053827E-2</v>
      </c>
      <c r="P243" s="3">
        <f t="shared" si="34"/>
        <v>1.7013047668073211E-2</v>
      </c>
      <c r="Q243" s="3">
        <f t="shared" si="35"/>
        <v>1.5841584716155044E-2</v>
      </c>
      <c r="R243" s="3">
        <f t="shared" si="36"/>
        <v>1.5829857805594649E-2</v>
      </c>
      <c r="S243" s="15">
        <f t="shared" si="29"/>
        <v>1.0157229606110538</v>
      </c>
      <c r="T243" s="15">
        <f t="shared" si="30"/>
        <v>1.0170130476680732</v>
      </c>
      <c r="U243" s="15">
        <f t="shared" si="31"/>
        <v>1.015841584716155</v>
      </c>
      <c r="V243" s="15">
        <f t="shared" si="32"/>
        <v>1.0158298578055946</v>
      </c>
    </row>
    <row r="244" spans="1:22" x14ac:dyDescent="0.25">
      <c r="A244" s="6">
        <v>45065</v>
      </c>
      <c r="B244" s="10">
        <v>2.0554000000000001</v>
      </c>
      <c r="C244" s="10">
        <v>2.5204</v>
      </c>
      <c r="D244" s="10">
        <v>2.7151000000000001</v>
      </c>
      <c r="E244" s="10">
        <v>3.0773000000000001</v>
      </c>
      <c r="F244" s="10">
        <v>2.1478000000000002</v>
      </c>
      <c r="G244" s="10">
        <v>2.6191</v>
      </c>
      <c r="H244" s="11">
        <v>1.91</v>
      </c>
      <c r="J244" s="8">
        <v>45076</v>
      </c>
      <c r="K244" s="11">
        <v>1752.8015</v>
      </c>
      <c r="L244" s="11">
        <v>2352.9879000000001</v>
      </c>
      <c r="M244" s="11">
        <v>2885.8294999999998</v>
      </c>
      <c r="N244" s="11">
        <v>3061.7820000000002</v>
      </c>
      <c r="O244" s="3">
        <f t="shared" si="33"/>
        <v>1.5858636274699744E-2</v>
      </c>
      <c r="P244" s="3">
        <f t="shared" si="34"/>
        <v>1.7168887561668011E-2</v>
      </c>
      <c r="Q244" s="3">
        <f t="shared" si="35"/>
        <v>1.6021986803678834E-2</v>
      </c>
      <c r="R244" s="3">
        <f t="shared" si="36"/>
        <v>1.5957508583328561E-2</v>
      </c>
      <c r="S244" s="15">
        <f t="shared" si="29"/>
        <v>1.0158586362746997</v>
      </c>
      <c r="T244" s="15">
        <f t="shared" si="30"/>
        <v>1.017168887561668</v>
      </c>
      <c r="U244" s="15">
        <f t="shared" si="31"/>
        <v>1.0160219868036788</v>
      </c>
      <c r="V244" s="15">
        <f t="shared" si="32"/>
        <v>1.0159575085833286</v>
      </c>
    </row>
    <row r="245" spans="1:22" x14ac:dyDescent="0.25">
      <c r="A245" s="6">
        <v>45068</v>
      </c>
      <c r="B245" s="10">
        <v>2.0217999999999998</v>
      </c>
      <c r="C245" s="10">
        <v>2.4887999999999999</v>
      </c>
      <c r="D245" s="10">
        <v>2.7132000000000001</v>
      </c>
      <c r="E245" s="10">
        <v>3.0762</v>
      </c>
      <c r="F245" s="10">
        <v>2.1126</v>
      </c>
      <c r="G245" s="10">
        <v>2.5773000000000001</v>
      </c>
      <c r="H245" s="11">
        <v>1.9</v>
      </c>
      <c r="J245" s="8">
        <v>45077</v>
      </c>
      <c r="K245" s="11">
        <v>1753.0843</v>
      </c>
      <c r="L245" s="11">
        <v>2353.5933</v>
      </c>
      <c r="M245" s="11">
        <v>2886.0023000000001</v>
      </c>
      <c r="N245" s="11">
        <v>3061.8984999999998</v>
      </c>
      <c r="O245" s="3">
        <f t="shared" si="33"/>
        <v>1.6022536649236585E-2</v>
      </c>
      <c r="P245" s="3">
        <f t="shared" si="34"/>
        <v>1.7430594833740987E-2</v>
      </c>
      <c r="Q245" s="3">
        <f t="shared" si="35"/>
        <v>1.6082824978394195E-2</v>
      </c>
      <c r="R245" s="3">
        <f t="shared" si="36"/>
        <v>1.5996165499382542E-2</v>
      </c>
      <c r="S245" s="15">
        <f t="shared" si="29"/>
        <v>1.0160225366492366</v>
      </c>
      <c r="T245" s="15">
        <f t="shared" si="30"/>
        <v>1.017430594833741</v>
      </c>
      <c r="U245" s="15">
        <f t="shared" si="31"/>
        <v>1.0160828249783942</v>
      </c>
      <c r="V245" s="15">
        <f t="shared" si="32"/>
        <v>1.0159961654993825</v>
      </c>
    </row>
    <row r="246" spans="1:22" x14ac:dyDescent="0.25">
      <c r="A246" s="6">
        <v>45069</v>
      </c>
      <c r="B246" s="10">
        <v>1.9908999999999999</v>
      </c>
      <c r="C246" s="10">
        <v>2.4664999999999999</v>
      </c>
      <c r="D246" s="10">
        <v>2.6962000000000002</v>
      </c>
      <c r="E246" s="10">
        <v>3.0687000000000002</v>
      </c>
      <c r="F246" s="10">
        <v>2.0731000000000002</v>
      </c>
      <c r="G246" s="10">
        <v>2.5177</v>
      </c>
      <c r="H246" s="11">
        <v>1.85</v>
      </c>
      <c r="J246" s="8">
        <v>45078</v>
      </c>
      <c r="K246" s="11">
        <v>1753.4031</v>
      </c>
      <c r="L246" s="11">
        <v>2354.2181999999998</v>
      </c>
      <c r="M246" s="11">
        <v>2887.0257000000001</v>
      </c>
      <c r="N246" s="11">
        <v>3062.8805000000002</v>
      </c>
      <c r="O246" s="3">
        <f t="shared" si="33"/>
        <v>1.6207301286444098E-2</v>
      </c>
      <c r="P246" s="3">
        <f t="shared" si="34"/>
        <v>1.77007317255784E-2</v>
      </c>
      <c r="Q246" s="3">
        <f t="shared" si="35"/>
        <v>1.6443136251563573E-2</v>
      </c>
      <c r="R246" s="3">
        <f t="shared" si="36"/>
        <v>1.6322011778911794E-2</v>
      </c>
      <c r="S246" s="15">
        <f t="shared" si="29"/>
        <v>1.0162073012864441</v>
      </c>
      <c r="T246" s="15">
        <f t="shared" si="30"/>
        <v>1.0177007317255784</v>
      </c>
      <c r="U246" s="15">
        <f t="shared" si="31"/>
        <v>1.0164431362515636</v>
      </c>
      <c r="V246" s="15">
        <f t="shared" si="32"/>
        <v>1.0163220117789118</v>
      </c>
    </row>
    <row r="247" spans="1:22" x14ac:dyDescent="0.25">
      <c r="A247" s="6">
        <v>45070</v>
      </c>
      <c r="B247" s="10">
        <v>1.9893000000000001</v>
      </c>
      <c r="C247" s="10">
        <v>2.4794</v>
      </c>
      <c r="D247" s="10">
        <v>2.7037</v>
      </c>
      <c r="E247" s="10">
        <v>3.0722999999999998</v>
      </c>
      <c r="F247" s="10">
        <v>2.0947</v>
      </c>
      <c r="G247" s="10">
        <v>2.5339999999999998</v>
      </c>
      <c r="H247" s="11">
        <v>1.8</v>
      </c>
      <c r="J247" s="8">
        <v>45079</v>
      </c>
      <c r="K247" s="11">
        <v>1753.4493</v>
      </c>
      <c r="L247" s="11">
        <v>2354.2779</v>
      </c>
      <c r="M247" s="11">
        <v>2889.0864000000001</v>
      </c>
      <c r="N247" s="11">
        <v>3064.7937000000002</v>
      </c>
      <c r="O247" s="3">
        <f t="shared" si="33"/>
        <v>1.6234077090204968E-2</v>
      </c>
      <c r="P247" s="3">
        <f t="shared" si="34"/>
        <v>1.7726539330703783E-2</v>
      </c>
      <c r="Q247" s="3">
        <f t="shared" si="35"/>
        <v>1.7168652609410362E-2</v>
      </c>
      <c r="R247" s="3">
        <f t="shared" si="36"/>
        <v>1.6956847931655972E-2</v>
      </c>
      <c r="S247" s="15">
        <f t="shared" si="29"/>
        <v>1.016234077090205</v>
      </c>
      <c r="T247" s="15">
        <f t="shared" si="30"/>
        <v>1.0177265393307038</v>
      </c>
      <c r="U247" s="15">
        <f t="shared" si="31"/>
        <v>1.0171686526094104</v>
      </c>
      <c r="V247" s="15">
        <f t="shared" si="32"/>
        <v>1.016956847931656</v>
      </c>
    </row>
    <row r="248" spans="1:22" x14ac:dyDescent="0.25">
      <c r="A248" s="6">
        <v>45071</v>
      </c>
      <c r="B248" s="10">
        <v>1.9790000000000001</v>
      </c>
      <c r="C248" s="10">
        <v>2.4794999999999998</v>
      </c>
      <c r="D248" s="10">
        <v>2.7065000000000001</v>
      </c>
      <c r="E248" s="10">
        <v>3.0773000000000001</v>
      </c>
      <c r="F248" s="10">
        <v>2.1073</v>
      </c>
      <c r="G248" s="10">
        <v>2.5491000000000001</v>
      </c>
      <c r="H248" s="11">
        <v>2.1</v>
      </c>
      <c r="J248" s="8">
        <v>45082</v>
      </c>
      <c r="K248" s="11">
        <v>1753.8308</v>
      </c>
      <c r="L248" s="11">
        <v>2354.8751000000002</v>
      </c>
      <c r="M248" s="11">
        <v>2889.3462</v>
      </c>
      <c r="N248" s="11">
        <v>3065.0873999999999</v>
      </c>
      <c r="O248" s="3">
        <f t="shared" si="33"/>
        <v>1.64551803182309E-2</v>
      </c>
      <c r="P248" s="3">
        <f t="shared" si="34"/>
        <v>1.7984701839593775E-2</v>
      </c>
      <c r="Q248" s="3">
        <f t="shared" si="35"/>
        <v>1.7260121115145521E-2</v>
      </c>
      <c r="R248" s="3">
        <f t="shared" si="36"/>
        <v>1.7054303178394958E-2</v>
      </c>
      <c r="S248" s="15">
        <f t="shared" si="29"/>
        <v>1.0164551803182309</v>
      </c>
      <c r="T248" s="15">
        <f t="shared" si="30"/>
        <v>1.0179847018395938</v>
      </c>
      <c r="U248" s="15">
        <f t="shared" si="31"/>
        <v>1.0172601211151455</v>
      </c>
      <c r="V248" s="15">
        <f t="shared" si="32"/>
        <v>1.017054303178395</v>
      </c>
    </row>
    <row r="249" spans="1:22" x14ac:dyDescent="0.25">
      <c r="A249" s="6">
        <v>45072</v>
      </c>
      <c r="B249" s="10">
        <v>2.0188000000000001</v>
      </c>
      <c r="C249" s="10">
        <v>2.5007000000000001</v>
      </c>
      <c r="D249" s="10">
        <v>2.7204999999999999</v>
      </c>
      <c r="E249" s="10">
        <v>3.0912999999999999</v>
      </c>
      <c r="F249" s="10">
        <v>2.1029</v>
      </c>
      <c r="G249" s="10">
        <v>2.5493999999999999</v>
      </c>
      <c r="H249" s="11">
        <v>2.15</v>
      </c>
      <c r="J249" s="8">
        <v>45083</v>
      </c>
      <c r="K249" s="11">
        <v>1754.1668</v>
      </c>
      <c r="L249" s="11">
        <v>2355.6107000000002</v>
      </c>
      <c r="M249" s="11">
        <v>2888.2296999999999</v>
      </c>
      <c r="N249" s="11">
        <v>3064.6921000000002</v>
      </c>
      <c r="O249" s="3">
        <f t="shared" si="33"/>
        <v>1.6649913436492358E-2</v>
      </c>
      <c r="P249" s="3">
        <f t="shared" si="34"/>
        <v>1.8302693034402129E-2</v>
      </c>
      <c r="Q249" s="3">
        <f t="shared" si="35"/>
        <v>1.6867031867056959E-2</v>
      </c>
      <c r="R249" s="3">
        <f t="shared" si="36"/>
        <v>1.6923135119028654E-2</v>
      </c>
      <c r="S249" s="15">
        <f t="shared" si="29"/>
        <v>1.0166499134364924</v>
      </c>
      <c r="T249" s="15">
        <f t="shared" si="30"/>
        <v>1.0183026930344021</v>
      </c>
      <c r="U249" s="15">
        <f t="shared" si="31"/>
        <v>1.016867031867057</v>
      </c>
      <c r="V249" s="15">
        <f t="shared" si="32"/>
        <v>1.0169231351190287</v>
      </c>
    </row>
    <row r="250" spans="1:22" x14ac:dyDescent="0.25">
      <c r="A250" s="6">
        <v>45075</v>
      </c>
      <c r="B250" s="10">
        <v>1.9979</v>
      </c>
      <c r="C250" s="10">
        <v>2.4870999999999999</v>
      </c>
      <c r="D250" s="10">
        <v>2.6949999999999998</v>
      </c>
      <c r="E250" s="10">
        <v>3.0838999999999999</v>
      </c>
      <c r="F250" s="10">
        <v>2.101</v>
      </c>
      <c r="G250" s="10">
        <v>2.5503</v>
      </c>
      <c r="H250" s="11">
        <v>2.15</v>
      </c>
      <c r="J250" s="8">
        <v>45084</v>
      </c>
      <c r="K250" s="11">
        <v>1754.4856</v>
      </c>
      <c r="L250" s="11">
        <v>2356.1912000000002</v>
      </c>
      <c r="M250" s="11">
        <v>2888.5455999999999</v>
      </c>
      <c r="N250" s="11">
        <v>3065.1327999999999</v>
      </c>
      <c r="O250" s="3">
        <f t="shared" si="33"/>
        <v>1.6834678073699871E-2</v>
      </c>
      <c r="P250" s="3">
        <f t="shared" si="34"/>
        <v>1.8553636330468137E-2</v>
      </c>
      <c r="Q250" s="3">
        <f t="shared" si="35"/>
        <v>1.6978251655208609E-2</v>
      </c>
      <c r="R250" s="3">
        <f t="shared" si="36"/>
        <v>1.7069367761990195E-2</v>
      </c>
      <c r="S250" s="15">
        <f t="shared" si="29"/>
        <v>1.0168346780736999</v>
      </c>
      <c r="T250" s="15">
        <f t="shared" si="30"/>
        <v>1.0185536363304681</v>
      </c>
      <c r="U250" s="15">
        <f t="shared" si="31"/>
        <v>1.0169782516552086</v>
      </c>
      <c r="V250" s="15">
        <f t="shared" si="32"/>
        <v>1.0170693677619902</v>
      </c>
    </row>
    <row r="251" spans="1:22" x14ac:dyDescent="0.25">
      <c r="A251" s="6">
        <v>45076</v>
      </c>
      <c r="B251" s="10">
        <v>1.9835</v>
      </c>
      <c r="C251" s="10">
        <v>2.488</v>
      </c>
      <c r="D251" s="10">
        <v>2.7</v>
      </c>
      <c r="E251" s="10">
        <v>3.0838999999999999</v>
      </c>
      <c r="F251" s="10">
        <v>2.0926</v>
      </c>
      <c r="G251" s="10">
        <v>2.5331000000000001</v>
      </c>
      <c r="H251" s="11">
        <v>2.15</v>
      </c>
      <c r="J251" s="8">
        <v>45085</v>
      </c>
      <c r="K251" s="11">
        <v>1754.5659000000001</v>
      </c>
      <c r="L251" s="11">
        <v>2356.2165</v>
      </c>
      <c r="M251" s="11">
        <v>2888.9085</v>
      </c>
      <c r="N251" s="11">
        <v>3065.6417999999999</v>
      </c>
      <c r="O251" s="3">
        <f t="shared" si="33"/>
        <v>1.6881216970713098E-2</v>
      </c>
      <c r="P251" s="3">
        <f t="shared" si="34"/>
        <v>1.8564573221752312E-2</v>
      </c>
      <c r="Q251" s="3">
        <f t="shared" si="35"/>
        <v>1.7106018863566108E-2</v>
      </c>
      <c r="R251" s="3">
        <f t="shared" si="36"/>
        <v>1.7238263644149265E-2</v>
      </c>
      <c r="S251" s="15">
        <f t="shared" si="29"/>
        <v>1.0168812169707131</v>
      </c>
      <c r="T251" s="15">
        <f t="shared" si="30"/>
        <v>1.0185645732217523</v>
      </c>
      <c r="U251" s="15">
        <f t="shared" si="31"/>
        <v>1.0171060188635661</v>
      </c>
      <c r="V251" s="15">
        <f t="shared" si="32"/>
        <v>1.0172382636441493</v>
      </c>
    </row>
    <row r="252" spans="1:22" x14ac:dyDescent="0.25">
      <c r="A252" s="6">
        <v>45077</v>
      </c>
      <c r="B252" s="10">
        <v>1.9829000000000001</v>
      </c>
      <c r="C252" s="10">
        <v>2.4558</v>
      </c>
      <c r="D252" s="10">
        <v>2.6850000000000001</v>
      </c>
      <c r="E252" s="10">
        <v>3.0733000000000001</v>
      </c>
      <c r="F252" s="10">
        <v>2.085</v>
      </c>
      <c r="G252" s="10">
        <v>2.5348999999999999</v>
      </c>
      <c r="H252" s="11">
        <v>2.1</v>
      </c>
      <c r="J252" s="8">
        <v>45086</v>
      </c>
      <c r="K252" s="11">
        <v>1754.8810000000001</v>
      </c>
      <c r="L252" s="11">
        <v>2357.2689999999998</v>
      </c>
      <c r="M252" s="11">
        <v>2891.2046</v>
      </c>
      <c r="N252" s="11">
        <v>3067.605</v>
      </c>
      <c r="O252" s="3">
        <f t="shared" si="33"/>
        <v>1.7063837225368417E-2</v>
      </c>
      <c r="P252" s="3">
        <f t="shared" si="34"/>
        <v>1.9019556544938254E-2</v>
      </c>
      <c r="Q252" s="3">
        <f t="shared" si="35"/>
        <v>1.7914413151551623E-2</v>
      </c>
      <c r="R252" s="3">
        <f t="shared" si="36"/>
        <v>1.7889690747989739E-2</v>
      </c>
      <c r="S252" s="15">
        <f t="shared" si="29"/>
        <v>1.0170638372253684</v>
      </c>
      <c r="T252" s="15">
        <f t="shared" si="30"/>
        <v>1.0190195565449383</v>
      </c>
      <c r="U252" s="15">
        <f t="shared" si="31"/>
        <v>1.0179144131515516</v>
      </c>
      <c r="V252" s="15">
        <f t="shared" si="32"/>
        <v>1.0178896907479897</v>
      </c>
    </row>
    <row r="253" spans="1:22" x14ac:dyDescent="0.25">
      <c r="A253" s="6">
        <v>45078</v>
      </c>
      <c r="B253" s="10">
        <v>1.9721</v>
      </c>
      <c r="C253" s="10">
        <v>2.4256000000000002</v>
      </c>
      <c r="D253" s="10">
        <v>2.6825000000000001</v>
      </c>
      <c r="E253" s="10">
        <v>3.0693999999999999</v>
      </c>
      <c r="F253" s="10">
        <v>2.0596999999999999</v>
      </c>
      <c r="G253" s="10">
        <v>2.5028000000000001</v>
      </c>
      <c r="H253" s="11">
        <v>1.85</v>
      </c>
      <c r="J253" s="8">
        <v>45089</v>
      </c>
      <c r="K253" s="11">
        <v>1755.2610999999999</v>
      </c>
      <c r="L253" s="11">
        <v>2357.7997</v>
      </c>
      <c r="M253" s="11">
        <v>2892.3771999999999</v>
      </c>
      <c r="N253" s="11">
        <v>3068.8463999999999</v>
      </c>
      <c r="O253" s="3">
        <f t="shared" si="33"/>
        <v>1.7284129065401554E-2</v>
      </c>
      <c r="P253" s="3">
        <f t="shared" si="34"/>
        <v>1.9248971888990551E-2</v>
      </c>
      <c r="Q253" s="3">
        <f t="shared" si="35"/>
        <v>1.8327253682056233E-2</v>
      </c>
      <c r="R253" s="3">
        <f t="shared" si="36"/>
        <v>1.8301610881805708E-2</v>
      </c>
      <c r="S253" s="15">
        <f t="shared" si="29"/>
        <v>1.0172841290654016</v>
      </c>
      <c r="T253" s="15">
        <f t="shared" si="30"/>
        <v>1.0192489718889906</v>
      </c>
      <c r="U253" s="15">
        <f t="shared" si="31"/>
        <v>1.0183272536820562</v>
      </c>
      <c r="V253" s="15">
        <f t="shared" si="32"/>
        <v>1.0183016108818057</v>
      </c>
    </row>
    <row r="254" spans="1:22" x14ac:dyDescent="0.25">
      <c r="A254" s="6">
        <v>45079</v>
      </c>
      <c r="B254" s="10">
        <v>1.9731000000000001</v>
      </c>
      <c r="C254" s="10">
        <v>2.4531999999999998</v>
      </c>
      <c r="D254" s="10">
        <v>2.6951000000000001</v>
      </c>
      <c r="E254" s="10">
        <v>3.0783999999999998</v>
      </c>
      <c r="F254" s="10">
        <v>2.0722</v>
      </c>
      <c r="G254" s="10">
        <v>2.5305</v>
      </c>
      <c r="H254" s="11">
        <v>1.9</v>
      </c>
      <c r="J254" s="8">
        <v>45090</v>
      </c>
      <c r="K254" s="11">
        <v>1755.7761</v>
      </c>
      <c r="L254" s="11">
        <v>2359.0985000000001</v>
      </c>
      <c r="M254" s="11">
        <v>2894.2570000000001</v>
      </c>
      <c r="N254" s="11">
        <v>3070.5360999999998</v>
      </c>
      <c r="O254" s="3">
        <f t="shared" si="33"/>
        <v>1.7582603934165331E-2</v>
      </c>
      <c r="P254" s="3">
        <f t="shared" si="34"/>
        <v>1.9810427794124896E-2</v>
      </c>
      <c r="Q254" s="3">
        <f t="shared" si="35"/>
        <v>1.8989080075747733E-2</v>
      </c>
      <c r="R254" s="3">
        <f t="shared" si="36"/>
        <v>1.8862285483150165E-2</v>
      </c>
      <c r="S254" s="15">
        <f t="shared" si="29"/>
        <v>1.0175826039341653</v>
      </c>
      <c r="T254" s="15">
        <f t="shared" si="30"/>
        <v>1.0198104277941249</v>
      </c>
      <c r="U254" s="15">
        <f t="shared" si="31"/>
        <v>1.0189890800757477</v>
      </c>
      <c r="V254" s="15">
        <f t="shared" si="32"/>
        <v>1.0188622854831502</v>
      </c>
    </row>
    <row r="255" spans="1:22" x14ac:dyDescent="0.25">
      <c r="A255" s="6">
        <v>45082</v>
      </c>
      <c r="B255" s="10">
        <v>1.9390000000000001</v>
      </c>
      <c r="C255" s="10">
        <v>2.4548999999999999</v>
      </c>
      <c r="D255" s="10">
        <v>2.6926000000000001</v>
      </c>
      <c r="E255" s="10">
        <v>3.0790000000000002</v>
      </c>
      <c r="F255" s="10">
        <v>2.0722</v>
      </c>
      <c r="G255" s="10">
        <v>2.5394000000000001</v>
      </c>
      <c r="H255" s="11">
        <v>1.85</v>
      </c>
      <c r="J255" s="8">
        <v>45091</v>
      </c>
      <c r="K255" s="11">
        <v>1756.1096</v>
      </c>
      <c r="L255" s="11">
        <v>2359.6042000000002</v>
      </c>
      <c r="M255" s="11">
        <v>2895.2311</v>
      </c>
      <c r="N255" s="11">
        <v>3071.4432999999999</v>
      </c>
      <c r="O255" s="3">
        <f t="shared" si="33"/>
        <v>1.7775888145296959E-2</v>
      </c>
      <c r="P255" s="3">
        <f t="shared" si="34"/>
        <v>2.0029035933350814E-2</v>
      </c>
      <c r="Q255" s="3">
        <f t="shared" si="35"/>
        <v>1.9332034161339218E-2</v>
      </c>
      <c r="R255" s="3">
        <f t="shared" si="36"/>
        <v>1.9163311699839314E-2</v>
      </c>
      <c r="S255" s="15">
        <f t="shared" si="29"/>
        <v>1.017775888145297</v>
      </c>
      <c r="T255" s="15">
        <f t="shared" si="30"/>
        <v>1.0200290359333508</v>
      </c>
      <c r="U255" s="15">
        <f t="shared" si="31"/>
        <v>1.0193320341613392</v>
      </c>
      <c r="V255" s="15">
        <f t="shared" si="32"/>
        <v>1.0191633116998393</v>
      </c>
    </row>
    <row r="256" spans="1:22" x14ac:dyDescent="0.25">
      <c r="A256" s="6">
        <v>45083</v>
      </c>
      <c r="B256" s="10">
        <v>1.9177</v>
      </c>
      <c r="C256" s="10">
        <v>2.4380000000000002</v>
      </c>
      <c r="D256" s="10">
        <v>2.6825999999999999</v>
      </c>
      <c r="E256" s="10">
        <v>3.0716000000000001</v>
      </c>
      <c r="F256" s="10">
        <v>2.0615999999999999</v>
      </c>
      <c r="G256" s="10">
        <v>2.5192999999999999</v>
      </c>
      <c r="H256" s="11">
        <v>1.8</v>
      </c>
      <c r="J256" s="8">
        <v>45092</v>
      </c>
      <c r="K256" s="11">
        <v>1755.8862999999999</v>
      </c>
      <c r="L256" s="11">
        <v>2358.7109</v>
      </c>
      <c r="M256" s="11">
        <v>2895.5288</v>
      </c>
      <c r="N256" s="11">
        <v>3071.5547000000001</v>
      </c>
      <c r="O256" s="3">
        <f t="shared" si="33"/>
        <v>1.7646471760452309E-2</v>
      </c>
      <c r="P256" s="3">
        <f t="shared" si="34"/>
        <v>1.9642872890498486E-2</v>
      </c>
      <c r="Q256" s="3">
        <f t="shared" si="35"/>
        <v>1.943684622507047E-2</v>
      </c>
      <c r="R256" s="3">
        <f t="shared" si="36"/>
        <v>1.9200276338881661E-2</v>
      </c>
      <c r="S256" s="15">
        <f t="shared" si="29"/>
        <v>1.0176464717604523</v>
      </c>
      <c r="T256" s="15">
        <f t="shared" si="30"/>
        <v>1.0196428728904985</v>
      </c>
      <c r="U256" s="15">
        <f t="shared" si="31"/>
        <v>1.0194368462250705</v>
      </c>
      <c r="V256" s="15">
        <f t="shared" si="32"/>
        <v>1.0192002763388817</v>
      </c>
    </row>
    <row r="257" spans="1:22" x14ac:dyDescent="0.25">
      <c r="A257" s="6">
        <v>45084</v>
      </c>
      <c r="B257" s="10">
        <v>1.8955</v>
      </c>
      <c r="C257" s="10">
        <v>2.4413</v>
      </c>
      <c r="D257" s="10">
        <v>2.6827000000000001</v>
      </c>
      <c r="E257" s="10">
        <v>3.0644999999999998</v>
      </c>
      <c r="F257" s="10">
        <v>2.0617999999999999</v>
      </c>
      <c r="G257" s="10">
        <v>2.5089000000000001</v>
      </c>
      <c r="H257" s="11">
        <v>1.84</v>
      </c>
      <c r="J257" s="8">
        <v>45093</v>
      </c>
      <c r="K257" s="11">
        <v>1755.4738</v>
      </c>
      <c r="L257" s="11">
        <v>2357.7302</v>
      </c>
      <c r="M257" s="11">
        <v>2895.7017999999998</v>
      </c>
      <c r="N257" s="11">
        <v>3070.8611000000001</v>
      </c>
      <c r="O257" s="3">
        <f t="shared" si="33"/>
        <v>1.7407402084015366E-2</v>
      </c>
      <c r="P257" s="3">
        <f t="shared" si="34"/>
        <v>1.9218927859573354E-2</v>
      </c>
      <c r="Q257" s="3">
        <f t="shared" si="35"/>
        <v>1.9497754814339796E-2</v>
      </c>
      <c r="R257" s="3">
        <f t="shared" si="36"/>
        <v>1.8970126665275311E-2</v>
      </c>
      <c r="S257" s="15">
        <f t="shared" si="29"/>
        <v>1.0174074020840154</v>
      </c>
      <c r="T257" s="15">
        <f t="shared" si="30"/>
        <v>1.0192189278595734</v>
      </c>
      <c r="U257" s="15">
        <f t="shared" si="31"/>
        <v>1.0194977548143398</v>
      </c>
      <c r="V257" s="15">
        <f t="shared" si="32"/>
        <v>1.0189701266652753</v>
      </c>
    </row>
    <row r="258" spans="1:22" x14ac:dyDescent="0.25">
      <c r="A258" s="6">
        <v>45085</v>
      </c>
      <c r="B258" s="10">
        <v>1.8887</v>
      </c>
      <c r="C258" s="10">
        <v>2.4521999999999999</v>
      </c>
      <c r="D258" s="10">
        <v>2.6821999999999999</v>
      </c>
      <c r="E258" s="10">
        <v>3.0651000000000002</v>
      </c>
      <c r="F258" s="10">
        <v>2.0682</v>
      </c>
      <c r="G258" s="10">
        <v>2.5251000000000001</v>
      </c>
      <c r="H258" s="11">
        <v>1.8</v>
      </c>
      <c r="J258" s="8">
        <v>45096</v>
      </c>
      <c r="K258" s="11">
        <v>1755.134</v>
      </c>
      <c r="L258" s="11">
        <v>2356.4861999999998</v>
      </c>
      <c r="M258" s="11">
        <v>2893.9288999999999</v>
      </c>
      <c r="N258" s="11">
        <v>3068.8548000000001</v>
      </c>
      <c r="O258" s="3">
        <f t="shared" si="33"/>
        <v>1.7210466626916388E-2</v>
      </c>
      <c r="P258" s="3">
        <f t="shared" si="34"/>
        <v>1.868116134741804E-2</v>
      </c>
      <c r="Q258" s="3">
        <f t="shared" si="35"/>
        <v>1.8873564999797976E-2</v>
      </c>
      <c r="R258" s="3">
        <f t="shared" si="36"/>
        <v>1.8304398161590019E-2</v>
      </c>
      <c r="S258" s="15">
        <f t="shared" si="29"/>
        <v>1.0172104666269164</v>
      </c>
      <c r="T258" s="15">
        <f t="shared" si="30"/>
        <v>1.018681161347418</v>
      </c>
      <c r="U258" s="15">
        <f t="shared" si="31"/>
        <v>1.018873564999798</v>
      </c>
      <c r="V258" s="15">
        <f t="shared" si="32"/>
        <v>1.01830439816159</v>
      </c>
    </row>
    <row r="259" spans="1:22" x14ac:dyDescent="0.25">
      <c r="A259" s="6">
        <v>45086</v>
      </c>
      <c r="B259" s="10">
        <v>1.8635999999999999</v>
      </c>
      <c r="C259" s="10">
        <v>2.4340000000000002</v>
      </c>
      <c r="D259" s="10">
        <v>2.6703000000000001</v>
      </c>
      <c r="E259" s="10">
        <v>3.044</v>
      </c>
      <c r="F259" s="10">
        <v>2.0566</v>
      </c>
      <c r="G259" s="10">
        <v>2.5078</v>
      </c>
      <c r="H259" s="11">
        <v>1.85</v>
      </c>
      <c r="J259" s="8">
        <v>45097</v>
      </c>
      <c r="K259" s="11">
        <v>1755.2282</v>
      </c>
      <c r="L259" s="11">
        <v>2356.9194000000002</v>
      </c>
      <c r="M259" s="11">
        <v>2894.3112000000001</v>
      </c>
      <c r="N259" s="11">
        <v>3069.1039000000001</v>
      </c>
      <c r="O259" s="3">
        <f t="shared" si="33"/>
        <v>1.7265061447571783E-2</v>
      </c>
      <c r="P259" s="3">
        <f t="shared" si="34"/>
        <v>1.8868428592647923E-2</v>
      </c>
      <c r="Q259" s="3">
        <f t="shared" si="35"/>
        <v>1.9008162419900332E-2</v>
      </c>
      <c r="R259" s="3">
        <f t="shared" si="36"/>
        <v>1.8387054279951132E-2</v>
      </c>
      <c r="S259" s="15">
        <f t="shared" si="29"/>
        <v>1.0172650614475718</v>
      </c>
      <c r="T259" s="15">
        <f t="shared" si="30"/>
        <v>1.0188684285926479</v>
      </c>
      <c r="U259" s="15">
        <f t="shared" si="31"/>
        <v>1.0190081624199003</v>
      </c>
      <c r="V259" s="15">
        <f t="shared" si="32"/>
        <v>1.0183870542799511</v>
      </c>
    </row>
    <row r="260" spans="1:22" x14ac:dyDescent="0.25">
      <c r="A260" s="6">
        <v>45089</v>
      </c>
      <c r="B260" s="10">
        <v>1.8663000000000001</v>
      </c>
      <c r="C260" s="10">
        <v>2.4361000000000002</v>
      </c>
      <c r="D260" s="10">
        <v>2.6703999999999999</v>
      </c>
      <c r="E260" s="10">
        <v>3.0390999999999999</v>
      </c>
      <c r="F260" s="10">
        <v>2.0489999999999999</v>
      </c>
      <c r="G260" s="10">
        <v>2.4836999999999998</v>
      </c>
      <c r="H260" s="11">
        <v>1.9</v>
      </c>
      <c r="J260" s="8">
        <v>45098</v>
      </c>
      <c r="K260" s="11">
        <v>1755.4818</v>
      </c>
      <c r="L260" s="11">
        <v>2357.5297</v>
      </c>
      <c r="M260" s="11">
        <v>2892.3764000000001</v>
      </c>
      <c r="N260" s="11">
        <v>3067.9474</v>
      </c>
      <c r="O260" s="3">
        <f t="shared" si="33"/>
        <v>1.7412038586831047E-2</v>
      </c>
      <c r="P260" s="3">
        <f t="shared" si="34"/>
        <v>1.9132254076866806E-2</v>
      </c>
      <c r="Q260" s="3">
        <f t="shared" si="35"/>
        <v>1.8326972023840149E-2</v>
      </c>
      <c r="R260" s="3">
        <f t="shared" si="36"/>
        <v>1.8003305581096418E-2</v>
      </c>
      <c r="S260" s="15">
        <f t="shared" ref="S260:S323" si="37">(O260+1)</f>
        <v>1.017412038586831</v>
      </c>
      <c r="T260" s="15">
        <f t="shared" ref="T260:T323" si="38">(P260+1)</f>
        <v>1.0191322540768668</v>
      </c>
      <c r="U260" s="15">
        <f t="shared" ref="U260:U323" si="39">(Q260+1)</f>
        <v>1.0183269720238401</v>
      </c>
      <c r="V260" s="15">
        <f t="shared" ref="V260:V323" si="40">(R260+1)</f>
        <v>1.0180033055810964</v>
      </c>
    </row>
    <row r="261" spans="1:22" x14ac:dyDescent="0.25">
      <c r="A261" s="6">
        <v>45090</v>
      </c>
      <c r="B261" s="10">
        <v>1.8513999999999999</v>
      </c>
      <c r="C261" s="10">
        <v>2.4030999999999998</v>
      </c>
      <c r="D261" s="10">
        <v>2.6227</v>
      </c>
      <c r="E261" s="10">
        <v>3.0064000000000002</v>
      </c>
      <c r="F261" s="10">
        <v>2.0247999999999999</v>
      </c>
      <c r="G261" s="10">
        <v>2.4346999999999999</v>
      </c>
      <c r="H261" s="11">
        <v>1.95</v>
      </c>
      <c r="J261" s="8">
        <v>45103</v>
      </c>
      <c r="K261" s="11">
        <v>1755.9852000000001</v>
      </c>
      <c r="L261" s="11">
        <v>2358.2910999999999</v>
      </c>
      <c r="M261" s="11">
        <v>2890.8942000000002</v>
      </c>
      <c r="N261" s="11">
        <v>3067.3114</v>
      </c>
      <c r="O261" s="3">
        <f t="shared" si="33"/>
        <v>1.7703790526512053E-2</v>
      </c>
      <c r="P261" s="3">
        <f t="shared" si="34"/>
        <v>1.9461398307055733E-2</v>
      </c>
      <c r="Q261" s="3">
        <f t="shared" si="35"/>
        <v>1.7805129763637018E-2</v>
      </c>
      <c r="R261" s="3">
        <f t="shared" si="36"/>
        <v>1.779226868315309E-2</v>
      </c>
      <c r="S261" s="15">
        <f t="shared" si="37"/>
        <v>1.0177037905265121</v>
      </c>
      <c r="T261" s="15">
        <f t="shared" si="38"/>
        <v>1.0194613983070557</v>
      </c>
      <c r="U261" s="15">
        <f t="shared" si="39"/>
        <v>1.017805129763637</v>
      </c>
      <c r="V261" s="15">
        <f t="shared" si="40"/>
        <v>1.0177922686831531</v>
      </c>
    </row>
    <row r="262" spans="1:22" x14ac:dyDescent="0.25">
      <c r="A262" s="6">
        <v>45091</v>
      </c>
      <c r="B262" s="10">
        <v>1.8365</v>
      </c>
      <c r="C262" s="10">
        <v>2.3980000000000001</v>
      </c>
      <c r="D262" s="10">
        <v>2.6177999999999999</v>
      </c>
      <c r="E262" s="10">
        <v>2.9963000000000002</v>
      </c>
      <c r="F262" s="10">
        <v>2.0253999999999999</v>
      </c>
      <c r="G262" s="10">
        <v>2.4222999999999999</v>
      </c>
      <c r="H262" s="11">
        <v>1.85</v>
      </c>
      <c r="J262" s="8">
        <v>45104</v>
      </c>
      <c r="K262" s="11">
        <v>1755.8693000000001</v>
      </c>
      <c r="L262" s="11">
        <v>2358.0448999999999</v>
      </c>
      <c r="M262" s="11">
        <v>2892.3742999999999</v>
      </c>
      <c r="N262" s="11">
        <v>3068.3672000000001</v>
      </c>
      <c r="O262" s="3">
        <f t="shared" si="33"/>
        <v>1.7636619191968794E-2</v>
      </c>
      <c r="P262" s="3">
        <f t="shared" si="34"/>
        <v>1.9354968953926521E-2</v>
      </c>
      <c r="Q262" s="3">
        <f t="shared" si="35"/>
        <v>1.8326232671022291E-2</v>
      </c>
      <c r="R262" s="3">
        <f t="shared" si="36"/>
        <v>1.8142603206499963E-2</v>
      </c>
      <c r="S262" s="15">
        <f t="shared" si="37"/>
        <v>1.0176366191919688</v>
      </c>
      <c r="T262" s="15">
        <f t="shared" si="38"/>
        <v>1.0193549689539265</v>
      </c>
      <c r="U262" s="15">
        <f t="shared" si="39"/>
        <v>1.0183262326710223</v>
      </c>
      <c r="V262" s="15">
        <f t="shared" si="40"/>
        <v>1.0181426032065</v>
      </c>
    </row>
    <row r="263" spans="1:22" x14ac:dyDescent="0.25">
      <c r="A263" s="6">
        <v>45092</v>
      </c>
      <c r="B263" s="10">
        <v>1.8615999999999999</v>
      </c>
      <c r="C263" s="10">
        <v>2.4365999999999999</v>
      </c>
      <c r="D263" s="10">
        <v>2.6482000000000001</v>
      </c>
      <c r="E263" s="10">
        <v>3.0266999999999999</v>
      </c>
      <c r="F263" s="10">
        <v>2.0461</v>
      </c>
      <c r="G263" s="10">
        <v>2.4645999999999999</v>
      </c>
      <c r="H263" s="11">
        <v>1.85</v>
      </c>
      <c r="J263" s="8">
        <v>45105</v>
      </c>
      <c r="K263" s="11">
        <v>1756.0114000000001</v>
      </c>
      <c r="L263" s="11">
        <v>2358.4785000000002</v>
      </c>
      <c r="M263" s="11">
        <v>2892.5794000000001</v>
      </c>
      <c r="N263" s="11">
        <v>3068.6948000000002</v>
      </c>
      <c r="O263" s="3">
        <f t="shared" si="33"/>
        <v>1.7718975073233612E-2</v>
      </c>
      <c r="P263" s="3">
        <f t="shared" si="34"/>
        <v>1.954240911443339E-2</v>
      </c>
      <c r="Q263" s="3">
        <f t="shared" si="35"/>
        <v>1.8398442796219827E-2</v>
      </c>
      <c r="R263" s="3">
        <f t="shared" si="36"/>
        <v>1.8251307118082316E-2</v>
      </c>
      <c r="S263" s="15">
        <f t="shared" si="37"/>
        <v>1.0177189750732336</v>
      </c>
      <c r="T263" s="15">
        <f t="shared" si="38"/>
        <v>1.0195424091144334</v>
      </c>
      <c r="U263" s="15">
        <f t="shared" si="39"/>
        <v>1.0183984427962198</v>
      </c>
      <c r="V263" s="15">
        <f t="shared" si="40"/>
        <v>1.0182513071180823</v>
      </c>
    </row>
    <row r="264" spans="1:22" x14ac:dyDescent="0.25">
      <c r="A264" s="6">
        <v>45093</v>
      </c>
      <c r="B264" s="10">
        <v>1.8816999999999999</v>
      </c>
      <c r="C264" s="10">
        <v>2.4542999999999999</v>
      </c>
      <c r="D264" s="10">
        <v>2.6625999999999999</v>
      </c>
      <c r="E264" s="10">
        <v>3.0419</v>
      </c>
      <c r="F264" s="10">
        <v>2.0861999999999998</v>
      </c>
      <c r="G264" s="10">
        <v>2.5276999999999998</v>
      </c>
      <c r="H264" s="11">
        <v>1.95</v>
      </c>
      <c r="J264" s="8">
        <v>45106</v>
      </c>
      <c r="K264" s="11">
        <v>1756.1926000000001</v>
      </c>
      <c r="L264" s="11">
        <v>2358.9486000000002</v>
      </c>
      <c r="M264" s="11">
        <v>2893.1851000000001</v>
      </c>
      <c r="N264" s="11">
        <v>3069.1093999999998</v>
      </c>
      <c r="O264" s="3">
        <f t="shared" si="33"/>
        <v>1.7823991862010224E-2</v>
      </c>
      <c r="P264" s="3">
        <f t="shared" si="34"/>
        <v>1.9745627793986698E-2</v>
      </c>
      <c r="Q264" s="3">
        <f t="shared" si="35"/>
        <v>1.8611693273216767E-2</v>
      </c>
      <c r="R264" s="3">
        <f t="shared" si="36"/>
        <v>1.8388879284571669E-2</v>
      </c>
      <c r="S264" s="15">
        <f t="shared" si="37"/>
        <v>1.0178239918620102</v>
      </c>
      <c r="T264" s="15">
        <f t="shared" si="38"/>
        <v>1.0197456277939867</v>
      </c>
      <c r="U264" s="15">
        <f t="shared" si="39"/>
        <v>1.0186116932732168</v>
      </c>
      <c r="V264" s="15">
        <f t="shared" si="40"/>
        <v>1.0183888792845717</v>
      </c>
    </row>
    <row r="265" spans="1:22" x14ac:dyDescent="0.25">
      <c r="A265" s="6">
        <v>45096</v>
      </c>
      <c r="B265" s="10">
        <v>1.9017999999999999</v>
      </c>
      <c r="C265" s="10">
        <v>2.5026999999999999</v>
      </c>
      <c r="D265" s="10">
        <v>2.6876000000000002</v>
      </c>
      <c r="E265" s="10">
        <v>3.0619000000000001</v>
      </c>
      <c r="F265" s="10">
        <v>2.1031</v>
      </c>
      <c r="G265" s="10">
        <v>2.5491999999999999</v>
      </c>
      <c r="H265" s="11">
        <v>2.09</v>
      </c>
      <c r="J265" s="8">
        <v>45107</v>
      </c>
      <c r="K265" s="11">
        <v>1756.81</v>
      </c>
      <c r="L265" s="11">
        <v>2360.5387000000001</v>
      </c>
      <c r="M265" s="11">
        <v>2895.6970000000001</v>
      </c>
      <c r="N265" s="11">
        <v>3071.3557999999998</v>
      </c>
      <c r="O265" s="3">
        <f t="shared" si="33"/>
        <v>1.8181813966815508E-2</v>
      </c>
      <c r="P265" s="3">
        <f t="shared" si="34"/>
        <v>2.0433009249756884E-2</v>
      </c>
      <c r="Q265" s="3">
        <f t="shared" si="35"/>
        <v>1.9496064865042406E-2</v>
      </c>
      <c r="R265" s="3">
        <f t="shared" si="36"/>
        <v>1.9134277535420852E-2</v>
      </c>
      <c r="S265" s="15">
        <f t="shared" si="37"/>
        <v>1.0181818139668155</v>
      </c>
      <c r="T265" s="15">
        <f t="shared" si="38"/>
        <v>1.0204330092497569</v>
      </c>
      <c r="U265" s="15">
        <f t="shared" si="39"/>
        <v>1.0194960648650424</v>
      </c>
      <c r="V265" s="15">
        <f t="shared" si="40"/>
        <v>1.0191342775354209</v>
      </c>
    </row>
    <row r="266" spans="1:22" x14ac:dyDescent="0.25">
      <c r="A266" s="6">
        <v>45097</v>
      </c>
      <c r="B266" s="10">
        <v>1.9117999999999999</v>
      </c>
      <c r="C266" s="10">
        <v>2.4811000000000001</v>
      </c>
      <c r="D266" s="10">
        <v>2.6751</v>
      </c>
      <c r="E266" s="10">
        <v>3.0444</v>
      </c>
      <c r="F266" s="10">
        <v>2.0909</v>
      </c>
      <c r="G266" s="10">
        <v>2.5329999999999999</v>
      </c>
      <c r="H266" s="11">
        <v>2.1</v>
      </c>
      <c r="J266" s="8">
        <v>45110</v>
      </c>
      <c r="K266" s="11">
        <v>1757.2541000000001</v>
      </c>
      <c r="L266" s="11">
        <v>2360.9276</v>
      </c>
      <c r="M266" s="11">
        <v>2897.0608999999999</v>
      </c>
      <c r="N266" s="11">
        <v>3072.8098</v>
      </c>
      <c r="O266" s="3">
        <f t="shared" si="33"/>
        <v>1.8439197829374976E-2</v>
      </c>
      <c r="P266" s="3">
        <f t="shared" si="34"/>
        <v>2.0601126128034331E-2</v>
      </c>
      <c r="Q266" s="3">
        <f t="shared" si="35"/>
        <v>1.9976256916513613E-2</v>
      </c>
      <c r="R266" s="3">
        <f t="shared" si="36"/>
        <v>1.9616742393297804E-2</v>
      </c>
      <c r="S266" s="15">
        <f t="shared" si="37"/>
        <v>1.018439197829375</v>
      </c>
      <c r="T266" s="15">
        <f t="shared" si="38"/>
        <v>1.0206011261280343</v>
      </c>
      <c r="U266" s="15">
        <f t="shared" si="39"/>
        <v>1.0199762569165136</v>
      </c>
      <c r="V266" s="15">
        <f t="shared" si="40"/>
        <v>1.0196167423932978</v>
      </c>
    </row>
    <row r="267" spans="1:22" x14ac:dyDescent="0.25">
      <c r="A267" s="6">
        <v>45098</v>
      </c>
      <c r="B267" s="10">
        <v>1.9160999999999999</v>
      </c>
      <c r="C267" s="10">
        <v>2.4744000000000002</v>
      </c>
      <c r="D267" s="10">
        <v>2.6701000000000001</v>
      </c>
      <c r="E267" s="10">
        <v>3.0419999999999998</v>
      </c>
      <c r="F267" s="10">
        <v>2.0817000000000001</v>
      </c>
      <c r="G267" s="10">
        <v>2.5137999999999998</v>
      </c>
      <c r="H267" s="11">
        <v>2.2000000000000002</v>
      </c>
      <c r="J267" s="8">
        <v>45111</v>
      </c>
      <c r="K267" s="11">
        <v>1757.5387000000001</v>
      </c>
      <c r="L267" s="11">
        <v>2361.2381</v>
      </c>
      <c r="M267" s="11">
        <v>2897.7303999999999</v>
      </c>
      <c r="N267" s="11">
        <v>3073.3901000000001</v>
      </c>
      <c r="O267" s="3">
        <f t="shared" si="33"/>
        <v>1.8604141417045028E-2</v>
      </c>
      <c r="P267" s="3">
        <f t="shared" si="34"/>
        <v>2.0735351611976816E-2</v>
      </c>
      <c r="Q267" s="3">
        <f t="shared" si="35"/>
        <v>2.0211969636258376E-2</v>
      </c>
      <c r="R267" s="3">
        <f t="shared" si="36"/>
        <v>1.980929697172007E-2</v>
      </c>
      <c r="S267" s="15">
        <f t="shared" si="37"/>
        <v>1.018604141417045</v>
      </c>
      <c r="T267" s="15">
        <f t="shared" si="38"/>
        <v>1.0207353516119768</v>
      </c>
      <c r="U267" s="15">
        <f t="shared" si="39"/>
        <v>1.0202119696362584</v>
      </c>
      <c r="V267" s="15">
        <f t="shared" si="40"/>
        <v>1.0198092969717201</v>
      </c>
    </row>
    <row r="268" spans="1:22" x14ac:dyDescent="0.25">
      <c r="A268" s="6">
        <v>45102</v>
      </c>
      <c r="B268" s="10">
        <v>1.9119999999999999</v>
      </c>
      <c r="C268" s="10">
        <v>2.4592000000000001</v>
      </c>
      <c r="D268" s="10">
        <v>2.6576</v>
      </c>
      <c r="E268" s="10">
        <v>3.028</v>
      </c>
      <c r="F268" s="10">
        <v>2.0299999999999998</v>
      </c>
      <c r="G268" s="10">
        <v>2.5099999999999998</v>
      </c>
      <c r="H268" s="11">
        <v>2</v>
      </c>
      <c r="J268" s="8">
        <v>45112</v>
      </c>
      <c r="K268" s="11">
        <v>1757.8359</v>
      </c>
      <c r="L268" s="11">
        <v>2361.8314999999998</v>
      </c>
      <c r="M268" s="11">
        <v>2897.3892999999998</v>
      </c>
      <c r="N268" s="11">
        <v>3073.4178000000002</v>
      </c>
      <c r="O268" s="3">
        <f t="shared" si="33"/>
        <v>1.8776387496650226E-2</v>
      </c>
      <c r="P268" s="3">
        <f t="shared" si="34"/>
        <v>2.0991871425733111E-2</v>
      </c>
      <c r="Q268" s="3">
        <f t="shared" si="35"/>
        <v>2.0091877614294429E-2</v>
      </c>
      <c r="R268" s="3">
        <f t="shared" si="36"/>
        <v>1.9818488358627429E-2</v>
      </c>
      <c r="S268" s="15">
        <f t="shared" si="37"/>
        <v>1.0187763874966502</v>
      </c>
      <c r="T268" s="15">
        <f t="shared" si="38"/>
        <v>1.0209918714257331</v>
      </c>
      <c r="U268" s="15">
        <f t="shared" si="39"/>
        <v>1.0200918776142944</v>
      </c>
      <c r="V268" s="15">
        <f t="shared" si="40"/>
        <v>1.0198184883586274</v>
      </c>
    </row>
    <row r="269" spans="1:22" x14ac:dyDescent="0.25">
      <c r="A269" s="6">
        <v>45103</v>
      </c>
      <c r="B269" s="10">
        <v>1.9119999999999999</v>
      </c>
      <c r="C269" s="10">
        <v>2.4723000000000002</v>
      </c>
      <c r="D269" s="10">
        <v>2.6677</v>
      </c>
      <c r="E269" s="10">
        <v>3.0346000000000002</v>
      </c>
      <c r="F269" s="10">
        <v>2.0701999999999998</v>
      </c>
      <c r="G269" s="10">
        <v>2.5051000000000001</v>
      </c>
      <c r="H269" s="11">
        <v>2.35</v>
      </c>
      <c r="J269" s="8">
        <v>45113</v>
      </c>
      <c r="K269" s="11">
        <v>1758.2104999999999</v>
      </c>
      <c r="L269" s="11">
        <v>2362.3330000000001</v>
      </c>
      <c r="M269" s="11">
        <v>2897.4711000000002</v>
      </c>
      <c r="N269" s="11">
        <v>3073.5626999999999</v>
      </c>
      <c r="O269" s="3">
        <f t="shared" si="33"/>
        <v>1.8993491740997515E-2</v>
      </c>
      <c r="P269" s="3">
        <f t="shared" si="34"/>
        <v>2.1208663954548124E-2</v>
      </c>
      <c r="Q269" s="3">
        <f t="shared" si="35"/>
        <v>2.0120677166908463E-2</v>
      </c>
      <c r="R269" s="3">
        <f t="shared" si="36"/>
        <v>1.9866568934904016E-2</v>
      </c>
      <c r="S269" s="15">
        <f t="shared" si="37"/>
        <v>1.0189934917409975</v>
      </c>
      <c r="T269" s="15">
        <f t="shared" si="38"/>
        <v>1.0212086639545481</v>
      </c>
      <c r="U269" s="15">
        <f t="shared" si="39"/>
        <v>1.0201206771669085</v>
      </c>
      <c r="V269" s="15">
        <f t="shared" si="40"/>
        <v>1.019866568934904</v>
      </c>
    </row>
    <row r="270" spans="1:22" x14ac:dyDescent="0.25">
      <c r="A270" s="6">
        <v>45104</v>
      </c>
      <c r="B270" s="10">
        <v>1.952</v>
      </c>
      <c r="C270" s="10">
        <v>2.4773000000000001</v>
      </c>
      <c r="D270" s="10">
        <v>2.6676000000000002</v>
      </c>
      <c r="E270" s="10">
        <v>3.0295000000000001</v>
      </c>
      <c r="F270" s="10">
        <v>2.0798999999999999</v>
      </c>
      <c r="G270" s="10">
        <v>2.5249999999999999</v>
      </c>
      <c r="H270" s="11">
        <v>2.8</v>
      </c>
      <c r="J270" s="8">
        <v>45114</v>
      </c>
      <c r="K270" s="11">
        <v>1758.5206000000001</v>
      </c>
      <c r="L270" s="11">
        <v>2363.2157000000002</v>
      </c>
      <c r="M270" s="11">
        <v>2897.8380999999999</v>
      </c>
      <c r="N270" s="11">
        <v>3074.3117999999999</v>
      </c>
      <c r="O270" s="3">
        <f t="shared" si="33"/>
        <v>1.917321418139295E-2</v>
      </c>
      <c r="P270" s="3">
        <f t="shared" si="34"/>
        <v>2.1590244742554221E-2</v>
      </c>
      <c r="Q270" s="3">
        <f t="shared" si="35"/>
        <v>2.0249887873624584E-2</v>
      </c>
      <c r="R270" s="3">
        <f t="shared" si="36"/>
        <v>2.0115134564227199E-2</v>
      </c>
      <c r="S270" s="15">
        <f t="shared" si="37"/>
        <v>1.019173214181393</v>
      </c>
      <c r="T270" s="15">
        <f t="shared" si="38"/>
        <v>1.0215902447425542</v>
      </c>
      <c r="U270" s="15">
        <f t="shared" si="39"/>
        <v>1.0202498878736246</v>
      </c>
      <c r="V270" s="15">
        <f t="shared" si="40"/>
        <v>1.0201151345642272</v>
      </c>
    </row>
    <row r="271" spans="1:22" x14ac:dyDescent="0.25">
      <c r="A271" s="6">
        <v>45105</v>
      </c>
      <c r="B271" s="10">
        <v>1.9419999999999999</v>
      </c>
      <c r="C271" s="10">
        <v>2.4660000000000002</v>
      </c>
      <c r="D271" s="10">
        <v>2.6650999999999998</v>
      </c>
      <c r="E271" s="10">
        <v>3.0270999999999999</v>
      </c>
      <c r="F271" s="10">
        <v>2.0701000000000001</v>
      </c>
      <c r="G271" s="10">
        <v>2.5030000000000001</v>
      </c>
      <c r="H271" s="11">
        <v>2.85</v>
      </c>
      <c r="J271" s="8">
        <v>45117</v>
      </c>
      <c r="K271" s="11">
        <v>1758.8827000000001</v>
      </c>
      <c r="L271" s="11">
        <v>2363.6619000000001</v>
      </c>
      <c r="M271" s="11">
        <v>2898.2752999999998</v>
      </c>
      <c r="N271" s="11">
        <v>3074.9243999999999</v>
      </c>
      <c r="O271" s="3">
        <f t="shared" si="33"/>
        <v>1.9383073890090863E-2</v>
      </c>
      <c r="P271" s="3">
        <f t="shared" si="34"/>
        <v>2.1783131734293582E-2</v>
      </c>
      <c r="Q271" s="3">
        <f t="shared" si="35"/>
        <v>2.0403814088818528E-2</v>
      </c>
      <c r="R271" s="3">
        <f t="shared" si="36"/>
        <v>2.0318406897057439E-2</v>
      </c>
      <c r="S271" s="15">
        <f t="shared" si="37"/>
        <v>1.0193830738900909</v>
      </c>
      <c r="T271" s="15">
        <f t="shared" si="38"/>
        <v>1.0217831317342936</v>
      </c>
      <c r="U271" s="15">
        <f t="shared" si="39"/>
        <v>1.0204038140888185</v>
      </c>
      <c r="V271" s="15">
        <f t="shared" si="40"/>
        <v>1.0203184068970574</v>
      </c>
    </row>
    <row r="272" spans="1:22" x14ac:dyDescent="0.25">
      <c r="A272" s="6">
        <v>45106</v>
      </c>
      <c r="B272" s="10">
        <v>1.9319999999999999</v>
      </c>
      <c r="C272" s="10">
        <v>2.4569999999999999</v>
      </c>
      <c r="D272" s="10">
        <v>2.6526000000000001</v>
      </c>
      <c r="E272" s="10">
        <v>3.0171000000000001</v>
      </c>
      <c r="F272" s="10">
        <v>2.0657999999999999</v>
      </c>
      <c r="G272" s="10">
        <v>2.4965000000000002</v>
      </c>
      <c r="H272" s="11">
        <v>2.9</v>
      </c>
      <c r="J272" s="8">
        <v>45118</v>
      </c>
      <c r="K272" s="11">
        <v>1759.1646000000001</v>
      </c>
      <c r="L272" s="11">
        <v>2364.13</v>
      </c>
      <c r="M272" s="11">
        <v>2899.7709</v>
      </c>
      <c r="N272" s="11">
        <v>3076.2723999999998</v>
      </c>
      <c r="O272" s="3">
        <f t="shared" si="33"/>
        <v>1.9546452658060653E-2</v>
      </c>
      <c r="P272" s="3">
        <f t="shared" si="34"/>
        <v>2.1985485837460628E-2</v>
      </c>
      <c r="Q272" s="3">
        <f t="shared" si="35"/>
        <v>2.0930374124144224E-2</v>
      </c>
      <c r="R272" s="3">
        <f t="shared" si="36"/>
        <v>2.0765698938610466E-2</v>
      </c>
      <c r="S272" s="15">
        <f t="shared" si="37"/>
        <v>1.0195464526580607</v>
      </c>
      <c r="T272" s="15">
        <f t="shared" si="38"/>
        <v>1.0219854858374606</v>
      </c>
      <c r="U272" s="15">
        <f t="shared" si="39"/>
        <v>1.0209303741241442</v>
      </c>
      <c r="V272" s="15">
        <f t="shared" si="40"/>
        <v>1.0207656989386105</v>
      </c>
    </row>
    <row r="273" spans="1:22" x14ac:dyDescent="0.25">
      <c r="A273" s="6">
        <v>45107</v>
      </c>
      <c r="B273" s="10">
        <v>1.8723000000000001</v>
      </c>
      <c r="C273" s="10">
        <v>2.4247000000000001</v>
      </c>
      <c r="D273" s="10">
        <v>2.6351</v>
      </c>
      <c r="E273" s="10">
        <v>3.0072000000000001</v>
      </c>
      <c r="F273" s="10">
        <v>2.0245000000000002</v>
      </c>
      <c r="G273" s="10">
        <v>2.4626000000000001</v>
      </c>
      <c r="H273" s="11">
        <v>2.6</v>
      </c>
      <c r="J273" s="8">
        <v>45119</v>
      </c>
      <c r="K273" s="11">
        <v>1759.2466999999999</v>
      </c>
      <c r="L273" s="11">
        <v>2364.1430999999998</v>
      </c>
      <c r="M273" s="11">
        <v>2898.76</v>
      </c>
      <c r="N273" s="11">
        <v>3075.6770999999999</v>
      </c>
      <c r="O273" s="3">
        <f t="shared" si="33"/>
        <v>1.9594034768207313E-2</v>
      </c>
      <c r="P273" s="3">
        <f t="shared" si="34"/>
        <v>2.1991148812789518E-2</v>
      </c>
      <c r="Q273" s="3">
        <f t="shared" si="35"/>
        <v>2.0574463760604234E-2</v>
      </c>
      <c r="R273" s="3">
        <f t="shared" si="36"/>
        <v>2.0568167074859423E-2</v>
      </c>
      <c r="S273" s="15">
        <f t="shared" si="37"/>
        <v>1.0195940347682073</v>
      </c>
      <c r="T273" s="15">
        <f t="shared" si="38"/>
        <v>1.0219911488127895</v>
      </c>
      <c r="U273" s="15">
        <f t="shared" si="39"/>
        <v>1.0205744637606042</v>
      </c>
      <c r="V273" s="15">
        <f t="shared" si="40"/>
        <v>1.0205681670748594</v>
      </c>
    </row>
    <row r="274" spans="1:22" x14ac:dyDescent="0.25">
      <c r="A274" s="6">
        <v>45110</v>
      </c>
      <c r="B274" s="10">
        <v>1.8425</v>
      </c>
      <c r="C274" s="10">
        <v>2.4333</v>
      </c>
      <c r="D274" s="10">
        <v>2.6402000000000001</v>
      </c>
      <c r="E274" s="10">
        <v>3.0133000000000001</v>
      </c>
      <c r="F274" s="10">
        <v>2.0145</v>
      </c>
      <c r="G274" s="10">
        <v>2.4582999999999999</v>
      </c>
      <c r="H274" s="11">
        <v>2</v>
      </c>
      <c r="J274" s="8">
        <v>45120</v>
      </c>
      <c r="K274" s="11">
        <v>1759.3054999999999</v>
      </c>
      <c r="L274" s="11">
        <v>2364.0398</v>
      </c>
      <c r="M274" s="11">
        <v>2900.5567999999998</v>
      </c>
      <c r="N274" s="11">
        <v>3076.9857000000002</v>
      </c>
      <c r="O274" s="3">
        <f t="shared" si="33"/>
        <v>1.9628113063903108E-2</v>
      </c>
      <c r="P274" s="3">
        <f t="shared" si="34"/>
        <v>2.1946493442447368E-2</v>
      </c>
      <c r="Q274" s="3">
        <f t="shared" si="35"/>
        <v>2.1207068114357019E-2</v>
      </c>
      <c r="R274" s="3">
        <f t="shared" si="36"/>
        <v>2.1002385446948768E-2</v>
      </c>
      <c r="S274" s="15">
        <f t="shared" si="37"/>
        <v>1.0196281130639031</v>
      </c>
      <c r="T274" s="15">
        <f t="shared" si="38"/>
        <v>1.0219464934424474</v>
      </c>
      <c r="U274" s="15">
        <f t="shared" si="39"/>
        <v>1.021207068114357</v>
      </c>
      <c r="V274" s="15">
        <f t="shared" si="40"/>
        <v>1.0210023854469488</v>
      </c>
    </row>
    <row r="275" spans="1:22" x14ac:dyDescent="0.25">
      <c r="A275" s="6">
        <v>45111</v>
      </c>
      <c r="B275" s="10">
        <v>1.8326</v>
      </c>
      <c r="C275" s="10">
        <v>2.4436</v>
      </c>
      <c r="D275" s="10">
        <v>2.6476999999999999</v>
      </c>
      <c r="E275" s="10">
        <v>3.0225</v>
      </c>
      <c r="F275" s="10">
        <v>2.0276000000000001</v>
      </c>
      <c r="G275" s="10">
        <v>2.4655999999999998</v>
      </c>
      <c r="H275" s="11">
        <v>2</v>
      </c>
      <c r="J275" s="8">
        <v>45121</v>
      </c>
      <c r="K275" s="11">
        <v>1759.4064000000001</v>
      </c>
      <c r="L275" s="11">
        <v>2364.3204000000001</v>
      </c>
      <c r="M275" s="11">
        <v>2900.7085000000002</v>
      </c>
      <c r="N275" s="11">
        <v>3077.2732999999998</v>
      </c>
      <c r="O275" s="3">
        <f t="shared" si="33"/>
        <v>1.9686590955666716E-2</v>
      </c>
      <c r="P275" s="3">
        <f t="shared" si="34"/>
        <v>2.2067793509417566E-2</v>
      </c>
      <c r="Q275" s="3">
        <f t="shared" si="35"/>
        <v>2.1260477553618262E-2</v>
      </c>
      <c r="R275" s="3">
        <f t="shared" si="36"/>
        <v>2.1097816597653862E-2</v>
      </c>
      <c r="S275" s="15">
        <f t="shared" si="37"/>
        <v>1.0196865909556667</v>
      </c>
      <c r="T275" s="15">
        <f t="shared" si="38"/>
        <v>1.0220677935094176</v>
      </c>
      <c r="U275" s="15">
        <f t="shared" si="39"/>
        <v>1.0212604775536183</v>
      </c>
      <c r="V275" s="15">
        <f t="shared" si="40"/>
        <v>1.0210978165976539</v>
      </c>
    </row>
    <row r="276" spans="1:22" x14ac:dyDescent="0.25">
      <c r="A276" s="6">
        <v>45112</v>
      </c>
      <c r="B276" s="10">
        <v>1.8227</v>
      </c>
      <c r="C276" s="10">
        <v>2.4333</v>
      </c>
      <c r="D276" s="10">
        <v>2.6402000000000001</v>
      </c>
      <c r="E276" s="10">
        <v>3.0175999999999998</v>
      </c>
      <c r="F276" s="10">
        <v>2.0236999999999998</v>
      </c>
      <c r="G276" s="10">
        <v>2.4620000000000002</v>
      </c>
      <c r="H276" s="11">
        <v>1.95</v>
      </c>
      <c r="J276" s="8">
        <v>45124</v>
      </c>
      <c r="K276" s="11">
        <v>1759.8939</v>
      </c>
      <c r="L276" s="11">
        <v>2365.1082000000001</v>
      </c>
      <c r="M276" s="11">
        <v>2900.8292000000001</v>
      </c>
      <c r="N276" s="11">
        <v>3077.6929</v>
      </c>
      <c r="O276" s="3">
        <f t="shared" si="33"/>
        <v>1.9969127846001467E-2</v>
      </c>
      <c r="P276" s="3">
        <f t="shared" si="34"/>
        <v>2.24083501479031E-2</v>
      </c>
      <c r="Q276" s="3">
        <f t="shared" si="35"/>
        <v>2.130297273699866E-2</v>
      </c>
      <c r="R276" s="3">
        <f t="shared" si="36"/>
        <v>2.1237047859252955E-2</v>
      </c>
      <c r="S276" s="15">
        <f t="shared" si="37"/>
        <v>1.0199691278460015</v>
      </c>
      <c r="T276" s="15">
        <f t="shared" si="38"/>
        <v>1.0224083501479031</v>
      </c>
      <c r="U276" s="15">
        <f t="shared" si="39"/>
        <v>1.0213029727369987</v>
      </c>
      <c r="V276" s="15">
        <f t="shared" si="40"/>
        <v>1.021237047859253</v>
      </c>
    </row>
    <row r="277" spans="1:22" x14ac:dyDescent="0.25">
      <c r="A277" s="6">
        <v>45113</v>
      </c>
      <c r="B277" s="10">
        <v>1.8227</v>
      </c>
      <c r="C277" s="10">
        <v>2.4335</v>
      </c>
      <c r="D277" s="10">
        <v>2.6392000000000002</v>
      </c>
      <c r="E277" s="10">
        <v>3.0179999999999998</v>
      </c>
      <c r="F277" s="10">
        <v>2.0188000000000001</v>
      </c>
      <c r="G277" s="10">
        <v>2.4525999999999999</v>
      </c>
      <c r="H277" s="11">
        <v>1.9</v>
      </c>
      <c r="J277" s="8">
        <v>45125</v>
      </c>
      <c r="K277" s="11">
        <v>1760.2271000000001</v>
      </c>
      <c r="L277" s="11">
        <v>2365.7696000000001</v>
      </c>
      <c r="M277" s="11">
        <v>2901.5001000000002</v>
      </c>
      <c r="N277" s="11">
        <v>3078.3863000000001</v>
      </c>
      <c r="O277" s="3">
        <f t="shared" si="33"/>
        <v>2.0162238188277337E-2</v>
      </c>
      <c r="P277" s="3">
        <f t="shared" si="34"/>
        <v>2.2694265558786952E-2</v>
      </c>
      <c r="Q277" s="3">
        <f t="shared" si="35"/>
        <v>2.1539178358622069E-2</v>
      </c>
      <c r="R277" s="3">
        <f t="shared" si="36"/>
        <v>2.1467131169054854E-2</v>
      </c>
      <c r="S277" s="15">
        <f t="shared" si="37"/>
        <v>1.0201622381882773</v>
      </c>
      <c r="T277" s="15">
        <f t="shared" si="38"/>
        <v>1.022694265558787</v>
      </c>
      <c r="U277" s="15">
        <f t="shared" si="39"/>
        <v>1.0215391783586221</v>
      </c>
      <c r="V277" s="15">
        <f t="shared" si="40"/>
        <v>1.0214671311690549</v>
      </c>
    </row>
    <row r="278" spans="1:22" x14ac:dyDescent="0.25">
      <c r="A278" s="6">
        <v>45114</v>
      </c>
      <c r="B278" s="10">
        <v>1.8279000000000001</v>
      </c>
      <c r="C278" s="10">
        <v>2.4295</v>
      </c>
      <c r="D278" s="10">
        <v>2.6402999999999999</v>
      </c>
      <c r="E278" s="10">
        <v>3.0129999999999999</v>
      </c>
      <c r="F278" s="10">
        <v>2.0194999999999999</v>
      </c>
      <c r="G278" s="10">
        <v>2.4527000000000001</v>
      </c>
      <c r="H278" s="11">
        <v>1.88</v>
      </c>
      <c r="J278" s="8">
        <v>45126</v>
      </c>
      <c r="K278" s="11">
        <v>1760.4376</v>
      </c>
      <c r="L278" s="11">
        <v>2366.1042000000002</v>
      </c>
      <c r="M278" s="11">
        <v>2901.8362000000002</v>
      </c>
      <c r="N278" s="11">
        <v>3078.8294000000001</v>
      </c>
      <c r="O278" s="3">
        <f t="shared" ref="O278:O341" si="41">K278/$K$148-1</f>
        <v>2.0284236168616632E-2</v>
      </c>
      <c r="P278" s="3">
        <f t="shared" ref="P278:P341" si="42">L278/$L$148-1</f>
        <v>2.2838909188181766E-2</v>
      </c>
      <c r="Q278" s="3">
        <f t="shared" ref="Q278:Q341" si="43">M278/$M$148-1</f>
        <v>2.1657510016734438E-2</v>
      </c>
      <c r="R278" s="3">
        <f t="shared" ref="R278:R341" si="44">N278/$N$148-1</f>
        <v>2.1614160177669373E-2</v>
      </c>
      <c r="S278" s="15">
        <f t="shared" si="37"/>
        <v>1.0202842361686166</v>
      </c>
      <c r="T278" s="15">
        <f t="shared" si="38"/>
        <v>1.0228389091881818</v>
      </c>
      <c r="U278" s="15">
        <f t="shared" si="39"/>
        <v>1.0216575100167344</v>
      </c>
      <c r="V278" s="15">
        <f t="shared" si="40"/>
        <v>1.0216141601776694</v>
      </c>
    </row>
    <row r="279" spans="1:22" x14ac:dyDescent="0.25">
      <c r="A279" s="6">
        <v>45117</v>
      </c>
      <c r="B279" s="10">
        <v>1.8279000000000001</v>
      </c>
      <c r="C279" s="10">
        <v>2.4394999999999998</v>
      </c>
      <c r="D279" s="10">
        <v>2.6402999999999999</v>
      </c>
      <c r="E279" s="10">
        <v>3.0091000000000001</v>
      </c>
      <c r="F279" s="10">
        <v>2.0265</v>
      </c>
      <c r="G279" s="10">
        <v>2.4620000000000002</v>
      </c>
      <c r="H279" s="11">
        <v>1.86</v>
      </c>
      <c r="J279" s="8">
        <v>45127</v>
      </c>
      <c r="K279" s="11">
        <v>1760.616</v>
      </c>
      <c r="L279" s="11">
        <v>2366.4191000000001</v>
      </c>
      <c r="M279" s="11">
        <v>2900.9890999999998</v>
      </c>
      <c r="N279" s="11">
        <v>3078.4832999999999</v>
      </c>
      <c r="O279" s="3">
        <f t="shared" si="41"/>
        <v>2.0387630181407879E-2</v>
      </c>
      <c r="P279" s="3">
        <f t="shared" si="42"/>
        <v>2.2975036740173538E-2</v>
      </c>
      <c r="Q279" s="3">
        <f t="shared" si="43"/>
        <v>2.1359269172976481E-2</v>
      </c>
      <c r="R279" s="3">
        <f t="shared" si="44"/>
        <v>2.1499317614181335E-2</v>
      </c>
      <c r="S279" s="15">
        <f t="shared" si="37"/>
        <v>1.0203876301814079</v>
      </c>
      <c r="T279" s="15">
        <f t="shared" si="38"/>
        <v>1.0229750367401735</v>
      </c>
      <c r="U279" s="15">
        <f t="shared" si="39"/>
        <v>1.0213592691729765</v>
      </c>
      <c r="V279" s="15">
        <f t="shared" si="40"/>
        <v>1.0214993176141813</v>
      </c>
    </row>
    <row r="280" spans="1:22" x14ac:dyDescent="0.25">
      <c r="A280" s="6">
        <v>45118</v>
      </c>
      <c r="B280" s="10">
        <v>1.8230999999999999</v>
      </c>
      <c r="C280" s="10">
        <v>2.4342999999999999</v>
      </c>
      <c r="D280" s="10">
        <v>2.6353</v>
      </c>
      <c r="E280" s="10">
        <v>3.0011000000000001</v>
      </c>
      <c r="F280" s="10">
        <v>2.0261999999999998</v>
      </c>
      <c r="G280" s="10">
        <v>2.4504000000000001</v>
      </c>
      <c r="H280" s="11">
        <v>1.9</v>
      </c>
      <c r="J280" s="8">
        <v>45128</v>
      </c>
      <c r="K280" s="11">
        <v>1760.9382000000001</v>
      </c>
      <c r="L280" s="11">
        <v>2367.4675999999999</v>
      </c>
      <c r="M280" s="11">
        <v>2901.8153000000002</v>
      </c>
      <c r="N280" s="11">
        <v>3079.5572999999999</v>
      </c>
      <c r="O280" s="3">
        <f t="shared" si="41"/>
        <v>2.057436533231205E-2</v>
      </c>
      <c r="P280" s="3">
        <f t="shared" si="42"/>
        <v>2.3428290910587402E-2</v>
      </c>
      <c r="Q280" s="3">
        <f t="shared" si="43"/>
        <v>2.1650151695834285E-2</v>
      </c>
      <c r="R280" s="3">
        <f t="shared" si="44"/>
        <v>2.1855691243727327E-2</v>
      </c>
      <c r="S280" s="15">
        <f t="shared" si="37"/>
        <v>1.0205743653323121</v>
      </c>
      <c r="T280" s="15">
        <f t="shared" si="38"/>
        <v>1.0234282909105874</v>
      </c>
      <c r="U280" s="15">
        <f t="shared" si="39"/>
        <v>1.0216501516958343</v>
      </c>
      <c r="V280" s="15">
        <f t="shared" si="40"/>
        <v>1.0218556912437273</v>
      </c>
    </row>
    <row r="281" spans="1:22" x14ac:dyDescent="0.25">
      <c r="A281" s="6">
        <v>45119</v>
      </c>
      <c r="B281" s="10">
        <v>1.8183</v>
      </c>
      <c r="C281" s="10">
        <v>2.4369000000000001</v>
      </c>
      <c r="D281" s="10">
        <v>2.6377999999999999</v>
      </c>
      <c r="E281" s="10">
        <v>3.0011000000000001</v>
      </c>
      <c r="F281" s="10">
        <v>2.0339</v>
      </c>
      <c r="G281" s="10">
        <v>2.4634999999999998</v>
      </c>
      <c r="H281" s="11">
        <v>1.85</v>
      </c>
      <c r="J281" s="8">
        <v>45131</v>
      </c>
      <c r="K281" s="11">
        <v>1761.3652</v>
      </c>
      <c r="L281" s="11">
        <v>2368.2058000000002</v>
      </c>
      <c r="M281" s="11">
        <v>2901.9805999999999</v>
      </c>
      <c r="N281" s="11">
        <v>3079.9542999999999</v>
      </c>
      <c r="O281" s="3">
        <f t="shared" si="41"/>
        <v>2.0821838670102677E-2</v>
      </c>
      <c r="P281" s="3">
        <f t="shared" si="42"/>
        <v>2.3747406054697606E-2</v>
      </c>
      <c r="Q281" s="3">
        <f t="shared" si="43"/>
        <v>2.1708349324771836E-2</v>
      </c>
      <c r="R281" s="3">
        <f t="shared" si="44"/>
        <v>2.1987423395431138E-2</v>
      </c>
      <c r="S281" s="15">
        <f t="shared" si="37"/>
        <v>1.0208218386701027</v>
      </c>
      <c r="T281" s="15">
        <f t="shared" si="38"/>
        <v>1.0237474060546976</v>
      </c>
      <c r="U281" s="15">
        <f t="shared" si="39"/>
        <v>1.0217083493247718</v>
      </c>
      <c r="V281" s="15">
        <f t="shared" si="40"/>
        <v>1.0219874233954311</v>
      </c>
    </row>
    <row r="282" spans="1:22" x14ac:dyDescent="0.25">
      <c r="A282" s="6">
        <v>45120</v>
      </c>
      <c r="B282" s="10">
        <v>1.8384</v>
      </c>
      <c r="C282" s="10">
        <v>2.4502000000000002</v>
      </c>
      <c r="D282" s="10">
        <v>2.6413000000000002</v>
      </c>
      <c r="E282" s="10">
        <v>3.0084</v>
      </c>
      <c r="F282" s="10">
        <v>2.0407000000000002</v>
      </c>
      <c r="G282" s="10">
        <v>2.4721000000000002</v>
      </c>
      <c r="H282" s="11">
        <v>1.85</v>
      </c>
      <c r="J282" s="8">
        <v>45132</v>
      </c>
      <c r="K282" s="11">
        <v>1760.4947</v>
      </c>
      <c r="L282" s="11">
        <v>2365.6122</v>
      </c>
      <c r="M282" s="11">
        <v>2902.1370000000002</v>
      </c>
      <c r="N282" s="11">
        <v>3079.6887000000002</v>
      </c>
      <c r="O282" s="3">
        <f t="shared" si="41"/>
        <v>2.0317329207464097E-2</v>
      </c>
      <c r="P282" s="3">
        <f t="shared" si="42"/>
        <v>2.2626223397200773E-2</v>
      </c>
      <c r="Q282" s="3">
        <f t="shared" si="43"/>
        <v>2.1763413506053819E-2</v>
      </c>
      <c r="R282" s="3">
        <f t="shared" si="44"/>
        <v>2.1899292263208192E-2</v>
      </c>
      <c r="S282" s="15">
        <f t="shared" si="37"/>
        <v>1.0203173292074641</v>
      </c>
      <c r="T282" s="15">
        <f t="shared" si="38"/>
        <v>1.0226262233972008</v>
      </c>
      <c r="U282" s="15">
        <f t="shared" si="39"/>
        <v>1.0217634135060538</v>
      </c>
      <c r="V282" s="15">
        <f t="shared" si="40"/>
        <v>1.0218992922632082</v>
      </c>
    </row>
    <row r="283" spans="1:22" x14ac:dyDescent="0.25">
      <c r="A283" s="6">
        <v>45121</v>
      </c>
      <c r="B283" s="10">
        <v>1.8385</v>
      </c>
      <c r="C283" s="10">
        <v>2.4512</v>
      </c>
      <c r="D283" s="10">
        <v>2.6444000000000001</v>
      </c>
      <c r="E283" s="10">
        <v>3.0144000000000002</v>
      </c>
      <c r="F283" s="10">
        <v>2.0448</v>
      </c>
      <c r="G283" s="10">
        <v>2.4807000000000001</v>
      </c>
      <c r="H283" s="11">
        <v>1.9</v>
      </c>
      <c r="J283" s="8">
        <v>45133</v>
      </c>
      <c r="K283" s="11">
        <v>1760.6005</v>
      </c>
      <c r="L283" s="11">
        <v>2366.0279999999998</v>
      </c>
      <c r="M283" s="11">
        <v>2902.0508</v>
      </c>
      <c r="N283" s="11">
        <v>3079.6853000000001</v>
      </c>
      <c r="O283" s="3">
        <f t="shared" si="41"/>
        <v>2.0378646957202262E-2</v>
      </c>
      <c r="P283" s="3">
        <f t="shared" si="42"/>
        <v>2.2805968827871226E-2</v>
      </c>
      <c r="Q283" s="3">
        <f t="shared" si="43"/>
        <v>2.1733064833250104E-2</v>
      </c>
      <c r="R283" s="3">
        <f t="shared" si="44"/>
        <v>2.1898164078533622E-2</v>
      </c>
      <c r="S283" s="15">
        <f t="shared" si="37"/>
        <v>1.0203786469572023</v>
      </c>
      <c r="T283" s="15">
        <f t="shared" si="38"/>
        <v>1.0228059688278712</v>
      </c>
      <c r="U283" s="15">
        <f t="shared" si="39"/>
        <v>1.0217330648332501</v>
      </c>
      <c r="V283" s="15">
        <f t="shared" si="40"/>
        <v>1.0218981640785336</v>
      </c>
    </row>
    <row r="284" spans="1:22" x14ac:dyDescent="0.25">
      <c r="A284" s="6">
        <v>45124</v>
      </c>
      <c r="B284" s="10">
        <v>1.7635000000000001</v>
      </c>
      <c r="C284" s="10">
        <v>2.4348000000000001</v>
      </c>
      <c r="D284" s="10">
        <v>2.6364000000000001</v>
      </c>
      <c r="E284" s="10">
        <v>3.0085000000000002</v>
      </c>
      <c r="F284" s="10">
        <v>2.0369999999999999</v>
      </c>
      <c r="G284" s="10">
        <v>2.4620000000000002</v>
      </c>
      <c r="H284" s="11">
        <v>1.95</v>
      </c>
      <c r="J284" s="8">
        <v>45134</v>
      </c>
      <c r="K284" s="11">
        <v>1761.0424</v>
      </c>
      <c r="L284" s="11">
        <v>2366.9020999999998</v>
      </c>
      <c r="M284" s="11">
        <v>2902.4405999999999</v>
      </c>
      <c r="N284" s="11">
        <v>3080.2946000000002</v>
      </c>
      <c r="O284" s="3">
        <f t="shared" si="41"/>
        <v>2.0634755781487213E-2</v>
      </c>
      <c r="P284" s="3">
        <f t="shared" si="42"/>
        <v>2.318383193741691E-2</v>
      </c>
      <c r="Q284" s="3">
        <f t="shared" si="43"/>
        <v>2.1870302799129826E-2</v>
      </c>
      <c r="R284" s="3">
        <f t="shared" si="44"/>
        <v>2.210034140859185E-2</v>
      </c>
      <c r="S284" s="15">
        <f t="shared" si="37"/>
        <v>1.0206347557814872</v>
      </c>
      <c r="T284" s="15">
        <f t="shared" si="38"/>
        <v>1.0231838319374169</v>
      </c>
      <c r="U284" s="15">
        <f t="shared" si="39"/>
        <v>1.0218703027991298</v>
      </c>
      <c r="V284" s="15">
        <f t="shared" si="40"/>
        <v>1.0221003414085919</v>
      </c>
    </row>
    <row r="285" spans="1:22" x14ac:dyDescent="0.25">
      <c r="A285" s="6">
        <v>45125</v>
      </c>
      <c r="B285" s="10">
        <v>1.7635000000000001</v>
      </c>
      <c r="C285" s="10">
        <v>2.4247999999999998</v>
      </c>
      <c r="D285" s="10">
        <v>2.6234000000000002</v>
      </c>
      <c r="E285" s="10">
        <v>2.9965000000000002</v>
      </c>
      <c r="F285" s="10">
        <v>2.0272999999999999</v>
      </c>
      <c r="G285" s="10">
        <v>2.4495</v>
      </c>
      <c r="H285" s="11">
        <v>1.98</v>
      </c>
      <c r="J285" s="8">
        <v>45135</v>
      </c>
      <c r="K285" s="11">
        <v>1761.0478000000001</v>
      </c>
      <c r="L285" s="11">
        <v>2366.5333000000001</v>
      </c>
      <c r="M285" s="11">
        <v>2904.4634000000001</v>
      </c>
      <c r="N285" s="11">
        <v>3081.7190999999998</v>
      </c>
      <c r="O285" s="3">
        <f t="shared" si="41"/>
        <v>2.0637885420887736E-2</v>
      </c>
      <c r="P285" s="3">
        <f t="shared" si="42"/>
        <v>2.3024404051819936E-2</v>
      </c>
      <c r="Q285" s="3">
        <f t="shared" si="43"/>
        <v>2.2582475598980523E-2</v>
      </c>
      <c r="R285" s="3">
        <f t="shared" si="44"/>
        <v>2.2573017605321821E-2</v>
      </c>
      <c r="S285" s="15">
        <f t="shared" si="37"/>
        <v>1.0206378854208877</v>
      </c>
      <c r="T285" s="15">
        <f t="shared" si="38"/>
        <v>1.0230244040518199</v>
      </c>
      <c r="U285" s="15">
        <f t="shared" si="39"/>
        <v>1.0225824755989805</v>
      </c>
      <c r="V285" s="15">
        <f t="shared" si="40"/>
        <v>1.0225730176053218</v>
      </c>
    </row>
    <row r="286" spans="1:22" x14ac:dyDescent="0.25">
      <c r="A286" s="6">
        <v>45126</v>
      </c>
      <c r="B286" s="10">
        <v>1.7535000000000001</v>
      </c>
      <c r="C286" s="10">
        <v>2.4089999999999998</v>
      </c>
      <c r="D286" s="10">
        <v>2.6233</v>
      </c>
      <c r="E286" s="10">
        <v>2.9986999999999999</v>
      </c>
      <c r="F286" s="10">
        <v>2.0251000000000001</v>
      </c>
      <c r="G286" s="10">
        <v>2.4481999999999999</v>
      </c>
      <c r="H286" s="11">
        <v>1.95</v>
      </c>
      <c r="J286" s="8">
        <v>45138</v>
      </c>
      <c r="K286" s="11">
        <v>1761.0924</v>
      </c>
      <c r="L286" s="11">
        <v>2366.1482999999998</v>
      </c>
      <c r="M286" s="11">
        <v>2904.8973000000001</v>
      </c>
      <c r="N286" s="11">
        <v>3082.0246999999999</v>
      </c>
      <c r="O286" s="3">
        <f t="shared" si="41"/>
        <v>2.0663733924085603E-2</v>
      </c>
      <c r="P286" s="3">
        <f t="shared" si="42"/>
        <v>2.2857973097495154E-2</v>
      </c>
      <c r="Q286" s="3">
        <f t="shared" si="43"/>
        <v>2.2735239974032595E-2</v>
      </c>
      <c r="R286" s="3">
        <f t="shared" si="44"/>
        <v>2.2674421498421804E-2</v>
      </c>
      <c r="S286" s="15">
        <f t="shared" si="37"/>
        <v>1.0206637339240856</v>
      </c>
      <c r="T286" s="15">
        <f t="shared" si="38"/>
        <v>1.0228579730974952</v>
      </c>
      <c r="U286" s="15">
        <f t="shared" si="39"/>
        <v>1.0227352399740326</v>
      </c>
      <c r="V286" s="15">
        <f t="shared" si="40"/>
        <v>1.0226744214984218</v>
      </c>
    </row>
    <row r="287" spans="1:22" x14ac:dyDescent="0.25">
      <c r="A287" s="6">
        <v>45127</v>
      </c>
      <c r="B287" s="10">
        <v>1.7484999999999999</v>
      </c>
      <c r="C287" s="10">
        <v>2.4043000000000001</v>
      </c>
      <c r="D287" s="10">
        <v>2.6214</v>
      </c>
      <c r="E287" s="10">
        <v>2.9967000000000001</v>
      </c>
      <c r="F287" s="10">
        <v>2.0192000000000001</v>
      </c>
      <c r="G287" s="10">
        <v>2.4538000000000002</v>
      </c>
      <c r="H287" s="11">
        <v>1.9</v>
      </c>
      <c r="J287" s="8">
        <v>45139</v>
      </c>
      <c r="K287" s="11">
        <v>1761.3200999999999</v>
      </c>
      <c r="L287" s="11">
        <v>2366.5065</v>
      </c>
      <c r="M287" s="11">
        <v>2904.5196999999998</v>
      </c>
      <c r="N287" s="11">
        <v>3081.9326000000001</v>
      </c>
      <c r="O287" s="3">
        <f t="shared" si="41"/>
        <v>2.0795700385478844E-2</v>
      </c>
      <c r="P287" s="3">
        <f t="shared" si="42"/>
        <v>2.3012818728246121E-2</v>
      </c>
      <c r="Q287" s="3">
        <f t="shared" si="43"/>
        <v>2.2602297295950757E-2</v>
      </c>
      <c r="R287" s="3">
        <f t="shared" si="44"/>
        <v>2.2643860966502727E-2</v>
      </c>
      <c r="S287" s="15">
        <f t="shared" si="37"/>
        <v>1.0207957003854788</v>
      </c>
      <c r="T287" s="15">
        <f t="shared" si="38"/>
        <v>1.0230128187282461</v>
      </c>
      <c r="U287" s="15">
        <f t="shared" si="39"/>
        <v>1.0226022972959508</v>
      </c>
      <c r="V287" s="15">
        <f t="shared" si="40"/>
        <v>1.0226438609665027</v>
      </c>
    </row>
    <row r="288" spans="1:22" x14ac:dyDescent="0.25">
      <c r="A288" s="6">
        <v>45128</v>
      </c>
      <c r="B288" s="10">
        <v>1.7384999999999999</v>
      </c>
      <c r="C288" s="10">
        <v>2.3919999999999999</v>
      </c>
      <c r="D288" s="10">
        <v>2.6078999999999999</v>
      </c>
      <c r="E288" s="10">
        <v>2.9828000000000001</v>
      </c>
      <c r="F288" s="10">
        <v>2.0085999999999999</v>
      </c>
      <c r="G288" s="10">
        <v>2.4352</v>
      </c>
      <c r="H288" s="11">
        <v>1.85</v>
      </c>
      <c r="J288" s="8">
        <v>45140</v>
      </c>
      <c r="K288" s="11">
        <v>1761.5961</v>
      </c>
      <c r="L288" s="11">
        <v>2367.0389</v>
      </c>
      <c r="M288" s="11">
        <v>2904.7395000000001</v>
      </c>
      <c r="N288" s="11">
        <v>3082.1626999999999</v>
      </c>
      <c r="O288" s="3">
        <f t="shared" si="41"/>
        <v>2.0955659732622145E-2</v>
      </c>
      <c r="P288" s="3">
        <f t="shared" si="42"/>
        <v>2.324296896222644E-2</v>
      </c>
      <c r="Q288" s="3">
        <f t="shared" si="43"/>
        <v>2.267968289087241E-2</v>
      </c>
      <c r="R288" s="3">
        <f t="shared" si="44"/>
        <v>2.2720212523447136E-2</v>
      </c>
      <c r="S288" s="15">
        <f t="shared" si="37"/>
        <v>1.0209556597326221</v>
      </c>
      <c r="T288" s="15">
        <f t="shared" si="38"/>
        <v>1.0232429689622264</v>
      </c>
      <c r="U288" s="15">
        <f t="shared" si="39"/>
        <v>1.0226796828908724</v>
      </c>
      <c r="V288" s="15">
        <f t="shared" si="40"/>
        <v>1.0227202125234471</v>
      </c>
    </row>
    <row r="289" spans="1:22" x14ac:dyDescent="0.25">
      <c r="A289" s="6">
        <v>45131</v>
      </c>
      <c r="B289" s="10">
        <v>1.7335</v>
      </c>
      <c r="C289" s="10">
        <v>2.3873000000000002</v>
      </c>
      <c r="D289" s="10">
        <v>2.5933999999999999</v>
      </c>
      <c r="E289" s="10">
        <v>2.9588000000000001</v>
      </c>
      <c r="F289" s="10">
        <v>2.0084</v>
      </c>
      <c r="G289" s="10">
        <v>2.4377</v>
      </c>
      <c r="H289" s="11">
        <v>1.81</v>
      </c>
      <c r="J289" s="8">
        <v>45141</v>
      </c>
      <c r="K289" s="11">
        <v>1761.991</v>
      </c>
      <c r="L289" s="11">
        <v>2367.9551999999999</v>
      </c>
      <c r="M289" s="11">
        <v>2906.5225999999998</v>
      </c>
      <c r="N289" s="11">
        <v>3083.7824000000001</v>
      </c>
      <c r="O289" s="3">
        <f t="shared" si="41"/>
        <v>2.1184529102864502E-2</v>
      </c>
      <c r="P289" s="3">
        <f t="shared" si="42"/>
        <v>2.3639074633518886E-2</v>
      </c>
      <c r="Q289" s="3">
        <f t="shared" si="43"/>
        <v>2.3307463847671572E-2</v>
      </c>
      <c r="R289" s="3">
        <f t="shared" si="44"/>
        <v>2.3257659793257002E-2</v>
      </c>
      <c r="S289" s="15">
        <f t="shared" si="37"/>
        <v>1.0211845291028645</v>
      </c>
      <c r="T289" s="15">
        <f t="shared" si="38"/>
        <v>1.0236390746335189</v>
      </c>
      <c r="U289" s="15">
        <f t="shared" si="39"/>
        <v>1.0233074638476716</v>
      </c>
      <c r="V289" s="15">
        <f t="shared" si="40"/>
        <v>1.023257659793257</v>
      </c>
    </row>
    <row r="290" spans="1:22" x14ac:dyDescent="0.25">
      <c r="A290" s="6">
        <v>45132</v>
      </c>
      <c r="B290" s="10">
        <v>1.7782</v>
      </c>
      <c r="C290" s="10">
        <v>2.4626999999999999</v>
      </c>
      <c r="D290" s="10">
        <v>2.6629999999999998</v>
      </c>
      <c r="E290" s="10">
        <v>3.0156000000000001</v>
      </c>
      <c r="F290" s="10">
        <v>2.0442</v>
      </c>
      <c r="G290" s="10">
        <v>2.4897999999999998</v>
      </c>
      <c r="H290" s="11">
        <v>2.15</v>
      </c>
      <c r="J290" s="8">
        <v>45142</v>
      </c>
      <c r="K290" s="11">
        <v>1762.3032000000001</v>
      </c>
      <c r="L290" s="11">
        <v>2368.6833000000001</v>
      </c>
      <c r="M290" s="11">
        <v>2907.8186000000001</v>
      </c>
      <c r="N290" s="11">
        <v>3085.1359000000002</v>
      </c>
      <c r="O290" s="3">
        <f t="shared" si="41"/>
        <v>2.1365468625249129E-2</v>
      </c>
      <c r="P290" s="3">
        <f t="shared" si="42"/>
        <v>2.3953823666879481E-2</v>
      </c>
      <c r="Q290" s="3">
        <f t="shared" si="43"/>
        <v>2.3763750158036778E-2</v>
      </c>
      <c r="R290" s="3">
        <f t="shared" si="44"/>
        <v>2.3706776839430566E-2</v>
      </c>
      <c r="S290" s="15">
        <f t="shared" si="37"/>
        <v>1.0213654686252491</v>
      </c>
      <c r="T290" s="15">
        <f t="shared" si="38"/>
        <v>1.0239538236668795</v>
      </c>
      <c r="U290" s="15">
        <f t="shared" si="39"/>
        <v>1.0237637501580368</v>
      </c>
      <c r="V290" s="15">
        <f t="shared" si="40"/>
        <v>1.0237067768394306</v>
      </c>
    </row>
    <row r="291" spans="1:22" x14ac:dyDescent="0.25">
      <c r="A291" s="6">
        <v>45133</v>
      </c>
      <c r="B291" s="10">
        <v>1.7882</v>
      </c>
      <c r="C291" s="10">
        <v>2.4327999999999999</v>
      </c>
      <c r="D291" s="10">
        <v>2.6429999999999998</v>
      </c>
      <c r="E291" s="10">
        <v>3.0003000000000002</v>
      </c>
      <c r="F291" s="10">
        <v>2.044</v>
      </c>
      <c r="G291" s="10">
        <v>2.5028000000000001</v>
      </c>
      <c r="H291" s="11">
        <v>2.15</v>
      </c>
      <c r="J291" s="8">
        <v>45145</v>
      </c>
      <c r="K291" s="11">
        <v>1762.7429</v>
      </c>
      <c r="L291" s="11">
        <v>2369.2954</v>
      </c>
      <c r="M291" s="11">
        <v>2907.3139999999999</v>
      </c>
      <c r="N291" s="11">
        <v>3085.1158</v>
      </c>
      <c r="O291" s="3">
        <f t="shared" si="41"/>
        <v>2.1620302411259562E-2</v>
      </c>
      <c r="P291" s="3">
        <f t="shared" si="42"/>
        <v>2.4218427269845799E-2</v>
      </c>
      <c r="Q291" s="3">
        <f t="shared" si="43"/>
        <v>2.3586094238121413E-2</v>
      </c>
      <c r="R291" s="3">
        <f t="shared" si="44"/>
        <v>2.3700107277089932E-2</v>
      </c>
      <c r="S291" s="15">
        <f t="shared" si="37"/>
        <v>1.0216203024112596</v>
      </c>
      <c r="T291" s="15">
        <f t="shared" si="38"/>
        <v>1.0242184272698458</v>
      </c>
      <c r="U291" s="15">
        <f t="shared" si="39"/>
        <v>1.0235860942381214</v>
      </c>
      <c r="V291" s="15">
        <f t="shared" si="40"/>
        <v>1.0237001072770899</v>
      </c>
    </row>
    <row r="292" spans="1:22" x14ac:dyDescent="0.25">
      <c r="A292" s="6">
        <v>45134</v>
      </c>
      <c r="B292" s="10">
        <v>1.8182</v>
      </c>
      <c r="C292" s="10">
        <v>2.4232</v>
      </c>
      <c r="D292" s="10">
        <v>2.6395</v>
      </c>
      <c r="E292" s="10">
        <v>2.9948000000000001</v>
      </c>
      <c r="F292" s="10">
        <v>2.0224000000000002</v>
      </c>
      <c r="G292" s="10">
        <v>2.4780000000000002</v>
      </c>
      <c r="H292" s="11">
        <v>2.1</v>
      </c>
      <c r="J292" s="8">
        <v>45146</v>
      </c>
      <c r="K292" s="11">
        <v>1763.0195000000001</v>
      </c>
      <c r="L292" s="11">
        <v>2369.7863000000002</v>
      </c>
      <c r="M292" s="11">
        <v>2907.4135999999999</v>
      </c>
      <c r="N292" s="11">
        <v>3085.3966</v>
      </c>
      <c r="O292" s="3">
        <f t="shared" si="41"/>
        <v>2.1780609496114156E-2</v>
      </c>
      <c r="P292" s="3">
        <f t="shared" si="42"/>
        <v>2.4430637543814582E-2</v>
      </c>
      <c r="Q292" s="3">
        <f t="shared" si="43"/>
        <v>2.3621160686047471E-2</v>
      </c>
      <c r="R292" s="3">
        <f t="shared" si="44"/>
        <v>2.3793282058446108E-2</v>
      </c>
      <c r="S292" s="15">
        <f t="shared" si="37"/>
        <v>1.0217806094961142</v>
      </c>
      <c r="T292" s="15">
        <f t="shared" si="38"/>
        <v>1.0244306375438146</v>
      </c>
      <c r="U292" s="15">
        <f t="shared" si="39"/>
        <v>1.0236211606860475</v>
      </c>
      <c r="V292" s="15">
        <f t="shared" si="40"/>
        <v>1.0237932820584461</v>
      </c>
    </row>
    <row r="293" spans="1:22" x14ac:dyDescent="0.25">
      <c r="A293" s="6">
        <v>45135</v>
      </c>
      <c r="B293" s="10">
        <v>1.8181</v>
      </c>
      <c r="C293" s="10">
        <v>2.4409999999999998</v>
      </c>
      <c r="D293" s="10">
        <v>2.6533000000000002</v>
      </c>
      <c r="E293" s="10">
        <v>3.0061</v>
      </c>
      <c r="F293" s="10">
        <v>2.0305</v>
      </c>
      <c r="G293" s="10">
        <v>2.4967000000000001</v>
      </c>
      <c r="H293" s="11">
        <v>2</v>
      </c>
      <c r="J293" s="8">
        <v>45147</v>
      </c>
      <c r="K293" s="11">
        <v>1763.2411999999999</v>
      </c>
      <c r="L293" s="11">
        <v>2370.0925999999999</v>
      </c>
      <c r="M293" s="11">
        <v>2906.8863000000001</v>
      </c>
      <c r="N293" s="11">
        <v>3085.2471</v>
      </c>
      <c r="O293" s="3">
        <f t="shared" si="41"/>
        <v>2.1909098580395581E-2</v>
      </c>
      <c r="P293" s="3">
        <f t="shared" si="42"/>
        <v>2.456304741734594E-2</v>
      </c>
      <c r="Q293" s="3">
        <f t="shared" si="43"/>
        <v>2.3435512714245599E-2</v>
      </c>
      <c r="R293" s="3">
        <f t="shared" si="44"/>
        <v>2.3743675114668461E-2</v>
      </c>
      <c r="S293" s="15">
        <f t="shared" si="37"/>
        <v>1.0219090985803956</v>
      </c>
      <c r="T293" s="15">
        <f t="shared" si="38"/>
        <v>1.0245630474173459</v>
      </c>
      <c r="U293" s="15">
        <f t="shared" si="39"/>
        <v>1.0234355127142456</v>
      </c>
      <c r="V293" s="15">
        <f t="shared" si="40"/>
        <v>1.0237436751146685</v>
      </c>
    </row>
    <row r="294" spans="1:22" x14ac:dyDescent="0.25">
      <c r="A294" s="6">
        <v>45138</v>
      </c>
      <c r="B294" s="10">
        <v>1.8102</v>
      </c>
      <c r="C294" s="10">
        <v>2.4544000000000001</v>
      </c>
      <c r="D294" s="10">
        <v>2.6597</v>
      </c>
      <c r="E294" s="10">
        <v>3.0103</v>
      </c>
      <c r="F294" s="10">
        <v>2.0449999999999999</v>
      </c>
      <c r="G294" s="10">
        <v>2.524</v>
      </c>
      <c r="H294" s="11">
        <v>1.97</v>
      </c>
      <c r="J294" s="8">
        <v>45148</v>
      </c>
      <c r="K294" s="11">
        <v>1763.4219000000001</v>
      </c>
      <c r="L294" s="11">
        <v>2370.2896999999998</v>
      </c>
      <c r="M294" s="11">
        <v>2907.5338000000002</v>
      </c>
      <c r="N294" s="11">
        <v>3085.8474999999999</v>
      </c>
      <c r="O294" s="3">
        <f t="shared" si="41"/>
        <v>2.2013825587746227E-2</v>
      </c>
      <c r="P294" s="3">
        <f t="shared" si="42"/>
        <v>2.4648251420196221E-2</v>
      </c>
      <c r="Q294" s="3">
        <f t="shared" si="43"/>
        <v>2.3663479833042844E-2</v>
      </c>
      <c r="R294" s="3">
        <f t="shared" si="44"/>
        <v>2.394289925543136E-2</v>
      </c>
      <c r="S294" s="15">
        <f t="shared" si="37"/>
        <v>1.0220138255877462</v>
      </c>
      <c r="T294" s="15">
        <f t="shared" si="38"/>
        <v>1.0246482514201962</v>
      </c>
      <c r="U294" s="15">
        <f t="shared" si="39"/>
        <v>1.0236634798330428</v>
      </c>
      <c r="V294" s="15">
        <f t="shared" si="40"/>
        <v>1.0239428992554314</v>
      </c>
    </row>
    <row r="295" spans="1:22" x14ac:dyDescent="0.25">
      <c r="A295" s="6">
        <v>45139</v>
      </c>
      <c r="B295" s="10">
        <v>1.7750999999999999</v>
      </c>
      <c r="C295" s="10">
        <v>2.4599000000000002</v>
      </c>
      <c r="D295" s="10">
        <v>2.6606999999999998</v>
      </c>
      <c r="E295" s="10">
        <v>3.0118999999999998</v>
      </c>
      <c r="F295" s="10">
        <v>2.0257000000000001</v>
      </c>
      <c r="G295" s="10">
        <v>2.5032999999999999</v>
      </c>
      <c r="H295" s="11">
        <v>1.85</v>
      </c>
      <c r="J295" s="8">
        <v>45149</v>
      </c>
      <c r="K295" s="11">
        <v>1763.7266999999999</v>
      </c>
      <c r="L295" s="11">
        <v>2371.2127</v>
      </c>
      <c r="M295" s="11">
        <v>2906.1902</v>
      </c>
      <c r="N295" s="11">
        <v>3085.1412999999998</v>
      </c>
      <c r="O295" s="3">
        <f t="shared" si="41"/>
        <v>2.2190476345026244E-2</v>
      </c>
      <c r="P295" s="3">
        <f t="shared" si="42"/>
        <v>2.5047253422382454E-2</v>
      </c>
      <c r="Q295" s="3">
        <f t="shared" si="43"/>
        <v>2.319043485880945E-2</v>
      </c>
      <c r="R295" s="3">
        <f t="shared" si="44"/>
        <v>2.3708568662148766E-2</v>
      </c>
      <c r="S295" s="15">
        <f t="shared" si="37"/>
        <v>1.0221904763450262</v>
      </c>
      <c r="T295" s="15">
        <f t="shared" si="38"/>
        <v>1.0250472534223825</v>
      </c>
      <c r="U295" s="15">
        <f t="shared" si="39"/>
        <v>1.0231904348588094</v>
      </c>
      <c r="V295" s="15">
        <f t="shared" si="40"/>
        <v>1.0237085686621488</v>
      </c>
    </row>
    <row r="296" spans="1:22" x14ac:dyDescent="0.25">
      <c r="A296" s="6">
        <v>45140</v>
      </c>
      <c r="B296" s="10">
        <v>1.7663</v>
      </c>
      <c r="C296" s="10">
        <v>2.4525999999999999</v>
      </c>
      <c r="D296" s="10">
        <v>2.6524999999999999</v>
      </c>
      <c r="E296" s="10">
        <v>2.9988999999999999</v>
      </c>
      <c r="F296" s="10">
        <v>2.0194999999999999</v>
      </c>
      <c r="G296" s="10">
        <v>2.5</v>
      </c>
      <c r="H296" s="11">
        <v>1.83</v>
      </c>
      <c r="J296" s="8">
        <v>45152</v>
      </c>
      <c r="K296" s="11">
        <v>1764.328</v>
      </c>
      <c r="L296" s="11">
        <v>2372.2770999999998</v>
      </c>
      <c r="M296" s="11">
        <v>2906.9751000000001</v>
      </c>
      <c r="N296" s="11">
        <v>3085.9596000000001</v>
      </c>
      <c r="O296" s="3">
        <f t="shared" si="41"/>
        <v>2.2538967487914841E-2</v>
      </c>
      <c r="P296" s="3">
        <f t="shared" si="42"/>
        <v>2.5507380975065663E-2</v>
      </c>
      <c r="Q296" s="3">
        <f t="shared" si="43"/>
        <v>2.3466776776252196E-2</v>
      </c>
      <c r="R296" s="3">
        <f t="shared" si="44"/>
        <v>2.3980096167788956E-2</v>
      </c>
      <c r="S296" s="15">
        <f t="shared" si="37"/>
        <v>1.0225389674879148</v>
      </c>
      <c r="T296" s="15">
        <f t="shared" si="38"/>
        <v>1.0255073809750657</v>
      </c>
      <c r="U296" s="15">
        <f t="shared" si="39"/>
        <v>1.0234667767762522</v>
      </c>
      <c r="V296" s="15">
        <f t="shared" si="40"/>
        <v>1.023980096167789</v>
      </c>
    </row>
    <row r="297" spans="1:22" x14ac:dyDescent="0.25">
      <c r="A297" s="6">
        <v>45141</v>
      </c>
      <c r="B297" s="10">
        <v>1.7421</v>
      </c>
      <c r="C297" s="10">
        <v>2.4253999999999998</v>
      </c>
      <c r="D297" s="10">
        <v>2.6435</v>
      </c>
      <c r="E297" s="10">
        <v>2.9927000000000001</v>
      </c>
      <c r="F297" s="10">
        <v>1.9927999999999999</v>
      </c>
      <c r="G297" s="10">
        <v>2.4725999999999999</v>
      </c>
      <c r="H297" s="11">
        <v>1.75</v>
      </c>
      <c r="J297" s="8">
        <v>45153</v>
      </c>
      <c r="K297" s="11">
        <v>1764.8885</v>
      </c>
      <c r="L297" s="11">
        <v>2373.5796999999998</v>
      </c>
      <c r="M297" s="11">
        <v>2907.6156000000001</v>
      </c>
      <c r="N297" s="11">
        <v>3086.8542000000002</v>
      </c>
      <c r="O297" s="3">
        <f t="shared" si="41"/>
        <v>2.2863812466443312E-2</v>
      </c>
      <c r="P297" s="3">
        <f t="shared" si="42"/>
        <v>2.6070479575333705E-2</v>
      </c>
      <c r="Q297" s="3">
        <f t="shared" si="43"/>
        <v>2.36922793856571E-2</v>
      </c>
      <c r="R297" s="3">
        <f t="shared" si="44"/>
        <v>2.427694146480186E-2</v>
      </c>
      <c r="S297" s="15">
        <f t="shared" si="37"/>
        <v>1.0228638124664433</v>
      </c>
      <c r="T297" s="15">
        <f t="shared" si="38"/>
        <v>1.0260704795753337</v>
      </c>
      <c r="U297" s="15">
        <f t="shared" si="39"/>
        <v>1.0236922793856571</v>
      </c>
      <c r="V297" s="15">
        <f t="shared" si="40"/>
        <v>1.0242769414648019</v>
      </c>
    </row>
    <row r="298" spans="1:22" x14ac:dyDescent="0.25">
      <c r="A298" s="6">
        <v>45142</v>
      </c>
      <c r="B298" s="10">
        <v>1.7511000000000001</v>
      </c>
      <c r="C298" s="10">
        <v>2.4279999999999999</v>
      </c>
      <c r="D298" s="10">
        <v>2.6469</v>
      </c>
      <c r="E298" s="10">
        <v>2.9927000000000001</v>
      </c>
      <c r="F298" s="10">
        <v>1.9782999999999999</v>
      </c>
      <c r="G298" s="10">
        <v>2.4678</v>
      </c>
      <c r="H298" s="11">
        <v>1.7</v>
      </c>
      <c r="J298" s="8">
        <v>45154</v>
      </c>
      <c r="K298" s="11">
        <v>1765.2893999999999</v>
      </c>
      <c r="L298" s="11">
        <v>2374.2923000000001</v>
      </c>
      <c r="M298" s="11">
        <v>2907.3101999999999</v>
      </c>
      <c r="N298" s="11">
        <v>3086.8047999999999</v>
      </c>
      <c r="O298" s="3">
        <f t="shared" si="41"/>
        <v>2.3096159213797485E-2</v>
      </c>
      <c r="P298" s="3">
        <f t="shared" si="42"/>
        <v>2.637852814170194E-2</v>
      </c>
      <c r="Q298" s="3">
        <f t="shared" si="43"/>
        <v>2.3584756361594073E-2</v>
      </c>
      <c r="R298" s="3">
        <f t="shared" si="44"/>
        <v>2.4260549605118698E-2</v>
      </c>
      <c r="S298" s="15">
        <f t="shared" si="37"/>
        <v>1.0230961592137975</v>
      </c>
      <c r="T298" s="15">
        <f t="shared" si="38"/>
        <v>1.0263785281417019</v>
      </c>
      <c r="U298" s="15">
        <f t="shared" si="39"/>
        <v>1.0235847563615941</v>
      </c>
      <c r="V298" s="15">
        <f t="shared" si="40"/>
        <v>1.0242605496051187</v>
      </c>
    </row>
    <row r="299" spans="1:22" x14ac:dyDescent="0.25">
      <c r="A299" s="6">
        <v>45145</v>
      </c>
      <c r="B299" s="10">
        <v>1.7599</v>
      </c>
      <c r="C299" s="10">
        <v>2.4258999999999999</v>
      </c>
      <c r="D299" s="10">
        <v>2.6461999999999999</v>
      </c>
      <c r="E299" s="10">
        <v>2.9904000000000002</v>
      </c>
      <c r="F299" s="10">
        <v>1.9977</v>
      </c>
      <c r="G299" s="10">
        <v>2.4638</v>
      </c>
      <c r="H299" s="11">
        <v>1.72</v>
      </c>
      <c r="J299" s="8">
        <v>45155</v>
      </c>
      <c r="K299" s="11">
        <v>1765.4389000000001</v>
      </c>
      <c r="L299" s="11">
        <v>2374.3831</v>
      </c>
      <c r="M299" s="11">
        <v>2908.5358999999999</v>
      </c>
      <c r="N299" s="11">
        <v>3087.7593000000002</v>
      </c>
      <c r="O299" s="3">
        <f t="shared" si="41"/>
        <v>2.3182803860166912E-2</v>
      </c>
      <c r="P299" s="3">
        <f t="shared" si="42"/>
        <v>2.6417779909631012E-2</v>
      </c>
      <c r="Q299" s="3">
        <f t="shared" si="43"/>
        <v>2.4016291956203917E-2</v>
      </c>
      <c r="R299" s="3">
        <f t="shared" si="44"/>
        <v>2.4577270861545042E-2</v>
      </c>
      <c r="S299" s="15">
        <f t="shared" si="37"/>
        <v>1.0231828038601669</v>
      </c>
      <c r="T299" s="15">
        <f t="shared" si="38"/>
        <v>1.026417779909631</v>
      </c>
      <c r="U299" s="15">
        <f t="shared" si="39"/>
        <v>1.0240162919562039</v>
      </c>
      <c r="V299" s="15">
        <f t="shared" si="40"/>
        <v>1.024577270861545</v>
      </c>
    </row>
    <row r="300" spans="1:22" x14ac:dyDescent="0.25">
      <c r="A300" s="6">
        <v>45146</v>
      </c>
      <c r="B300" s="10">
        <v>1.7796000000000001</v>
      </c>
      <c r="C300" s="10">
        <v>2.4211</v>
      </c>
      <c r="D300" s="10">
        <v>2.6454</v>
      </c>
      <c r="E300" s="10">
        <v>2.9878999999999998</v>
      </c>
      <c r="F300" s="10">
        <v>1.9855</v>
      </c>
      <c r="G300" s="10">
        <v>2.4622999999999999</v>
      </c>
      <c r="H300" s="11">
        <v>1.8</v>
      </c>
      <c r="J300" s="8">
        <v>45156</v>
      </c>
      <c r="K300" s="11">
        <v>1765.684</v>
      </c>
      <c r="L300" s="11">
        <v>2375.2379000000001</v>
      </c>
      <c r="M300" s="11">
        <v>2907.8825999999999</v>
      </c>
      <c r="N300" s="11">
        <v>3087.5506999999998</v>
      </c>
      <c r="O300" s="3">
        <f t="shared" si="41"/>
        <v>2.3324854715184307E-2</v>
      </c>
      <c r="P300" s="3">
        <f t="shared" si="42"/>
        <v>2.6787299857050861E-2</v>
      </c>
      <c r="Q300" s="3">
        <f t="shared" si="43"/>
        <v>2.3786282815338566E-2</v>
      </c>
      <c r="R300" s="3">
        <f t="shared" si="44"/>
        <v>2.450805341357154E-2</v>
      </c>
      <c r="S300" s="15">
        <f t="shared" si="37"/>
        <v>1.0233248547151843</v>
      </c>
      <c r="T300" s="15">
        <f t="shared" si="38"/>
        <v>1.0267872998570509</v>
      </c>
      <c r="U300" s="15">
        <f t="shared" si="39"/>
        <v>1.0237862828153386</v>
      </c>
      <c r="V300" s="15">
        <f t="shared" si="40"/>
        <v>1.0245080534135715</v>
      </c>
    </row>
    <row r="301" spans="1:22" x14ac:dyDescent="0.25">
      <c r="A301" s="6">
        <v>45147</v>
      </c>
      <c r="B301" s="10">
        <v>1.8092999999999999</v>
      </c>
      <c r="C301" s="10">
        <v>2.4237000000000002</v>
      </c>
      <c r="D301" s="10">
        <v>2.6461000000000001</v>
      </c>
      <c r="E301" s="10">
        <v>2.9895999999999998</v>
      </c>
      <c r="F301" s="10">
        <v>1.9891000000000001</v>
      </c>
      <c r="G301" s="10">
        <v>2.4542000000000002</v>
      </c>
      <c r="H301" s="11">
        <v>1.8</v>
      </c>
      <c r="J301" s="8">
        <v>45159</v>
      </c>
      <c r="K301" s="11">
        <v>1766.1971000000001</v>
      </c>
      <c r="L301" s="11">
        <v>2376.2565</v>
      </c>
      <c r="M301" s="11">
        <v>2907.5261</v>
      </c>
      <c r="N301" s="11">
        <v>3087.5783000000001</v>
      </c>
      <c r="O301" s="3">
        <f t="shared" si="41"/>
        <v>2.3622228414529323E-2</v>
      </c>
      <c r="P301" s="3">
        <f t="shared" si="42"/>
        <v>2.722762861049266E-2</v>
      </c>
      <c r="Q301" s="3">
        <f t="shared" si="43"/>
        <v>2.3660768872711291E-2</v>
      </c>
      <c r="R301" s="3">
        <f t="shared" si="44"/>
        <v>2.4517211618576784E-2</v>
      </c>
      <c r="S301" s="15">
        <f t="shared" si="37"/>
        <v>1.0236222284145293</v>
      </c>
      <c r="T301" s="15">
        <f t="shared" si="38"/>
        <v>1.0272276286104927</v>
      </c>
      <c r="U301" s="15">
        <f t="shared" si="39"/>
        <v>1.0236607688727113</v>
      </c>
      <c r="V301" s="15">
        <f t="shared" si="40"/>
        <v>1.0245172116185768</v>
      </c>
    </row>
    <row r="302" spans="1:22" x14ac:dyDescent="0.25">
      <c r="A302" s="6">
        <v>45148</v>
      </c>
      <c r="B302" s="10">
        <v>1.8265</v>
      </c>
      <c r="C302" s="10">
        <v>2.4289999999999998</v>
      </c>
      <c r="D302" s="10">
        <v>2.6475</v>
      </c>
      <c r="E302" s="10">
        <v>2.992</v>
      </c>
      <c r="F302" s="10">
        <v>1.9893000000000001</v>
      </c>
      <c r="G302" s="10">
        <v>2.4613</v>
      </c>
      <c r="H302" s="11">
        <v>1.78</v>
      </c>
      <c r="J302" s="8">
        <v>45160</v>
      </c>
      <c r="K302" s="11">
        <v>1766.2974999999999</v>
      </c>
      <c r="L302" s="11">
        <v>2376.1525000000001</v>
      </c>
      <c r="M302" s="11">
        <v>2907.6356999999998</v>
      </c>
      <c r="N302" s="11">
        <v>3087.8413999999998</v>
      </c>
      <c r="O302" s="3">
        <f t="shared" si="41"/>
        <v>2.3680416524866965E-2</v>
      </c>
      <c r="P302" s="3">
        <f t="shared" si="42"/>
        <v>2.7182670638415285E-2</v>
      </c>
      <c r="Q302" s="3">
        <f t="shared" si="43"/>
        <v>2.3699356048340725E-2</v>
      </c>
      <c r="R302" s="3">
        <f t="shared" si="44"/>
        <v>2.460451320324486E-2</v>
      </c>
      <c r="S302" s="15">
        <f t="shared" si="37"/>
        <v>1.023680416524867</v>
      </c>
      <c r="T302" s="15">
        <f t="shared" si="38"/>
        <v>1.0271826706384153</v>
      </c>
      <c r="U302" s="15">
        <f t="shared" si="39"/>
        <v>1.0236993560483407</v>
      </c>
      <c r="V302" s="15">
        <f t="shared" si="40"/>
        <v>1.0246045132032449</v>
      </c>
    </row>
    <row r="303" spans="1:22" x14ac:dyDescent="0.25">
      <c r="A303" s="6">
        <v>45149</v>
      </c>
      <c r="B303" s="10">
        <v>1.8305</v>
      </c>
      <c r="C303" s="10">
        <v>2.4216000000000002</v>
      </c>
      <c r="D303" s="10">
        <v>2.6381000000000001</v>
      </c>
      <c r="E303" s="10">
        <v>2.9849999999999999</v>
      </c>
      <c r="F303" s="10">
        <v>1.9756</v>
      </c>
      <c r="G303" s="10">
        <v>2.4493</v>
      </c>
      <c r="H303" s="11">
        <v>1.78</v>
      </c>
      <c r="J303" s="8">
        <v>45161</v>
      </c>
      <c r="K303" s="11">
        <v>1766.4357</v>
      </c>
      <c r="L303" s="11">
        <v>2376.3624</v>
      </c>
      <c r="M303" s="11">
        <v>2905.6318000000001</v>
      </c>
      <c r="N303" s="11">
        <v>3086.3595</v>
      </c>
      <c r="O303" s="3">
        <f t="shared" si="41"/>
        <v>2.3760512111008936E-2</v>
      </c>
      <c r="P303" s="3">
        <f t="shared" si="42"/>
        <v>2.7273407930136662E-2</v>
      </c>
      <c r="Q303" s="3">
        <f t="shared" si="43"/>
        <v>2.2993837423849861E-2</v>
      </c>
      <c r="R303" s="3">
        <f t="shared" si="44"/>
        <v>2.4112790594656319E-2</v>
      </c>
      <c r="S303" s="15">
        <f t="shared" si="37"/>
        <v>1.0237605121110089</v>
      </c>
      <c r="T303" s="15">
        <f t="shared" si="38"/>
        <v>1.0272734079301367</v>
      </c>
      <c r="U303" s="15">
        <f t="shared" si="39"/>
        <v>1.0229938374238499</v>
      </c>
      <c r="V303" s="15">
        <f t="shared" si="40"/>
        <v>1.0241127905946563</v>
      </c>
    </row>
    <row r="304" spans="1:22" x14ac:dyDescent="0.25">
      <c r="A304" s="6">
        <v>45152</v>
      </c>
      <c r="B304" s="10">
        <v>1.8156000000000001</v>
      </c>
      <c r="C304" s="10">
        <v>2.4047999999999998</v>
      </c>
      <c r="D304" s="10">
        <v>2.6212</v>
      </c>
      <c r="E304" s="10">
        <v>2.9710000000000001</v>
      </c>
      <c r="F304" s="10">
        <v>1.9520999999999999</v>
      </c>
      <c r="G304" s="10">
        <v>2.4079999999999999</v>
      </c>
      <c r="H304" s="11">
        <v>1.85</v>
      </c>
      <c r="J304" s="8">
        <v>45162</v>
      </c>
      <c r="K304" s="11">
        <v>1766.5758000000001</v>
      </c>
      <c r="L304" s="11">
        <v>2376.5527000000002</v>
      </c>
      <c r="M304" s="11">
        <v>2906.6732999999999</v>
      </c>
      <c r="N304" s="11">
        <v>3087.1547999999998</v>
      </c>
      <c r="O304" s="3">
        <f t="shared" si="41"/>
        <v>2.3841708866569888E-2</v>
      </c>
      <c r="P304" s="3">
        <f t="shared" si="42"/>
        <v>2.7355672373274409E-2</v>
      </c>
      <c r="Q304" s="3">
        <f t="shared" si="43"/>
        <v>2.3360521214162322E-2</v>
      </c>
      <c r="R304" s="3">
        <f t="shared" si="44"/>
        <v>2.4376686262792102E-2</v>
      </c>
      <c r="S304" s="15">
        <f t="shared" si="37"/>
        <v>1.0238417088665699</v>
      </c>
      <c r="T304" s="15">
        <f t="shared" si="38"/>
        <v>1.0273556723732744</v>
      </c>
      <c r="U304" s="15">
        <f t="shared" si="39"/>
        <v>1.0233605212141623</v>
      </c>
      <c r="V304" s="15">
        <f t="shared" si="40"/>
        <v>1.0243766862627921</v>
      </c>
    </row>
    <row r="305" spans="1:22" x14ac:dyDescent="0.25">
      <c r="A305" s="6">
        <v>45153</v>
      </c>
      <c r="B305" s="10">
        <v>1.8245</v>
      </c>
      <c r="C305" s="10">
        <v>2.3772000000000002</v>
      </c>
      <c r="D305" s="10">
        <v>2.5758999999999999</v>
      </c>
      <c r="E305" s="10">
        <v>2.9342000000000001</v>
      </c>
      <c r="F305" s="10">
        <v>1.9104000000000001</v>
      </c>
      <c r="G305" s="10">
        <v>2.3412000000000002</v>
      </c>
      <c r="H305" s="11">
        <v>1.93</v>
      </c>
      <c r="J305" s="8">
        <v>45163</v>
      </c>
      <c r="K305" s="11">
        <v>1766.5273</v>
      </c>
      <c r="L305" s="11">
        <v>2376.3649</v>
      </c>
      <c r="M305" s="11">
        <v>2904.8966</v>
      </c>
      <c r="N305" s="11">
        <v>3086.0093999999999</v>
      </c>
      <c r="O305" s="3">
        <f t="shared" si="41"/>
        <v>2.3813600068249396E-2</v>
      </c>
      <c r="P305" s="3">
        <f t="shared" si="42"/>
        <v>2.7274488650619322E-2</v>
      </c>
      <c r="Q305" s="3">
        <f t="shared" si="43"/>
        <v>2.2734993523093383E-2</v>
      </c>
      <c r="R305" s="3">
        <f t="shared" si="44"/>
        <v>2.39966207550808E-2</v>
      </c>
      <c r="S305" s="15">
        <f t="shared" si="37"/>
        <v>1.0238136000682494</v>
      </c>
      <c r="T305" s="15">
        <f t="shared" si="38"/>
        <v>1.0272744886506193</v>
      </c>
      <c r="U305" s="15">
        <f t="shared" si="39"/>
        <v>1.0227349935230934</v>
      </c>
      <c r="V305" s="15">
        <f t="shared" si="40"/>
        <v>1.0239966207550808</v>
      </c>
    </row>
    <row r="306" spans="1:22" x14ac:dyDescent="0.25">
      <c r="A306" s="6">
        <v>45154</v>
      </c>
      <c r="B306" s="10">
        <v>1.8374999999999999</v>
      </c>
      <c r="C306" s="10">
        <v>2.3650000000000002</v>
      </c>
      <c r="D306" s="10">
        <v>2.5649000000000002</v>
      </c>
      <c r="E306" s="10">
        <v>2.9258999999999999</v>
      </c>
      <c r="F306" s="10">
        <v>1.9109</v>
      </c>
      <c r="G306" s="10">
        <v>2.3408000000000002</v>
      </c>
      <c r="H306" s="11">
        <v>1.9</v>
      </c>
      <c r="J306" s="8">
        <v>45166</v>
      </c>
      <c r="K306" s="11">
        <v>1766.3738000000001</v>
      </c>
      <c r="L306" s="11">
        <v>2375.6835999999998</v>
      </c>
      <c r="M306" s="11">
        <v>2904.9904000000001</v>
      </c>
      <c r="N306" s="11">
        <v>3086.0497</v>
      </c>
      <c r="O306" s="3">
        <f t="shared" si="41"/>
        <v>2.372463717047224E-2</v>
      </c>
      <c r="P306" s="3">
        <f t="shared" si="42"/>
        <v>2.6979970704693601E-2</v>
      </c>
      <c r="Q306" s="3">
        <f t="shared" si="43"/>
        <v>2.2768017948951558E-2</v>
      </c>
      <c r="R306" s="3">
        <f t="shared" si="44"/>
        <v>2.4009993061664403E-2</v>
      </c>
      <c r="S306" s="15">
        <f t="shared" si="37"/>
        <v>1.0237246371704722</v>
      </c>
      <c r="T306" s="15">
        <f t="shared" si="38"/>
        <v>1.0269799707046936</v>
      </c>
      <c r="U306" s="15">
        <f t="shared" si="39"/>
        <v>1.0227680179489516</v>
      </c>
      <c r="V306" s="15">
        <f t="shared" si="40"/>
        <v>1.0240099930616644</v>
      </c>
    </row>
    <row r="307" spans="1:22" x14ac:dyDescent="0.25">
      <c r="A307" s="6">
        <v>45155</v>
      </c>
      <c r="B307" s="10">
        <v>1.8396999999999999</v>
      </c>
      <c r="C307" s="10">
        <v>2.3702999999999999</v>
      </c>
      <c r="D307" s="10">
        <v>2.5678000000000001</v>
      </c>
      <c r="E307" s="10">
        <v>2.9285000000000001</v>
      </c>
      <c r="F307" s="10">
        <v>1.9145000000000001</v>
      </c>
      <c r="G307" s="10">
        <v>2.3517000000000001</v>
      </c>
      <c r="H307" s="11">
        <v>1.95</v>
      </c>
      <c r="J307" s="8">
        <v>45167</v>
      </c>
      <c r="K307" s="11">
        <v>1766.0563</v>
      </c>
      <c r="L307" s="11">
        <v>2374.9126000000001</v>
      </c>
      <c r="M307" s="11">
        <v>2906.8530999999998</v>
      </c>
      <c r="N307" s="11">
        <v>3087.0740000000001</v>
      </c>
      <c r="O307" s="3">
        <f t="shared" si="41"/>
        <v>2.3540625964972195E-2</v>
      </c>
      <c r="P307" s="3">
        <f t="shared" si="42"/>
        <v>2.6646676507851463E-2</v>
      </c>
      <c r="Q307" s="3">
        <f t="shared" si="43"/>
        <v>2.3423823898270024E-2</v>
      </c>
      <c r="R307" s="3">
        <f t="shared" si="44"/>
        <v>2.4349875285820666E-2</v>
      </c>
      <c r="S307" s="15">
        <f t="shared" si="37"/>
        <v>1.0235406259649722</v>
      </c>
      <c r="T307" s="15">
        <f t="shared" si="38"/>
        <v>1.0266466765078515</v>
      </c>
      <c r="U307" s="15">
        <f t="shared" si="39"/>
        <v>1.02342382389827</v>
      </c>
      <c r="V307" s="15">
        <f t="shared" si="40"/>
        <v>1.0243498752858207</v>
      </c>
    </row>
    <row r="308" spans="1:22" x14ac:dyDescent="0.25">
      <c r="A308" s="6">
        <v>45156</v>
      </c>
      <c r="B308" s="10">
        <v>1.8323</v>
      </c>
      <c r="C308" s="10">
        <v>2.3656999999999999</v>
      </c>
      <c r="D308" s="10">
        <v>2.5638999999999998</v>
      </c>
      <c r="E308" s="10">
        <v>2.9224999999999999</v>
      </c>
      <c r="F308" s="10">
        <v>1.9028</v>
      </c>
      <c r="G308" s="10">
        <v>2.3346</v>
      </c>
      <c r="H308" s="11">
        <v>1.95</v>
      </c>
      <c r="J308" s="8">
        <v>45168</v>
      </c>
      <c r="K308" s="11">
        <v>1766.2689</v>
      </c>
      <c r="L308" s="11">
        <v>2375.4623000000001</v>
      </c>
      <c r="M308" s="11">
        <v>2907.9358999999999</v>
      </c>
      <c r="N308" s="11">
        <v>3087.9819000000002</v>
      </c>
      <c r="O308" s="3">
        <f t="shared" si="41"/>
        <v>2.3663841027300681E-2</v>
      </c>
      <c r="P308" s="3">
        <f t="shared" si="42"/>
        <v>2.6884305327571578E-2</v>
      </c>
      <c r="Q308" s="3">
        <f t="shared" si="43"/>
        <v>2.3805048293997988E-2</v>
      </c>
      <c r="R308" s="3">
        <f t="shared" si="44"/>
        <v>2.4651133775825285E-2</v>
      </c>
      <c r="S308" s="15">
        <f t="shared" si="37"/>
        <v>1.0236638410273007</v>
      </c>
      <c r="T308" s="15">
        <f t="shared" si="38"/>
        <v>1.0268843053275716</v>
      </c>
      <c r="U308" s="15">
        <f t="shared" si="39"/>
        <v>1.023805048293998</v>
      </c>
      <c r="V308" s="15">
        <f t="shared" si="40"/>
        <v>1.0246511337758253</v>
      </c>
    </row>
    <row r="309" spans="1:22" x14ac:dyDescent="0.25">
      <c r="A309" s="6">
        <v>45159</v>
      </c>
      <c r="B309" s="10">
        <v>1.8705000000000001</v>
      </c>
      <c r="C309" s="10">
        <v>2.3456000000000001</v>
      </c>
      <c r="D309" s="10">
        <v>2.5402999999999998</v>
      </c>
      <c r="E309" s="10">
        <v>2.8894000000000002</v>
      </c>
      <c r="F309" s="10">
        <v>1.8897999999999999</v>
      </c>
      <c r="G309" s="10">
        <v>2.3018000000000001</v>
      </c>
      <c r="H309" s="11">
        <v>1.95</v>
      </c>
      <c r="J309" s="8">
        <v>45169</v>
      </c>
      <c r="K309" s="11">
        <v>1766.5472</v>
      </c>
      <c r="L309" s="11">
        <v>2375.9043999999999</v>
      </c>
      <c r="M309" s="11">
        <v>2907.8613999999998</v>
      </c>
      <c r="N309" s="11">
        <v>3087.9789000000001</v>
      </c>
      <c r="O309" s="3">
        <f t="shared" si="41"/>
        <v>2.3825133369003382E-2</v>
      </c>
      <c r="P309" s="3">
        <f t="shared" si="42"/>
        <v>2.7075419937719225E-2</v>
      </c>
      <c r="Q309" s="3">
        <f t="shared" si="43"/>
        <v>2.3778818872607355E-2</v>
      </c>
      <c r="R309" s="3">
        <f t="shared" si="44"/>
        <v>2.4650138318759396E-2</v>
      </c>
      <c r="S309" s="15">
        <f t="shared" si="37"/>
        <v>1.0238251333690034</v>
      </c>
      <c r="T309" s="15">
        <f t="shared" si="38"/>
        <v>1.0270754199377192</v>
      </c>
      <c r="U309" s="15">
        <f t="shared" si="39"/>
        <v>1.0237788188726074</v>
      </c>
      <c r="V309" s="15">
        <f t="shared" si="40"/>
        <v>1.0246501383187594</v>
      </c>
    </row>
    <row r="310" spans="1:22" x14ac:dyDescent="0.25">
      <c r="A310" s="6">
        <v>45160</v>
      </c>
      <c r="B310" s="10">
        <v>1.899</v>
      </c>
      <c r="C310" s="10">
        <v>2.3635999999999999</v>
      </c>
      <c r="D310" s="10">
        <v>2.5564</v>
      </c>
      <c r="E310" s="10">
        <v>2.8938000000000001</v>
      </c>
      <c r="F310" s="10">
        <v>1.9052</v>
      </c>
      <c r="G310" s="10">
        <v>2.3178000000000001</v>
      </c>
      <c r="H310" s="11">
        <v>1.95</v>
      </c>
      <c r="J310" s="8">
        <v>45170</v>
      </c>
      <c r="K310" s="11">
        <v>1766.4190000000001</v>
      </c>
      <c r="L310" s="11">
        <v>2375.0938000000001</v>
      </c>
      <c r="M310" s="11">
        <v>2907.8528000000001</v>
      </c>
      <c r="N310" s="11">
        <v>3087.9315999999999</v>
      </c>
      <c r="O310" s="3">
        <f t="shared" si="41"/>
        <v>2.3750833411381178E-2</v>
      </c>
      <c r="P310" s="3">
        <f t="shared" si="42"/>
        <v>2.6725007128432399E-2</v>
      </c>
      <c r="Q310" s="3">
        <f t="shared" si="43"/>
        <v>2.3775791046782402E-2</v>
      </c>
      <c r="R310" s="3">
        <f t="shared" si="44"/>
        <v>2.4634443279022422E-2</v>
      </c>
      <c r="S310" s="15">
        <f t="shared" si="37"/>
        <v>1.0237508334113812</v>
      </c>
      <c r="T310" s="15">
        <f t="shared" si="38"/>
        <v>1.0267250071284324</v>
      </c>
      <c r="U310" s="15">
        <f t="shared" si="39"/>
        <v>1.0237757910467824</v>
      </c>
      <c r="V310" s="15">
        <f t="shared" si="40"/>
        <v>1.0246344432790224</v>
      </c>
    </row>
    <row r="311" spans="1:22" x14ac:dyDescent="0.25">
      <c r="A311" s="6">
        <v>45161</v>
      </c>
      <c r="B311" s="10">
        <v>1.8964000000000001</v>
      </c>
      <c r="C311" s="10">
        <v>2.3664999999999998</v>
      </c>
      <c r="D311" s="10">
        <v>2.5535000000000001</v>
      </c>
      <c r="E311" s="10">
        <v>2.8834</v>
      </c>
      <c r="F311" s="10">
        <v>1.9068000000000001</v>
      </c>
      <c r="G311" s="10">
        <v>2.3306</v>
      </c>
      <c r="H311" s="11">
        <v>1.93</v>
      </c>
      <c r="J311" s="8">
        <v>45173</v>
      </c>
      <c r="K311" s="11">
        <v>1766.1665</v>
      </c>
      <c r="L311" s="11">
        <v>2373.9025999999999</v>
      </c>
      <c r="M311" s="11">
        <v>2908.1792</v>
      </c>
      <c r="N311" s="11">
        <v>3087.8629000000001</v>
      </c>
      <c r="O311" s="3">
        <f t="shared" si="41"/>
        <v>2.3604493791259173E-2</v>
      </c>
      <c r="P311" s="3">
        <f t="shared" si="42"/>
        <v>2.6210065432870078E-2</v>
      </c>
      <c r="Q311" s="3">
        <f t="shared" si="43"/>
        <v>2.3890707599022454E-2</v>
      </c>
      <c r="R311" s="3">
        <f t="shared" si="44"/>
        <v>2.4611647312216212E-2</v>
      </c>
      <c r="S311" s="15">
        <f t="shared" si="37"/>
        <v>1.0236044937912592</v>
      </c>
      <c r="T311" s="15">
        <f t="shared" si="38"/>
        <v>1.0262100654328701</v>
      </c>
      <c r="U311" s="15">
        <f t="shared" si="39"/>
        <v>1.0238907075990225</v>
      </c>
      <c r="V311" s="15">
        <f t="shared" si="40"/>
        <v>1.0246116473122162</v>
      </c>
    </row>
    <row r="312" spans="1:22" x14ac:dyDescent="0.25">
      <c r="A312" s="6">
        <v>45162</v>
      </c>
      <c r="B312" s="10">
        <v>1.8772</v>
      </c>
      <c r="C312" s="10">
        <v>2.3653</v>
      </c>
      <c r="D312" s="10">
        <v>2.5543</v>
      </c>
      <c r="E312" s="10">
        <v>2.8812000000000002</v>
      </c>
      <c r="F312" s="10">
        <v>1.8940999999999999</v>
      </c>
      <c r="G312" s="10">
        <v>2.3216000000000001</v>
      </c>
      <c r="H312" s="11">
        <v>1.85</v>
      </c>
      <c r="J312" s="8">
        <v>45174</v>
      </c>
      <c r="K312" s="11">
        <v>1766.2026000000001</v>
      </c>
      <c r="L312" s="11">
        <v>2373.9956000000002</v>
      </c>
      <c r="M312" s="11">
        <v>2907.3957</v>
      </c>
      <c r="N312" s="11">
        <v>3087.3580000000002</v>
      </c>
      <c r="O312" s="3">
        <f t="shared" si="41"/>
        <v>2.3625416010215172E-2</v>
      </c>
      <c r="P312" s="3">
        <f t="shared" si="42"/>
        <v>2.6250268234823793E-2</v>
      </c>
      <c r="Q312" s="3">
        <f t="shared" si="43"/>
        <v>2.3614858583458576E-2</v>
      </c>
      <c r="R312" s="3">
        <f t="shared" si="44"/>
        <v>2.444411188804696E-2</v>
      </c>
      <c r="S312" s="15">
        <f t="shared" si="37"/>
        <v>1.0236254160102152</v>
      </c>
      <c r="T312" s="15">
        <f t="shared" si="38"/>
        <v>1.0262502682348238</v>
      </c>
      <c r="U312" s="15">
        <f t="shared" si="39"/>
        <v>1.0236148585834586</v>
      </c>
      <c r="V312" s="15">
        <f t="shared" si="40"/>
        <v>1.024444111888047</v>
      </c>
    </row>
    <row r="313" spans="1:22" x14ac:dyDescent="0.25">
      <c r="A313" s="6">
        <v>45163</v>
      </c>
      <c r="B313" s="10">
        <v>1.8951</v>
      </c>
      <c r="C313" s="10">
        <v>2.3877000000000002</v>
      </c>
      <c r="D313" s="10">
        <v>2.5701999999999998</v>
      </c>
      <c r="E313" s="10">
        <v>2.8877000000000002</v>
      </c>
      <c r="F313" s="10">
        <v>1.9159999999999999</v>
      </c>
      <c r="G313" s="10">
        <v>2.3389000000000002</v>
      </c>
      <c r="H313" s="11">
        <v>2.15</v>
      </c>
      <c r="J313" s="8">
        <v>45175</v>
      </c>
      <c r="K313" s="11">
        <v>1765.7827</v>
      </c>
      <c r="L313" s="11">
        <v>2372.77</v>
      </c>
      <c r="M313" s="11">
        <v>2905.9115999999999</v>
      </c>
      <c r="N313" s="11">
        <v>3085.7896999999998</v>
      </c>
      <c r="O313" s="3">
        <f t="shared" si="41"/>
        <v>2.338205756867362E-2</v>
      </c>
      <c r="P313" s="3">
        <f t="shared" si="42"/>
        <v>2.5720455825420485E-2</v>
      </c>
      <c r="Q313" s="3">
        <f t="shared" si="43"/>
        <v>2.3092347384991774E-2</v>
      </c>
      <c r="R313" s="3">
        <f t="shared" si="44"/>
        <v>2.3923720115964109E-2</v>
      </c>
      <c r="S313" s="15">
        <f t="shared" si="37"/>
        <v>1.0233820575686736</v>
      </c>
      <c r="T313" s="15">
        <f t="shared" si="38"/>
        <v>1.0257204558254205</v>
      </c>
      <c r="U313" s="15">
        <f t="shared" si="39"/>
        <v>1.0230923473849918</v>
      </c>
      <c r="V313" s="15">
        <f t="shared" si="40"/>
        <v>1.0239237201159641</v>
      </c>
    </row>
    <row r="314" spans="1:22" x14ac:dyDescent="0.25">
      <c r="A314" s="6">
        <v>45166</v>
      </c>
      <c r="B314" s="10">
        <v>1.9245000000000001</v>
      </c>
      <c r="C314" s="10">
        <v>2.4075000000000002</v>
      </c>
      <c r="D314" s="10">
        <v>2.5836999999999999</v>
      </c>
      <c r="E314" s="10">
        <v>2.8955000000000002</v>
      </c>
      <c r="F314" s="10">
        <v>1.9400999999999999</v>
      </c>
      <c r="G314" s="10">
        <v>2.3773</v>
      </c>
      <c r="H314" s="11">
        <v>2.2000000000000002</v>
      </c>
      <c r="J314" s="8">
        <v>45176</v>
      </c>
      <c r="K314" s="11">
        <v>1765.0305000000001</v>
      </c>
      <c r="L314" s="11">
        <v>2371.2844</v>
      </c>
      <c r="M314" s="11">
        <v>2901.3827000000001</v>
      </c>
      <c r="N314" s="11">
        <v>3082.0461</v>
      </c>
      <c r="O314" s="3">
        <f t="shared" si="41"/>
        <v>2.2946110391422803E-2</v>
      </c>
      <c r="P314" s="3">
        <f t="shared" si="42"/>
        <v>2.5078248485824073E-2</v>
      </c>
      <c r="Q314" s="3">
        <f t="shared" si="43"/>
        <v>2.1497845015383765E-2</v>
      </c>
      <c r="R314" s="3">
        <f t="shared" si="44"/>
        <v>2.2681522425491041E-2</v>
      </c>
      <c r="S314" s="15">
        <f t="shared" si="37"/>
        <v>1.0229461103914228</v>
      </c>
      <c r="T314" s="15">
        <f t="shared" si="38"/>
        <v>1.0250782484858241</v>
      </c>
      <c r="U314" s="15">
        <f t="shared" si="39"/>
        <v>1.0214978450153838</v>
      </c>
      <c r="V314" s="15">
        <f t="shared" si="40"/>
        <v>1.022681522425491</v>
      </c>
    </row>
    <row r="315" spans="1:22" x14ac:dyDescent="0.25">
      <c r="A315" s="6">
        <v>45167</v>
      </c>
      <c r="B315" s="10">
        <v>1.9902</v>
      </c>
      <c r="C315" s="10">
        <v>2.4203000000000001</v>
      </c>
      <c r="D315" s="10">
        <v>2.57</v>
      </c>
      <c r="E315" s="10">
        <v>2.9005999999999998</v>
      </c>
      <c r="F315" s="10">
        <v>1.9459</v>
      </c>
      <c r="G315" s="10">
        <v>2.3744000000000001</v>
      </c>
      <c r="H315" s="11">
        <v>2.25</v>
      </c>
      <c r="J315" s="8">
        <v>45177</v>
      </c>
      <c r="K315" s="11">
        <v>1764.4609</v>
      </c>
      <c r="L315" s="11">
        <v>2369.8132999999998</v>
      </c>
      <c r="M315" s="11">
        <v>2899.4038999999998</v>
      </c>
      <c r="N315" s="11">
        <v>3080.0911999999998</v>
      </c>
      <c r="O315" s="3">
        <f t="shared" si="41"/>
        <v>2.2615991390941614E-2</v>
      </c>
      <c r="P315" s="3">
        <f t="shared" si="42"/>
        <v>2.4442309325026779E-2</v>
      </c>
      <c r="Q315" s="3">
        <f t="shared" si="43"/>
        <v>2.0801163417428103E-2</v>
      </c>
      <c r="R315" s="3">
        <f t="shared" si="44"/>
        <v>2.2032849419532319E-2</v>
      </c>
      <c r="S315" s="15">
        <f t="shared" si="37"/>
        <v>1.0226159913909416</v>
      </c>
      <c r="T315" s="15">
        <f t="shared" si="38"/>
        <v>1.0244423093250268</v>
      </c>
      <c r="U315" s="15">
        <f t="shared" si="39"/>
        <v>1.0208011634174281</v>
      </c>
      <c r="V315" s="15">
        <f t="shared" si="40"/>
        <v>1.0220328494195323</v>
      </c>
    </row>
    <row r="316" spans="1:22" x14ac:dyDescent="0.25">
      <c r="A316" s="6">
        <v>45168</v>
      </c>
      <c r="B316" s="10">
        <v>1.9392</v>
      </c>
      <c r="C316" s="10">
        <v>2.3988999999999998</v>
      </c>
      <c r="D316" s="10">
        <v>2.56</v>
      </c>
      <c r="E316" s="10">
        <v>2.9026000000000001</v>
      </c>
      <c r="F316" s="10">
        <v>1.9393</v>
      </c>
      <c r="G316" s="10">
        <v>2.363</v>
      </c>
      <c r="H316" s="11">
        <v>2.4</v>
      </c>
      <c r="J316" s="8">
        <v>45180</v>
      </c>
      <c r="K316" s="11">
        <v>1763.9920999999999</v>
      </c>
      <c r="L316" s="11">
        <v>2368.9956000000002</v>
      </c>
      <c r="M316" s="11">
        <v>2899.4306000000001</v>
      </c>
      <c r="N316" s="11">
        <v>3079.9041999999999</v>
      </c>
      <c r="O316" s="3">
        <f t="shared" si="41"/>
        <v>2.2344292325938708E-2</v>
      </c>
      <c r="P316" s="3">
        <f t="shared" si="42"/>
        <v>2.408882726956918E-2</v>
      </c>
      <c r="Q316" s="3">
        <f t="shared" si="43"/>
        <v>2.0810563760396361E-2</v>
      </c>
      <c r="R316" s="3">
        <f t="shared" si="44"/>
        <v>2.1970799262432728E-2</v>
      </c>
      <c r="S316" s="15">
        <f t="shared" si="37"/>
        <v>1.0223442923259387</v>
      </c>
      <c r="T316" s="15">
        <f t="shared" si="38"/>
        <v>1.0240888272695692</v>
      </c>
      <c r="U316" s="15">
        <f t="shared" si="39"/>
        <v>1.0208105637603964</v>
      </c>
      <c r="V316" s="15">
        <f t="shared" si="40"/>
        <v>1.0219707992624327</v>
      </c>
    </row>
    <row r="317" spans="1:22" x14ac:dyDescent="0.25">
      <c r="A317" s="6">
        <v>45169</v>
      </c>
      <c r="B317" s="10">
        <v>1.9051</v>
      </c>
      <c r="C317" s="10">
        <v>2.3996</v>
      </c>
      <c r="D317" s="10">
        <v>2.5575000000000001</v>
      </c>
      <c r="E317" s="10">
        <v>2.9026999999999998</v>
      </c>
      <c r="F317" s="10">
        <v>1.9358</v>
      </c>
      <c r="G317" s="10">
        <v>2.3582999999999998</v>
      </c>
      <c r="H317" s="11">
        <v>2.2799999999999998</v>
      </c>
      <c r="J317" s="8">
        <v>45181</v>
      </c>
      <c r="K317" s="11">
        <v>1764.1724999999999</v>
      </c>
      <c r="L317" s="11">
        <v>2369.6523000000002</v>
      </c>
      <c r="M317" s="11">
        <v>2899.9122000000002</v>
      </c>
      <c r="N317" s="11">
        <v>3080.5385000000001</v>
      </c>
      <c r="O317" s="3">
        <f t="shared" si="41"/>
        <v>2.244884546443382E-2</v>
      </c>
      <c r="P317" s="3">
        <f t="shared" si="42"/>
        <v>2.4372710925945729E-2</v>
      </c>
      <c r="Q317" s="3">
        <f t="shared" si="43"/>
        <v>2.0980122006593716E-2</v>
      </c>
      <c r="R317" s="3">
        <f t="shared" si="44"/>
        <v>2.2181272068038993E-2</v>
      </c>
      <c r="S317" s="15">
        <f t="shared" si="37"/>
        <v>1.0224488454644338</v>
      </c>
      <c r="T317" s="15">
        <f t="shared" si="38"/>
        <v>1.0243727109259457</v>
      </c>
      <c r="U317" s="15">
        <f t="shared" si="39"/>
        <v>1.0209801220065937</v>
      </c>
      <c r="V317" s="15">
        <f t="shared" si="40"/>
        <v>1.022181272068039</v>
      </c>
    </row>
    <row r="318" spans="1:22" x14ac:dyDescent="0.25">
      <c r="A318" s="6">
        <v>45170</v>
      </c>
      <c r="B318" s="10">
        <v>1.9578</v>
      </c>
      <c r="C318" s="10">
        <v>2.4382000000000001</v>
      </c>
      <c r="D318" s="10">
        <v>2.585</v>
      </c>
      <c r="E318" s="10">
        <v>2.9279999999999999</v>
      </c>
      <c r="F318" s="10">
        <v>1.9549000000000001</v>
      </c>
      <c r="G318" s="10">
        <v>2.3988999999999998</v>
      </c>
      <c r="H318" s="11">
        <v>1.95</v>
      </c>
      <c r="J318" s="8">
        <v>45182</v>
      </c>
      <c r="K318" s="11">
        <v>1764.7493999999999</v>
      </c>
      <c r="L318" s="11">
        <v>2371.0533999999998</v>
      </c>
      <c r="M318" s="11">
        <v>2900.0464000000002</v>
      </c>
      <c r="N318" s="11">
        <v>3081.1898000000001</v>
      </c>
      <c r="O318" s="3">
        <f t="shared" si="41"/>
        <v>2.2783195273734513E-2</v>
      </c>
      <c r="P318" s="3">
        <f t="shared" si="42"/>
        <v>2.4978389913229204E-2</v>
      </c>
      <c r="Q318" s="3">
        <f t="shared" si="43"/>
        <v>2.1027370172373772E-2</v>
      </c>
      <c r="R318" s="3">
        <f t="shared" si="44"/>
        <v>2.2397385797017888E-2</v>
      </c>
      <c r="S318" s="15">
        <f t="shared" si="37"/>
        <v>1.0227831952737345</v>
      </c>
      <c r="T318" s="15">
        <f t="shared" si="38"/>
        <v>1.0249783899132292</v>
      </c>
      <c r="U318" s="15">
        <f t="shared" si="39"/>
        <v>1.0210273701723738</v>
      </c>
      <c r="V318" s="15">
        <f t="shared" si="40"/>
        <v>1.0223973857970179</v>
      </c>
    </row>
    <row r="319" spans="1:22" x14ac:dyDescent="0.25">
      <c r="A319" s="6">
        <v>45173</v>
      </c>
      <c r="B319" s="10">
        <v>1.9822</v>
      </c>
      <c r="C319" s="10">
        <v>2.4691000000000001</v>
      </c>
      <c r="D319" s="10">
        <v>2.6124000000000001</v>
      </c>
      <c r="E319" s="10">
        <v>2.9611000000000001</v>
      </c>
      <c r="F319" s="10">
        <v>1.9782</v>
      </c>
      <c r="G319" s="10">
        <v>2.444</v>
      </c>
      <c r="H319" s="11">
        <v>1.86</v>
      </c>
      <c r="J319" s="8">
        <v>45183</v>
      </c>
      <c r="K319" s="11">
        <v>1765.1833999999999</v>
      </c>
      <c r="L319" s="11">
        <v>2371.9031</v>
      </c>
      <c r="M319" s="11">
        <v>2900.57</v>
      </c>
      <c r="N319" s="11">
        <v>3081.9457000000002</v>
      </c>
      <c r="O319" s="3">
        <f t="shared" si="41"/>
        <v>2.3034725551488666E-2</v>
      </c>
      <c r="P319" s="3">
        <f t="shared" si="42"/>
        <v>2.5345705190864765E-2</v>
      </c>
      <c r="Q319" s="3">
        <f t="shared" si="43"/>
        <v>2.1211715474925619E-2</v>
      </c>
      <c r="R319" s="3">
        <f t="shared" si="44"/>
        <v>2.2648207795689768E-2</v>
      </c>
      <c r="S319" s="15">
        <f t="shared" si="37"/>
        <v>1.0230347255514887</v>
      </c>
      <c r="T319" s="15">
        <f t="shared" si="38"/>
        <v>1.0253457051908648</v>
      </c>
      <c r="U319" s="15">
        <f t="shared" si="39"/>
        <v>1.0212117154749256</v>
      </c>
      <c r="V319" s="15">
        <f t="shared" si="40"/>
        <v>1.0226482077956898</v>
      </c>
    </row>
    <row r="320" spans="1:22" x14ac:dyDescent="0.25">
      <c r="A320" s="6">
        <v>45174</v>
      </c>
      <c r="B320" s="10">
        <v>1.9928999999999999</v>
      </c>
      <c r="C320" s="10">
        <v>2.4697</v>
      </c>
      <c r="D320" s="10">
        <v>2.6150000000000002</v>
      </c>
      <c r="E320" s="10">
        <v>2.9666000000000001</v>
      </c>
      <c r="F320" s="10">
        <v>1.9762</v>
      </c>
      <c r="G320" s="10">
        <v>2.4361999999999999</v>
      </c>
      <c r="H320" s="11">
        <v>1.85</v>
      </c>
      <c r="J320" s="8">
        <v>45184</v>
      </c>
      <c r="K320" s="11">
        <v>1765.4045000000001</v>
      </c>
      <c r="L320" s="11">
        <v>2372.0927000000001</v>
      </c>
      <c r="M320" s="11">
        <v>2900.6655000000001</v>
      </c>
      <c r="N320" s="11">
        <v>3082.0927999999999</v>
      </c>
      <c r="O320" s="3">
        <f t="shared" si="41"/>
        <v>2.316286689805902E-2</v>
      </c>
      <c r="P320" s="3">
        <f t="shared" si="42"/>
        <v>2.5427667032267287E-2</v>
      </c>
      <c r="Q320" s="3">
        <f t="shared" si="43"/>
        <v>2.1245338424493498E-2</v>
      </c>
      <c r="R320" s="3">
        <f t="shared" si="44"/>
        <v>2.2697018373814659E-2</v>
      </c>
      <c r="S320" s="15">
        <f t="shared" si="37"/>
        <v>1.023162866898059</v>
      </c>
      <c r="T320" s="15">
        <f t="shared" si="38"/>
        <v>1.0254276670322673</v>
      </c>
      <c r="U320" s="15">
        <f t="shared" si="39"/>
        <v>1.0212453384244935</v>
      </c>
      <c r="V320" s="15">
        <f t="shared" si="40"/>
        <v>1.0226970183738147</v>
      </c>
    </row>
    <row r="321" spans="1:22" x14ac:dyDescent="0.25">
      <c r="A321" s="6">
        <v>45175</v>
      </c>
      <c r="B321" s="10">
        <v>2.0800999999999998</v>
      </c>
      <c r="C321" s="10">
        <v>2.5038999999999998</v>
      </c>
      <c r="D321" s="10">
        <v>2.6375000000000002</v>
      </c>
      <c r="E321" s="10">
        <v>2.9868999999999999</v>
      </c>
      <c r="F321" s="10">
        <v>2.0074999999999998</v>
      </c>
      <c r="G321" s="10">
        <v>2.4655</v>
      </c>
      <c r="H321" s="11">
        <v>1.88</v>
      </c>
      <c r="J321" s="8">
        <v>45187</v>
      </c>
      <c r="K321" s="11">
        <v>1765.4258</v>
      </c>
      <c r="L321" s="11">
        <v>2371.6268</v>
      </c>
      <c r="M321" s="11">
        <v>2900.5122999999999</v>
      </c>
      <c r="N321" s="11">
        <v>3081.6882999999998</v>
      </c>
      <c r="O321" s="3">
        <f t="shared" si="41"/>
        <v>2.3175211586806022E-2</v>
      </c>
      <c r="P321" s="3">
        <f t="shared" si="42"/>
        <v>2.5226263963124662E-2</v>
      </c>
      <c r="Q321" s="3">
        <f t="shared" si="43"/>
        <v>2.1191400876076738E-2</v>
      </c>
      <c r="R321" s="3">
        <f t="shared" si="44"/>
        <v>2.2562797579446681E-2</v>
      </c>
      <c r="S321" s="15">
        <f t="shared" si="37"/>
        <v>1.023175211586806</v>
      </c>
      <c r="T321" s="15">
        <f t="shared" si="38"/>
        <v>1.0252262639631247</v>
      </c>
      <c r="U321" s="15">
        <f t="shared" si="39"/>
        <v>1.0211914008760767</v>
      </c>
      <c r="V321" s="15">
        <f t="shared" si="40"/>
        <v>1.0225627975794467</v>
      </c>
    </row>
    <row r="322" spans="1:22" x14ac:dyDescent="0.25">
      <c r="A322" s="6">
        <v>45176</v>
      </c>
      <c r="B322" s="10">
        <v>2.0874000000000001</v>
      </c>
      <c r="C322" s="10">
        <v>2.4986000000000002</v>
      </c>
      <c r="D322" s="10">
        <v>2.6349999999999998</v>
      </c>
      <c r="E322" s="10">
        <v>2.9834000000000001</v>
      </c>
      <c r="F322" s="10">
        <v>2.0472000000000001</v>
      </c>
      <c r="G322" s="10">
        <v>2.4887000000000001</v>
      </c>
      <c r="H322" s="11">
        <v>2</v>
      </c>
      <c r="J322" s="8">
        <v>45188</v>
      </c>
      <c r="K322" s="11">
        <v>1765.4566</v>
      </c>
      <c r="L322" s="11">
        <v>2371.5005999999998</v>
      </c>
      <c r="M322" s="11">
        <v>2899.8015</v>
      </c>
      <c r="N322" s="11">
        <v>3081.4213</v>
      </c>
      <c r="O322" s="3">
        <f t="shared" si="41"/>
        <v>2.3193062122646602E-2</v>
      </c>
      <c r="P322" s="3">
        <f t="shared" si="42"/>
        <v>2.5171709193161584E-2</v>
      </c>
      <c r="Q322" s="3">
        <f t="shared" si="43"/>
        <v>2.0941147550916694E-2</v>
      </c>
      <c r="R322" s="3">
        <f t="shared" si="44"/>
        <v>2.2474201900593016E-2</v>
      </c>
      <c r="S322" s="15">
        <f t="shared" si="37"/>
        <v>1.0231930621226466</v>
      </c>
      <c r="T322" s="15">
        <f t="shared" si="38"/>
        <v>1.0251717091931616</v>
      </c>
      <c r="U322" s="15">
        <f t="shared" si="39"/>
        <v>1.0209411475509167</v>
      </c>
      <c r="V322" s="15">
        <f t="shared" si="40"/>
        <v>1.022474201900593</v>
      </c>
    </row>
    <row r="323" spans="1:22" x14ac:dyDescent="0.25">
      <c r="A323" s="6">
        <v>45177</v>
      </c>
      <c r="B323" s="10">
        <v>2.0952000000000002</v>
      </c>
      <c r="C323" s="10">
        <v>2.4929999999999999</v>
      </c>
      <c r="D323" s="10">
        <v>2.6375000000000002</v>
      </c>
      <c r="E323" s="10">
        <v>2.9849000000000001</v>
      </c>
      <c r="F323" s="10">
        <v>2.0459999999999998</v>
      </c>
      <c r="G323" s="10">
        <v>2.4866999999999999</v>
      </c>
      <c r="H323" s="11">
        <v>2</v>
      </c>
      <c r="J323" s="8">
        <v>45189</v>
      </c>
      <c r="K323" s="11">
        <v>1765.6270999999999</v>
      </c>
      <c r="L323" s="11">
        <v>2371.7240000000002</v>
      </c>
      <c r="M323" s="11">
        <v>2899.4639000000002</v>
      </c>
      <c r="N323" s="11">
        <v>3081.6853000000001</v>
      </c>
      <c r="O323" s="3">
        <f t="shared" si="41"/>
        <v>2.3291877588907273E-2</v>
      </c>
      <c r="P323" s="3">
        <f t="shared" si="42"/>
        <v>2.5268282375489282E-2</v>
      </c>
      <c r="Q323" s="3">
        <f t="shared" si="43"/>
        <v>2.0822287783648807E-2</v>
      </c>
      <c r="R323" s="3">
        <f t="shared" si="44"/>
        <v>2.2561802122381014E-2</v>
      </c>
      <c r="S323" s="15">
        <f t="shared" si="37"/>
        <v>1.0232918775889073</v>
      </c>
      <c r="T323" s="15">
        <f t="shared" si="38"/>
        <v>1.0252682823754893</v>
      </c>
      <c r="U323" s="15">
        <f t="shared" si="39"/>
        <v>1.0208222877836488</v>
      </c>
      <c r="V323" s="15">
        <f t="shared" si="40"/>
        <v>1.022561802122381</v>
      </c>
    </row>
    <row r="324" spans="1:22" x14ac:dyDescent="0.25">
      <c r="A324" s="6">
        <v>45180</v>
      </c>
      <c r="B324" s="10">
        <v>2.1352000000000002</v>
      </c>
      <c r="C324" s="10">
        <v>2.4929999999999999</v>
      </c>
      <c r="D324" s="10">
        <v>2.63</v>
      </c>
      <c r="E324" s="10">
        <v>2.9830000000000001</v>
      </c>
      <c r="F324" s="10">
        <v>2.0687000000000002</v>
      </c>
      <c r="G324" s="10">
        <v>2.4962</v>
      </c>
      <c r="H324" s="11">
        <v>2.0499999999999998</v>
      </c>
      <c r="J324" s="8">
        <v>45190</v>
      </c>
      <c r="K324" s="11">
        <v>1766.0428999999999</v>
      </c>
      <c r="L324" s="11">
        <v>2372.5949999999998</v>
      </c>
      <c r="M324" s="11">
        <v>2899.3935000000001</v>
      </c>
      <c r="N324" s="11">
        <v>3082.0518000000002</v>
      </c>
      <c r="O324" s="3">
        <f t="shared" si="41"/>
        <v>2.3532859822755769E-2</v>
      </c>
      <c r="P324" s="3">
        <f t="shared" si="42"/>
        <v>2.5644805391636494E-2</v>
      </c>
      <c r="Q324" s="3">
        <f t="shared" si="43"/>
        <v>2.0797501860616574E-2</v>
      </c>
      <c r="R324" s="3">
        <f t="shared" si="44"/>
        <v>2.268341379391603E-2</v>
      </c>
      <c r="S324" s="15">
        <f t="shared" ref="S324:S387" si="45">(O324+1)</f>
        <v>1.0235328598227558</v>
      </c>
      <c r="T324" s="15">
        <f t="shared" ref="T324:T387" si="46">(P324+1)</f>
        <v>1.0256448053916365</v>
      </c>
      <c r="U324" s="15">
        <f t="shared" ref="U324:U387" si="47">(Q324+1)</f>
        <v>1.0207975018606166</v>
      </c>
      <c r="V324" s="15">
        <f t="shared" ref="V324:V387" si="48">(R324+1)</f>
        <v>1.022683413793916</v>
      </c>
    </row>
    <row r="325" spans="1:22" x14ac:dyDescent="0.25">
      <c r="A325" s="6">
        <v>45181</v>
      </c>
      <c r="B325" s="10">
        <v>2.1252</v>
      </c>
      <c r="C325" s="10">
        <v>2.4807999999999999</v>
      </c>
      <c r="D325" s="10">
        <v>2.6230000000000002</v>
      </c>
      <c r="E325" s="10">
        <v>2.9824000000000002</v>
      </c>
      <c r="F325" s="10">
        <v>2.0333000000000001</v>
      </c>
      <c r="G325" s="10">
        <v>2.4618000000000002</v>
      </c>
      <c r="H325" s="11">
        <v>2</v>
      </c>
      <c r="J325" s="8">
        <v>45191</v>
      </c>
      <c r="K325" s="11">
        <v>1766.1819</v>
      </c>
      <c r="L325" s="11">
        <v>2372.6392000000001</v>
      </c>
      <c r="M325" s="11">
        <v>2901.5117</v>
      </c>
      <c r="N325" s="11">
        <v>3082.6179999999999</v>
      </c>
      <c r="O325" s="3">
        <f t="shared" si="41"/>
        <v>2.3613419059179463E-2</v>
      </c>
      <c r="P325" s="3">
        <f t="shared" si="42"/>
        <v>2.5663912529769517E-2</v>
      </c>
      <c r="Q325" s="3">
        <f t="shared" si="43"/>
        <v>2.1543262402758057E-2</v>
      </c>
      <c r="R325" s="3">
        <f t="shared" si="44"/>
        <v>2.2871289724128996E-2</v>
      </c>
      <c r="S325" s="15">
        <f t="shared" si="45"/>
        <v>1.0236134190591795</v>
      </c>
      <c r="T325" s="15">
        <f t="shared" si="46"/>
        <v>1.0256639125297695</v>
      </c>
      <c r="U325" s="15">
        <f t="shared" si="47"/>
        <v>1.0215432624027581</v>
      </c>
      <c r="V325" s="15">
        <f t="shared" si="48"/>
        <v>1.022871289724129</v>
      </c>
    </row>
    <row r="326" spans="1:22" x14ac:dyDescent="0.25">
      <c r="A326" s="6">
        <v>45182</v>
      </c>
      <c r="B326" s="10">
        <v>2.1027</v>
      </c>
      <c r="C326" s="10">
        <v>2.4685000000000001</v>
      </c>
      <c r="D326" s="10">
        <v>2.6150000000000002</v>
      </c>
      <c r="E326" s="10">
        <v>2.9731999999999998</v>
      </c>
      <c r="F326" s="10">
        <v>2.0084</v>
      </c>
      <c r="G326" s="10">
        <v>2.4390999999999998</v>
      </c>
      <c r="H326" s="11">
        <v>1.98</v>
      </c>
      <c r="J326" s="8">
        <v>45194</v>
      </c>
      <c r="K326" s="11">
        <v>1766.3182999999999</v>
      </c>
      <c r="L326" s="11">
        <v>2372.4472000000001</v>
      </c>
      <c r="M326" s="11">
        <v>2900.7647999999999</v>
      </c>
      <c r="N326" s="11">
        <v>3082.0531000000001</v>
      </c>
      <c r="O326" s="3">
        <f t="shared" si="41"/>
        <v>2.3692471432187778E-2</v>
      </c>
      <c r="P326" s="3">
        <f t="shared" si="42"/>
        <v>2.5580913196703747E-2</v>
      </c>
      <c r="Q326" s="3">
        <f t="shared" si="43"/>
        <v>2.1280299250588497E-2</v>
      </c>
      <c r="R326" s="3">
        <f t="shared" si="44"/>
        <v>2.2683845158644411E-2</v>
      </c>
      <c r="S326" s="15">
        <f t="shared" si="45"/>
        <v>1.0236924714321878</v>
      </c>
      <c r="T326" s="15">
        <f t="shared" si="46"/>
        <v>1.0255809131967037</v>
      </c>
      <c r="U326" s="15">
        <f t="shared" si="47"/>
        <v>1.0212802992505885</v>
      </c>
      <c r="V326" s="15">
        <f t="shared" si="48"/>
        <v>1.0226838451586444</v>
      </c>
    </row>
    <row r="327" spans="1:22" x14ac:dyDescent="0.25">
      <c r="A327" s="6">
        <v>45183</v>
      </c>
      <c r="B327" s="10">
        <v>2.1027</v>
      </c>
      <c r="C327" s="10">
        <v>2.4620000000000002</v>
      </c>
      <c r="D327" s="10">
        <v>2.6074999999999999</v>
      </c>
      <c r="E327" s="10">
        <v>2.9544999999999999</v>
      </c>
      <c r="F327" s="10">
        <v>2.0137999999999998</v>
      </c>
      <c r="G327" s="10">
        <v>2.4340999999999999</v>
      </c>
      <c r="H327" s="11">
        <v>2.0499999999999998</v>
      </c>
      <c r="J327" s="8">
        <v>45195</v>
      </c>
      <c r="K327" s="11">
        <v>1766.0313000000001</v>
      </c>
      <c r="L327" s="11">
        <v>2371.9762999999998</v>
      </c>
      <c r="M327" s="11">
        <v>2900.0194999999999</v>
      </c>
      <c r="N327" s="11">
        <v>3081.2098999999998</v>
      </c>
      <c r="O327" s="3">
        <f t="shared" si="41"/>
        <v>2.3526136893673E-2</v>
      </c>
      <c r="P327" s="3">
        <f t="shared" si="42"/>
        <v>2.5377348686596024E-2</v>
      </c>
      <c r="Q327" s="3">
        <f t="shared" si="43"/>
        <v>2.1017899414851549E-2</v>
      </c>
      <c r="R327" s="3">
        <f t="shared" si="44"/>
        <v>2.2404055359358299E-2</v>
      </c>
      <c r="S327" s="15">
        <f t="shared" si="45"/>
        <v>1.023526136893673</v>
      </c>
      <c r="T327" s="15">
        <f t="shared" si="46"/>
        <v>1.025377348686596</v>
      </c>
      <c r="U327" s="15">
        <f t="shared" si="47"/>
        <v>1.0210178994148515</v>
      </c>
      <c r="V327" s="15">
        <f t="shared" si="48"/>
        <v>1.0224040553593583</v>
      </c>
    </row>
    <row r="328" spans="1:22" x14ac:dyDescent="0.25">
      <c r="A328" s="6">
        <v>45184</v>
      </c>
      <c r="B328" s="10">
        <v>2.1326999999999998</v>
      </c>
      <c r="C328" s="10">
        <v>2.4939</v>
      </c>
      <c r="D328" s="10">
        <v>2.64</v>
      </c>
      <c r="E328" s="10">
        <v>2.984</v>
      </c>
      <c r="F328" s="10">
        <v>2.0089000000000001</v>
      </c>
      <c r="G328" s="10">
        <v>2.4422999999999999</v>
      </c>
      <c r="H328" s="11">
        <v>2</v>
      </c>
      <c r="J328" s="8">
        <v>45196</v>
      </c>
      <c r="K328" s="11">
        <v>1766.0848000000001</v>
      </c>
      <c r="L328" s="11">
        <v>2372.1217999999999</v>
      </c>
      <c r="M328" s="11">
        <v>2900.6426999999999</v>
      </c>
      <c r="N328" s="11">
        <v>3081.748</v>
      </c>
      <c r="O328" s="3">
        <f t="shared" si="41"/>
        <v>2.3557143506253375E-2</v>
      </c>
      <c r="P328" s="3">
        <f t="shared" si="42"/>
        <v>2.5440246618684936E-2</v>
      </c>
      <c r="Q328" s="3">
        <f t="shared" si="43"/>
        <v>2.1237311165329453E-2</v>
      </c>
      <c r="R328" s="3">
        <f t="shared" si="44"/>
        <v>2.2582607175055447E-2</v>
      </c>
      <c r="S328" s="15">
        <f t="shared" si="45"/>
        <v>1.0235571435062534</v>
      </c>
      <c r="T328" s="15">
        <f t="shared" si="46"/>
        <v>1.0254402466186849</v>
      </c>
      <c r="U328" s="15">
        <f t="shared" si="47"/>
        <v>1.0212373111653295</v>
      </c>
      <c r="V328" s="15">
        <f t="shared" si="48"/>
        <v>1.0225826071750554</v>
      </c>
    </row>
    <row r="329" spans="1:22" x14ac:dyDescent="0.25">
      <c r="A329" s="6">
        <v>45187</v>
      </c>
      <c r="B329" s="10">
        <v>2.1726999999999999</v>
      </c>
      <c r="C329" s="10">
        <v>2.5125999999999999</v>
      </c>
      <c r="D329" s="10">
        <v>2.65</v>
      </c>
      <c r="E329" s="10">
        <v>2.9841000000000002</v>
      </c>
      <c r="F329" s="10">
        <v>2.0505</v>
      </c>
      <c r="G329" s="10">
        <v>2.4857999999999998</v>
      </c>
      <c r="H329" s="11">
        <v>2.08</v>
      </c>
      <c r="J329" s="8">
        <v>45197</v>
      </c>
      <c r="K329" s="11">
        <v>1766.8168000000001</v>
      </c>
      <c r="L329" s="11">
        <v>2373.6136000000001</v>
      </c>
      <c r="M329" s="11">
        <v>2902.9025000000001</v>
      </c>
      <c r="N329" s="11">
        <v>3083.5329999999999</v>
      </c>
      <c r="O329" s="3">
        <f t="shared" si="41"/>
        <v>2.3981383513894228E-2</v>
      </c>
      <c r="P329" s="3">
        <f t="shared" si="42"/>
        <v>2.6085134145078293E-2</v>
      </c>
      <c r="Q329" s="3">
        <f t="shared" si="43"/>
        <v>2.2032925211751708E-2</v>
      </c>
      <c r="R329" s="3">
        <f t="shared" si="44"/>
        <v>2.31749041291891E-2</v>
      </c>
      <c r="S329" s="15">
        <f t="shared" si="45"/>
        <v>1.0239813835138942</v>
      </c>
      <c r="T329" s="15">
        <f t="shared" si="46"/>
        <v>1.0260851341450783</v>
      </c>
      <c r="U329" s="15">
        <f t="shared" si="47"/>
        <v>1.0220329252117517</v>
      </c>
      <c r="V329" s="15">
        <f t="shared" si="48"/>
        <v>1.0231749041291891</v>
      </c>
    </row>
    <row r="330" spans="1:22" x14ac:dyDescent="0.25">
      <c r="A330" s="6">
        <v>45188</v>
      </c>
      <c r="B330" s="10">
        <v>2.1877</v>
      </c>
      <c r="C330" s="10">
        <v>2.5234000000000001</v>
      </c>
      <c r="D330" s="10">
        <v>2.6625000000000001</v>
      </c>
      <c r="E330" s="10">
        <v>2.9895</v>
      </c>
      <c r="F330" s="10">
        <v>2.0596999999999999</v>
      </c>
      <c r="G330" s="10">
        <v>2.4777999999999998</v>
      </c>
      <c r="H330" s="11">
        <v>2.15</v>
      </c>
      <c r="J330" s="8">
        <v>45208</v>
      </c>
      <c r="K330" s="11">
        <v>1768.4093</v>
      </c>
      <c r="L330" s="11">
        <v>2375.2757999999999</v>
      </c>
      <c r="M330" s="11">
        <v>2904.3492000000001</v>
      </c>
      <c r="N330" s="11">
        <v>3085.2204999999999</v>
      </c>
      <c r="O330" s="3">
        <f t="shared" si="41"/>
        <v>2.4904337355654116E-2</v>
      </c>
      <c r="P330" s="3">
        <f t="shared" si="42"/>
        <v>2.6803683579567528E-2</v>
      </c>
      <c r="Q330" s="3">
        <f t="shared" si="43"/>
        <v>2.2542268888607442E-2</v>
      </c>
      <c r="R330" s="3">
        <f t="shared" si="44"/>
        <v>2.3734848728685254E-2</v>
      </c>
      <c r="S330" s="15">
        <f t="shared" si="45"/>
        <v>1.0249043373556541</v>
      </c>
      <c r="T330" s="15">
        <f t="shared" si="46"/>
        <v>1.0268036835795675</v>
      </c>
      <c r="U330" s="15">
        <f t="shared" si="47"/>
        <v>1.0225422688886074</v>
      </c>
      <c r="V330" s="15">
        <f t="shared" si="48"/>
        <v>1.0237348487286853</v>
      </c>
    </row>
    <row r="331" spans="1:22" x14ac:dyDescent="0.25">
      <c r="A331" s="6">
        <v>45189</v>
      </c>
      <c r="B331" s="10">
        <v>2.2077</v>
      </c>
      <c r="C331" s="10">
        <v>2.5211000000000001</v>
      </c>
      <c r="D331" s="10">
        <v>2.665</v>
      </c>
      <c r="E331" s="10">
        <v>2.9918999999999998</v>
      </c>
      <c r="F331" s="10">
        <v>2.0564</v>
      </c>
      <c r="G331" s="10">
        <v>2.4756999999999998</v>
      </c>
      <c r="H331" s="11">
        <v>2.15</v>
      </c>
      <c r="J331" s="8">
        <v>45209</v>
      </c>
      <c r="K331" s="11">
        <v>1768.318</v>
      </c>
      <c r="L331" s="11">
        <v>2374.7325000000001</v>
      </c>
      <c r="M331" s="11">
        <v>2902.8427000000001</v>
      </c>
      <c r="N331" s="11">
        <v>3083.8179</v>
      </c>
      <c r="O331" s="3">
        <f t="shared" si="41"/>
        <v>2.4851423267269412E-2</v>
      </c>
      <c r="P331" s="3">
        <f t="shared" si="42"/>
        <v>2.6568821404282961E-2</v>
      </c>
      <c r="Q331" s="3">
        <f t="shared" si="43"/>
        <v>2.201187126008497E-2</v>
      </c>
      <c r="R331" s="3">
        <f t="shared" si="44"/>
        <v>2.3269439368535094E-2</v>
      </c>
      <c r="S331" s="15">
        <f t="shared" si="45"/>
        <v>1.0248514232672694</v>
      </c>
      <c r="T331" s="15">
        <f t="shared" si="46"/>
        <v>1.026568821404283</v>
      </c>
      <c r="U331" s="15">
        <f t="shared" si="47"/>
        <v>1.022011871260085</v>
      </c>
      <c r="V331" s="15">
        <f t="shared" si="48"/>
        <v>1.0232694393685351</v>
      </c>
    </row>
    <row r="332" spans="1:22" x14ac:dyDescent="0.25">
      <c r="A332" s="6">
        <v>45190</v>
      </c>
      <c r="B332" s="10">
        <v>2.1877</v>
      </c>
      <c r="C332" s="10">
        <v>2.5091999999999999</v>
      </c>
      <c r="D332" s="10">
        <v>2.6576</v>
      </c>
      <c r="E332" s="10">
        <v>2.984</v>
      </c>
      <c r="F332" s="10">
        <v>2.0333000000000001</v>
      </c>
      <c r="G332" s="10">
        <v>2.4506000000000001</v>
      </c>
      <c r="H332" s="11">
        <v>2.15</v>
      </c>
      <c r="J332" s="8">
        <v>45210</v>
      </c>
      <c r="K332" s="11">
        <v>1768.1076</v>
      </c>
      <c r="L332" s="11">
        <v>2373.7624000000001</v>
      </c>
      <c r="M332" s="11">
        <v>2901.5749000000001</v>
      </c>
      <c r="N332" s="11">
        <v>3082.5335</v>
      </c>
      <c r="O332" s="3">
        <f t="shared" si="41"/>
        <v>2.4729483243215222E-2</v>
      </c>
      <c r="P332" s="3">
        <f t="shared" si="42"/>
        <v>2.6149458628204281E-2</v>
      </c>
      <c r="Q332" s="3">
        <f t="shared" si="43"/>
        <v>2.1565513401843761E-2</v>
      </c>
      <c r="R332" s="3">
        <f t="shared" si="44"/>
        <v>2.2843251016776422E-2</v>
      </c>
      <c r="S332" s="15">
        <f t="shared" si="45"/>
        <v>1.0247294832432152</v>
      </c>
      <c r="T332" s="15">
        <f t="shared" si="46"/>
        <v>1.0261494586282043</v>
      </c>
      <c r="U332" s="15">
        <f t="shared" si="47"/>
        <v>1.0215655134018438</v>
      </c>
      <c r="V332" s="15">
        <f t="shared" si="48"/>
        <v>1.0228432510167764</v>
      </c>
    </row>
    <row r="333" spans="1:22" x14ac:dyDescent="0.25">
      <c r="A333" s="6">
        <v>45191</v>
      </c>
      <c r="B333" s="10">
        <v>2.1977000000000002</v>
      </c>
      <c r="C333" s="10">
        <v>2.5295999999999998</v>
      </c>
      <c r="D333" s="10">
        <v>2.6776</v>
      </c>
      <c r="E333" s="10">
        <v>2.9971000000000001</v>
      </c>
      <c r="F333" s="10">
        <v>2.0287000000000002</v>
      </c>
      <c r="G333" s="10">
        <v>2.4662999999999999</v>
      </c>
      <c r="H333" s="11">
        <v>2</v>
      </c>
      <c r="J333" s="8">
        <v>45211</v>
      </c>
      <c r="K333" s="11">
        <v>1768.1373000000001</v>
      </c>
      <c r="L333" s="11">
        <v>2373.8515000000002</v>
      </c>
      <c r="M333" s="11">
        <v>2902.4751000000001</v>
      </c>
      <c r="N333" s="11">
        <v>3083.2937999999999</v>
      </c>
      <c r="O333" s="3">
        <f t="shared" si="41"/>
        <v>2.4746696259918766E-2</v>
      </c>
      <c r="P333" s="3">
        <f t="shared" si="42"/>
        <v>2.618797550620533E-2</v>
      </c>
      <c r="Q333" s="3">
        <f t="shared" si="43"/>
        <v>2.1882449309706731E-2</v>
      </c>
      <c r="R333" s="3">
        <f t="shared" si="44"/>
        <v>2.3095533019144909E-2</v>
      </c>
      <c r="S333" s="15">
        <f t="shared" si="45"/>
        <v>1.0247466962599188</v>
      </c>
      <c r="T333" s="15">
        <f t="shared" si="46"/>
        <v>1.0261879755062053</v>
      </c>
      <c r="U333" s="15">
        <f t="shared" si="47"/>
        <v>1.0218824493097067</v>
      </c>
      <c r="V333" s="15">
        <f t="shared" si="48"/>
        <v>1.0230955330191449</v>
      </c>
    </row>
    <row r="334" spans="1:22" x14ac:dyDescent="0.25">
      <c r="A334" s="6">
        <v>45194</v>
      </c>
      <c r="B334" s="10">
        <v>2.2126999999999999</v>
      </c>
      <c r="C334" s="10">
        <v>2.5510999999999999</v>
      </c>
      <c r="D334" s="10">
        <v>2.6976</v>
      </c>
      <c r="E334" s="10">
        <v>3.0118999999999998</v>
      </c>
      <c r="F334" s="10">
        <v>2.0411000000000001</v>
      </c>
      <c r="G334" s="10">
        <v>2.4763999999999999</v>
      </c>
      <c r="H334" s="11">
        <v>1.9724999999999999</v>
      </c>
      <c r="J334" s="8">
        <v>45212</v>
      </c>
      <c r="K334" s="11">
        <v>1768.3947000000001</v>
      </c>
      <c r="L334" s="11">
        <v>2374.5763999999999</v>
      </c>
      <c r="M334" s="11">
        <v>2902.1642999999999</v>
      </c>
      <c r="N334" s="11">
        <v>3083.5086999999999</v>
      </c>
      <c r="O334" s="3">
        <f t="shared" si="41"/>
        <v>2.4895875738015327E-2</v>
      </c>
      <c r="P334" s="3">
        <f t="shared" si="42"/>
        <v>2.6501341217347818E-2</v>
      </c>
      <c r="Q334" s="3">
        <f t="shared" si="43"/>
        <v>2.1773025092683973E-2</v>
      </c>
      <c r="R334" s="3">
        <f t="shared" si="44"/>
        <v>2.3166840926956311E-2</v>
      </c>
      <c r="S334" s="15">
        <f t="shared" si="45"/>
        <v>1.0248958757380153</v>
      </c>
      <c r="T334" s="15">
        <f t="shared" si="46"/>
        <v>1.0265013412173478</v>
      </c>
      <c r="U334" s="15">
        <f t="shared" si="47"/>
        <v>1.021773025092684</v>
      </c>
      <c r="V334" s="15">
        <f t="shared" si="48"/>
        <v>1.0231668409269563</v>
      </c>
    </row>
    <row r="335" spans="1:22" x14ac:dyDescent="0.25">
      <c r="A335" s="6">
        <v>45195</v>
      </c>
      <c r="B335" s="10">
        <v>2.2326999999999999</v>
      </c>
      <c r="C335" s="10">
        <v>2.5491000000000001</v>
      </c>
      <c r="D335" s="10">
        <v>2.6951000000000001</v>
      </c>
      <c r="E335" s="10">
        <v>3.0068000000000001</v>
      </c>
      <c r="F335" s="10">
        <v>2.0560999999999998</v>
      </c>
      <c r="G335" s="10">
        <v>2.4883999999999999</v>
      </c>
      <c r="H335" s="11">
        <v>1.95</v>
      </c>
      <c r="J335" s="8">
        <v>45215</v>
      </c>
      <c r="K335" s="11">
        <v>1768.7461000000001</v>
      </c>
      <c r="L335" s="11">
        <v>2374.8272000000002</v>
      </c>
      <c r="M335" s="11">
        <v>2901.0279999999998</v>
      </c>
      <c r="N335" s="11">
        <v>3082.8272000000002</v>
      </c>
      <c r="O335" s="3">
        <f t="shared" si="41"/>
        <v>2.5099534124197076E-2</v>
      </c>
      <c r="P335" s="3">
        <f t="shared" si="42"/>
        <v>2.660975909616492E-2</v>
      </c>
      <c r="Q335" s="3">
        <f t="shared" si="43"/>
        <v>2.1372964803742844E-2</v>
      </c>
      <c r="R335" s="3">
        <f t="shared" si="44"/>
        <v>2.2940706263515631E-2</v>
      </c>
      <c r="S335" s="15">
        <f t="shared" si="45"/>
        <v>1.0250995341241971</v>
      </c>
      <c r="T335" s="15">
        <f t="shared" si="46"/>
        <v>1.0266097590961649</v>
      </c>
      <c r="U335" s="15">
        <f t="shared" si="47"/>
        <v>1.0213729648037428</v>
      </c>
      <c r="V335" s="15">
        <f t="shared" si="48"/>
        <v>1.0229407062635156</v>
      </c>
    </row>
    <row r="336" spans="1:22" x14ac:dyDescent="0.25">
      <c r="A336" s="6">
        <v>45196</v>
      </c>
      <c r="B336" s="10">
        <v>2.2077</v>
      </c>
      <c r="C336" s="10">
        <v>2.5354000000000001</v>
      </c>
      <c r="D336" s="10">
        <v>2.6877</v>
      </c>
      <c r="E336" s="10">
        <v>3.0070000000000001</v>
      </c>
      <c r="F336" s="10">
        <v>2.0318999999999998</v>
      </c>
      <c r="G336" s="10">
        <v>2.4758</v>
      </c>
      <c r="H336" s="11">
        <v>1.83</v>
      </c>
      <c r="J336" s="8">
        <v>45216</v>
      </c>
      <c r="K336" s="11">
        <v>1768.6403</v>
      </c>
      <c r="L336" s="11">
        <v>2374.3433</v>
      </c>
      <c r="M336" s="11">
        <v>2900.3962000000001</v>
      </c>
      <c r="N336" s="11">
        <v>3082.2339999999999</v>
      </c>
      <c r="O336" s="3">
        <f t="shared" si="41"/>
        <v>2.503821637445891E-2</v>
      </c>
      <c r="P336" s="3">
        <f t="shared" si="42"/>
        <v>2.6400574839547497E-2</v>
      </c>
      <c r="Q336" s="3">
        <f t="shared" si="43"/>
        <v>2.1150525227439987E-2</v>
      </c>
      <c r="R336" s="3">
        <f t="shared" si="44"/>
        <v>2.2743871219710332E-2</v>
      </c>
      <c r="S336" s="15">
        <f t="shared" si="45"/>
        <v>1.0250382163744589</v>
      </c>
      <c r="T336" s="15">
        <f t="shared" si="46"/>
        <v>1.0264005748395475</v>
      </c>
      <c r="U336" s="15">
        <f t="shared" si="47"/>
        <v>1.02115052522744</v>
      </c>
      <c r="V336" s="15">
        <f t="shared" si="48"/>
        <v>1.0227438712197103</v>
      </c>
    </row>
    <row r="337" spans="1:22" x14ac:dyDescent="0.25">
      <c r="A337" s="6">
        <v>45197</v>
      </c>
      <c r="B337" s="10">
        <v>2.1677</v>
      </c>
      <c r="C337" s="10">
        <v>2.5255999999999998</v>
      </c>
      <c r="D337" s="10">
        <v>2.6751</v>
      </c>
      <c r="E337" s="10">
        <v>3.0022000000000002</v>
      </c>
      <c r="F337" s="10">
        <v>2.0179999999999998</v>
      </c>
      <c r="G337" s="10">
        <v>2.4546999999999999</v>
      </c>
      <c r="H337" s="11">
        <v>2.2000000000000002</v>
      </c>
      <c r="J337" s="8">
        <v>45217</v>
      </c>
      <c r="K337" s="11">
        <v>1768.59</v>
      </c>
      <c r="L337" s="11">
        <v>2373.9137999999998</v>
      </c>
      <c r="M337" s="11">
        <v>2897.8732</v>
      </c>
      <c r="N337" s="11">
        <v>3080.1979999999999</v>
      </c>
      <c r="O337" s="3">
        <f t="shared" si="41"/>
        <v>2.5009064363004763E-2</v>
      </c>
      <c r="P337" s="3">
        <f t="shared" si="42"/>
        <v>2.621490706063212E-2</v>
      </c>
      <c r="Q337" s="3">
        <f t="shared" si="43"/>
        <v>2.0262245627863607E-2</v>
      </c>
      <c r="R337" s="3">
        <f t="shared" si="44"/>
        <v>2.2068287691073829E-2</v>
      </c>
      <c r="S337" s="15">
        <f t="shared" si="45"/>
        <v>1.0250090643630048</v>
      </c>
      <c r="T337" s="15">
        <f t="shared" si="46"/>
        <v>1.0262149070606321</v>
      </c>
      <c r="U337" s="15">
        <f t="shared" si="47"/>
        <v>1.0202622456278636</v>
      </c>
      <c r="V337" s="15">
        <f t="shared" si="48"/>
        <v>1.0220682876910738</v>
      </c>
    </row>
    <row r="338" spans="1:22" x14ac:dyDescent="0.25">
      <c r="A338" s="6">
        <v>45206</v>
      </c>
      <c r="B338" s="10">
        <v>2.1476999999999999</v>
      </c>
      <c r="C338" s="10">
        <v>2.5175000000000001</v>
      </c>
      <c r="D338" s="10">
        <v>2.6650999999999998</v>
      </c>
      <c r="E338" s="10">
        <v>2.9925999999999999</v>
      </c>
      <c r="F338" s="10"/>
      <c r="G338" s="10"/>
      <c r="H338" s="11">
        <v>1.85</v>
      </c>
      <c r="J338" s="8">
        <v>45218</v>
      </c>
      <c r="K338" s="11">
        <v>1768.0713000000001</v>
      </c>
      <c r="L338" s="11">
        <v>2372.5154000000002</v>
      </c>
      <c r="M338" s="11">
        <v>2893.8620000000001</v>
      </c>
      <c r="N338" s="11">
        <v>3076.5702999999999</v>
      </c>
      <c r="O338" s="3">
        <f t="shared" si="41"/>
        <v>2.4708445111688793E-2</v>
      </c>
      <c r="P338" s="3">
        <f t="shared" si="42"/>
        <v>2.5610395251469908E-2</v>
      </c>
      <c r="Q338" s="3">
        <f t="shared" si="43"/>
        <v>1.8850011331462246E-2</v>
      </c>
      <c r="R338" s="3">
        <f t="shared" si="44"/>
        <v>2.0864547825241608E-2</v>
      </c>
      <c r="S338" s="15">
        <f t="shared" si="45"/>
        <v>1.0247084451116888</v>
      </c>
      <c r="T338" s="15">
        <f t="shared" si="46"/>
        <v>1.0256103952514699</v>
      </c>
      <c r="U338" s="15">
        <f t="shared" si="47"/>
        <v>1.0188500113314622</v>
      </c>
      <c r="V338" s="15">
        <f t="shared" si="48"/>
        <v>1.0208645478252416</v>
      </c>
    </row>
    <row r="339" spans="1:22" x14ac:dyDescent="0.25">
      <c r="A339" s="6">
        <v>45207</v>
      </c>
      <c r="B339" s="10">
        <v>2.1377000000000002</v>
      </c>
      <c r="C339" s="10">
        <v>2.5177999999999998</v>
      </c>
      <c r="D339" s="10">
        <v>2.6625999999999999</v>
      </c>
      <c r="E339" s="10">
        <v>2.9948000000000001</v>
      </c>
      <c r="F339" s="10"/>
      <c r="G339" s="10"/>
      <c r="H339" s="11">
        <v>1.8</v>
      </c>
      <c r="J339" s="8">
        <v>45219</v>
      </c>
      <c r="K339" s="11">
        <v>1768.0081</v>
      </c>
      <c r="L339" s="11">
        <v>2372.5264000000002</v>
      </c>
      <c r="M339" s="11">
        <v>2892.4231</v>
      </c>
      <c r="N339" s="11">
        <v>3075.6026000000002</v>
      </c>
      <c r="O339" s="3">
        <f t="shared" si="41"/>
        <v>2.4671816739444408E-2</v>
      </c>
      <c r="P339" s="3">
        <f t="shared" si="42"/>
        <v>2.5615150421593347E-2</v>
      </c>
      <c r="Q339" s="3">
        <f t="shared" si="43"/>
        <v>1.8343413822214938E-2</v>
      </c>
      <c r="R339" s="3">
        <f t="shared" si="44"/>
        <v>2.0543446557726108E-2</v>
      </c>
      <c r="S339" s="15">
        <f t="shared" si="45"/>
        <v>1.0246718167394444</v>
      </c>
      <c r="T339" s="15">
        <f t="shared" si="46"/>
        <v>1.0256151504215933</v>
      </c>
      <c r="U339" s="15">
        <f t="shared" si="47"/>
        <v>1.0183434138222149</v>
      </c>
      <c r="V339" s="15">
        <f t="shared" si="48"/>
        <v>1.0205434465577261</v>
      </c>
    </row>
    <row r="340" spans="1:22" x14ac:dyDescent="0.25">
      <c r="A340" s="6">
        <v>45208</v>
      </c>
      <c r="B340" s="10">
        <v>2.1577000000000002</v>
      </c>
      <c r="C340" s="10">
        <v>2.5352000000000001</v>
      </c>
      <c r="D340" s="10">
        <v>2.6701999999999999</v>
      </c>
      <c r="E340" s="10">
        <v>2.9990000000000001</v>
      </c>
      <c r="F340" s="10">
        <v>2.0345</v>
      </c>
      <c r="G340" s="10">
        <v>2.4584999999999999</v>
      </c>
      <c r="H340" s="11">
        <v>2.0099999999999998</v>
      </c>
      <c r="J340" s="8">
        <v>45222</v>
      </c>
      <c r="K340" s="11">
        <v>1768.3867</v>
      </c>
      <c r="L340" s="11">
        <v>2373.2011000000002</v>
      </c>
      <c r="M340" s="11">
        <v>2890.3319000000001</v>
      </c>
      <c r="N340" s="11">
        <v>3074.2130999999999</v>
      </c>
      <c r="O340" s="3">
        <f t="shared" si="41"/>
        <v>2.4891239235199647E-2</v>
      </c>
      <c r="P340" s="3">
        <f t="shared" si="42"/>
        <v>2.5906815265444916E-2</v>
      </c>
      <c r="Q340" s="3">
        <f t="shared" si="43"/>
        <v>1.7607159244872994E-2</v>
      </c>
      <c r="R340" s="3">
        <f t="shared" si="44"/>
        <v>2.0082384026763211E-2</v>
      </c>
      <c r="S340" s="15">
        <f t="shared" si="45"/>
        <v>1.0248912392351996</v>
      </c>
      <c r="T340" s="15">
        <f t="shared" si="46"/>
        <v>1.0259068152654449</v>
      </c>
      <c r="U340" s="15">
        <f t="shared" si="47"/>
        <v>1.017607159244873</v>
      </c>
      <c r="V340" s="15">
        <f t="shared" si="48"/>
        <v>1.0200823840267632</v>
      </c>
    </row>
    <row r="341" spans="1:22" x14ac:dyDescent="0.25">
      <c r="A341" s="6">
        <v>45209</v>
      </c>
      <c r="B341" s="10">
        <v>2.1977000000000002</v>
      </c>
      <c r="C341" s="10">
        <v>2.5550000000000002</v>
      </c>
      <c r="D341" s="10">
        <v>2.6810999999999998</v>
      </c>
      <c r="E341" s="10">
        <v>3.0019</v>
      </c>
      <c r="F341" s="10">
        <v>2.0615999999999999</v>
      </c>
      <c r="G341" s="10">
        <v>2.4809999999999999</v>
      </c>
      <c r="H341" s="11">
        <v>2.0499999999999998</v>
      </c>
      <c r="J341" s="8">
        <v>45223</v>
      </c>
      <c r="K341" s="11">
        <v>1768.1677999999999</v>
      </c>
      <c r="L341" s="11">
        <v>2372.8044</v>
      </c>
      <c r="M341" s="11">
        <v>2892.4890999999998</v>
      </c>
      <c r="N341" s="11">
        <v>3075.5297999999998</v>
      </c>
      <c r="O341" s="3">
        <f t="shared" si="41"/>
        <v>2.4764372926903588E-2</v>
      </c>
      <c r="P341" s="3">
        <f t="shared" si="42"/>
        <v>2.5735326539261472E-2</v>
      </c>
      <c r="Q341" s="3">
        <f t="shared" si="43"/>
        <v>1.8366650625057712E-2</v>
      </c>
      <c r="R341" s="3">
        <f t="shared" si="44"/>
        <v>2.0519290132930079E-2</v>
      </c>
      <c r="S341" s="15">
        <f t="shared" si="45"/>
        <v>1.0247643729269036</v>
      </c>
      <c r="T341" s="15">
        <f t="shared" si="46"/>
        <v>1.0257353265392615</v>
      </c>
      <c r="U341" s="15">
        <f t="shared" si="47"/>
        <v>1.0183666506250577</v>
      </c>
      <c r="V341" s="15">
        <f t="shared" si="48"/>
        <v>1.0205192901329301</v>
      </c>
    </row>
    <row r="342" spans="1:22" x14ac:dyDescent="0.25">
      <c r="A342" s="6">
        <v>45210</v>
      </c>
      <c r="B342" s="10">
        <v>2.2376999999999998</v>
      </c>
      <c r="C342" s="10">
        <v>2.5899000000000001</v>
      </c>
      <c r="D342" s="10">
        <v>2.6976</v>
      </c>
      <c r="E342" s="10">
        <v>3.0152999999999999</v>
      </c>
      <c r="F342" s="10">
        <v>2.0855999999999999</v>
      </c>
      <c r="G342" s="10">
        <v>2.5085000000000002</v>
      </c>
      <c r="H342" s="11">
        <v>2.14</v>
      </c>
      <c r="J342" s="8">
        <v>45224</v>
      </c>
      <c r="K342" s="11">
        <v>1768.4820999999999</v>
      </c>
      <c r="L342" s="11">
        <v>2373.6659</v>
      </c>
      <c r="M342" s="11">
        <v>2894.3022999999998</v>
      </c>
      <c r="N342" s="11">
        <v>3077.1954999999998</v>
      </c>
      <c r="O342" s="3">
        <f t="shared" ref="O342:O371" si="49">K342/$K$148-1</f>
        <v>2.4946529531277406E-2</v>
      </c>
      <c r="P342" s="3">
        <f t="shared" ref="P342:P371" si="50">L342/$L$148-1</f>
        <v>2.6107742817574886E-2</v>
      </c>
      <c r="Q342" s="3">
        <f t="shared" ref="Q342:Q371" si="51">M342/$M$148-1</f>
        <v>1.900502897224432E-2</v>
      </c>
      <c r="R342" s="3">
        <f t="shared" ref="R342:R371" si="52">N342/$N$148-1</f>
        <v>2.1072001077748093E-2</v>
      </c>
      <c r="S342" s="15">
        <f t="shared" si="45"/>
        <v>1.0249465295312774</v>
      </c>
      <c r="T342" s="15">
        <f t="shared" si="46"/>
        <v>1.0261077428175749</v>
      </c>
      <c r="U342" s="15">
        <f t="shared" si="47"/>
        <v>1.0190050289722443</v>
      </c>
      <c r="V342" s="15">
        <f t="shared" si="48"/>
        <v>1.0210720010777481</v>
      </c>
    </row>
    <row r="343" spans="1:22" x14ac:dyDescent="0.25">
      <c r="A343" s="6">
        <v>45211</v>
      </c>
      <c r="B343" s="10">
        <v>2.1977000000000002</v>
      </c>
      <c r="C343" s="10">
        <v>2.5802999999999998</v>
      </c>
      <c r="D343" s="10">
        <v>2.6911</v>
      </c>
      <c r="E343" s="10">
        <v>3.0139</v>
      </c>
      <c r="F343" s="10">
        <v>2.0857000000000001</v>
      </c>
      <c r="G343" s="10">
        <v>2.5173999999999999</v>
      </c>
      <c r="H343" s="11">
        <v>2.1</v>
      </c>
      <c r="J343" s="8">
        <v>45225</v>
      </c>
      <c r="K343" s="11">
        <v>1768.7348999999999</v>
      </c>
      <c r="L343" s="11">
        <v>2373.9740999999999</v>
      </c>
      <c r="M343" s="11">
        <v>2895.1639</v>
      </c>
      <c r="N343" s="11">
        <v>3078.0083</v>
      </c>
      <c r="O343" s="3">
        <f t="shared" si="49"/>
        <v>2.5093043020254946E-2</v>
      </c>
      <c r="P343" s="3">
        <f t="shared" si="50"/>
        <v>2.6240974038673093E-2</v>
      </c>
      <c r="Q343" s="3">
        <f t="shared" si="51"/>
        <v>1.9308374871172207E-2</v>
      </c>
      <c r="R343" s="3">
        <f t="shared" si="52"/>
        <v>2.1341703578767746E-2</v>
      </c>
      <c r="S343" s="15">
        <f t="shared" si="45"/>
        <v>1.0250930430202549</v>
      </c>
      <c r="T343" s="15">
        <f t="shared" si="46"/>
        <v>1.0262409740386731</v>
      </c>
      <c r="U343" s="15">
        <f t="shared" si="47"/>
        <v>1.0193083748711722</v>
      </c>
      <c r="V343" s="15">
        <f t="shared" si="48"/>
        <v>1.0213417035787677</v>
      </c>
    </row>
    <row r="344" spans="1:22" x14ac:dyDescent="0.25">
      <c r="A344" s="6">
        <v>45212</v>
      </c>
      <c r="B344" s="10">
        <v>2.1777000000000002</v>
      </c>
      <c r="C344" s="10">
        <v>2.5528</v>
      </c>
      <c r="D344" s="10">
        <v>2.6701999999999999</v>
      </c>
      <c r="E344" s="10">
        <v>2.9952000000000001</v>
      </c>
      <c r="F344" s="10">
        <v>2.0720999999999998</v>
      </c>
      <c r="G344" s="10">
        <v>2.4906999999999999</v>
      </c>
      <c r="H344" s="11">
        <v>2.0499999999999998</v>
      </c>
      <c r="J344" s="8">
        <v>45226</v>
      </c>
      <c r="K344" s="11">
        <v>1768.9526000000001</v>
      </c>
      <c r="L344" s="11">
        <v>2374.6333</v>
      </c>
      <c r="M344" s="11">
        <v>2898.3751000000002</v>
      </c>
      <c r="N344" s="11">
        <v>3080.5978</v>
      </c>
      <c r="O344" s="3">
        <f t="shared" si="49"/>
        <v>2.5219213853128641E-2</v>
      </c>
      <c r="P344" s="3">
        <f t="shared" si="50"/>
        <v>2.6525938415532302E-2</v>
      </c>
      <c r="Q344" s="3">
        <f t="shared" si="51"/>
        <v>2.0438950951298995E-2</v>
      </c>
      <c r="R344" s="3">
        <f t="shared" si="52"/>
        <v>2.2200948936038856E-2</v>
      </c>
      <c r="S344" s="15">
        <f t="shared" si="45"/>
        <v>1.0252192138531286</v>
      </c>
      <c r="T344" s="15">
        <f t="shared" si="46"/>
        <v>1.0265259384155323</v>
      </c>
      <c r="U344" s="15">
        <f t="shared" si="47"/>
        <v>1.020438950951299</v>
      </c>
      <c r="V344" s="15">
        <f t="shared" si="48"/>
        <v>1.0222009489360389</v>
      </c>
    </row>
    <row r="345" spans="1:22" x14ac:dyDescent="0.25">
      <c r="A345" s="6">
        <v>45215</v>
      </c>
      <c r="B345" s="10">
        <v>2.1877</v>
      </c>
      <c r="C345" s="10">
        <v>2.5629</v>
      </c>
      <c r="D345" s="10">
        <v>2.6777000000000002</v>
      </c>
      <c r="E345" s="10">
        <v>2.9996999999999998</v>
      </c>
      <c r="F345" s="10">
        <v>2.0716000000000001</v>
      </c>
      <c r="G345" s="10">
        <v>2.4864000000000002</v>
      </c>
      <c r="H345" s="11">
        <v>2.0499999999999998</v>
      </c>
      <c r="J345" s="8">
        <v>45229</v>
      </c>
      <c r="K345" s="11">
        <v>1769.4744000000001</v>
      </c>
      <c r="L345" s="11">
        <v>2375.4110000000001</v>
      </c>
      <c r="M345" s="11">
        <v>2900.3681999999999</v>
      </c>
      <c r="N345" s="11">
        <v>3082.2678999999998</v>
      </c>
      <c r="O345" s="3">
        <f t="shared" si="49"/>
        <v>2.5521629749285735E-2</v>
      </c>
      <c r="P345" s="3">
        <f t="shared" si="50"/>
        <v>2.6862128943268004E-2</v>
      </c>
      <c r="Q345" s="3">
        <f t="shared" si="51"/>
        <v>2.1140667189870177E-2</v>
      </c>
      <c r="R345" s="3">
        <f t="shared" si="52"/>
        <v>2.2755119884553476E-2</v>
      </c>
      <c r="S345" s="15">
        <f t="shared" si="45"/>
        <v>1.0255216297492857</v>
      </c>
      <c r="T345" s="15">
        <f t="shared" si="46"/>
        <v>1.026862128943268</v>
      </c>
      <c r="U345" s="15">
        <f t="shared" si="47"/>
        <v>1.0211406671898702</v>
      </c>
      <c r="V345" s="15">
        <f t="shared" si="48"/>
        <v>1.0227551198845535</v>
      </c>
    </row>
    <row r="346" spans="1:22" x14ac:dyDescent="0.25">
      <c r="A346" s="6">
        <v>45216</v>
      </c>
      <c r="B346" s="10">
        <v>2.2227000000000001</v>
      </c>
      <c r="C346" s="10">
        <v>2.573</v>
      </c>
      <c r="D346" s="10">
        <v>2.6882000000000001</v>
      </c>
      <c r="E346" s="10">
        <v>3.0021</v>
      </c>
      <c r="F346" s="10">
        <v>2.0891999999999999</v>
      </c>
      <c r="G346" s="10">
        <v>2.5047000000000001</v>
      </c>
      <c r="H346" s="11">
        <v>2</v>
      </c>
      <c r="J346" s="8">
        <v>45230</v>
      </c>
      <c r="K346" s="11">
        <v>1769.7374</v>
      </c>
      <c r="L346" s="11">
        <v>2375.9818</v>
      </c>
      <c r="M346" s="11">
        <v>2899.9434999999999</v>
      </c>
      <c r="N346" s="11">
        <v>3082.2193000000002</v>
      </c>
      <c r="O346" s="3">
        <f t="shared" si="49"/>
        <v>2.5674054779353472E-2</v>
      </c>
      <c r="P346" s="3">
        <f t="shared" si="50"/>
        <v>2.7108879043861611E-2</v>
      </c>
      <c r="Q346" s="3">
        <f t="shared" si="51"/>
        <v>2.0991141884305398E-2</v>
      </c>
      <c r="R346" s="3">
        <f t="shared" si="52"/>
        <v>2.2738993480088121E-2</v>
      </c>
      <c r="S346" s="15">
        <f t="shared" si="45"/>
        <v>1.0256740547793535</v>
      </c>
      <c r="T346" s="15">
        <f t="shared" si="46"/>
        <v>1.0271088790438616</v>
      </c>
      <c r="U346" s="15">
        <f t="shared" si="47"/>
        <v>1.0209911418843054</v>
      </c>
      <c r="V346" s="15">
        <f t="shared" si="48"/>
        <v>1.0227389934800881</v>
      </c>
    </row>
    <row r="347" spans="1:22" x14ac:dyDescent="0.25">
      <c r="A347" s="6">
        <v>45217</v>
      </c>
      <c r="B347" s="10">
        <v>2.2456999999999998</v>
      </c>
      <c r="C347" s="10">
        <v>2.6029</v>
      </c>
      <c r="D347" s="10">
        <v>2.7052</v>
      </c>
      <c r="E347" s="10">
        <v>3.0021</v>
      </c>
      <c r="F347" s="10">
        <v>2.0948000000000002</v>
      </c>
      <c r="G347" s="10">
        <v>2.5093000000000001</v>
      </c>
      <c r="H347" s="11">
        <v>2.0499999999999998</v>
      </c>
      <c r="J347" s="8">
        <v>45231</v>
      </c>
      <c r="K347" s="11">
        <v>1769.8741</v>
      </c>
      <c r="L347" s="11">
        <v>2376.0727999999999</v>
      </c>
      <c r="M347" s="11">
        <v>2899.3438000000001</v>
      </c>
      <c r="N347" s="11">
        <v>3081.817</v>
      </c>
      <c r="O347" s="3">
        <f t="shared" si="49"/>
        <v>2.5753281021217544E-2</v>
      </c>
      <c r="P347" s="3">
        <f t="shared" si="50"/>
        <v>2.7148217269429065E-2</v>
      </c>
      <c r="Q347" s="3">
        <f t="shared" si="51"/>
        <v>2.0780003843930528E-2</v>
      </c>
      <c r="R347" s="3">
        <f t="shared" si="52"/>
        <v>2.2605502687568224E-2</v>
      </c>
      <c r="S347" s="15">
        <f t="shared" si="45"/>
        <v>1.0257532810212175</v>
      </c>
      <c r="T347" s="15">
        <f t="shared" si="46"/>
        <v>1.0271482172694291</v>
      </c>
      <c r="U347" s="15">
        <f t="shared" si="47"/>
        <v>1.0207800038439305</v>
      </c>
      <c r="V347" s="15">
        <f t="shared" si="48"/>
        <v>1.0226055026875682</v>
      </c>
    </row>
    <row r="348" spans="1:22" x14ac:dyDescent="0.25">
      <c r="A348" s="6">
        <v>45218</v>
      </c>
      <c r="B348" s="10">
        <v>2.2907000000000002</v>
      </c>
      <c r="C348" s="10">
        <v>2.6204999999999998</v>
      </c>
      <c r="D348" s="10">
        <v>2.7176999999999998</v>
      </c>
      <c r="E348" s="10">
        <v>3.0076999999999998</v>
      </c>
      <c r="F348" s="10">
        <v>2.1315</v>
      </c>
      <c r="G348" s="10">
        <v>2.5373000000000001</v>
      </c>
      <c r="H348" s="11">
        <v>2.2999999999999998</v>
      </c>
      <c r="J348" s="8">
        <v>45232</v>
      </c>
      <c r="K348" s="11">
        <v>1770.3182999999999</v>
      </c>
      <c r="L348" s="11">
        <v>2377.0392000000002</v>
      </c>
      <c r="M348" s="11">
        <v>2899.5182</v>
      </c>
      <c r="N348" s="11">
        <v>3082.2642999999998</v>
      </c>
      <c r="O348" s="3">
        <f t="shared" si="49"/>
        <v>2.6010722840061895E-2</v>
      </c>
      <c r="P348" s="3">
        <f t="shared" si="50"/>
        <v>2.7565980579193683E-2</v>
      </c>
      <c r="Q348" s="3">
        <f t="shared" si="51"/>
        <v>2.08414053350785E-2</v>
      </c>
      <c r="R348" s="3">
        <f t="shared" si="52"/>
        <v>2.2753925336074676E-2</v>
      </c>
      <c r="S348" s="15">
        <f t="shared" si="45"/>
        <v>1.0260107228400619</v>
      </c>
      <c r="T348" s="15">
        <f t="shared" si="46"/>
        <v>1.0275659805791937</v>
      </c>
      <c r="U348" s="15">
        <f t="shared" si="47"/>
        <v>1.0208414053350785</v>
      </c>
      <c r="V348" s="15">
        <f t="shared" si="48"/>
        <v>1.0227539253360747</v>
      </c>
    </row>
    <row r="349" spans="1:22" x14ac:dyDescent="0.25">
      <c r="A349" s="6">
        <v>45219</v>
      </c>
      <c r="B349" s="10">
        <v>2.3107000000000002</v>
      </c>
      <c r="C349" s="10">
        <v>2.5981999999999998</v>
      </c>
      <c r="D349" s="10">
        <v>2.7052</v>
      </c>
      <c r="E349" s="10">
        <v>2.9962</v>
      </c>
      <c r="F349" s="10">
        <v>2.1545999999999998</v>
      </c>
      <c r="G349" s="10">
        <v>2.5430000000000001</v>
      </c>
      <c r="H349" s="11">
        <v>2.8</v>
      </c>
      <c r="J349" s="8">
        <v>45233</v>
      </c>
      <c r="K349" s="11">
        <v>1770.5581999999999</v>
      </c>
      <c r="L349" s="11">
        <v>2377.5081</v>
      </c>
      <c r="M349" s="11">
        <v>2901.4483</v>
      </c>
      <c r="N349" s="11">
        <v>3083.9484000000002</v>
      </c>
      <c r="O349" s="3">
        <f t="shared" si="49"/>
        <v>2.6149759968249198E-2</v>
      </c>
      <c r="P349" s="3">
        <f t="shared" si="50"/>
        <v>2.7768680512915145E-2</v>
      </c>
      <c r="Q349" s="3">
        <f t="shared" si="51"/>
        <v>2.1520940989118165E-2</v>
      </c>
      <c r="R349" s="3">
        <f t="shared" si="52"/>
        <v>2.331274175089626E-2</v>
      </c>
      <c r="S349" s="15">
        <f t="shared" si="45"/>
        <v>1.0261497599682492</v>
      </c>
      <c r="T349" s="15">
        <f t="shared" si="46"/>
        <v>1.0277686805129151</v>
      </c>
      <c r="U349" s="15">
        <f t="shared" si="47"/>
        <v>1.0215209409891182</v>
      </c>
      <c r="V349" s="15">
        <f t="shared" si="48"/>
        <v>1.0233127417508963</v>
      </c>
    </row>
    <row r="350" spans="1:22" x14ac:dyDescent="0.25">
      <c r="A350" s="6">
        <v>45222</v>
      </c>
      <c r="B350" s="10">
        <v>2.3007</v>
      </c>
      <c r="C350" s="10">
        <v>2.5886999999999998</v>
      </c>
      <c r="D350" s="10">
        <v>2.7046999999999999</v>
      </c>
      <c r="E350" s="10">
        <v>2.9903</v>
      </c>
      <c r="F350" s="10">
        <v>2.1248</v>
      </c>
      <c r="G350" s="10">
        <v>2.5146999999999999</v>
      </c>
      <c r="H350" s="11">
        <v>2.6</v>
      </c>
      <c r="J350" s="8">
        <v>45236</v>
      </c>
      <c r="K350" s="11">
        <v>1770.9766</v>
      </c>
      <c r="L350" s="11">
        <v>2377.9733000000001</v>
      </c>
      <c r="M350" s="11">
        <v>2904.3452000000002</v>
      </c>
      <c r="N350" s="11">
        <v>3086.1386000000002</v>
      </c>
      <c r="O350" s="3">
        <f t="shared" si="49"/>
        <v>2.6392249065512852E-2</v>
      </c>
      <c r="P350" s="3">
        <f t="shared" si="50"/>
        <v>2.7969780980322545E-2</v>
      </c>
      <c r="Q350" s="3">
        <f t="shared" si="51"/>
        <v>2.2540860597526136E-2</v>
      </c>
      <c r="R350" s="3">
        <f t="shared" si="52"/>
        <v>2.4039491772713362E-2</v>
      </c>
      <c r="S350" s="15">
        <f t="shared" si="45"/>
        <v>1.0263922490655129</v>
      </c>
      <c r="T350" s="15">
        <f t="shared" si="46"/>
        <v>1.0279697809803225</v>
      </c>
      <c r="U350" s="15">
        <f t="shared" si="47"/>
        <v>1.0225408605975261</v>
      </c>
      <c r="V350" s="15">
        <f t="shared" si="48"/>
        <v>1.0240394917727134</v>
      </c>
    </row>
    <row r="351" spans="1:22" x14ac:dyDescent="0.25">
      <c r="A351" s="6">
        <v>45223</v>
      </c>
      <c r="B351" s="10">
        <v>2.3256999999999999</v>
      </c>
      <c r="C351" s="10">
        <v>2.5861999999999998</v>
      </c>
      <c r="D351" s="10">
        <v>2.7176999999999998</v>
      </c>
      <c r="E351" s="10">
        <v>2.9977999999999998</v>
      </c>
      <c r="F351" s="10">
        <v>2.1514000000000002</v>
      </c>
      <c r="G351" s="10">
        <v>2.5375999999999999</v>
      </c>
      <c r="H351" s="11">
        <v>2.7</v>
      </c>
      <c r="J351" s="8">
        <v>45237</v>
      </c>
      <c r="K351" s="11">
        <v>1771.0625</v>
      </c>
      <c r="L351" s="11">
        <v>2377.8218000000002</v>
      </c>
      <c r="M351" s="11">
        <v>2904.4268000000002</v>
      </c>
      <c r="N351" s="11">
        <v>3086.0257000000001</v>
      </c>
      <c r="O351" s="3">
        <f t="shared" si="49"/>
        <v>2.6442033514497032E-2</v>
      </c>
      <c r="P351" s="3">
        <f t="shared" si="50"/>
        <v>2.7904289319075293E-2</v>
      </c>
      <c r="Q351" s="3">
        <f t="shared" si="51"/>
        <v>2.2569589735585982E-2</v>
      </c>
      <c r="R351" s="3">
        <f t="shared" si="52"/>
        <v>2.4002029405138181E-2</v>
      </c>
      <c r="S351" s="15">
        <f t="shared" si="45"/>
        <v>1.026442033514497</v>
      </c>
      <c r="T351" s="15">
        <f t="shared" si="46"/>
        <v>1.0279042893190753</v>
      </c>
      <c r="U351" s="15">
        <f t="shared" si="47"/>
        <v>1.022569589735586</v>
      </c>
      <c r="V351" s="15">
        <f t="shared" si="48"/>
        <v>1.0240020294051382</v>
      </c>
    </row>
    <row r="352" spans="1:22" x14ac:dyDescent="0.25">
      <c r="A352" s="6">
        <v>45224</v>
      </c>
      <c r="B352" s="10">
        <v>2.2837999999999998</v>
      </c>
      <c r="C352" s="10">
        <v>2.5514999999999999</v>
      </c>
      <c r="D352" s="10">
        <v>2.7052</v>
      </c>
      <c r="E352" s="10">
        <v>3.0004</v>
      </c>
      <c r="F352" s="10">
        <v>2.1160999999999999</v>
      </c>
      <c r="G352" s="10">
        <v>2.5179</v>
      </c>
      <c r="H352" s="11">
        <v>2.8</v>
      </c>
      <c r="J352" s="8">
        <v>45238</v>
      </c>
      <c r="K352" s="11">
        <v>1771.1945000000001</v>
      </c>
      <c r="L352" s="11">
        <v>2378.0320000000002</v>
      </c>
      <c r="M352" s="11">
        <v>2904.4857999999999</v>
      </c>
      <c r="N352" s="11">
        <v>3086.0091000000002</v>
      </c>
      <c r="O352" s="3">
        <f t="shared" si="49"/>
        <v>2.6518535810956756E-2</v>
      </c>
      <c r="P352" s="3">
        <f t="shared" si="50"/>
        <v>2.7995156297254464E-2</v>
      </c>
      <c r="Q352" s="3">
        <f t="shared" si="51"/>
        <v>2.2590362029036193E-2</v>
      </c>
      <c r="R352" s="3">
        <f t="shared" si="52"/>
        <v>2.3996521209374233E-2</v>
      </c>
      <c r="S352" s="15">
        <f t="shared" si="45"/>
        <v>1.0265185358109568</v>
      </c>
      <c r="T352" s="15">
        <f t="shared" si="46"/>
        <v>1.0279951562972545</v>
      </c>
      <c r="U352" s="15">
        <f t="shared" si="47"/>
        <v>1.0225903620290362</v>
      </c>
      <c r="V352" s="15">
        <f t="shared" si="48"/>
        <v>1.0239965212093742</v>
      </c>
    </row>
    <row r="353" spans="1:22" x14ac:dyDescent="0.25">
      <c r="A353" s="6">
        <v>45225</v>
      </c>
      <c r="B353" s="10">
        <v>2.2837999999999998</v>
      </c>
      <c r="C353" s="10">
        <v>2.5667</v>
      </c>
      <c r="D353" s="10">
        <v>2.7151999999999998</v>
      </c>
      <c r="E353" s="10">
        <v>3.0053999999999998</v>
      </c>
      <c r="F353" s="10">
        <v>2.0937000000000001</v>
      </c>
      <c r="G353" s="10">
        <v>2.4929999999999999</v>
      </c>
      <c r="H353" s="11">
        <v>2.5</v>
      </c>
      <c r="J353" s="8">
        <v>45239</v>
      </c>
      <c r="K353" s="11">
        <v>1771.3914</v>
      </c>
      <c r="L353" s="11">
        <v>2378.2529</v>
      </c>
      <c r="M353" s="11">
        <v>2904.3824</v>
      </c>
      <c r="N353" s="11">
        <v>3086.0781999999999</v>
      </c>
      <c r="O353" s="3">
        <f t="shared" si="49"/>
        <v>2.6632651736509416E-2</v>
      </c>
      <c r="P353" s="3">
        <f t="shared" si="50"/>
        <v>2.8090648759099501E-2</v>
      </c>
      <c r="Q353" s="3">
        <f t="shared" si="51"/>
        <v>2.2553957704582794E-2</v>
      </c>
      <c r="R353" s="3">
        <f t="shared" si="52"/>
        <v>2.4019449903789125E-2</v>
      </c>
      <c r="S353" s="15">
        <f t="shared" si="45"/>
        <v>1.0266326517365094</v>
      </c>
      <c r="T353" s="15">
        <f t="shared" si="46"/>
        <v>1.0280906487590995</v>
      </c>
      <c r="U353" s="15">
        <f t="shared" si="47"/>
        <v>1.0225539577045828</v>
      </c>
      <c r="V353" s="15">
        <f t="shared" si="48"/>
        <v>1.0240194499037891</v>
      </c>
    </row>
    <row r="354" spans="1:22" x14ac:dyDescent="0.25">
      <c r="A354" s="6">
        <v>45226</v>
      </c>
      <c r="B354" s="10">
        <v>2.2806999999999999</v>
      </c>
      <c r="C354" s="10">
        <v>2.5518000000000001</v>
      </c>
      <c r="D354" s="10">
        <v>2.7132999999999998</v>
      </c>
      <c r="E354" s="10">
        <v>3.0104000000000002</v>
      </c>
      <c r="F354" s="10">
        <v>2.0931000000000002</v>
      </c>
      <c r="G354" s="10">
        <v>2.4967000000000001</v>
      </c>
      <c r="H354" s="11">
        <v>2.5</v>
      </c>
      <c r="J354" s="8">
        <v>45240</v>
      </c>
      <c r="K354" s="11">
        <v>1771.6402</v>
      </c>
      <c r="L354" s="11">
        <v>2378.9589999999998</v>
      </c>
      <c r="M354" s="11">
        <v>2904.5761000000002</v>
      </c>
      <c r="N354" s="11">
        <v>3086.4270000000001</v>
      </c>
      <c r="O354" s="3">
        <f t="shared" si="49"/>
        <v>2.6776846974079227E-2</v>
      </c>
      <c r="P354" s="3">
        <f t="shared" si="50"/>
        <v>2.8395887452212554E-2</v>
      </c>
      <c r="Q354" s="3">
        <f t="shared" si="51"/>
        <v>2.2622154200198308E-2</v>
      </c>
      <c r="R354" s="3">
        <f t="shared" si="52"/>
        <v>2.4135188378636041E-2</v>
      </c>
      <c r="S354" s="15">
        <f t="shared" si="45"/>
        <v>1.0267768469740792</v>
      </c>
      <c r="T354" s="15">
        <f t="shared" si="46"/>
        <v>1.0283958874522126</v>
      </c>
      <c r="U354" s="15">
        <f t="shared" si="47"/>
        <v>1.0226221542001983</v>
      </c>
      <c r="V354" s="15">
        <f t="shared" si="48"/>
        <v>1.024135188378636</v>
      </c>
    </row>
    <row r="355" spans="1:22" x14ac:dyDescent="0.25">
      <c r="A355" s="6">
        <v>45229</v>
      </c>
      <c r="B355" s="10">
        <v>2.2250999999999999</v>
      </c>
      <c r="C355" s="10">
        <v>2.5526</v>
      </c>
      <c r="D355" s="10">
        <v>2.7141000000000002</v>
      </c>
      <c r="E355" s="10">
        <v>3.0106000000000002</v>
      </c>
      <c r="F355" s="10">
        <v>2.0752999999999999</v>
      </c>
      <c r="G355" s="10">
        <v>2.4802</v>
      </c>
      <c r="H355" s="11">
        <v>2.5</v>
      </c>
      <c r="J355" s="8">
        <v>45243</v>
      </c>
      <c r="K355" s="11">
        <v>1772.1315999999999</v>
      </c>
      <c r="L355" s="11">
        <v>2379.7593999999999</v>
      </c>
      <c r="M355" s="11">
        <v>2905.6453000000001</v>
      </c>
      <c r="N355" s="11">
        <v>3087.4068000000002</v>
      </c>
      <c r="O355" s="3">
        <f t="shared" si="49"/>
        <v>2.706164415953638E-2</v>
      </c>
      <c r="P355" s="3">
        <f t="shared" si="50"/>
        <v>2.874189092193058E-2</v>
      </c>
      <c r="Q355" s="3">
        <f t="shared" si="51"/>
        <v>2.2998590406249519E-2</v>
      </c>
      <c r="R355" s="3">
        <f t="shared" si="52"/>
        <v>2.4460304656316989E-2</v>
      </c>
      <c r="S355" s="15">
        <f t="shared" si="45"/>
        <v>1.0270616441595364</v>
      </c>
      <c r="T355" s="15">
        <f t="shared" si="46"/>
        <v>1.0287418909219306</v>
      </c>
      <c r="U355" s="15">
        <f t="shared" si="47"/>
        <v>1.0229985904062495</v>
      </c>
      <c r="V355" s="15">
        <f t="shared" si="48"/>
        <v>1.024460304656317</v>
      </c>
    </row>
    <row r="356" spans="1:22" x14ac:dyDescent="0.25">
      <c r="A356" s="6">
        <v>45230</v>
      </c>
      <c r="B356" s="10">
        <v>2.2050999999999998</v>
      </c>
      <c r="C356" s="10">
        <v>2.5325000000000002</v>
      </c>
      <c r="D356" s="10">
        <v>2.6938</v>
      </c>
      <c r="E356" s="10">
        <v>2.9956</v>
      </c>
      <c r="F356" s="10">
        <v>2.0688</v>
      </c>
      <c r="G356" s="10">
        <v>2.4624000000000001</v>
      </c>
      <c r="H356" s="11">
        <v>2.5</v>
      </c>
      <c r="J356" s="8">
        <v>45244</v>
      </c>
      <c r="K356" s="11">
        <v>1772.2842000000001</v>
      </c>
      <c r="L356" s="11">
        <v>2379.8420999999998</v>
      </c>
      <c r="M356" s="11">
        <v>2906.3393999999998</v>
      </c>
      <c r="N356" s="11">
        <v>3087.8579</v>
      </c>
      <c r="O356" s="3">
        <f t="shared" si="49"/>
        <v>2.715008545074693E-2</v>
      </c>
      <c r="P356" s="3">
        <f t="shared" si="50"/>
        <v>2.8777641155495859E-2</v>
      </c>
      <c r="Q356" s="3">
        <f t="shared" si="51"/>
        <v>2.3242964116144682E-2</v>
      </c>
      <c r="R356" s="3">
        <f t="shared" si="52"/>
        <v>2.4609988217106693E-2</v>
      </c>
      <c r="S356" s="15">
        <f t="shared" si="45"/>
        <v>1.0271500854507469</v>
      </c>
      <c r="T356" s="15">
        <f t="shared" si="46"/>
        <v>1.0287776411554959</v>
      </c>
      <c r="U356" s="15">
        <f t="shared" si="47"/>
        <v>1.0232429641161447</v>
      </c>
      <c r="V356" s="15">
        <f t="shared" si="48"/>
        <v>1.0246099882171067</v>
      </c>
    </row>
    <row r="357" spans="1:22" x14ac:dyDescent="0.25">
      <c r="A357" s="6">
        <v>45231</v>
      </c>
      <c r="B357" s="10">
        <v>2.2501000000000002</v>
      </c>
      <c r="C357" s="10">
        <v>2.5299</v>
      </c>
      <c r="D357" s="10">
        <v>2.6852999999999998</v>
      </c>
      <c r="E357" s="10">
        <v>2.9910999999999999</v>
      </c>
      <c r="F357" s="10">
        <v>2.0859999999999999</v>
      </c>
      <c r="G357" s="10">
        <v>2.4655</v>
      </c>
      <c r="H357" s="11">
        <v>2.4</v>
      </c>
      <c r="J357" s="8">
        <v>45245</v>
      </c>
      <c r="K357" s="11">
        <v>1772.528</v>
      </c>
      <c r="L357" s="11">
        <v>2380.3611999999998</v>
      </c>
      <c r="M357" s="11">
        <v>2907.9917999999998</v>
      </c>
      <c r="N357" s="11">
        <v>3089.3276999999998</v>
      </c>
      <c r="O357" s="3">
        <f t="shared" si="49"/>
        <v>2.7291382874056858E-2</v>
      </c>
      <c r="P357" s="3">
        <f t="shared" si="50"/>
        <v>2.9002041956508684E-2</v>
      </c>
      <c r="Q357" s="3">
        <f t="shared" si="51"/>
        <v>2.382472916186007E-2</v>
      </c>
      <c r="R357" s="3">
        <f t="shared" si="52"/>
        <v>2.5097695815529786E-2</v>
      </c>
      <c r="S357" s="15">
        <f t="shared" si="45"/>
        <v>1.0272913828740569</v>
      </c>
      <c r="T357" s="15">
        <f t="shared" si="46"/>
        <v>1.0290020419565087</v>
      </c>
      <c r="U357" s="15">
        <f t="shared" si="47"/>
        <v>1.0238247291618601</v>
      </c>
      <c r="V357" s="15">
        <f t="shared" si="48"/>
        <v>1.0250976958155298</v>
      </c>
    </row>
    <row r="358" spans="1:22" x14ac:dyDescent="0.25">
      <c r="A358" s="6">
        <v>45232</v>
      </c>
      <c r="B358" s="10">
        <v>2.2151000000000001</v>
      </c>
      <c r="C358" s="10">
        <v>2.4975000000000001</v>
      </c>
      <c r="D358" s="10">
        <v>2.6553</v>
      </c>
      <c r="E358" s="10">
        <v>2.9666000000000001</v>
      </c>
      <c r="F358" s="10">
        <v>2.0516000000000001</v>
      </c>
      <c r="G358" s="10">
        <v>2.4390999999999998</v>
      </c>
      <c r="H358" s="11">
        <v>2</v>
      </c>
      <c r="J358" s="8">
        <v>45246</v>
      </c>
      <c r="K358" s="11">
        <v>1772.7737</v>
      </c>
      <c r="L358" s="11">
        <v>2380.902</v>
      </c>
      <c r="M358" s="11">
        <v>2906.9672999999998</v>
      </c>
      <c r="N358" s="11">
        <v>3088.8164999999999</v>
      </c>
      <c r="O358" s="3">
        <f t="shared" si="49"/>
        <v>2.7433781466785545E-2</v>
      </c>
      <c r="P358" s="3">
        <f t="shared" si="50"/>
        <v>2.9235823411310591E-2</v>
      </c>
      <c r="Q358" s="3">
        <f t="shared" si="51"/>
        <v>2.3464030608643327E-2</v>
      </c>
      <c r="R358" s="3">
        <f t="shared" si="52"/>
        <v>2.4928069931522634E-2</v>
      </c>
      <c r="S358" s="15">
        <f t="shared" si="45"/>
        <v>1.0274337814667855</v>
      </c>
      <c r="T358" s="15">
        <f t="shared" si="46"/>
        <v>1.0292358234113106</v>
      </c>
      <c r="U358" s="15">
        <f t="shared" si="47"/>
        <v>1.0234640306086433</v>
      </c>
      <c r="V358" s="15">
        <f t="shared" si="48"/>
        <v>1.0249280699315226</v>
      </c>
    </row>
    <row r="359" spans="1:22" x14ac:dyDescent="0.25">
      <c r="A359" s="6">
        <v>45233</v>
      </c>
      <c r="B359" s="10">
        <v>2.2202000000000002</v>
      </c>
      <c r="C359" s="10">
        <v>2.5177</v>
      </c>
      <c r="D359" s="10">
        <v>2.6613000000000002</v>
      </c>
      <c r="E359" s="10">
        <v>2.9727000000000001</v>
      </c>
      <c r="F359" s="10">
        <v>2.0484</v>
      </c>
      <c r="G359" s="10">
        <v>2.4415</v>
      </c>
      <c r="H359" s="11">
        <v>1.82</v>
      </c>
      <c r="J359" s="8">
        <v>45247</v>
      </c>
      <c r="K359" s="11">
        <v>1773.0533</v>
      </c>
      <c r="L359" s="11">
        <v>2381.6817999999998</v>
      </c>
      <c r="M359" s="11">
        <v>2907.8296999999998</v>
      </c>
      <c r="N359" s="11">
        <v>3089.6392999999998</v>
      </c>
      <c r="O359" s="3">
        <f t="shared" si="49"/>
        <v>2.7595827240195936E-2</v>
      </c>
      <c r="P359" s="3">
        <f t="shared" si="50"/>
        <v>2.9572921744251746E-2</v>
      </c>
      <c r="Q359" s="3">
        <f t="shared" si="51"/>
        <v>2.376765816578752E-2</v>
      </c>
      <c r="R359" s="3">
        <f t="shared" si="52"/>
        <v>2.5201090622761324E-2</v>
      </c>
      <c r="S359" s="15">
        <f t="shared" si="45"/>
        <v>1.0275958272401959</v>
      </c>
      <c r="T359" s="15">
        <f t="shared" si="46"/>
        <v>1.0295729217442517</v>
      </c>
      <c r="U359" s="15">
        <f t="shared" si="47"/>
        <v>1.0237676581657875</v>
      </c>
      <c r="V359" s="15">
        <f t="shared" si="48"/>
        <v>1.0252010906227613</v>
      </c>
    </row>
    <row r="360" spans="1:22" x14ac:dyDescent="0.25">
      <c r="A360" s="6">
        <v>45236</v>
      </c>
      <c r="B360" s="10">
        <v>2.2303000000000002</v>
      </c>
      <c r="C360" s="10">
        <v>2.5181</v>
      </c>
      <c r="D360" s="10">
        <v>2.6554000000000002</v>
      </c>
      <c r="E360" s="10">
        <v>2.9683000000000002</v>
      </c>
      <c r="F360" s="10">
        <v>2.0545</v>
      </c>
      <c r="G360" s="10">
        <v>2.4390999999999998</v>
      </c>
      <c r="H360" s="11">
        <v>2</v>
      </c>
      <c r="J360" s="8">
        <v>45250</v>
      </c>
      <c r="K360" s="11">
        <v>1773.3688999999999</v>
      </c>
      <c r="L360" s="11">
        <v>2381.9526000000001</v>
      </c>
      <c r="M360" s="11">
        <v>2908.9935</v>
      </c>
      <c r="N360" s="11">
        <v>3090.4942000000001</v>
      </c>
      <c r="O360" s="3">
        <f t="shared" si="49"/>
        <v>2.7778737276277221E-2</v>
      </c>
      <c r="P360" s="3">
        <f t="shared" si="50"/>
        <v>2.9689985386929907E-2</v>
      </c>
      <c r="Q360" s="3">
        <f t="shared" si="51"/>
        <v>2.4177400455913212E-2</v>
      </c>
      <c r="R360" s="3">
        <f t="shared" si="52"/>
        <v>2.5484762704603758E-2</v>
      </c>
      <c r="S360" s="15">
        <f t="shared" si="45"/>
        <v>1.0277787372762772</v>
      </c>
      <c r="T360" s="15">
        <f t="shared" si="46"/>
        <v>1.0296899853869299</v>
      </c>
      <c r="U360" s="15">
        <f t="shared" si="47"/>
        <v>1.0241774004559132</v>
      </c>
      <c r="V360" s="15">
        <f t="shared" si="48"/>
        <v>1.0254847627046038</v>
      </c>
    </row>
    <row r="361" spans="1:22" x14ac:dyDescent="0.25">
      <c r="A361" s="6">
        <v>45237</v>
      </c>
      <c r="B361" s="10">
        <v>2.2505000000000002</v>
      </c>
      <c r="C361" s="10">
        <v>2.5329000000000002</v>
      </c>
      <c r="D361" s="10">
        <v>2.6631999999999998</v>
      </c>
      <c r="E361" s="10">
        <v>2.9718</v>
      </c>
      <c r="F361" s="10">
        <v>2.0691999999999999</v>
      </c>
      <c r="G361" s="10">
        <v>2.4394999999999998</v>
      </c>
      <c r="H361" s="11">
        <v>2.0299999999999998</v>
      </c>
      <c r="J361" s="8">
        <v>45251</v>
      </c>
      <c r="K361" s="11">
        <v>1773.4087</v>
      </c>
      <c r="L361" s="11">
        <v>2381.8526999999999</v>
      </c>
      <c r="M361" s="11">
        <v>2908.3211999999999</v>
      </c>
      <c r="N361" s="11">
        <v>3090.0171</v>
      </c>
      <c r="O361" s="3">
        <f t="shared" si="49"/>
        <v>2.7801803877785414E-2</v>
      </c>
      <c r="P361" s="3">
        <f t="shared" si="50"/>
        <v>2.9646799796444023E-2</v>
      </c>
      <c r="Q361" s="3">
        <f t="shared" si="51"/>
        <v>2.3940701932411157E-2</v>
      </c>
      <c r="R361" s="3">
        <f t="shared" si="52"/>
        <v>2.5326451849243981E-2</v>
      </c>
      <c r="S361" s="15">
        <f t="shared" si="45"/>
        <v>1.0278018038777854</v>
      </c>
      <c r="T361" s="15">
        <f t="shared" si="46"/>
        <v>1.029646799796444</v>
      </c>
      <c r="U361" s="15">
        <f t="shared" si="47"/>
        <v>1.0239407019324112</v>
      </c>
      <c r="V361" s="15">
        <f t="shared" si="48"/>
        <v>1.025326451849244</v>
      </c>
    </row>
    <row r="362" spans="1:22" x14ac:dyDescent="0.25">
      <c r="A362" s="6">
        <v>45238</v>
      </c>
      <c r="B362" s="10">
        <v>2.2479</v>
      </c>
      <c r="C362" s="10">
        <v>2.5211000000000001</v>
      </c>
      <c r="D362" s="10">
        <v>2.6463999999999999</v>
      </c>
      <c r="E362" s="10">
        <v>2.9582999999999999</v>
      </c>
      <c r="F362" s="10">
        <v>2.0783</v>
      </c>
      <c r="G362" s="10">
        <v>2.4430999999999998</v>
      </c>
      <c r="H362" s="11">
        <v>2.0499999999999998</v>
      </c>
      <c r="J362" s="8">
        <v>45252</v>
      </c>
      <c r="K362" s="11">
        <v>1773.3087</v>
      </c>
      <c r="L362" s="11">
        <v>2381.3161</v>
      </c>
      <c r="M362" s="11">
        <v>2905.5882999999999</v>
      </c>
      <c r="N362" s="11">
        <v>3087.7593999999999</v>
      </c>
      <c r="O362" s="3">
        <f t="shared" si="49"/>
        <v>2.7743847592588633E-2</v>
      </c>
      <c r="P362" s="3">
        <f t="shared" si="50"/>
        <v>2.9414833952053021E-2</v>
      </c>
      <c r="Q362" s="3">
        <f t="shared" si="51"/>
        <v>2.2978522258339851E-2</v>
      </c>
      <c r="R362" s="3">
        <f t="shared" si="52"/>
        <v>2.4577304043447157E-2</v>
      </c>
      <c r="S362" s="15">
        <f t="shared" si="45"/>
        <v>1.0277438475925886</v>
      </c>
      <c r="T362" s="15">
        <f t="shared" si="46"/>
        <v>1.029414833952053</v>
      </c>
      <c r="U362" s="15">
        <f t="shared" si="47"/>
        <v>1.0229785222583399</v>
      </c>
      <c r="V362" s="15">
        <f t="shared" si="48"/>
        <v>1.0245773040434472</v>
      </c>
    </row>
    <row r="363" spans="1:22" x14ac:dyDescent="0.25">
      <c r="A363" s="6">
        <v>45239</v>
      </c>
      <c r="B363" s="10">
        <v>2.2406000000000001</v>
      </c>
      <c r="C363" s="10">
        <v>2.5204</v>
      </c>
      <c r="D363" s="10">
        <v>2.6494</v>
      </c>
      <c r="E363" s="10">
        <v>2.9584000000000001</v>
      </c>
      <c r="F363" s="10">
        <v>2.0710000000000002</v>
      </c>
      <c r="G363" s="10">
        <v>2.4228000000000001</v>
      </c>
      <c r="H363" s="11">
        <v>2.0499999999999998</v>
      </c>
      <c r="J363" s="8">
        <v>45253</v>
      </c>
      <c r="K363" s="11">
        <v>1773.0615</v>
      </c>
      <c r="L363" s="11">
        <v>2380.5630000000001</v>
      </c>
      <c r="M363" s="11">
        <v>2905.3775999999998</v>
      </c>
      <c r="N363" s="11">
        <v>3087.393</v>
      </c>
      <c r="O363" s="3">
        <f t="shared" si="49"/>
        <v>2.7600579655582047E-2</v>
      </c>
      <c r="P363" s="3">
        <f t="shared" si="50"/>
        <v>2.908927771386649E-2</v>
      </c>
      <c r="Q363" s="3">
        <f t="shared" si="51"/>
        <v>2.2904340525628397E-2</v>
      </c>
      <c r="R363" s="3">
        <f t="shared" si="52"/>
        <v>2.4455725553814256E-2</v>
      </c>
      <c r="S363" s="15">
        <f t="shared" si="45"/>
        <v>1.027600579655582</v>
      </c>
      <c r="T363" s="15">
        <f t="shared" si="46"/>
        <v>1.0290892777138665</v>
      </c>
      <c r="U363" s="15">
        <f t="shared" si="47"/>
        <v>1.0229043405256284</v>
      </c>
      <c r="V363" s="15">
        <f t="shared" si="48"/>
        <v>1.0244557255538143</v>
      </c>
    </row>
    <row r="364" spans="1:22" x14ac:dyDescent="0.25">
      <c r="A364" s="6">
        <v>45240</v>
      </c>
      <c r="B364" s="10">
        <v>2.2305999999999999</v>
      </c>
      <c r="C364" s="10">
        <v>2.5028999999999999</v>
      </c>
      <c r="D364" s="10">
        <v>2.6444000000000001</v>
      </c>
      <c r="E364" s="10">
        <v>2.9459</v>
      </c>
      <c r="F364" s="10">
        <v>2.0693000000000001</v>
      </c>
      <c r="G364" s="10">
        <v>2.4222999999999999</v>
      </c>
      <c r="H364" s="11">
        <v>2.0299999999999998</v>
      </c>
      <c r="J364" s="8">
        <v>45254</v>
      </c>
      <c r="K364" s="11">
        <v>1773.0731000000001</v>
      </c>
      <c r="L364" s="11">
        <v>2380.5315000000001</v>
      </c>
      <c r="M364" s="11">
        <v>2903.9337999999998</v>
      </c>
      <c r="N364" s="11">
        <v>3086.3339999999998</v>
      </c>
      <c r="O364" s="3">
        <f t="shared" si="49"/>
        <v>2.7607302584664817E-2</v>
      </c>
      <c r="P364" s="3">
        <f t="shared" si="50"/>
        <v>2.9075660635785372E-2</v>
      </c>
      <c r="Q364" s="3">
        <f t="shared" si="51"/>
        <v>2.2396017859806605E-2</v>
      </c>
      <c r="R364" s="3">
        <f t="shared" si="52"/>
        <v>2.4104329209597042E-2</v>
      </c>
      <c r="S364" s="15">
        <f t="shared" si="45"/>
        <v>1.0276073025846648</v>
      </c>
      <c r="T364" s="15">
        <f t="shared" si="46"/>
        <v>1.0290756606357854</v>
      </c>
      <c r="U364" s="15">
        <f t="shared" si="47"/>
        <v>1.0223960178598066</v>
      </c>
      <c r="V364" s="15">
        <f t="shared" si="48"/>
        <v>1.024104329209597</v>
      </c>
    </row>
    <row r="365" spans="1:22" x14ac:dyDescent="0.25">
      <c r="A365" s="6">
        <v>45243</v>
      </c>
      <c r="B365" s="10">
        <v>2.2059000000000002</v>
      </c>
      <c r="C365" s="10">
        <v>2.4908999999999999</v>
      </c>
      <c r="D365" s="10">
        <v>2.6454</v>
      </c>
      <c r="E365" s="10">
        <v>2.9384999999999999</v>
      </c>
      <c r="F365" s="10">
        <v>2.0533999999999999</v>
      </c>
      <c r="G365" s="10">
        <v>2.4036</v>
      </c>
      <c r="H365" s="11">
        <v>2.0499999999999998</v>
      </c>
      <c r="J365" s="8">
        <v>45257</v>
      </c>
      <c r="K365" s="11">
        <v>1773.0272</v>
      </c>
      <c r="L365" s="11">
        <v>2380.2159999999999</v>
      </c>
      <c r="M365" s="11">
        <v>2903.7361999999998</v>
      </c>
      <c r="N365" s="11">
        <v>3085.7440999999999</v>
      </c>
      <c r="O365" s="3">
        <f t="shared" si="49"/>
        <v>2.7580700649759482E-2</v>
      </c>
      <c r="P365" s="3">
        <f t="shared" si="50"/>
        <v>2.8939273710877567E-2</v>
      </c>
      <c r="Q365" s="3">
        <f t="shared" si="51"/>
        <v>2.2326448280386879E-2</v>
      </c>
      <c r="R365" s="3">
        <f t="shared" si="52"/>
        <v>2.390858916856442E-2</v>
      </c>
      <c r="S365" s="15">
        <f t="shared" si="45"/>
        <v>1.0275807006497595</v>
      </c>
      <c r="T365" s="15">
        <f t="shared" si="46"/>
        <v>1.0289392737108776</v>
      </c>
      <c r="U365" s="15">
        <f t="shared" si="47"/>
        <v>1.0223264482803869</v>
      </c>
      <c r="V365" s="15">
        <f t="shared" si="48"/>
        <v>1.0239085891685644</v>
      </c>
    </row>
    <row r="366" spans="1:22" x14ac:dyDescent="0.25">
      <c r="A366" s="6">
        <v>45244</v>
      </c>
      <c r="B366" s="10">
        <v>2.1713</v>
      </c>
      <c r="C366" s="10">
        <v>2.5038999999999998</v>
      </c>
      <c r="D366" s="10">
        <v>2.6573000000000002</v>
      </c>
      <c r="E366" s="10">
        <v>2.9439000000000002</v>
      </c>
      <c r="F366" s="10">
        <v>2.0638999999999998</v>
      </c>
      <c r="G366" s="10">
        <v>2.4125000000000001</v>
      </c>
      <c r="H366" s="11">
        <v>2.2000000000000002</v>
      </c>
      <c r="J366" s="8">
        <v>45258</v>
      </c>
      <c r="K366" s="11">
        <v>1773.0848000000001</v>
      </c>
      <c r="L366" s="11">
        <v>2380.4982</v>
      </c>
      <c r="M366" s="11">
        <v>2904.6493</v>
      </c>
      <c r="N366" s="11">
        <v>3086.4164999999998</v>
      </c>
      <c r="O366" s="3">
        <f t="shared" si="49"/>
        <v>2.7614083470032913E-2</v>
      </c>
      <c r="P366" s="3">
        <f t="shared" si="50"/>
        <v>2.9061265438956596E-2</v>
      </c>
      <c r="Q366" s="3">
        <f t="shared" si="51"/>
        <v>2.2647925926987389E-2</v>
      </c>
      <c r="R366" s="3">
        <f t="shared" si="52"/>
        <v>2.4131704278905763E-2</v>
      </c>
      <c r="S366" s="15">
        <f t="shared" si="45"/>
        <v>1.0276140834700329</v>
      </c>
      <c r="T366" s="15">
        <f t="shared" si="46"/>
        <v>1.0290612654389566</v>
      </c>
      <c r="U366" s="15">
        <f t="shared" si="47"/>
        <v>1.0226479259269874</v>
      </c>
      <c r="V366" s="15">
        <f t="shared" si="48"/>
        <v>1.0241317042789058</v>
      </c>
    </row>
    <row r="367" spans="1:22" x14ac:dyDescent="0.25">
      <c r="A367" s="6">
        <v>45245</v>
      </c>
      <c r="B367" s="10">
        <v>2.1613000000000002</v>
      </c>
      <c r="C367" s="10">
        <v>2.5021</v>
      </c>
      <c r="D367" s="10">
        <v>2.6633</v>
      </c>
      <c r="E367" s="10">
        <v>2.9485000000000001</v>
      </c>
      <c r="F367" s="10">
        <v>2.0644999999999998</v>
      </c>
      <c r="G367" s="10">
        <v>2.4214000000000002</v>
      </c>
      <c r="H367" s="11">
        <v>2.2200000000000002</v>
      </c>
      <c r="J367" s="8">
        <v>45259</v>
      </c>
      <c r="K367" s="11">
        <v>1773.0532000000001</v>
      </c>
      <c r="L367" s="11">
        <v>2380.4292999999998</v>
      </c>
      <c r="M367" s="11">
        <v>2903.7222000000002</v>
      </c>
      <c r="N367" s="11">
        <v>3085.6351</v>
      </c>
      <c r="O367" s="3">
        <f t="shared" si="49"/>
        <v>2.7595769283910609E-2</v>
      </c>
      <c r="P367" s="3">
        <f t="shared" si="50"/>
        <v>2.9031480782455432E-2</v>
      </c>
      <c r="Q367" s="3">
        <f t="shared" si="51"/>
        <v>2.2321519261602196E-2</v>
      </c>
      <c r="R367" s="3">
        <f t="shared" si="52"/>
        <v>2.3872420895174828E-2</v>
      </c>
      <c r="S367" s="15">
        <f t="shared" si="45"/>
        <v>1.0275957692839106</v>
      </c>
      <c r="T367" s="15">
        <f t="shared" si="46"/>
        <v>1.0290314807824554</v>
      </c>
      <c r="U367" s="15">
        <f t="shared" si="47"/>
        <v>1.0223215192616022</v>
      </c>
      <c r="V367" s="15">
        <f t="shared" si="48"/>
        <v>1.0238724208951748</v>
      </c>
    </row>
    <row r="368" spans="1:22" x14ac:dyDescent="0.25">
      <c r="A368" s="6">
        <v>45246</v>
      </c>
      <c r="B368" s="10">
        <v>2.1415000000000002</v>
      </c>
      <c r="C368" s="10">
        <v>2.5026999999999999</v>
      </c>
      <c r="D368" s="10">
        <v>2.6558000000000002</v>
      </c>
      <c r="E368" s="10">
        <v>2.944</v>
      </c>
      <c r="F368" s="10">
        <v>2.0636999999999999</v>
      </c>
      <c r="G368" s="10">
        <v>2.4097</v>
      </c>
      <c r="H368" s="11">
        <v>2.2000000000000002</v>
      </c>
      <c r="J368" s="8">
        <v>45260</v>
      </c>
      <c r="K368" s="11">
        <v>1773.3621000000001</v>
      </c>
      <c r="L368" s="11">
        <v>2381.0547000000001</v>
      </c>
      <c r="M368" s="11">
        <v>2904.1289000000002</v>
      </c>
      <c r="N368" s="11">
        <v>3086.1489999999999</v>
      </c>
      <c r="O368" s="3">
        <f t="shared" si="49"/>
        <v>2.7774796248883682E-2</v>
      </c>
      <c r="P368" s="3">
        <f t="shared" si="50"/>
        <v>2.9301833818389467E-2</v>
      </c>
      <c r="Q368" s="3">
        <f t="shared" si="51"/>
        <v>2.2464707257300764E-2</v>
      </c>
      <c r="R368" s="3">
        <f t="shared" si="52"/>
        <v>2.4042942690541302E-2</v>
      </c>
      <c r="S368" s="15">
        <f t="shared" si="45"/>
        <v>1.0277747962488837</v>
      </c>
      <c r="T368" s="15">
        <f t="shared" si="46"/>
        <v>1.0293018338183895</v>
      </c>
      <c r="U368" s="15">
        <f t="shared" si="47"/>
        <v>1.0224647072573008</v>
      </c>
      <c r="V368" s="15">
        <f t="shared" si="48"/>
        <v>1.0240429426905413</v>
      </c>
    </row>
    <row r="369" spans="1:22" x14ac:dyDescent="0.25">
      <c r="A369" s="6">
        <v>45247</v>
      </c>
      <c r="B369" s="10">
        <v>2.1221000000000001</v>
      </c>
      <c r="C369" s="10">
        <v>2.5057999999999998</v>
      </c>
      <c r="D369" s="10">
        <v>2.6524000000000001</v>
      </c>
      <c r="E369" s="10">
        <v>2.9336000000000002</v>
      </c>
      <c r="F369" s="10">
        <v>2.0651000000000002</v>
      </c>
      <c r="G369" s="10">
        <v>2.4087000000000001</v>
      </c>
      <c r="H369" s="11">
        <v>2.25</v>
      </c>
      <c r="J369" s="8">
        <v>45261</v>
      </c>
      <c r="K369" s="11">
        <v>1773.5191</v>
      </c>
      <c r="L369" s="11">
        <v>2381.3751000000002</v>
      </c>
      <c r="M369" s="11">
        <v>2904.7570000000001</v>
      </c>
      <c r="N369" s="11">
        <v>3086.6786999999999</v>
      </c>
      <c r="O369" s="3">
        <f t="shared" si="49"/>
        <v>2.7865787616642823E-2</v>
      </c>
      <c r="P369" s="3">
        <f t="shared" si="50"/>
        <v>2.9440338955443179E-2</v>
      </c>
      <c r="Q369" s="3">
        <f t="shared" si="51"/>
        <v>2.2685844164353375E-2</v>
      </c>
      <c r="R369" s="3">
        <f t="shared" si="52"/>
        <v>2.4218707226454361E-2</v>
      </c>
      <c r="S369" s="15">
        <f t="shared" si="45"/>
        <v>1.0278657876166428</v>
      </c>
      <c r="T369" s="15">
        <f t="shared" si="46"/>
        <v>1.0294403389554432</v>
      </c>
      <c r="U369" s="15">
        <f t="shared" si="47"/>
        <v>1.0226858441643534</v>
      </c>
      <c r="V369" s="15">
        <f t="shared" si="48"/>
        <v>1.0242187072264544</v>
      </c>
    </row>
    <row r="370" spans="1:22" x14ac:dyDescent="0.25">
      <c r="A370" s="6">
        <v>45250</v>
      </c>
      <c r="B370" s="10">
        <v>2.1476999999999999</v>
      </c>
      <c r="C370" s="10">
        <v>2.5243000000000002</v>
      </c>
      <c r="D370" s="10">
        <v>2.6583999999999999</v>
      </c>
      <c r="E370" s="10">
        <v>2.9321000000000002</v>
      </c>
      <c r="F370" s="10">
        <v>2.0781000000000001</v>
      </c>
      <c r="G370" s="10">
        <v>2.4186999999999999</v>
      </c>
      <c r="H370" s="11">
        <v>2.25</v>
      </c>
      <c r="J370" s="8">
        <v>45264</v>
      </c>
      <c r="K370" s="11">
        <v>1773.683</v>
      </c>
      <c r="L370" s="11">
        <v>2381.2543000000001</v>
      </c>
      <c r="M370" s="11">
        <v>2904.2456000000002</v>
      </c>
      <c r="N370" s="11">
        <v>3086.2130000000002</v>
      </c>
      <c r="O370" s="3">
        <f t="shared" si="49"/>
        <v>2.7960777968080386E-2</v>
      </c>
      <c r="P370" s="3">
        <f t="shared" si="50"/>
        <v>2.9388118541722408E-2</v>
      </c>
      <c r="Q370" s="3">
        <f t="shared" si="51"/>
        <v>2.2505794149599856E-2</v>
      </c>
      <c r="R370" s="3">
        <f t="shared" si="52"/>
        <v>2.4064179107944561E-2</v>
      </c>
      <c r="S370" s="15">
        <f t="shared" si="45"/>
        <v>1.0279607779680804</v>
      </c>
      <c r="T370" s="15">
        <f t="shared" si="46"/>
        <v>1.0293881185417224</v>
      </c>
      <c r="U370" s="15">
        <f t="shared" si="47"/>
        <v>1.0225057941495999</v>
      </c>
      <c r="V370" s="15">
        <f t="shared" si="48"/>
        <v>1.0240641791079446</v>
      </c>
    </row>
    <row r="371" spans="1:22" x14ac:dyDescent="0.25">
      <c r="A371" s="6">
        <v>45251</v>
      </c>
      <c r="B371" s="10">
        <v>2.2023999999999999</v>
      </c>
      <c r="C371" s="10">
        <v>2.5449999999999999</v>
      </c>
      <c r="D371" s="10">
        <v>2.6684000000000001</v>
      </c>
      <c r="E371" s="10">
        <v>2.9388000000000001</v>
      </c>
      <c r="F371" s="10">
        <v>2.0960000000000001</v>
      </c>
      <c r="G371" s="10">
        <v>2.4321999999999999</v>
      </c>
      <c r="H371" s="11">
        <v>2.2000000000000002</v>
      </c>
      <c r="J371" s="8">
        <v>45265</v>
      </c>
      <c r="K371" s="11">
        <v>1773.6225999999999</v>
      </c>
      <c r="L371" s="11">
        <v>2381.1631000000002</v>
      </c>
      <c r="M371" s="11">
        <v>2901.8751999999999</v>
      </c>
      <c r="N371" s="11">
        <v>3084.2664</v>
      </c>
      <c r="O371" s="3">
        <f t="shared" si="49"/>
        <v>2.7925772371821589E-2</v>
      </c>
      <c r="P371" s="3">
        <f t="shared" si="50"/>
        <v>2.934869385851635E-2</v>
      </c>
      <c r="Q371" s="3">
        <f t="shared" si="51"/>
        <v>2.1671240854777674E-2</v>
      </c>
      <c r="R371" s="3">
        <f t="shared" si="52"/>
        <v>2.3418260199868035E-2</v>
      </c>
      <c r="S371" s="15">
        <f t="shared" si="45"/>
        <v>1.0279257723718216</v>
      </c>
      <c r="T371" s="15">
        <f t="shared" si="46"/>
        <v>1.0293486938585164</v>
      </c>
      <c r="U371" s="15">
        <f t="shared" si="47"/>
        <v>1.0216712408547777</v>
      </c>
      <c r="V371" s="15">
        <f t="shared" si="48"/>
        <v>1.023418260199868</v>
      </c>
    </row>
    <row r="372" spans="1:22" x14ac:dyDescent="0.25">
      <c r="A372" s="6">
        <v>45252</v>
      </c>
      <c r="B372" s="10">
        <v>2.3111999999999999</v>
      </c>
      <c r="C372" s="10">
        <v>2.5661</v>
      </c>
      <c r="D372" s="10">
        <v>2.6823000000000001</v>
      </c>
      <c r="E372" s="10">
        <v>2.9538000000000002</v>
      </c>
      <c r="F372" s="10">
        <v>2.1166999999999998</v>
      </c>
      <c r="G372" s="10">
        <v>2.4422999999999999</v>
      </c>
      <c r="H372" s="11">
        <v>2.2000000000000002</v>
      </c>
      <c r="J372" s="8">
        <v>45266</v>
      </c>
      <c r="K372" s="11">
        <v>1773.5411999999999</v>
      </c>
      <c r="L372" s="11">
        <v>2380.8717999999999</v>
      </c>
      <c r="M372" s="11">
        <v>2901.9414000000002</v>
      </c>
      <c r="N372" s="11">
        <v>3084.1844999999998</v>
      </c>
      <c r="O372" s="3">
        <f t="shared" ref="O372:O389" si="53">K372/$K$148-1</f>
        <v>2.7878595955671326E-2</v>
      </c>
      <c r="P372" s="3">
        <f t="shared" ref="P372:P389" si="54">L372/$L$148-1</f>
        <v>2.9222768307880509E-2</v>
      </c>
      <c r="Q372" s="3">
        <f t="shared" ref="Q372:Q389" si="55">M372/$M$148-1</f>
        <v>2.1694548072174635E-2</v>
      </c>
      <c r="R372" s="3">
        <f t="shared" ref="R372:R389" si="56">N372/$N$148-1</f>
        <v>2.3391084221972447E-2</v>
      </c>
      <c r="S372" s="15">
        <f t="shared" si="45"/>
        <v>1.0278785959556713</v>
      </c>
      <c r="T372" s="15">
        <f t="shared" si="46"/>
        <v>1.0292227683078805</v>
      </c>
      <c r="U372" s="15">
        <f t="shared" si="47"/>
        <v>1.0216945480721746</v>
      </c>
      <c r="V372" s="15">
        <f t="shared" si="48"/>
        <v>1.0233910842219724</v>
      </c>
    </row>
    <row r="373" spans="1:22" x14ac:dyDescent="0.25">
      <c r="A373" s="6">
        <v>45253</v>
      </c>
      <c r="B373" s="10">
        <v>2.3264</v>
      </c>
      <c r="C373" s="10">
        <v>2.5836999999999999</v>
      </c>
      <c r="D373" s="10">
        <v>2.7023000000000001</v>
      </c>
      <c r="E373" s="10">
        <v>2.9704000000000002</v>
      </c>
      <c r="F373" s="10">
        <v>2.1343000000000001</v>
      </c>
      <c r="G373" s="10">
        <v>2.4744999999999999</v>
      </c>
      <c r="H373" s="11">
        <v>2.25</v>
      </c>
      <c r="J373" s="8">
        <v>45267</v>
      </c>
      <c r="K373" s="11">
        <v>1773.6434999999999</v>
      </c>
      <c r="L373" s="11">
        <v>2381.2910999999999</v>
      </c>
      <c r="M373" s="11">
        <v>2902.2728999999999</v>
      </c>
      <c r="N373" s="11">
        <v>3084.5151000000001</v>
      </c>
      <c r="O373" s="3">
        <f t="shared" si="53"/>
        <v>2.7937885235427729E-2</v>
      </c>
      <c r="P373" s="3">
        <f t="shared" si="54"/>
        <v>2.9404026747226641E-2</v>
      </c>
      <c r="Q373" s="3">
        <f t="shared" si="55"/>
        <v>2.1811260195543358E-2</v>
      </c>
      <c r="R373" s="3">
        <f t="shared" si="56"/>
        <v>2.3500783590620467E-2</v>
      </c>
      <c r="S373" s="15">
        <f t="shared" si="45"/>
        <v>1.0279378852354277</v>
      </c>
      <c r="T373" s="15">
        <f t="shared" si="46"/>
        <v>1.0294040267472266</v>
      </c>
      <c r="U373" s="15">
        <f t="shared" si="47"/>
        <v>1.0218112601955434</v>
      </c>
      <c r="V373" s="15">
        <f t="shared" si="48"/>
        <v>1.0235007835906205</v>
      </c>
    </row>
    <row r="374" spans="1:22" x14ac:dyDescent="0.25">
      <c r="A374" s="6">
        <v>45254</v>
      </c>
      <c r="B374" s="10">
        <v>2.3317000000000001</v>
      </c>
      <c r="C374" s="10">
        <v>2.5960999999999999</v>
      </c>
      <c r="D374" s="10">
        <v>2.7052999999999998</v>
      </c>
      <c r="E374" s="10">
        <v>2.9683999999999999</v>
      </c>
      <c r="F374" s="10">
        <v>2.1393</v>
      </c>
      <c r="G374" s="10">
        <v>2.4763000000000002</v>
      </c>
      <c r="H374" s="11">
        <v>2.96</v>
      </c>
      <c r="J374" s="8">
        <v>45268</v>
      </c>
      <c r="K374" s="11">
        <v>1773.7472</v>
      </c>
      <c r="L374" s="11">
        <v>2381.6835999999998</v>
      </c>
      <c r="M374" s="11">
        <v>2903.1001000000001</v>
      </c>
      <c r="N374" s="11">
        <v>3085.0610000000001</v>
      </c>
      <c r="O374" s="3">
        <f t="shared" si="53"/>
        <v>2.7997985903176925E-2</v>
      </c>
      <c r="P374" s="3">
        <f t="shared" si="54"/>
        <v>2.9573699862999181E-2</v>
      </c>
      <c r="Q374" s="3">
        <f t="shared" si="55"/>
        <v>2.2102494791171434E-2</v>
      </c>
      <c r="R374" s="3">
        <f t="shared" si="56"/>
        <v>2.368192359468857E-2</v>
      </c>
      <c r="S374" s="15">
        <f t="shared" si="45"/>
        <v>1.0279979859031769</v>
      </c>
      <c r="T374" s="15">
        <f t="shared" si="46"/>
        <v>1.0295736998629992</v>
      </c>
      <c r="U374" s="15">
        <f t="shared" si="47"/>
        <v>1.0221024947911714</v>
      </c>
      <c r="V374" s="15">
        <f t="shared" si="48"/>
        <v>1.0236819235946886</v>
      </c>
    </row>
    <row r="375" spans="1:22" x14ac:dyDescent="0.25">
      <c r="A375" s="6">
        <v>45257</v>
      </c>
      <c r="B375" s="10">
        <v>2.3889</v>
      </c>
      <c r="C375" s="10">
        <v>2.6012</v>
      </c>
      <c r="D375" s="10">
        <v>2.7107999999999999</v>
      </c>
      <c r="E375" s="10">
        <v>2.9744999999999999</v>
      </c>
      <c r="F375" s="10">
        <v>2.1789999999999998</v>
      </c>
      <c r="G375" s="10">
        <v>2.4950000000000001</v>
      </c>
      <c r="H375" s="11">
        <v>3.3</v>
      </c>
      <c r="J375" s="8">
        <v>45271</v>
      </c>
      <c r="K375" s="11">
        <v>1774.1781000000001</v>
      </c>
      <c r="L375" s="11">
        <v>2382.5221000000001</v>
      </c>
      <c r="M375" s="11">
        <v>2905.1812</v>
      </c>
      <c r="N375" s="11">
        <v>3086.8244</v>
      </c>
      <c r="O375" s="3">
        <f t="shared" si="53"/>
        <v>2.8247719536090177E-2</v>
      </c>
      <c r="P375" s="3">
        <f t="shared" si="54"/>
        <v>2.9936173512872477E-2</v>
      </c>
      <c r="Q375" s="3">
        <f t="shared" si="55"/>
        <v>2.283519343353313E-2</v>
      </c>
      <c r="R375" s="3">
        <f t="shared" si="56"/>
        <v>2.4267053257948534E-2</v>
      </c>
      <c r="S375" s="15">
        <f t="shared" si="45"/>
        <v>1.0282477195360902</v>
      </c>
      <c r="T375" s="15">
        <f t="shared" si="46"/>
        <v>1.0299361735128725</v>
      </c>
      <c r="U375" s="15">
        <f t="shared" si="47"/>
        <v>1.0228351934335331</v>
      </c>
      <c r="V375" s="15">
        <f t="shared" si="48"/>
        <v>1.0242670532579485</v>
      </c>
    </row>
    <row r="376" spans="1:22" x14ac:dyDescent="0.25">
      <c r="A376" s="6">
        <v>45258</v>
      </c>
      <c r="B376" s="10">
        <v>2.3563999999999998</v>
      </c>
      <c r="C376" s="10">
        <v>2.5762</v>
      </c>
      <c r="D376" s="10">
        <v>2.6898</v>
      </c>
      <c r="E376" s="10">
        <v>2.9540000000000002</v>
      </c>
      <c r="F376" s="10">
        <v>2.1637</v>
      </c>
      <c r="G376" s="10">
        <v>2.4750999999999999</v>
      </c>
      <c r="H376" s="11">
        <v>3.4</v>
      </c>
      <c r="J376" s="8">
        <v>45272</v>
      </c>
      <c r="K376" s="11">
        <v>1774.2896000000001</v>
      </c>
      <c r="L376" s="11">
        <v>2382.9054999999998</v>
      </c>
      <c r="M376" s="11">
        <v>2905.7301000000002</v>
      </c>
      <c r="N376" s="11">
        <v>3087.4920000000002</v>
      </c>
      <c r="O376" s="3">
        <f t="shared" si="53"/>
        <v>2.8312340794084623E-2</v>
      </c>
      <c r="P376" s="3">
        <f t="shared" si="54"/>
        <v>3.0101912806087983E-2</v>
      </c>
      <c r="Q376" s="3">
        <f t="shared" si="55"/>
        <v>2.3028446177174589E-2</v>
      </c>
      <c r="R376" s="3">
        <f t="shared" si="56"/>
        <v>2.4488575636984811E-2</v>
      </c>
      <c r="S376" s="15">
        <f t="shared" si="45"/>
        <v>1.0283123407940846</v>
      </c>
      <c r="T376" s="15">
        <f t="shared" si="46"/>
        <v>1.030101912806088</v>
      </c>
      <c r="U376" s="15">
        <f t="shared" si="47"/>
        <v>1.0230284461771746</v>
      </c>
      <c r="V376" s="15">
        <f t="shared" si="48"/>
        <v>1.0244885756369848</v>
      </c>
    </row>
    <row r="377" spans="1:22" x14ac:dyDescent="0.25">
      <c r="A377" s="6">
        <v>45259</v>
      </c>
      <c r="B377" s="10">
        <v>2.3565999999999998</v>
      </c>
      <c r="C377" s="10">
        <v>2.5840000000000001</v>
      </c>
      <c r="D377" s="10">
        <v>2.6825999999999999</v>
      </c>
      <c r="E377" s="10">
        <v>2.9525000000000001</v>
      </c>
      <c r="F377" s="10">
        <v>2.1634000000000002</v>
      </c>
      <c r="G377" s="10">
        <v>2.4624000000000001</v>
      </c>
      <c r="H377" s="11">
        <v>3.6</v>
      </c>
      <c r="J377" s="8">
        <v>45273</v>
      </c>
      <c r="K377" s="11">
        <v>1774.7833000000001</v>
      </c>
      <c r="L377" s="11">
        <v>2384.1314000000002</v>
      </c>
      <c r="M377" s="11">
        <v>2905.5680000000002</v>
      </c>
      <c r="N377" s="11">
        <v>3087.6372000000001</v>
      </c>
      <c r="O377" s="3">
        <f t="shared" si="53"/>
        <v>2.8598470974101398E-2</v>
      </c>
      <c r="P377" s="3">
        <f t="shared" si="54"/>
        <v>3.0631854901949307E-2</v>
      </c>
      <c r="Q377" s="3">
        <f t="shared" si="55"/>
        <v>2.2971375181102038E-2</v>
      </c>
      <c r="R377" s="3">
        <f t="shared" si="56"/>
        <v>2.4536755758968187E-2</v>
      </c>
      <c r="S377" s="15">
        <f t="shared" si="45"/>
        <v>1.0285984709741014</v>
      </c>
      <c r="T377" s="15">
        <f t="shared" si="46"/>
        <v>1.0306318549019493</v>
      </c>
      <c r="U377" s="15">
        <f t="shared" si="47"/>
        <v>1.022971375181102</v>
      </c>
      <c r="V377" s="15">
        <f t="shared" si="48"/>
        <v>1.0245367557589682</v>
      </c>
    </row>
    <row r="378" spans="1:22" x14ac:dyDescent="0.25">
      <c r="A378" s="6">
        <v>45260</v>
      </c>
      <c r="B378" s="10">
        <v>2.3367</v>
      </c>
      <c r="C378" s="10">
        <v>2.5691000000000002</v>
      </c>
      <c r="D378" s="10">
        <v>2.6680000000000001</v>
      </c>
      <c r="E378" s="10">
        <v>2.9405000000000001</v>
      </c>
      <c r="F378" s="10">
        <v>2.133</v>
      </c>
      <c r="G378" s="10">
        <v>2.4491000000000001</v>
      </c>
      <c r="H378" s="11">
        <v>2.75</v>
      </c>
      <c r="J378" s="8">
        <v>45274</v>
      </c>
      <c r="K378" s="11">
        <v>1775.1274000000001</v>
      </c>
      <c r="L378" s="11">
        <v>2384.65</v>
      </c>
      <c r="M378" s="11">
        <v>2905.7006000000001</v>
      </c>
      <c r="N378" s="11">
        <v>3088.1181000000001</v>
      </c>
      <c r="O378" s="3">
        <f t="shared" si="53"/>
        <v>2.8797898551463863E-2</v>
      </c>
      <c r="P378" s="3">
        <f t="shared" si="54"/>
        <v>3.0856039558865511E-2</v>
      </c>
      <c r="Q378" s="3">
        <f t="shared" si="55"/>
        <v>2.3018060030449483E-2</v>
      </c>
      <c r="R378" s="3">
        <f t="shared" si="56"/>
        <v>2.4696327526611217E-2</v>
      </c>
      <c r="S378" s="15">
        <f t="shared" si="45"/>
        <v>1.0287978985514639</v>
      </c>
      <c r="T378" s="15">
        <f t="shared" si="46"/>
        <v>1.0308560395588655</v>
      </c>
      <c r="U378" s="15">
        <f t="shared" si="47"/>
        <v>1.0230180600304495</v>
      </c>
      <c r="V378" s="15">
        <f t="shared" si="48"/>
        <v>1.0246963275266112</v>
      </c>
    </row>
    <row r="379" spans="1:22" x14ac:dyDescent="0.25">
      <c r="A379" s="6">
        <v>45261</v>
      </c>
      <c r="B379" s="10">
        <v>2.3439000000000001</v>
      </c>
      <c r="C379" s="10">
        <v>2.5665</v>
      </c>
      <c r="D379" s="10">
        <v>2.6625000000000001</v>
      </c>
      <c r="E379" s="10">
        <v>2.9445000000000001</v>
      </c>
      <c r="F379" s="10">
        <v>2.1198999999999999</v>
      </c>
      <c r="G379" s="10">
        <v>2.4516</v>
      </c>
      <c r="H379" s="11">
        <v>2.15</v>
      </c>
      <c r="J379" s="8">
        <v>45275</v>
      </c>
      <c r="K379" s="11">
        <v>1775.7041999999999</v>
      </c>
      <c r="L379" s="11">
        <v>2386.3226</v>
      </c>
      <c r="M379" s="11">
        <v>2906.5673999999999</v>
      </c>
      <c r="N379" s="11">
        <v>3088.7586000000001</v>
      </c>
      <c r="O379" s="3">
        <f t="shared" si="53"/>
        <v>2.913219040447923E-2</v>
      </c>
      <c r="P379" s="3">
        <f t="shared" si="54"/>
        <v>3.1579084790562373E-2</v>
      </c>
      <c r="Q379" s="3">
        <f t="shared" si="55"/>
        <v>2.3323236707782913E-2</v>
      </c>
      <c r="R379" s="3">
        <f t="shared" si="56"/>
        <v>2.4908857610153268E-2</v>
      </c>
      <c r="S379" s="15">
        <f t="shared" si="45"/>
        <v>1.0291321904044792</v>
      </c>
      <c r="T379" s="15">
        <f t="shared" si="46"/>
        <v>1.0315790847905624</v>
      </c>
      <c r="U379" s="15">
        <f t="shared" si="47"/>
        <v>1.0233232367077829</v>
      </c>
      <c r="V379" s="15">
        <f t="shared" si="48"/>
        <v>1.0249088576101533</v>
      </c>
    </row>
    <row r="380" spans="1:22" x14ac:dyDescent="0.25">
      <c r="A380" s="6">
        <v>45264</v>
      </c>
      <c r="B380" s="10">
        <v>2.3769</v>
      </c>
      <c r="C380" s="10">
        <v>2.5920000000000001</v>
      </c>
      <c r="D380" s="10">
        <v>2.6724999999999999</v>
      </c>
      <c r="E380" s="10">
        <v>2.9537</v>
      </c>
      <c r="F380" s="10">
        <v>2.1579000000000002</v>
      </c>
      <c r="G380" s="10">
        <v>2.4601999999999999</v>
      </c>
      <c r="H380" s="11">
        <v>2.1</v>
      </c>
      <c r="J380" s="8">
        <v>45278</v>
      </c>
      <c r="K380" s="11">
        <v>1776.393</v>
      </c>
      <c r="L380" s="11">
        <v>2387.2619</v>
      </c>
      <c r="M380" s="11">
        <v>2906.3240000000001</v>
      </c>
      <c r="N380" s="11">
        <v>3088.8577</v>
      </c>
      <c r="O380" s="3">
        <f t="shared" si="53"/>
        <v>2.9531393296915232E-2</v>
      </c>
      <c r="P380" s="3">
        <f t="shared" si="54"/>
        <v>3.1985133090295159E-2</v>
      </c>
      <c r="Q380" s="3">
        <f t="shared" si="55"/>
        <v>2.3237542195481575E-2</v>
      </c>
      <c r="R380" s="3">
        <f t="shared" si="56"/>
        <v>2.4941740875225937E-2</v>
      </c>
      <c r="S380" s="15">
        <f t="shared" si="45"/>
        <v>1.0295313932969152</v>
      </c>
      <c r="T380" s="15">
        <f t="shared" si="46"/>
        <v>1.0319851330902952</v>
      </c>
      <c r="U380" s="15">
        <f t="shared" si="47"/>
        <v>1.0232375421954816</v>
      </c>
      <c r="V380" s="15">
        <f t="shared" si="48"/>
        <v>1.0249417408752259</v>
      </c>
    </row>
    <row r="381" spans="1:22" x14ac:dyDescent="0.25">
      <c r="A381" s="6">
        <v>45265</v>
      </c>
      <c r="B381" s="10">
        <v>2.3816999999999999</v>
      </c>
      <c r="C381" s="10">
        <v>2.5842999999999998</v>
      </c>
      <c r="D381" s="10">
        <v>2.665</v>
      </c>
      <c r="E381" s="10">
        <v>2.9487000000000001</v>
      </c>
      <c r="F381" s="10">
        <v>2.1798000000000002</v>
      </c>
      <c r="G381" s="10">
        <v>2.4676999999999998</v>
      </c>
      <c r="H381" s="11">
        <v>2.25</v>
      </c>
      <c r="J381" s="8">
        <v>45279</v>
      </c>
      <c r="K381" s="11">
        <v>1776.5808</v>
      </c>
      <c r="L381" s="11">
        <v>2387.3281999999999</v>
      </c>
      <c r="M381" s="11">
        <v>2906.0396999999998</v>
      </c>
      <c r="N381" s="11">
        <v>3088.7640999999999</v>
      </c>
      <c r="O381" s="3">
        <f t="shared" si="53"/>
        <v>2.9640235200514731E-2</v>
      </c>
      <c r="P381" s="3">
        <f t="shared" si="54"/>
        <v>3.2013793797494472E-2</v>
      </c>
      <c r="Q381" s="3">
        <f t="shared" si="55"/>
        <v>2.3137447906872666E-2</v>
      </c>
      <c r="R381" s="3">
        <f t="shared" si="56"/>
        <v>2.4910682614773805E-2</v>
      </c>
      <c r="S381" s="15">
        <f t="shared" si="45"/>
        <v>1.0296402352005147</v>
      </c>
      <c r="T381" s="15">
        <f t="shared" si="46"/>
        <v>1.0320137937974945</v>
      </c>
      <c r="U381" s="15">
        <f t="shared" si="47"/>
        <v>1.0231374479068727</v>
      </c>
      <c r="V381" s="15">
        <f t="shared" si="48"/>
        <v>1.0249106826147738</v>
      </c>
    </row>
    <row r="382" spans="1:22" x14ac:dyDescent="0.25">
      <c r="A382" s="6">
        <v>45266</v>
      </c>
      <c r="B382" s="10">
        <v>2.3971</v>
      </c>
      <c r="C382" s="10">
        <v>2.5952000000000002</v>
      </c>
      <c r="D382" s="10">
        <v>2.6724999999999999</v>
      </c>
      <c r="E382" s="10">
        <v>2.9517000000000002</v>
      </c>
      <c r="F382" s="10">
        <v>2.1959</v>
      </c>
      <c r="G382" s="10">
        <v>2.4695999999999998</v>
      </c>
      <c r="H382" s="11">
        <v>2.25</v>
      </c>
      <c r="J382" s="8">
        <v>45280</v>
      </c>
      <c r="K382" s="11">
        <v>1776.6568</v>
      </c>
      <c r="L382" s="11">
        <v>2387.3105999999998</v>
      </c>
      <c r="M382" s="11">
        <v>2904.8859000000002</v>
      </c>
      <c r="N382" s="11">
        <v>3087.7001</v>
      </c>
      <c r="O382" s="3">
        <f t="shared" si="53"/>
        <v>2.9684281977264471E-2</v>
      </c>
      <c r="P382" s="3">
        <f t="shared" si="54"/>
        <v>3.200618552529666E-2</v>
      </c>
      <c r="Q382" s="3">
        <f t="shared" si="55"/>
        <v>2.2731226344450794E-2</v>
      </c>
      <c r="R382" s="3">
        <f t="shared" si="56"/>
        <v>2.4557627175447072E-2</v>
      </c>
      <c r="S382" s="15">
        <f t="shared" si="45"/>
        <v>1.0296842819772645</v>
      </c>
      <c r="T382" s="15">
        <f t="shared" si="46"/>
        <v>1.0320061855252967</v>
      </c>
      <c r="U382" s="15">
        <f t="shared" si="47"/>
        <v>1.0227312263444508</v>
      </c>
      <c r="V382" s="15">
        <f t="shared" si="48"/>
        <v>1.0245576271754471</v>
      </c>
    </row>
    <row r="383" spans="1:22" x14ac:dyDescent="0.25">
      <c r="A383" s="6">
        <v>45267</v>
      </c>
      <c r="B383" s="10">
        <v>2.3816000000000002</v>
      </c>
      <c r="C383" s="10">
        <v>2.5644</v>
      </c>
      <c r="D383" s="10">
        <v>2.6640000000000001</v>
      </c>
      <c r="E383" s="10">
        <v>2.9457</v>
      </c>
      <c r="F383" s="10">
        <v>2.1865000000000001</v>
      </c>
      <c r="G383" s="10">
        <v>2.4672999999999998</v>
      </c>
      <c r="H383" s="11">
        <v>2.25</v>
      </c>
      <c r="J383" s="8">
        <v>45281</v>
      </c>
      <c r="K383" s="11">
        <v>1776.8303000000001</v>
      </c>
      <c r="L383" s="11">
        <v>2388.0252999999998</v>
      </c>
      <c r="M383" s="11">
        <v>2906.6653000000001</v>
      </c>
      <c r="N383" s="11">
        <v>3089.3148999999999</v>
      </c>
      <c r="O383" s="3">
        <f t="shared" si="53"/>
        <v>2.9784836132080938E-2</v>
      </c>
      <c r="P383" s="3">
        <f t="shared" si="54"/>
        <v>3.2315141896870125E-2</v>
      </c>
      <c r="Q383" s="3">
        <f t="shared" si="55"/>
        <v>2.3357704631999709E-2</v>
      </c>
      <c r="R383" s="3">
        <f t="shared" si="56"/>
        <v>2.5093448532049312E-2</v>
      </c>
      <c r="S383" s="15">
        <f t="shared" si="45"/>
        <v>1.0297848361320809</v>
      </c>
      <c r="T383" s="15">
        <f t="shared" si="46"/>
        <v>1.0323151418968701</v>
      </c>
      <c r="U383" s="15">
        <f t="shared" si="47"/>
        <v>1.0233577046319997</v>
      </c>
      <c r="V383" s="15">
        <f t="shared" si="48"/>
        <v>1.0250934485320493</v>
      </c>
    </row>
    <row r="384" spans="1:22" x14ac:dyDescent="0.25">
      <c r="A384" s="6">
        <v>45268</v>
      </c>
      <c r="B384" s="10">
        <v>2.3791000000000002</v>
      </c>
      <c r="C384" s="10">
        <v>2.5569999999999999</v>
      </c>
      <c r="D384" s="10">
        <v>2.6636000000000002</v>
      </c>
      <c r="E384" s="10">
        <v>2.9428000000000001</v>
      </c>
      <c r="F384" s="10">
        <v>2.1711</v>
      </c>
      <c r="G384" s="10">
        <v>2.4531999999999998</v>
      </c>
      <c r="H384" s="11">
        <v>2.2999999999999998</v>
      </c>
      <c r="J384" s="8">
        <v>45282</v>
      </c>
      <c r="K384" s="11">
        <v>1777.2001</v>
      </c>
      <c r="L384" s="11">
        <v>2389.0700000000002</v>
      </c>
      <c r="M384" s="11">
        <v>2907.2523000000001</v>
      </c>
      <c r="N384" s="11">
        <v>3089.5315999999998</v>
      </c>
      <c r="O384" s="3">
        <f t="shared" si="53"/>
        <v>2.9999158474738996E-2</v>
      </c>
      <c r="P384" s="3">
        <f t="shared" si="54"/>
        <v>3.2766753372150514E-2</v>
      </c>
      <c r="Q384" s="3">
        <f t="shared" si="55"/>
        <v>2.3564371348191226E-2</v>
      </c>
      <c r="R384" s="3">
        <f t="shared" si="56"/>
        <v>2.5165353714100114E-2</v>
      </c>
      <c r="S384" s="15">
        <f t="shared" si="45"/>
        <v>1.029999158474739</v>
      </c>
      <c r="T384" s="15">
        <f t="shared" si="46"/>
        <v>1.0327667533721505</v>
      </c>
      <c r="U384" s="15">
        <f t="shared" si="47"/>
        <v>1.0235643713481912</v>
      </c>
      <c r="V384" s="15">
        <f t="shared" si="48"/>
        <v>1.0251653537141001</v>
      </c>
    </row>
    <row r="385" spans="1:22" x14ac:dyDescent="0.25">
      <c r="A385" s="6">
        <v>45271</v>
      </c>
      <c r="B385" s="10">
        <v>2.3816000000000002</v>
      </c>
      <c r="C385" s="10">
        <v>2.5427</v>
      </c>
      <c r="D385" s="10">
        <v>2.6440000000000001</v>
      </c>
      <c r="E385" s="10">
        <v>2.9287999999999998</v>
      </c>
      <c r="F385" s="10">
        <v>2.1694</v>
      </c>
      <c r="G385" s="10">
        <v>2.4232999999999998</v>
      </c>
      <c r="H385" s="11">
        <v>2.35</v>
      </c>
      <c r="J385" s="8">
        <v>45285</v>
      </c>
      <c r="K385" s="11">
        <v>1777.8184000000001</v>
      </c>
      <c r="L385" s="11">
        <v>2390.2640999999999</v>
      </c>
      <c r="M385" s="11">
        <v>2908.6034</v>
      </c>
      <c r="N385" s="11">
        <v>3090.8575000000001</v>
      </c>
      <c r="O385" s="3">
        <f t="shared" si="53"/>
        <v>3.0357502186111107E-2</v>
      </c>
      <c r="P385" s="3">
        <f t="shared" si="54"/>
        <v>3.3282948703472481E-2</v>
      </c>
      <c r="Q385" s="3">
        <f t="shared" si="55"/>
        <v>2.4040056868202209E-2</v>
      </c>
      <c r="R385" s="3">
        <f t="shared" si="56"/>
        <v>2.5605312555268656E-2</v>
      </c>
      <c r="S385" s="15">
        <f t="shared" si="45"/>
        <v>1.0303575021861111</v>
      </c>
      <c r="T385" s="15">
        <f t="shared" si="46"/>
        <v>1.0332829487034725</v>
      </c>
      <c r="U385" s="15">
        <f t="shared" si="47"/>
        <v>1.0240400568682022</v>
      </c>
      <c r="V385" s="15">
        <f t="shared" si="48"/>
        <v>1.0256053125552687</v>
      </c>
    </row>
    <row r="386" spans="1:22" x14ac:dyDescent="0.25">
      <c r="A386" s="6">
        <v>45272</v>
      </c>
      <c r="B386" s="10">
        <v>2.3826000000000001</v>
      </c>
      <c r="C386" s="10">
        <v>2.5341999999999998</v>
      </c>
      <c r="D386" s="10">
        <v>2.6375000000000002</v>
      </c>
      <c r="E386" s="10">
        <v>2.9293</v>
      </c>
      <c r="F386" s="10">
        <v>2.1657000000000002</v>
      </c>
      <c r="G386" s="10">
        <v>2.4199000000000002</v>
      </c>
      <c r="H386" s="11">
        <v>2.4</v>
      </c>
      <c r="J386" s="8">
        <v>45286</v>
      </c>
      <c r="K386" s="11">
        <v>1778.5123000000001</v>
      </c>
      <c r="L386" s="11">
        <v>2391.1909000000001</v>
      </c>
      <c r="M386" s="11">
        <v>2908.2195000000002</v>
      </c>
      <c r="N386" s="11">
        <v>3090.9016000000001</v>
      </c>
      <c r="O386" s="3">
        <f t="shared" si="53"/>
        <v>3.0759660849092096E-2</v>
      </c>
      <c r="P386" s="3">
        <f t="shared" si="54"/>
        <v>3.3683593400792189E-2</v>
      </c>
      <c r="Q386" s="3">
        <f t="shared" si="55"/>
        <v>2.3904896131667464E-2</v>
      </c>
      <c r="R386" s="3">
        <f t="shared" si="56"/>
        <v>2.5619945774135511E-2</v>
      </c>
      <c r="S386" s="15">
        <f t="shared" si="45"/>
        <v>1.0307596608490921</v>
      </c>
      <c r="T386" s="15">
        <f t="shared" si="46"/>
        <v>1.0336835934007922</v>
      </c>
      <c r="U386" s="15">
        <f t="shared" si="47"/>
        <v>1.0239048961316675</v>
      </c>
      <c r="V386" s="15">
        <f t="shared" si="48"/>
        <v>1.0256199457741355</v>
      </c>
    </row>
    <row r="387" spans="1:22" x14ac:dyDescent="0.25">
      <c r="A387" s="6">
        <v>45273</v>
      </c>
      <c r="B387" s="10">
        <v>2.3525999999999998</v>
      </c>
      <c r="C387" s="10">
        <v>2.5135999999999998</v>
      </c>
      <c r="D387" s="10">
        <v>2.6225999999999998</v>
      </c>
      <c r="E387" s="10">
        <v>2.9148000000000001</v>
      </c>
      <c r="F387" s="10">
        <v>2.1263999999999998</v>
      </c>
      <c r="G387" s="10">
        <v>2.3908</v>
      </c>
      <c r="H387" s="11">
        <v>2.25</v>
      </c>
      <c r="J387" s="8">
        <v>45287</v>
      </c>
      <c r="K387" s="11">
        <v>1779.3711000000001</v>
      </c>
      <c r="L387" s="11">
        <v>2392.8303000000001</v>
      </c>
      <c r="M387" s="11">
        <v>2911.2654000000002</v>
      </c>
      <c r="N387" s="11">
        <v>3093.6035000000002</v>
      </c>
      <c r="O387" s="3">
        <f t="shared" si="53"/>
        <v>3.1257389426362581E-2</v>
      </c>
      <c r="P387" s="3">
        <f t="shared" si="54"/>
        <v>3.439228666447991E-2</v>
      </c>
      <c r="Q387" s="3">
        <f t="shared" si="55"/>
        <v>2.4977274582856479E-2</v>
      </c>
      <c r="R387" s="3">
        <f t="shared" si="56"/>
        <v>2.6516487589471005E-2</v>
      </c>
      <c r="S387" s="15">
        <f t="shared" si="45"/>
        <v>1.0312573894263626</v>
      </c>
      <c r="T387" s="15">
        <f t="shared" si="46"/>
        <v>1.0343922866644799</v>
      </c>
      <c r="U387" s="15">
        <f t="shared" si="47"/>
        <v>1.0249772745828565</v>
      </c>
      <c r="V387" s="15">
        <f t="shared" si="48"/>
        <v>1.026516487589471</v>
      </c>
    </row>
    <row r="388" spans="1:22" x14ac:dyDescent="0.25">
      <c r="A388" s="6">
        <v>45274</v>
      </c>
      <c r="B388" s="10">
        <v>2.3351000000000002</v>
      </c>
      <c r="C388" s="10">
        <v>2.5188000000000001</v>
      </c>
      <c r="D388" s="10">
        <v>2.6375999999999999</v>
      </c>
      <c r="E388" s="10">
        <v>2.9218999999999999</v>
      </c>
      <c r="F388" s="10">
        <v>2.0979000000000001</v>
      </c>
      <c r="G388" s="10">
        <v>2.3744000000000001</v>
      </c>
      <c r="H388" s="11">
        <v>2.25</v>
      </c>
      <c r="J388" s="8">
        <v>45288</v>
      </c>
      <c r="K388" s="11">
        <v>1780.1546000000001</v>
      </c>
      <c r="L388" s="11">
        <v>2393.7593000000002</v>
      </c>
      <c r="M388" s="11">
        <v>2915.1251000000002</v>
      </c>
      <c r="N388" s="11">
        <v>3097.0374000000002</v>
      </c>
      <c r="O388" s="3">
        <f t="shared" si="53"/>
        <v>3.1711476920879944E-2</v>
      </c>
      <c r="P388" s="3">
        <f t="shared" si="54"/>
        <v>3.479388239582426E-2</v>
      </c>
      <c r="Q388" s="3">
        <f t="shared" si="55"/>
        <v>2.6336169854550784E-2</v>
      </c>
      <c r="R388" s="3">
        <f t="shared" si="56"/>
        <v>2.7655920928854494E-2</v>
      </c>
      <c r="S388" s="15">
        <f t="shared" ref="S388:S451" si="57">(O388+1)</f>
        <v>1.0317114769208799</v>
      </c>
      <c r="T388" s="15">
        <f t="shared" ref="T388:T451" si="58">(P388+1)</f>
        <v>1.0347938823958243</v>
      </c>
      <c r="U388" s="15">
        <f t="shared" ref="U388:U451" si="59">(Q388+1)</f>
        <v>1.0263361698545508</v>
      </c>
      <c r="V388" s="15">
        <f t="shared" ref="V388:V451" si="60">(R388+1)</f>
        <v>1.0276559209288545</v>
      </c>
    </row>
    <row r="389" spans="1:22" x14ac:dyDescent="0.25">
      <c r="A389" s="6">
        <v>45275</v>
      </c>
      <c r="B389" s="10">
        <v>2.3075999999999999</v>
      </c>
      <c r="C389" s="10">
        <v>2.4916</v>
      </c>
      <c r="D389" s="10">
        <v>2.6227</v>
      </c>
      <c r="E389" s="10">
        <v>2.9039000000000001</v>
      </c>
      <c r="F389" s="10">
        <v>2.0819999999999999</v>
      </c>
      <c r="G389" s="10">
        <v>2.3714</v>
      </c>
      <c r="H389" s="11">
        <v>2.2000000000000002</v>
      </c>
      <c r="J389" s="8">
        <v>45289</v>
      </c>
      <c r="K389" s="11">
        <v>1780.8553999999999</v>
      </c>
      <c r="L389" s="11">
        <v>2395.3357999999998</v>
      </c>
      <c r="M389" s="11">
        <v>2918.3856000000001</v>
      </c>
      <c r="N389" s="11">
        <v>3099.9149000000002</v>
      </c>
      <c r="O389" s="3">
        <f t="shared" si="53"/>
        <v>3.2117634567539355E-2</v>
      </c>
      <c r="P389" s="3">
        <f t="shared" si="54"/>
        <v>3.5475384732168935E-2</v>
      </c>
      <c r="Q389" s="3">
        <f t="shared" si="55"/>
        <v>2.7484103122255243E-2</v>
      </c>
      <c r="R389" s="3">
        <f t="shared" si="56"/>
        <v>2.8610730164439602E-2</v>
      </c>
      <c r="S389" s="15">
        <f t="shared" si="57"/>
        <v>1.0321176345675394</v>
      </c>
      <c r="T389" s="15">
        <f t="shared" si="58"/>
        <v>1.0354753847321689</v>
      </c>
      <c r="U389" s="15">
        <f t="shared" si="59"/>
        <v>1.0274841031222552</v>
      </c>
      <c r="V389" s="15">
        <f t="shared" si="60"/>
        <v>1.0286107301644396</v>
      </c>
    </row>
    <row r="390" spans="1:22" x14ac:dyDescent="0.25">
      <c r="A390" s="6">
        <v>45278</v>
      </c>
      <c r="B390" s="10">
        <v>2.2951000000000001</v>
      </c>
      <c r="C390" s="10">
        <v>2.4866999999999999</v>
      </c>
      <c r="D390" s="10">
        <v>2.6126</v>
      </c>
      <c r="E390" s="10">
        <v>2.8868999999999998</v>
      </c>
      <c r="F390" s="10">
        <v>2.0943000000000001</v>
      </c>
      <c r="G390" s="10">
        <v>2.363</v>
      </c>
      <c r="H390" s="11">
        <v>2.2000000000000002</v>
      </c>
      <c r="J390" s="8">
        <v>45293</v>
      </c>
      <c r="K390" s="11">
        <v>1781.2498000000001</v>
      </c>
      <c r="L390" s="11">
        <v>2395.1505000000002</v>
      </c>
      <c r="M390" s="11">
        <v>2917.9821999999999</v>
      </c>
      <c r="N390" s="11">
        <v>3099.5353</v>
      </c>
      <c r="O390" s="3"/>
      <c r="P390" s="3"/>
      <c r="Q390" s="3"/>
      <c r="R390" s="3"/>
      <c r="S390" s="15">
        <f t="shared" si="57"/>
        <v>1</v>
      </c>
      <c r="T390" s="15">
        <f t="shared" si="58"/>
        <v>1</v>
      </c>
      <c r="U390" s="15">
        <f t="shared" si="59"/>
        <v>1</v>
      </c>
      <c r="V390" s="15">
        <f t="shared" si="60"/>
        <v>1</v>
      </c>
    </row>
    <row r="391" spans="1:22" x14ac:dyDescent="0.25">
      <c r="A391" s="6">
        <v>45279</v>
      </c>
      <c r="B391" s="10">
        <v>2.3001</v>
      </c>
      <c r="C391" s="10">
        <v>2.5087999999999999</v>
      </c>
      <c r="D391" s="10">
        <v>2.6191</v>
      </c>
      <c r="E391" s="10">
        <v>2.8919999999999999</v>
      </c>
      <c r="F391" s="10">
        <v>2.1046999999999998</v>
      </c>
      <c r="G391" s="10">
        <v>2.3641000000000001</v>
      </c>
      <c r="H391" s="11">
        <v>2.2000000000000002</v>
      </c>
      <c r="J391" s="8">
        <v>45294</v>
      </c>
      <c r="K391" s="11">
        <v>1781.1940999999999</v>
      </c>
      <c r="L391" s="11">
        <v>2394.9328999999998</v>
      </c>
      <c r="M391" s="11">
        <v>2916.4929999999999</v>
      </c>
      <c r="N391" s="11">
        <v>3098.3278</v>
      </c>
      <c r="O391" s="3">
        <f>K391/$K$390-1</f>
        <v>-3.1270178949660554E-5</v>
      </c>
      <c r="P391" s="3">
        <f>L391/$L$390-1</f>
        <v>-9.0850240934914339E-5</v>
      </c>
      <c r="Q391" s="3">
        <f>M391/$M$390-1</f>
        <v>-5.103526676756287E-4</v>
      </c>
      <c r="R391" s="3">
        <f>N391/$N$390-1</f>
        <v>-3.8957452751064992E-4</v>
      </c>
      <c r="S391" s="15">
        <f t="shared" si="57"/>
        <v>0.99996872982105034</v>
      </c>
      <c r="T391" s="15">
        <f t="shared" si="58"/>
        <v>0.99990914975906509</v>
      </c>
      <c r="U391" s="15">
        <f t="shared" si="59"/>
        <v>0.99948964733232437</v>
      </c>
      <c r="V391" s="15">
        <f t="shared" si="60"/>
        <v>0.99961042547248935</v>
      </c>
    </row>
    <row r="392" spans="1:22" x14ac:dyDescent="0.25">
      <c r="A392" s="6">
        <v>45280</v>
      </c>
      <c r="B392" s="10">
        <v>2.3050999999999999</v>
      </c>
      <c r="C392" s="10">
        <v>2.5196999999999998</v>
      </c>
      <c r="D392" s="10">
        <v>2.6221999999999999</v>
      </c>
      <c r="E392" s="10">
        <v>2.8849</v>
      </c>
      <c r="F392" s="10">
        <v>2.1044999999999998</v>
      </c>
      <c r="G392" s="10">
        <v>2.3639000000000001</v>
      </c>
      <c r="H392" s="11">
        <v>2.2000000000000002</v>
      </c>
      <c r="J392" s="8">
        <v>45295</v>
      </c>
      <c r="K392" s="11">
        <v>1781.384</v>
      </c>
      <c r="L392" s="11">
        <v>2395.3652999999999</v>
      </c>
      <c r="M392" s="11">
        <v>2916.1079</v>
      </c>
      <c r="N392" s="11">
        <v>3098.09</v>
      </c>
      <c r="O392" s="3">
        <f t="shared" ref="O392:O404" si="61">K392/$K$390-1</f>
        <v>7.5340359336539819E-5</v>
      </c>
      <c r="P392" s="3">
        <f t="shared" ref="P392:P404" si="62">L392/$L$390-1</f>
        <v>8.9681212099179675E-5</v>
      </c>
      <c r="Q392" s="3">
        <f t="shared" ref="Q392:Q404" si="63">M392/$M$390-1</f>
        <v>-6.4232742749426031E-4</v>
      </c>
      <c r="R392" s="3">
        <f t="shared" ref="R392:R404" si="64">N392/$N$390-1</f>
        <v>-4.6629570568201828E-4</v>
      </c>
      <c r="S392" s="15">
        <f t="shared" si="57"/>
        <v>1.0000753403593365</v>
      </c>
      <c r="T392" s="15">
        <f t="shared" si="58"/>
        <v>1.0000896812120992</v>
      </c>
      <c r="U392" s="15">
        <f t="shared" si="59"/>
        <v>0.99935767257250574</v>
      </c>
      <c r="V392" s="15">
        <f t="shared" si="60"/>
        <v>0.99953370429431798</v>
      </c>
    </row>
    <row r="393" spans="1:22" x14ac:dyDescent="0.25">
      <c r="A393" s="6">
        <v>45281</v>
      </c>
      <c r="B393" s="10">
        <v>2.2801</v>
      </c>
      <c r="C393" s="10">
        <v>2.4782999999999999</v>
      </c>
      <c r="D393" s="10">
        <v>2.5901000000000001</v>
      </c>
      <c r="E393" s="10">
        <v>2.8492000000000002</v>
      </c>
      <c r="F393" s="10">
        <v>2.1073</v>
      </c>
      <c r="G393" s="10">
        <v>2.3622000000000001</v>
      </c>
      <c r="H393" s="11">
        <v>2.02</v>
      </c>
      <c r="J393" s="8">
        <v>45296</v>
      </c>
      <c r="K393" s="11">
        <v>1781.826</v>
      </c>
      <c r="L393" s="11">
        <v>2396.4227000000001</v>
      </c>
      <c r="M393" s="11">
        <v>2915.7523000000001</v>
      </c>
      <c r="N393" s="11">
        <v>3098.2811999999999</v>
      </c>
      <c r="O393" s="3">
        <f t="shared" si="61"/>
        <v>3.2348073807497713E-4</v>
      </c>
      <c r="P393" s="3">
        <f t="shared" si="62"/>
        <v>5.3115660164149148E-4</v>
      </c>
      <c r="Q393" s="3">
        <f t="shared" si="63"/>
        <v>-7.641924614892881E-4</v>
      </c>
      <c r="R393" s="3">
        <f t="shared" si="64"/>
        <v>-4.046090392969548E-4</v>
      </c>
      <c r="S393" s="15">
        <f t="shared" si="57"/>
        <v>1.000323480738075</v>
      </c>
      <c r="T393" s="15">
        <f t="shared" si="58"/>
        <v>1.0005311566016415</v>
      </c>
      <c r="U393" s="15">
        <f t="shared" si="59"/>
        <v>0.99923580753851071</v>
      </c>
      <c r="V393" s="15">
        <f t="shared" si="60"/>
        <v>0.99959539096070305</v>
      </c>
    </row>
    <row r="394" spans="1:22" x14ac:dyDescent="0.25">
      <c r="A394" s="6">
        <v>45282</v>
      </c>
      <c r="B394" s="10">
        <v>2.2526000000000002</v>
      </c>
      <c r="C394" s="10">
        <v>2.4561999999999999</v>
      </c>
      <c r="D394" s="10">
        <v>2.5876999999999999</v>
      </c>
      <c r="E394" s="10">
        <v>2.8340999999999998</v>
      </c>
      <c r="F394" s="10">
        <v>2.0611999999999999</v>
      </c>
      <c r="G394" s="10">
        <v>2.3331</v>
      </c>
      <c r="H394" s="11">
        <v>2.0499999999999998</v>
      </c>
      <c r="J394" s="8">
        <v>45299</v>
      </c>
      <c r="K394" s="11">
        <v>1782.2629999999999</v>
      </c>
      <c r="L394" s="11">
        <v>2396.9421000000002</v>
      </c>
      <c r="M394" s="11">
        <v>2913.8413</v>
      </c>
      <c r="N394" s="11">
        <v>3096.8737000000001</v>
      </c>
      <c r="O394" s="3">
        <f t="shared" si="61"/>
        <v>5.6881409895459534E-4</v>
      </c>
      <c r="P394" s="3">
        <f t="shared" si="62"/>
        <v>7.4801145063752017E-4</v>
      </c>
      <c r="Q394" s="3">
        <f t="shared" si="63"/>
        <v>-1.4190970733131136E-3</v>
      </c>
      <c r="R394" s="3">
        <f t="shared" si="64"/>
        <v>-8.5870936846565993E-4</v>
      </c>
      <c r="S394" s="15">
        <f t="shared" si="57"/>
        <v>1.0005688140989546</v>
      </c>
      <c r="T394" s="15">
        <f t="shared" si="58"/>
        <v>1.0007480114506375</v>
      </c>
      <c r="U394" s="15">
        <f t="shared" si="59"/>
        <v>0.99858090292668689</v>
      </c>
      <c r="V394" s="15">
        <f t="shared" si="60"/>
        <v>0.99914129063153434</v>
      </c>
    </row>
    <row r="395" spans="1:22" x14ac:dyDescent="0.25">
      <c r="A395" s="6">
        <v>45285</v>
      </c>
      <c r="B395" s="10">
        <v>2.2246000000000001</v>
      </c>
      <c r="C395" s="10">
        <v>2.4171999999999998</v>
      </c>
      <c r="D395" s="10">
        <v>2.5678000000000001</v>
      </c>
      <c r="E395" s="10">
        <v>2.8077000000000001</v>
      </c>
      <c r="F395" s="10">
        <v>2.0442999999999998</v>
      </c>
      <c r="G395" s="10">
        <v>2.3161999999999998</v>
      </c>
      <c r="H395" s="11">
        <v>1.8117000000000001</v>
      </c>
      <c r="J395" s="8">
        <v>45300</v>
      </c>
      <c r="K395" s="11">
        <v>1782.7752</v>
      </c>
      <c r="L395" s="11">
        <v>2397.9609999999998</v>
      </c>
      <c r="M395" s="11">
        <v>2915.4612999999999</v>
      </c>
      <c r="N395" s="11">
        <v>3098.3719999999998</v>
      </c>
      <c r="O395" s="3">
        <f t="shared" si="61"/>
        <v>8.563650084338903E-4</v>
      </c>
      <c r="P395" s="3">
        <f t="shared" si="62"/>
        <v>1.1734126936906453E-3</v>
      </c>
      <c r="Q395" s="3">
        <f t="shared" si="63"/>
        <v>-8.6391890944359506E-4</v>
      </c>
      <c r="R395" s="3">
        <f t="shared" si="64"/>
        <v>-3.753143253442115E-4</v>
      </c>
      <c r="S395" s="15">
        <f t="shared" si="57"/>
        <v>1.0008563650084339</v>
      </c>
      <c r="T395" s="15">
        <f t="shared" si="58"/>
        <v>1.0011734126936906</v>
      </c>
      <c r="U395" s="15">
        <f t="shared" si="59"/>
        <v>0.9991360810905564</v>
      </c>
      <c r="V395" s="15">
        <f t="shared" si="60"/>
        <v>0.99962468567465579</v>
      </c>
    </row>
    <row r="396" spans="1:22" x14ac:dyDescent="0.25">
      <c r="A396" s="6">
        <v>45286</v>
      </c>
      <c r="B396" s="10">
        <v>2.2046000000000001</v>
      </c>
      <c r="C396" s="10">
        <v>2.4123000000000001</v>
      </c>
      <c r="D396" s="10">
        <v>2.5804</v>
      </c>
      <c r="E396" s="10">
        <v>2.8267000000000002</v>
      </c>
      <c r="F396" s="10">
        <v>2.0352000000000001</v>
      </c>
      <c r="G396" s="10">
        <v>2.3104</v>
      </c>
      <c r="H396" s="11">
        <v>4.3499999999999996</v>
      </c>
      <c r="J396" s="8">
        <v>45301</v>
      </c>
      <c r="K396" s="11">
        <v>1782.9179999999999</v>
      </c>
      <c r="L396" s="11">
        <v>2397.8348000000001</v>
      </c>
      <c r="M396" s="11">
        <v>2914.7139000000002</v>
      </c>
      <c r="N396" s="11">
        <v>3097.7950999999998</v>
      </c>
      <c r="O396" s="3">
        <f t="shared" si="61"/>
        <v>9.3653343848787429E-4</v>
      </c>
      <c r="P396" s="3">
        <f t="shared" si="62"/>
        <v>1.1207228940310898E-3</v>
      </c>
      <c r="Q396" s="3">
        <f t="shared" si="63"/>
        <v>-1.120054810478166E-3</v>
      </c>
      <c r="R396" s="3">
        <f t="shared" si="64"/>
        <v>-5.6143900022698201E-4</v>
      </c>
      <c r="S396" s="15">
        <f t="shared" si="57"/>
        <v>1.0009365334384879</v>
      </c>
      <c r="T396" s="15">
        <f t="shared" si="58"/>
        <v>1.0011207228940311</v>
      </c>
      <c r="U396" s="15">
        <f t="shared" si="59"/>
        <v>0.99887994518952183</v>
      </c>
      <c r="V396" s="15">
        <f t="shared" si="60"/>
        <v>0.99943856099977302</v>
      </c>
    </row>
    <row r="397" spans="1:22" x14ac:dyDescent="0.25">
      <c r="A397" s="6">
        <v>45287</v>
      </c>
      <c r="B397" s="10">
        <v>2.1545999999999998</v>
      </c>
      <c r="C397" s="10">
        <v>2.3835999999999999</v>
      </c>
      <c r="D397" s="10">
        <v>2.5577000000000001</v>
      </c>
      <c r="E397" s="10">
        <v>2.8167</v>
      </c>
      <c r="F397" s="10">
        <v>2.0188999999999999</v>
      </c>
      <c r="G397" s="10">
        <v>2.3184</v>
      </c>
      <c r="H397" s="11">
        <v>4</v>
      </c>
      <c r="J397" s="8">
        <v>45302</v>
      </c>
      <c r="K397" s="11">
        <v>1783.0528999999999</v>
      </c>
      <c r="L397" s="11">
        <v>2397.9679000000001</v>
      </c>
      <c r="M397" s="11">
        <v>2916.0801000000001</v>
      </c>
      <c r="N397" s="11">
        <v>3098.8157000000001</v>
      </c>
      <c r="O397" s="3">
        <f t="shared" si="61"/>
        <v>1.0122667803245111E-3</v>
      </c>
      <c r="P397" s="3">
        <f t="shared" si="62"/>
        <v>1.1762935147499043E-3</v>
      </c>
      <c r="Q397" s="3">
        <f t="shared" si="63"/>
        <v>-6.518545589482283E-4</v>
      </c>
      <c r="R397" s="3">
        <f t="shared" si="64"/>
        <v>-2.3216383436575061E-4</v>
      </c>
      <c r="S397" s="15">
        <f t="shared" si="57"/>
        <v>1.0010122667803245</v>
      </c>
      <c r="T397" s="15">
        <f t="shared" si="58"/>
        <v>1.0011762935147499</v>
      </c>
      <c r="U397" s="15">
        <f t="shared" si="59"/>
        <v>0.99934814544105177</v>
      </c>
      <c r="V397" s="15">
        <f t="shared" si="60"/>
        <v>0.99976783616563425</v>
      </c>
    </row>
    <row r="398" spans="1:22" x14ac:dyDescent="0.25">
      <c r="A398" s="6">
        <v>45288</v>
      </c>
      <c r="B398" s="10">
        <v>2.1196000000000002</v>
      </c>
      <c r="C398" s="10">
        <v>2.4081000000000001</v>
      </c>
      <c r="D398" s="10">
        <v>2.5693999999999999</v>
      </c>
      <c r="E398" s="10">
        <v>2.8288000000000002</v>
      </c>
      <c r="F398" s="10">
        <v>1.9952000000000001</v>
      </c>
      <c r="G398" s="10">
        <v>2.3222999999999998</v>
      </c>
      <c r="H398" s="11">
        <v>3.2</v>
      </c>
      <c r="J398" s="8">
        <v>45303</v>
      </c>
      <c r="K398" s="11">
        <v>1783.1599000000001</v>
      </c>
      <c r="L398" s="11">
        <v>2397.9029</v>
      </c>
      <c r="M398" s="11">
        <v>2916.0841</v>
      </c>
      <c r="N398" s="11">
        <v>3098.8955999999998</v>
      </c>
      <c r="O398" s="3">
        <f t="shared" si="61"/>
        <v>1.0723369625080803E-3</v>
      </c>
      <c r="P398" s="3">
        <f t="shared" si="62"/>
        <v>1.1491553453528702E-3</v>
      </c>
      <c r="Q398" s="3">
        <f t="shared" si="63"/>
        <v>-6.5048374866705228E-4</v>
      </c>
      <c r="R398" s="3">
        <f t="shared" si="64"/>
        <v>-2.0638577660336832E-4</v>
      </c>
      <c r="S398" s="15">
        <f t="shared" si="57"/>
        <v>1.0010723369625081</v>
      </c>
      <c r="T398" s="15">
        <f t="shared" si="58"/>
        <v>1.0011491553453529</v>
      </c>
      <c r="U398" s="15">
        <f t="shared" si="59"/>
        <v>0.99934951625133295</v>
      </c>
      <c r="V398" s="15">
        <f t="shared" si="60"/>
        <v>0.99979361422339663</v>
      </c>
    </row>
    <row r="399" spans="1:22" x14ac:dyDescent="0.25">
      <c r="A399" s="6">
        <v>45289</v>
      </c>
      <c r="B399" s="10">
        <v>2.0796000000000001</v>
      </c>
      <c r="C399" s="10">
        <v>2.4001000000000001</v>
      </c>
      <c r="D399" s="10">
        <v>2.5552999999999999</v>
      </c>
      <c r="E399" s="10">
        <v>2.8269000000000002</v>
      </c>
      <c r="F399" s="10">
        <v>1.9857</v>
      </c>
      <c r="G399" s="10">
        <v>2.3245</v>
      </c>
      <c r="H399" s="11">
        <v>2.4</v>
      </c>
      <c r="J399" s="8">
        <v>45306</v>
      </c>
      <c r="K399" s="11">
        <v>1783.4691</v>
      </c>
      <c r="L399" s="11">
        <v>2398.3620999999998</v>
      </c>
      <c r="M399" s="11">
        <v>2916.2473</v>
      </c>
      <c r="N399" s="11">
        <v>3099.2219</v>
      </c>
      <c r="O399" s="3">
        <f t="shared" si="61"/>
        <v>1.2459229469106159E-3</v>
      </c>
      <c r="P399" s="3">
        <f t="shared" si="62"/>
        <v>1.3408760743842674E-3</v>
      </c>
      <c r="Q399" s="3">
        <f t="shared" si="63"/>
        <v>-5.9455468919578092E-4</v>
      </c>
      <c r="R399" s="3">
        <f t="shared" si="64"/>
        <v>-1.0111193119821671E-4</v>
      </c>
      <c r="S399" s="15">
        <f t="shared" si="57"/>
        <v>1.0012459229469106</v>
      </c>
      <c r="T399" s="15">
        <f t="shared" si="58"/>
        <v>1.0013408760743843</v>
      </c>
      <c r="U399" s="15">
        <f t="shared" si="59"/>
        <v>0.99940544531080422</v>
      </c>
      <c r="V399" s="15">
        <f t="shared" si="60"/>
        <v>0.99989888806880178</v>
      </c>
    </row>
    <row r="400" spans="1:22" x14ac:dyDescent="0.25">
      <c r="A400" s="6">
        <v>45291</v>
      </c>
      <c r="B400" s="10">
        <v>2.0796000000000001</v>
      </c>
      <c r="C400" s="10">
        <v>2.4001000000000001</v>
      </c>
      <c r="D400" s="10">
        <v>2.5552999999999999</v>
      </c>
      <c r="E400" s="10">
        <v>2.8269000000000002</v>
      </c>
      <c r="F400" s="10"/>
      <c r="G400" s="10"/>
      <c r="H400" s="11"/>
      <c r="J400" s="8">
        <v>45307</v>
      </c>
      <c r="K400" s="11">
        <v>1783.52</v>
      </c>
      <c r="L400" s="11">
        <v>2398.2764999999999</v>
      </c>
      <c r="M400" s="11">
        <v>2915.7721000000001</v>
      </c>
      <c r="N400" s="11">
        <v>3098.9214000000002</v>
      </c>
      <c r="O400" s="3">
        <f t="shared" si="61"/>
        <v>1.274498388715628E-3</v>
      </c>
      <c r="P400" s="3">
        <f t="shared" si="62"/>
        <v>1.305137192840089E-3</v>
      </c>
      <c r="Q400" s="3">
        <f t="shared" si="63"/>
        <v>-7.5740695059745011E-4</v>
      </c>
      <c r="R400" s="3">
        <f t="shared" si="64"/>
        <v>-1.9806194818938749E-4</v>
      </c>
      <c r="S400" s="15">
        <f t="shared" si="57"/>
        <v>1.0012744983887156</v>
      </c>
      <c r="T400" s="15">
        <f t="shared" si="58"/>
        <v>1.0013051371928401</v>
      </c>
      <c r="U400" s="15">
        <f t="shared" si="59"/>
        <v>0.99924259304940255</v>
      </c>
      <c r="V400" s="15">
        <f t="shared" si="60"/>
        <v>0.99980193805181061</v>
      </c>
    </row>
    <row r="401" spans="1:22" x14ac:dyDescent="0.25">
      <c r="A401" s="6">
        <v>45293</v>
      </c>
      <c r="B401" s="10">
        <v>2.1166</v>
      </c>
      <c r="C401" s="10">
        <v>2.4373999999999998</v>
      </c>
      <c r="D401" s="10">
        <v>2.5600999999999998</v>
      </c>
      <c r="E401" s="10">
        <v>2.8422000000000001</v>
      </c>
      <c r="F401" s="10">
        <v>2.0207999999999999</v>
      </c>
      <c r="G401" s="10">
        <v>2.3323999999999998</v>
      </c>
      <c r="H401" s="11">
        <v>2.1</v>
      </c>
      <c r="J401" s="8">
        <v>45308</v>
      </c>
      <c r="K401" s="11">
        <v>1783.8305</v>
      </c>
      <c r="L401" s="11">
        <v>2398.9868999999999</v>
      </c>
      <c r="M401" s="11">
        <v>2913.2604999999999</v>
      </c>
      <c r="N401" s="11">
        <v>3097.0284999999999</v>
      </c>
      <c r="O401" s="3">
        <f t="shared" si="61"/>
        <v>1.4488141977615498E-3</v>
      </c>
      <c r="P401" s="3">
        <f t="shared" si="62"/>
        <v>1.601736508832996E-3</v>
      </c>
      <c r="Q401" s="3">
        <f t="shared" si="63"/>
        <v>-1.6181387261375857E-3</v>
      </c>
      <c r="R401" s="3">
        <f t="shared" si="64"/>
        <v>-8.0876639798233008E-4</v>
      </c>
      <c r="S401" s="15">
        <f t="shared" si="57"/>
        <v>1.0014488141977615</v>
      </c>
      <c r="T401" s="15">
        <f t="shared" si="58"/>
        <v>1.001601736508833</v>
      </c>
      <c r="U401" s="15">
        <f t="shared" si="59"/>
        <v>0.99838186127386241</v>
      </c>
      <c r="V401" s="15">
        <f t="shared" si="60"/>
        <v>0.99919123360201767</v>
      </c>
    </row>
    <row r="402" spans="1:22" x14ac:dyDescent="0.25">
      <c r="A402" s="6">
        <v>45294</v>
      </c>
      <c r="B402" s="10">
        <v>2.1415999999999999</v>
      </c>
      <c r="C402" s="10">
        <v>2.4211999999999998</v>
      </c>
      <c r="D402" s="10">
        <v>2.5531000000000001</v>
      </c>
      <c r="E402" s="10">
        <v>2.8401999999999998</v>
      </c>
      <c r="F402" s="10">
        <v>2.0651999999999999</v>
      </c>
      <c r="G402" s="10">
        <v>2.3460000000000001</v>
      </c>
      <c r="H402" s="11">
        <v>2.15</v>
      </c>
      <c r="J402" s="8">
        <v>45309</v>
      </c>
      <c r="K402" s="11">
        <v>1784.1183000000001</v>
      </c>
      <c r="L402" s="11">
        <v>2399.4387999999999</v>
      </c>
      <c r="M402" s="11">
        <v>2913.8955999999998</v>
      </c>
      <c r="N402" s="11">
        <v>3097.6842999999999</v>
      </c>
      <c r="O402" s="3">
        <f t="shared" si="61"/>
        <v>1.6103861457275048E-3</v>
      </c>
      <c r="P402" s="3">
        <f t="shared" si="62"/>
        <v>1.7904094126861558E-3</v>
      </c>
      <c r="Q402" s="3">
        <f t="shared" si="63"/>
        <v>-1.4004883237465071E-3</v>
      </c>
      <c r="R402" s="3">
        <f t="shared" si="64"/>
        <v>-5.9718629434546422E-4</v>
      </c>
      <c r="S402" s="15">
        <f t="shared" si="57"/>
        <v>1.0016103861457275</v>
      </c>
      <c r="T402" s="15">
        <f t="shared" si="58"/>
        <v>1.0017904094126862</v>
      </c>
      <c r="U402" s="15">
        <f t="shared" si="59"/>
        <v>0.99859951167625349</v>
      </c>
      <c r="V402" s="15">
        <f t="shared" si="60"/>
        <v>0.99940281370565454</v>
      </c>
    </row>
    <row r="403" spans="1:22" x14ac:dyDescent="0.25">
      <c r="A403" s="6">
        <v>45295</v>
      </c>
      <c r="B403" s="10">
        <v>2.1541000000000001</v>
      </c>
      <c r="C403" s="10">
        <v>2.4089</v>
      </c>
      <c r="D403" s="10">
        <v>2.5367999999999999</v>
      </c>
      <c r="E403" s="10">
        <v>2.8170000000000002</v>
      </c>
      <c r="F403" s="10">
        <v>2.0672000000000001</v>
      </c>
      <c r="G403" s="10">
        <v>2.3386999999999998</v>
      </c>
      <c r="H403" s="11">
        <v>2.25</v>
      </c>
      <c r="J403" s="8">
        <v>45310</v>
      </c>
      <c r="K403" s="11">
        <v>1784.5178000000001</v>
      </c>
      <c r="L403" s="11">
        <v>2400.6071000000002</v>
      </c>
      <c r="M403" s="11">
        <v>2914.2116000000001</v>
      </c>
      <c r="N403" s="11">
        <v>3098.44</v>
      </c>
      <c r="O403" s="3">
        <f t="shared" si="61"/>
        <v>1.8346668726643145E-3</v>
      </c>
      <c r="P403" s="3">
        <f t="shared" si="62"/>
        <v>2.2781866943224482E-3</v>
      </c>
      <c r="Q403" s="3">
        <f t="shared" si="63"/>
        <v>-1.2921943115348222E-3</v>
      </c>
      <c r="R403" s="3">
        <f t="shared" si="64"/>
        <v>-3.5337555278047716E-4</v>
      </c>
      <c r="S403" s="15">
        <f t="shared" si="57"/>
        <v>1.0018346668726643</v>
      </c>
      <c r="T403" s="15">
        <f t="shared" si="58"/>
        <v>1.0022781866943224</v>
      </c>
      <c r="U403" s="15">
        <f t="shared" si="59"/>
        <v>0.99870780568846518</v>
      </c>
      <c r="V403" s="15">
        <f t="shared" si="60"/>
        <v>0.99964662444721952</v>
      </c>
    </row>
    <row r="404" spans="1:22" x14ac:dyDescent="0.25">
      <c r="A404" s="6">
        <v>45296</v>
      </c>
      <c r="B404" s="10">
        <v>2.1091000000000002</v>
      </c>
      <c r="C404" s="10">
        <v>2.3902999999999999</v>
      </c>
      <c r="D404" s="10">
        <v>2.5175000000000001</v>
      </c>
      <c r="E404" s="10">
        <v>2.8043</v>
      </c>
      <c r="F404" s="10">
        <v>2.0512000000000001</v>
      </c>
      <c r="G404" s="10">
        <v>2.3121</v>
      </c>
      <c r="H404" s="11">
        <v>2.15</v>
      </c>
      <c r="J404" s="8">
        <v>45313</v>
      </c>
      <c r="K404" s="11">
        <v>1785.1572000000001</v>
      </c>
      <c r="L404" s="11">
        <v>2401.7249000000002</v>
      </c>
      <c r="M404" s="11">
        <v>2910.4848000000002</v>
      </c>
      <c r="N404" s="11">
        <v>3095.7015999999999</v>
      </c>
      <c r="O404" s="3">
        <f t="shared" si="61"/>
        <v>2.1936283164776249E-3</v>
      </c>
      <c r="P404" s="3">
        <f t="shared" si="62"/>
        <v>2.7448797058891028E-3</v>
      </c>
      <c r="Q404" s="3">
        <f t="shared" si="63"/>
        <v>-2.5693782504909723E-3</v>
      </c>
      <c r="R404" s="3">
        <f t="shared" si="64"/>
        <v>-1.2368628290828632E-3</v>
      </c>
      <c r="S404" s="15">
        <f t="shared" si="57"/>
        <v>1.0021936283164776</v>
      </c>
      <c r="T404" s="15">
        <f t="shared" si="58"/>
        <v>1.0027448797058891</v>
      </c>
      <c r="U404" s="15">
        <f t="shared" si="59"/>
        <v>0.99743062174950903</v>
      </c>
      <c r="V404" s="15">
        <f t="shared" si="60"/>
        <v>0.99876313717091714</v>
      </c>
    </row>
    <row r="405" spans="1:22" x14ac:dyDescent="0.25">
      <c r="A405" s="6">
        <v>45299</v>
      </c>
      <c r="B405" s="10">
        <v>2.1191</v>
      </c>
      <c r="C405" s="10">
        <v>2.4079999999999999</v>
      </c>
      <c r="D405" s="10">
        <v>2.5135999999999998</v>
      </c>
      <c r="E405" s="10">
        <v>2.802</v>
      </c>
      <c r="F405" s="10">
        <v>2.0606</v>
      </c>
      <c r="G405" s="10">
        <v>2.3140999999999998</v>
      </c>
      <c r="H405" s="11">
        <v>2.2000000000000002</v>
      </c>
      <c r="J405" s="8">
        <v>45314</v>
      </c>
      <c r="K405" s="11">
        <v>1785.2203999999999</v>
      </c>
      <c r="L405" s="11">
        <v>2401.5976000000001</v>
      </c>
      <c r="M405" s="11">
        <v>2911.3033</v>
      </c>
      <c r="N405" s="11">
        <v>3096.3339999999998</v>
      </c>
      <c r="O405" s="3">
        <f t="shared" ref="O405:O468" si="65">K405/$K$390-1</f>
        <v>2.2291090222157361E-3</v>
      </c>
      <c r="P405" s="3">
        <f t="shared" ref="P405:P468" si="66">L405/$L$390-1</f>
        <v>2.6917306449010248E-3</v>
      </c>
      <c r="Q405" s="3">
        <f t="shared" ref="Q405:Q468" si="67">M405/$M$390-1</f>
        <v>-2.2888761967088112E-3</v>
      </c>
      <c r="R405" s="3">
        <f t="shared" ref="R405:R468" si="68">N405/$N$390-1</f>
        <v>-1.0328322442400006E-3</v>
      </c>
      <c r="S405" s="15">
        <f t="shared" si="57"/>
        <v>1.0022291090222157</v>
      </c>
      <c r="T405" s="15">
        <f t="shared" si="58"/>
        <v>1.002691730644901</v>
      </c>
      <c r="U405" s="15">
        <f t="shared" si="59"/>
        <v>0.99771112380329119</v>
      </c>
      <c r="V405" s="15">
        <f t="shared" si="60"/>
        <v>0.99896716775576</v>
      </c>
    </row>
    <row r="406" spans="1:22" x14ac:dyDescent="0.25">
      <c r="A406" s="6">
        <v>45300</v>
      </c>
      <c r="B406" s="10">
        <v>2.0991</v>
      </c>
      <c r="C406" s="10">
        <v>2.3904999999999998</v>
      </c>
      <c r="D406" s="10">
        <v>2.4862000000000002</v>
      </c>
      <c r="E406" s="10">
        <v>2.7692999999999999</v>
      </c>
      <c r="F406" s="10">
        <v>2.0430999999999999</v>
      </c>
      <c r="G406" s="10">
        <v>2.2902999999999998</v>
      </c>
      <c r="H406" s="11">
        <v>2.29</v>
      </c>
      <c r="J406" s="8">
        <v>45315</v>
      </c>
      <c r="K406" s="11">
        <v>1785.3958</v>
      </c>
      <c r="L406" s="11">
        <v>2401.9182999999998</v>
      </c>
      <c r="M406" s="11">
        <v>2912.4627999999998</v>
      </c>
      <c r="N406" s="11">
        <v>3097.5118000000002</v>
      </c>
      <c r="O406" s="3">
        <f t="shared" si="65"/>
        <v>2.3275792087105174E-3</v>
      </c>
      <c r="P406" s="3">
        <f t="shared" si="66"/>
        <v>2.8256261976020713E-3</v>
      </c>
      <c r="Q406" s="3">
        <f t="shared" si="67"/>
        <v>-1.8915125664578092E-3</v>
      </c>
      <c r="R406" s="3">
        <f t="shared" si="68"/>
        <v>-6.528397982754619E-4</v>
      </c>
      <c r="S406" s="15">
        <f t="shared" si="57"/>
        <v>1.0023275792087105</v>
      </c>
      <c r="T406" s="15">
        <f t="shared" si="58"/>
        <v>1.0028256261976021</v>
      </c>
      <c r="U406" s="15">
        <f t="shared" si="59"/>
        <v>0.99810848743354219</v>
      </c>
      <c r="V406" s="15">
        <f t="shared" si="60"/>
        <v>0.99934716020172454</v>
      </c>
    </row>
    <row r="407" spans="1:22" x14ac:dyDescent="0.25">
      <c r="A407" s="6">
        <v>45301</v>
      </c>
      <c r="B407" s="10">
        <v>2.1091000000000002</v>
      </c>
      <c r="C407" s="10">
        <v>2.4062000000000001</v>
      </c>
      <c r="D407" s="10">
        <v>2.4982000000000002</v>
      </c>
      <c r="E407" s="10">
        <v>2.7757999999999998</v>
      </c>
      <c r="F407" s="10">
        <v>2.0585</v>
      </c>
      <c r="G407" s="10">
        <v>2.2951000000000001</v>
      </c>
      <c r="H407" s="11">
        <v>2.2000000000000002</v>
      </c>
      <c r="J407" s="8">
        <v>45316</v>
      </c>
      <c r="K407" s="11">
        <v>1785.6784</v>
      </c>
      <c r="L407" s="11">
        <v>2402.7289999999998</v>
      </c>
      <c r="M407" s="11">
        <v>2917.2676999999999</v>
      </c>
      <c r="N407" s="11">
        <v>3101.4726000000001</v>
      </c>
      <c r="O407" s="3">
        <f t="shared" si="65"/>
        <v>2.4862318581031495E-3</v>
      </c>
      <c r="P407" s="3">
        <f t="shared" si="66"/>
        <v>3.16410179652582E-3</v>
      </c>
      <c r="Q407" s="3">
        <f t="shared" si="67"/>
        <v>-2.4486098647213961E-4</v>
      </c>
      <c r="R407" s="3">
        <f t="shared" si="68"/>
        <v>6.2502917776097178E-4</v>
      </c>
      <c r="S407" s="15">
        <f t="shared" si="57"/>
        <v>1.0024862318581031</v>
      </c>
      <c r="T407" s="15">
        <f t="shared" si="58"/>
        <v>1.0031641017965258</v>
      </c>
      <c r="U407" s="15">
        <f t="shared" si="59"/>
        <v>0.99975513901352786</v>
      </c>
      <c r="V407" s="15">
        <f t="shared" si="60"/>
        <v>1.000625029177761</v>
      </c>
    </row>
    <row r="408" spans="1:22" x14ac:dyDescent="0.25">
      <c r="A408" s="6">
        <v>45302</v>
      </c>
      <c r="B408" s="10">
        <v>2.0941000000000001</v>
      </c>
      <c r="C408" s="10">
        <v>2.4041999999999999</v>
      </c>
      <c r="D408" s="10">
        <v>2.4992000000000001</v>
      </c>
      <c r="E408" s="10">
        <v>2.7768999999999999</v>
      </c>
      <c r="F408" s="10">
        <v>2.0533999999999999</v>
      </c>
      <c r="G408" s="10">
        <v>2.2940999999999998</v>
      </c>
      <c r="H408" s="11">
        <v>2.2000000000000002</v>
      </c>
      <c r="J408" s="8">
        <v>45317</v>
      </c>
      <c r="K408" s="11">
        <v>1785.9033999999999</v>
      </c>
      <c r="L408" s="11">
        <v>2403.2602999999999</v>
      </c>
      <c r="M408" s="11">
        <v>2917.4623000000001</v>
      </c>
      <c r="N408" s="11">
        <v>3101.6922</v>
      </c>
      <c r="O408" s="3">
        <f t="shared" si="65"/>
        <v>2.6125476617595567E-3</v>
      </c>
      <c r="P408" s="3">
        <f t="shared" si="66"/>
        <v>3.3859250180727773E-3</v>
      </c>
      <c r="Q408" s="3">
        <f t="shared" si="67"/>
        <v>-1.7817106629358648E-4</v>
      </c>
      <c r="R408" s="3">
        <f t="shared" si="68"/>
        <v>6.9587850798158435E-4</v>
      </c>
      <c r="S408" s="15">
        <f t="shared" si="57"/>
        <v>1.0026125476617596</v>
      </c>
      <c r="T408" s="15">
        <f t="shared" si="58"/>
        <v>1.0033859250180728</v>
      </c>
      <c r="U408" s="15">
        <f t="shared" si="59"/>
        <v>0.99982182893370641</v>
      </c>
      <c r="V408" s="15">
        <f t="shared" si="60"/>
        <v>1.0006958785079816</v>
      </c>
    </row>
    <row r="409" spans="1:22" x14ac:dyDescent="0.25">
      <c r="A409" s="6">
        <v>45303</v>
      </c>
      <c r="B409" s="10">
        <v>2.0941000000000001</v>
      </c>
      <c r="C409" s="10">
        <v>2.4156</v>
      </c>
      <c r="D409" s="10">
        <v>2.5171999999999999</v>
      </c>
      <c r="E409" s="10">
        <v>2.7930000000000001</v>
      </c>
      <c r="F409" s="10">
        <v>2.0402</v>
      </c>
      <c r="G409" s="10">
        <v>2.2976999999999999</v>
      </c>
      <c r="H409" s="11">
        <v>2.2000000000000002</v>
      </c>
      <c r="J409" s="8">
        <v>45320</v>
      </c>
      <c r="K409" s="11">
        <v>1786.4085</v>
      </c>
      <c r="L409" s="11">
        <v>2404.2148000000002</v>
      </c>
      <c r="M409" s="11">
        <v>2916.1214</v>
      </c>
      <c r="N409" s="11">
        <v>3101.0542</v>
      </c>
      <c r="O409" s="3">
        <f t="shared" si="65"/>
        <v>2.8961126058792974E-3</v>
      </c>
      <c r="P409" s="3">
        <f t="shared" si="66"/>
        <v>3.7844385979086681E-3</v>
      </c>
      <c r="Q409" s="3">
        <f t="shared" si="67"/>
        <v>-6.377009427953606E-4</v>
      </c>
      <c r="R409" s="3">
        <f t="shared" si="68"/>
        <v>4.9004120069229273E-4</v>
      </c>
      <c r="S409" s="15">
        <f t="shared" si="57"/>
        <v>1.0028961126058793</v>
      </c>
      <c r="T409" s="15">
        <f t="shared" si="58"/>
        <v>1.0037844385979087</v>
      </c>
      <c r="U409" s="15">
        <f t="shared" si="59"/>
        <v>0.99936229905720464</v>
      </c>
      <c r="V409" s="15">
        <f t="shared" si="60"/>
        <v>1.0004900412006923</v>
      </c>
    </row>
    <row r="410" spans="1:22" x14ac:dyDescent="0.25">
      <c r="A410" s="6">
        <v>45306</v>
      </c>
      <c r="B410" s="10">
        <v>2.0991</v>
      </c>
      <c r="C410" s="10">
        <v>2.4256000000000002</v>
      </c>
      <c r="D410" s="10">
        <v>2.5211999999999999</v>
      </c>
      <c r="E410" s="10">
        <v>2.7856000000000001</v>
      </c>
      <c r="F410" s="10">
        <v>2.0703999999999998</v>
      </c>
      <c r="G410" s="10">
        <v>2.2993999999999999</v>
      </c>
      <c r="H410" s="11">
        <v>2.25</v>
      </c>
      <c r="J410" s="8">
        <v>45321</v>
      </c>
      <c r="K410" s="11">
        <v>1787.2222999999999</v>
      </c>
      <c r="L410" s="11">
        <v>2406.0956000000001</v>
      </c>
      <c r="M410" s="11">
        <v>2915.4047999999998</v>
      </c>
      <c r="N410" s="11">
        <v>3100.8202000000001</v>
      </c>
      <c r="O410" s="3">
        <f t="shared" si="65"/>
        <v>3.3529828326155364E-3</v>
      </c>
      <c r="P410" s="3">
        <f t="shared" si="66"/>
        <v>4.569691967164502E-3</v>
      </c>
      <c r="Q410" s="3">
        <f t="shared" si="67"/>
        <v>-8.832816046651093E-4</v>
      </c>
      <c r="R410" s="3">
        <f t="shared" si="68"/>
        <v>4.1454601275225933E-4</v>
      </c>
      <c r="S410" s="15">
        <f t="shared" si="57"/>
        <v>1.0033529828326155</v>
      </c>
      <c r="T410" s="15">
        <f t="shared" si="58"/>
        <v>1.0045696919671645</v>
      </c>
      <c r="U410" s="15">
        <f t="shared" si="59"/>
        <v>0.99911671839533489</v>
      </c>
      <c r="V410" s="15">
        <f t="shared" si="60"/>
        <v>1.0004145460127523</v>
      </c>
    </row>
    <row r="411" spans="1:22" x14ac:dyDescent="0.25">
      <c r="A411" s="6">
        <v>45307</v>
      </c>
      <c r="B411" s="10">
        <v>2.1091000000000002</v>
      </c>
      <c r="C411" s="10">
        <v>2.4405999999999999</v>
      </c>
      <c r="D411" s="10">
        <v>2.5251999999999999</v>
      </c>
      <c r="E411" s="10">
        <v>2.7896999999999998</v>
      </c>
      <c r="F411" s="10">
        <v>2.1048</v>
      </c>
      <c r="G411" s="10">
        <v>2.3170000000000002</v>
      </c>
      <c r="H411" s="11">
        <v>2.25</v>
      </c>
      <c r="J411" s="8">
        <v>45322</v>
      </c>
      <c r="K411" s="11">
        <v>1787.8506</v>
      </c>
      <c r="L411" s="11">
        <v>2407.1813000000002</v>
      </c>
      <c r="M411" s="11">
        <v>2914.2624999999998</v>
      </c>
      <c r="N411" s="11">
        <v>3100.1442999999999</v>
      </c>
      <c r="O411" s="3">
        <f t="shared" si="65"/>
        <v>3.70571269678166E-3</v>
      </c>
      <c r="P411" s="3">
        <f t="shared" si="66"/>
        <v>5.0229828981518398E-3</v>
      </c>
      <c r="Q411" s="3">
        <f t="shared" si="67"/>
        <v>-1.2747507507071543E-3</v>
      </c>
      <c r="R411" s="3">
        <f t="shared" si="68"/>
        <v>1.9648106604885918E-4</v>
      </c>
      <c r="S411" s="15">
        <f t="shared" si="57"/>
        <v>1.0037057126967817</v>
      </c>
      <c r="T411" s="15">
        <f t="shared" si="58"/>
        <v>1.0050229828981518</v>
      </c>
      <c r="U411" s="15">
        <f t="shared" si="59"/>
        <v>0.99872524924929285</v>
      </c>
      <c r="V411" s="15">
        <f t="shared" si="60"/>
        <v>1.0001964810660489</v>
      </c>
    </row>
    <row r="412" spans="1:22" x14ac:dyDescent="0.25">
      <c r="A412" s="6">
        <v>45308</v>
      </c>
      <c r="B412" s="10">
        <v>2.1040999999999999</v>
      </c>
      <c r="C412" s="10">
        <v>2.4003000000000001</v>
      </c>
      <c r="D412" s="10">
        <v>2.5076999999999998</v>
      </c>
      <c r="E412" s="10">
        <v>2.7747000000000002</v>
      </c>
      <c r="F412" s="10">
        <v>2.1030000000000002</v>
      </c>
      <c r="G412" s="10">
        <v>2.3050000000000002</v>
      </c>
      <c r="H412" s="11">
        <v>2.2999999999999998</v>
      </c>
      <c r="J412" s="8">
        <v>45323</v>
      </c>
      <c r="K412" s="11">
        <v>1788.0208</v>
      </c>
      <c r="L412" s="11">
        <v>2407.3434999999999</v>
      </c>
      <c r="M412" s="11">
        <v>2914.4503</v>
      </c>
      <c r="N412" s="11">
        <v>3100.2249999999999</v>
      </c>
      <c r="O412" s="3">
        <f t="shared" si="65"/>
        <v>3.8012635847033405E-3</v>
      </c>
      <c r="P412" s="3">
        <f t="shared" si="66"/>
        <v>5.0907030685545251E-3</v>
      </c>
      <c r="Q412" s="3">
        <f t="shared" si="67"/>
        <v>-1.2103912080067003E-3</v>
      </c>
      <c r="R412" s="3">
        <f t="shared" si="68"/>
        <v>2.2251722701782661E-4</v>
      </c>
      <c r="S412" s="15">
        <f t="shared" si="57"/>
        <v>1.0038012635847033</v>
      </c>
      <c r="T412" s="15">
        <f t="shared" si="58"/>
        <v>1.0050907030685545</v>
      </c>
      <c r="U412" s="15">
        <f t="shared" si="59"/>
        <v>0.9987896087919933</v>
      </c>
      <c r="V412" s="15">
        <f t="shared" si="60"/>
        <v>1.0002225172270178</v>
      </c>
    </row>
    <row r="413" spans="1:22" x14ac:dyDescent="0.25">
      <c r="A413" s="6">
        <v>45309</v>
      </c>
      <c r="B413" s="10">
        <v>2.0991</v>
      </c>
      <c r="C413" s="10">
        <v>2.3954</v>
      </c>
      <c r="D413" s="10">
        <v>2.5091999999999999</v>
      </c>
      <c r="E413" s="10">
        <v>2.7732000000000001</v>
      </c>
      <c r="F413" s="10">
        <v>2.0937999999999999</v>
      </c>
      <c r="G413" s="10">
        <v>2.2987000000000002</v>
      </c>
      <c r="H413" s="11">
        <v>2.2000000000000002</v>
      </c>
      <c r="J413" s="8">
        <v>45324</v>
      </c>
      <c r="K413" s="11">
        <v>1788.3325</v>
      </c>
      <c r="L413" s="11">
        <v>2408.1922</v>
      </c>
      <c r="M413" s="11">
        <v>2913.3150000000001</v>
      </c>
      <c r="N413" s="11">
        <v>3099.6104</v>
      </c>
      <c r="O413" s="3">
        <f t="shared" si="65"/>
        <v>3.9762530780353966E-3</v>
      </c>
      <c r="P413" s="3">
        <f t="shared" si="66"/>
        <v>5.4450440588178495E-3</v>
      </c>
      <c r="Q413" s="3">
        <f t="shared" si="67"/>
        <v>-1.599461436056715E-3</v>
      </c>
      <c r="R413" s="3">
        <f t="shared" si="68"/>
        <v>2.422943852264936E-5</v>
      </c>
      <c r="S413" s="15">
        <f t="shared" si="57"/>
        <v>1.0039762530780354</v>
      </c>
      <c r="T413" s="15">
        <f t="shared" si="58"/>
        <v>1.0054450440588178</v>
      </c>
      <c r="U413" s="15">
        <f t="shared" si="59"/>
        <v>0.99840053856394329</v>
      </c>
      <c r="V413" s="15">
        <f t="shared" si="60"/>
        <v>1.0000242294385226</v>
      </c>
    </row>
    <row r="414" spans="1:22" x14ac:dyDescent="0.25">
      <c r="A414" s="6">
        <v>45310</v>
      </c>
      <c r="B414" s="10">
        <v>2.0840999999999998</v>
      </c>
      <c r="C414" s="10">
        <v>2.3780000000000001</v>
      </c>
      <c r="D414" s="10">
        <v>2.5026999999999999</v>
      </c>
      <c r="E414" s="10">
        <v>2.7583000000000002</v>
      </c>
      <c r="F414" s="10">
        <v>2.0716999999999999</v>
      </c>
      <c r="G414" s="10">
        <v>2.2965</v>
      </c>
      <c r="H414" s="11">
        <v>2.15</v>
      </c>
      <c r="J414" s="8">
        <v>45327</v>
      </c>
      <c r="K414" s="11">
        <v>1789.1389999999999</v>
      </c>
      <c r="L414" s="11">
        <v>2409.6084000000001</v>
      </c>
      <c r="M414" s="11">
        <v>2912.549</v>
      </c>
      <c r="N414" s="11">
        <v>3099.5708</v>
      </c>
      <c r="O414" s="3">
        <f t="shared" si="65"/>
        <v>4.4290250586973556E-3</v>
      </c>
      <c r="P414" s="3">
        <f t="shared" si="66"/>
        <v>6.0363221434309722E-3</v>
      </c>
      <c r="Q414" s="3">
        <f t="shared" si="67"/>
        <v>-1.86197160489876E-3</v>
      </c>
      <c r="R414" s="3">
        <f t="shared" si="68"/>
        <v>1.1453329794353095E-5</v>
      </c>
      <c r="S414" s="15">
        <f t="shared" si="57"/>
        <v>1.0044290250586974</v>
      </c>
      <c r="T414" s="15">
        <f t="shared" si="58"/>
        <v>1.006036322143431</v>
      </c>
      <c r="U414" s="15">
        <f t="shared" si="59"/>
        <v>0.99813802839510124</v>
      </c>
      <c r="V414" s="15">
        <f t="shared" si="60"/>
        <v>1.0000114533297944</v>
      </c>
    </row>
    <row r="415" spans="1:22" x14ac:dyDescent="0.25">
      <c r="A415" s="6">
        <v>45313</v>
      </c>
      <c r="B415" s="10">
        <v>2.0813000000000001</v>
      </c>
      <c r="C415" s="10">
        <v>2.3708999999999998</v>
      </c>
      <c r="D415" s="10">
        <v>2.4922</v>
      </c>
      <c r="E415" s="10">
        <v>2.7223999999999999</v>
      </c>
      <c r="F415" s="10">
        <v>2.0869</v>
      </c>
      <c r="G415" s="10">
        <v>2.2915999999999999</v>
      </c>
      <c r="H415" s="11">
        <v>2.1</v>
      </c>
      <c r="J415" s="8">
        <v>45328</v>
      </c>
      <c r="K415" s="11">
        <v>1788.8181</v>
      </c>
      <c r="L415" s="11">
        <v>2408.1541000000002</v>
      </c>
      <c r="M415" s="11">
        <v>2916.5698000000002</v>
      </c>
      <c r="N415" s="11">
        <v>3102.7343999999998</v>
      </c>
      <c r="O415" s="3">
        <f t="shared" si="65"/>
        <v>4.2488706525047881E-3</v>
      </c>
      <c r="P415" s="3">
        <f t="shared" si="66"/>
        <v>5.4291369164485292E-3</v>
      </c>
      <c r="Q415" s="3">
        <f t="shared" si="67"/>
        <v>-4.8403311027722662E-4</v>
      </c>
      <c r="R415" s="3">
        <f t="shared" si="68"/>
        <v>1.032122460421725E-3</v>
      </c>
      <c r="S415" s="15">
        <f t="shared" si="57"/>
        <v>1.0042488706525048</v>
      </c>
      <c r="T415" s="15">
        <f t="shared" si="58"/>
        <v>1.0054291369164485</v>
      </c>
      <c r="U415" s="15">
        <f t="shared" si="59"/>
        <v>0.99951596688972277</v>
      </c>
      <c r="V415" s="15">
        <f t="shared" si="60"/>
        <v>1.0010321224604217</v>
      </c>
    </row>
    <row r="416" spans="1:22" x14ac:dyDescent="0.25">
      <c r="A416" s="6">
        <v>45314</v>
      </c>
      <c r="B416" s="10">
        <v>2.0840999999999998</v>
      </c>
      <c r="C416" s="10">
        <v>2.3835000000000002</v>
      </c>
      <c r="D416" s="10">
        <v>2.5042</v>
      </c>
      <c r="E416" s="10">
        <v>2.7326999999999999</v>
      </c>
      <c r="F416" s="10">
        <v>2.085</v>
      </c>
      <c r="G416" s="10">
        <v>2.3025000000000002</v>
      </c>
      <c r="H416" s="11">
        <v>2.15</v>
      </c>
      <c r="J416" s="8">
        <v>45329</v>
      </c>
      <c r="K416" s="11">
        <v>1789.22</v>
      </c>
      <c r="L416" s="11">
        <v>2409.3202999999999</v>
      </c>
      <c r="M416" s="11">
        <v>2919.6109999999999</v>
      </c>
      <c r="N416" s="11">
        <v>3105.7417999999998</v>
      </c>
      <c r="O416" s="3">
        <f t="shared" si="65"/>
        <v>4.4744987480138665E-3</v>
      </c>
      <c r="P416" s="3">
        <f t="shared" si="66"/>
        <v>5.9160374264579652E-3</v>
      </c>
      <c r="Q416" s="3">
        <f t="shared" si="67"/>
        <v>5.5819394648803922E-4</v>
      </c>
      <c r="R416" s="3">
        <f t="shared" si="68"/>
        <v>2.0023969399540764E-3</v>
      </c>
      <c r="S416" s="15">
        <f t="shared" si="57"/>
        <v>1.0044744987480139</v>
      </c>
      <c r="T416" s="15">
        <f t="shared" si="58"/>
        <v>1.005916037426458</v>
      </c>
      <c r="U416" s="15">
        <f t="shared" si="59"/>
        <v>1.000558193946488</v>
      </c>
      <c r="V416" s="15">
        <f t="shared" si="60"/>
        <v>1.0020023969399541</v>
      </c>
    </row>
    <row r="417" spans="1:22" x14ac:dyDescent="0.25">
      <c r="A417" s="6">
        <v>45315</v>
      </c>
      <c r="B417" s="10">
        <v>2.0691000000000002</v>
      </c>
      <c r="C417" s="10">
        <v>2.3713000000000002</v>
      </c>
      <c r="D417" s="10">
        <v>2.5042</v>
      </c>
      <c r="E417" s="10">
        <v>2.738</v>
      </c>
      <c r="F417" s="10">
        <v>2.0613000000000001</v>
      </c>
      <c r="G417" s="10">
        <v>2.2955000000000001</v>
      </c>
      <c r="H417" s="11">
        <v>2.12</v>
      </c>
      <c r="J417" s="8">
        <v>45330</v>
      </c>
      <c r="K417" s="11">
        <v>1789.4636</v>
      </c>
      <c r="L417" s="11">
        <v>2409.5635000000002</v>
      </c>
      <c r="M417" s="11">
        <v>2922.3874000000001</v>
      </c>
      <c r="N417" s="11">
        <v>3107.8710000000001</v>
      </c>
      <c r="O417" s="3">
        <f t="shared" si="65"/>
        <v>4.6112566581060221E-3</v>
      </c>
      <c r="P417" s="3">
        <f t="shared" si="66"/>
        <v>6.0175759310323595E-3</v>
      </c>
      <c r="Q417" s="3">
        <f t="shared" si="67"/>
        <v>1.509673362640962E-3</v>
      </c>
      <c r="R417" s="3">
        <f t="shared" si="68"/>
        <v>2.6893386244060125E-3</v>
      </c>
      <c r="S417" s="15">
        <f t="shared" si="57"/>
        <v>1.004611256658106</v>
      </c>
      <c r="T417" s="15">
        <f t="shared" si="58"/>
        <v>1.0060175759310324</v>
      </c>
      <c r="U417" s="15">
        <f t="shared" si="59"/>
        <v>1.001509673362641</v>
      </c>
      <c r="V417" s="15">
        <f t="shared" si="60"/>
        <v>1.002689338624406</v>
      </c>
    </row>
    <row r="418" spans="1:22" x14ac:dyDescent="0.25">
      <c r="A418" s="6">
        <v>45316</v>
      </c>
      <c r="B418" s="10">
        <v>2.0341999999999998</v>
      </c>
      <c r="C418" s="10">
        <v>2.3313999999999999</v>
      </c>
      <c r="D418" s="10">
        <v>2.4984000000000002</v>
      </c>
      <c r="E418" s="10">
        <v>2.7321</v>
      </c>
      <c r="F418" s="10">
        <v>2.0223</v>
      </c>
      <c r="G418" s="10">
        <v>2.2648000000000001</v>
      </c>
      <c r="H418" s="11">
        <v>2.35</v>
      </c>
      <c r="J418" s="8">
        <v>45341</v>
      </c>
      <c r="K418" s="11">
        <v>1790.8354999999999</v>
      </c>
      <c r="L418" s="11">
        <v>2411.3865999999998</v>
      </c>
      <c r="M418" s="11">
        <v>2925.8901999999998</v>
      </c>
      <c r="N418" s="11">
        <v>3110.9978999999998</v>
      </c>
      <c r="O418" s="3">
        <f t="shared" si="65"/>
        <v>5.3814462182675271E-3</v>
      </c>
      <c r="P418" s="3">
        <f t="shared" si="66"/>
        <v>6.7787389560696187E-3</v>
      </c>
      <c r="Q418" s="3">
        <f t="shared" si="67"/>
        <v>2.7100919258520317E-3</v>
      </c>
      <c r="R418" s="3">
        <f t="shared" si="68"/>
        <v>3.6981672704292645E-3</v>
      </c>
      <c r="S418" s="15">
        <f t="shared" si="57"/>
        <v>1.0053814462182675</v>
      </c>
      <c r="T418" s="15">
        <f t="shared" si="58"/>
        <v>1.0067787389560696</v>
      </c>
      <c r="U418" s="15">
        <f t="shared" si="59"/>
        <v>1.002710091925852</v>
      </c>
      <c r="V418" s="15">
        <f t="shared" si="60"/>
        <v>1.0036981672704293</v>
      </c>
    </row>
    <row r="419" spans="1:22" x14ac:dyDescent="0.25">
      <c r="A419" s="6">
        <v>45317</v>
      </c>
      <c r="B419" s="10">
        <v>2.0228999999999999</v>
      </c>
      <c r="C419" s="10">
        <v>2.3441000000000001</v>
      </c>
      <c r="D419" s="10">
        <v>2.4994000000000001</v>
      </c>
      <c r="E419" s="10">
        <v>2.7330999999999999</v>
      </c>
      <c r="F419" s="10">
        <v>2.0028000000000001</v>
      </c>
      <c r="G419" s="10">
        <v>2.2585000000000002</v>
      </c>
      <c r="H419" s="11">
        <v>2.4</v>
      </c>
      <c r="J419" s="8">
        <v>45342</v>
      </c>
      <c r="K419" s="11">
        <v>1791.4236000000001</v>
      </c>
      <c r="L419" s="11">
        <v>2412.6089999999999</v>
      </c>
      <c r="M419" s="11">
        <v>2928.8463000000002</v>
      </c>
      <c r="N419" s="11">
        <v>3113.4956000000002</v>
      </c>
      <c r="O419" s="3">
        <f t="shared" si="65"/>
        <v>5.711607658847262E-3</v>
      </c>
      <c r="P419" s="3">
        <f t="shared" si="66"/>
        <v>7.2891035448501285E-3</v>
      </c>
      <c r="Q419" s="3">
        <f t="shared" si="67"/>
        <v>3.7231549938858688E-3</v>
      </c>
      <c r="R419" s="3">
        <f t="shared" si="68"/>
        <v>4.5039977444361057E-3</v>
      </c>
      <c r="S419" s="15">
        <f t="shared" si="57"/>
        <v>1.0057116076588473</v>
      </c>
      <c r="T419" s="15">
        <f t="shared" si="58"/>
        <v>1.0072891035448501</v>
      </c>
      <c r="U419" s="15">
        <f t="shared" si="59"/>
        <v>1.0037231549938859</v>
      </c>
      <c r="V419" s="15">
        <f t="shared" si="60"/>
        <v>1.0045039977444361</v>
      </c>
    </row>
    <row r="420" spans="1:22" x14ac:dyDescent="0.25">
      <c r="A420" s="6">
        <v>45320</v>
      </c>
      <c r="B420" s="10">
        <v>1.9400999999999999</v>
      </c>
      <c r="C420" s="10">
        <v>2.3222</v>
      </c>
      <c r="D420" s="10">
        <v>2.4940000000000002</v>
      </c>
      <c r="E420" s="10">
        <v>2.7271999999999998</v>
      </c>
      <c r="F420" s="10">
        <v>1.9964999999999999</v>
      </c>
      <c r="G420" s="10">
        <v>2.2389000000000001</v>
      </c>
      <c r="H420" s="11">
        <v>2.5</v>
      </c>
      <c r="J420" s="8">
        <v>45343</v>
      </c>
      <c r="K420" s="11">
        <v>1791.7642000000001</v>
      </c>
      <c r="L420" s="11">
        <v>2413.2002000000002</v>
      </c>
      <c r="M420" s="11">
        <v>2930.9675999999999</v>
      </c>
      <c r="N420" s="11">
        <v>3115.4422</v>
      </c>
      <c r="O420" s="3">
        <f t="shared" si="65"/>
        <v>5.9028217154044604E-3</v>
      </c>
      <c r="P420" s="3">
        <f t="shared" si="66"/>
        <v>7.5359356332722616E-3</v>
      </c>
      <c r="Q420" s="3">
        <f t="shared" si="67"/>
        <v>4.4501299562416108E-3</v>
      </c>
      <c r="R420" s="3">
        <f t="shared" si="68"/>
        <v>5.1320273719741571E-3</v>
      </c>
      <c r="S420" s="15">
        <f t="shared" si="57"/>
        <v>1.0059028217154045</v>
      </c>
      <c r="T420" s="15">
        <f t="shared" si="58"/>
        <v>1.0075359356332723</v>
      </c>
      <c r="U420" s="15">
        <f t="shared" si="59"/>
        <v>1.0044501299562416</v>
      </c>
      <c r="V420" s="15">
        <f t="shared" si="60"/>
        <v>1.0051320273719742</v>
      </c>
    </row>
    <row r="421" spans="1:22" x14ac:dyDescent="0.25">
      <c r="A421" s="6">
        <v>45321</v>
      </c>
      <c r="B421" s="10">
        <v>1.8751</v>
      </c>
      <c r="C421" s="10">
        <v>2.2848999999999999</v>
      </c>
      <c r="D421" s="10">
        <v>2.4557000000000002</v>
      </c>
      <c r="E421" s="10">
        <v>2.6831</v>
      </c>
      <c r="F421" s="10">
        <v>1.9438</v>
      </c>
      <c r="G421" s="10">
        <v>2.1815000000000002</v>
      </c>
      <c r="H421" s="11">
        <v>2.35</v>
      </c>
      <c r="J421" s="8">
        <v>45344</v>
      </c>
      <c r="K421" s="11">
        <v>1792.2233000000001</v>
      </c>
      <c r="L421" s="11">
        <v>2414.2476999999999</v>
      </c>
      <c r="M421" s="11">
        <v>2933.4638</v>
      </c>
      <c r="N421" s="11">
        <v>3117.3984</v>
      </c>
      <c r="O421" s="3">
        <f t="shared" si="65"/>
        <v>6.1605620952209783E-3</v>
      </c>
      <c r="P421" s="3">
        <f t="shared" si="66"/>
        <v>7.9732776708603126E-3</v>
      </c>
      <c r="Q421" s="3">
        <f t="shared" si="67"/>
        <v>5.3055841121991687E-3</v>
      </c>
      <c r="R421" s="3">
        <f t="shared" si="68"/>
        <v>5.7631542379916745E-3</v>
      </c>
      <c r="S421" s="15">
        <f t="shared" si="57"/>
        <v>1.006160562095221</v>
      </c>
      <c r="T421" s="15">
        <f t="shared" si="58"/>
        <v>1.0079732776708603</v>
      </c>
      <c r="U421" s="15">
        <f t="shared" si="59"/>
        <v>1.0053055841121992</v>
      </c>
      <c r="V421" s="15">
        <f t="shared" si="60"/>
        <v>1.0057631542379917</v>
      </c>
    </row>
    <row r="422" spans="1:22" x14ac:dyDescent="0.25">
      <c r="A422" s="6">
        <v>45322</v>
      </c>
      <c r="B422" s="10">
        <v>1.8802000000000001</v>
      </c>
      <c r="C422" s="10">
        <v>2.2871999999999999</v>
      </c>
      <c r="D422" s="10">
        <v>2.4329999999999998</v>
      </c>
      <c r="E422" s="10">
        <v>2.6482000000000001</v>
      </c>
      <c r="F422" s="10">
        <v>1.9714</v>
      </c>
      <c r="G422" s="10">
        <v>2.1764000000000001</v>
      </c>
      <c r="H422" s="11">
        <v>2.35</v>
      </c>
      <c r="J422" s="8">
        <v>45345</v>
      </c>
      <c r="K422" s="11">
        <v>1792.7506000000001</v>
      </c>
      <c r="L422" s="11">
        <v>2415.915</v>
      </c>
      <c r="M422" s="11">
        <v>2935.7370000000001</v>
      </c>
      <c r="N422" s="11">
        <v>3119.7397999999998</v>
      </c>
      <c r="O422" s="3">
        <f t="shared" si="65"/>
        <v>6.4565901986346486E-3</v>
      </c>
      <c r="P422" s="3">
        <f t="shared" si="66"/>
        <v>8.6693925914049785E-3</v>
      </c>
      <c r="Q422" s="3">
        <f t="shared" si="67"/>
        <v>6.084615594982079E-3</v>
      </c>
      <c r="R422" s="3">
        <f t="shared" si="68"/>
        <v>6.5185577980026999E-3</v>
      </c>
      <c r="S422" s="15">
        <f t="shared" si="57"/>
        <v>1.0064565901986346</v>
      </c>
      <c r="T422" s="15">
        <f t="shared" si="58"/>
        <v>1.008669392591405</v>
      </c>
      <c r="U422" s="15">
        <f t="shared" si="59"/>
        <v>1.0060846155949821</v>
      </c>
      <c r="V422" s="15">
        <f t="shared" si="60"/>
        <v>1.0065185577980027</v>
      </c>
    </row>
    <row r="423" spans="1:22" x14ac:dyDescent="0.25">
      <c r="A423" s="6">
        <v>45323</v>
      </c>
      <c r="B423" s="10">
        <v>1.8802000000000001</v>
      </c>
      <c r="C423" s="10">
        <v>2.3048000000000002</v>
      </c>
      <c r="D423" s="10">
        <v>2.4354</v>
      </c>
      <c r="E423" s="10">
        <v>2.6472000000000002</v>
      </c>
      <c r="F423" s="10">
        <v>1.9749000000000001</v>
      </c>
      <c r="G423" s="10">
        <v>2.1865999999999999</v>
      </c>
      <c r="H423" s="11">
        <v>1.95</v>
      </c>
      <c r="J423" s="8">
        <v>45348</v>
      </c>
      <c r="K423" s="11">
        <v>1793.3372999999999</v>
      </c>
      <c r="L423" s="11">
        <v>2417.2026999999998</v>
      </c>
      <c r="M423" s="11">
        <v>2936.6653000000001</v>
      </c>
      <c r="N423" s="11">
        <v>3120.7419</v>
      </c>
      <c r="O423" s="3">
        <f t="shared" si="65"/>
        <v>6.7859656742135233E-3</v>
      </c>
      <c r="P423" s="3">
        <f t="shared" si="66"/>
        <v>9.207020602671756E-3</v>
      </c>
      <c r="Q423" s="3">
        <f t="shared" si="67"/>
        <v>6.4027463909821503E-3</v>
      </c>
      <c r="R423" s="3">
        <f t="shared" si="68"/>
        <v>6.8418643272105673E-3</v>
      </c>
      <c r="S423" s="15">
        <f t="shared" si="57"/>
        <v>1.0067859656742135</v>
      </c>
      <c r="T423" s="15">
        <f t="shared" si="58"/>
        <v>1.0092070206026718</v>
      </c>
      <c r="U423" s="15">
        <f t="shared" si="59"/>
        <v>1.0064027463909822</v>
      </c>
      <c r="V423" s="15">
        <f t="shared" si="60"/>
        <v>1.0068418643272106</v>
      </c>
    </row>
    <row r="424" spans="1:22" x14ac:dyDescent="0.25">
      <c r="A424" s="6">
        <v>45324</v>
      </c>
      <c r="B424" s="10">
        <v>1.8903000000000001</v>
      </c>
      <c r="C424" s="10">
        <v>2.2799</v>
      </c>
      <c r="D424" s="10">
        <v>2.4243999999999999</v>
      </c>
      <c r="E424" s="10">
        <v>2.6353</v>
      </c>
      <c r="F424" s="10">
        <v>1.9718</v>
      </c>
      <c r="G424" s="10">
        <v>2.1901000000000002</v>
      </c>
      <c r="H424" s="11">
        <v>2.21</v>
      </c>
      <c r="J424" s="8">
        <v>45349</v>
      </c>
      <c r="K424" s="11">
        <v>1793.6758</v>
      </c>
      <c r="L424" s="11">
        <v>2417.7530999999999</v>
      </c>
      <c r="M424" s="11">
        <v>2939.2139000000002</v>
      </c>
      <c r="N424" s="11">
        <v>3122.5223999999998</v>
      </c>
      <c r="O424" s="3">
        <f t="shared" si="65"/>
        <v>6.9760007832702087E-3</v>
      </c>
      <c r="P424" s="3">
        <f t="shared" si="66"/>
        <v>9.4368182709185788E-3</v>
      </c>
      <c r="Q424" s="3">
        <f t="shared" si="67"/>
        <v>7.2761581616229698E-3</v>
      </c>
      <c r="R424" s="3">
        <f t="shared" si="68"/>
        <v>7.4163052764715243E-3</v>
      </c>
      <c r="S424" s="15">
        <f t="shared" si="57"/>
        <v>1.0069760007832702</v>
      </c>
      <c r="T424" s="15">
        <f t="shared" si="58"/>
        <v>1.0094368182709186</v>
      </c>
      <c r="U424" s="15">
        <f t="shared" si="59"/>
        <v>1.007276158161623</v>
      </c>
      <c r="V424" s="15">
        <f t="shared" si="60"/>
        <v>1.0074163052764715</v>
      </c>
    </row>
    <row r="425" spans="1:22" x14ac:dyDescent="0.25">
      <c r="A425" s="6">
        <v>45326</v>
      </c>
      <c r="B425" s="10">
        <v>1.8803000000000001</v>
      </c>
      <c r="C425" s="10">
        <v>2.2728000000000002</v>
      </c>
      <c r="D425" s="10">
        <v>2.4053</v>
      </c>
      <c r="E425" s="10">
        <v>2.6076000000000001</v>
      </c>
      <c r="F425" s="10">
        <v>1.9572000000000001</v>
      </c>
      <c r="G425" s="10">
        <v>2.1745000000000001</v>
      </c>
      <c r="H425" s="11">
        <v>1.9543999999999999</v>
      </c>
      <c r="J425" s="8">
        <v>45350</v>
      </c>
      <c r="K425" s="11">
        <v>1793.9647</v>
      </c>
      <c r="L425" s="11">
        <v>2418.6181000000001</v>
      </c>
      <c r="M425" s="11">
        <v>2936.0218</v>
      </c>
      <c r="N425" s="11">
        <v>3120.8832000000002</v>
      </c>
      <c r="O425" s="3">
        <f t="shared" si="65"/>
        <v>7.1381902751652682E-3</v>
      </c>
      <c r="P425" s="3">
        <f t="shared" si="66"/>
        <v>9.797964679046256E-3</v>
      </c>
      <c r="Q425" s="3">
        <f t="shared" si="67"/>
        <v>6.1822172870005243E-3</v>
      </c>
      <c r="R425" s="3">
        <f t="shared" si="68"/>
        <v>6.8874518060821899E-3</v>
      </c>
      <c r="S425" s="15">
        <f t="shared" si="57"/>
        <v>1.0071381902751653</v>
      </c>
      <c r="T425" s="15">
        <f t="shared" si="58"/>
        <v>1.0097979646790463</v>
      </c>
      <c r="U425" s="15">
        <f t="shared" si="59"/>
        <v>1.0061822172870005</v>
      </c>
      <c r="V425" s="15">
        <f t="shared" si="60"/>
        <v>1.0068874518060822</v>
      </c>
    </row>
    <row r="426" spans="1:22" x14ac:dyDescent="0.25">
      <c r="A426" s="6">
        <v>45327</v>
      </c>
      <c r="B426" s="10">
        <v>1.8829</v>
      </c>
      <c r="C426" s="10">
        <v>2.2751000000000001</v>
      </c>
      <c r="D426" s="10">
        <v>2.4001999999999999</v>
      </c>
      <c r="E426" s="10">
        <v>2.5973999999999999</v>
      </c>
      <c r="F426" s="10">
        <v>1.9676</v>
      </c>
      <c r="G426" s="10">
        <v>2.1768000000000001</v>
      </c>
      <c r="H426" s="11">
        <v>1.931</v>
      </c>
      <c r="J426" s="8">
        <v>45351</v>
      </c>
      <c r="K426" s="11">
        <v>1794.4358</v>
      </c>
      <c r="L426" s="11">
        <v>2419.6333</v>
      </c>
      <c r="M426" s="11">
        <v>2940.0774000000001</v>
      </c>
      <c r="N426" s="11">
        <v>3123.9123</v>
      </c>
      <c r="O426" s="3">
        <f t="shared" si="65"/>
        <v>7.4026674978433515E-3</v>
      </c>
      <c r="P426" s="3">
        <f t="shared" si="66"/>
        <v>1.0221821133995501E-2</v>
      </c>
      <c r="Q426" s="3">
        <f t="shared" si="67"/>
        <v>7.572081831068056E-3</v>
      </c>
      <c r="R426" s="3">
        <f t="shared" si="68"/>
        <v>7.864727335094468E-3</v>
      </c>
      <c r="S426" s="15">
        <f t="shared" si="57"/>
        <v>1.0074026674978434</v>
      </c>
      <c r="T426" s="15">
        <f t="shared" si="58"/>
        <v>1.0102218211339955</v>
      </c>
      <c r="U426" s="15">
        <f t="shared" si="59"/>
        <v>1.0075720818310681</v>
      </c>
      <c r="V426" s="15">
        <f t="shared" si="60"/>
        <v>1.0078647273350945</v>
      </c>
    </row>
    <row r="427" spans="1:22" x14ac:dyDescent="0.25">
      <c r="A427" s="6">
        <v>45328</v>
      </c>
      <c r="B427" s="10">
        <v>1.9269000000000001</v>
      </c>
      <c r="C427" s="10">
        <v>2.3329</v>
      </c>
      <c r="D427" s="10">
        <v>2.4525000000000001</v>
      </c>
      <c r="E427" s="10">
        <v>2.6579000000000002</v>
      </c>
      <c r="F427" s="10">
        <v>1.9814000000000001</v>
      </c>
      <c r="G427" s="10">
        <v>2.2077</v>
      </c>
      <c r="H427" s="11">
        <v>1.95</v>
      </c>
      <c r="J427" s="8">
        <v>45352</v>
      </c>
      <c r="K427" s="11">
        <v>1794.0939000000001</v>
      </c>
      <c r="L427" s="11">
        <v>2418.4965000000002</v>
      </c>
      <c r="M427" s="11">
        <v>2939.7725999999998</v>
      </c>
      <c r="N427" s="11">
        <v>3123.3834999999999</v>
      </c>
      <c r="O427" s="3">
        <f t="shared" si="65"/>
        <v>7.2107236166427668E-3</v>
      </c>
      <c r="P427" s="3">
        <f t="shared" si="66"/>
        <v>9.7471954267591698E-3</v>
      </c>
      <c r="Q427" s="3">
        <f t="shared" si="67"/>
        <v>7.4676260876436196E-3</v>
      </c>
      <c r="R427" s="3">
        <f t="shared" si="68"/>
        <v>7.6941211155103773E-3</v>
      </c>
      <c r="S427" s="15">
        <f t="shared" si="57"/>
        <v>1.0072107236166428</v>
      </c>
      <c r="T427" s="15">
        <f t="shared" si="58"/>
        <v>1.0097471954267592</v>
      </c>
      <c r="U427" s="15">
        <f t="shared" si="59"/>
        <v>1.0074676260876436</v>
      </c>
      <c r="V427" s="15">
        <f t="shared" si="60"/>
        <v>1.0076941211155104</v>
      </c>
    </row>
    <row r="428" spans="1:22" x14ac:dyDescent="0.25">
      <c r="A428" s="6">
        <v>45329</v>
      </c>
      <c r="B428" s="10">
        <v>1.9287000000000001</v>
      </c>
      <c r="C428" s="10">
        <v>2.2985000000000002</v>
      </c>
      <c r="D428" s="10">
        <v>2.4152999999999998</v>
      </c>
      <c r="E428" s="10">
        <v>2.6214</v>
      </c>
      <c r="F428" s="10">
        <v>1.9721</v>
      </c>
      <c r="G428" s="10">
        <v>2.2084000000000001</v>
      </c>
      <c r="H428" s="11">
        <v>1.95</v>
      </c>
      <c r="J428" s="8">
        <v>45355</v>
      </c>
      <c r="K428" s="11">
        <v>1794.4933000000001</v>
      </c>
      <c r="L428" s="11">
        <v>2419.3427999999999</v>
      </c>
      <c r="M428" s="11">
        <v>2940.9449</v>
      </c>
      <c r="N428" s="11">
        <v>3124.3247000000001</v>
      </c>
      <c r="O428" s="3">
        <f t="shared" si="65"/>
        <v>7.4349482032223246E-3</v>
      </c>
      <c r="P428" s="3">
        <f t="shared" si="66"/>
        <v>1.0100534392306404E-2</v>
      </c>
      <c r="Q428" s="3">
        <f t="shared" si="67"/>
        <v>7.8693763107944292E-3</v>
      </c>
      <c r="R428" s="3">
        <f t="shared" si="68"/>
        <v>7.9977795381134253E-3</v>
      </c>
      <c r="S428" s="15">
        <f t="shared" si="57"/>
        <v>1.0074349482032223</v>
      </c>
      <c r="T428" s="15">
        <f t="shared" si="58"/>
        <v>1.0101005343923064</v>
      </c>
      <c r="U428" s="15">
        <f t="shared" si="59"/>
        <v>1.0078693763107944</v>
      </c>
      <c r="V428" s="15">
        <f t="shared" si="60"/>
        <v>1.0079977795381134</v>
      </c>
    </row>
    <row r="429" spans="1:22" x14ac:dyDescent="0.25">
      <c r="A429" s="6">
        <v>45330</v>
      </c>
      <c r="B429" s="10">
        <v>1.9265000000000001</v>
      </c>
      <c r="C429" s="10">
        <v>2.2885</v>
      </c>
      <c r="D429" s="10">
        <v>2.4379</v>
      </c>
      <c r="E429" s="10">
        <v>2.6505000000000001</v>
      </c>
      <c r="F429" s="10">
        <v>1.9469000000000001</v>
      </c>
      <c r="G429" s="10">
        <v>2.1920999999999999</v>
      </c>
      <c r="H429" s="11">
        <v>1.8</v>
      </c>
      <c r="J429" s="8">
        <v>45356</v>
      </c>
      <c r="K429" s="11">
        <v>1794.6578</v>
      </c>
      <c r="L429" s="11">
        <v>2419.8548999999998</v>
      </c>
      <c r="M429" s="11">
        <v>2940.6093999999998</v>
      </c>
      <c r="N429" s="11">
        <v>3124.4654</v>
      </c>
      <c r="O429" s="3">
        <f t="shared" si="65"/>
        <v>7.5272990907844228E-3</v>
      </c>
      <c r="P429" s="3">
        <f t="shared" si="66"/>
        <v>1.0314341416123751E-2</v>
      </c>
      <c r="Q429" s="3">
        <f t="shared" si="67"/>
        <v>7.7543995984621361E-3</v>
      </c>
      <c r="R429" s="3">
        <f t="shared" si="68"/>
        <v>8.0431734395798316E-3</v>
      </c>
      <c r="S429" s="15">
        <f t="shared" si="57"/>
        <v>1.0075272990907844</v>
      </c>
      <c r="T429" s="15">
        <f t="shared" si="58"/>
        <v>1.0103143414161238</v>
      </c>
      <c r="U429" s="15">
        <f t="shared" si="59"/>
        <v>1.0077543995984621</v>
      </c>
      <c r="V429" s="15">
        <f t="shared" si="60"/>
        <v>1.0080431734395798</v>
      </c>
    </row>
    <row r="430" spans="1:22" x14ac:dyDescent="0.25">
      <c r="A430" s="6">
        <v>45331</v>
      </c>
      <c r="B430" s="10">
        <v>1.9265000000000001</v>
      </c>
      <c r="C430" s="10">
        <v>2.2885</v>
      </c>
      <c r="D430" s="10">
        <v>2.4302000000000001</v>
      </c>
      <c r="E430" s="10">
        <v>2.6505000000000001</v>
      </c>
      <c r="F430" s="10"/>
      <c r="G430" s="10">
        <v>2.21</v>
      </c>
      <c r="H430" s="11">
        <v>1.85</v>
      </c>
      <c r="J430" s="8">
        <v>45357</v>
      </c>
      <c r="K430" s="11">
        <v>1795.1655000000001</v>
      </c>
      <c r="L430" s="11">
        <v>2421.6498000000001</v>
      </c>
      <c r="M430" s="11">
        <v>2942.6644999999999</v>
      </c>
      <c r="N430" s="11">
        <v>3126.3777</v>
      </c>
      <c r="O430" s="3">
        <f t="shared" si="65"/>
        <v>7.812323684190714E-3</v>
      </c>
      <c r="P430" s="3">
        <f t="shared" si="66"/>
        <v>1.1063730650746173E-2</v>
      </c>
      <c r="Q430" s="3">
        <f t="shared" si="67"/>
        <v>8.4586876506649311E-3</v>
      </c>
      <c r="R430" s="3">
        <f t="shared" si="68"/>
        <v>8.6601368921335187E-3</v>
      </c>
      <c r="S430" s="15">
        <f t="shared" si="57"/>
        <v>1.0078123236841907</v>
      </c>
      <c r="T430" s="15">
        <f t="shared" si="58"/>
        <v>1.0110637306507462</v>
      </c>
      <c r="U430" s="15">
        <f t="shared" si="59"/>
        <v>1.0084586876506649</v>
      </c>
      <c r="V430" s="15">
        <f t="shared" si="60"/>
        <v>1.0086601368921335</v>
      </c>
    </row>
    <row r="431" spans="1:22" x14ac:dyDescent="0.25">
      <c r="A431" s="6">
        <v>45340</v>
      </c>
      <c r="B431" s="10">
        <v>1.9292</v>
      </c>
      <c r="C431" s="10">
        <v>2.2972000000000001</v>
      </c>
      <c r="D431" s="10">
        <v>2.4392999999999998</v>
      </c>
      <c r="E431" s="10">
        <v>2.6429999999999998</v>
      </c>
      <c r="F431" s="10">
        <v>1.9608000000000001</v>
      </c>
      <c r="G431" s="10">
        <v>2.2092000000000001</v>
      </c>
      <c r="H431" s="11">
        <v>1.81</v>
      </c>
      <c r="J431" s="8">
        <v>45358</v>
      </c>
      <c r="K431" s="11">
        <v>1795.2943</v>
      </c>
      <c r="L431" s="11">
        <v>2421.6644999999999</v>
      </c>
      <c r="M431" s="11">
        <v>2942.0500999999999</v>
      </c>
      <c r="N431" s="11">
        <v>3125.8847999999998</v>
      </c>
      <c r="O431" s="3">
        <f t="shared" si="65"/>
        <v>7.8846324642394272E-3</v>
      </c>
      <c r="P431" s="3">
        <f t="shared" si="66"/>
        <v>1.1069868052132614E-2</v>
      </c>
      <c r="Q431" s="3">
        <f t="shared" si="67"/>
        <v>8.2481311914788247E-3</v>
      </c>
      <c r="R431" s="3">
        <f t="shared" si="68"/>
        <v>8.5011130539471846E-3</v>
      </c>
      <c r="S431" s="15">
        <f t="shared" si="57"/>
        <v>1.0078846324642394</v>
      </c>
      <c r="T431" s="15">
        <f t="shared" si="58"/>
        <v>1.0110698680521326</v>
      </c>
      <c r="U431" s="15">
        <f t="shared" si="59"/>
        <v>1.0082481311914788</v>
      </c>
      <c r="V431" s="15">
        <f t="shared" si="60"/>
        <v>1.0085011130539472</v>
      </c>
    </row>
    <row r="432" spans="1:22" x14ac:dyDescent="0.25">
      <c r="A432" s="6">
        <v>45341</v>
      </c>
      <c r="B432" s="10">
        <v>1.9157</v>
      </c>
      <c r="C432" s="10">
        <v>2.3058000000000001</v>
      </c>
      <c r="D432" s="10">
        <v>2.4344000000000001</v>
      </c>
      <c r="E432" s="10">
        <v>2.6269999999999998</v>
      </c>
      <c r="F432" s="10">
        <v>1.9743999999999999</v>
      </c>
      <c r="G432" s="10">
        <v>2.2149000000000001</v>
      </c>
      <c r="H432" s="11">
        <v>2.0499999999999998</v>
      </c>
      <c r="J432" s="8">
        <v>45359</v>
      </c>
      <c r="K432" s="11">
        <v>1795.414</v>
      </c>
      <c r="L432" s="11">
        <v>2421.9841999999999</v>
      </c>
      <c r="M432" s="11">
        <v>2943.2611999999999</v>
      </c>
      <c r="N432" s="11">
        <v>3126.8431999999998</v>
      </c>
      <c r="O432" s="3">
        <f t="shared" si="65"/>
        <v>7.9518324717846589E-3</v>
      </c>
      <c r="P432" s="3">
        <f t="shared" si="66"/>
        <v>1.1203346094535549E-2</v>
      </c>
      <c r="Q432" s="3">
        <f t="shared" si="67"/>
        <v>8.6631782743569197E-3</v>
      </c>
      <c r="R432" s="3">
        <f t="shared" si="68"/>
        <v>8.8103206954925906E-3</v>
      </c>
      <c r="S432" s="15">
        <f t="shared" si="57"/>
        <v>1.0079518324717847</v>
      </c>
      <c r="T432" s="15">
        <f t="shared" si="58"/>
        <v>1.0112033460945355</v>
      </c>
      <c r="U432" s="15">
        <f t="shared" si="59"/>
        <v>1.0086631782743569</v>
      </c>
      <c r="V432" s="15">
        <f t="shared" si="60"/>
        <v>1.0088103206954926</v>
      </c>
    </row>
    <row r="433" spans="1:22" x14ac:dyDescent="0.25">
      <c r="A433" s="6">
        <v>45342</v>
      </c>
      <c r="B433" s="10">
        <v>1.8649</v>
      </c>
      <c r="C433" s="10">
        <v>2.2759</v>
      </c>
      <c r="D433" s="10">
        <v>2.4134000000000002</v>
      </c>
      <c r="E433" s="10">
        <v>2.6004</v>
      </c>
      <c r="F433" s="10">
        <v>1.9593</v>
      </c>
      <c r="G433" s="10">
        <v>2.1943999999999999</v>
      </c>
      <c r="H433" s="11">
        <v>1.95</v>
      </c>
      <c r="J433" s="8">
        <v>45362</v>
      </c>
      <c r="K433" s="11">
        <v>1795.4503</v>
      </c>
      <c r="L433" s="11">
        <v>2421.5133999999998</v>
      </c>
      <c r="M433" s="11">
        <v>2944.0646999999999</v>
      </c>
      <c r="N433" s="11">
        <v>3127.2269999999999</v>
      </c>
      <c r="O433" s="3">
        <f t="shared" si="65"/>
        <v>7.9722114214413331E-3</v>
      </c>
      <c r="P433" s="3">
        <f t="shared" si="66"/>
        <v>1.1006782246042457E-2</v>
      </c>
      <c r="Q433" s="3">
        <f t="shared" si="67"/>
        <v>8.9385397895846985E-3</v>
      </c>
      <c r="R433" s="3">
        <f t="shared" si="68"/>
        <v>8.9341457088745191E-3</v>
      </c>
      <c r="S433" s="15">
        <f t="shared" si="57"/>
        <v>1.0079722114214413</v>
      </c>
      <c r="T433" s="15">
        <f t="shared" si="58"/>
        <v>1.0110067822460425</v>
      </c>
      <c r="U433" s="15">
        <f t="shared" si="59"/>
        <v>1.0089385397895847</v>
      </c>
      <c r="V433" s="15">
        <f t="shared" si="60"/>
        <v>1.0089341457088745</v>
      </c>
    </row>
    <row r="434" spans="1:22" x14ac:dyDescent="0.25">
      <c r="A434" s="6">
        <v>45343</v>
      </c>
      <c r="B434" s="10">
        <v>1.8149</v>
      </c>
      <c r="C434" s="10">
        <v>2.2683</v>
      </c>
      <c r="D434" s="10">
        <v>2.4119000000000002</v>
      </c>
      <c r="E434" s="10">
        <v>2.601</v>
      </c>
      <c r="F434" s="10">
        <v>1.9505999999999999</v>
      </c>
      <c r="G434" s="10">
        <v>2.1833999999999998</v>
      </c>
      <c r="H434" s="11">
        <v>2</v>
      </c>
      <c r="J434" s="8">
        <v>45363</v>
      </c>
      <c r="K434" s="11">
        <v>1795.0255999999999</v>
      </c>
      <c r="L434" s="11">
        <v>2419.8827000000001</v>
      </c>
      <c r="M434" s="11">
        <v>2942.1257999999998</v>
      </c>
      <c r="N434" s="11">
        <v>3125.6925000000001</v>
      </c>
      <c r="O434" s="3">
        <f t="shared" si="65"/>
        <v>7.733783324494814E-3</v>
      </c>
      <c r="P434" s="3">
        <f t="shared" si="66"/>
        <v>1.0325948202419832E-2</v>
      </c>
      <c r="Q434" s="3">
        <f t="shared" si="67"/>
        <v>8.2740737760498284E-3</v>
      </c>
      <c r="R434" s="3">
        <f t="shared" si="68"/>
        <v>8.4390714956530388E-3</v>
      </c>
      <c r="S434" s="15">
        <f t="shared" si="57"/>
        <v>1.0077337833244948</v>
      </c>
      <c r="T434" s="15">
        <f t="shared" si="58"/>
        <v>1.0103259482024198</v>
      </c>
      <c r="U434" s="15">
        <f t="shared" si="59"/>
        <v>1.0082740737760498</v>
      </c>
      <c r="V434" s="15">
        <f t="shared" si="60"/>
        <v>1.008439071495653</v>
      </c>
    </row>
    <row r="435" spans="1:22" x14ac:dyDescent="0.25">
      <c r="A435" s="6">
        <v>45344</v>
      </c>
      <c r="B435" s="10">
        <v>1.7730999999999999</v>
      </c>
      <c r="C435" s="10">
        <v>2.2439</v>
      </c>
      <c r="D435" s="10">
        <v>2.4033000000000002</v>
      </c>
      <c r="E435" s="10">
        <v>2.5910000000000002</v>
      </c>
      <c r="F435" s="10">
        <v>1.9410000000000001</v>
      </c>
      <c r="G435" s="10">
        <v>2.1718000000000002</v>
      </c>
      <c r="H435" s="11">
        <v>2</v>
      </c>
      <c r="J435" s="8">
        <v>45364</v>
      </c>
      <c r="K435" s="11">
        <v>1794.7854</v>
      </c>
      <c r="L435" s="11">
        <v>2419.4602</v>
      </c>
      <c r="M435" s="11">
        <v>2941.7033000000001</v>
      </c>
      <c r="N435" s="11">
        <v>3125.1370999999999</v>
      </c>
      <c r="O435" s="3">
        <f t="shared" si="65"/>
        <v>7.5989341865470017E-3</v>
      </c>
      <c r="P435" s="3">
        <f t="shared" si="66"/>
        <v>1.0149550101339999E-2</v>
      </c>
      <c r="Q435" s="3">
        <f t="shared" si="67"/>
        <v>8.1292819401024285E-3</v>
      </c>
      <c r="R435" s="3">
        <f t="shared" si="68"/>
        <v>8.2598833444484931E-3</v>
      </c>
      <c r="S435" s="15">
        <f t="shared" si="57"/>
        <v>1.007598934186547</v>
      </c>
      <c r="T435" s="15">
        <f t="shared" si="58"/>
        <v>1.01014955010134</v>
      </c>
      <c r="U435" s="15">
        <f t="shared" si="59"/>
        <v>1.0081292819401024</v>
      </c>
      <c r="V435" s="15">
        <f t="shared" si="60"/>
        <v>1.0082598833444485</v>
      </c>
    </row>
    <row r="436" spans="1:22" x14ac:dyDescent="0.25">
      <c r="A436" s="6">
        <v>45345</v>
      </c>
      <c r="B436" s="10">
        <v>1.7699</v>
      </c>
      <c r="C436" s="10">
        <v>2.2494999999999998</v>
      </c>
      <c r="D436" s="10">
        <v>2.4009</v>
      </c>
      <c r="E436" s="10">
        <v>2.5809000000000002</v>
      </c>
      <c r="F436" s="10">
        <v>1.9218999999999999</v>
      </c>
      <c r="G436" s="10">
        <v>2.1423000000000001</v>
      </c>
      <c r="H436" s="11">
        <v>2.2000000000000002</v>
      </c>
      <c r="J436" s="8">
        <v>45365</v>
      </c>
      <c r="K436" s="11">
        <v>1794.5853</v>
      </c>
      <c r="L436" s="11">
        <v>2418.8708999999999</v>
      </c>
      <c r="M436" s="11">
        <v>2940.5958000000001</v>
      </c>
      <c r="N436" s="11">
        <v>3124.2134000000001</v>
      </c>
      <c r="O436" s="3">
        <f t="shared" si="65"/>
        <v>7.4865973318283263E-3</v>
      </c>
      <c r="P436" s="3">
        <f t="shared" si="66"/>
        <v>9.9035112824850113E-3</v>
      </c>
      <c r="Q436" s="3">
        <f t="shared" si="67"/>
        <v>7.7497388435063819E-3</v>
      </c>
      <c r="R436" s="3">
        <f t="shared" si="68"/>
        <v>7.9618709294906331E-3</v>
      </c>
      <c r="S436" s="15">
        <f t="shared" si="57"/>
        <v>1.0074865973318283</v>
      </c>
      <c r="T436" s="15">
        <f t="shared" si="58"/>
        <v>1.009903511282485</v>
      </c>
      <c r="U436" s="15">
        <f t="shared" si="59"/>
        <v>1.0077497388435064</v>
      </c>
      <c r="V436" s="15">
        <f t="shared" si="60"/>
        <v>1.0079618709294906</v>
      </c>
    </row>
    <row r="437" spans="1:22" x14ac:dyDescent="0.25">
      <c r="A437" s="6">
        <v>45348</v>
      </c>
      <c r="B437" s="10">
        <v>1.7669999999999999</v>
      </c>
      <c r="C437" s="10">
        <v>2.2244000000000002</v>
      </c>
      <c r="D437" s="10">
        <v>2.3788999999999998</v>
      </c>
      <c r="E437" s="10">
        <v>2.54</v>
      </c>
      <c r="F437" s="10">
        <v>1.9391</v>
      </c>
      <c r="G437" s="10">
        <v>2.1467999999999998</v>
      </c>
      <c r="H437" s="11">
        <v>2.15</v>
      </c>
      <c r="J437" s="8">
        <v>45366</v>
      </c>
      <c r="K437" s="11">
        <v>1794.8593000000001</v>
      </c>
      <c r="L437" s="11">
        <v>2419.4212000000002</v>
      </c>
      <c r="M437" s="11">
        <v>2942.2455</v>
      </c>
      <c r="N437" s="11">
        <v>3125.2846</v>
      </c>
      <c r="O437" s="3">
        <f t="shared" si="65"/>
        <v>7.6404219105035143E-3</v>
      </c>
      <c r="P437" s="3">
        <f t="shared" si="66"/>
        <v>1.013326719970209E-2</v>
      </c>
      <c r="Q437" s="3">
        <f t="shared" si="67"/>
        <v>8.3150952737134354E-3</v>
      </c>
      <c r="R437" s="3">
        <f t="shared" si="68"/>
        <v>8.3074711231712062E-3</v>
      </c>
      <c r="S437" s="15">
        <f t="shared" si="57"/>
        <v>1.0076404219105035</v>
      </c>
      <c r="T437" s="15">
        <f t="shared" si="58"/>
        <v>1.0101332671997021</v>
      </c>
      <c r="U437" s="15">
        <f t="shared" si="59"/>
        <v>1.0083150952737134</v>
      </c>
      <c r="V437" s="15">
        <f t="shared" si="60"/>
        <v>1.0083074711231712</v>
      </c>
    </row>
    <row r="438" spans="1:22" x14ac:dyDescent="0.25">
      <c r="A438" s="6">
        <v>45349</v>
      </c>
      <c r="B438" s="10">
        <v>1.7739</v>
      </c>
      <c r="C438" s="10">
        <v>2.2418999999999998</v>
      </c>
      <c r="D438" s="10">
        <v>2.3809</v>
      </c>
      <c r="E438" s="10">
        <v>2.5224000000000002</v>
      </c>
      <c r="F438" s="10">
        <v>1.9447000000000001</v>
      </c>
      <c r="G438" s="10">
        <v>2.1433</v>
      </c>
      <c r="H438" s="11">
        <v>2.15</v>
      </c>
      <c r="J438" s="8">
        <v>45369</v>
      </c>
      <c r="K438" s="11">
        <v>1795.4478999999999</v>
      </c>
      <c r="L438" s="11">
        <v>2420.7345999999998</v>
      </c>
      <c r="M438" s="11">
        <v>2945.2966000000001</v>
      </c>
      <c r="N438" s="11">
        <v>3127.8006999999998</v>
      </c>
      <c r="O438" s="3">
        <f t="shared" si="65"/>
        <v>7.9708640528688424E-3</v>
      </c>
      <c r="P438" s="3">
        <f t="shared" si="66"/>
        <v>1.0681625225638092E-2</v>
      </c>
      <c r="Q438" s="3">
        <f t="shared" si="67"/>
        <v>9.3607150859249533E-3</v>
      </c>
      <c r="R438" s="3">
        <f t="shared" si="68"/>
        <v>9.1192379709306159E-3</v>
      </c>
      <c r="S438" s="15">
        <f t="shared" si="57"/>
        <v>1.0079708640528688</v>
      </c>
      <c r="T438" s="15">
        <f t="shared" si="58"/>
        <v>1.0106816252256381</v>
      </c>
      <c r="U438" s="15">
        <f t="shared" si="59"/>
        <v>1.009360715085925</v>
      </c>
      <c r="V438" s="15">
        <f t="shared" si="60"/>
        <v>1.0091192379709306</v>
      </c>
    </row>
    <row r="439" spans="1:22" x14ac:dyDescent="0.25">
      <c r="A439" s="6">
        <v>45350</v>
      </c>
      <c r="B439" s="10">
        <v>1.7863</v>
      </c>
      <c r="C439" s="10">
        <v>2.2223000000000002</v>
      </c>
      <c r="D439" s="10">
        <v>2.3376000000000001</v>
      </c>
      <c r="E439" s="10">
        <v>2.4868000000000001</v>
      </c>
      <c r="F439" s="10">
        <v>1.944</v>
      </c>
      <c r="G439" s="10">
        <v>2.1474000000000002</v>
      </c>
      <c r="H439" s="11">
        <v>2.1</v>
      </c>
      <c r="J439" s="8">
        <v>45370</v>
      </c>
      <c r="K439" s="11">
        <v>1795.8184000000001</v>
      </c>
      <c r="L439" s="11">
        <v>2421.5862000000002</v>
      </c>
      <c r="M439" s="11">
        <v>2945.9232999999999</v>
      </c>
      <c r="N439" s="11">
        <v>3128.5319</v>
      </c>
      <c r="O439" s="3">
        <f t="shared" si="65"/>
        <v>8.1788640762232578E-3</v>
      </c>
      <c r="P439" s="3">
        <f t="shared" si="66"/>
        <v>1.1037176995767117E-2</v>
      </c>
      <c r="Q439" s="3">
        <f t="shared" si="67"/>
        <v>9.5754867867254845E-3</v>
      </c>
      <c r="R439" s="3">
        <f t="shared" si="68"/>
        <v>9.3551443017925173E-3</v>
      </c>
      <c r="S439" s="15">
        <f t="shared" si="57"/>
        <v>1.0081788640762233</v>
      </c>
      <c r="T439" s="15">
        <f t="shared" si="58"/>
        <v>1.0110371769957671</v>
      </c>
      <c r="U439" s="15">
        <f t="shared" si="59"/>
        <v>1.0095754867867255</v>
      </c>
      <c r="V439" s="15">
        <f t="shared" si="60"/>
        <v>1.0093551443017925</v>
      </c>
    </row>
    <row r="440" spans="1:22" x14ac:dyDescent="0.25">
      <c r="A440" s="6">
        <v>45351</v>
      </c>
      <c r="B440" s="10">
        <v>1.7870999999999999</v>
      </c>
      <c r="C440" s="10">
        <v>2.2178</v>
      </c>
      <c r="D440" s="10">
        <v>2.3374999999999999</v>
      </c>
      <c r="E440" s="10">
        <v>2.4615999999999998</v>
      </c>
      <c r="F440" s="10">
        <v>1.9267000000000001</v>
      </c>
      <c r="G440" s="10">
        <v>2.1377999999999999</v>
      </c>
      <c r="H440" s="11">
        <v>2.0499999999999998</v>
      </c>
      <c r="J440" s="8">
        <v>45371</v>
      </c>
      <c r="K440" s="11">
        <v>1795.8824999999999</v>
      </c>
      <c r="L440" s="11">
        <v>2421.4009000000001</v>
      </c>
      <c r="M440" s="11">
        <v>2946.5880000000002</v>
      </c>
      <c r="N440" s="11">
        <v>3129.0466999999999</v>
      </c>
      <c r="O440" s="3">
        <f t="shared" si="65"/>
        <v>8.2148500451761919E-3</v>
      </c>
      <c r="P440" s="3">
        <f t="shared" si="66"/>
        <v>1.0959812337471009E-2</v>
      </c>
      <c r="Q440" s="3">
        <f t="shared" si="67"/>
        <v>9.8032811851971324E-3</v>
      </c>
      <c r="R440" s="3">
        <f t="shared" si="68"/>
        <v>9.5212337152603688E-3</v>
      </c>
      <c r="S440" s="15">
        <f t="shared" si="57"/>
        <v>1.0082148500451762</v>
      </c>
      <c r="T440" s="15">
        <f t="shared" si="58"/>
        <v>1.010959812337471</v>
      </c>
      <c r="U440" s="15">
        <f t="shared" si="59"/>
        <v>1.0098032811851971</v>
      </c>
      <c r="V440" s="15">
        <f t="shared" si="60"/>
        <v>1.0095212337152604</v>
      </c>
    </row>
    <row r="441" spans="1:22" x14ac:dyDescent="0.25">
      <c r="A441" s="6">
        <v>45352</v>
      </c>
      <c r="B441" s="10">
        <v>1.7833000000000001</v>
      </c>
      <c r="C441" s="10">
        <v>2.2631999999999999</v>
      </c>
      <c r="D441" s="10">
        <v>2.3675000000000002</v>
      </c>
      <c r="E441" s="10">
        <v>2.4914999999999998</v>
      </c>
      <c r="F441" s="10">
        <v>1.9451000000000001</v>
      </c>
      <c r="G441" s="10">
        <v>2.1722000000000001</v>
      </c>
      <c r="H441" s="11">
        <v>2</v>
      </c>
      <c r="J441" s="8">
        <v>45372</v>
      </c>
      <c r="K441" s="11">
        <v>1796.2190000000001</v>
      </c>
      <c r="L441" s="11">
        <v>2421.8788</v>
      </c>
      <c r="M441" s="11">
        <v>2947.2514999999999</v>
      </c>
      <c r="N441" s="11">
        <v>3129.7168999999999</v>
      </c>
      <c r="O441" s="3">
        <f t="shared" si="65"/>
        <v>8.403762347089172E-3</v>
      </c>
      <c r="P441" s="3">
        <f t="shared" si="66"/>
        <v>1.1159340509082627E-2</v>
      </c>
      <c r="Q441" s="3">
        <f t="shared" si="67"/>
        <v>1.0030664340584305E-2</v>
      </c>
      <c r="R441" s="3">
        <f t="shared" si="68"/>
        <v>9.7374596766166555E-3</v>
      </c>
      <c r="S441" s="15">
        <f t="shared" si="57"/>
        <v>1.0084037623470892</v>
      </c>
      <c r="T441" s="15">
        <f t="shared" si="58"/>
        <v>1.0111593405090826</v>
      </c>
      <c r="U441" s="15">
        <f t="shared" si="59"/>
        <v>1.0100306643405843</v>
      </c>
      <c r="V441" s="15">
        <f t="shared" si="60"/>
        <v>1.0097374596766167</v>
      </c>
    </row>
    <row r="442" spans="1:22" x14ac:dyDescent="0.25">
      <c r="A442" s="6">
        <v>45355</v>
      </c>
      <c r="B442" s="10">
        <v>1.7612000000000001</v>
      </c>
      <c r="C442" s="10">
        <v>2.2488999999999999</v>
      </c>
      <c r="D442" s="10">
        <v>2.3475000000000001</v>
      </c>
      <c r="E442" s="10">
        <v>2.4738000000000002</v>
      </c>
      <c r="F442" s="10">
        <v>1.9476</v>
      </c>
      <c r="G442" s="10">
        <v>2.1638000000000002</v>
      </c>
      <c r="H442" s="11">
        <v>2</v>
      </c>
      <c r="J442" s="8">
        <v>45373</v>
      </c>
      <c r="K442" s="11">
        <v>1796.2986000000001</v>
      </c>
      <c r="L442" s="11">
        <v>2422.0630999999998</v>
      </c>
      <c r="M442" s="11">
        <v>2946.1694000000002</v>
      </c>
      <c r="N442" s="11">
        <v>3128.4450999999999</v>
      </c>
      <c r="O442" s="3">
        <f t="shared" si="65"/>
        <v>8.4484500714050448E-3</v>
      </c>
      <c r="P442" s="3">
        <f t="shared" si="66"/>
        <v>1.123628765708018E-2</v>
      </c>
      <c r="Q442" s="3">
        <f t="shared" si="67"/>
        <v>9.659825889273943E-3</v>
      </c>
      <c r="R442" s="3">
        <f t="shared" si="68"/>
        <v>9.3271401038730328E-3</v>
      </c>
      <c r="S442" s="15">
        <f t="shared" si="57"/>
        <v>1.008448450071405</v>
      </c>
      <c r="T442" s="15">
        <f t="shared" si="58"/>
        <v>1.0112362876570802</v>
      </c>
      <c r="U442" s="15">
        <f t="shared" si="59"/>
        <v>1.0096598258892739</v>
      </c>
      <c r="V442" s="15">
        <f t="shared" si="60"/>
        <v>1.009327140103873</v>
      </c>
    </row>
    <row r="443" spans="1:22" x14ac:dyDescent="0.25">
      <c r="A443" s="6">
        <v>45356</v>
      </c>
      <c r="B443" s="10">
        <v>1.7732000000000001</v>
      </c>
      <c r="C443" s="10">
        <v>2.2284999999999999</v>
      </c>
      <c r="D443" s="10">
        <v>2.3169</v>
      </c>
      <c r="E443" s="10">
        <v>2.4794</v>
      </c>
      <c r="F443" s="10">
        <v>1.9557</v>
      </c>
      <c r="G443" s="10">
        <v>2.1591</v>
      </c>
      <c r="H443" s="11">
        <v>2.04</v>
      </c>
      <c r="J443" s="8">
        <v>45376</v>
      </c>
      <c r="K443" s="11">
        <v>1796.4337</v>
      </c>
      <c r="L443" s="11">
        <v>2421.835</v>
      </c>
      <c r="M443" s="11">
        <v>2944.7687999999998</v>
      </c>
      <c r="N443" s="11">
        <v>3127.5704999999998</v>
      </c>
      <c r="O443" s="3">
        <f t="shared" si="65"/>
        <v>8.5242956939559633E-3</v>
      </c>
      <c r="P443" s="3">
        <f t="shared" si="66"/>
        <v>1.1141053558012315E-2</v>
      </c>
      <c r="Q443" s="3">
        <f t="shared" si="67"/>
        <v>9.1798366693258693E-3</v>
      </c>
      <c r="R443" s="3">
        <f t="shared" si="68"/>
        <v>9.0449687732221395E-3</v>
      </c>
      <c r="S443" s="15">
        <f t="shared" si="57"/>
        <v>1.008524295693956</v>
      </c>
      <c r="T443" s="15">
        <f t="shared" si="58"/>
        <v>1.0111410535580123</v>
      </c>
      <c r="U443" s="15">
        <f t="shared" si="59"/>
        <v>1.0091798366693259</v>
      </c>
      <c r="V443" s="15">
        <f t="shared" si="60"/>
        <v>1.0090449687732221</v>
      </c>
    </row>
    <row r="444" spans="1:22" x14ac:dyDescent="0.25">
      <c r="A444" s="6">
        <v>45357</v>
      </c>
      <c r="B444" s="10">
        <v>1.7574000000000001</v>
      </c>
      <c r="C444" s="10">
        <v>2.1675</v>
      </c>
      <c r="D444" s="10">
        <v>2.2650000000000001</v>
      </c>
      <c r="E444" s="10">
        <v>2.4274</v>
      </c>
      <c r="F444" s="10">
        <v>1.946</v>
      </c>
      <c r="G444" s="10">
        <v>2.1318000000000001</v>
      </c>
      <c r="H444" s="11">
        <v>2.0499999999999998</v>
      </c>
      <c r="J444" s="8">
        <v>45377</v>
      </c>
      <c r="K444" s="11">
        <v>1796.489</v>
      </c>
      <c r="L444" s="11">
        <v>2421.8989000000001</v>
      </c>
      <c r="M444" s="11">
        <v>2944.3645999999999</v>
      </c>
      <c r="N444" s="11">
        <v>3127.3487</v>
      </c>
      <c r="O444" s="3">
        <f t="shared" si="65"/>
        <v>8.5553413114769494E-3</v>
      </c>
      <c r="P444" s="3">
        <f t="shared" si="66"/>
        <v>1.1167732466080826E-2</v>
      </c>
      <c r="Q444" s="3">
        <f t="shared" si="67"/>
        <v>9.0413162904146027E-3</v>
      </c>
      <c r="R444" s="3">
        <f t="shared" si="68"/>
        <v>8.9734096591833623E-3</v>
      </c>
      <c r="S444" s="15">
        <f t="shared" si="57"/>
        <v>1.0085553413114769</v>
      </c>
      <c r="T444" s="15">
        <f t="shared" si="58"/>
        <v>1.0111677324660808</v>
      </c>
      <c r="U444" s="15">
        <f t="shared" si="59"/>
        <v>1.0090413162904146</v>
      </c>
      <c r="V444" s="15">
        <f t="shared" si="60"/>
        <v>1.0089734096591834</v>
      </c>
    </row>
    <row r="445" spans="1:22" x14ac:dyDescent="0.25">
      <c r="A445" s="6">
        <v>45358</v>
      </c>
      <c r="B445" s="10">
        <v>1.7578</v>
      </c>
      <c r="C445" s="10">
        <v>2.1959</v>
      </c>
      <c r="D445" s="10">
        <v>2.2776000000000001</v>
      </c>
      <c r="E445" s="10">
        <v>2.431</v>
      </c>
      <c r="F445" s="10">
        <v>1.9312</v>
      </c>
      <c r="G445" s="10">
        <v>2.1139000000000001</v>
      </c>
      <c r="H445" s="11">
        <v>2</v>
      </c>
      <c r="J445" s="8">
        <v>45378</v>
      </c>
      <c r="K445" s="11">
        <v>1796.8230000000001</v>
      </c>
      <c r="L445" s="11">
        <v>2423.1329999999998</v>
      </c>
      <c r="M445" s="11">
        <v>2943.5169000000001</v>
      </c>
      <c r="N445" s="11">
        <v>3127.1342</v>
      </c>
      <c r="O445" s="3">
        <f t="shared" si="65"/>
        <v>8.742850104460409E-3</v>
      </c>
      <c r="P445" s="3">
        <f t="shared" si="66"/>
        <v>1.1682981925352776E-2</v>
      </c>
      <c r="Q445" s="3">
        <f t="shared" si="67"/>
        <v>8.7508073215800675E-3</v>
      </c>
      <c r="R445" s="3">
        <f t="shared" si="68"/>
        <v>8.9042057369050909E-3</v>
      </c>
      <c r="S445" s="15">
        <f t="shared" si="57"/>
        <v>1.0087428501044604</v>
      </c>
      <c r="T445" s="15">
        <f t="shared" si="58"/>
        <v>1.0116829819253528</v>
      </c>
      <c r="U445" s="15">
        <f t="shared" si="59"/>
        <v>1.0087508073215801</v>
      </c>
      <c r="V445" s="15">
        <f t="shared" si="60"/>
        <v>1.0089042057369051</v>
      </c>
    </row>
    <row r="446" spans="1:22" x14ac:dyDescent="0.25">
      <c r="A446" s="6">
        <v>45359</v>
      </c>
      <c r="B446" s="10">
        <v>1.7524999999999999</v>
      </c>
      <c r="C446" s="10">
        <v>2.2088999999999999</v>
      </c>
      <c r="D446" s="10">
        <v>2.2825000000000002</v>
      </c>
      <c r="E446" s="10">
        <v>2.4335</v>
      </c>
      <c r="F446" s="10">
        <v>1.9374</v>
      </c>
      <c r="G446" s="10">
        <v>2.1309</v>
      </c>
      <c r="H446" s="11">
        <v>2</v>
      </c>
      <c r="J446" s="8">
        <v>45379</v>
      </c>
      <c r="K446" s="11">
        <v>1796.9575</v>
      </c>
      <c r="L446" s="11">
        <v>2423.2359999999999</v>
      </c>
      <c r="M446" s="11">
        <v>2944.8926000000001</v>
      </c>
      <c r="N446" s="11">
        <v>3128.1273999999999</v>
      </c>
      <c r="O446" s="3">
        <f t="shared" si="65"/>
        <v>8.8183588848682604E-3</v>
      </c>
      <c r="P446" s="3">
        <f t="shared" si="66"/>
        <v>1.1725985486089385E-2</v>
      </c>
      <c r="Q446" s="3">
        <f t="shared" si="67"/>
        <v>9.2222632475278399E-3</v>
      </c>
      <c r="R446" s="3">
        <f t="shared" si="68"/>
        <v>9.2246408679390601E-3</v>
      </c>
      <c r="S446" s="15">
        <f t="shared" si="57"/>
        <v>1.0088183588848683</v>
      </c>
      <c r="T446" s="15">
        <f t="shared" si="58"/>
        <v>1.0117259854860894</v>
      </c>
      <c r="U446" s="15">
        <f t="shared" si="59"/>
        <v>1.0092222632475278</v>
      </c>
      <c r="V446" s="15">
        <f t="shared" si="60"/>
        <v>1.0092246408679391</v>
      </c>
    </row>
    <row r="447" spans="1:22" x14ac:dyDescent="0.25">
      <c r="A447" s="6">
        <v>45362</v>
      </c>
      <c r="B447" s="10">
        <v>1.7575000000000001</v>
      </c>
      <c r="C447" s="10">
        <v>2.2320000000000002</v>
      </c>
      <c r="D447" s="10">
        <v>2.3050000000000002</v>
      </c>
      <c r="E447" s="10">
        <v>2.4765999999999999</v>
      </c>
      <c r="F447" s="10">
        <v>1.9504999999999999</v>
      </c>
      <c r="G447" s="10">
        <v>2.1394000000000002</v>
      </c>
      <c r="H447" s="11">
        <v>2</v>
      </c>
      <c r="J447" s="8">
        <v>45380</v>
      </c>
      <c r="K447" s="11">
        <v>1797.3228999999999</v>
      </c>
      <c r="L447" s="11">
        <v>2424.1758</v>
      </c>
      <c r="M447" s="11">
        <v>2947.2247000000002</v>
      </c>
      <c r="N447" s="11">
        <v>3129.9416999999999</v>
      </c>
      <c r="O447" s="3">
        <f t="shared" si="65"/>
        <v>9.0234957500063828E-3</v>
      </c>
      <c r="P447" s="3">
        <f t="shared" si="66"/>
        <v>1.2118361664538391E-2</v>
      </c>
      <c r="Q447" s="3">
        <f t="shared" si="67"/>
        <v>1.0021479911700659E-2</v>
      </c>
      <c r="R447" s="3">
        <f t="shared" si="68"/>
        <v>9.8099866776804046E-3</v>
      </c>
      <c r="S447" s="15">
        <f t="shared" si="57"/>
        <v>1.0090234957500064</v>
      </c>
      <c r="T447" s="15">
        <f t="shared" si="58"/>
        <v>1.0121183616645384</v>
      </c>
      <c r="U447" s="15">
        <f t="shared" si="59"/>
        <v>1.0100214799117007</v>
      </c>
      <c r="V447" s="15">
        <f t="shared" si="60"/>
        <v>1.0098099866776804</v>
      </c>
    </row>
    <row r="448" spans="1:22" x14ac:dyDescent="0.25">
      <c r="A448" s="6">
        <v>45363</v>
      </c>
      <c r="B448" s="10">
        <v>1.7975000000000001</v>
      </c>
      <c r="C448" s="10">
        <v>2.2715999999999998</v>
      </c>
      <c r="D448" s="10">
        <v>2.3475999999999999</v>
      </c>
      <c r="E448" s="10">
        <v>2.5415000000000001</v>
      </c>
      <c r="F448" s="10">
        <v>1.9616</v>
      </c>
      <c r="G448" s="10">
        <v>2.1642000000000001</v>
      </c>
      <c r="H448" s="11">
        <v>2</v>
      </c>
      <c r="J448" s="8">
        <v>45383</v>
      </c>
      <c r="K448" s="11">
        <v>1797.4754</v>
      </c>
      <c r="L448" s="11">
        <v>2423.8957</v>
      </c>
      <c r="M448" s="11">
        <v>2948.9508999999998</v>
      </c>
      <c r="N448" s="11">
        <v>3131.3159000000001</v>
      </c>
      <c r="O448" s="3">
        <f t="shared" si="65"/>
        <v>9.1091097947071376E-3</v>
      </c>
      <c r="P448" s="3">
        <f t="shared" si="66"/>
        <v>1.2001417029952721E-2</v>
      </c>
      <c r="Q448" s="3">
        <f t="shared" si="67"/>
        <v>1.0613053088534885E-2</v>
      </c>
      <c r="R448" s="3">
        <f t="shared" si="68"/>
        <v>1.0253343460872921E-2</v>
      </c>
      <c r="S448" s="15">
        <f t="shared" si="57"/>
        <v>1.0091091097947071</v>
      </c>
      <c r="T448" s="15">
        <f t="shared" si="58"/>
        <v>1.0120014170299527</v>
      </c>
      <c r="U448" s="15">
        <f t="shared" si="59"/>
        <v>1.0106130530885349</v>
      </c>
      <c r="V448" s="15">
        <f t="shared" si="60"/>
        <v>1.0102533434608729</v>
      </c>
    </row>
    <row r="449" spans="1:22" x14ac:dyDescent="0.25">
      <c r="A449" s="6">
        <v>45364</v>
      </c>
      <c r="B449" s="10">
        <v>1.8174999999999999</v>
      </c>
      <c r="C449" s="10">
        <v>2.2587000000000002</v>
      </c>
      <c r="D449" s="10">
        <v>2.3325999999999998</v>
      </c>
      <c r="E449" s="10">
        <v>2.5312999999999999</v>
      </c>
      <c r="F449" s="10">
        <v>1.9695</v>
      </c>
      <c r="G449" s="10">
        <v>2.1709999999999998</v>
      </c>
      <c r="H449" s="11">
        <v>2</v>
      </c>
      <c r="J449" s="8">
        <v>45384</v>
      </c>
      <c r="K449" s="11">
        <v>1797.893</v>
      </c>
      <c r="L449" s="11">
        <v>2424.8173999999999</v>
      </c>
      <c r="M449" s="11">
        <v>2949.7651000000001</v>
      </c>
      <c r="N449" s="11">
        <v>3132.2374</v>
      </c>
      <c r="O449" s="3">
        <f t="shared" si="65"/>
        <v>9.3435519262934363E-3</v>
      </c>
      <c r="P449" s="3">
        <f t="shared" si="66"/>
        <v>1.2386236272000417E-2</v>
      </c>
      <c r="Q449" s="3">
        <f t="shared" si="67"/>
        <v>1.0892081521264974E-2</v>
      </c>
      <c r="R449" s="3">
        <f t="shared" si="68"/>
        <v>1.0550646092012617E-2</v>
      </c>
      <c r="S449" s="15">
        <f t="shared" si="57"/>
        <v>1.0093435519262934</v>
      </c>
      <c r="T449" s="15">
        <f t="shared" si="58"/>
        <v>1.0123862362720004</v>
      </c>
      <c r="U449" s="15">
        <f t="shared" si="59"/>
        <v>1.010892081521265</v>
      </c>
      <c r="V449" s="15">
        <f t="shared" si="60"/>
        <v>1.0105506460920126</v>
      </c>
    </row>
    <row r="450" spans="1:22" x14ac:dyDescent="0.25">
      <c r="A450" s="6">
        <v>45365</v>
      </c>
      <c r="B450" s="10">
        <v>1.8474999999999999</v>
      </c>
      <c r="C450" s="10">
        <v>2.2595000000000001</v>
      </c>
      <c r="D450" s="10">
        <v>2.3424999999999998</v>
      </c>
      <c r="E450" s="10">
        <v>2.5343</v>
      </c>
      <c r="F450" s="10">
        <v>1.9735</v>
      </c>
      <c r="G450" s="10">
        <v>2.1682999999999999</v>
      </c>
      <c r="H450" s="11">
        <v>2</v>
      </c>
      <c r="J450" s="8">
        <v>45385</v>
      </c>
      <c r="K450" s="11">
        <v>1798.4114</v>
      </c>
      <c r="L450" s="11">
        <v>2426.0246000000002</v>
      </c>
      <c r="M450" s="11">
        <v>2951.3429000000001</v>
      </c>
      <c r="N450" s="11">
        <v>3133.9198000000001</v>
      </c>
      <c r="O450" s="3">
        <f t="shared" si="65"/>
        <v>9.6345835379181288E-3</v>
      </c>
      <c r="P450" s="3">
        <f t="shared" si="66"/>
        <v>1.2890254704245097E-2</v>
      </c>
      <c r="Q450" s="3">
        <f t="shared" si="67"/>
        <v>1.1432797636668379E-2</v>
      </c>
      <c r="R450" s="3">
        <f t="shared" si="68"/>
        <v>1.1093437135560436E-2</v>
      </c>
      <c r="S450" s="15">
        <f t="shared" si="57"/>
        <v>1.0096345835379181</v>
      </c>
      <c r="T450" s="15">
        <f t="shared" si="58"/>
        <v>1.0128902547042451</v>
      </c>
      <c r="U450" s="15">
        <f t="shared" si="59"/>
        <v>1.0114327976366684</v>
      </c>
      <c r="V450" s="15">
        <f t="shared" si="60"/>
        <v>1.0110934371355604</v>
      </c>
    </row>
    <row r="451" spans="1:22" x14ac:dyDescent="0.25">
      <c r="A451" s="6">
        <v>45366</v>
      </c>
      <c r="B451" s="10">
        <v>1.8325</v>
      </c>
      <c r="C451" s="10">
        <v>2.2427999999999999</v>
      </c>
      <c r="D451" s="10">
        <v>2.3199999999999998</v>
      </c>
      <c r="E451" s="10">
        <v>2.5093999999999999</v>
      </c>
      <c r="F451" s="10">
        <v>1.9710000000000001</v>
      </c>
      <c r="G451" s="10">
        <v>2.1631999999999998</v>
      </c>
      <c r="H451" s="11">
        <v>2</v>
      </c>
      <c r="J451" s="8">
        <v>45390</v>
      </c>
      <c r="K451" s="11">
        <v>1799.1496999999999</v>
      </c>
      <c r="L451" s="11">
        <v>2427.2017999999998</v>
      </c>
      <c r="M451" s="11">
        <v>2951.4220999999998</v>
      </c>
      <c r="N451" s="11">
        <v>3134.4810000000002</v>
      </c>
      <c r="O451" s="3">
        <f t="shared" si="65"/>
        <v>1.0049067794982935E-2</v>
      </c>
      <c r="P451" s="3">
        <f t="shared" si="66"/>
        <v>1.3381747827537094E-2</v>
      </c>
      <c r="Q451" s="3">
        <f t="shared" si="67"/>
        <v>1.1459939680235065E-2</v>
      </c>
      <c r="R451" s="3">
        <f t="shared" si="68"/>
        <v>1.127449653501289E-2</v>
      </c>
      <c r="S451" s="15">
        <f t="shared" si="57"/>
        <v>1.0100490677949829</v>
      </c>
      <c r="T451" s="15">
        <f t="shared" si="58"/>
        <v>1.0133817478275371</v>
      </c>
      <c r="U451" s="15">
        <f t="shared" si="59"/>
        <v>1.0114599396802351</v>
      </c>
      <c r="V451" s="15">
        <f t="shared" si="60"/>
        <v>1.0112744965350129</v>
      </c>
    </row>
    <row r="452" spans="1:22" x14ac:dyDescent="0.25">
      <c r="A452" s="6">
        <v>45369</v>
      </c>
      <c r="B452" s="10">
        <v>1.7825</v>
      </c>
      <c r="C452" s="10">
        <v>2.2168000000000001</v>
      </c>
      <c r="D452" s="10">
        <v>2.2926000000000002</v>
      </c>
      <c r="E452" s="10">
        <v>2.4857</v>
      </c>
      <c r="F452" s="10">
        <v>1.9662999999999999</v>
      </c>
      <c r="G452" s="10">
        <v>2.1543000000000001</v>
      </c>
      <c r="H452" s="11">
        <v>2</v>
      </c>
      <c r="J452" s="8">
        <v>45391</v>
      </c>
      <c r="K452" s="11">
        <v>1799.6324999999999</v>
      </c>
      <c r="L452" s="11">
        <v>2428.1246999999998</v>
      </c>
      <c r="M452" s="11">
        <v>2953.1723999999999</v>
      </c>
      <c r="N452" s="11">
        <v>3136.0538000000001</v>
      </c>
      <c r="O452" s="3">
        <f t="shared" si="65"/>
        <v>1.0320113439451273E-2</v>
      </c>
      <c r="P452" s="3">
        <f t="shared" si="66"/>
        <v>1.3767068081942835E-2</v>
      </c>
      <c r="Q452" s="3">
        <f t="shared" si="67"/>
        <v>1.2059771989013424E-2</v>
      </c>
      <c r="R452" s="3">
        <f t="shared" si="68"/>
        <v>1.1781927439251882E-2</v>
      </c>
      <c r="S452" s="15">
        <f t="shared" ref="S452:S515" si="69">(O452+1)</f>
        <v>1.0103201134394513</v>
      </c>
      <c r="T452" s="15">
        <f t="shared" ref="T452:T515" si="70">(P452+1)</f>
        <v>1.0137670680819428</v>
      </c>
      <c r="U452" s="15">
        <f t="shared" ref="U452:U515" si="71">(Q452+1)</f>
        <v>1.0120597719890134</v>
      </c>
      <c r="V452" s="15">
        <f t="shared" ref="V452:V515" si="72">(R452+1)</f>
        <v>1.0117819274392519</v>
      </c>
    </row>
    <row r="453" spans="1:22" x14ac:dyDescent="0.25">
      <c r="A453" s="6">
        <v>45370</v>
      </c>
      <c r="B453" s="10">
        <v>1.7725</v>
      </c>
      <c r="C453" s="10">
        <v>2.2073999999999998</v>
      </c>
      <c r="D453" s="10">
        <v>2.2801</v>
      </c>
      <c r="E453" s="10">
        <v>2.4485000000000001</v>
      </c>
      <c r="F453" s="10">
        <v>1.9648000000000001</v>
      </c>
      <c r="G453" s="10">
        <v>2.1438000000000001</v>
      </c>
      <c r="H453" s="11">
        <v>2</v>
      </c>
      <c r="J453" s="8">
        <v>45392</v>
      </c>
      <c r="K453" s="11">
        <v>1799.8476000000001</v>
      </c>
      <c r="L453" s="11">
        <v>2428.1615000000002</v>
      </c>
      <c r="M453" s="11">
        <v>2952.5129999999999</v>
      </c>
      <c r="N453" s="11">
        <v>3135.6410999999998</v>
      </c>
      <c r="O453" s="3">
        <f t="shared" si="65"/>
        <v>1.0440871347747072E-2</v>
      </c>
      <c r="P453" s="3">
        <f t="shared" si="66"/>
        <v>1.3782432460924587E-2</v>
      </c>
      <c r="Q453" s="3">
        <f t="shared" si="67"/>
        <v>1.1833793914164392E-2</v>
      </c>
      <c r="R453" s="3">
        <f t="shared" si="68"/>
        <v>1.1648778447530539E-2</v>
      </c>
      <c r="S453" s="15">
        <f t="shared" si="69"/>
        <v>1.0104408713477471</v>
      </c>
      <c r="T453" s="15">
        <f t="shared" si="70"/>
        <v>1.0137824324609246</v>
      </c>
      <c r="U453" s="15">
        <f t="shared" si="71"/>
        <v>1.0118337939141644</v>
      </c>
      <c r="V453" s="15">
        <f t="shared" si="72"/>
        <v>1.0116487784475305</v>
      </c>
    </row>
    <row r="454" spans="1:22" x14ac:dyDescent="0.25">
      <c r="A454" s="6">
        <v>45371</v>
      </c>
      <c r="B454" s="10">
        <v>1.7725</v>
      </c>
      <c r="C454" s="10">
        <v>2.2233000000000001</v>
      </c>
      <c r="D454" s="10">
        <v>2.2951000000000001</v>
      </c>
      <c r="E454" s="10">
        <v>2.4660000000000002</v>
      </c>
      <c r="F454" s="10">
        <v>1.9796</v>
      </c>
      <c r="G454" s="10">
        <v>2.1642999999999999</v>
      </c>
      <c r="H454" s="11">
        <v>2</v>
      </c>
      <c r="J454" s="8">
        <v>45393</v>
      </c>
      <c r="K454" s="11">
        <v>1800.3217999999999</v>
      </c>
      <c r="L454" s="11">
        <v>2429.1221999999998</v>
      </c>
      <c r="M454" s="11">
        <v>2954.1500999999998</v>
      </c>
      <c r="N454" s="11">
        <v>3137.0079999999998</v>
      </c>
      <c r="O454" s="3">
        <f t="shared" si="65"/>
        <v>1.0707088921497743E-2</v>
      </c>
      <c r="P454" s="3">
        <f t="shared" si="66"/>
        <v>1.4183534604610193E-2</v>
      </c>
      <c r="Q454" s="3">
        <f t="shared" si="67"/>
        <v>1.2394832291985791E-2</v>
      </c>
      <c r="R454" s="3">
        <f t="shared" si="68"/>
        <v>1.208978003896255E-2</v>
      </c>
      <c r="S454" s="15">
        <f t="shared" si="69"/>
        <v>1.0107070889214977</v>
      </c>
      <c r="T454" s="15">
        <f t="shared" si="70"/>
        <v>1.0141835346046102</v>
      </c>
      <c r="U454" s="15">
        <f t="shared" si="71"/>
        <v>1.0123948322919858</v>
      </c>
      <c r="V454" s="15">
        <f t="shared" si="72"/>
        <v>1.0120897800389625</v>
      </c>
    </row>
    <row r="455" spans="1:22" x14ac:dyDescent="0.25">
      <c r="A455" s="6">
        <v>45372</v>
      </c>
      <c r="B455" s="10">
        <v>1.7625</v>
      </c>
      <c r="C455" s="10">
        <v>2.2035999999999998</v>
      </c>
      <c r="D455" s="10">
        <v>2.2850999999999999</v>
      </c>
      <c r="E455" s="10">
        <v>2.4615</v>
      </c>
      <c r="F455" s="10">
        <v>1.9691000000000001</v>
      </c>
      <c r="G455" s="10">
        <v>2.1556999999999999</v>
      </c>
      <c r="H455" s="11">
        <v>2</v>
      </c>
      <c r="J455" s="8">
        <v>45394</v>
      </c>
      <c r="K455" s="11">
        <v>1801.018</v>
      </c>
      <c r="L455" s="11">
        <v>2431.1325000000002</v>
      </c>
      <c r="M455" s="11">
        <v>2956.395</v>
      </c>
      <c r="N455" s="11">
        <v>3139.3726999999999</v>
      </c>
      <c r="O455" s="3">
        <f t="shared" si="65"/>
        <v>1.1097938088189485E-2</v>
      </c>
      <c r="P455" s="3">
        <f t="shared" si="66"/>
        <v>1.5022855557510928E-2</v>
      </c>
      <c r="Q455" s="3">
        <f t="shared" si="67"/>
        <v>1.3164165292029573E-2</v>
      </c>
      <c r="R455" s="3">
        <f t="shared" si="68"/>
        <v>1.2852700854866894E-2</v>
      </c>
      <c r="S455" s="15">
        <f t="shared" si="69"/>
        <v>1.0110979380881895</v>
      </c>
      <c r="T455" s="15">
        <f t="shared" si="70"/>
        <v>1.0150228555575109</v>
      </c>
      <c r="U455" s="15">
        <f t="shared" si="71"/>
        <v>1.0131641652920296</v>
      </c>
      <c r="V455" s="15">
        <f t="shared" si="72"/>
        <v>1.0128527008548669</v>
      </c>
    </row>
    <row r="456" spans="1:22" x14ac:dyDescent="0.25">
      <c r="A456" s="6">
        <v>45373</v>
      </c>
      <c r="B456" s="10">
        <v>1.7625</v>
      </c>
      <c r="C456" s="10">
        <v>2.2143000000000002</v>
      </c>
      <c r="D456" s="10">
        <v>2.3050999999999999</v>
      </c>
      <c r="E456" s="10">
        <v>2.4832000000000001</v>
      </c>
      <c r="F456" s="10">
        <v>1.9730000000000001</v>
      </c>
      <c r="G456" s="10">
        <v>2.1591999999999998</v>
      </c>
      <c r="H456" s="11">
        <v>2.0499999999999998</v>
      </c>
      <c r="J456" s="8">
        <v>45397</v>
      </c>
      <c r="K456" s="11">
        <v>1801.4922999999999</v>
      </c>
      <c r="L456" s="11">
        <v>2431.7489999999998</v>
      </c>
      <c r="M456" s="11">
        <v>2957.1673999999998</v>
      </c>
      <c r="N456" s="11">
        <v>3140.3218000000002</v>
      </c>
      <c r="O456" s="3">
        <f t="shared" si="65"/>
        <v>1.1364211802297408E-2</v>
      </c>
      <c r="P456" s="3">
        <f t="shared" si="66"/>
        <v>1.5280250656482641E-2</v>
      </c>
      <c r="Q456" s="3">
        <f t="shared" si="67"/>
        <v>1.342886875732141E-2</v>
      </c>
      <c r="R456" s="3">
        <f t="shared" si="68"/>
        <v>1.315890804663522E-2</v>
      </c>
      <c r="S456" s="15">
        <f t="shared" si="69"/>
        <v>1.0113642118022974</v>
      </c>
      <c r="T456" s="15">
        <f t="shared" si="70"/>
        <v>1.0152802506564826</v>
      </c>
      <c r="U456" s="15">
        <f t="shared" si="71"/>
        <v>1.0134288687573214</v>
      </c>
      <c r="V456" s="15">
        <f t="shared" si="72"/>
        <v>1.0131589080466352</v>
      </c>
    </row>
    <row r="457" spans="1:22" x14ac:dyDescent="0.25">
      <c r="A457" s="6">
        <v>45376</v>
      </c>
      <c r="B457" s="10">
        <v>1.7875000000000001</v>
      </c>
      <c r="C457" s="10">
        <v>2.2281</v>
      </c>
      <c r="D457" s="10">
        <v>2.3151000000000002</v>
      </c>
      <c r="E457" s="10">
        <v>2.4962</v>
      </c>
      <c r="F457" s="10">
        <v>1.9904999999999999</v>
      </c>
      <c r="G457" s="10">
        <v>2.1716000000000002</v>
      </c>
      <c r="H457" s="11">
        <v>2.4</v>
      </c>
      <c r="J457" s="8">
        <v>45398</v>
      </c>
      <c r="K457" s="11">
        <v>1801.5586000000001</v>
      </c>
      <c r="L457" s="11">
        <v>2431.9618</v>
      </c>
      <c r="M457" s="11">
        <v>2954.739</v>
      </c>
      <c r="N457" s="11">
        <v>3138.7867999999999</v>
      </c>
      <c r="O457" s="3">
        <f t="shared" si="65"/>
        <v>1.1401432859108329E-2</v>
      </c>
      <c r="P457" s="3">
        <f t="shared" si="66"/>
        <v>1.5369096847985153E-2</v>
      </c>
      <c r="Q457" s="3">
        <f t="shared" si="67"/>
        <v>1.2596649835629581E-2</v>
      </c>
      <c r="R457" s="3">
        <f t="shared" si="68"/>
        <v>1.2663672518909541E-2</v>
      </c>
      <c r="S457" s="15">
        <f t="shared" si="69"/>
        <v>1.0114014328591083</v>
      </c>
      <c r="T457" s="15">
        <f t="shared" si="70"/>
        <v>1.0153690968479852</v>
      </c>
      <c r="U457" s="15">
        <f t="shared" si="71"/>
        <v>1.0125966498356296</v>
      </c>
      <c r="V457" s="15">
        <f t="shared" si="72"/>
        <v>1.0126636725189095</v>
      </c>
    </row>
    <row r="458" spans="1:22" x14ac:dyDescent="0.25">
      <c r="A458" s="6">
        <v>45377</v>
      </c>
      <c r="B458" s="10">
        <v>1.79</v>
      </c>
      <c r="C458" s="10">
        <v>2.2279</v>
      </c>
      <c r="D458" s="10">
        <v>2.3174999999999999</v>
      </c>
      <c r="E458" s="10">
        <v>2.4982000000000002</v>
      </c>
      <c r="F458" s="10">
        <v>2.0019</v>
      </c>
      <c r="G458" s="10">
        <v>2.1815000000000002</v>
      </c>
      <c r="H458" s="11">
        <v>2.4</v>
      </c>
      <c r="J458" s="8">
        <v>45399</v>
      </c>
      <c r="K458" s="11">
        <v>1801.9175</v>
      </c>
      <c r="L458" s="11">
        <v>2432.8530999999998</v>
      </c>
      <c r="M458" s="11">
        <v>2958.7397999999998</v>
      </c>
      <c r="N458" s="11">
        <v>3141.7914000000001</v>
      </c>
      <c r="O458" s="3">
        <f t="shared" si="65"/>
        <v>1.1602920601029743E-2</v>
      </c>
      <c r="P458" s="3">
        <f t="shared" si="66"/>
        <v>1.5741223776960744E-2</v>
      </c>
      <c r="Q458" s="3">
        <f t="shared" si="67"/>
        <v>1.3967734278845123E-2</v>
      </c>
      <c r="R458" s="3">
        <f t="shared" si="68"/>
        <v>1.3633043637218734E-2</v>
      </c>
      <c r="S458" s="15">
        <f t="shared" si="69"/>
        <v>1.0116029206010297</v>
      </c>
      <c r="T458" s="15">
        <f t="shared" si="70"/>
        <v>1.0157412237769607</v>
      </c>
      <c r="U458" s="15">
        <f t="shared" si="71"/>
        <v>1.0139677342788451</v>
      </c>
      <c r="V458" s="15">
        <f t="shared" si="72"/>
        <v>1.0136330436372187</v>
      </c>
    </row>
    <row r="459" spans="1:22" x14ac:dyDescent="0.25">
      <c r="A459" s="6">
        <v>45378</v>
      </c>
      <c r="B459" s="10">
        <v>1.7524999999999999</v>
      </c>
      <c r="C459" s="10">
        <v>2.1947999999999999</v>
      </c>
      <c r="D459" s="10">
        <v>2.2875999999999999</v>
      </c>
      <c r="E459" s="10">
        <v>2.4636</v>
      </c>
      <c r="F459" s="10">
        <v>1.9925999999999999</v>
      </c>
      <c r="G459" s="10">
        <v>2.1730999999999998</v>
      </c>
      <c r="H459" s="11">
        <v>2.4500000000000002</v>
      </c>
      <c r="J459" s="8">
        <v>45400</v>
      </c>
      <c r="K459" s="11">
        <v>1802.3879999999999</v>
      </c>
      <c r="L459" s="11">
        <v>2434.0744</v>
      </c>
      <c r="M459" s="11">
        <v>2960.4612999999999</v>
      </c>
      <c r="N459" s="11">
        <v>3143.3577</v>
      </c>
      <c r="O459" s="3">
        <f t="shared" si="65"/>
        <v>1.1867060981564759E-2</v>
      </c>
      <c r="P459" s="3">
        <f t="shared" si="66"/>
        <v>1.6251129104413176E-2</v>
      </c>
      <c r="Q459" s="3">
        <f t="shared" si="67"/>
        <v>1.4557696753599192E-2</v>
      </c>
      <c r="R459" s="3">
        <f t="shared" si="68"/>
        <v>1.4138377452904027E-2</v>
      </c>
      <c r="S459" s="15">
        <f t="shared" si="69"/>
        <v>1.0118670609815648</v>
      </c>
      <c r="T459" s="15">
        <f t="shared" si="70"/>
        <v>1.0162511291044132</v>
      </c>
      <c r="U459" s="15">
        <f t="shared" si="71"/>
        <v>1.0145576967535992</v>
      </c>
      <c r="V459" s="15">
        <f t="shared" si="72"/>
        <v>1.014138377452904</v>
      </c>
    </row>
    <row r="460" spans="1:22" x14ac:dyDescent="0.25">
      <c r="A460" s="6">
        <v>45379</v>
      </c>
      <c r="B460" s="10">
        <v>1.7524999999999999</v>
      </c>
      <c r="C460" s="10">
        <v>2.2111999999999998</v>
      </c>
      <c r="D460" s="10">
        <v>2.3026</v>
      </c>
      <c r="E460" s="10">
        <v>2.4664000000000001</v>
      </c>
      <c r="F460" s="10">
        <v>1.9807999999999999</v>
      </c>
      <c r="G460" s="10">
        <v>2.1614</v>
      </c>
      <c r="H460" s="11">
        <v>2.35</v>
      </c>
      <c r="J460" s="8">
        <v>45401</v>
      </c>
      <c r="K460" s="11">
        <v>1802.9069999999999</v>
      </c>
      <c r="L460" s="11">
        <v>2435.4101000000001</v>
      </c>
      <c r="M460" s="11">
        <v>2961.2622000000001</v>
      </c>
      <c r="N460" s="11">
        <v>3144.5718999999999</v>
      </c>
      <c r="O460" s="3">
        <f t="shared" si="65"/>
        <v>1.2158429435332296E-2</v>
      </c>
      <c r="P460" s="3">
        <f t="shared" si="66"/>
        <v>1.6808797610003978E-2</v>
      </c>
      <c r="Q460" s="3">
        <f t="shared" si="67"/>
        <v>1.4832167242144312E-2</v>
      </c>
      <c r="R460" s="3">
        <f t="shared" si="68"/>
        <v>1.4530113594770189E-2</v>
      </c>
      <c r="S460" s="15">
        <f t="shared" si="69"/>
        <v>1.0121584294353323</v>
      </c>
      <c r="T460" s="15">
        <f t="shared" si="70"/>
        <v>1.016808797610004</v>
      </c>
      <c r="U460" s="15">
        <f t="shared" si="71"/>
        <v>1.0148321672421443</v>
      </c>
      <c r="V460" s="15">
        <f t="shared" si="72"/>
        <v>1.0145301135947702</v>
      </c>
    </row>
    <row r="461" spans="1:22" x14ac:dyDescent="0.25">
      <c r="A461" s="6">
        <v>45380</v>
      </c>
      <c r="B461" s="10">
        <v>1.7224999999999999</v>
      </c>
      <c r="C461" s="10">
        <v>2.1974</v>
      </c>
      <c r="D461" s="10">
        <v>2.2900999999999998</v>
      </c>
      <c r="E461" s="10">
        <v>2.4594</v>
      </c>
      <c r="F461" s="10">
        <v>1.9563999999999999</v>
      </c>
      <c r="G461" s="10">
        <v>2.1455000000000002</v>
      </c>
      <c r="H461" s="11">
        <v>2.2999999999999998</v>
      </c>
      <c r="J461" s="8">
        <v>45404</v>
      </c>
      <c r="K461" s="11">
        <v>1803.6183000000001</v>
      </c>
      <c r="L461" s="11">
        <v>2436.7851000000001</v>
      </c>
      <c r="M461" s="11">
        <v>2961.6079</v>
      </c>
      <c r="N461" s="11">
        <v>3145.4472000000001</v>
      </c>
      <c r="O461" s="3">
        <f t="shared" si="65"/>
        <v>1.2557755795958636E-2</v>
      </c>
      <c r="P461" s="3">
        <f t="shared" si="66"/>
        <v>1.7382874270322368E-2</v>
      </c>
      <c r="Q461" s="3">
        <f t="shared" si="67"/>
        <v>1.4950639520693532E-2</v>
      </c>
      <c r="R461" s="3">
        <f t="shared" si="68"/>
        <v>1.481251076572665E-2</v>
      </c>
      <c r="S461" s="15">
        <f t="shared" si="69"/>
        <v>1.0125577557959586</v>
      </c>
      <c r="T461" s="15">
        <f t="shared" si="70"/>
        <v>1.0173828742703224</v>
      </c>
      <c r="U461" s="15">
        <f t="shared" si="71"/>
        <v>1.0149506395206935</v>
      </c>
      <c r="V461" s="15">
        <f t="shared" si="72"/>
        <v>1.0148125107657266</v>
      </c>
    </row>
    <row r="462" spans="1:22" x14ac:dyDescent="0.25">
      <c r="A462" s="6">
        <v>45383</v>
      </c>
      <c r="B462" s="10">
        <v>1.7424999999999999</v>
      </c>
      <c r="C462" s="10">
        <v>2.2172000000000001</v>
      </c>
      <c r="D462" s="10">
        <v>2.3081999999999998</v>
      </c>
      <c r="E462" s="10">
        <v>2.4847999999999999</v>
      </c>
      <c r="F462" s="10">
        <v>1.9632000000000001</v>
      </c>
      <c r="G462" s="10">
        <v>2.1534</v>
      </c>
      <c r="H462" s="11">
        <v>2.0499999999999998</v>
      </c>
      <c r="J462" s="8">
        <v>45405</v>
      </c>
      <c r="K462" s="11">
        <v>1804.17</v>
      </c>
      <c r="L462" s="11">
        <v>2438.0716000000002</v>
      </c>
      <c r="M462" s="11">
        <v>2962.1185999999998</v>
      </c>
      <c r="N462" s="11">
        <v>3146.1489999999999</v>
      </c>
      <c r="O462" s="3">
        <f t="shared" si="65"/>
        <v>1.2867482146524223E-2</v>
      </c>
      <c r="P462" s="3">
        <f t="shared" si="66"/>
        <v>1.7920001269231323E-2</v>
      </c>
      <c r="Q462" s="3">
        <f t="shared" si="67"/>
        <v>1.5125657723340513E-2</v>
      </c>
      <c r="R462" s="3">
        <f t="shared" si="68"/>
        <v>1.5038931803744937E-2</v>
      </c>
      <c r="S462" s="15">
        <f t="shared" si="69"/>
        <v>1.0128674821465242</v>
      </c>
      <c r="T462" s="15">
        <f t="shared" si="70"/>
        <v>1.0179200012692313</v>
      </c>
      <c r="U462" s="15">
        <f t="shared" si="71"/>
        <v>1.0151256577233405</v>
      </c>
      <c r="V462" s="15">
        <f t="shared" si="72"/>
        <v>1.0150389318037449</v>
      </c>
    </row>
    <row r="463" spans="1:22" x14ac:dyDescent="0.25">
      <c r="A463" s="6">
        <v>45384</v>
      </c>
      <c r="B463" s="10">
        <v>1.7275</v>
      </c>
      <c r="C463" s="10">
        <v>2.1966999999999999</v>
      </c>
      <c r="D463" s="10">
        <v>2.2927</v>
      </c>
      <c r="E463" s="10">
        <v>2.4750000000000001</v>
      </c>
      <c r="F463" s="10">
        <v>1.9717</v>
      </c>
      <c r="G463" s="10">
        <v>2.1490999999999998</v>
      </c>
      <c r="H463" s="11">
        <v>2.1</v>
      </c>
      <c r="J463" s="8">
        <v>45406</v>
      </c>
      <c r="K463" s="11">
        <v>1803.5105000000001</v>
      </c>
      <c r="L463" s="11">
        <v>2435.8773000000001</v>
      </c>
      <c r="M463" s="11">
        <v>2961.1691000000001</v>
      </c>
      <c r="N463" s="11">
        <v>3144.7698999999998</v>
      </c>
      <c r="O463" s="3">
        <f t="shared" si="65"/>
        <v>1.2497236490917718E-2</v>
      </c>
      <c r="P463" s="3">
        <f t="shared" si="66"/>
        <v>1.7003858421422713E-2</v>
      </c>
      <c r="Q463" s="3">
        <f t="shared" si="67"/>
        <v>1.480026163285042E-2</v>
      </c>
      <c r="R463" s="3">
        <f t="shared" si="68"/>
        <v>1.459399413841167E-2</v>
      </c>
      <c r="S463" s="15">
        <f t="shared" si="69"/>
        <v>1.0124972364909177</v>
      </c>
      <c r="T463" s="15">
        <f t="shared" si="70"/>
        <v>1.0170038584214227</v>
      </c>
      <c r="U463" s="15">
        <f t="shared" si="71"/>
        <v>1.0148002616328504</v>
      </c>
      <c r="V463" s="15">
        <f t="shared" si="72"/>
        <v>1.0145939941384117</v>
      </c>
    </row>
    <row r="464" spans="1:22" x14ac:dyDescent="0.25">
      <c r="A464" s="6">
        <v>45385</v>
      </c>
      <c r="B464" s="10">
        <v>1.7224999999999999</v>
      </c>
      <c r="C464" s="10">
        <v>2.1897000000000002</v>
      </c>
      <c r="D464" s="10">
        <v>2.2837000000000001</v>
      </c>
      <c r="E464" s="10">
        <v>2.4634999999999998</v>
      </c>
      <c r="F464" s="10">
        <v>1.9649000000000001</v>
      </c>
      <c r="G464" s="10">
        <v>2.1366999999999998</v>
      </c>
      <c r="H464" s="11">
        <v>2</v>
      </c>
      <c r="J464" s="8">
        <v>45407</v>
      </c>
      <c r="K464" s="11">
        <v>1803.3879999999999</v>
      </c>
      <c r="L464" s="11">
        <v>2435.8573999999999</v>
      </c>
      <c r="M464" s="11">
        <v>2961.3683000000001</v>
      </c>
      <c r="N464" s="11">
        <v>3144.9746</v>
      </c>
      <c r="O464" s="3">
        <f t="shared" si="65"/>
        <v>1.2428464553371432E-2</v>
      </c>
      <c r="P464" s="3">
        <f t="shared" si="66"/>
        <v>1.6995549966484225E-2</v>
      </c>
      <c r="Q464" s="3">
        <f t="shared" si="67"/>
        <v>1.4868527984852165E-2</v>
      </c>
      <c r="R464" s="3">
        <f t="shared" si="68"/>
        <v>1.4660036296408663E-2</v>
      </c>
      <c r="S464" s="15">
        <f t="shared" si="69"/>
        <v>1.0124284645533714</v>
      </c>
      <c r="T464" s="15">
        <f t="shared" si="70"/>
        <v>1.0169955499664842</v>
      </c>
      <c r="U464" s="15">
        <f t="shared" si="71"/>
        <v>1.0148685279848522</v>
      </c>
      <c r="V464" s="15">
        <f t="shared" si="72"/>
        <v>1.0146600362964087</v>
      </c>
    </row>
    <row r="465" spans="1:22" x14ac:dyDescent="0.25">
      <c r="A465" s="6">
        <v>45389</v>
      </c>
      <c r="B465" s="10">
        <v>1.7224999999999999</v>
      </c>
      <c r="C465" s="10">
        <v>2.1945999999999999</v>
      </c>
      <c r="D465" s="10">
        <v>2.2936999999999999</v>
      </c>
      <c r="E465" s="10">
        <v>2.4775999999999998</v>
      </c>
      <c r="F465" s="10"/>
      <c r="G465" s="10"/>
      <c r="H465" s="11">
        <v>1.85</v>
      </c>
      <c r="J465" s="8">
        <v>45408</v>
      </c>
      <c r="K465" s="11">
        <v>1802.7689</v>
      </c>
      <c r="L465" s="11">
        <v>2433.5785000000001</v>
      </c>
      <c r="M465" s="11">
        <v>2961.038</v>
      </c>
      <c r="N465" s="11">
        <v>3144.0585999999998</v>
      </c>
      <c r="O465" s="3">
        <f t="shared" si="65"/>
        <v>1.208089960206582E-2</v>
      </c>
      <c r="P465" s="3">
        <f t="shared" si="66"/>
        <v>1.6044085747429992E-2</v>
      </c>
      <c r="Q465" s="3">
        <f t="shared" si="67"/>
        <v>1.4755333325885189E-2</v>
      </c>
      <c r="R465" s="3">
        <f t="shared" si="68"/>
        <v>1.4364508124814712E-2</v>
      </c>
      <c r="S465" s="15">
        <f t="shared" si="69"/>
        <v>1.0120808996020658</v>
      </c>
      <c r="T465" s="15">
        <f t="shared" si="70"/>
        <v>1.01604408574743</v>
      </c>
      <c r="U465" s="15">
        <f t="shared" si="71"/>
        <v>1.0147553333258852</v>
      </c>
      <c r="V465" s="15">
        <f t="shared" si="72"/>
        <v>1.0143645081248147</v>
      </c>
    </row>
    <row r="466" spans="1:22" x14ac:dyDescent="0.25">
      <c r="A466" s="6">
        <v>45390</v>
      </c>
      <c r="B466" s="10">
        <v>1.7024999999999999</v>
      </c>
      <c r="C466" s="10">
        <v>2.169</v>
      </c>
      <c r="D466" s="10">
        <v>2.2822</v>
      </c>
      <c r="E466" s="10">
        <v>2.4655999999999998</v>
      </c>
      <c r="F466" s="10">
        <v>1.9582999999999999</v>
      </c>
      <c r="G466" s="10">
        <v>2.1318000000000001</v>
      </c>
      <c r="H466" s="11">
        <v>2</v>
      </c>
      <c r="J466" s="8">
        <v>45411</v>
      </c>
      <c r="K466" s="11">
        <v>1801.7157</v>
      </c>
      <c r="L466" s="11">
        <v>2430.4232000000002</v>
      </c>
      <c r="M466" s="11">
        <v>2958.8292999999999</v>
      </c>
      <c r="N466" s="11">
        <v>3141.6226999999999</v>
      </c>
      <c r="O466" s="3">
        <f t="shared" si="65"/>
        <v>1.1489629360239118E-2</v>
      </c>
      <c r="P466" s="3">
        <f t="shared" si="66"/>
        <v>1.4726715502846321E-2</v>
      </c>
      <c r="Q466" s="3">
        <f t="shared" si="67"/>
        <v>1.3998406158886034E-2</v>
      </c>
      <c r="R466" s="3">
        <f t="shared" si="68"/>
        <v>1.3578616123520071E-2</v>
      </c>
      <c r="S466" s="15">
        <f t="shared" si="69"/>
        <v>1.0114896293602391</v>
      </c>
      <c r="T466" s="15">
        <f t="shared" si="70"/>
        <v>1.0147267155028463</v>
      </c>
      <c r="U466" s="15">
        <f t="shared" si="71"/>
        <v>1.013998406158886</v>
      </c>
      <c r="V466" s="15">
        <f t="shared" si="72"/>
        <v>1.0135786161235201</v>
      </c>
    </row>
    <row r="467" spans="1:22" x14ac:dyDescent="0.25">
      <c r="A467" s="6">
        <v>45391</v>
      </c>
      <c r="B467" s="10">
        <v>1.6924999999999999</v>
      </c>
      <c r="C467" s="10">
        <v>2.1533000000000002</v>
      </c>
      <c r="D467" s="10">
        <v>2.2801999999999998</v>
      </c>
      <c r="E467" s="10">
        <v>2.4636999999999998</v>
      </c>
      <c r="F467" s="10">
        <v>1.9550000000000001</v>
      </c>
      <c r="G467" s="10">
        <v>2.1280999999999999</v>
      </c>
      <c r="H467" s="11">
        <v>1.95</v>
      </c>
      <c r="J467" s="8">
        <v>45412</v>
      </c>
      <c r="K467" s="11">
        <v>1802.4471000000001</v>
      </c>
      <c r="L467" s="11">
        <v>2432.3757999999998</v>
      </c>
      <c r="M467" s="11">
        <v>2961.2752999999998</v>
      </c>
      <c r="N467" s="11">
        <v>3144.0803000000001</v>
      </c>
      <c r="O467" s="3">
        <f t="shared" si="65"/>
        <v>1.1900239932658652E-2</v>
      </c>
      <c r="P467" s="3">
        <f t="shared" si="66"/>
        <v>1.5541946111528038E-2</v>
      </c>
      <c r="Q467" s="3">
        <f t="shared" si="67"/>
        <v>1.4836656645814905E-2</v>
      </c>
      <c r="R467" s="3">
        <f t="shared" si="68"/>
        <v>1.4371509174294639E-2</v>
      </c>
      <c r="S467" s="15">
        <f t="shared" si="69"/>
        <v>1.0119002399326587</v>
      </c>
      <c r="T467" s="15">
        <f t="shared" si="70"/>
        <v>1.015541946111528</v>
      </c>
      <c r="U467" s="15">
        <f t="shared" si="71"/>
        <v>1.0148366566458149</v>
      </c>
      <c r="V467" s="15">
        <f t="shared" si="72"/>
        <v>1.0143715091742946</v>
      </c>
    </row>
    <row r="468" spans="1:22" x14ac:dyDescent="0.25">
      <c r="A468" s="6">
        <v>45392</v>
      </c>
      <c r="B468" s="10">
        <v>1.7033</v>
      </c>
      <c r="C468" s="10">
        <v>2.1591</v>
      </c>
      <c r="D468" s="10">
        <v>2.2972000000000001</v>
      </c>
      <c r="E468" s="10">
        <v>2.4891000000000001</v>
      </c>
      <c r="F468" s="10">
        <v>1.9427000000000001</v>
      </c>
      <c r="G468" s="10">
        <v>2.1292</v>
      </c>
      <c r="H468" s="11">
        <v>1.9</v>
      </c>
      <c r="J468" s="8">
        <v>45418</v>
      </c>
      <c r="K468" s="11">
        <v>1803.1975</v>
      </c>
      <c r="L468" s="11">
        <v>2433.6356999999998</v>
      </c>
      <c r="M468" s="11">
        <v>2965.3683999999998</v>
      </c>
      <c r="N468" s="11">
        <v>3147.5029</v>
      </c>
      <c r="O468" s="3">
        <f t="shared" si="65"/>
        <v>1.2321517172942276E-2</v>
      </c>
      <c r="P468" s="3">
        <f t="shared" si="66"/>
        <v>1.6067967336499178E-2</v>
      </c>
      <c r="Q468" s="3">
        <f t="shared" si="67"/>
        <v>1.6239372536268393E-2</v>
      </c>
      <c r="R468" s="3">
        <f t="shared" si="68"/>
        <v>1.5475739218069329E-2</v>
      </c>
      <c r="S468" s="15">
        <f t="shared" si="69"/>
        <v>1.0123215171729423</v>
      </c>
      <c r="T468" s="15">
        <f t="shared" si="70"/>
        <v>1.0160679673364992</v>
      </c>
      <c r="U468" s="15">
        <f t="shared" si="71"/>
        <v>1.0162393725362684</v>
      </c>
      <c r="V468" s="15">
        <f t="shared" si="72"/>
        <v>1.0154757392180693</v>
      </c>
    </row>
    <row r="469" spans="1:22" x14ac:dyDescent="0.25">
      <c r="A469" s="6">
        <v>45393</v>
      </c>
      <c r="B469" s="10">
        <v>1.7033</v>
      </c>
      <c r="C469" s="10">
        <v>2.1377999999999999</v>
      </c>
      <c r="D469" s="10">
        <v>2.2928000000000002</v>
      </c>
      <c r="E469" s="10">
        <v>2.4927999999999999</v>
      </c>
      <c r="F469" s="10">
        <v>1.9326000000000001</v>
      </c>
      <c r="G469" s="10">
        <v>2.1242000000000001</v>
      </c>
      <c r="H469" s="11">
        <v>1.92</v>
      </c>
      <c r="J469" s="8">
        <v>45419</v>
      </c>
      <c r="K469" s="11">
        <v>1803.8801000000001</v>
      </c>
      <c r="L469" s="11">
        <v>2435.3271</v>
      </c>
      <c r="M469" s="11">
        <v>2967.7822000000001</v>
      </c>
      <c r="N469" s="11">
        <v>3149.8013000000001</v>
      </c>
      <c r="O469" s="3">
        <f t="shared" ref="O469:O532" si="73">K469/$K$390-1</f>
        <v>1.2704731251057533E-2</v>
      </c>
      <c r="P469" s="3">
        <f t="shared" ref="P469:P532" si="74">L469/$L$390-1</f>
        <v>1.6774144255235601E-2</v>
      </c>
      <c r="Q469" s="3">
        <f t="shared" ref="Q469:Q532" si="75">M469/$M$390-1</f>
        <v>1.7066588000434146E-2</v>
      </c>
      <c r="R469" s="3">
        <f t="shared" ref="R469:R532" si="76">N469/$N$390-1</f>
        <v>1.6217269730723904E-2</v>
      </c>
      <c r="S469" s="15">
        <f t="shared" si="69"/>
        <v>1.0127047312510575</v>
      </c>
      <c r="T469" s="15">
        <f t="shared" si="70"/>
        <v>1.0167741442552356</v>
      </c>
      <c r="U469" s="15">
        <f t="shared" si="71"/>
        <v>1.0170665880004341</v>
      </c>
      <c r="V469" s="15">
        <f t="shared" si="72"/>
        <v>1.0162172697307239</v>
      </c>
    </row>
    <row r="470" spans="1:22" x14ac:dyDescent="0.25">
      <c r="A470" s="6">
        <v>45394</v>
      </c>
      <c r="B470" s="10">
        <v>1.6958</v>
      </c>
      <c r="C470" s="10">
        <v>2.1118999999999999</v>
      </c>
      <c r="D470" s="10">
        <v>2.2837000000000001</v>
      </c>
      <c r="E470" s="10">
        <v>2.4870000000000001</v>
      </c>
      <c r="F470" s="10">
        <v>1.9140999999999999</v>
      </c>
      <c r="G470" s="10">
        <v>2.1038999999999999</v>
      </c>
      <c r="H470" s="11">
        <v>1.9</v>
      </c>
      <c r="J470" s="8">
        <v>45420</v>
      </c>
      <c r="K470" s="11">
        <v>1804.1104</v>
      </c>
      <c r="L470" s="11">
        <v>2435.5623999999998</v>
      </c>
      <c r="M470" s="11">
        <v>2966.9901</v>
      </c>
      <c r="N470" s="11">
        <v>3149.2658000000001</v>
      </c>
      <c r="O470" s="3">
        <f t="shared" si="73"/>
        <v>1.2834022493644515E-2</v>
      </c>
      <c r="P470" s="3">
        <f t="shared" si="74"/>
        <v>1.6872384428452181E-2</v>
      </c>
      <c r="Q470" s="3">
        <f t="shared" si="75"/>
        <v>1.6795133294507547E-2</v>
      </c>
      <c r="R470" s="3">
        <f t="shared" si="76"/>
        <v>1.6044501896784302E-2</v>
      </c>
      <c r="S470" s="15">
        <f t="shared" si="69"/>
        <v>1.0128340224936445</v>
      </c>
      <c r="T470" s="15">
        <f t="shared" si="70"/>
        <v>1.0168723844284522</v>
      </c>
      <c r="U470" s="15">
        <f t="shared" si="71"/>
        <v>1.0167951332945075</v>
      </c>
      <c r="V470" s="15">
        <f t="shared" si="72"/>
        <v>1.0160445018967843</v>
      </c>
    </row>
    <row r="471" spans="1:22" x14ac:dyDescent="0.25">
      <c r="A471" s="6">
        <v>45397</v>
      </c>
      <c r="B471" s="10">
        <v>1.7033</v>
      </c>
      <c r="C471" s="10">
        <v>2.1263000000000001</v>
      </c>
      <c r="D471" s="10">
        <v>2.2797999999999998</v>
      </c>
      <c r="E471" s="10">
        <v>2.4863</v>
      </c>
      <c r="F471" s="10">
        <v>1.9227000000000001</v>
      </c>
      <c r="G471" s="10">
        <v>2.1042999999999998</v>
      </c>
      <c r="H471" s="11">
        <v>1.9</v>
      </c>
      <c r="J471" s="8">
        <v>45421</v>
      </c>
      <c r="K471" s="11">
        <v>1803.9757999999999</v>
      </c>
      <c r="L471" s="11">
        <v>2434.7516999999998</v>
      </c>
      <c r="M471" s="11">
        <v>2968.4340999999999</v>
      </c>
      <c r="N471" s="11">
        <v>3150.0250999999998</v>
      </c>
      <c r="O471" s="3">
        <f t="shared" si="73"/>
        <v>1.2758457572879411E-2</v>
      </c>
      <c r="P471" s="3">
        <f t="shared" si="74"/>
        <v>1.6533908829528432E-2</v>
      </c>
      <c r="Q471" s="3">
        <f t="shared" si="75"/>
        <v>1.7289995806005987E-2</v>
      </c>
      <c r="R471" s="3">
        <f t="shared" si="76"/>
        <v>1.6289474102779256E-2</v>
      </c>
      <c r="S471" s="15">
        <f t="shared" si="69"/>
        <v>1.0127584575728794</v>
      </c>
      <c r="T471" s="15">
        <f t="shared" si="70"/>
        <v>1.0165339088295284</v>
      </c>
      <c r="U471" s="15">
        <f t="shared" si="71"/>
        <v>1.017289995806006</v>
      </c>
      <c r="V471" s="15">
        <f t="shared" si="72"/>
        <v>1.0162894741027793</v>
      </c>
    </row>
    <row r="472" spans="1:22" x14ac:dyDescent="0.25">
      <c r="A472" s="6">
        <v>45398</v>
      </c>
      <c r="B472" s="10">
        <v>1.7233000000000001</v>
      </c>
      <c r="C472" s="10">
        <v>2.1288</v>
      </c>
      <c r="D472" s="10">
        <v>2.2723</v>
      </c>
      <c r="E472" s="10">
        <v>2.4716999999999998</v>
      </c>
      <c r="F472" s="10">
        <v>1.9325000000000001</v>
      </c>
      <c r="G472" s="10">
        <v>2.1093999999999999</v>
      </c>
      <c r="H472" s="11">
        <v>1.9</v>
      </c>
      <c r="J472" s="8">
        <v>45422</v>
      </c>
      <c r="K472" s="11">
        <v>1804.0803000000001</v>
      </c>
      <c r="L472" s="11">
        <v>2435.1239999999998</v>
      </c>
      <c r="M472" s="11">
        <v>2968.9679999999998</v>
      </c>
      <c r="N472" s="11">
        <v>3150.7064</v>
      </c>
      <c r="O472" s="3">
        <f t="shared" si="73"/>
        <v>1.2817124246133238E-2</v>
      </c>
      <c r="P472" s="3">
        <f t="shared" si="74"/>
        <v>1.6689347913627861E-2</v>
      </c>
      <c r="Q472" s="3">
        <f t="shared" si="75"/>
        <v>1.7472964708283634E-2</v>
      </c>
      <c r="R472" s="3">
        <f t="shared" si="76"/>
        <v>1.6509281246127383E-2</v>
      </c>
      <c r="S472" s="15">
        <f t="shared" si="69"/>
        <v>1.0128171242461332</v>
      </c>
      <c r="T472" s="15">
        <f t="shared" si="70"/>
        <v>1.0166893479136279</v>
      </c>
      <c r="U472" s="15">
        <f t="shared" si="71"/>
        <v>1.0174729647082836</v>
      </c>
      <c r="V472" s="15">
        <f t="shared" si="72"/>
        <v>1.0165092812461274</v>
      </c>
    </row>
    <row r="473" spans="1:22" x14ac:dyDescent="0.25">
      <c r="A473" s="6">
        <v>45399</v>
      </c>
      <c r="B473" s="10">
        <v>1.7133</v>
      </c>
      <c r="C473" s="10">
        <v>2.1053000000000002</v>
      </c>
      <c r="D473" s="10">
        <v>2.2608000000000001</v>
      </c>
      <c r="E473" s="10">
        <v>2.4556</v>
      </c>
      <c r="F473" s="10">
        <v>1.9393</v>
      </c>
      <c r="G473" s="10">
        <v>2.1076999999999999</v>
      </c>
      <c r="H473" s="11">
        <v>1.95</v>
      </c>
      <c r="J473" s="8">
        <v>45425</v>
      </c>
      <c r="K473" s="11">
        <v>1804.6208999999999</v>
      </c>
      <c r="L473" s="11">
        <v>2436.3307</v>
      </c>
      <c r="M473" s="11">
        <v>2969.8892000000001</v>
      </c>
      <c r="N473" s="11">
        <v>3151.7507000000001</v>
      </c>
      <c r="O473" s="3">
        <f t="shared" si="73"/>
        <v>1.312061901705186E-2</v>
      </c>
      <c r="P473" s="3">
        <f t="shared" si="74"/>
        <v>1.7193157590723374E-2</v>
      </c>
      <c r="Q473" s="3">
        <f t="shared" si="75"/>
        <v>1.778866231603482E-2</v>
      </c>
      <c r="R473" s="3">
        <f t="shared" si="76"/>
        <v>1.6846202719485115E-2</v>
      </c>
      <c r="S473" s="15">
        <f t="shared" si="69"/>
        <v>1.0131206190170519</v>
      </c>
      <c r="T473" s="15">
        <f t="shared" si="70"/>
        <v>1.0171931575907234</v>
      </c>
      <c r="U473" s="15">
        <f t="shared" si="71"/>
        <v>1.0177886623160348</v>
      </c>
      <c r="V473" s="15">
        <f t="shared" si="72"/>
        <v>1.0168462027194851</v>
      </c>
    </row>
    <row r="474" spans="1:22" x14ac:dyDescent="0.25">
      <c r="A474" s="6">
        <v>45400</v>
      </c>
      <c r="B474" s="10">
        <v>1.6982999999999999</v>
      </c>
      <c r="C474" s="10">
        <v>2.0804</v>
      </c>
      <c r="D474" s="10">
        <v>2.2536999999999998</v>
      </c>
      <c r="E474" s="10">
        <v>2.4466000000000001</v>
      </c>
      <c r="F474" s="10">
        <v>1.9328000000000001</v>
      </c>
      <c r="G474" s="10">
        <v>2.0937999999999999</v>
      </c>
      <c r="H474" s="11">
        <v>1.9</v>
      </c>
      <c r="J474" s="8">
        <v>45426</v>
      </c>
      <c r="K474" s="11">
        <v>1804.9786999999999</v>
      </c>
      <c r="L474" s="11">
        <v>2437.0574000000001</v>
      </c>
      <c r="M474" s="11">
        <v>2970.9933000000001</v>
      </c>
      <c r="N474" s="11">
        <v>3152.7019</v>
      </c>
      <c r="O474" s="3">
        <f t="shared" si="73"/>
        <v>1.3321489215044391E-2</v>
      </c>
      <c r="P474" s="3">
        <f t="shared" si="74"/>
        <v>1.7496562324580411E-2</v>
      </c>
      <c r="Q474" s="3">
        <f t="shared" si="75"/>
        <v>1.8167040223891817E-2</v>
      </c>
      <c r="R474" s="3">
        <f t="shared" si="76"/>
        <v>1.715308743217081E-2</v>
      </c>
      <c r="S474" s="15">
        <f t="shared" si="69"/>
        <v>1.0133214892150444</v>
      </c>
      <c r="T474" s="15">
        <f t="shared" si="70"/>
        <v>1.0174965623245804</v>
      </c>
      <c r="U474" s="15">
        <f t="shared" si="71"/>
        <v>1.0181670402238918</v>
      </c>
      <c r="V474" s="15">
        <f t="shared" si="72"/>
        <v>1.0171530874321708</v>
      </c>
    </row>
    <row r="475" spans="1:22" x14ac:dyDescent="0.25">
      <c r="A475" s="6">
        <v>45401</v>
      </c>
      <c r="B475" s="10">
        <v>1.6933</v>
      </c>
      <c r="C475" s="10">
        <v>2.0754999999999999</v>
      </c>
      <c r="D475" s="10">
        <v>2.254</v>
      </c>
      <c r="E475" s="10">
        <v>2.4411</v>
      </c>
      <c r="F475" s="10">
        <v>1.9297</v>
      </c>
      <c r="G475" s="10">
        <v>2.0869</v>
      </c>
      <c r="H475" s="11">
        <v>1.9</v>
      </c>
      <c r="J475" s="8">
        <v>45427</v>
      </c>
      <c r="K475" s="11">
        <v>1805.2127</v>
      </c>
      <c r="L475" s="11">
        <v>2437.3145</v>
      </c>
      <c r="M475" s="11">
        <v>2970.3069</v>
      </c>
      <c r="N475" s="11">
        <v>3152.3719000000001</v>
      </c>
      <c r="O475" s="3">
        <f t="shared" si="73"/>
        <v>1.345285765084725E-2</v>
      </c>
      <c r="P475" s="3">
        <f t="shared" si="74"/>
        <v>1.7603904222302402E-2</v>
      </c>
      <c r="Q475" s="3">
        <f t="shared" si="75"/>
        <v>1.7931809179644764E-2</v>
      </c>
      <c r="R475" s="3">
        <f t="shared" si="76"/>
        <v>1.7046619859435008E-2</v>
      </c>
      <c r="S475" s="15">
        <f t="shared" si="69"/>
        <v>1.0134528576508472</v>
      </c>
      <c r="T475" s="15">
        <f t="shared" si="70"/>
        <v>1.0176039042223024</v>
      </c>
      <c r="U475" s="15">
        <f t="shared" si="71"/>
        <v>1.0179318091796448</v>
      </c>
      <c r="V475" s="15">
        <f t="shared" si="72"/>
        <v>1.017046619859435</v>
      </c>
    </row>
    <row r="476" spans="1:22" x14ac:dyDescent="0.25">
      <c r="A476" s="6">
        <v>45404</v>
      </c>
      <c r="B476" s="10">
        <v>1.6833</v>
      </c>
      <c r="C476" s="10">
        <v>2.0735000000000001</v>
      </c>
      <c r="D476" s="10">
        <v>2.2435</v>
      </c>
      <c r="E476" s="10">
        <v>2.4340999999999999</v>
      </c>
      <c r="F476" s="10">
        <v>1.9286000000000001</v>
      </c>
      <c r="G476" s="10">
        <v>2.0846</v>
      </c>
      <c r="H476" s="11">
        <v>1.9</v>
      </c>
      <c r="J476" s="8">
        <v>45428</v>
      </c>
      <c r="K476" s="11">
        <v>1805.2507000000001</v>
      </c>
      <c r="L476" s="11">
        <v>2437.0891999999999</v>
      </c>
      <c r="M476" s="11">
        <v>2970.1079</v>
      </c>
      <c r="N476" s="11">
        <v>3152.1549</v>
      </c>
      <c r="O476" s="3">
        <f t="shared" si="73"/>
        <v>1.3474190986575874E-2</v>
      </c>
      <c r="P476" s="3">
        <f t="shared" si="74"/>
        <v>1.7509839152069828E-2</v>
      </c>
      <c r="Q476" s="3">
        <f t="shared" si="75"/>
        <v>1.7863611368157173E-2</v>
      </c>
      <c r="R476" s="3">
        <f t="shared" si="76"/>
        <v>1.6976609364635964E-2</v>
      </c>
      <c r="S476" s="15">
        <f t="shared" si="69"/>
        <v>1.0134741909865759</v>
      </c>
      <c r="T476" s="15">
        <f t="shared" si="70"/>
        <v>1.0175098391520698</v>
      </c>
      <c r="U476" s="15">
        <f t="shared" si="71"/>
        <v>1.0178636113681572</v>
      </c>
      <c r="V476" s="15">
        <f t="shared" si="72"/>
        <v>1.016976609364636</v>
      </c>
    </row>
    <row r="477" spans="1:22" x14ac:dyDescent="0.25">
      <c r="A477" s="6">
        <v>45405</v>
      </c>
      <c r="B477" s="10">
        <v>1.6633</v>
      </c>
      <c r="C477" s="10">
        <v>2.0562999999999998</v>
      </c>
      <c r="D477" s="10">
        <v>2.226</v>
      </c>
      <c r="E477" s="10">
        <v>2.4211</v>
      </c>
      <c r="F477" s="10">
        <v>1.9220999999999999</v>
      </c>
      <c r="G477" s="10">
        <v>2.0739999999999998</v>
      </c>
      <c r="H477" s="11">
        <v>1.9</v>
      </c>
      <c r="J477" s="8">
        <v>45429</v>
      </c>
      <c r="K477" s="11">
        <v>1805.3371</v>
      </c>
      <c r="L477" s="11">
        <v>2437.4729000000002</v>
      </c>
      <c r="M477" s="11">
        <v>2971.2685999999999</v>
      </c>
      <c r="N477" s="11">
        <v>3153.4168</v>
      </c>
      <c r="O477" s="3">
        <f t="shared" si="73"/>
        <v>1.3522696255179989E-2</v>
      </c>
      <c r="P477" s="3">
        <f t="shared" si="74"/>
        <v>1.7670037853571241E-2</v>
      </c>
      <c r="Q477" s="3">
        <f t="shared" si="75"/>
        <v>1.8261386241492428E-2</v>
      </c>
      <c r="R477" s="3">
        <f t="shared" si="76"/>
        <v>1.7383734910197735E-2</v>
      </c>
      <c r="S477" s="15">
        <f t="shared" si="69"/>
        <v>1.01352269625518</v>
      </c>
      <c r="T477" s="15">
        <f t="shared" si="70"/>
        <v>1.0176700378535712</v>
      </c>
      <c r="U477" s="15">
        <f t="shared" si="71"/>
        <v>1.0182613862414924</v>
      </c>
      <c r="V477" s="15">
        <f t="shared" si="72"/>
        <v>1.0173837349101977</v>
      </c>
    </row>
    <row r="478" spans="1:22" x14ac:dyDescent="0.25">
      <c r="A478" s="6">
        <v>45406</v>
      </c>
      <c r="B478" s="10">
        <v>1.6696</v>
      </c>
      <c r="C478" s="10">
        <v>2.0964999999999998</v>
      </c>
      <c r="D478" s="10">
        <v>2.2726999999999999</v>
      </c>
      <c r="E478" s="10">
        <v>2.4790999999999999</v>
      </c>
      <c r="F478" s="10">
        <v>1.9291</v>
      </c>
      <c r="G478" s="10">
        <v>2.0905999999999998</v>
      </c>
      <c r="H478" s="11">
        <v>1.9</v>
      </c>
      <c r="J478" s="8">
        <v>45432</v>
      </c>
      <c r="K478" s="11">
        <v>1805.6851999999999</v>
      </c>
      <c r="L478" s="11">
        <v>2438.0596999999998</v>
      </c>
      <c r="M478" s="11">
        <v>2973.2909</v>
      </c>
      <c r="N478" s="11">
        <v>3154.723</v>
      </c>
      <c r="O478" s="3">
        <f t="shared" si="73"/>
        <v>1.3718120838525749E-2</v>
      </c>
      <c r="P478" s="3">
        <f t="shared" si="74"/>
        <v>1.791503289667995E-2</v>
      </c>
      <c r="Q478" s="3">
        <f t="shared" si="75"/>
        <v>1.8954433649389646E-2</v>
      </c>
      <c r="R478" s="3">
        <f t="shared" si="76"/>
        <v>1.7805152920826517E-2</v>
      </c>
      <c r="S478" s="15">
        <f t="shared" si="69"/>
        <v>1.0137181208385257</v>
      </c>
      <c r="T478" s="15">
        <f t="shared" si="70"/>
        <v>1.0179150328966799</v>
      </c>
      <c r="U478" s="15">
        <f t="shared" si="71"/>
        <v>1.0189544336493896</v>
      </c>
      <c r="V478" s="15">
        <f t="shared" si="72"/>
        <v>1.0178051529208265</v>
      </c>
    </row>
    <row r="479" spans="1:22" x14ac:dyDescent="0.25">
      <c r="A479" s="6">
        <v>45407</v>
      </c>
      <c r="B479" s="10">
        <v>1.6046</v>
      </c>
      <c r="C479" s="10">
        <v>2.0668000000000002</v>
      </c>
      <c r="D479" s="10">
        <v>2.2612000000000001</v>
      </c>
      <c r="E479" s="10">
        <v>2.4841000000000002</v>
      </c>
      <c r="F479" s="10">
        <v>1.9360999999999999</v>
      </c>
      <c r="G479" s="10">
        <v>2.0966999999999998</v>
      </c>
      <c r="H479" s="11">
        <v>1.98</v>
      </c>
      <c r="J479" s="8">
        <v>45433</v>
      </c>
      <c r="K479" s="11">
        <v>1805.6658</v>
      </c>
      <c r="L479" s="11">
        <v>2437.9566</v>
      </c>
      <c r="M479" s="11">
        <v>2972.2710000000002</v>
      </c>
      <c r="N479" s="11">
        <v>3154.1509999999998</v>
      </c>
      <c r="O479" s="3">
        <f t="shared" si="73"/>
        <v>1.3707229609232874E-2</v>
      </c>
      <c r="P479" s="3">
        <f t="shared" si="74"/>
        <v>1.7871987584913596E-2</v>
      </c>
      <c r="Q479" s="3">
        <f t="shared" si="75"/>
        <v>1.8604911297951165E-2</v>
      </c>
      <c r="R479" s="3">
        <f t="shared" si="76"/>
        <v>1.7620609128084386E-2</v>
      </c>
      <c r="S479" s="15">
        <f t="shared" si="69"/>
        <v>1.0137072296092329</v>
      </c>
      <c r="T479" s="15">
        <f t="shared" si="70"/>
        <v>1.0178719875849136</v>
      </c>
      <c r="U479" s="15">
        <f t="shared" si="71"/>
        <v>1.0186049112979512</v>
      </c>
      <c r="V479" s="15">
        <f t="shared" si="72"/>
        <v>1.0176206091280844</v>
      </c>
    </row>
    <row r="480" spans="1:22" x14ac:dyDescent="0.25">
      <c r="A480" s="6">
        <v>45408</v>
      </c>
      <c r="B480" s="10">
        <v>1.6646000000000001</v>
      </c>
      <c r="C480" s="10">
        <v>2.1244999999999998</v>
      </c>
      <c r="D480" s="10">
        <v>2.3083999999999998</v>
      </c>
      <c r="E480" s="10">
        <v>2.5257000000000001</v>
      </c>
      <c r="F480" s="10">
        <v>1.9539</v>
      </c>
      <c r="G480" s="10">
        <v>2.1278000000000001</v>
      </c>
      <c r="H480" s="11">
        <v>1.95</v>
      </c>
      <c r="J480" s="8">
        <v>45434</v>
      </c>
      <c r="K480" s="11">
        <v>1805.8521000000001</v>
      </c>
      <c r="L480" s="11">
        <v>2438.3724000000002</v>
      </c>
      <c r="M480" s="11">
        <v>2972.6502</v>
      </c>
      <c r="N480" s="11">
        <v>3154.578</v>
      </c>
      <c r="O480" s="3">
        <f t="shared" si="73"/>
        <v>1.3811819094660338E-2</v>
      </c>
      <c r="P480" s="3">
        <f t="shared" si="74"/>
        <v>1.8045588366994103E-2</v>
      </c>
      <c r="Q480" s="3">
        <f t="shared" si="75"/>
        <v>1.8734864112605054E-2</v>
      </c>
      <c r="R480" s="3">
        <f t="shared" si="76"/>
        <v>1.7758371714624355E-2</v>
      </c>
      <c r="S480" s="15">
        <f t="shared" si="69"/>
        <v>1.0138118190946603</v>
      </c>
      <c r="T480" s="15">
        <f t="shared" si="70"/>
        <v>1.0180455883669941</v>
      </c>
      <c r="U480" s="15">
        <f t="shared" si="71"/>
        <v>1.0187348641126051</v>
      </c>
      <c r="V480" s="15">
        <f t="shared" si="72"/>
        <v>1.0177583717146244</v>
      </c>
    </row>
    <row r="481" spans="1:22" x14ac:dyDescent="0.25">
      <c r="A481" s="6">
        <v>45410</v>
      </c>
      <c r="B481" s="10">
        <v>1.6932</v>
      </c>
      <c r="C481" s="10">
        <v>2.1575000000000002</v>
      </c>
      <c r="D481" s="10">
        <v>2.3243999999999998</v>
      </c>
      <c r="E481" s="10">
        <v>2.5493000000000001</v>
      </c>
      <c r="F481" s="10"/>
      <c r="G481" s="10">
        <v>2.1575000000000002</v>
      </c>
      <c r="H481" s="11">
        <v>1.98</v>
      </c>
      <c r="J481" s="8">
        <v>45435</v>
      </c>
      <c r="K481" s="11">
        <v>1806.1523999999999</v>
      </c>
      <c r="L481" s="11">
        <v>2439.1475</v>
      </c>
      <c r="M481" s="11">
        <v>2971.4191000000001</v>
      </c>
      <c r="N481" s="11">
        <v>3154.3314</v>
      </c>
      <c r="O481" s="3">
        <f t="shared" si="73"/>
        <v>1.3980408587273896E-2</v>
      </c>
      <c r="P481" s="3">
        <f t="shared" si="74"/>
        <v>1.8369200599294144E-2</v>
      </c>
      <c r="Q481" s="3">
        <f t="shared" si="75"/>
        <v>1.831296297832119E-2</v>
      </c>
      <c r="R481" s="3">
        <f t="shared" si="76"/>
        <v>1.7678811401180106E-2</v>
      </c>
      <c r="S481" s="15">
        <f t="shared" si="69"/>
        <v>1.0139804085872739</v>
      </c>
      <c r="T481" s="15">
        <f t="shared" si="70"/>
        <v>1.0183692005992941</v>
      </c>
      <c r="U481" s="15">
        <f t="shared" si="71"/>
        <v>1.0183129629783212</v>
      </c>
      <c r="V481" s="15">
        <f t="shared" si="72"/>
        <v>1.0176788114011801</v>
      </c>
    </row>
    <row r="482" spans="1:22" x14ac:dyDescent="0.25">
      <c r="A482" s="6">
        <v>45411</v>
      </c>
      <c r="B482" s="10">
        <v>1.7830999999999999</v>
      </c>
      <c r="C482" s="10">
        <v>2.1876000000000002</v>
      </c>
      <c r="D482" s="10">
        <v>2.3530000000000002</v>
      </c>
      <c r="E482" s="10">
        <v>2.5832999999999999</v>
      </c>
      <c r="F482" s="10">
        <v>2.0312999999999999</v>
      </c>
      <c r="G482" s="10">
        <v>2.2056</v>
      </c>
      <c r="H482" s="11">
        <v>2.08</v>
      </c>
      <c r="J482" s="8">
        <v>45436</v>
      </c>
      <c r="K482" s="11">
        <v>1806.2991999999999</v>
      </c>
      <c r="L482" s="11">
        <v>2439.4461999999999</v>
      </c>
      <c r="M482" s="11">
        <v>2970.8425000000002</v>
      </c>
      <c r="N482" s="11">
        <v>3154.3272999999999</v>
      </c>
      <c r="O482" s="3">
        <f t="shared" si="73"/>
        <v>1.4062822631615068E-2</v>
      </c>
      <c r="P482" s="3">
        <f t="shared" si="74"/>
        <v>1.849391092543029E-2</v>
      </c>
      <c r="Q482" s="3">
        <f t="shared" si="75"/>
        <v>1.8115360676292047E-2</v>
      </c>
      <c r="R482" s="3">
        <f t="shared" si="76"/>
        <v>1.767748862224594E-2</v>
      </c>
      <c r="S482" s="15">
        <f t="shared" si="69"/>
        <v>1.0140628226316151</v>
      </c>
      <c r="T482" s="15">
        <f t="shared" si="70"/>
        <v>1.0184939109254303</v>
      </c>
      <c r="U482" s="15">
        <f t="shared" si="71"/>
        <v>1.018115360676292</v>
      </c>
      <c r="V482" s="15">
        <f t="shared" si="72"/>
        <v>1.0176774886222459</v>
      </c>
    </row>
    <row r="483" spans="1:22" x14ac:dyDescent="0.25">
      <c r="A483" s="6">
        <v>45412</v>
      </c>
      <c r="B483" s="10">
        <v>1.6928000000000001</v>
      </c>
      <c r="C483" s="10">
        <v>2.1484000000000001</v>
      </c>
      <c r="D483" s="10">
        <v>2.3028</v>
      </c>
      <c r="E483" s="10">
        <v>2.5381999999999998</v>
      </c>
      <c r="F483" s="10">
        <v>2.0028999999999999</v>
      </c>
      <c r="G483" s="10">
        <v>2.1781000000000001</v>
      </c>
      <c r="H483" s="11">
        <v>2.1</v>
      </c>
      <c r="J483" s="8">
        <v>45439</v>
      </c>
      <c r="K483" s="11">
        <v>1806.5183999999999</v>
      </c>
      <c r="L483" s="11">
        <v>2439.8000000000002</v>
      </c>
      <c r="M483" s="11">
        <v>2972.8112000000001</v>
      </c>
      <c r="N483" s="11">
        <v>3155.5419999999999</v>
      </c>
      <c r="O483" s="3">
        <f t="shared" si="73"/>
        <v>1.4185882294555086E-2</v>
      </c>
      <c r="P483" s="3">
        <f t="shared" si="74"/>
        <v>1.8641626069008987E-2</v>
      </c>
      <c r="Q483" s="3">
        <f t="shared" si="75"/>
        <v>1.8790039226421751E-2</v>
      </c>
      <c r="R483" s="3">
        <f t="shared" si="76"/>
        <v>1.8069386078616301E-2</v>
      </c>
      <c r="S483" s="15">
        <f t="shared" si="69"/>
        <v>1.0141858822945551</v>
      </c>
      <c r="T483" s="15">
        <f t="shared" si="70"/>
        <v>1.018641626069009</v>
      </c>
      <c r="U483" s="15">
        <f t="shared" si="71"/>
        <v>1.0187900392264218</v>
      </c>
      <c r="V483" s="15">
        <f t="shared" si="72"/>
        <v>1.0180693860786163</v>
      </c>
    </row>
    <row r="484" spans="1:22" x14ac:dyDescent="0.25">
      <c r="A484" s="6">
        <v>45418</v>
      </c>
      <c r="B484" s="10">
        <v>1.7021999999999999</v>
      </c>
      <c r="C484" s="10">
        <v>2.1267999999999998</v>
      </c>
      <c r="D484" s="10">
        <v>2.3081</v>
      </c>
      <c r="E484" s="10">
        <v>2.5587</v>
      </c>
      <c r="F484" s="10">
        <v>1.9664999999999999</v>
      </c>
      <c r="G484" s="10">
        <v>2.16</v>
      </c>
      <c r="H484" s="11">
        <v>1.95</v>
      </c>
      <c r="J484" s="8">
        <v>45440</v>
      </c>
      <c r="K484" s="11">
        <v>1806.7429</v>
      </c>
      <c r="L484" s="11">
        <v>2440.3802000000001</v>
      </c>
      <c r="M484" s="11">
        <v>2972.6188000000002</v>
      </c>
      <c r="N484" s="11">
        <v>3155.6255999999998</v>
      </c>
      <c r="O484" s="3">
        <f t="shared" si="73"/>
        <v>1.4311917396425677E-2</v>
      </c>
      <c r="P484" s="3">
        <f t="shared" si="74"/>
        <v>1.8883865544148337E-2</v>
      </c>
      <c r="Q484" s="3">
        <f t="shared" si="75"/>
        <v>1.8724103251897883E-2</v>
      </c>
      <c r="R484" s="3">
        <f t="shared" si="76"/>
        <v>1.8096357863709445E-2</v>
      </c>
      <c r="S484" s="15">
        <f t="shared" si="69"/>
        <v>1.0143119173964257</v>
      </c>
      <c r="T484" s="15">
        <f t="shared" si="70"/>
        <v>1.0188838655441483</v>
      </c>
      <c r="U484" s="15">
        <f t="shared" si="71"/>
        <v>1.0187241032518979</v>
      </c>
      <c r="V484" s="15">
        <f t="shared" si="72"/>
        <v>1.0180963578637094</v>
      </c>
    </row>
    <row r="485" spans="1:22" x14ac:dyDescent="0.25">
      <c r="A485" s="6">
        <v>45419</v>
      </c>
      <c r="B485" s="10">
        <v>1.7028000000000001</v>
      </c>
      <c r="C485" s="10">
        <v>2.0994000000000002</v>
      </c>
      <c r="D485" s="10">
        <v>2.2896000000000001</v>
      </c>
      <c r="E485" s="10">
        <v>2.5413000000000001</v>
      </c>
      <c r="F485" s="10">
        <v>1.9347000000000001</v>
      </c>
      <c r="G485" s="10">
        <v>2.1312000000000002</v>
      </c>
      <c r="H485" s="11">
        <v>1.9</v>
      </c>
      <c r="J485" s="8">
        <v>45441</v>
      </c>
      <c r="K485" s="11">
        <v>1806.981</v>
      </c>
      <c r="L485" s="11">
        <v>2440.9396000000002</v>
      </c>
      <c r="M485" s="11">
        <v>2973.3119000000002</v>
      </c>
      <c r="N485" s="11">
        <v>3156.2325000000001</v>
      </c>
      <c r="O485" s="3">
        <f t="shared" si="73"/>
        <v>1.4445587586872977E-2</v>
      </c>
      <c r="P485" s="3">
        <f t="shared" si="74"/>
        <v>1.9117420805080831E-2</v>
      </c>
      <c r="Q485" s="3">
        <f t="shared" si="75"/>
        <v>1.8961630403365737E-2</v>
      </c>
      <c r="R485" s="3">
        <f t="shared" si="76"/>
        <v>1.8292161408840935E-2</v>
      </c>
      <c r="S485" s="15">
        <f t="shared" si="69"/>
        <v>1.014445587586873</v>
      </c>
      <c r="T485" s="15">
        <f t="shared" si="70"/>
        <v>1.0191174208050808</v>
      </c>
      <c r="U485" s="15">
        <f t="shared" si="71"/>
        <v>1.0189616304033657</v>
      </c>
      <c r="V485" s="15">
        <f t="shared" si="72"/>
        <v>1.0182921614088409</v>
      </c>
    </row>
    <row r="486" spans="1:22" x14ac:dyDescent="0.25">
      <c r="A486" s="6">
        <v>45420</v>
      </c>
      <c r="B486" s="10">
        <v>1.7071000000000001</v>
      </c>
      <c r="C486" s="10">
        <v>2.1067999999999998</v>
      </c>
      <c r="D486" s="10">
        <v>2.2955000000000001</v>
      </c>
      <c r="E486" s="10">
        <v>2.5499999999999998</v>
      </c>
      <c r="F486" s="10">
        <v>1.9272</v>
      </c>
      <c r="G486" s="10">
        <v>2.1213000000000002</v>
      </c>
      <c r="H486" s="11">
        <v>1.9</v>
      </c>
      <c r="J486" s="8">
        <v>45442</v>
      </c>
      <c r="K486" s="11">
        <v>1807.1566</v>
      </c>
      <c r="L486" s="11">
        <v>2441.1633999999999</v>
      </c>
      <c r="M486" s="11">
        <v>2973.0518000000002</v>
      </c>
      <c r="N486" s="11">
        <v>3156.2539000000002</v>
      </c>
      <c r="O486" s="3">
        <f t="shared" si="73"/>
        <v>1.4544170054082262E-2</v>
      </c>
      <c r="P486" s="3">
        <f t="shared" si="74"/>
        <v>1.9210859609865683E-2</v>
      </c>
      <c r="Q486" s="3">
        <f t="shared" si="75"/>
        <v>1.887249346483344E-2</v>
      </c>
      <c r="R486" s="3">
        <f t="shared" si="76"/>
        <v>1.8299065669618253E-2</v>
      </c>
      <c r="S486" s="15">
        <f t="shared" si="69"/>
        <v>1.0145441700540823</v>
      </c>
      <c r="T486" s="15">
        <f t="shared" si="70"/>
        <v>1.0192108596098657</v>
      </c>
      <c r="U486" s="15">
        <f t="shared" si="71"/>
        <v>1.0188724934648334</v>
      </c>
      <c r="V486" s="15">
        <f t="shared" si="72"/>
        <v>1.0182990656696183</v>
      </c>
    </row>
    <row r="487" spans="1:22" x14ac:dyDescent="0.25">
      <c r="A487" s="6">
        <v>45421</v>
      </c>
      <c r="B487" s="10">
        <v>1.7204999999999999</v>
      </c>
      <c r="C487" s="10">
        <v>2.1295000000000002</v>
      </c>
      <c r="D487" s="10">
        <v>2.3186</v>
      </c>
      <c r="E487" s="10">
        <v>2.5726</v>
      </c>
      <c r="F487" s="10">
        <v>1.9383999999999999</v>
      </c>
      <c r="G487" s="10">
        <v>2.1383000000000001</v>
      </c>
      <c r="H487" s="11">
        <v>1.9</v>
      </c>
      <c r="J487" s="8">
        <v>45443</v>
      </c>
      <c r="K487" s="11">
        <v>1807.2353000000001</v>
      </c>
      <c r="L487" s="11">
        <v>2441.3579</v>
      </c>
      <c r="M487" s="11">
        <v>2972.9828000000002</v>
      </c>
      <c r="N487" s="11">
        <v>3156.4448000000002</v>
      </c>
      <c r="O487" s="3">
        <f t="shared" si="73"/>
        <v>1.4588352515183534E-2</v>
      </c>
      <c r="P487" s="3">
        <f t="shared" si="74"/>
        <v>1.9292065362907174E-2</v>
      </c>
      <c r="Q487" s="3">
        <f t="shared" si="75"/>
        <v>1.8848846987483459E-2</v>
      </c>
      <c r="R487" s="3">
        <f t="shared" si="76"/>
        <v>1.8360655547301041E-2</v>
      </c>
      <c r="S487" s="15">
        <f t="shared" si="69"/>
        <v>1.0145883525151835</v>
      </c>
      <c r="T487" s="15">
        <f t="shared" si="70"/>
        <v>1.0192920653629072</v>
      </c>
      <c r="U487" s="15">
        <f t="shared" si="71"/>
        <v>1.0188488469874835</v>
      </c>
      <c r="V487" s="15">
        <f t="shared" si="72"/>
        <v>1.018360655547301</v>
      </c>
    </row>
    <row r="488" spans="1:22" x14ac:dyDescent="0.25">
      <c r="A488" s="6">
        <v>45422</v>
      </c>
      <c r="B488" s="10">
        <v>1.7043999999999999</v>
      </c>
      <c r="C488" s="10">
        <v>2.1301000000000001</v>
      </c>
      <c r="D488" s="10">
        <v>2.3121999999999998</v>
      </c>
      <c r="E488" s="10">
        <v>2.5825999999999998</v>
      </c>
      <c r="F488" s="10">
        <v>1.9312</v>
      </c>
      <c r="G488" s="10">
        <v>2.1455000000000002</v>
      </c>
      <c r="H488" s="11">
        <v>1.87</v>
      </c>
      <c r="J488" s="8">
        <v>45446</v>
      </c>
      <c r="K488" s="11">
        <v>1807.6717000000001</v>
      </c>
      <c r="L488" s="11">
        <v>2442.3323999999998</v>
      </c>
      <c r="M488" s="11">
        <v>2972.9389999999999</v>
      </c>
      <c r="N488" s="11">
        <v>3156.9339</v>
      </c>
      <c r="O488" s="3">
        <f t="shared" si="73"/>
        <v>1.4833349033919863E-2</v>
      </c>
      <c r="P488" s="3">
        <f t="shared" si="74"/>
        <v>1.9698929148710853E-2</v>
      </c>
      <c r="Q488" s="3">
        <f t="shared" si="75"/>
        <v>1.8833836614904564E-2</v>
      </c>
      <c r="R488" s="3">
        <f t="shared" si="76"/>
        <v>1.8518453395255818E-2</v>
      </c>
      <c r="S488" s="15">
        <f t="shared" si="69"/>
        <v>1.0148333490339199</v>
      </c>
      <c r="T488" s="15">
        <f t="shared" si="70"/>
        <v>1.0196989291487109</v>
      </c>
      <c r="U488" s="15">
        <f t="shared" si="71"/>
        <v>1.0188338366149046</v>
      </c>
      <c r="V488" s="15">
        <f t="shared" si="72"/>
        <v>1.0185184533952558</v>
      </c>
    </row>
    <row r="489" spans="1:22" x14ac:dyDescent="0.25">
      <c r="A489" s="6">
        <v>45423</v>
      </c>
      <c r="B489" s="10">
        <v>1.7092000000000001</v>
      </c>
      <c r="C489" s="10">
        <v>2.1556000000000002</v>
      </c>
      <c r="D489" s="10">
        <v>2.3361000000000001</v>
      </c>
      <c r="E489" s="10">
        <v>2.6126</v>
      </c>
      <c r="F489" s="10">
        <v>1.94</v>
      </c>
      <c r="G489" s="10">
        <v>2.1686000000000001</v>
      </c>
      <c r="H489" s="11">
        <v>1.85</v>
      </c>
      <c r="J489" s="8">
        <v>45447</v>
      </c>
      <c r="K489" s="11">
        <v>1807.886</v>
      </c>
      <c r="L489" s="11">
        <v>2442.7213999999999</v>
      </c>
      <c r="M489" s="11">
        <v>2974.4618</v>
      </c>
      <c r="N489" s="11">
        <v>3157.9973</v>
      </c>
      <c r="O489" s="3">
        <f t="shared" si="73"/>
        <v>1.495365781935809E-2</v>
      </c>
      <c r="P489" s="3">
        <f t="shared" si="74"/>
        <v>1.9861340654793835E-2</v>
      </c>
      <c r="Q489" s="3">
        <f t="shared" si="75"/>
        <v>1.935570408894205E-2</v>
      </c>
      <c r="R489" s="3">
        <f t="shared" si="76"/>
        <v>1.8861537082671687E-2</v>
      </c>
      <c r="S489" s="15">
        <f t="shared" si="69"/>
        <v>1.0149536578193581</v>
      </c>
      <c r="T489" s="15">
        <f t="shared" si="70"/>
        <v>1.0198613406547938</v>
      </c>
      <c r="U489" s="15">
        <f t="shared" si="71"/>
        <v>1.019355704088942</v>
      </c>
      <c r="V489" s="15">
        <f t="shared" si="72"/>
        <v>1.0188615370826717</v>
      </c>
    </row>
    <row r="490" spans="1:22" x14ac:dyDescent="0.25">
      <c r="A490" s="6">
        <v>45425</v>
      </c>
      <c r="B490" s="10">
        <v>1.6416999999999999</v>
      </c>
      <c r="C490" s="10">
        <v>2.0960000000000001</v>
      </c>
      <c r="D490" s="10">
        <v>2.29</v>
      </c>
      <c r="E490" s="10">
        <v>2.5661</v>
      </c>
      <c r="F490" s="10">
        <v>1.8859999999999999</v>
      </c>
      <c r="G490" s="10">
        <v>2.1093999999999999</v>
      </c>
      <c r="H490" s="11">
        <v>1.88</v>
      </c>
      <c r="J490" s="8">
        <v>45448</v>
      </c>
      <c r="K490" s="11">
        <v>1808.2329999999999</v>
      </c>
      <c r="L490" s="11">
        <v>2443.5207</v>
      </c>
      <c r="M490" s="11">
        <v>2974.1185</v>
      </c>
      <c r="N490" s="11">
        <v>3158.2952</v>
      </c>
      <c r="O490" s="3">
        <f t="shared" si="73"/>
        <v>1.5148464858774968E-2</v>
      </c>
      <c r="P490" s="3">
        <f t="shared" si="74"/>
        <v>2.01950566363156E-2</v>
      </c>
      <c r="Q490" s="3">
        <f t="shared" si="75"/>
        <v>1.9238054296561558E-2</v>
      </c>
      <c r="R490" s="3">
        <f t="shared" si="76"/>
        <v>1.8957648264241511E-2</v>
      </c>
      <c r="S490" s="15">
        <f t="shared" si="69"/>
        <v>1.015148464858775</v>
      </c>
      <c r="T490" s="15">
        <f t="shared" si="70"/>
        <v>1.0201950566363156</v>
      </c>
      <c r="U490" s="15">
        <f t="shared" si="71"/>
        <v>1.0192380542965616</v>
      </c>
      <c r="V490" s="15">
        <f t="shared" si="72"/>
        <v>1.0189576482642415</v>
      </c>
    </row>
    <row r="491" spans="1:22" x14ac:dyDescent="0.25">
      <c r="A491" s="6">
        <v>45426</v>
      </c>
      <c r="B491" s="10">
        <v>1.6132</v>
      </c>
      <c r="C491" s="10">
        <v>2.0859999999999999</v>
      </c>
      <c r="D491" s="10">
        <v>2.2938000000000001</v>
      </c>
      <c r="E491" s="10">
        <v>2.5630999999999999</v>
      </c>
      <c r="F491" s="10">
        <v>1.8673</v>
      </c>
      <c r="G491" s="10">
        <v>2.0697000000000001</v>
      </c>
      <c r="H491" s="11">
        <v>1.85</v>
      </c>
      <c r="J491" s="8">
        <v>45449</v>
      </c>
      <c r="K491" s="11">
        <v>1808.4616000000001</v>
      </c>
      <c r="L491" s="11">
        <v>2443.9445000000001</v>
      </c>
      <c r="M491" s="11">
        <v>2974.1145000000001</v>
      </c>
      <c r="N491" s="11">
        <v>3158.5545999999999</v>
      </c>
      <c r="O491" s="3">
        <f t="shared" si="73"/>
        <v>1.527680171529E-2</v>
      </c>
      <c r="P491" s="3">
        <f t="shared" si="74"/>
        <v>2.0371997500783223E-2</v>
      </c>
      <c r="Q491" s="3">
        <f t="shared" si="75"/>
        <v>1.9236683486280493E-2</v>
      </c>
      <c r="R491" s="3">
        <f t="shared" si="76"/>
        <v>1.9041338228992011E-2</v>
      </c>
      <c r="S491" s="15">
        <f t="shared" si="69"/>
        <v>1.01527680171529</v>
      </c>
      <c r="T491" s="15">
        <f t="shared" si="70"/>
        <v>1.0203719975007832</v>
      </c>
      <c r="U491" s="15">
        <f t="shared" si="71"/>
        <v>1.0192366834862805</v>
      </c>
      <c r="V491" s="15">
        <f t="shared" si="72"/>
        <v>1.019041338228992</v>
      </c>
    </row>
    <row r="492" spans="1:22" x14ac:dyDescent="0.25">
      <c r="A492" s="6">
        <v>45427</v>
      </c>
      <c r="B492" s="10">
        <v>1.6133999999999999</v>
      </c>
      <c r="C492" s="10">
        <v>2.0916000000000001</v>
      </c>
      <c r="D492" s="10">
        <v>2.302</v>
      </c>
      <c r="E492" s="10">
        <v>2.5680999999999998</v>
      </c>
      <c r="F492" s="10">
        <v>1.8813</v>
      </c>
      <c r="G492" s="10">
        <v>2.0836999999999999</v>
      </c>
      <c r="H492" s="11">
        <v>1.82</v>
      </c>
      <c r="J492" s="8">
        <v>45450</v>
      </c>
      <c r="K492" s="11">
        <v>1808.6736000000001</v>
      </c>
      <c r="L492" s="11">
        <v>2444.5938999999998</v>
      </c>
      <c r="M492" s="11">
        <v>2974.8098</v>
      </c>
      <c r="N492" s="11">
        <v>3159.3193999999999</v>
      </c>
      <c r="O492" s="3">
        <f t="shared" si="73"/>
        <v>1.5395819272512989E-2</v>
      </c>
      <c r="P492" s="3">
        <f t="shared" si="74"/>
        <v>2.0643128688572876E-2</v>
      </c>
      <c r="Q492" s="3">
        <f t="shared" si="75"/>
        <v>1.9474964583402921E-2</v>
      </c>
      <c r="R492" s="3">
        <f t="shared" si="76"/>
        <v>1.9288084894532265E-2</v>
      </c>
      <c r="S492" s="15">
        <f t="shared" si="69"/>
        <v>1.015395819272513</v>
      </c>
      <c r="T492" s="15">
        <f t="shared" si="70"/>
        <v>1.0206431286885729</v>
      </c>
      <c r="U492" s="15">
        <f t="shared" si="71"/>
        <v>1.0194749645834029</v>
      </c>
      <c r="V492" s="15">
        <f t="shared" si="72"/>
        <v>1.0192880848945323</v>
      </c>
    </row>
    <row r="493" spans="1:22" x14ac:dyDescent="0.25">
      <c r="A493" s="6">
        <v>45428</v>
      </c>
      <c r="B493" s="10">
        <v>1.6279999999999999</v>
      </c>
      <c r="C493" s="10">
        <v>2.1034999999999999</v>
      </c>
      <c r="D493" s="10">
        <v>2.3147000000000002</v>
      </c>
      <c r="E493" s="10">
        <v>2.5811000000000002</v>
      </c>
      <c r="F493" s="10">
        <v>1.8841000000000001</v>
      </c>
      <c r="G493" s="10">
        <v>2.1038000000000001</v>
      </c>
      <c r="H493" s="11">
        <v>1.82</v>
      </c>
      <c r="J493" s="8">
        <v>45454</v>
      </c>
      <c r="K493" s="11">
        <v>1809.0706</v>
      </c>
      <c r="L493" s="11">
        <v>2445.3200999999999</v>
      </c>
      <c r="M493" s="11">
        <v>2975.4432000000002</v>
      </c>
      <c r="N493" s="11">
        <v>3160.0844999999999</v>
      </c>
      <c r="O493" s="3">
        <f t="shared" si="73"/>
        <v>1.5618696490520279E-2</v>
      </c>
      <c r="P493" s="3">
        <f t="shared" si="74"/>
        <v>2.0946324667280747E-2</v>
      </c>
      <c r="Q493" s="3">
        <f t="shared" si="75"/>
        <v>1.9692032391424474E-2</v>
      </c>
      <c r="R493" s="3">
        <f t="shared" si="76"/>
        <v>1.9534928348775349E-2</v>
      </c>
      <c r="S493" s="15">
        <f t="shared" si="69"/>
        <v>1.0156186964905203</v>
      </c>
      <c r="T493" s="15">
        <f t="shared" si="70"/>
        <v>1.0209463246672807</v>
      </c>
      <c r="U493" s="15">
        <f t="shared" si="71"/>
        <v>1.0196920323914245</v>
      </c>
      <c r="V493" s="15">
        <f t="shared" si="72"/>
        <v>1.0195349283487753</v>
      </c>
    </row>
    <row r="494" spans="1:22" x14ac:dyDescent="0.25">
      <c r="A494" s="6">
        <v>45429</v>
      </c>
      <c r="B494" s="10">
        <v>1.6073</v>
      </c>
      <c r="C494" s="10">
        <v>2.0928</v>
      </c>
      <c r="D494" s="10">
        <v>2.3077000000000001</v>
      </c>
      <c r="E494" s="10">
        <v>2.5867</v>
      </c>
      <c r="F494" s="10">
        <v>1.8693</v>
      </c>
      <c r="G494" s="10">
        <v>2.1078000000000001</v>
      </c>
      <c r="H494" s="11">
        <v>1.8</v>
      </c>
      <c r="J494" s="8">
        <v>45455</v>
      </c>
      <c r="K494" s="11">
        <v>1809.1737000000001</v>
      </c>
      <c r="L494" s="11">
        <v>2445.3778000000002</v>
      </c>
      <c r="M494" s="11">
        <v>2976.2215000000001</v>
      </c>
      <c r="N494" s="11">
        <v>3160.5574999999999</v>
      </c>
      <c r="O494" s="3">
        <f t="shared" si="73"/>
        <v>1.5676577198773689E-2</v>
      </c>
      <c r="P494" s="3">
        <f t="shared" si="74"/>
        <v>2.0970415011499322E-2</v>
      </c>
      <c r="Q494" s="3">
        <f t="shared" si="75"/>
        <v>1.9958757801881166E-2</v>
      </c>
      <c r="R494" s="3">
        <f t="shared" si="76"/>
        <v>1.9687531869696739E-2</v>
      </c>
      <c r="S494" s="15">
        <f t="shared" si="69"/>
        <v>1.0156765771987737</v>
      </c>
      <c r="T494" s="15">
        <f t="shared" si="70"/>
        <v>1.0209704150114993</v>
      </c>
      <c r="U494" s="15">
        <f t="shared" si="71"/>
        <v>1.0199587578018812</v>
      </c>
      <c r="V494" s="15">
        <f t="shared" si="72"/>
        <v>1.0196875318696967</v>
      </c>
    </row>
    <row r="495" spans="1:22" x14ac:dyDescent="0.25">
      <c r="A495" s="6">
        <v>45432</v>
      </c>
      <c r="B495" s="10">
        <v>1.6135999999999999</v>
      </c>
      <c r="C495" s="10">
        <v>2.0983000000000001</v>
      </c>
      <c r="D495" s="10">
        <v>2.3105000000000002</v>
      </c>
      <c r="E495" s="10">
        <v>2.5916999999999999</v>
      </c>
      <c r="F495" s="10">
        <v>1.8520000000000001</v>
      </c>
      <c r="G495" s="10">
        <v>2.0762</v>
      </c>
      <c r="H495" s="11">
        <v>1.81</v>
      </c>
      <c r="J495" s="8">
        <v>45456</v>
      </c>
      <c r="K495" s="11">
        <v>1809.3092999999999</v>
      </c>
      <c r="L495" s="11">
        <v>2445.6487000000002</v>
      </c>
      <c r="M495" s="11">
        <v>2975.6223</v>
      </c>
      <c r="N495" s="11">
        <v>3160.2991999999999</v>
      </c>
      <c r="O495" s="3">
        <f t="shared" si="73"/>
        <v>1.5752703523110423E-2</v>
      </c>
      <c r="P495" s="3">
        <f t="shared" si="74"/>
        <v>2.1083518551339386E-2</v>
      </c>
      <c r="Q495" s="3">
        <f t="shared" si="75"/>
        <v>1.9753410421763373E-2</v>
      </c>
      <c r="R495" s="3">
        <f t="shared" si="76"/>
        <v>1.9604196796855211E-2</v>
      </c>
      <c r="S495" s="15">
        <f t="shared" si="69"/>
        <v>1.0157527035231104</v>
      </c>
      <c r="T495" s="15">
        <f t="shared" si="70"/>
        <v>1.0210835185513394</v>
      </c>
      <c r="U495" s="15">
        <f t="shared" si="71"/>
        <v>1.0197534104217634</v>
      </c>
      <c r="V495" s="15">
        <f t="shared" si="72"/>
        <v>1.0196041967968552</v>
      </c>
    </row>
    <row r="496" spans="1:22" x14ac:dyDescent="0.25">
      <c r="A496" s="6">
        <v>45433</v>
      </c>
      <c r="B496" s="10">
        <v>1.6129</v>
      </c>
      <c r="C496" s="10">
        <v>2.1027999999999998</v>
      </c>
      <c r="D496" s="10">
        <v>2.3140999999999998</v>
      </c>
      <c r="E496" s="10">
        <v>2.5926999999999998</v>
      </c>
      <c r="F496" s="10">
        <v>1.8687</v>
      </c>
      <c r="G496" s="10">
        <v>2.0846</v>
      </c>
      <c r="H496" s="11">
        <v>1.85</v>
      </c>
      <c r="J496" s="8">
        <v>45457</v>
      </c>
      <c r="K496" s="11">
        <v>1809.5211999999999</v>
      </c>
      <c r="L496" s="11">
        <v>2446.4218999999998</v>
      </c>
      <c r="M496" s="11">
        <v>2976.6134999999999</v>
      </c>
      <c r="N496" s="11">
        <v>3161.0713000000001</v>
      </c>
      <c r="O496" s="3">
        <f t="shared" si="73"/>
        <v>1.5871664939976382E-2</v>
      </c>
      <c r="P496" s="3">
        <f t="shared" si="74"/>
        <v>2.1406337514072504E-2</v>
      </c>
      <c r="Q496" s="3">
        <f t="shared" si="75"/>
        <v>2.0093097209434641E-2</v>
      </c>
      <c r="R496" s="3">
        <f t="shared" si="76"/>
        <v>1.9853298654156415E-2</v>
      </c>
      <c r="S496" s="15">
        <f t="shared" si="69"/>
        <v>1.0158716649399764</v>
      </c>
      <c r="T496" s="15">
        <f t="shared" si="70"/>
        <v>1.0214063375140725</v>
      </c>
      <c r="U496" s="15">
        <f t="shared" si="71"/>
        <v>1.0200930972094346</v>
      </c>
      <c r="V496" s="15">
        <f t="shared" si="72"/>
        <v>1.0198532986541564</v>
      </c>
    </row>
    <row r="497" spans="1:22" x14ac:dyDescent="0.25">
      <c r="A497" s="6">
        <v>45434</v>
      </c>
      <c r="B497" s="10">
        <v>1.6052</v>
      </c>
      <c r="C497" s="10">
        <v>2.0958999999999999</v>
      </c>
      <c r="D497" s="10">
        <v>2.3123</v>
      </c>
      <c r="E497" s="10">
        <v>2.57</v>
      </c>
      <c r="F497" s="10">
        <v>1.8624000000000001</v>
      </c>
      <c r="G497" s="10">
        <v>2.0691999999999999</v>
      </c>
      <c r="H497" s="11">
        <v>1.85</v>
      </c>
      <c r="J497" s="8">
        <v>45460</v>
      </c>
      <c r="K497" s="11">
        <v>1809.7494999999999</v>
      </c>
      <c r="L497" s="11">
        <v>2446.6977999999999</v>
      </c>
      <c r="M497" s="11">
        <v>2976.3501000000001</v>
      </c>
      <c r="N497" s="11">
        <v>3161.0787999999998</v>
      </c>
      <c r="O497" s="3">
        <f t="shared" si="73"/>
        <v>1.5999833375419881E-2</v>
      </c>
      <c r="P497" s="3">
        <f t="shared" si="74"/>
        <v>2.1521528605404905E-2</v>
      </c>
      <c r="Q497" s="3">
        <f t="shared" si="75"/>
        <v>2.000282935242037E-2</v>
      </c>
      <c r="R497" s="3">
        <f t="shared" si="76"/>
        <v>1.9855718371718512E-2</v>
      </c>
      <c r="S497" s="15">
        <f t="shared" si="69"/>
        <v>1.0159998333754199</v>
      </c>
      <c r="T497" s="15">
        <f t="shared" si="70"/>
        <v>1.0215215286054049</v>
      </c>
      <c r="U497" s="15">
        <f t="shared" si="71"/>
        <v>1.0200028293524204</v>
      </c>
      <c r="V497" s="15">
        <f t="shared" si="72"/>
        <v>1.0198557183717185</v>
      </c>
    </row>
    <row r="498" spans="1:22" x14ac:dyDescent="0.25">
      <c r="A498" s="6">
        <v>45435</v>
      </c>
      <c r="B498" s="10">
        <v>1.6085</v>
      </c>
      <c r="C498" s="10">
        <v>2.0884</v>
      </c>
      <c r="D498" s="10">
        <v>2.3062999999999998</v>
      </c>
      <c r="E498" s="10">
        <v>2.5451000000000001</v>
      </c>
      <c r="F498" s="10">
        <v>1.8583000000000001</v>
      </c>
      <c r="G498" s="10">
        <v>2.0617999999999999</v>
      </c>
      <c r="H498" s="11">
        <v>1.83</v>
      </c>
      <c r="J498" s="8">
        <v>45461</v>
      </c>
      <c r="K498" s="11">
        <v>1809.9164000000001</v>
      </c>
      <c r="L498" s="11">
        <v>2447.2689999999998</v>
      </c>
      <c r="M498" s="11">
        <v>2977.5136000000002</v>
      </c>
      <c r="N498" s="11">
        <v>3161.8665000000001</v>
      </c>
      <c r="O498" s="3">
        <f t="shared" si="73"/>
        <v>1.609353163155447E-2</v>
      </c>
      <c r="P498" s="3">
        <f t="shared" si="74"/>
        <v>2.1760010487858583E-2</v>
      </c>
      <c r="Q498" s="3">
        <f t="shared" si="75"/>
        <v>2.0401563792952659E-2</v>
      </c>
      <c r="R498" s="3">
        <f t="shared" si="76"/>
        <v>2.0109853241548903E-2</v>
      </c>
      <c r="S498" s="15">
        <f t="shared" si="69"/>
        <v>1.0160935316315545</v>
      </c>
      <c r="T498" s="15">
        <f t="shared" si="70"/>
        <v>1.0217600104878586</v>
      </c>
      <c r="U498" s="15">
        <f t="shared" si="71"/>
        <v>1.0204015637929527</v>
      </c>
      <c r="V498" s="15">
        <f t="shared" si="72"/>
        <v>1.0201098532415489</v>
      </c>
    </row>
    <row r="499" spans="1:22" x14ac:dyDescent="0.25">
      <c r="A499" s="6">
        <v>45436</v>
      </c>
      <c r="B499" s="10">
        <v>1.6375</v>
      </c>
      <c r="C499" s="10">
        <v>2.0960000000000001</v>
      </c>
      <c r="D499" s="10">
        <v>2.3134000000000001</v>
      </c>
      <c r="E499" s="10">
        <v>2.5514999999999999</v>
      </c>
      <c r="F499" s="10">
        <v>1.8605</v>
      </c>
      <c r="G499" s="10">
        <v>2.0674000000000001</v>
      </c>
      <c r="H499" s="11">
        <v>1.82</v>
      </c>
      <c r="J499" s="8">
        <v>45462</v>
      </c>
      <c r="K499" s="11">
        <v>1810.1298999999999</v>
      </c>
      <c r="L499" s="11">
        <v>2448.0585000000001</v>
      </c>
      <c r="M499" s="11">
        <v>2977.4034999999999</v>
      </c>
      <c r="N499" s="11">
        <v>3162.0880999999999</v>
      </c>
      <c r="O499" s="3">
        <f t="shared" si="73"/>
        <v>1.6213391294135127E-2</v>
      </c>
      <c r="P499" s="3">
        <f t="shared" si="74"/>
        <v>2.2089634868456054E-2</v>
      </c>
      <c r="Q499" s="3">
        <f t="shared" si="75"/>
        <v>2.036383223996352E-2</v>
      </c>
      <c r="R499" s="3">
        <f t="shared" si="76"/>
        <v>2.0181347829785867E-2</v>
      </c>
      <c r="S499" s="15">
        <f t="shared" si="69"/>
        <v>1.0162133912941351</v>
      </c>
      <c r="T499" s="15">
        <f t="shared" si="70"/>
        <v>1.0220896348684561</v>
      </c>
      <c r="U499" s="15">
        <f t="shared" si="71"/>
        <v>1.0203638322399635</v>
      </c>
      <c r="V499" s="15">
        <f t="shared" si="72"/>
        <v>1.0201813478297859</v>
      </c>
    </row>
    <row r="500" spans="1:22" x14ac:dyDescent="0.25">
      <c r="A500" s="6">
        <v>45439</v>
      </c>
      <c r="B500" s="10">
        <v>1.6612</v>
      </c>
      <c r="C500" s="10">
        <v>2.0960999999999999</v>
      </c>
      <c r="D500" s="10">
        <v>2.3083999999999998</v>
      </c>
      <c r="E500" s="10">
        <v>2.5451999999999999</v>
      </c>
      <c r="F500" s="10">
        <v>1.8759999999999999</v>
      </c>
      <c r="G500" s="10">
        <v>2.0743999999999998</v>
      </c>
      <c r="H500" s="11">
        <v>1.95</v>
      </c>
      <c r="J500" s="8">
        <v>45463</v>
      </c>
      <c r="K500" s="11">
        <v>1810.2936</v>
      </c>
      <c r="L500" s="11">
        <v>2448.3490999999999</v>
      </c>
      <c r="M500" s="11">
        <v>2975.9672</v>
      </c>
      <c r="N500" s="11">
        <v>3161.5131000000001</v>
      </c>
      <c r="O500" s="3">
        <f t="shared" si="73"/>
        <v>1.6305293058839876E-2</v>
      </c>
      <c r="P500" s="3">
        <f t="shared" si="74"/>
        <v>2.2210963361174896E-2</v>
      </c>
      <c r="Q500" s="3">
        <f t="shared" si="75"/>
        <v>1.9871608538256424E-2</v>
      </c>
      <c r="R500" s="3">
        <f t="shared" si="76"/>
        <v>1.9995836150018986E-2</v>
      </c>
      <c r="S500" s="15">
        <f t="shared" si="69"/>
        <v>1.0163052930588399</v>
      </c>
      <c r="T500" s="15">
        <f t="shared" si="70"/>
        <v>1.0222109633611749</v>
      </c>
      <c r="U500" s="15">
        <f t="shared" si="71"/>
        <v>1.0198716085382564</v>
      </c>
      <c r="V500" s="15">
        <f t="shared" si="72"/>
        <v>1.019995836150019</v>
      </c>
    </row>
    <row r="501" spans="1:22" x14ac:dyDescent="0.25">
      <c r="A501" s="6">
        <v>45440</v>
      </c>
      <c r="B501" s="10">
        <v>1.6552</v>
      </c>
      <c r="C501" s="10">
        <v>2.0871</v>
      </c>
      <c r="D501" s="10">
        <v>2.2993999999999999</v>
      </c>
      <c r="E501" s="10">
        <v>2.5301999999999998</v>
      </c>
      <c r="F501" s="10">
        <v>1.8631</v>
      </c>
      <c r="G501" s="10">
        <v>2.0566</v>
      </c>
      <c r="H501" s="11">
        <v>1.95</v>
      </c>
      <c r="J501" s="8">
        <v>45464</v>
      </c>
      <c r="K501" s="11">
        <v>1810.2493999999999</v>
      </c>
      <c r="L501" s="11">
        <v>2448.1078000000002</v>
      </c>
      <c r="M501" s="11">
        <v>2975.0050999999999</v>
      </c>
      <c r="N501" s="11">
        <v>3160.5194000000001</v>
      </c>
      <c r="O501" s="3">
        <f t="shared" si="73"/>
        <v>1.6280479020966077E-2</v>
      </c>
      <c r="P501" s="3">
        <f t="shared" si="74"/>
        <v>2.2110218126167869E-2</v>
      </c>
      <c r="Q501" s="3">
        <f t="shared" si="75"/>
        <v>1.9541894395380455E-2</v>
      </c>
      <c r="R501" s="3">
        <f t="shared" si="76"/>
        <v>1.9675239704480818E-2</v>
      </c>
      <c r="S501" s="15">
        <f t="shared" si="69"/>
        <v>1.0162804790209661</v>
      </c>
      <c r="T501" s="15">
        <f t="shared" si="70"/>
        <v>1.0221102181261679</v>
      </c>
      <c r="U501" s="15">
        <f t="shared" si="71"/>
        <v>1.0195418943953805</v>
      </c>
      <c r="V501" s="15">
        <f t="shared" si="72"/>
        <v>1.0196752397044808</v>
      </c>
    </row>
    <row r="502" spans="1:22" x14ac:dyDescent="0.25">
      <c r="A502" s="6">
        <v>45441</v>
      </c>
      <c r="B502" s="10">
        <v>1.6567000000000001</v>
      </c>
      <c r="C502" s="10">
        <v>2.0848</v>
      </c>
      <c r="D502" s="10">
        <v>2.2776000000000001</v>
      </c>
      <c r="E502" s="10">
        <v>2.5242</v>
      </c>
      <c r="F502" s="10">
        <v>1.8542000000000001</v>
      </c>
      <c r="G502" s="10">
        <v>2.0381999999999998</v>
      </c>
      <c r="H502" s="11">
        <v>1.98</v>
      </c>
      <c r="J502" s="8">
        <v>45467</v>
      </c>
      <c r="K502" s="11">
        <v>1810.6179</v>
      </c>
      <c r="L502" s="11">
        <v>2449.1831000000002</v>
      </c>
      <c r="M502" s="11">
        <v>2973.0724</v>
      </c>
      <c r="N502" s="11">
        <v>3159.6370000000002</v>
      </c>
      <c r="O502" s="3">
        <f t="shared" si="73"/>
        <v>1.6487356237176787E-2</v>
      </c>
      <c r="P502" s="3">
        <f t="shared" si="74"/>
        <v>2.2559166950051779E-2</v>
      </c>
      <c r="Q502" s="3">
        <f t="shared" si="75"/>
        <v>1.8879553137781446E-2</v>
      </c>
      <c r="R502" s="3">
        <f t="shared" si="76"/>
        <v>1.9390551867565442E-2</v>
      </c>
      <c r="S502" s="15">
        <f t="shared" si="69"/>
        <v>1.0164873562371768</v>
      </c>
      <c r="T502" s="15">
        <f t="shared" si="70"/>
        <v>1.0225591669500518</v>
      </c>
      <c r="U502" s="15">
        <f t="shared" si="71"/>
        <v>1.0188795531377814</v>
      </c>
      <c r="V502" s="15">
        <f t="shared" si="72"/>
        <v>1.0193905518675654</v>
      </c>
    </row>
    <row r="503" spans="1:22" x14ac:dyDescent="0.25">
      <c r="A503" s="6">
        <v>45442</v>
      </c>
      <c r="B503" s="10">
        <v>1.6531</v>
      </c>
      <c r="C503" s="10">
        <v>2.0861999999999998</v>
      </c>
      <c r="D503" s="10">
        <v>2.2826</v>
      </c>
      <c r="E503" s="10">
        <v>2.5327000000000002</v>
      </c>
      <c r="F503" s="10">
        <v>1.8482000000000001</v>
      </c>
      <c r="G503" s="10">
        <v>2.0451000000000001</v>
      </c>
      <c r="H503" s="11">
        <v>1.95</v>
      </c>
      <c r="J503" s="8">
        <v>45468</v>
      </c>
      <c r="K503" s="11">
        <v>1810.9383</v>
      </c>
      <c r="L503" s="11">
        <v>2449.9942999999998</v>
      </c>
      <c r="M503" s="11">
        <v>2974.1178</v>
      </c>
      <c r="N503" s="11">
        <v>3160.5477000000001</v>
      </c>
      <c r="O503" s="3">
        <f t="shared" si="73"/>
        <v>1.6667229941583761E-2</v>
      </c>
      <c r="P503" s="3">
        <f t="shared" si="74"/>
        <v>2.2897851304124472E-2</v>
      </c>
      <c r="Q503" s="3">
        <f t="shared" si="75"/>
        <v>1.9237814404762243E-2</v>
      </c>
      <c r="R503" s="3">
        <f t="shared" si="76"/>
        <v>1.9684370105415461E-2</v>
      </c>
      <c r="S503" s="15">
        <f t="shared" si="69"/>
        <v>1.0166672299415838</v>
      </c>
      <c r="T503" s="15">
        <f t="shared" si="70"/>
        <v>1.0228978513041245</v>
      </c>
      <c r="U503" s="15">
        <f t="shared" si="71"/>
        <v>1.0192378144047622</v>
      </c>
      <c r="V503" s="15">
        <f t="shared" si="72"/>
        <v>1.0196843701054155</v>
      </c>
    </row>
    <row r="504" spans="1:22" x14ac:dyDescent="0.25">
      <c r="A504" s="6">
        <v>45443</v>
      </c>
      <c r="B504" s="10">
        <v>1.6444000000000001</v>
      </c>
      <c r="C504" s="10">
        <v>2.085</v>
      </c>
      <c r="D504" s="10">
        <v>2.2926000000000002</v>
      </c>
      <c r="E504" s="10">
        <v>2.5552000000000001</v>
      </c>
      <c r="F504" s="10">
        <v>1.8436999999999999</v>
      </c>
      <c r="G504" s="10">
        <v>2.0510000000000002</v>
      </c>
      <c r="H504" s="11">
        <v>1.88</v>
      </c>
      <c r="J504" s="8">
        <v>45469</v>
      </c>
      <c r="K504" s="11">
        <v>1811.1601000000001</v>
      </c>
      <c r="L504" s="11">
        <v>2450.5576999999998</v>
      </c>
      <c r="M504" s="11">
        <v>2977.0075999999999</v>
      </c>
      <c r="N504" s="11">
        <v>3162.5156999999999</v>
      </c>
      <c r="O504" s="3">
        <f t="shared" si="73"/>
        <v>1.6791749253810551E-2</v>
      </c>
      <c r="P504" s="3">
        <f t="shared" si="74"/>
        <v>2.3133076606250746E-2</v>
      </c>
      <c r="Q504" s="3">
        <f t="shared" si="75"/>
        <v>2.0228156292385835E-2</v>
      </c>
      <c r="R504" s="3">
        <f t="shared" si="76"/>
        <v>2.0319303993730831E-2</v>
      </c>
      <c r="S504" s="15">
        <f t="shared" si="69"/>
        <v>1.0167917492538106</v>
      </c>
      <c r="T504" s="15">
        <f t="shared" si="70"/>
        <v>1.0231330766062507</v>
      </c>
      <c r="U504" s="15">
        <f t="shared" si="71"/>
        <v>1.0202281562923858</v>
      </c>
      <c r="V504" s="15">
        <f t="shared" si="72"/>
        <v>1.0203193039937308</v>
      </c>
    </row>
    <row r="505" spans="1:22" x14ac:dyDescent="0.25">
      <c r="A505" s="6">
        <v>45446</v>
      </c>
      <c r="B505" s="10">
        <v>1.6456999999999999</v>
      </c>
      <c r="C505" s="10">
        <v>2.0699000000000001</v>
      </c>
      <c r="D505" s="10">
        <v>2.2852999999999999</v>
      </c>
      <c r="E505" s="10">
        <v>2.5472999999999999</v>
      </c>
      <c r="F505" s="10">
        <v>1.8358000000000001</v>
      </c>
      <c r="G505" s="10">
        <v>2.0455000000000001</v>
      </c>
      <c r="H505" s="11">
        <v>1.84</v>
      </c>
      <c r="J505" s="8">
        <v>45470</v>
      </c>
      <c r="K505" s="11">
        <v>1811.5282</v>
      </c>
      <c r="L505" s="11">
        <v>2451.5924</v>
      </c>
      <c r="M505" s="11">
        <v>2976.7314999999999</v>
      </c>
      <c r="N505" s="11">
        <v>3162.7640000000001</v>
      </c>
      <c r="O505" s="3">
        <f t="shared" si="73"/>
        <v>1.6998401908592475E-2</v>
      </c>
      <c r="P505" s="3">
        <f t="shared" si="74"/>
        <v>2.3565074512019057E-2</v>
      </c>
      <c r="Q505" s="3">
        <f t="shared" si="75"/>
        <v>2.0133536112728834E-2</v>
      </c>
      <c r="R505" s="3">
        <f t="shared" si="76"/>
        <v>2.0399412776489489E-2</v>
      </c>
      <c r="S505" s="15">
        <f t="shared" si="69"/>
        <v>1.0169984019085925</v>
      </c>
      <c r="T505" s="15">
        <f t="shared" si="70"/>
        <v>1.0235650745120191</v>
      </c>
      <c r="U505" s="15">
        <f t="shared" si="71"/>
        <v>1.0201335361127288</v>
      </c>
      <c r="V505" s="15">
        <f t="shared" si="72"/>
        <v>1.0203994127764895</v>
      </c>
    </row>
    <row r="506" spans="1:22" x14ac:dyDescent="0.25">
      <c r="A506" s="6">
        <v>45447</v>
      </c>
      <c r="B506" s="10">
        <v>1.6460999999999999</v>
      </c>
      <c r="C506" s="10">
        <v>2.0708000000000002</v>
      </c>
      <c r="D506" s="10">
        <v>2.2854000000000001</v>
      </c>
      <c r="E506" s="10">
        <v>2.5453000000000001</v>
      </c>
      <c r="F506" s="10">
        <v>1.8375999999999999</v>
      </c>
      <c r="G506" s="10">
        <v>2.0396999999999998</v>
      </c>
      <c r="H506" s="11">
        <v>1.83</v>
      </c>
      <c r="J506" s="8">
        <v>45471</v>
      </c>
      <c r="K506" s="11">
        <v>1811.8021000000001</v>
      </c>
      <c r="L506" s="11">
        <v>2452.3416999999999</v>
      </c>
      <c r="M506" s="11">
        <v>2978.6550000000002</v>
      </c>
      <c r="N506" s="11">
        <v>3164.1084999999998</v>
      </c>
      <c r="O506" s="3">
        <f t="shared" si="73"/>
        <v>1.7152170346910411E-2</v>
      </c>
      <c r="P506" s="3">
        <f t="shared" si="74"/>
        <v>2.3877914978620129E-2</v>
      </c>
      <c r="Q506" s="3">
        <f t="shared" si="75"/>
        <v>2.0792724506681459E-2</v>
      </c>
      <c r="R506" s="3">
        <f t="shared" si="76"/>
        <v>2.0833187478135784E-2</v>
      </c>
      <c r="S506" s="15">
        <f t="shared" si="69"/>
        <v>1.0171521703469104</v>
      </c>
      <c r="T506" s="15">
        <f t="shared" si="70"/>
        <v>1.0238779149786201</v>
      </c>
      <c r="U506" s="15">
        <f t="shared" si="71"/>
        <v>1.0207927245066815</v>
      </c>
      <c r="V506" s="15">
        <f t="shared" si="72"/>
        <v>1.0208331874781358</v>
      </c>
    </row>
    <row r="507" spans="1:22" x14ac:dyDescent="0.25">
      <c r="A507" s="6">
        <v>45448</v>
      </c>
      <c r="B507" s="10">
        <v>1.6318999999999999</v>
      </c>
      <c r="C507" s="10">
        <v>2.0573000000000001</v>
      </c>
      <c r="D507" s="10">
        <v>2.2808000000000002</v>
      </c>
      <c r="E507" s="10">
        <v>2.5377999999999998</v>
      </c>
      <c r="F507" s="10">
        <v>1.8299000000000001</v>
      </c>
      <c r="G507" s="10">
        <v>2.0253999999999999</v>
      </c>
      <c r="H507" s="11">
        <v>1.84</v>
      </c>
      <c r="J507" s="8">
        <v>45474</v>
      </c>
      <c r="K507" s="11">
        <v>1811.6739</v>
      </c>
      <c r="L507" s="11">
        <v>2450.9697999999999</v>
      </c>
      <c r="M507" s="11">
        <v>2978.6120999999998</v>
      </c>
      <c r="N507" s="11">
        <v>3163.6188000000002</v>
      </c>
      <c r="O507" s="3">
        <f t="shared" si="73"/>
        <v>1.7080198409004765E-2</v>
      </c>
      <c r="P507" s="3">
        <f t="shared" si="74"/>
        <v>2.330513260022693E-2</v>
      </c>
      <c r="Q507" s="3">
        <f t="shared" si="75"/>
        <v>2.077802256641581E-2</v>
      </c>
      <c r="R507" s="3">
        <f t="shared" si="76"/>
        <v>2.0675196052776013E-2</v>
      </c>
      <c r="S507" s="15">
        <f t="shared" si="69"/>
        <v>1.0170801984090048</v>
      </c>
      <c r="T507" s="15">
        <f t="shared" si="70"/>
        <v>1.0233051326002269</v>
      </c>
      <c r="U507" s="15">
        <f t="shared" si="71"/>
        <v>1.0207780225664158</v>
      </c>
      <c r="V507" s="15">
        <f t="shared" si="72"/>
        <v>1.020675196052776</v>
      </c>
    </row>
    <row r="508" spans="1:22" x14ac:dyDescent="0.25">
      <c r="A508" s="6">
        <v>45449</v>
      </c>
      <c r="B508" s="10">
        <v>1.6105</v>
      </c>
      <c r="C508" s="10">
        <v>2.0594999999999999</v>
      </c>
      <c r="D508" s="10">
        <v>2.2827999999999999</v>
      </c>
      <c r="E508" s="10">
        <v>2.5377999999999998</v>
      </c>
      <c r="F508" s="10">
        <v>1.8280000000000001</v>
      </c>
      <c r="G508" s="10">
        <v>2.0215999999999998</v>
      </c>
      <c r="H508" s="11">
        <v>1.84</v>
      </c>
      <c r="J508" s="8">
        <v>45475</v>
      </c>
      <c r="K508" s="11">
        <v>1812.0068000000001</v>
      </c>
      <c r="L508" s="11">
        <v>2452.0077999999999</v>
      </c>
      <c r="M508" s="11">
        <v>2978.8625000000002</v>
      </c>
      <c r="N508" s="11">
        <v>3164.1914000000002</v>
      </c>
      <c r="O508" s="3">
        <f t="shared" si="73"/>
        <v>1.726708965805912E-2</v>
      </c>
      <c r="P508" s="3">
        <f t="shared" si="74"/>
        <v>2.373850828997992E-2</v>
      </c>
      <c r="Q508" s="3">
        <f t="shared" si="75"/>
        <v>2.0863835290016564E-2</v>
      </c>
      <c r="R508" s="3">
        <f t="shared" si="76"/>
        <v>2.0859933422923138E-2</v>
      </c>
      <c r="S508" s="15">
        <f t="shared" si="69"/>
        <v>1.0172670896580591</v>
      </c>
      <c r="T508" s="15">
        <f t="shared" si="70"/>
        <v>1.0237385082899799</v>
      </c>
      <c r="U508" s="15">
        <f t="shared" si="71"/>
        <v>1.0208638352900166</v>
      </c>
      <c r="V508" s="15">
        <f t="shared" si="72"/>
        <v>1.0208599334229231</v>
      </c>
    </row>
    <row r="509" spans="1:22" x14ac:dyDescent="0.25">
      <c r="A509" s="6">
        <v>45450</v>
      </c>
      <c r="B509" s="10">
        <v>1.6040000000000001</v>
      </c>
      <c r="C509" s="10">
        <v>2.0598000000000001</v>
      </c>
      <c r="D509" s="10">
        <v>2.2833000000000001</v>
      </c>
      <c r="E509" s="10">
        <v>2.5303</v>
      </c>
      <c r="F509" s="10">
        <v>1.8267</v>
      </c>
      <c r="G509" s="10">
        <v>2.0164</v>
      </c>
      <c r="H509" s="11">
        <v>1.85</v>
      </c>
      <c r="J509" s="8">
        <v>45476</v>
      </c>
      <c r="K509" s="11">
        <v>1812.3369</v>
      </c>
      <c r="L509" s="11">
        <v>2452.7602999999999</v>
      </c>
      <c r="M509" s="11">
        <v>2978.4634999999998</v>
      </c>
      <c r="N509" s="11">
        <v>3164.3814000000002</v>
      </c>
      <c r="O509" s="3">
        <f t="shared" si="73"/>
        <v>1.7452408977112643E-2</v>
      </c>
      <c r="P509" s="3">
        <f t="shared" si="74"/>
        <v>2.405268478953615E-2</v>
      </c>
      <c r="Q509" s="3">
        <f t="shared" si="75"/>
        <v>2.0727096964470837E-2</v>
      </c>
      <c r="R509" s="3">
        <f t="shared" si="76"/>
        <v>2.0921232934498324E-2</v>
      </c>
      <c r="S509" s="15">
        <f t="shared" si="69"/>
        <v>1.0174524089771126</v>
      </c>
      <c r="T509" s="15">
        <f t="shared" si="70"/>
        <v>1.0240526847895361</v>
      </c>
      <c r="U509" s="15">
        <f t="shared" si="71"/>
        <v>1.0207270969644708</v>
      </c>
      <c r="V509" s="15">
        <f t="shared" si="72"/>
        <v>1.0209212329344983</v>
      </c>
    </row>
    <row r="510" spans="1:22" x14ac:dyDescent="0.25">
      <c r="A510" s="6">
        <v>45454</v>
      </c>
      <c r="B510" s="10">
        <v>1.599</v>
      </c>
      <c r="C510" s="10">
        <v>2.0554999999999999</v>
      </c>
      <c r="D510" s="10">
        <v>2.2791000000000001</v>
      </c>
      <c r="E510" s="10">
        <v>2.5194999999999999</v>
      </c>
      <c r="F510" s="10">
        <v>1.8254999999999999</v>
      </c>
      <c r="G510" s="10">
        <v>2.0049000000000001</v>
      </c>
      <c r="H510" s="11">
        <v>1.83</v>
      </c>
      <c r="J510" s="8">
        <v>45477</v>
      </c>
      <c r="K510" s="11">
        <v>1812.463</v>
      </c>
      <c r="L510" s="11">
        <v>2452.8357000000001</v>
      </c>
      <c r="M510" s="11">
        <v>2977.1311000000001</v>
      </c>
      <c r="N510" s="11">
        <v>3163.665</v>
      </c>
      <c r="O510" s="3">
        <f t="shared" si="73"/>
        <v>1.7523201967517332E-2</v>
      </c>
      <c r="P510" s="3">
        <f t="shared" si="74"/>
        <v>2.4084165066036611E-2</v>
      </c>
      <c r="Q510" s="3">
        <f t="shared" si="75"/>
        <v>2.0270480059816798E-2</v>
      </c>
      <c r="R510" s="3">
        <f t="shared" si="76"/>
        <v>2.0690101512959025E-2</v>
      </c>
      <c r="S510" s="15">
        <f t="shared" si="69"/>
        <v>1.0175232019675173</v>
      </c>
      <c r="T510" s="15">
        <f t="shared" si="70"/>
        <v>1.0240841650660366</v>
      </c>
      <c r="U510" s="15">
        <f t="shared" si="71"/>
        <v>1.0202704800598168</v>
      </c>
      <c r="V510" s="15">
        <f t="shared" si="72"/>
        <v>1.020690101512959</v>
      </c>
    </row>
    <row r="511" spans="1:22" x14ac:dyDescent="0.25">
      <c r="A511" s="6">
        <v>45455</v>
      </c>
      <c r="B511" s="10">
        <v>1.599</v>
      </c>
      <c r="C511" s="10">
        <v>2.0634000000000001</v>
      </c>
      <c r="D511" s="10">
        <v>2.2759999999999998</v>
      </c>
      <c r="E511" s="10">
        <v>2.5234999999999999</v>
      </c>
      <c r="F511" s="10">
        <v>1.8312999999999999</v>
      </c>
      <c r="G511" s="10">
        <v>2.0114999999999998</v>
      </c>
      <c r="H511" s="11">
        <v>1.83</v>
      </c>
      <c r="J511" s="8">
        <v>45478</v>
      </c>
      <c r="K511" s="11">
        <v>1812.3126999999999</v>
      </c>
      <c r="L511" s="11">
        <v>2451.9695000000002</v>
      </c>
      <c r="M511" s="11">
        <v>2976.7856000000002</v>
      </c>
      <c r="N511" s="11">
        <v>3163.1399000000001</v>
      </c>
      <c r="O511" s="3">
        <f t="shared" si="73"/>
        <v>1.7438823010674787E-2</v>
      </c>
      <c r="P511" s="3">
        <f t="shared" si="74"/>
        <v>2.3722517645550889E-2</v>
      </c>
      <c r="Q511" s="3">
        <f t="shared" si="75"/>
        <v>2.0152076321781509E-2</v>
      </c>
      <c r="R511" s="3">
        <f t="shared" si="76"/>
        <v>2.0520689020705918E-2</v>
      </c>
      <c r="S511" s="15">
        <f t="shared" si="69"/>
        <v>1.0174388230106748</v>
      </c>
      <c r="T511" s="15">
        <f t="shared" si="70"/>
        <v>1.0237225176455509</v>
      </c>
      <c r="U511" s="15">
        <f t="shared" si="71"/>
        <v>1.0201520763217815</v>
      </c>
      <c r="V511" s="15">
        <f t="shared" si="72"/>
        <v>1.0205206890207059</v>
      </c>
    </row>
    <row r="512" spans="1:22" x14ac:dyDescent="0.25">
      <c r="A512" s="8">
        <v>45456</v>
      </c>
      <c r="B512" s="11">
        <v>1.597</v>
      </c>
      <c r="C512" s="11">
        <v>2.0655000000000001</v>
      </c>
      <c r="D512" s="11">
        <v>2.2677999999999998</v>
      </c>
      <c r="E512" s="11">
        <v>2.5175000000000001</v>
      </c>
      <c r="F512" s="11">
        <v>1.8439000000000001</v>
      </c>
      <c r="G512" s="11">
        <v>2.0198999999999998</v>
      </c>
      <c r="H512" s="11">
        <v>1.83</v>
      </c>
      <c r="J512" s="8">
        <v>45481</v>
      </c>
      <c r="K512" s="11">
        <v>1812.0581</v>
      </c>
      <c r="L512" s="11">
        <v>2450.7817</v>
      </c>
      <c r="M512" s="11">
        <v>2973.5742</v>
      </c>
      <c r="N512" s="11">
        <v>3160.9598999999998</v>
      </c>
      <c r="O512" s="3">
        <f t="shared" si="73"/>
        <v>1.7295889661292918E-2</v>
      </c>
      <c r="P512" s="3">
        <f t="shared" si="74"/>
        <v>2.3226598913095309E-2</v>
      </c>
      <c r="Q512" s="3">
        <f t="shared" si="75"/>
        <v>1.9051521287552831E-2</v>
      </c>
      <c r="R512" s="3">
        <f t="shared" si="76"/>
        <v>1.9817357782632605E-2</v>
      </c>
      <c r="S512" s="15">
        <f t="shared" si="69"/>
        <v>1.0172958896612929</v>
      </c>
      <c r="T512" s="15">
        <f t="shared" si="70"/>
        <v>1.0232265989130953</v>
      </c>
      <c r="U512" s="15">
        <f t="shared" si="71"/>
        <v>1.0190515212875528</v>
      </c>
      <c r="V512" s="15">
        <f t="shared" si="72"/>
        <v>1.0198173577826326</v>
      </c>
    </row>
    <row r="513" spans="1:22" ht="14.5" x14ac:dyDescent="0.35">
      <c r="A513" s="9">
        <v>45457</v>
      </c>
      <c r="B513" s="11">
        <v>1.5940000000000001</v>
      </c>
      <c r="C513" s="11">
        <v>2.0588000000000002</v>
      </c>
      <c r="D513" s="11">
        <v>2.2557999999999998</v>
      </c>
      <c r="E513" s="11">
        <v>2.4990000000000001</v>
      </c>
      <c r="F513" s="11">
        <v>1.8423</v>
      </c>
      <c r="G513" s="11">
        <v>2.0188000000000001</v>
      </c>
      <c r="H513" s="11">
        <v>1.83</v>
      </c>
      <c r="J513" s="8">
        <v>45482</v>
      </c>
      <c r="K513" s="11">
        <v>1812.3778</v>
      </c>
      <c r="L513" s="11">
        <v>2451.8045999999999</v>
      </c>
      <c r="M513" s="11">
        <v>2976.6300999999999</v>
      </c>
      <c r="N513" s="11">
        <v>3163.0871999999999</v>
      </c>
      <c r="O513" s="3">
        <f t="shared" si="73"/>
        <v>1.7475370383199351E-2</v>
      </c>
      <c r="P513" s="3">
        <f t="shared" si="74"/>
        <v>2.3653670197342436E-2</v>
      </c>
      <c r="Q513" s="3">
        <f t="shared" si="75"/>
        <v>2.009878607210136E-2</v>
      </c>
      <c r="R513" s="3">
        <f t="shared" si="76"/>
        <v>2.0503686471968763E-2</v>
      </c>
      <c r="S513" s="15">
        <f t="shared" si="69"/>
        <v>1.0174753703831994</v>
      </c>
      <c r="T513" s="15">
        <f t="shared" si="70"/>
        <v>1.0236536701973424</v>
      </c>
      <c r="U513" s="15">
        <f t="shared" si="71"/>
        <v>1.0200987860721014</v>
      </c>
      <c r="V513" s="15">
        <f t="shared" si="72"/>
        <v>1.0205036864719688</v>
      </c>
    </row>
    <row r="514" spans="1:22" x14ac:dyDescent="0.25">
      <c r="A514" s="8">
        <v>45460</v>
      </c>
      <c r="B514" s="11">
        <v>1.6040000000000001</v>
      </c>
      <c r="C514" s="11">
        <v>2.0659000000000001</v>
      </c>
      <c r="D514" s="11">
        <v>2.2608999999999999</v>
      </c>
      <c r="E514" s="11">
        <v>2.5057</v>
      </c>
      <c r="F514" s="11">
        <v>1.853</v>
      </c>
      <c r="G514" s="11">
        <v>2.0251999999999999</v>
      </c>
      <c r="H514" s="11">
        <v>1.85</v>
      </c>
      <c r="J514" s="8">
        <v>45483</v>
      </c>
      <c r="K514" s="11">
        <v>1812.4963</v>
      </c>
      <c r="L514" s="11">
        <v>2452.009</v>
      </c>
      <c r="M514" s="11">
        <v>2975.9520000000002</v>
      </c>
      <c r="N514" s="11">
        <v>3162.819</v>
      </c>
      <c r="O514" s="3">
        <f t="shared" si="73"/>
        <v>1.7541896706458671E-2</v>
      </c>
      <c r="P514" s="3">
        <f t="shared" si="74"/>
        <v>2.3739009302338188E-2</v>
      </c>
      <c r="Q514" s="3">
        <f t="shared" si="75"/>
        <v>1.9866399459188111E-2</v>
      </c>
      <c r="R514" s="3">
        <f t="shared" si="76"/>
        <v>2.0417157371945382E-2</v>
      </c>
      <c r="S514" s="15">
        <f t="shared" si="69"/>
        <v>1.0175418967064587</v>
      </c>
      <c r="T514" s="15">
        <f t="shared" si="70"/>
        <v>1.0237390093023382</v>
      </c>
      <c r="U514" s="15">
        <f t="shared" si="71"/>
        <v>1.0198663994591881</v>
      </c>
      <c r="V514" s="15">
        <f t="shared" si="72"/>
        <v>1.0204171573719454</v>
      </c>
    </row>
    <row r="515" spans="1:22" x14ac:dyDescent="0.25">
      <c r="A515" s="8">
        <v>45461</v>
      </c>
      <c r="B515" s="11">
        <v>1.6040000000000001</v>
      </c>
      <c r="C515" s="11">
        <v>2.0568</v>
      </c>
      <c r="D515" s="11">
        <v>2.2536999999999998</v>
      </c>
      <c r="E515" s="11">
        <v>2.4887000000000001</v>
      </c>
      <c r="F515" s="11">
        <v>1.8544</v>
      </c>
      <c r="G515" s="11">
        <v>2.0206</v>
      </c>
      <c r="H515" s="11">
        <v>1.89</v>
      </c>
      <c r="J515" s="8">
        <v>45484</v>
      </c>
      <c r="K515" s="11">
        <v>1812.6977999999999</v>
      </c>
      <c r="L515" s="11">
        <v>2452.4892</v>
      </c>
      <c r="M515" s="11">
        <v>2978.3386</v>
      </c>
      <c r="N515" s="11">
        <v>3164.5345000000002</v>
      </c>
      <c r="O515" s="3">
        <f t="shared" si="73"/>
        <v>1.765501952617754E-2</v>
      </c>
      <c r="P515" s="3">
        <f t="shared" si="74"/>
        <v>2.3939497747636151E-2</v>
      </c>
      <c r="Q515" s="3">
        <f t="shared" si="75"/>
        <v>2.068429341344169E-2</v>
      </c>
      <c r="R515" s="3">
        <f t="shared" si="76"/>
        <v>2.0970627435667577E-2</v>
      </c>
      <c r="S515" s="15">
        <f t="shared" si="69"/>
        <v>1.0176550195261775</v>
      </c>
      <c r="T515" s="15">
        <f t="shared" si="70"/>
        <v>1.0239394977476362</v>
      </c>
      <c r="U515" s="15">
        <f t="shared" si="71"/>
        <v>1.0206842934134417</v>
      </c>
      <c r="V515" s="15">
        <f t="shared" si="72"/>
        <v>1.0209706274356676</v>
      </c>
    </row>
    <row r="516" spans="1:22" x14ac:dyDescent="0.25">
      <c r="A516" s="8">
        <v>45462</v>
      </c>
      <c r="B516" s="11">
        <v>1.599</v>
      </c>
      <c r="C516" s="11">
        <v>2.0236000000000001</v>
      </c>
      <c r="D516" s="11">
        <v>2.2429000000000001</v>
      </c>
      <c r="E516" s="11">
        <v>2.4796999999999998</v>
      </c>
      <c r="F516" s="11">
        <v>1.8499000000000001</v>
      </c>
      <c r="G516" s="11">
        <v>2.0108999999999999</v>
      </c>
      <c r="H516" s="11">
        <v>1.91</v>
      </c>
      <c r="J516" s="8">
        <v>45485</v>
      </c>
      <c r="K516" s="11">
        <v>1812.9685999999999</v>
      </c>
      <c r="L516" s="11">
        <v>2453.3321999999998</v>
      </c>
      <c r="M516" s="11">
        <v>2978.5374999999999</v>
      </c>
      <c r="N516" s="11">
        <v>3165.2271000000001</v>
      </c>
      <c r="O516" s="3">
        <f t="shared" si="73"/>
        <v>1.7807047613422888E-2</v>
      </c>
      <c r="P516" s="3">
        <f t="shared" si="74"/>
        <v>2.4291458929198706E-2</v>
      </c>
      <c r="Q516" s="3">
        <f t="shared" si="75"/>
        <v>2.0752456954672205E-2</v>
      </c>
      <c r="R516" s="3">
        <f t="shared" si="76"/>
        <v>2.1194080286809358E-2</v>
      </c>
      <c r="S516" s="15">
        <f t="shared" ref="S516:S579" si="77">(O516+1)</f>
        <v>1.0178070476134229</v>
      </c>
      <c r="T516" s="15">
        <f t="shared" ref="T516:T579" si="78">(P516+1)</f>
        <v>1.0242914589291987</v>
      </c>
      <c r="U516" s="15">
        <f t="shared" ref="U516:U579" si="79">(Q516+1)</f>
        <v>1.0207524569546722</v>
      </c>
      <c r="V516" s="15">
        <f t="shared" ref="V516:V579" si="80">(R516+1)</f>
        <v>1.0211940802868094</v>
      </c>
    </row>
    <row r="517" spans="1:22" x14ac:dyDescent="0.25">
      <c r="A517" s="8">
        <v>45463</v>
      </c>
      <c r="B517" s="11">
        <v>1.599</v>
      </c>
      <c r="C517" s="11">
        <v>2.0289000000000001</v>
      </c>
      <c r="D517" s="11">
        <v>2.2444999999999999</v>
      </c>
      <c r="E517" s="11">
        <v>2.4708000000000001</v>
      </c>
      <c r="F517" s="11">
        <v>1.8394999999999999</v>
      </c>
      <c r="G517" s="11">
        <v>2.0009000000000001</v>
      </c>
      <c r="H517" s="11">
        <v>1.9</v>
      </c>
      <c r="J517" s="8">
        <v>45488</v>
      </c>
      <c r="K517" s="11">
        <v>1813.3507</v>
      </c>
      <c r="L517" s="11">
        <v>2454.1550999999999</v>
      </c>
      <c r="M517" s="11">
        <v>2978.8253</v>
      </c>
      <c r="N517" s="11">
        <v>3165.8123999999998</v>
      </c>
      <c r="O517" s="3">
        <f t="shared" si="73"/>
        <v>1.8021559918210084E-2</v>
      </c>
      <c r="P517" s="3">
        <f t="shared" si="74"/>
        <v>2.4635028153763061E-2</v>
      </c>
      <c r="Q517" s="3">
        <f t="shared" si="75"/>
        <v>2.0851086754401837E-2</v>
      </c>
      <c r="R517" s="3">
        <f t="shared" si="76"/>
        <v>2.1382915045361717E-2</v>
      </c>
      <c r="S517" s="15">
        <f t="shared" si="77"/>
        <v>1.0180215599182101</v>
      </c>
      <c r="T517" s="15">
        <f t="shared" si="78"/>
        <v>1.0246350281537631</v>
      </c>
      <c r="U517" s="15">
        <f t="shared" si="79"/>
        <v>1.0208510867544018</v>
      </c>
      <c r="V517" s="15">
        <f t="shared" si="80"/>
        <v>1.0213829150453617</v>
      </c>
    </row>
    <row r="518" spans="1:22" x14ac:dyDescent="0.25">
      <c r="A518" s="8">
        <v>45464</v>
      </c>
      <c r="B518" s="11">
        <v>1.5914999999999999</v>
      </c>
      <c r="C518" s="11">
        <v>2.0390000000000001</v>
      </c>
      <c r="D518" s="11">
        <v>2.2570999999999999</v>
      </c>
      <c r="E518" s="11">
        <v>2.4796999999999998</v>
      </c>
      <c r="F518" s="11">
        <v>1.8579000000000001</v>
      </c>
      <c r="G518" s="11">
        <v>2.0118999999999998</v>
      </c>
      <c r="H518" s="11">
        <v>2.0299999999999998</v>
      </c>
      <c r="J518" s="8">
        <v>45489</v>
      </c>
      <c r="K518" s="11">
        <v>1813.4817</v>
      </c>
      <c r="L518" s="11">
        <v>2454.4290999999998</v>
      </c>
      <c r="M518" s="11">
        <v>2979.2356</v>
      </c>
      <c r="N518" s="11">
        <v>3166.1936999999998</v>
      </c>
      <c r="O518" s="3">
        <f t="shared" si="73"/>
        <v>1.8095103786117006E-2</v>
      </c>
      <c r="P518" s="3">
        <f t="shared" si="74"/>
        <v>2.4749425975528316E-2</v>
      </c>
      <c r="Q518" s="3">
        <f t="shared" si="75"/>
        <v>2.0991697618991667E-2</v>
      </c>
      <c r="R518" s="3">
        <f t="shared" si="76"/>
        <v>2.1505933486222872E-2</v>
      </c>
      <c r="S518" s="15">
        <f t="shared" si="77"/>
        <v>1.018095103786117</v>
      </c>
      <c r="T518" s="15">
        <f t="shared" si="78"/>
        <v>1.0247494259755283</v>
      </c>
      <c r="U518" s="15">
        <f t="shared" si="79"/>
        <v>1.0209916976189917</v>
      </c>
      <c r="V518" s="15">
        <f t="shared" si="80"/>
        <v>1.0215059334862229</v>
      </c>
    </row>
    <row r="519" spans="1:22" x14ac:dyDescent="0.25">
      <c r="A519" s="8">
        <v>45467</v>
      </c>
      <c r="B519" s="11">
        <v>1.5914999999999999</v>
      </c>
      <c r="C519" s="11">
        <v>2.0255000000000001</v>
      </c>
      <c r="D519" s="11">
        <v>2.2450999999999999</v>
      </c>
      <c r="E519" s="11">
        <v>2.4607000000000001</v>
      </c>
      <c r="F519" s="11">
        <v>1.861</v>
      </c>
      <c r="G519" s="11">
        <v>2.0059</v>
      </c>
      <c r="H519" s="11">
        <v>2.35</v>
      </c>
      <c r="J519" s="8">
        <v>45490</v>
      </c>
      <c r="K519" s="11">
        <v>1813.5754999999999</v>
      </c>
      <c r="L519" s="11">
        <v>2454.6514999999999</v>
      </c>
      <c r="M519" s="11">
        <v>2977.8314</v>
      </c>
      <c r="N519" s="11">
        <v>3165.6306</v>
      </c>
      <c r="O519" s="3">
        <f t="shared" si="73"/>
        <v>1.8147763441152209E-2</v>
      </c>
      <c r="P519" s="3">
        <f t="shared" si="74"/>
        <v>2.4842280265895411E-2</v>
      </c>
      <c r="Q519" s="3">
        <f t="shared" si="75"/>
        <v>2.0510474669790613E-2</v>
      </c>
      <c r="R519" s="3">
        <f t="shared" si="76"/>
        <v>2.1324261091654639E-2</v>
      </c>
      <c r="S519" s="15">
        <f t="shared" si="77"/>
        <v>1.0181477634411522</v>
      </c>
      <c r="T519" s="15">
        <f t="shared" si="78"/>
        <v>1.0248422802658954</v>
      </c>
      <c r="U519" s="15">
        <f t="shared" si="79"/>
        <v>1.0205104746697906</v>
      </c>
      <c r="V519" s="15">
        <f t="shared" si="80"/>
        <v>1.0213242610916546</v>
      </c>
    </row>
    <row r="520" spans="1:22" x14ac:dyDescent="0.25">
      <c r="A520" s="8">
        <v>45468</v>
      </c>
      <c r="B520" s="11">
        <v>1.5615000000000001</v>
      </c>
      <c r="C520" s="11">
        <v>2.0158999999999998</v>
      </c>
      <c r="D520" s="11">
        <v>2.2349999999999999</v>
      </c>
      <c r="E520" s="11">
        <v>2.4477000000000002</v>
      </c>
      <c r="F520" s="11">
        <v>1.8432999999999999</v>
      </c>
      <c r="G520" s="11">
        <v>1.9823999999999999</v>
      </c>
      <c r="H520" s="11">
        <v>2.2999999999999998</v>
      </c>
      <c r="J520" s="8">
        <v>45491</v>
      </c>
      <c r="K520" s="11">
        <v>1813.5821000000001</v>
      </c>
      <c r="L520" s="11">
        <v>2454.4213</v>
      </c>
      <c r="M520" s="11">
        <v>2977.9946</v>
      </c>
      <c r="N520" s="11">
        <v>3165.6619000000001</v>
      </c>
      <c r="O520" s="3">
        <f t="shared" si="73"/>
        <v>1.8151468704726392E-2</v>
      </c>
      <c r="P520" s="3">
        <f t="shared" si="74"/>
        <v>2.474616939520069E-2</v>
      </c>
      <c r="Q520" s="3">
        <f t="shared" si="75"/>
        <v>2.0566403729261884E-2</v>
      </c>
      <c r="R520" s="3">
        <f t="shared" si="76"/>
        <v>2.1334359379614032E-2</v>
      </c>
      <c r="S520" s="15">
        <f t="shared" si="77"/>
        <v>1.0181514687047264</v>
      </c>
      <c r="T520" s="15">
        <f t="shared" si="78"/>
        <v>1.0247461693952007</v>
      </c>
      <c r="U520" s="15">
        <f t="shared" si="79"/>
        <v>1.0205664037292619</v>
      </c>
      <c r="V520" s="15">
        <f t="shared" si="80"/>
        <v>1.021334359379614</v>
      </c>
    </row>
    <row r="521" spans="1:22" x14ac:dyDescent="0.25">
      <c r="A521" s="8">
        <v>45469</v>
      </c>
      <c r="B521" s="11">
        <v>1.544</v>
      </c>
      <c r="C521" s="11">
        <v>1.9986999999999999</v>
      </c>
      <c r="D521" s="11">
        <v>2.2225000000000001</v>
      </c>
      <c r="E521" s="11">
        <v>2.4441999999999999</v>
      </c>
      <c r="F521" s="11">
        <v>1.8473999999999999</v>
      </c>
      <c r="G521" s="11">
        <v>1.9815</v>
      </c>
      <c r="H521" s="11">
        <v>2.2999999999999998</v>
      </c>
      <c r="J521" s="8">
        <v>45492</v>
      </c>
      <c r="K521" s="11">
        <v>1813.742</v>
      </c>
      <c r="L521" s="11">
        <v>2455.0286000000001</v>
      </c>
      <c r="M521" s="11">
        <v>2978.5340999999999</v>
      </c>
      <c r="N521" s="11">
        <v>3166.5088999999998</v>
      </c>
      <c r="O521" s="3">
        <f t="shared" si="73"/>
        <v>1.8241237135858235E-2</v>
      </c>
      <c r="P521" s="3">
        <f t="shared" si="74"/>
        <v>2.4999723399427243E-2</v>
      </c>
      <c r="Q521" s="3">
        <f t="shared" si="75"/>
        <v>2.0751291765933377E-2</v>
      </c>
      <c r="R521" s="3">
        <f t="shared" si="76"/>
        <v>2.1607626149636072E-2</v>
      </c>
      <c r="S521" s="15">
        <f t="shared" si="77"/>
        <v>1.0182412371358582</v>
      </c>
      <c r="T521" s="15">
        <f t="shared" si="78"/>
        <v>1.0249997233994272</v>
      </c>
      <c r="U521" s="15">
        <f t="shared" si="79"/>
        <v>1.0207512917659334</v>
      </c>
      <c r="V521" s="15">
        <f t="shared" si="80"/>
        <v>1.0216076261496361</v>
      </c>
    </row>
    <row r="522" spans="1:22" x14ac:dyDescent="0.25">
      <c r="A522" s="8">
        <v>45470</v>
      </c>
      <c r="B522" s="11">
        <v>1.5489999999999999</v>
      </c>
      <c r="C522" s="11">
        <v>1.9769000000000001</v>
      </c>
      <c r="D522" s="11">
        <v>2.2081</v>
      </c>
      <c r="E522" s="11">
        <v>2.4281999999999999</v>
      </c>
      <c r="F522" s="11">
        <v>1.8306</v>
      </c>
      <c r="G522" s="11">
        <v>1.9634</v>
      </c>
      <c r="H522" s="11">
        <v>2.35</v>
      </c>
      <c r="J522" s="8">
        <v>45495</v>
      </c>
      <c r="K522" s="11">
        <v>1814.4499000000001</v>
      </c>
      <c r="L522" s="11">
        <v>2456.8728000000001</v>
      </c>
      <c r="M522" s="11">
        <v>2979.3557000000001</v>
      </c>
      <c r="N522" s="11">
        <v>3167.8818000000001</v>
      </c>
      <c r="O522" s="3">
        <f t="shared" si="73"/>
        <v>1.8638654724340231E-2</v>
      </c>
      <c r="P522" s="3">
        <f t="shared" si="74"/>
        <v>2.5769695891761257E-2</v>
      </c>
      <c r="Q522" s="3">
        <f t="shared" si="75"/>
        <v>2.103285619768358E-2</v>
      </c>
      <c r="R522" s="3">
        <f t="shared" si="76"/>
        <v>2.2050563515118027E-2</v>
      </c>
      <c r="S522" s="15">
        <f t="shared" si="77"/>
        <v>1.0186386547243402</v>
      </c>
      <c r="T522" s="15">
        <f t="shared" si="78"/>
        <v>1.0257696958917613</v>
      </c>
      <c r="U522" s="15">
        <f t="shared" si="79"/>
        <v>1.0210328561976836</v>
      </c>
      <c r="V522" s="15">
        <f t="shared" si="80"/>
        <v>1.022050563515118</v>
      </c>
    </row>
    <row r="523" spans="1:22" x14ac:dyDescent="0.25">
      <c r="A523" s="8">
        <v>45471</v>
      </c>
      <c r="B523" s="11">
        <v>1.5389999999999999</v>
      </c>
      <c r="C523" s="11">
        <v>1.9782</v>
      </c>
      <c r="D523" s="11">
        <v>2.2058</v>
      </c>
      <c r="E523" s="11">
        <v>2.4281999999999999</v>
      </c>
      <c r="F523" s="11">
        <v>1.8340000000000001</v>
      </c>
      <c r="G523" s="11">
        <v>1.9650000000000001</v>
      </c>
      <c r="H523" s="11">
        <v>2.2999999999999998</v>
      </c>
      <c r="J523" s="8">
        <v>45496</v>
      </c>
      <c r="K523" s="11">
        <v>1814.8351</v>
      </c>
      <c r="L523" s="11">
        <v>2457.9857000000002</v>
      </c>
      <c r="M523" s="11">
        <v>2977.2820999999999</v>
      </c>
      <c r="N523" s="11">
        <v>3167.1673000000001</v>
      </c>
      <c r="O523" s="3">
        <f t="shared" si="73"/>
        <v>1.8854907380200014E-2</v>
      </c>
      <c r="P523" s="3">
        <f t="shared" si="74"/>
        <v>2.6234343102865543E-2</v>
      </c>
      <c r="Q523" s="3">
        <f t="shared" si="75"/>
        <v>2.0322228147930499E-2</v>
      </c>
      <c r="R523" s="3">
        <f t="shared" si="76"/>
        <v>2.1820045088694506E-2</v>
      </c>
      <c r="S523" s="15">
        <f t="shared" si="77"/>
        <v>1.0188549073802</v>
      </c>
      <c r="T523" s="15">
        <f t="shared" si="78"/>
        <v>1.0262343431028655</v>
      </c>
      <c r="U523" s="15">
        <f t="shared" si="79"/>
        <v>1.0203222281479305</v>
      </c>
      <c r="V523" s="15">
        <f t="shared" si="80"/>
        <v>1.0218200450886945</v>
      </c>
    </row>
    <row r="524" spans="1:22" x14ac:dyDescent="0.25">
      <c r="A524" s="8">
        <v>45474</v>
      </c>
      <c r="B524" s="11">
        <v>1.5565</v>
      </c>
      <c r="C524" s="11">
        <v>2.02</v>
      </c>
      <c r="D524" s="11">
        <v>2.2486000000000002</v>
      </c>
      <c r="E524" s="11">
        <v>2.4782000000000002</v>
      </c>
      <c r="F524" s="11">
        <v>1.8448</v>
      </c>
      <c r="G524" s="11">
        <v>1.9910000000000001</v>
      </c>
      <c r="H524" s="11">
        <v>1.95</v>
      </c>
      <c r="J524" s="8">
        <v>45497</v>
      </c>
      <c r="K524" s="11">
        <v>1815.0024000000001</v>
      </c>
      <c r="L524" s="11">
        <v>2458.2125000000001</v>
      </c>
      <c r="M524" s="11">
        <v>2975.6677</v>
      </c>
      <c r="N524" s="11">
        <v>3166.3453</v>
      </c>
      <c r="O524" s="3">
        <f t="shared" si="73"/>
        <v>1.8948830197763389E-2</v>
      </c>
      <c r="P524" s="3">
        <f t="shared" si="74"/>
        <v>2.6329034438545618E-2</v>
      </c>
      <c r="Q524" s="3">
        <f t="shared" si="75"/>
        <v>1.9768969118454605E-2</v>
      </c>
      <c r="R524" s="3">
        <f t="shared" si="76"/>
        <v>2.1554844043879751E-2</v>
      </c>
      <c r="S524" s="15">
        <f t="shared" si="77"/>
        <v>1.0189488301977634</v>
      </c>
      <c r="T524" s="15">
        <f t="shared" si="78"/>
        <v>1.0263290344385456</v>
      </c>
      <c r="U524" s="15">
        <f t="shared" si="79"/>
        <v>1.0197689691184546</v>
      </c>
      <c r="V524" s="15">
        <f t="shared" si="80"/>
        <v>1.0215548440438798</v>
      </c>
    </row>
    <row r="525" spans="1:22" x14ac:dyDescent="0.25">
      <c r="A525" s="8">
        <v>45475</v>
      </c>
      <c r="B525" s="11">
        <v>1.5365</v>
      </c>
      <c r="C525" s="11">
        <v>1.9875</v>
      </c>
      <c r="D525" s="11">
        <v>2.2368999999999999</v>
      </c>
      <c r="E525" s="11">
        <v>2.4691999999999998</v>
      </c>
      <c r="F525" s="11">
        <v>1.8503000000000001</v>
      </c>
      <c r="G525" s="11">
        <v>1.9934000000000001</v>
      </c>
      <c r="H525" s="11">
        <v>1.85</v>
      </c>
      <c r="J525" s="8">
        <v>45498</v>
      </c>
      <c r="K525" s="11">
        <v>1815.3233</v>
      </c>
      <c r="L525" s="11">
        <v>2459.1291000000001</v>
      </c>
      <c r="M525" s="11">
        <v>2976.002</v>
      </c>
      <c r="N525" s="11">
        <v>3167.1437999999998</v>
      </c>
      <c r="O525" s="3">
        <f t="shared" si="73"/>
        <v>1.9128984603956178E-2</v>
      </c>
      <c r="P525" s="3">
        <f t="shared" si="74"/>
        <v>2.6711724378071455E-2</v>
      </c>
      <c r="Q525" s="3">
        <f t="shared" si="75"/>
        <v>1.9883534587702423E-2</v>
      </c>
      <c r="R525" s="3">
        <f t="shared" si="76"/>
        <v>2.1812463306999597E-2</v>
      </c>
      <c r="S525" s="15">
        <f t="shared" si="77"/>
        <v>1.0191289846039562</v>
      </c>
      <c r="T525" s="15">
        <f t="shared" si="78"/>
        <v>1.0267117243780715</v>
      </c>
      <c r="U525" s="15">
        <f t="shared" si="79"/>
        <v>1.0198835345877024</v>
      </c>
      <c r="V525" s="15">
        <f t="shared" si="80"/>
        <v>1.0218124633069996</v>
      </c>
    </row>
    <row r="526" spans="1:22" x14ac:dyDescent="0.25">
      <c r="A526" s="8">
        <v>45476</v>
      </c>
      <c r="B526" s="11">
        <v>1.524</v>
      </c>
      <c r="C526" s="11">
        <v>1.9589000000000001</v>
      </c>
      <c r="D526" s="11">
        <v>2.2425999999999999</v>
      </c>
      <c r="E526" s="11">
        <v>2.4738000000000002</v>
      </c>
      <c r="F526" s="11">
        <v>1.8512</v>
      </c>
      <c r="G526" s="11">
        <v>1.9783999999999999</v>
      </c>
      <c r="H526" s="11">
        <v>1.85</v>
      </c>
      <c r="J526" s="8">
        <v>45499</v>
      </c>
      <c r="K526" s="11">
        <v>1815.6703</v>
      </c>
      <c r="L526" s="11">
        <v>2460.3697000000002</v>
      </c>
      <c r="M526" s="11">
        <v>2979.4769999999999</v>
      </c>
      <c r="N526" s="11">
        <v>3169.3305</v>
      </c>
      <c r="O526" s="3">
        <f t="shared" si="73"/>
        <v>1.9323791643373056E-2</v>
      </c>
      <c r="P526" s="3">
        <f t="shared" si="74"/>
        <v>2.7229687654283019E-2</v>
      </c>
      <c r="Q526" s="3">
        <f t="shared" si="75"/>
        <v>2.1074426019459525E-2</v>
      </c>
      <c r="R526" s="3">
        <f t="shared" si="76"/>
        <v>2.2517956159428199E-2</v>
      </c>
      <c r="S526" s="15">
        <f t="shared" si="77"/>
        <v>1.0193237916433731</v>
      </c>
      <c r="T526" s="15">
        <f t="shared" si="78"/>
        <v>1.027229687654283</v>
      </c>
      <c r="U526" s="15">
        <f t="shared" si="79"/>
        <v>1.0210744260194595</v>
      </c>
      <c r="V526" s="15">
        <f t="shared" si="80"/>
        <v>1.0225179561594282</v>
      </c>
    </row>
    <row r="527" spans="1:22" x14ac:dyDescent="0.25">
      <c r="A527" s="8">
        <v>45477</v>
      </c>
      <c r="B527" s="11">
        <v>1.5289999999999999</v>
      </c>
      <c r="C527" s="11">
        <v>1.9711000000000001</v>
      </c>
      <c r="D527" s="11">
        <v>2.2502</v>
      </c>
      <c r="E527" s="11">
        <v>2.4798</v>
      </c>
      <c r="F527" s="11">
        <v>1.8517999999999999</v>
      </c>
      <c r="G527" s="11">
        <v>1.9886999999999999</v>
      </c>
      <c r="H527" s="11">
        <v>1.83</v>
      </c>
      <c r="J527" s="8">
        <v>45502</v>
      </c>
      <c r="K527" s="11">
        <v>1816.191</v>
      </c>
      <c r="L527" s="11">
        <v>2461.6138999999998</v>
      </c>
      <c r="M527" s="11">
        <v>2980.4027000000001</v>
      </c>
      <c r="N527" s="11">
        <v>3170.3787000000002</v>
      </c>
      <c r="O527" s="3">
        <f t="shared" si="73"/>
        <v>1.9616114483212765E-2</v>
      </c>
      <c r="P527" s="3">
        <f t="shared" si="74"/>
        <v>2.774915396756894E-2</v>
      </c>
      <c r="Q527" s="3">
        <f t="shared" si="75"/>
        <v>2.1391665788776937E-2</v>
      </c>
      <c r="R527" s="3">
        <f t="shared" si="76"/>
        <v>2.2856135885918283E-2</v>
      </c>
      <c r="S527" s="15">
        <f t="shared" si="77"/>
        <v>1.0196161144832128</v>
      </c>
      <c r="T527" s="15">
        <f t="shared" si="78"/>
        <v>1.0277491539675689</v>
      </c>
      <c r="U527" s="15">
        <f t="shared" si="79"/>
        <v>1.0213916657887769</v>
      </c>
      <c r="V527" s="15">
        <f t="shared" si="80"/>
        <v>1.0228561358859183</v>
      </c>
    </row>
    <row r="528" spans="1:22" x14ac:dyDescent="0.25">
      <c r="A528" s="8">
        <v>45478</v>
      </c>
      <c r="B528" s="11">
        <v>1.5289999999999999</v>
      </c>
      <c r="C528" s="11">
        <v>1.9995000000000001</v>
      </c>
      <c r="D528" s="11">
        <v>2.2753999999999999</v>
      </c>
      <c r="E528" s="11">
        <v>2.5129999999999999</v>
      </c>
      <c r="F528" s="11">
        <v>1.8663000000000001</v>
      </c>
      <c r="G528" s="11">
        <v>2.0091999999999999</v>
      </c>
      <c r="H528" s="11">
        <v>1.85</v>
      </c>
      <c r="J528" s="8">
        <v>45503</v>
      </c>
      <c r="K528" s="11">
        <v>1816.4766</v>
      </c>
      <c r="L528" s="11">
        <v>2462.317</v>
      </c>
      <c r="M528" s="11">
        <v>2980.5077999999999</v>
      </c>
      <c r="N528" s="11">
        <v>3170.6215000000002</v>
      </c>
      <c r="O528" s="3">
        <f t="shared" si="73"/>
        <v>1.9776451343320733E-2</v>
      </c>
      <c r="P528" s="3">
        <f t="shared" si="74"/>
        <v>2.8042705458383388E-2</v>
      </c>
      <c r="Q528" s="3">
        <f t="shared" si="75"/>
        <v>2.1427683828914468E-2</v>
      </c>
      <c r="R528" s="3">
        <f t="shared" si="76"/>
        <v>2.2934470209131197E-2</v>
      </c>
      <c r="S528" s="15">
        <f t="shared" si="77"/>
        <v>1.0197764513433207</v>
      </c>
      <c r="T528" s="15">
        <f t="shared" si="78"/>
        <v>1.0280427054583834</v>
      </c>
      <c r="U528" s="15">
        <f t="shared" si="79"/>
        <v>1.0214276838289145</v>
      </c>
      <c r="V528" s="15">
        <f t="shared" si="80"/>
        <v>1.0229344702091312</v>
      </c>
    </row>
    <row r="529" spans="1:22" x14ac:dyDescent="0.25">
      <c r="A529" s="8">
        <v>45481</v>
      </c>
      <c r="B529" s="11">
        <v>1.579</v>
      </c>
      <c r="C529" s="11">
        <v>2.0347</v>
      </c>
      <c r="D529" s="11">
        <v>2.2904</v>
      </c>
      <c r="E529" s="11">
        <v>2.5205000000000002</v>
      </c>
      <c r="F529" s="11">
        <v>1.8915999999999999</v>
      </c>
      <c r="G529" s="11">
        <v>2.048</v>
      </c>
      <c r="H529" s="11">
        <v>1.87</v>
      </c>
      <c r="J529" s="8">
        <v>45504</v>
      </c>
      <c r="K529" s="11">
        <v>1816.8271</v>
      </c>
      <c r="L529" s="11">
        <v>2463.0106999999998</v>
      </c>
      <c r="M529" s="11">
        <v>2984.7689</v>
      </c>
      <c r="N529" s="11">
        <v>3173.5263</v>
      </c>
      <c r="O529" s="3">
        <f t="shared" si="73"/>
        <v>1.9973223295238984E-2</v>
      </c>
      <c r="P529" s="3">
        <f t="shared" si="74"/>
        <v>2.8332332352392742E-2</v>
      </c>
      <c r="Q529" s="3">
        <f t="shared" si="75"/>
        <v>2.288797375117646E-2</v>
      </c>
      <c r="R529" s="3">
        <f t="shared" si="76"/>
        <v>2.3871642952412842E-2</v>
      </c>
      <c r="S529" s="15">
        <f t="shared" si="77"/>
        <v>1.019973223295239</v>
      </c>
      <c r="T529" s="15">
        <f t="shared" si="78"/>
        <v>1.0283323323523927</v>
      </c>
      <c r="U529" s="15">
        <f t="shared" si="79"/>
        <v>1.0228879737511765</v>
      </c>
      <c r="V529" s="15">
        <f t="shared" si="80"/>
        <v>1.0238716429524128</v>
      </c>
    </row>
    <row r="530" spans="1:22" x14ac:dyDescent="0.25">
      <c r="A530" s="8">
        <v>45482</v>
      </c>
      <c r="B530" s="11">
        <v>1.554</v>
      </c>
      <c r="C530" s="11">
        <v>2.0074000000000001</v>
      </c>
      <c r="D530" s="11">
        <v>2.2698</v>
      </c>
      <c r="E530" s="11">
        <v>2.5017</v>
      </c>
      <c r="F530" s="11">
        <v>1.8726</v>
      </c>
      <c r="G530" s="11">
        <v>2.0167000000000002</v>
      </c>
      <c r="H530" s="11">
        <v>1.87</v>
      </c>
      <c r="J530" s="8">
        <v>45505</v>
      </c>
      <c r="K530" s="11">
        <v>1817.2878000000001</v>
      </c>
      <c r="L530" s="11">
        <v>2464.2629000000002</v>
      </c>
      <c r="M530" s="11">
        <v>2985.7777999999998</v>
      </c>
      <c r="N530" s="11">
        <v>3174.5351000000001</v>
      </c>
      <c r="O530" s="3">
        <f t="shared" si="73"/>
        <v>2.0231861920770422E-2</v>
      </c>
      <c r="P530" s="3">
        <f t="shared" si="74"/>
        <v>2.8855138748066222E-2</v>
      </c>
      <c r="Q530" s="3">
        <f t="shared" si="75"/>
        <v>2.3233726374341845E-2</v>
      </c>
      <c r="R530" s="3">
        <f t="shared" si="76"/>
        <v>2.419711109597622E-2</v>
      </c>
      <c r="S530" s="15">
        <f t="shared" si="77"/>
        <v>1.0202318619207704</v>
      </c>
      <c r="T530" s="15">
        <f t="shared" si="78"/>
        <v>1.0288551387480662</v>
      </c>
      <c r="U530" s="15">
        <f t="shared" si="79"/>
        <v>1.0232337263743418</v>
      </c>
      <c r="V530" s="15">
        <f t="shared" si="80"/>
        <v>1.0241971110959762</v>
      </c>
    </row>
    <row r="531" spans="1:22" x14ac:dyDescent="0.25">
      <c r="A531" s="8">
        <v>45483</v>
      </c>
      <c r="B531" s="11">
        <v>1.5515000000000001</v>
      </c>
      <c r="C531" s="11">
        <v>2.0131000000000001</v>
      </c>
      <c r="D531" s="11">
        <v>2.2707000000000002</v>
      </c>
      <c r="E531" s="11">
        <v>2.5068000000000001</v>
      </c>
      <c r="F531" s="11">
        <v>1.8635999999999999</v>
      </c>
      <c r="G531" s="11">
        <v>2.0066999999999999</v>
      </c>
      <c r="H531" s="11">
        <v>1.85</v>
      </c>
      <c r="J531" s="8">
        <v>45506</v>
      </c>
      <c r="K531" s="11">
        <v>1817.6744000000001</v>
      </c>
      <c r="L531" s="11">
        <v>2465.5794000000001</v>
      </c>
      <c r="M531" s="11">
        <v>2985.7932999999998</v>
      </c>
      <c r="N531" s="11">
        <v>3175.2460999999998</v>
      </c>
      <c r="O531" s="3">
        <f t="shared" si="73"/>
        <v>2.0448900541631065E-2</v>
      </c>
      <c r="P531" s="3">
        <f t="shared" si="74"/>
        <v>2.9404791055927415E-2</v>
      </c>
      <c r="Q531" s="3">
        <f t="shared" si="75"/>
        <v>2.3239038264181389E-2</v>
      </c>
      <c r="R531" s="3">
        <f t="shared" si="76"/>
        <v>2.442650032087057E-2</v>
      </c>
      <c r="S531" s="15">
        <f t="shared" si="77"/>
        <v>1.0204489005416311</v>
      </c>
      <c r="T531" s="15">
        <f t="shared" si="78"/>
        <v>1.0294047910559274</v>
      </c>
      <c r="U531" s="15">
        <f t="shared" si="79"/>
        <v>1.0232390382641814</v>
      </c>
      <c r="V531" s="15">
        <f t="shared" si="80"/>
        <v>1.0244265003208706</v>
      </c>
    </row>
    <row r="532" spans="1:22" x14ac:dyDescent="0.25">
      <c r="A532" s="8">
        <v>45484</v>
      </c>
      <c r="B532" s="11">
        <v>1.5389999999999999</v>
      </c>
      <c r="C532" s="11">
        <v>2.0064000000000002</v>
      </c>
      <c r="D532" s="11">
        <v>2.2648000000000001</v>
      </c>
      <c r="E532" s="11">
        <v>2.5024999999999999</v>
      </c>
      <c r="F532" s="11">
        <v>1.8532</v>
      </c>
      <c r="G532" s="11">
        <v>1.9945999999999999</v>
      </c>
      <c r="H532" s="11">
        <v>1.83</v>
      </c>
      <c r="J532" s="8">
        <v>45509</v>
      </c>
      <c r="K532" s="11">
        <v>1818.1052999999999</v>
      </c>
      <c r="L532" s="11">
        <v>2466.4229</v>
      </c>
      <c r="M532" s="11">
        <v>2984.2116999999998</v>
      </c>
      <c r="N532" s="11">
        <v>3174.8083999999999</v>
      </c>
      <c r="O532" s="3">
        <f t="shared" si="73"/>
        <v>2.0690809340722316E-2</v>
      </c>
      <c r="P532" s="3">
        <f t="shared" si="74"/>
        <v>2.9756960992638914E-2</v>
      </c>
      <c r="Q532" s="3">
        <f t="shared" si="75"/>
        <v>2.2697019879010849E-2</v>
      </c>
      <c r="R532" s="3">
        <f t="shared" si="76"/>
        <v>2.4285285603941942E-2</v>
      </c>
      <c r="S532" s="15">
        <f t="shared" si="77"/>
        <v>1.0206908093407223</v>
      </c>
      <c r="T532" s="15">
        <f t="shared" si="78"/>
        <v>1.0297569609926389</v>
      </c>
      <c r="U532" s="15">
        <f t="shared" si="79"/>
        <v>1.0226970198790108</v>
      </c>
      <c r="V532" s="15">
        <f t="shared" si="80"/>
        <v>1.0242852856039419</v>
      </c>
    </row>
    <row r="533" spans="1:22" x14ac:dyDescent="0.25">
      <c r="A533" s="8">
        <v>45485</v>
      </c>
      <c r="B533" s="11">
        <v>1.5389999999999999</v>
      </c>
      <c r="C533" s="11">
        <v>2.0015999999999998</v>
      </c>
      <c r="D533" s="11">
        <v>2.2604000000000002</v>
      </c>
      <c r="E533" s="11">
        <v>2.4921000000000002</v>
      </c>
      <c r="F533" s="11">
        <v>1.8421000000000001</v>
      </c>
      <c r="G533" s="11">
        <v>1.9779</v>
      </c>
      <c r="H533" s="11">
        <v>1.84</v>
      </c>
      <c r="J533" s="8">
        <v>45510</v>
      </c>
      <c r="K533" s="11">
        <v>1817.9382000000001</v>
      </c>
      <c r="L533" s="11">
        <v>2465.7836000000002</v>
      </c>
      <c r="M533" s="11">
        <v>2984.0414000000001</v>
      </c>
      <c r="N533" s="11">
        <v>3174.4958999999999</v>
      </c>
      <c r="O533" s="3">
        <f t="shared" ref="O533:O596" si="81">K533/$K$390-1</f>
        <v>2.0596998803873445E-2</v>
      </c>
      <c r="P533" s="3">
        <f t="shared" ref="P533:P596" si="82">L533/$L$390-1</f>
        <v>2.9490046658863456E-2</v>
      </c>
      <c r="Q533" s="3">
        <f t="shared" ref="Q533:Q596" si="83">M533/$M$390-1</f>
        <v>2.2638657631290693E-2</v>
      </c>
      <c r="R533" s="3">
        <f t="shared" ref="R533:R596" si="84">N533/$N$390-1</f>
        <v>2.4184464038851106E-2</v>
      </c>
      <c r="S533" s="15">
        <f t="shared" si="77"/>
        <v>1.0205969988038734</v>
      </c>
      <c r="T533" s="15">
        <f t="shared" si="78"/>
        <v>1.0294900466588635</v>
      </c>
      <c r="U533" s="15">
        <f t="shared" si="79"/>
        <v>1.0226386576312907</v>
      </c>
      <c r="V533" s="15">
        <f t="shared" si="80"/>
        <v>1.0241844640388511</v>
      </c>
    </row>
    <row r="534" spans="1:22" x14ac:dyDescent="0.25">
      <c r="A534" s="8">
        <v>45488</v>
      </c>
      <c r="B534" s="11">
        <v>1.5365</v>
      </c>
      <c r="C534" s="11">
        <v>1.9891000000000001</v>
      </c>
      <c r="D534" s="11">
        <v>2.2541000000000002</v>
      </c>
      <c r="E534" s="11">
        <v>2.4771999999999998</v>
      </c>
      <c r="F534" s="11">
        <v>1.847</v>
      </c>
      <c r="G534" s="11">
        <v>1.9757</v>
      </c>
      <c r="H534" s="11">
        <v>1.85</v>
      </c>
      <c r="J534" s="8">
        <v>45511</v>
      </c>
      <c r="K534" s="11">
        <v>1818.1304</v>
      </c>
      <c r="L534" s="11">
        <v>2466.4982</v>
      </c>
      <c r="M534" s="11">
        <v>2985.1226000000001</v>
      </c>
      <c r="N534" s="11">
        <v>3175.3926999999999</v>
      </c>
      <c r="O534" s="3">
        <f t="shared" si="81"/>
        <v>2.0704900570374773E-2</v>
      </c>
      <c r="P534" s="3">
        <f t="shared" si="82"/>
        <v>2.9788399518109632E-2</v>
      </c>
      <c r="Q534" s="3">
        <f t="shared" si="83"/>
        <v>2.3009187650288032E-2</v>
      </c>
      <c r="R534" s="3">
        <f t="shared" si="84"/>
        <v>2.4473797733485902E-2</v>
      </c>
      <c r="S534" s="15">
        <f t="shared" si="77"/>
        <v>1.0207049005703748</v>
      </c>
      <c r="T534" s="15">
        <f t="shared" si="78"/>
        <v>1.0297883995181096</v>
      </c>
      <c r="U534" s="15">
        <f t="shared" si="79"/>
        <v>1.023009187650288</v>
      </c>
      <c r="V534" s="15">
        <f t="shared" si="80"/>
        <v>1.0244737977334859</v>
      </c>
    </row>
    <row r="535" spans="1:22" x14ac:dyDescent="0.25">
      <c r="A535" s="8">
        <v>45489</v>
      </c>
      <c r="B535" s="11">
        <v>1.5289999999999999</v>
      </c>
      <c r="C535" s="11">
        <v>1.9841</v>
      </c>
      <c r="D535" s="11">
        <v>2.2612999999999999</v>
      </c>
      <c r="E535" s="11">
        <v>2.4801000000000002</v>
      </c>
      <c r="F535" s="11">
        <v>1.8509</v>
      </c>
      <c r="G535" s="11">
        <v>1.9845999999999999</v>
      </c>
      <c r="H535" s="11">
        <v>1.92</v>
      </c>
      <c r="J535" s="8">
        <v>45512</v>
      </c>
      <c r="K535" s="11">
        <v>1817.7711999999999</v>
      </c>
      <c r="L535" s="11">
        <v>2464.9418000000001</v>
      </c>
      <c r="M535" s="11">
        <v>2983.2662999999998</v>
      </c>
      <c r="N535" s="11">
        <v>3173.6997999999999</v>
      </c>
      <c r="O535" s="3">
        <f t="shared" si="81"/>
        <v>2.0503244407381827E-2</v>
      </c>
      <c r="P535" s="3">
        <f t="shared" si="82"/>
        <v>2.9138586489658946E-2</v>
      </c>
      <c r="Q535" s="3">
        <f t="shared" si="83"/>
        <v>2.2373028869058897E-2</v>
      </c>
      <c r="R535" s="3">
        <f t="shared" si="84"/>
        <v>2.3927619085351237E-2</v>
      </c>
      <c r="S535" s="15">
        <f t="shared" si="77"/>
        <v>1.0205032444073818</v>
      </c>
      <c r="T535" s="15">
        <f t="shared" si="78"/>
        <v>1.0291385864896589</v>
      </c>
      <c r="U535" s="15">
        <f t="shared" si="79"/>
        <v>1.0223730288690589</v>
      </c>
      <c r="V535" s="15">
        <f t="shared" si="80"/>
        <v>1.0239276190853512</v>
      </c>
    </row>
    <row r="536" spans="1:22" x14ac:dyDescent="0.25">
      <c r="A536" s="8">
        <v>45490</v>
      </c>
      <c r="B536" s="11">
        <v>1.524</v>
      </c>
      <c r="C536" s="11">
        <v>1.9579</v>
      </c>
      <c r="D536" s="11">
        <v>2.2597999999999998</v>
      </c>
      <c r="E536" s="11">
        <v>2.4811999999999999</v>
      </c>
      <c r="F536" s="11">
        <v>1.849</v>
      </c>
      <c r="G536" s="11">
        <v>1.9796</v>
      </c>
      <c r="H536" s="11">
        <v>1.9</v>
      </c>
      <c r="J536" s="8">
        <v>45513</v>
      </c>
      <c r="K536" s="11">
        <v>1817.2873999999999</v>
      </c>
      <c r="L536" s="11">
        <v>2463.4286000000002</v>
      </c>
      <c r="M536" s="11">
        <v>2981.2105999999999</v>
      </c>
      <c r="N536" s="11">
        <v>3171.9634000000001</v>
      </c>
      <c r="O536" s="3">
        <f t="shared" si="81"/>
        <v>2.0231637359341637E-2</v>
      </c>
      <c r="P536" s="3">
        <f t="shared" si="82"/>
        <v>2.8506809906099884E-2</v>
      </c>
      <c r="Q536" s="3">
        <f t="shared" si="83"/>
        <v>2.1668535195314087E-2</v>
      </c>
      <c r="R536" s="3">
        <f t="shared" si="84"/>
        <v>2.3367406075355923E-2</v>
      </c>
      <c r="S536" s="15">
        <f t="shared" si="77"/>
        <v>1.0202316373593416</v>
      </c>
      <c r="T536" s="15">
        <f t="shared" si="78"/>
        <v>1.0285068099060999</v>
      </c>
      <c r="U536" s="15">
        <f t="shared" si="79"/>
        <v>1.0216685351953141</v>
      </c>
      <c r="V536" s="15">
        <f t="shared" si="80"/>
        <v>1.0233674060753559</v>
      </c>
    </row>
    <row r="537" spans="1:22" x14ac:dyDescent="0.25">
      <c r="A537" s="8">
        <v>45491</v>
      </c>
      <c r="B537" s="11">
        <v>1.5315000000000001</v>
      </c>
      <c r="C537" s="11">
        <v>1.9607000000000001</v>
      </c>
      <c r="D537" s="11">
        <v>2.2673000000000001</v>
      </c>
      <c r="E537" s="11">
        <v>2.4901</v>
      </c>
      <c r="F537" s="11">
        <v>1.8455999999999999</v>
      </c>
      <c r="G537" s="11">
        <v>1.9816</v>
      </c>
      <c r="H537" s="11">
        <v>1.9</v>
      </c>
      <c r="J537" s="8">
        <v>45516</v>
      </c>
      <c r="K537" s="11">
        <v>1816.2074</v>
      </c>
      <c r="L537" s="11">
        <v>2460.0722000000001</v>
      </c>
      <c r="M537" s="11">
        <v>2976.8953999999999</v>
      </c>
      <c r="N537" s="11">
        <v>3168.0392999999999</v>
      </c>
      <c r="O537" s="3">
        <f t="shared" si="81"/>
        <v>1.9625321501790527E-2</v>
      </c>
      <c r="P537" s="3">
        <f t="shared" si="82"/>
        <v>2.710547834050514E-2</v>
      </c>
      <c r="Q537" s="3">
        <f t="shared" si="83"/>
        <v>2.0189705063999419E-2</v>
      </c>
      <c r="R537" s="3">
        <f t="shared" si="84"/>
        <v>2.2101377583923609E-2</v>
      </c>
      <c r="S537" s="15">
        <f t="shared" si="77"/>
        <v>1.0196253215017905</v>
      </c>
      <c r="T537" s="15">
        <f t="shared" si="78"/>
        <v>1.0271054783405051</v>
      </c>
      <c r="U537" s="15">
        <f t="shared" si="79"/>
        <v>1.0201897050639994</v>
      </c>
      <c r="V537" s="15">
        <f t="shared" si="80"/>
        <v>1.0221013775839236</v>
      </c>
    </row>
    <row r="538" spans="1:22" x14ac:dyDescent="0.25">
      <c r="A538" s="8">
        <v>45492</v>
      </c>
      <c r="B538" s="11">
        <v>1.5265</v>
      </c>
      <c r="C538" s="11">
        <v>1.9534</v>
      </c>
      <c r="D538" s="11">
        <v>2.2614000000000001</v>
      </c>
      <c r="E538" s="11">
        <v>2.4842</v>
      </c>
      <c r="F538" s="11">
        <v>1.8365</v>
      </c>
      <c r="G538" s="11">
        <v>1.9684999999999999</v>
      </c>
      <c r="H538" s="11">
        <v>1.9</v>
      </c>
      <c r="J538" s="8">
        <v>45517</v>
      </c>
      <c r="K538" s="11">
        <v>1816.5191</v>
      </c>
      <c r="L538" s="11">
        <v>2461.3881999999999</v>
      </c>
      <c r="M538" s="11">
        <v>2978.3706999999999</v>
      </c>
      <c r="N538" s="11">
        <v>3169.5028000000002</v>
      </c>
      <c r="O538" s="3">
        <f t="shared" si="81"/>
        <v>1.9800310995122583E-2</v>
      </c>
      <c r="P538" s="3">
        <f t="shared" si="82"/>
        <v>2.7654921893216944E-2</v>
      </c>
      <c r="Q538" s="3">
        <f t="shared" si="83"/>
        <v>2.0695294165947953E-2</v>
      </c>
      <c r="R538" s="3">
        <f t="shared" si="84"/>
        <v>2.2573545137556605E-2</v>
      </c>
      <c r="S538" s="15">
        <f t="shared" si="77"/>
        <v>1.0198003109951226</v>
      </c>
      <c r="T538" s="15">
        <f t="shared" si="78"/>
        <v>1.0276549218932169</v>
      </c>
      <c r="U538" s="15">
        <f t="shared" si="79"/>
        <v>1.020695294165948</v>
      </c>
      <c r="V538" s="15">
        <f t="shared" si="80"/>
        <v>1.0225735451375566</v>
      </c>
    </row>
    <row r="539" spans="1:22" x14ac:dyDescent="0.25">
      <c r="A539" s="8">
        <v>45495</v>
      </c>
      <c r="B539" s="11">
        <v>1.488</v>
      </c>
      <c r="C539" s="11">
        <v>1.9140999999999999</v>
      </c>
      <c r="D539" s="11">
        <v>2.2461000000000002</v>
      </c>
      <c r="E539" s="11">
        <v>2.4712000000000001</v>
      </c>
      <c r="F539" s="11">
        <v>1.7721</v>
      </c>
      <c r="G539" s="11">
        <v>1.9179999999999999</v>
      </c>
      <c r="H539" s="11">
        <v>1.85</v>
      </c>
      <c r="J539" s="8">
        <v>45518</v>
      </c>
      <c r="K539" s="11">
        <v>1817.1269</v>
      </c>
      <c r="L539" s="11">
        <v>2463.0374000000002</v>
      </c>
      <c r="M539" s="11">
        <v>2979.0808999999999</v>
      </c>
      <c r="N539" s="11">
        <v>3170.5794000000001</v>
      </c>
      <c r="O539" s="3">
        <f t="shared" si="81"/>
        <v>2.0141532086066727E-2</v>
      </c>
      <c r="P539" s="3">
        <f t="shared" si="82"/>
        <v>2.8343479877360522E-2</v>
      </c>
      <c r="Q539" s="3">
        <f t="shared" si="83"/>
        <v>2.0938681531367909E-2</v>
      </c>
      <c r="R539" s="3">
        <f t="shared" si="84"/>
        <v>2.2920887527882128E-2</v>
      </c>
      <c r="S539" s="15">
        <f t="shared" si="77"/>
        <v>1.0201415320860667</v>
      </c>
      <c r="T539" s="15">
        <f t="shared" si="78"/>
        <v>1.0283434798773605</v>
      </c>
      <c r="U539" s="15">
        <f t="shared" si="79"/>
        <v>1.0209386815313679</v>
      </c>
      <c r="V539" s="15">
        <f t="shared" si="80"/>
        <v>1.0229208875278821</v>
      </c>
    </row>
    <row r="540" spans="1:22" x14ac:dyDescent="0.25">
      <c r="A540" s="8">
        <v>45496</v>
      </c>
      <c r="B540" s="11">
        <v>1.4704999999999999</v>
      </c>
      <c r="C540" s="11">
        <v>1.8917999999999999</v>
      </c>
      <c r="D540" s="11">
        <v>2.2322000000000002</v>
      </c>
      <c r="E540" s="11">
        <v>2.4691000000000001</v>
      </c>
      <c r="F540" s="11">
        <v>1.7618</v>
      </c>
      <c r="G540" s="11">
        <v>1.8979999999999999</v>
      </c>
      <c r="H540" s="11">
        <v>1.85</v>
      </c>
      <c r="J540" s="8">
        <v>45519</v>
      </c>
      <c r="K540" s="11">
        <v>1816.9621999999999</v>
      </c>
      <c r="L540" s="11">
        <v>2462.1073999999999</v>
      </c>
      <c r="M540" s="11">
        <v>2977.8546000000001</v>
      </c>
      <c r="N540" s="11">
        <v>3169.3418000000001</v>
      </c>
      <c r="O540" s="3">
        <f t="shared" si="81"/>
        <v>2.0049068917790125E-2</v>
      </c>
      <c r="P540" s="3">
        <f t="shared" si="82"/>
        <v>2.7955195299836033E-2</v>
      </c>
      <c r="Q540" s="3">
        <f t="shared" si="83"/>
        <v>2.05184253694215E-2</v>
      </c>
      <c r="R540" s="3">
        <f t="shared" si="84"/>
        <v>2.2521601867221852E-2</v>
      </c>
      <c r="S540" s="15">
        <f t="shared" si="77"/>
        <v>1.0200490689177901</v>
      </c>
      <c r="T540" s="15">
        <f t="shared" si="78"/>
        <v>1.027955195299836</v>
      </c>
      <c r="U540" s="15">
        <f t="shared" si="79"/>
        <v>1.0205184253694215</v>
      </c>
      <c r="V540" s="15">
        <f t="shared" si="80"/>
        <v>1.0225216018672219</v>
      </c>
    </row>
    <row r="541" spans="1:22" x14ac:dyDescent="0.25">
      <c r="A541" s="8">
        <v>45497</v>
      </c>
      <c r="B541" s="11">
        <v>1.4655</v>
      </c>
      <c r="C541" s="11">
        <v>1.8972</v>
      </c>
      <c r="D541" s="11">
        <v>2.2381000000000002</v>
      </c>
      <c r="E541" s="11">
        <v>2.4676</v>
      </c>
      <c r="F541" s="11">
        <v>1.7576000000000001</v>
      </c>
      <c r="G541" s="11">
        <v>1.8902000000000001</v>
      </c>
      <c r="H541" s="11">
        <v>1.85</v>
      </c>
      <c r="J541" s="8">
        <v>45520</v>
      </c>
      <c r="K541" s="11">
        <v>1817.0572</v>
      </c>
      <c r="L541" s="11">
        <v>2462.1383000000001</v>
      </c>
      <c r="M541" s="11">
        <v>2976.1194999999998</v>
      </c>
      <c r="N541" s="11">
        <v>3168.5430000000001</v>
      </c>
      <c r="O541" s="3">
        <f t="shared" si="81"/>
        <v>2.0102402257111684E-2</v>
      </c>
      <c r="P541" s="3">
        <f t="shared" si="82"/>
        <v>2.7968096368057083E-2</v>
      </c>
      <c r="Q541" s="3">
        <f t="shared" si="83"/>
        <v>1.9923802139711455E-2</v>
      </c>
      <c r="R541" s="3">
        <f t="shared" si="84"/>
        <v>2.226388581539962E-2</v>
      </c>
      <c r="S541" s="15">
        <f t="shared" si="77"/>
        <v>1.0201024022571117</v>
      </c>
      <c r="T541" s="15">
        <f t="shared" si="78"/>
        <v>1.0279680963680571</v>
      </c>
      <c r="U541" s="15">
        <f t="shared" si="79"/>
        <v>1.0199238021397115</v>
      </c>
      <c r="V541" s="15">
        <f t="shared" si="80"/>
        <v>1.0222638858153996</v>
      </c>
    </row>
    <row r="542" spans="1:22" x14ac:dyDescent="0.25">
      <c r="A542" s="8">
        <v>45498</v>
      </c>
      <c r="B542" s="11">
        <v>1.4650000000000001</v>
      </c>
      <c r="C542" s="11">
        <v>1.8923000000000001</v>
      </c>
      <c r="D542" s="11">
        <v>2.2168000000000001</v>
      </c>
      <c r="E542" s="11">
        <v>2.4357000000000002</v>
      </c>
      <c r="F542" s="11">
        <v>1.7527999999999999</v>
      </c>
      <c r="G542" s="11">
        <v>1.8689</v>
      </c>
      <c r="H542" s="11">
        <v>2</v>
      </c>
      <c r="J542" s="8">
        <v>45523</v>
      </c>
      <c r="K542" s="11">
        <v>1817.2999</v>
      </c>
      <c r="L542" s="11">
        <v>2462.7534000000001</v>
      </c>
      <c r="M542" s="11">
        <v>2977.6565000000001</v>
      </c>
      <c r="N542" s="11">
        <v>3169.8013999999998</v>
      </c>
      <c r="O542" s="3">
        <f t="shared" si="81"/>
        <v>2.0238654903989239E-2</v>
      </c>
      <c r="P542" s="3">
        <f t="shared" si="82"/>
        <v>2.822490695261104E-2</v>
      </c>
      <c r="Q542" s="3">
        <f t="shared" si="83"/>
        <v>2.0450535990246932E-2</v>
      </c>
      <c r="R542" s="3">
        <f t="shared" si="84"/>
        <v>2.2669882159431998E-2</v>
      </c>
      <c r="S542" s="15">
        <f t="shared" si="77"/>
        <v>1.0202386549039892</v>
      </c>
      <c r="T542" s="15">
        <f t="shared" si="78"/>
        <v>1.028224906952611</v>
      </c>
      <c r="U542" s="15">
        <f t="shared" si="79"/>
        <v>1.0204505359902469</v>
      </c>
      <c r="V542" s="15">
        <f t="shared" si="80"/>
        <v>1.022669882159432</v>
      </c>
    </row>
    <row r="543" spans="1:22" x14ac:dyDescent="0.25">
      <c r="A543" s="8">
        <v>45499</v>
      </c>
      <c r="B543" s="11">
        <v>1.4769000000000001</v>
      </c>
      <c r="C543" s="11">
        <v>1.8976</v>
      </c>
      <c r="D543" s="11">
        <v>2.1943999999999999</v>
      </c>
      <c r="E543" s="11">
        <v>2.4226000000000001</v>
      </c>
      <c r="F543" s="11">
        <v>1.7509999999999999</v>
      </c>
      <c r="G543" s="11">
        <v>1.8687</v>
      </c>
      <c r="H543" s="11">
        <v>1.99</v>
      </c>
      <c r="J543" s="8">
        <v>45524</v>
      </c>
      <c r="K543" s="11">
        <v>1817.2977000000001</v>
      </c>
      <c r="L543" s="11">
        <v>2462.7482</v>
      </c>
      <c r="M543" s="11">
        <v>2975.5430999999999</v>
      </c>
      <c r="N543" s="11">
        <v>3168.6345999999999</v>
      </c>
      <c r="O543" s="3">
        <f t="shared" si="81"/>
        <v>2.0237419816131252E-2</v>
      </c>
      <c r="P543" s="3">
        <f t="shared" si="82"/>
        <v>2.8222735899059215E-2</v>
      </c>
      <c r="Q543" s="3">
        <f t="shared" si="83"/>
        <v>1.9726268378196465E-2</v>
      </c>
      <c r="R543" s="3">
        <f t="shared" si="84"/>
        <v>2.2293438632558837E-2</v>
      </c>
      <c r="S543" s="15">
        <f t="shared" si="77"/>
        <v>1.0202374198161313</v>
      </c>
      <c r="T543" s="15">
        <f t="shared" si="78"/>
        <v>1.0282227358990592</v>
      </c>
      <c r="U543" s="15">
        <f t="shared" si="79"/>
        <v>1.0197262683781965</v>
      </c>
      <c r="V543" s="15">
        <f t="shared" si="80"/>
        <v>1.0222934386325588</v>
      </c>
    </row>
    <row r="544" spans="1:22" x14ac:dyDescent="0.25">
      <c r="A544" s="8">
        <v>45502</v>
      </c>
      <c r="B544" s="11">
        <v>1.45</v>
      </c>
      <c r="C544" s="11">
        <v>1.8933</v>
      </c>
      <c r="D544" s="11">
        <v>2.1574</v>
      </c>
      <c r="E544" s="11">
        <v>2.39</v>
      </c>
      <c r="F544" s="11">
        <v>1.7502</v>
      </c>
      <c r="G544" s="11">
        <v>1.8661000000000001</v>
      </c>
      <c r="H544" s="11">
        <v>1.95</v>
      </c>
      <c r="J544" s="8">
        <v>45525</v>
      </c>
      <c r="K544" s="11">
        <v>1817.0216</v>
      </c>
      <c r="L544" s="11">
        <v>2462.1594</v>
      </c>
      <c r="M544" s="11">
        <v>2974.6109999999999</v>
      </c>
      <c r="N544" s="11">
        <v>3167.8182999999999</v>
      </c>
      <c r="O544" s="3">
        <f t="shared" si="81"/>
        <v>2.0082416289955551E-2</v>
      </c>
      <c r="P544" s="3">
        <f t="shared" si="82"/>
        <v>2.7976905835353394E-2</v>
      </c>
      <c r="Q544" s="3">
        <f t="shared" si="83"/>
        <v>1.940683531242926E-2</v>
      </c>
      <c r="R544" s="3">
        <f t="shared" si="84"/>
        <v>2.2030076573091417E-2</v>
      </c>
      <c r="S544" s="15">
        <f t="shared" si="77"/>
        <v>1.0200824162899556</v>
      </c>
      <c r="T544" s="15">
        <f t="shared" si="78"/>
        <v>1.0279769058353534</v>
      </c>
      <c r="U544" s="15">
        <f t="shared" si="79"/>
        <v>1.0194068353124293</v>
      </c>
      <c r="V544" s="15">
        <f t="shared" si="80"/>
        <v>1.0220300765730914</v>
      </c>
    </row>
    <row r="545" spans="1:22" x14ac:dyDescent="0.25">
      <c r="A545" s="8">
        <v>45503</v>
      </c>
      <c r="B545" s="11">
        <v>1.43</v>
      </c>
      <c r="C545" s="11">
        <v>1.8835999999999999</v>
      </c>
      <c r="D545" s="11">
        <v>2.1480000000000001</v>
      </c>
      <c r="E545" s="11">
        <v>2.3765000000000001</v>
      </c>
      <c r="F545" s="11">
        <v>1.7399</v>
      </c>
      <c r="G545" s="11">
        <v>1.8586</v>
      </c>
      <c r="H545" s="11">
        <v>1.93</v>
      </c>
      <c r="J545" s="8">
        <v>45526</v>
      </c>
      <c r="K545" s="11">
        <v>1817.0703000000001</v>
      </c>
      <c r="L545" s="11">
        <v>2462.4151000000002</v>
      </c>
      <c r="M545" s="11">
        <v>2974.2042000000001</v>
      </c>
      <c r="N545" s="11">
        <v>3167.6579000000002</v>
      </c>
      <c r="O545" s="3">
        <f t="shared" si="81"/>
        <v>2.0109756643902577E-2</v>
      </c>
      <c r="P545" s="3">
        <f t="shared" si="82"/>
        <v>2.8083663218657851E-2</v>
      </c>
      <c r="Q545" s="3">
        <f t="shared" si="83"/>
        <v>1.9267423906835335E-2</v>
      </c>
      <c r="R545" s="3">
        <f t="shared" si="84"/>
        <v>2.1978326880161658E-2</v>
      </c>
      <c r="S545" s="15">
        <f t="shared" si="77"/>
        <v>1.0201097566439026</v>
      </c>
      <c r="T545" s="15">
        <f t="shared" si="78"/>
        <v>1.0280836632186579</v>
      </c>
      <c r="U545" s="15">
        <f t="shared" si="79"/>
        <v>1.0192674239068353</v>
      </c>
      <c r="V545" s="15">
        <f t="shared" si="80"/>
        <v>1.0219783268801617</v>
      </c>
    </row>
    <row r="546" spans="1:22" x14ac:dyDescent="0.25">
      <c r="A546" s="8">
        <v>45504</v>
      </c>
      <c r="B546" s="11">
        <v>1.4200999999999999</v>
      </c>
      <c r="C546" s="11">
        <v>1.849</v>
      </c>
      <c r="D546" s="11">
        <v>2.1494</v>
      </c>
      <c r="E546" s="11">
        <v>2.3824999999999998</v>
      </c>
      <c r="F546" s="11">
        <v>1.7184999999999999</v>
      </c>
      <c r="G546" s="11">
        <v>1.837</v>
      </c>
      <c r="H546" s="11">
        <v>1.9</v>
      </c>
      <c r="J546" s="8">
        <v>45527</v>
      </c>
      <c r="K546" s="11">
        <v>1816.9976999999999</v>
      </c>
      <c r="L546" s="11">
        <v>2462.5322000000001</v>
      </c>
      <c r="M546" s="11">
        <v>2974.4</v>
      </c>
      <c r="N546" s="11">
        <v>3167.9038</v>
      </c>
      <c r="O546" s="3">
        <f t="shared" si="81"/>
        <v>2.0068998744589228E-2</v>
      </c>
      <c r="P546" s="3">
        <f t="shared" si="82"/>
        <v>2.813255367460199E-2</v>
      </c>
      <c r="Q546" s="3">
        <f t="shared" si="83"/>
        <v>1.9334525070098252E-2</v>
      </c>
      <c r="R546" s="3">
        <f t="shared" si="84"/>
        <v>2.205766135330034E-2</v>
      </c>
      <c r="S546" s="15">
        <f t="shared" si="77"/>
        <v>1.0200689987445892</v>
      </c>
      <c r="T546" s="15">
        <f t="shared" si="78"/>
        <v>1.028132553674602</v>
      </c>
      <c r="U546" s="15">
        <f t="shared" si="79"/>
        <v>1.0193345250700983</v>
      </c>
      <c r="V546" s="15">
        <f t="shared" si="80"/>
        <v>1.0220576613533003</v>
      </c>
    </row>
    <row r="547" spans="1:22" x14ac:dyDescent="0.25">
      <c r="A547" s="8">
        <v>45505</v>
      </c>
      <c r="B547" s="11">
        <v>1.4100999999999999</v>
      </c>
      <c r="C547" s="11">
        <v>1.8262</v>
      </c>
      <c r="D547" s="11">
        <v>2.1297000000000001</v>
      </c>
      <c r="E547" s="11">
        <v>2.3651</v>
      </c>
      <c r="F547" s="11">
        <v>1.7188000000000001</v>
      </c>
      <c r="G547" s="11">
        <v>1.8282</v>
      </c>
      <c r="H547" s="11">
        <v>1.85</v>
      </c>
      <c r="J547" s="8">
        <v>45530</v>
      </c>
      <c r="K547" s="11">
        <v>1816.8414</v>
      </c>
      <c r="L547" s="11">
        <v>2462.0086000000001</v>
      </c>
      <c r="M547" s="11">
        <v>2974.9036999999998</v>
      </c>
      <c r="N547" s="11">
        <v>3167.9533000000001</v>
      </c>
      <c r="O547" s="3">
        <f t="shared" si="81"/>
        <v>1.9981251366316011E-2</v>
      </c>
      <c r="P547" s="3">
        <f t="shared" si="82"/>
        <v>2.7913945282352692E-2</v>
      </c>
      <c r="Q547" s="3">
        <f t="shared" si="83"/>
        <v>1.9507144354752981E-2</v>
      </c>
      <c r="R547" s="3">
        <f t="shared" si="84"/>
        <v>2.207363148921071E-2</v>
      </c>
      <c r="S547" s="15">
        <f t="shared" si="77"/>
        <v>1.019981251366316</v>
      </c>
      <c r="T547" s="15">
        <f t="shared" si="78"/>
        <v>1.0279139452823527</v>
      </c>
      <c r="U547" s="15">
        <f t="shared" si="79"/>
        <v>1.019507144354753</v>
      </c>
      <c r="V547" s="15">
        <f t="shared" si="80"/>
        <v>1.0220736314892107</v>
      </c>
    </row>
    <row r="548" spans="1:22" x14ac:dyDescent="0.25">
      <c r="A548" s="8">
        <v>45506</v>
      </c>
      <c r="B548" s="11">
        <v>1.3900999999999999</v>
      </c>
      <c r="C548" s="11">
        <v>1.8188</v>
      </c>
      <c r="D548" s="11">
        <v>2.1276999999999999</v>
      </c>
      <c r="E548" s="11">
        <v>2.3464999999999998</v>
      </c>
      <c r="F548" s="11">
        <v>1.7135</v>
      </c>
      <c r="G548" s="11">
        <v>1.8192999999999999</v>
      </c>
      <c r="H548" s="11">
        <v>1.82</v>
      </c>
      <c r="J548" s="8">
        <v>45531</v>
      </c>
      <c r="K548" s="11">
        <v>1816.1387999999999</v>
      </c>
      <c r="L548" s="11">
        <v>2460.1100999999999</v>
      </c>
      <c r="M548" s="11">
        <v>2971.8851</v>
      </c>
      <c r="N548" s="11">
        <v>3165.2669000000001</v>
      </c>
      <c r="O548" s="3">
        <f t="shared" si="81"/>
        <v>1.9586809216764589E-2</v>
      </c>
      <c r="P548" s="3">
        <f t="shared" si="82"/>
        <v>2.7121301980814749E-2</v>
      </c>
      <c r="Q548" s="3">
        <f t="shared" si="83"/>
        <v>1.8472662376076254E-2</v>
      </c>
      <c r="R548" s="3">
        <f t="shared" si="84"/>
        <v>2.1206920921339467E-2</v>
      </c>
      <c r="S548" s="15">
        <f t="shared" si="77"/>
        <v>1.0195868092167646</v>
      </c>
      <c r="T548" s="15">
        <f t="shared" si="78"/>
        <v>1.0271213019808147</v>
      </c>
      <c r="U548" s="15">
        <f t="shared" si="79"/>
        <v>1.0184726623760763</v>
      </c>
      <c r="V548" s="15">
        <f t="shared" si="80"/>
        <v>1.0212069209213395</v>
      </c>
    </row>
    <row r="549" spans="1:22" x14ac:dyDescent="0.25">
      <c r="A549" s="8">
        <v>45509</v>
      </c>
      <c r="B549" s="11">
        <v>1.3902000000000001</v>
      </c>
      <c r="C549" s="11">
        <v>1.8144</v>
      </c>
      <c r="D549" s="11">
        <v>2.1375999999999999</v>
      </c>
      <c r="E549" s="11">
        <v>2.3374999999999999</v>
      </c>
      <c r="F549" s="11">
        <v>1.7121999999999999</v>
      </c>
      <c r="G549" s="11">
        <v>1.8077000000000001</v>
      </c>
      <c r="H549" s="11">
        <v>1.8</v>
      </c>
      <c r="J549" s="8">
        <v>45532</v>
      </c>
      <c r="K549" s="11">
        <v>1816.2802999999999</v>
      </c>
      <c r="L549" s="11">
        <v>2460.9308000000001</v>
      </c>
      <c r="M549" s="11">
        <v>2972.5931999999998</v>
      </c>
      <c r="N549" s="11">
        <v>3166.1208999999999</v>
      </c>
      <c r="O549" s="3">
        <f t="shared" si="81"/>
        <v>1.9666247822175187E-2</v>
      </c>
      <c r="P549" s="3">
        <f t="shared" si="82"/>
        <v>2.7463952682722725E-2</v>
      </c>
      <c r="Q549" s="3">
        <f t="shared" si="83"/>
        <v>1.8715330066098268E-2</v>
      </c>
      <c r="R549" s="3">
        <f t="shared" si="84"/>
        <v>2.1482446094419405E-2</v>
      </c>
      <c r="S549" s="15">
        <f t="shared" si="77"/>
        <v>1.0196662478221752</v>
      </c>
      <c r="T549" s="15">
        <f t="shared" si="78"/>
        <v>1.0274639526827227</v>
      </c>
      <c r="U549" s="15">
        <f t="shared" si="79"/>
        <v>1.0187153300660983</v>
      </c>
      <c r="V549" s="15">
        <f t="shared" si="80"/>
        <v>1.0214824460944194</v>
      </c>
    </row>
    <row r="550" spans="1:22" x14ac:dyDescent="0.25">
      <c r="A550" s="8">
        <v>45510</v>
      </c>
      <c r="B550" s="11">
        <v>1.4103000000000001</v>
      </c>
      <c r="C550" s="11">
        <v>1.8169999999999999</v>
      </c>
      <c r="D550" s="11">
        <v>2.1490999999999998</v>
      </c>
      <c r="E550" s="11">
        <v>2.355</v>
      </c>
      <c r="F550" s="11">
        <v>1.7264999999999999</v>
      </c>
      <c r="G550" s="11">
        <v>1.835</v>
      </c>
      <c r="H550" s="11">
        <v>1.84</v>
      </c>
      <c r="J550" s="8">
        <v>45533</v>
      </c>
      <c r="K550" s="11">
        <v>1816.5162</v>
      </c>
      <c r="L550" s="11">
        <v>2461.1284000000001</v>
      </c>
      <c r="M550" s="11">
        <v>2973.7638999999999</v>
      </c>
      <c r="N550" s="11">
        <v>3166.9395</v>
      </c>
      <c r="O550" s="3">
        <f t="shared" si="81"/>
        <v>1.9798682924764277E-2</v>
      </c>
      <c r="P550" s="3">
        <f t="shared" si="82"/>
        <v>2.7546452717689185E-2</v>
      </c>
      <c r="Q550" s="3">
        <f t="shared" si="83"/>
        <v>1.911653196513674E-2</v>
      </c>
      <c r="R550" s="3">
        <f t="shared" si="84"/>
        <v>2.1746550200605785E-2</v>
      </c>
      <c r="S550" s="15">
        <f t="shared" si="77"/>
        <v>1.0197986829247643</v>
      </c>
      <c r="T550" s="15">
        <f t="shared" si="78"/>
        <v>1.0275464527176892</v>
      </c>
      <c r="U550" s="15">
        <f t="shared" si="79"/>
        <v>1.0191165319651367</v>
      </c>
      <c r="V550" s="15">
        <f t="shared" si="80"/>
        <v>1.0217465502006058</v>
      </c>
    </row>
    <row r="551" spans="1:22" x14ac:dyDescent="0.25">
      <c r="A551" s="8">
        <v>45511</v>
      </c>
      <c r="B551" s="11">
        <v>1.4065000000000001</v>
      </c>
      <c r="C551" s="11">
        <v>1.7995000000000001</v>
      </c>
      <c r="D551" s="11">
        <v>2.1414</v>
      </c>
      <c r="E551" s="11">
        <v>2.335</v>
      </c>
      <c r="F551" s="11">
        <v>1.7242</v>
      </c>
      <c r="G551" s="11">
        <v>1.8221000000000001</v>
      </c>
      <c r="H551" s="11">
        <v>1.83</v>
      </c>
      <c r="J551" s="8">
        <v>45534</v>
      </c>
      <c r="K551" s="11">
        <v>1816.7533000000001</v>
      </c>
      <c r="L551" s="11">
        <v>2461.4092000000001</v>
      </c>
      <c r="M551" s="11">
        <v>2976.2462</v>
      </c>
      <c r="N551" s="11">
        <v>3168.6633000000002</v>
      </c>
      <c r="O551" s="3">
        <f t="shared" si="81"/>
        <v>1.9931791711639724E-2</v>
      </c>
      <c r="P551" s="3">
        <f t="shared" si="82"/>
        <v>2.7663689609483733E-2</v>
      </c>
      <c r="Q551" s="3">
        <f t="shared" si="83"/>
        <v>1.9967222555367314E-2</v>
      </c>
      <c r="R551" s="3">
        <f t="shared" si="84"/>
        <v>2.2302698085096884E-2</v>
      </c>
      <c r="S551" s="15">
        <f t="shared" si="77"/>
        <v>1.0199317917116397</v>
      </c>
      <c r="T551" s="15">
        <f t="shared" si="78"/>
        <v>1.0276636896094837</v>
      </c>
      <c r="U551" s="15">
        <f t="shared" si="79"/>
        <v>1.0199672225553673</v>
      </c>
      <c r="V551" s="15">
        <f t="shared" si="80"/>
        <v>1.0223026980850969</v>
      </c>
    </row>
    <row r="552" spans="1:22" x14ac:dyDescent="0.25">
      <c r="A552" s="8">
        <v>45512</v>
      </c>
      <c r="B552" s="11">
        <v>1.4268000000000001</v>
      </c>
      <c r="C552" s="11">
        <v>1.8349</v>
      </c>
      <c r="D552" s="11">
        <v>2.181</v>
      </c>
      <c r="E552" s="11">
        <v>2.37</v>
      </c>
      <c r="F552" s="11">
        <v>1.7430000000000001</v>
      </c>
      <c r="G552" s="11">
        <v>1.8480000000000001</v>
      </c>
      <c r="H552" s="11">
        <v>1.85</v>
      </c>
      <c r="J552" s="8">
        <v>45537</v>
      </c>
      <c r="K552" s="11">
        <v>1817.4557</v>
      </c>
      <c r="L552" s="11">
        <v>2463.2507999999998</v>
      </c>
      <c r="M552" s="11">
        <v>2976.3290000000002</v>
      </c>
      <c r="N552" s="11">
        <v>3169.7058000000002</v>
      </c>
      <c r="O552" s="3">
        <f t="shared" si="81"/>
        <v>2.0326121580476864E-2</v>
      </c>
      <c r="P552" s="3">
        <f t="shared" si="82"/>
        <v>2.8432576575041724E-2</v>
      </c>
      <c r="Q552" s="3">
        <f t="shared" si="83"/>
        <v>1.9995598328187203E-2</v>
      </c>
      <c r="R552" s="3">
        <f t="shared" si="84"/>
        <v>2.2639038826239632E-2</v>
      </c>
      <c r="S552" s="15">
        <f t="shared" si="77"/>
        <v>1.0203261215804769</v>
      </c>
      <c r="T552" s="15">
        <f t="shared" si="78"/>
        <v>1.0284325765750417</v>
      </c>
      <c r="U552" s="15">
        <f t="shared" si="79"/>
        <v>1.0199955983281872</v>
      </c>
      <c r="V552" s="15">
        <f t="shared" si="80"/>
        <v>1.0226390388262396</v>
      </c>
    </row>
    <row r="553" spans="1:22" x14ac:dyDescent="0.25">
      <c r="A553" s="8">
        <v>45513</v>
      </c>
      <c r="B553" s="11">
        <v>1.4561999999999999</v>
      </c>
      <c r="C553" s="11">
        <v>1.8706</v>
      </c>
      <c r="D553" s="11">
        <v>2.1985999999999999</v>
      </c>
      <c r="E553" s="11">
        <v>2.38</v>
      </c>
      <c r="F553" s="11">
        <v>1.7574000000000001</v>
      </c>
      <c r="G553" s="11">
        <v>1.8675999999999999</v>
      </c>
      <c r="H553" s="11">
        <v>1.86</v>
      </c>
      <c r="J553" s="8">
        <v>45538</v>
      </c>
      <c r="K553" s="11">
        <v>1817.7273</v>
      </c>
      <c r="L553" s="11">
        <v>2463.9522999999999</v>
      </c>
      <c r="M553" s="11">
        <v>2977.4724999999999</v>
      </c>
      <c r="N553" s="11">
        <v>3170.7788999999998</v>
      </c>
      <c r="O553" s="3">
        <f t="shared" si="81"/>
        <v>2.0478598790579561E-2</v>
      </c>
      <c r="P553" s="3">
        <f t="shared" si="82"/>
        <v>2.8725460049378926E-2</v>
      </c>
      <c r="Q553" s="3">
        <f t="shared" si="83"/>
        <v>2.0387478717313501E-2</v>
      </c>
      <c r="R553" s="3">
        <f t="shared" si="84"/>
        <v>2.2985252015035762E-2</v>
      </c>
      <c r="S553" s="15">
        <f t="shared" si="77"/>
        <v>1.0204785987905796</v>
      </c>
      <c r="T553" s="15">
        <f t="shared" si="78"/>
        <v>1.0287254600493789</v>
      </c>
      <c r="U553" s="15">
        <f t="shared" si="79"/>
        <v>1.0203874787173135</v>
      </c>
      <c r="V553" s="15">
        <f t="shared" si="80"/>
        <v>1.0229852520150358</v>
      </c>
    </row>
    <row r="554" spans="1:22" x14ac:dyDescent="0.25">
      <c r="A554" s="8">
        <v>45516</v>
      </c>
      <c r="B554" s="11">
        <v>1.5283</v>
      </c>
      <c r="C554" s="11">
        <v>1.9358</v>
      </c>
      <c r="D554" s="11">
        <v>2.2507999999999999</v>
      </c>
      <c r="E554" s="11">
        <v>2.4350000000000001</v>
      </c>
      <c r="F554" s="11">
        <v>1.7910999999999999</v>
      </c>
      <c r="G554" s="11">
        <v>1.9009</v>
      </c>
      <c r="H554" s="11">
        <v>1.92</v>
      </c>
      <c r="J554" s="8">
        <v>45539</v>
      </c>
      <c r="K554" s="11">
        <v>1817.9558999999999</v>
      </c>
      <c r="L554" s="11">
        <v>2464.5619000000002</v>
      </c>
      <c r="M554" s="11">
        <v>2977.7377000000001</v>
      </c>
      <c r="N554" s="11">
        <v>3171.259</v>
      </c>
      <c r="O554" s="3">
        <f t="shared" si="81"/>
        <v>2.0606935647094371E-2</v>
      </c>
      <c r="P554" s="3">
        <f t="shared" si="82"/>
        <v>2.8979974327291824E-2</v>
      </c>
      <c r="Q554" s="3">
        <f t="shared" si="83"/>
        <v>2.0478363438954483E-2</v>
      </c>
      <c r="R554" s="3">
        <f t="shared" si="84"/>
        <v>2.3140146201916068E-2</v>
      </c>
      <c r="S554" s="15">
        <f t="shared" si="77"/>
        <v>1.0206069356470944</v>
      </c>
      <c r="T554" s="15">
        <f t="shared" si="78"/>
        <v>1.0289799743272918</v>
      </c>
      <c r="U554" s="15">
        <f t="shared" si="79"/>
        <v>1.0204783634389545</v>
      </c>
      <c r="V554" s="15">
        <f t="shared" si="80"/>
        <v>1.0231401462019161</v>
      </c>
    </row>
    <row r="555" spans="1:22" x14ac:dyDescent="0.25">
      <c r="A555" s="8">
        <v>45517</v>
      </c>
      <c r="B555" s="11">
        <v>1.5007999999999999</v>
      </c>
      <c r="C555" s="11">
        <v>1.9011</v>
      </c>
      <c r="D555" s="11">
        <v>2.2254999999999998</v>
      </c>
      <c r="E555" s="11">
        <v>2.4075000000000002</v>
      </c>
      <c r="F555" s="11">
        <v>1.7678</v>
      </c>
      <c r="G555" s="11">
        <v>1.8660000000000001</v>
      </c>
      <c r="H555" s="11">
        <v>1.95</v>
      </c>
      <c r="J555" s="8">
        <v>45540</v>
      </c>
      <c r="K555" s="11">
        <v>1818.1433</v>
      </c>
      <c r="L555" s="11">
        <v>2465.0209</v>
      </c>
      <c r="M555" s="11">
        <v>2979.2080999999998</v>
      </c>
      <c r="N555" s="11">
        <v>3172.4023999999999</v>
      </c>
      <c r="O555" s="3">
        <f t="shared" si="81"/>
        <v>2.0712142676451162E-2</v>
      </c>
      <c r="P555" s="3">
        <f t="shared" si="82"/>
        <v>2.917161155426351E-2</v>
      </c>
      <c r="Q555" s="3">
        <f t="shared" si="83"/>
        <v>2.0982273298308707E-2</v>
      </c>
      <c r="R555" s="3">
        <f t="shared" si="84"/>
        <v>2.3509040209995336E-2</v>
      </c>
      <c r="S555" s="15">
        <f t="shared" si="77"/>
        <v>1.0207121426764512</v>
      </c>
      <c r="T555" s="15">
        <f t="shared" si="78"/>
        <v>1.0291716115542635</v>
      </c>
      <c r="U555" s="15">
        <f t="shared" si="79"/>
        <v>1.0209822732983087</v>
      </c>
      <c r="V555" s="15">
        <f t="shared" si="80"/>
        <v>1.0235090402099953</v>
      </c>
    </row>
    <row r="556" spans="1:22" x14ac:dyDescent="0.25">
      <c r="A556" s="8">
        <v>45518</v>
      </c>
      <c r="B556" s="11">
        <v>1.5059</v>
      </c>
      <c r="C556" s="11">
        <v>1.8857999999999999</v>
      </c>
      <c r="D556" s="11">
        <v>2.1966000000000001</v>
      </c>
      <c r="E556" s="11">
        <v>2.3751000000000002</v>
      </c>
      <c r="F556" s="11">
        <v>1.7388999999999999</v>
      </c>
      <c r="G556" s="11">
        <v>1.8304</v>
      </c>
      <c r="H556" s="11">
        <v>1.92</v>
      </c>
      <c r="J556" s="8">
        <v>45541</v>
      </c>
      <c r="K556" s="11">
        <v>1818.2157999999999</v>
      </c>
      <c r="L556" s="11">
        <v>2465.4834000000001</v>
      </c>
      <c r="M556" s="11">
        <v>2978.4481999999998</v>
      </c>
      <c r="N556" s="11">
        <v>3172.1668</v>
      </c>
      <c r="O556" s="3">
        <f t="shared" si="81"/>
        <v>2.0752844435407036E-2</v>
      </c>
      <c r="P556" s="3">
        <f t="shared" si="82"/>
        <v>2.9364710067279587E-2</v>
      </c>
      <c r="Q556" s="3">
        <f t="shared" si="83"/>
        <v>2.0721853615145447E-2</v>
      </c>
      <c r="R556" s="3">
        <f t="shared" si="84"/>
        <v>2.3433028815642132E-2</v>
      </c>
      <c r="S556" s="15">
        <f t="shared" si="77"/>
        <v>1.020752844435407</v>
      </c>
      <c r="T556" s="15">
        <f t="shared" si="78"/>
        <v>1.0293647100672796</v>
      </c>
      <c r="U556" s="15">
        <f t="shared" si="79"/>
        <v>1.0207218536151454</v>
      </c>
      <c r="V556" s="15">
        <f t="shared" si="80"/>
        <v>1.0234330288156421</v>
      </c>
    </row>
    <row r="557" spans="1:22" x14ac:dyDescent="0.25">
      <c r="A557" s="8">
        <v>45519</v>
      </c>
      <c r="B557" s="11">
        <v>1.5210999999999999</v>
      </c>
      <c r="C557" s="11">
        <v>1.9057999999999999</v>
      </c>
      <c r="D557" s="11">
        <v>2.2050000000000001</v>
      </c>
      <c r="E557" s="11">
        <v>2.39</v>
      </c>
      <c r="F557" s="11">
        <v>1.7524</v>
      </c>
      <c r="G557" s="11">
        <v>1.8392999999999999</v>
      </c>
      <c r="H557" s="11">
        <v>1.9</v>
      </c>
      <c r="J557" s="8">
        <v>45544</v>
      </c>
      <c r="K557" s="11">
        <v>1818.4747</v>
      </c>
      <c r="L557" s="11">
        <v>2466.1792999999998</v>
      </c>
      <c r="M557" s="11">
        <v>2977.7278000000001</v>
      </c>
      <c r="N557" s="11">
        <v>3172.2055</v>
      </c>
      <c r="O557" s="3">
        <f t="shared" si="81"/>
        <v>2.0898191820147849E-2</v>
      </c>
      <c r="P557" s="3">
        <f t="shared" si="82"/>
        <v>2.965525548394532E-2</v>
      </c>
      <c r="Q557" s="3">
        <f t="shared" si="83"/>
        <v>2.0474970683508786E-2</v>
      </c>
      <c r="R557" s="3">
        <f t="shared" si="84"/>
        <v>2.3445514558263048E-2</v>
      </c>
      <c r="S557" s="15">
        <f t="shared" si="77"/>
        <v>1.0208981918201478</v>
      </c>
      <c r="T557" s="15">
        <f t="shared" si="78"/>
        <v>1.0296552554839453</v>
      </c>
      <c r="U557" s="15">
        <f t="shared" si="79"/>
        <v>1.0204749706835088</v>
      </c>
      <c r="V557" s="15">
        <f t="shared" si="80"/>
        <v>1.023445514558263</v>
      </c>
    </row>
    <row r="558" spans="1:22" x14ac:dyDescent="0.25">
      <c r="A558" s="8">
        <v>45520</v>
      </c>
      <c r="B558" s="11">
        <v>1.5341</v>
      </c>
      <c r="C558" s="11">
        <v>1.8900999999999999</v>
      </c>
      <c r="D558" s="11">
        <v>2.1978</v>
      </c>
      <c r="E558" s="11">
        <v>2.39</v>
      </c>
      <c r="F558" s="11">
        <v>1.75</v>
      </c>
      <c r="G558" s="11">
        <v>1.8352999999999999</v>
      </c>
      <c r="H558" s="11">
        <v>1.86</v>
      </c>
      <c r="J558" s="8">
        <v>45545</v>
      </c>
      <c r="K558" s="11">
        <v>1818.5528999999999</v>
      </c>
      <c r="L558" s="11">
        <v>2466.5891999999999</v>
      </c>
      <c r="M558" s="11">
        <v>2977.5427</v>
      </c>
      <c r="N558" s="11">
        <v>3172.3108000000002</v>
      </c>
      <c r="O558" s="3">
        <f t="shared" si="81"/>
        <v>2.0942093579463084E-2</v>
      </c>
      <c r="P558" s="3">
        <f t="shared" si="82"/>
        <v>2.9826392955265124E-2</v>
      </c>
      <c r="Q558" s="3">
        <f t="shared" si="83"/>
        <v>2.0411536437747957E-2</v>
      </c>
      <c r="R558" s="3">
        <f t="shared" si="84"/>
        <v>2.3479487392836118E-2</v>
      </c>
      <c r="S558" s="15">
        <f t="shared" si="77"/>
        <v>1.0209420935794631</v>
      </c>
      <c r="T558" s="15">
        <f t="shared" si="78"/>
        <v>1.0298263929552651</v>
      </c>
      <c r="U558" s="15">
        <f t="shared" si="79"/>
        <v>1.020411536437748</v>
      </c>
      <c r="V558" s="15">
        <f t="shared" si="80"/>
        <v>1.0234794873928361</v>
      </c>
    </row>
    <row r="559" spans="1:22" x14ac:dyDescent="0.25">
      <c r="A559" s="8">
        <v>45523</v>
      </c>
      <c r="B559" s="11">
        <v>1.5406</v>
      </c>
      <c r="C559" s="11">
        <v>1.8834</v>
      </c>
      <c r="D559" s="11">
        <v>2.1816</v>
      </c>
      <c r="E559" s="11">
        <v>2.3675000000000002</v>
      </c>
      <c r="F559" s="11">
        <v>1.7505999999999999</v>
      </c>
      <c r="G559" s="11">
        <v>1.8314999999999999</v>
      </c>
      <c r="H559" s="11">
        <v>1.85</v>
      </c>
      <c r="J559" s="8">
        <v>45546</v>
      </c>
      <c r="K559" s="11">
        <v>1818.7678000000001</v>
      </c>
      <c r="L559" s="11">
        <v>2467.4438</v>
      </c>
      <c r="M559" s="11">
        <v>2977.9746</v>
      </c>
      <c r="N559" s="11">
        <v>3173.1343000000002</v>
      </c>
      <c r="O559" s="3">
        <f t="shared" si="81"/>
        <v>2.1062739207044379E-2</v>
      </c>
      <c r="P559" s="3">
        <f t="shared" si="82"/>
        <v>3.0183197256289152E-2</v>
      </c>
      <c r="Q559" s="3">
        <f t="shared" si="83"/>
        <v>2.0559549677856115E-2</v>
      </c>
      <c r="R559" s="3">
        <f t="shared" si="84"/>
        <v>2.3745172381163027E-2</v>
      </c>
      <c r="S559" s="15">
        <f t="shared" si="77"/>
        <v>1.0210627392070444</v>
      </c>
      <c r="T559" s="15">
        <f t="shared" si="78"/>
        <v>1.0301831972562892</v>
      </c>
      <c r="U559" s="15">
        <f t="shared" si="79"/>
        <v>1.0205595496778561</v>
      </c>
      <c r="V559" s="15">
        <f t="shared" si="80"/>
        <v>1.023745172381163</v>
      </c>
    </row>
    <row r="560" spans="1:22" x14ac:dyDescent="0.25">
      <c r="A560" s="8">
        <v>45524</v>
      </c>
      <c r="B560" s="11">
        <v>1.5535000000000001</v>
      </c>
      <c r="C560" s="11">
        <v>1.8858999999999999</v>
      </c>
      <c r="D560" s="11">
        <v>2.1709999999999998</v>
      </c>
      <c r="E560" s="11">
        <v>2.36</v>
      </c>
      <c r="F560" s="11">
        <v>1.7561</v>
      </c>
      <c r="G560" s="11">
        <v>1.8252999999999999</v>
      </c>
      <c r="H560" s="11">
        <v>1.86</v>
      </c>
      <c r="J560" s="8">
        <v>45547</v>
      </c>
      <c r="K560" s="11">
        <v>1818.9087999999999</v>
      </c>
      <c r="L560" s="11">
        <v>2467.806</v>
      </c>
      <c r="M560" s="11">
        <v>2977.9537</v>
      </c>
      <c r="N560" s="11">
        <v>3173.2939999999999</v>
      </c>
      <c r="O560" s="3">
        <f t="shared" si="81"/>
        <v>2.1141897110669161E-2</v>
      </c>
      <c r="P560" s="3">
        <f t="shared" si="82"/>
        <v>3.0334419486374609E-2</v>
      </c>
      <c r="Q560" s="3">
        <f t="shared" si="83"/>
        <v>2.0552387194137101E-2</v>
      </c>
      <c r="R560" s="3">
        <f t="shared" si="84"/>
        <v>2.3796696233786996E-2</v>
      </c>
      <c r="S560" s="15">
        <f t="shared" si="77"/>
        <v>1.0211418971106692</v>
      </c>
      <c r="T560" s="15">
        <f t="shared" si="78"/>
        <v>1.0303344194863746</v>
      </c>
      <c r="U560" s="15">
        <f t="shared" si="79"/>
        <v>1.0205523871941371</v>
      </c>
      <c r="V560" s="15">
        <f t="shared" si="80"/>
        <v>1.023796696233787</v>
      </c>
    </row>
    <row r="561" spans="1:22" x14ac:dyDescent="0.25">
      <c r="A561" s="8">
        <v>45525</v>
      </c>
      <c r="B561" s="11">
        <v>1.5443</v>
      </c>
      <c r="C561" s="11">
        <v>1.8761000000000001</v>
      </c>
      <c r="D561" s="11">
        <v>2.1669999999999998</v>
      </c>
      <c r="E561" s="11">
        <v>2.3551000000000002</v>
      </c>
      <c r="F561" s="11">
        <v>1.7826</v>
      </c>
      <c r="G561" s="11">
        <v>1.8452999999999999</v>
      </c>
      <c r="H561" s="11">
        <v>1.88</v>
      </c>
      <c r="J561" s="8">
        <v>45548</v>
      </c>
      <c r="K561" s="11">
        <v>1819.1257000000001</v>
      </c>
      <c r="L561" s="11">
        <v>2469.0203000000001</v>
      </c>
      <c r="M561" s="11">
        <v>2978.4917999999998</v>
      </c>
      <c r="N561" s="11">
        <v>3173.9409999999998</v>
      </c>
      <c r="O561" s="3">
        <f t="shared" si="81"/>
        <v>2.1263665545393939E-2</v>
      </c>
      <c r="P561" s="3">
        <f t="shared" si="82"/>
        <v>3.0841402241738036E-2</v>
      </c>
      <c r="Q561" s="3">
        <f t="shared" si="83"/>
        <v>2.0736795447209966E-2</v>
      </c>
      <c r="R561" s="3">
        <f t="shared" si="84"/>
        <v>2.4005437202150759E-2</v>
      </c>
      <c r="S561" s="15">
        <f t="shared" si="77"/>
        <v>1.0212636655453939</v>
      </c>
      <c r="T561" s="15">
        <f t="shared" si="78"/>
        <v>1.030841402241738</v>
      </c>
      <c r="U561" s="15">
        <f t="shared" si="79"/>
        <v>1.02073679544721</v>
      </c>
      <c r="V561" s="15">
        <f t="shared" si="80"/>
        <v>1.0240054372021508</v>
      </c>
    </row>
    <row r="562" spans="1:22" x14ac:dyDescent="0.25">
      <c r="A562" s="8">
        <v>45526</v>
      </c>
      <c r="B562" s="11">
        <v>1.5210999999999999</v>
      </c>
      <c r="C562" s="11">
        <v>1.8726</v>
      </c>
      <c r="D562" s="11">
        <v>2.1581999999999999</v>
      </c>
      <c r="E562" s="11">
        <v>2.3475999999999999</v>
      </c>
      <c r="F562" s="11">
        <v>1.7816000000000001</v>
      </c>
      <c r="G562" s="11">
        <v>1.8302</v>
      </c>
      <c r="H562" s="11">
        <v>1.91</v>
      </c>
      <c r="J562" s="8">
        <v>45553</v>
      </c>
      <c r="K562" s="11">
        <v>1819.7862</v>
      </c>
      <c r="L562" s="11">
        <v>2470.5805999999998</v>
      </c>
      <c r="M562" s="11">
        <v>2980.1633999999999</v>
      </c>
      <c r="N562" s="11">
        <v>3175.6127999999999</v>
      </c>
      <c r="O562" s="3">
        <f t="shared" si="81"/>
        <v>2.1634472604572297E-2</v>
      </c>
      <c r="P562" s="3">
        <f t="shared" si="82"/>
        <v>3.1492843560352313E-2</v>
      </c>
      <c r="Q562" s="3">
        <f t="shared" si="83"/>
        <v>2.1309657063706577E-2</v>
      </c>
      <c r="R562" s="3">
        <f t="shared" si="84"/>
        <v>2.4544808378210714E-2</v>
      </c>
      <c r="S562" s="15">
        <f t="shared" si="77"/>
        <v>1.0216344726045723</v>
      </c>
      <c r="T562" s="15">
        <f t="shared" si="78"/>
        <v>1.0314928435603523</v>
      </c>
      <c r="U562" s="15">
        <f t="shared" si="79"/>
        <v>1.0213096570637066</v>
      </c>
      <c r="V562" s="15">
        <f t="shared" si="80"/>
        <v>1.0245448083782107</v>
      </c>
    </row>
    <row r="563" spans="1:22" x14ac:dyDescent="0.25">
      <c r="A563" s="8">
        <v>45527</v>
      </c>
      <c r="B563" s="11">
        <v>1.4973000000000001</v>
      </c>
      <c r="C563" s="11">
        <v>1.8487</v>
      </c>
      <c r="D563" s="11">
        <v>2.1547000000000001</v>
      </c>
      <c r="E563" s="11">
        <v>2.3401000000000001</v>
      </c>
      <c r="F563" s="11">
        <v>1.784</v>
      </c>
      <c r="G563" s="11">
        <v>1.8384</v>
      </c>
      <c r="H563" s="11">
        <v>1.92</v>
      </c>
      <c r="J563" s="8">
        <v>45554</v>
      </c>
      <c r="K563" s="11">
        <v>1819.671</v>
      </c>
      <c r="L563" s="11">
        <v>2470.4092999999998</v>
      </c>
      <c r="M563" s="11">
        <v>2981.1682000000001</v>
      </c>
      <c r="N563" s="11">
        <v>3176.0621000000001</v>
      </c>
      <c r="O563" s="3">
        <f t="shared" si="81"/>
        <v>2.1569798913100291E-2</v>
      </c>
      <c r="P563" s="3">
        <f t="shared" si="82"/>
        <v>3.1421324046233989E-2</v>
      </c>
      <c r="Q563" s="3">
        <f t="shared" si="83"/>
        <v>2.1654004606333821E-2</v>
      </c>
      <c r="R563" s="3">
        <f t="shared" si="84"/>
        <v>2.4689765591635604E-2</v>
      </c>
      <c r="S563" s="15">
        <f t="shared" si="77"/>
        <v>1.0215697989131003</v>
      </c>
      <c r="T563" s="15">
        <f t="shared" si="78"/>
        <v>1.031421324046234</v>
      </c>
      <c r="U563" s="15">
        <f t="shared" si="79"/>
        <v>1.0216540046063338</v>
      </c>
      <c r="V563" s="15">
        <f t="shared" si="80"/>
        <v>1.0246897655916356</v>
      </c>
    </row>
    <row r="564" spans="1:22" x14ac:dyDescent="0.25">
      <c r="A564" s="8">
        <v>45530</v>
      </c>
      <c r="B564" s="11">
        <v>1.5042</v>
      </c>
      <c r="C564" s="11">
        <v>1.8447</v>
      </c>
      <c r="D564" s="11">
        <v>2.1627999999999998</v>
      </c>
      <c r="E564" s="11">
        <v>2.3475000000000001</v>
      </c>
      <c r="F564" s="11">
        <v>1.7584</v>
      </c>
      <c r="G564" s="11">
        <v>1.8289</v>
      </c>
      <c r="H564" s="11">
        <v>2.0499999999999998</v>
      </c>
      <c r="J564" s="8">
        <v>45555</v>
      </c>
      <c r="K564" s="11">
        <v>1819.6789000000001</v>
      </c>
      <c r="L564" s="11">
        <v>2470.6954999999998</v>
      </c>
      <c r="M564" s="11">
        <v>2981.0230999999999</v>
      </c>
      <c r="N564" s="11">
        <v>3176.0484999999999</v>
      </c>
      <c r="O564" s="3">
        <f t="shared" si="81"/>
        <v>2.1574234001317638E-2</v>
      </c>
      <c r="P564" s="3">
        <f t="shared" si="82"/>
        <v>3.1540815493640073E-2</v>
      </c>
      <c r="Q564" s="3">
        <f t="shared" si="83"/>
        <v>2.1604278463384752E-2</v>
      </c>
      <c r="R564" s="3">
        <f t="shared" si="84"/>
        <v>2.4685377837122768E-2</v>
      </c>
      <c r="S564" s="15">
        <f t="shared" si="77"/>
        <v>1.0215742340013176</v>
      </c>
      <c r="T564" s="15">
        <f t="shared" si="78"/>
        <v>1.0315408154936401</v>
      </c>
      <c r="U564" s="15">
        <f t="shared" si="79"/>
        <v>1.0216042784633848</v>
      </c>
      <c r="V564" s="15">
        <f t="shared" si="80"/>
        <v>1.0246853778371228</v>
      </c>
    </row>
    <row r="565" spans="1:22" x14ac:dyDescent="0.25">
      <c r="A565" s="8">
        <v>45531</v>
      </c>
      <c r="B565" s="11">
        <v>1.5073000000000001</v>
      </c>
      <c r="C565" s="11">
        <v>1.8657999999999999</v>
      </c>
      <c r="D565" s="11">
        <v>2.1903000000000001</v>
      </c>
      <c r="E565" s="11">
        <v>2.3824999999999998</v>
      </c>
      <c r="F565" s="11">
        <v>1.7676000000000001</v>
      </c>
      <c r="G565" s="11">
        <v>1.8489</v>
      </c>
      <c r="H565" s="11">
        <v>2</v>
      </c>
      <c r="J565" s="8">
        <v>45558</v>
      </c>
      <c r="K565" s="11">
        <v>1819.8126999999999</v>
      </c>
      <c r="L565" s="11">
        <v>2470.9657000000002</v>
      </c>
      <c r="M565" s="11">
        <v>2981.3440999999998</v>
      </c>
      <c r="N565" s="11">
        <v>3176.377</v>
      </c>
      <c r="O565" s="3">
        <f t="shared" si="81"/>
        <v>2.164934979922517E-2</v>
      </c>
      <c r="P565" s="3">
        <f t="shared" si="82"/>
        <v>3.1653626776271482E-2</v>
      </c>
      <c r="Q565" s="3">
        <f t="shared" si="83"/>
        <v>2.1714285988447823E-2</v>
      </c>
      <c r="R565" s="3">
        <f t="shared" si="84"/>
        <v>2.4791361466346196E-2</v>
      </c>
      <c r="S565" s="15">
        <f t="shared" si="77"/>
        <v>1.0216493497992252</v>
      </c>
      <c r="T565" s="15">
        <f t="shared" si="78"/>
        <v>1.0316536267762715</v>
      </c>
      <c r="U565" s="15">
        <f t="shared" si="79"/>
        <v>1.0217142859884478</v>
      </c>
      <c r="V565" s="15">
        <f t="shared" si="80"/>
        <v>1.0247913614663462</v>
      </c>
    </row>
    <row r="566" spans="1:22" x14ac:dyDescent="0.25">
      <c r="A566" s="8">
        <v>45532</v>
      </c>
      <c r="B566" s="11">
        <v>1.4963</v>
      </c>
      <c r="C566" s="11">
        <v>1.8552</v>
      </c>
      <c r="D566" s="11">
        <v>2.1673</v>
      </c>
      <c r="E566" s="11">
        <v>2.355</v>
      </c>
      <c r="F566" s="11">
        <v>1.7629999999999999</v>
      </c>
      <c r="G566" s="11">
        <v>1.8466</v>
      </c>
      <c r="H566" s="11">
        <v>1.9</v>
      </c>
      <c r="J566" s="8">
        <v>45559</v>
      </c>
      <c r="K566" s="11">
        <v>1819.7766999999999</v>
      </c>
      <c r="L566" s="11">
        <v>2470.1410000000001</v>
      </c>
      <c r="M566" s="11">
        <v>2985.6702</v>
      </c>
      <c r="N566" s="11">
        <v>3178.4892</v>
      </c>
      <c r="O566" s="3">
        <f t="shared" si="81"/>
        <v>2.162913927064003E-2</v>
      </c>
      <c r="P566" s="3">
        <f t="shared" si="82"/>
        <v>3.1309306033169948E-2</v>
      </c>
      <c r="Q566" s="3">
        <f t="shared" si="83"/>
        <v>2.3196851577778732E-2</v>
      </c>
      <c r="R566" s="3">
        <f t="shared" si="84"/>
        <v>2.5472818457657143E-2</v>
      </c>
      <c r="S566" s="15">
        <f t="shared" si="77"/>
        <v>1.02162913927064</v>
      </c>
      <c r="T566" s="15">
        <f t="shared" si="78"/>
        <v>1.0313093060331699</v>
      </c>
      <c r="U566" s="15">
        <f t="shared" si="79"/>
        <v>1.0231968515777787</v>
      </c>
      <c r="V566" s="15">
        <f t="shared" si="80"/>
        <v>1.0254728184576571</v>
      </c>
    </row>
    <row r="567" spans="1:22" x14ac:dyDescent="0.25">
      <c r="A567" s="8">
        <v>45533</v>
      </c>
      <c r="B567" s="11">
        <v>1.4912000000000001</v>
      </c>
      <c r="C567" s="11">
        <v>1.8671</v>
      </c>
      <c r="D567" s="11">
        <v>2.1703000000000001</v>
      </c>
      <c r="E567" s="11">
        <v>2.3650000000000002</v>
      </c>
      <c r="F567" s="11">
        <v>1.7561</v>
      </c>
      <c r="G567" s="11">
        <v>1.8398000000000001</v>
      </c>
      <c r="H567" s="11">
        <v>1.9</v>
      </c>
      <c r="J567" s="8">
        <v>45560</v>
      </c>
      <c r="K567" s="11">
        <v>1820.3549</v>
      </c>
      <c r="L567" s="11">
        <v>2472.3245999999999</v>
      </c>
      <c r="M567" s="11">
        <v>2989.1756</v>
      </c>
      <c r="N567" s="11">
        <v>3181.3910000000001</v>
      </c>
      <c r="O567" s="3">
        <f t="shared" si="81"/>
        <v>2.1953742815858934E-2</v>
      </c>
      <c r="P567" s="3">
        <f t="shared" si="82"/>
        <v>3.222098152078523E-2</v>
      </c>
      <c r="Q567" s="3">
        <f t="shared" si="83"/>
        <v>2.4398161167672683E-2</v>
      </c>
      <c r="R567" s="3">
        <f t="shared" si="84"/>
        <v>2.6409023313914259E-2</v>
      </c>
      <c r="S567" s="15">
        <f t="shared" si="77"/>
        <v>1.0219537428158589</v>
      </c>
      <c r="T567" s="15">
        <f t="shared" si="78"/>
        <v>1.0322209815207852</v>
      </c>
      <c r="U567" s="15">
        <f t="shared" si="79"/>
        <v>1.0243981611676727</v>
      </c>
      <c r="V567" s="15">
        <f t="shared" si="80"/>
        <v>1.0264090233139143</v>
      </c>
    </row>
    <row r="568" spans="1:22" x14ac:dyDescent="0.25">
      <c r="A568" s="8">
        <v>45534</v>
      </c>
      <c r="B568" s="11">
        <v>1.49</v>
      </c>
      <c r="C568" s="11">
        <v>1.8522000000000001</v>
      </c>
      <c r="D568" s="11">
        <v>2.1703999999999999</v>
      </c>
      <c r="E568" s="11">
        <v>2.3651</v>
      </c>
      <c r="F568" s="11">
        <v>1.7538</v>
      </c>
      <c r="G568" s="11">
        <v>1.8548</v>
      </c>
      <c r="H568" s="11">
        <v>1.87</v>
      </c>
      <c r="J568" s="8">
        <v>45561</v>
      </c>
      <c r="K568" s="11">
        <v>1820.2099000000001</v>
      </c>
      <c r="L568" s="11">
        <v>2471.0472</v>
      </c>
      <c r="M568" s="11">
        <v>2992.6196</v>
      </c>
      <c r="N568" s="11">
        <v>3182.8285000000001</v>
      </c>
      <c r="O568" s="3">
        <f t="shared" si="81"/>
        <v>2.1872339297946963E-2</v>
      </c>
      <c r="P568" s="3">
        <f t="shared" si="82"/>
        <v>3.1687653865592136E-2</v>
      </c>
      <c r="Q568" s="3">
        <f t="shared" si="83"/>
        <v>2.557842881975092E-2</v>
      </c>
      <c r="R568" s="3">
        <f t="shared" si="84"/>
        <v>2.6872802513331573E-2</v>
      </c>
      <c r="S568" s="15">
        <f t="shared" si="77"/>
        <v>1.021872339297947</v>
      </c>
      <c r="T568" s="15">
        <f t="shared" si="78"/>
        <v>1.0316876538655921</v>
      </c>
      <c r="U568" s="15">
        <f t="shared" si="79"/>
        <v>1.0255784288197509</v>
      </c>
      <c r="V568" s="15">
        <f t="shared" si="80"/>
        <v>1.0268728025133316</v>
      </c>
    </row>
    <row r="569" spans="1:22" x14ac:dyDescent="0.25">
      <c r="A569" s="8">
        <v>45537</v>
      </c>
      <c r="B569" s="11">
        <v>1.4650000000000001</v>
      </c>
      <c r="C569" s="11">
        <v>1.8085</v>
      </c>
      <c r="D569" s="11">
        <v>2.1457000000000002</v>
      </c>
      <c r="E569" s="11">
        <v>2.3424999999999998</v>
      </c>
      <c r="F569" s="11">
        <v>1.7177</v>
      </c>
      <c r="G569" s="11">
        <v>1.8088</v>
      </c>
      <c r="H569" s="11">
        <v>1.85</v>
      </c>
      <c r="J569" s="8">
        <v>45562</v>
      </c>
      <c r="K569" s="11">
        <v>1818.7238</v>
      </c>
      <c r="L569" s="11">
        <v>2465.1831000000002</v>
      </c>
      <c r="M569" s="11">
        <v>2991.2501999999999</v>
      </c>
      <c r="N569" s="11">
        <v>3178.9812999999999</v>
      </c>
      <c r="O569" s="3">
        <f t="shared" si="81"/>
        <v>2.1038037449884861E-2</v>
      </c>
      <c r="P569" s="3">
        <f t="shared" si="82"/>
        <v>2.9239331724666195E-2</v>
      </c>
      <c r="Q569" s="3">
        <f t="shared" si="83"/>
        <v>2.5109131919995864E-2</v>
      </c>
      <c r="R569" s="3">
        <f t="shared" si="84"/>
        <v>2.5631584192636891E-2</v>
      </c>
      <c r="S569" s="15">
        <f t="shared" si="77"/>
        <v>1.0210380374498849</v>
      </c>
      <c r="T569" s="15">
        <f t="shared" si="78"/>
        <v>1.0292393317246662</v>
      </c>
      <c r="U569" s="15">
        <f t="shared" si="79"/>
        <v>1.0251091319199959</v>
      </c>
      <c r="V569" s="15">
        <f t="shared" si="80"/>
        <v>1.0256315841926369</v>
      </c>
    </row>
    <row r="570" spans="1:22" x14ac:dyDescent="0.25">
      <c r="A570" s="8">
        <v>45538</v>
      </c>
      <c r="B570" s="11">
        <v>1.43</v>
      </c>
      <c r="C570" s="11">
        <v>1.7853000000000001</v>
      </c>
      <c r="D570" s="11">
        <v>2.1432000000000002</v>
      </c>
      <c r="E570" s="11">
        <v>2.339</v>
      </c>
      <c r="F570" s="11">
        <v>1.7107000000000001</v>
      </c>
      <c r="G570" s="11">
        <v>1.7886</v>
      </c>
      <c r="H570" s="11">
        <v>1.86</v>
      </c>
      <c r="J570" s="8">
        <v>45565</v>
      </c>
      <c r="K570" s="11">
        <v>1816.5628999999999</v>
      </c>
      <c r="L570" s="11">
        <v>2460.3344000000002</v>
      </c>
      <c r="M570" s="11">
        <v>2995.7242000000001</v>
      </c>
      <c r="N570" s="11">
        <v>3179.0646999999999</v>
      </c>
      <c r="O570" s="3">
        <f t="shared" si="81"/>
        <v>1.9824900471567597E-2</v>
      </c>
      <c r="P570" s="3">
        <f t="shared" si="82"/>
        <v>2.7214949540749211E-2</v>
      </c>
      <c r="Q570" s="3">
        <f t="shared" si="83"/>
        <v>2.6642383219472654E-2</v>
      </c>
      <c r="R570" s="3">
        <f t="shared" si="84"/>
        <v>2.5658491451928223E-2</v>
      </c>
      <c r="S570" s="15">
        <f t="shared" si="77"/>
        <v>1.0198249004715676</v>
      </c>
      <c r="T570" s="15">
        <f t="shared" si="78"/>
        <v>1.0272149495407492</v>
      </c>
      <c r="U570" s="15">
        <f t="shared" si="79"/>
        <v>1.0266423832194727</v>
      </c>
      <c r="V570" s="15">
        <f t="shared" si="80"/>
        <v>1.0256584914519282</v>
      </c>
    </row>
    <row r="571" spans="1:22" x14ac:dyDescent="0.25">
      <c r="A571" s="8">
        <v>45539</v>
      </c>
      <c r="B571" s="11">
        <v>1.4550000000000001</v>
      </c>
      <c r="C571" s="11">
        <v>1.7749999999999999</v>
      </c>
      <c r="D571" s="11">
        <v>2.1335999999999999</v>
      </c>
      <c r="E571" s="11">
        <v>2.3224999999999998</v>
      </c>
      <c r="F571" s="11">
        <v>1.7072000000000001</v>
      </c>
      <c r="G571" s="11">
        <v>1.7663</v>
      </c>
      <c r="H571" s="11">
        <v>1.9</v>
      </c>
      <c r="J571" s="8">
        <v>45573</v>
      </c>
      <c r="K571" s="11">
        <v>1815.7598</v>
      </c>
      <c r="L571" s="11">
        <v>2457.4268000000002</v>
      </c>
      <c r="M571" s="11">
        <v>2999.8058999999998</v>
      </c>
      <c r="N571" s="11">
        <v>3179.4825000000001</v>
      </c>
      <c r="O571" s="3">
        <f t="shared" si="81"/>
        <v>1.9374037263049759E-2</v>
      </c>
      <c r="P571" s="3">
        <f t="shared" si="82"/>
        <v>2.6000996597082215E-2</v>
      </c>
      <c r="Q571" s="3">
        <f t="shared" si="83"/>
        <v>2.804119230062474E-2</v>
      </c>
      <c r="R571" s="3">
        <f t="shared" si="84"/>
        <v>2.5793285851592129E-2</v>
      </c>
      <c r="S571" s="15">
        <f t="shared" si="77"/>
        <v>1.0193740372630498</v>
      </c>
      <c r="T571" s="15">
        <f t="shared" si="78"/>
        <v>1.0260009965970822</v>
      </c>
      <c r="U571" s="15">
        <f t="shared" si="79"/>
        <v>1.0280411923006247</v>
      </c>
      <c r="V571" s="15">
        <f t="shared" si="80"/>
        <v>1.0257932858515921</v>
      </c>
    </row>
    <row r="572" spans="1:22" x14ac:dyDescent="0.25">
      <c r="A572" s="8">
        <v>45540</v>
      </c>
      <c r="B572" s="11">
        <v>1.4475</v>
      </c>
      <c r="C572" s="11">
        <v>1.7761</v>
      </c>
      <c r="D572" s="11">
        <v>2.1337999999999999</v>
      </c>
      <c r="E572" s="11">
        <v>2.3125</v>
      </c>
      <c r="F572" s="11">
        <v>1.6992</v>
      </c>
      <c r="G572" s="11">
        <v>1.7473000000000001</v>
      </c>
      <c r="H572" s="11">
        <v>1.89</v>
      </c>
      <c r="J572" s="8">
        <v>45574</v>
      </c>
      <c r="K572" s="11">
        <v>1813.7741000000001</v>
      </c>
      <c r="L572" s="11">
        <v>2455.6979999999999</v>
      </c>
      <c r="M572" s="11">
        <v>2987.0702999999999</v>
      </c>
      <c r="N572" s="11">
        <v>3171.4728</v>
      </c>
      <c r="O572" s="3">
        <f t="shared" si="81"/>
        <v>1.8259258190513217E-2</v>
      </c>
      <c r="P572" s="3">
        <f t="shared" si="82"/>
        <v>2.5279204793185128E-2</v>
      </c>
      <c r="Q572" s="3">
        <f t="shared" si="83"/>
        <v>2.3676669446441423E-2</v>
      </c>
      <c r="R572" s="3">
        <f t="shared" si="84"/>
        <v>2.3209124283888549E-2</v>
      </c>
      <c r="S572" s="15">
        <f t="shared" si="77"/>
        <v>1.0182592581905132</v>
      </c>
      <c r="T572" s="15">
        <f t="shared" si="78"/>
        <v>1.0252792047931851</v>
      </c>
      <c r="U572" s="15">
        <f t="shared" si="79"/>
        <v>1.0236766694464414</v>
      </c>
      <c r="V572" s="15">
        <f t="shared" si="80"/>
        <v>1.0232091242838885</v>
      </c>
    </row>
    <row r="573" spans="1:22" x14ac:dyDescent="0.25">
      <c r="A573" s="8">
        <v>45541</v>
      </c>
      <c r="B573" s="11">
        <v>1.4352</v>
      </c>
      <c r="C573" s="11">
        <v>1.7789999999999999</v>
      </c>
      <c r="D573" s="11">
        <v>2.1387999999999998</v>
      </c>
      <c r="E573" s="11">
        <v>2.3090000000000002</v>
      </c>
      <c r="F573" s="11">
        <v>1.6958</v>
      </c>
      <c r="G573" s="11">
        <v>1.7519</v>
      </c>
      <c r="H573" s="11">
        <v>1.9</v>
      </c>
      <c r="J573" s="8">
        <v>45575</v>
      </c>
      <c r="K573" s="11">
        <v>1814.607</v>
      </c>
      <c r="L573" s="11">
        <v>2459.1210000000001</v>
      </c>
      <c r="M573" s="11">
        <v>2991.4611</v>
      </c>
      <c r="N573" s="11">
        <v>3175.7274000000002</v>
      </c>
      <c r="O573" s="3">
        <f t="shared" si="81"/>
        <v>1.872685122547102E-2</v>
      </c>
      <c r="P573" s="3">
        <f t="shared" si="82"/>
        <v>2.6708342544654151E-2</v>
      </c>
      <c r="Q573" s="3">
        <f t="shared" si="83"/>
        <v>2.5181407892070018E-2</v>
      </c>
      <c r="R573" s="3">
        <f t="shared" si="84"/>
        <v>2.4581781662560864E-2</v>
      </c>
      <c r="S573" s="15">
        <f t="shared" si="77"/>
        <v>1.018726851225471</v>
      </c>
      <c r="T573" s="15">
        <f t="shared" si="78"/>
        <v>1.0267083425446542</v>
      </c>
      <c r="U573" s="15">
        <f t="shared" si="79"/>
        <v>1.02518140789207</v>
      </c>
      <c r="V573" s="15">
        <f t="shared" si="80"/>
        <v>1.0245817816625609</v>
      </c>
    </row>
    <row r="574" spans="1:22" x14ac:dyDescent="0.25">
      <c r="A574" s="8">
        <v>45544</v>
      </c>
      <c r="B574" s="11">
        <v>1.4152</v>
      </c>
      <c r="C574" s="11">
        <v>1.77</v>
      </c>
      <c r="D574" s="11">
        <v>2.1267</v>
      </c>
      <c r="E574" s="11">
        <v>2.29</v>
      </c>
      <c r="F574" s="11">
        <v>1.7021999999999999</v>
      </c>
      <c r="G574" s="11">
        <v>1.7407999999999999</v>
      </c>
      <c r="H574" s="11">
        <v>1.93</v>
      </c>
      <c r="J574" s="8">
        <v>45576</v>
      </c>
      <c r="K574" s="11">
        <v>1815.9145000000001</v>
      </c>
      <c r="L574" s="11">
        <v>2461.6187</v>
      </c>
      <c r="M574" s="11">
        <v>2990.4317999999998</v>
      </c>
      <c r="N574" s="11">
        <v>3176.7527</v>
      </c>
      <c r="O574" s="3">
        <f t="shared" si="81"/>
        <v>1.9460886395608279E-2</v>
      </c>
      <c r="P574" s="3">
        <f t="shared" si="82"/>
        <v>2.7751158017001343E-2</v>
      </c>
      <c r="Q574" s="3">
        <f t="shared" si="83"/>
        <v>2.4828664136470779E-2</v>
      </c>
      <c r="R574" s="3">
        <f t="shared" si="84"/>
        <v>2.4912573184761033E-2</v>
      </c>
      <c r="S574" s="15">
        <f t="shared" si="77"/>
        <v>1.0194608863956083</v>
      </c>
      <c r="T574" s="15">
        <f t="shared" si="78"/>
        <v>1.0277511580170013</v>
      </c>
      <c r="U574" s="15">
        <f t="shared" si="79"/>
        <v>1.0248286641364708</v>
      </c>
      <c r="V574" s="15">
        <f t="shared" si="80"/>
        <v>1.024912573184761</v>
      </c>
    </row>
    <row r="575" spans="1:22" x14ac:dyDescent="0.25">
      <c r="A575" s="8">
        <v>45545</v>
      </c>
      <c r="B575" s="11">
        <v>1.3552</v>
      </c>
      <c r="C575" s="11">
        <v>1.7497</v>
      </c>
      <c r="D575" s="11">
        <v>2.1143000000000001</v>
      </c>
      <c r="E575" s="11">
        <v>2.2669999999999999</v>
      </c>
      <c r="F575" s="11">
        <v>1.6969000000000001</v>
      </c>
      <c r="G575" s="11">
        <v>1.7191000000000001</v>
      </c>
      <c r="H575" s="11">
        <v>1.95</v>
      </c>
      <c r="J575" s="8">
        <v>45579</v>
      </c>
      <c r="K575" s="11">
        <v>1817.8489999999999</v>
      </c>
      <c r="L575" s="11">
        <v>2464.348</v>
      </c>
      <c r="M575" s="11">
        <v>2997.0219000000002</v>
      </c>
      <c r="N575" s="11">
        <v>3181.9636</v>
      </c>
      <c r="O575" s="3">
        <f t="shared" si="81"/>
        <v>2.0546921605268276E-2</v>
      </c>
      <c r="P575" s="3">
        <f t="shared" si="82"/>
        <v>2.8890668874461012E-2</v>
      </c>
      <c r="Q575" s="3">
        <f t="shared" si="83"/>
        <v>2.7087108344937993E-2</v>
      </c>
      <c r="R575" s="3">
        <f t="shared" si="84"/>
        <v>2.6593760684061163E-2</v>
      </c>
      <c r="S575" s="15">
        <f t="shared" si="77"/>
        <v>1.0205469216052683</v>
      </c>
      <c r="T575" s="15">
        <f t="shared" si="78"/>
        <v>1.028890668874461</v>
      </c>
      <c r="U575" s="15">
        <f t="shared" si="79"/>
        <v>1.027087108344938</v>
      </c>
      <c r="V575" s="15">
        <f t="shared" si="80"/>
        <v>1.0265937606840612</v>
      </c>
    </row>
    <row r="576" spans="1:22" x14ac:dyDescent="0.25">
      <c r="A576" s="8">
        <v>45546</v>
      </c>
      <c r="B576" s="11">
        <v>1.3285</v>
      </c>
      <c r="C576" s="11">
        <v>1.7175</v>
      </c>
      <c r="D576" s="11">
        <v>2.1044</v>
      </c>
      <c r="E576" s="11">
        <v>2.2629999999999999</v>
      </c>
      <c r="F576" s="11">
        <v>1.6987000000000001</v>
      </c>
      <c r="G576" s="11">
        <v>1.7101</v>
      </c>
      <c r="H576" s="11">
        <v>1.94</v>
      </c>
      <c r="J576" s="8">
        <v>45580</v>
      </c>
      <c r="K576" s="11">
        <v>1818.5933</v>
      </c>
      <c r="L576" s="11">
        <v>2465.5713000000001</v>
      </c>
      <c r="M576" s="11">
        <v>2996.152</v>
      </c>
      <c r="N576" s="11">
        <v>3182.1550999999999</v>
      </c>
      <c r="O576" s="3">
        <f t="shared" si="81"/>
        <v>2.0964774283764198E-2</v>
      </c>
      <c r="P576" s="3">
        <f t="shared" si="82"/>
        <v>2.9401409222510111E-2</v>
      </c>
      <c r="Q576" s="3">
        <f t="shared" si="83"/>
        <v>2.678899137904267E-2</v>
      </c>
      <c r="R576" s="3">
        <f t="shared" si="84"/>
        <v>2.6655544139148946E-2</v>
      </c>
      <c r="S576" s="15">
        <f t="shared" si="77"/>
        <v>1.0209647742837642</v>
      </c>
      <c r="T576" s="15">
        <f t="shared" si="78"/>
        <v>1.0294014092225101</v>
      </c>
      <c r="U576" s="15">
        <f t="shared" si="79"/>
        <v>1.0267889913790427</v>
      </c>
      <c r="V576" s="15">
        <f t="shared" si="80"/>
        <v>1.0266555441391489</v>
      </c>
    </row>
    <row r="577" spans="1:22" x14ac:dyDescent="0.25">
      <c r="A577" s="8">
        <v>45547</v>
      </c>
      <c r="B577" s="11">
        <v>1.3260000000000001</v>
      </c>
      <c r="C577" s="11">
        <v>1.7232000000000001</v>
      </c>
      <c r="D577" s="11">
        <v>2.0998000000000001</v>
      </c>
      <c r="E577" s="11">
        <v>2.2471000000000001</v>
      </c>
      <c r="F577" s="11">
        <v>1.7085999999999999</v>
      </c>
      <c r="G577" s="11">
        <v>1.7218</v>
      </c>
      <c r="H577" s="11">
        <v>1.9</v>
      </c>
      <c r="J577" s="8">
        <v>45581</v>
      </c>
      <c r="K577" s="11">
        <v>1818.8920000000001</v>
      </c>
      <c r="L577" s="11">
        <v>2465.5358000000001</v>
      </c>
      <c r="M577" s="11">
        <v>2996.8552</v>
      </c>
      <c r="N577" s="11">
        <v>3182.5675000000001</v>
      </c>
      <c r="O577" s="3">
        <f t="shared" si="81"/>
        <v>2.1132465530662836E-2</v>
      </c>
      <c r="P577" s="3">
        <f t="shared" si="82"/>
        <v>2.9386587606916592E-2</v>
      </c>
      <c r="Q577" s="3">
        <f t="shared" si="83"/>
        <v>2.7029979826470596E-2</v>
      </c>
      <c r="R577" s="3">
        <f t="shared" si="84"/>
        <v>2.6788596342167903E-2</v>
      </c>
      <c r="S577" s="15">
        <f t="shared" si="77"/>
        <v>1.0211324655306628</v>
      </c>
      <c r="T577" s="15">
        <f t="shared" si="78"/>
        <v>1.0293865876069166</v>
      </c>
      <c r="U577" s="15">
        <f t="shared" si="79"/>
        <v>1.0270299798264706</v>
      </c>
      <c r="V577" s="15">
        <f t="shared" si="80"/>
        <v>1.0267885963421679</v>
      </c>
    </row>
    <row r="578" spans="1:22" x14ac:dyDescent="0.25">
      <c r="A578" s="8">
        <v>45548</v>
      </c>
      <c r="B578" s="11">
        <v>1.3260000000000001</v>
      </c>
      <c r="C578" s="11">
        <v>1.7204999999999999</v>
      </c>
      <c r="D578" s="11">
        <v>2.0724</v>
      </c>
      <c r="E578" s="11">
        <v>2.2176</v>
      </c>
      <c r="F578" s="11">
        <v>1.7171000000000001</v>
      </c>
      <c r="G578" s="11">
        <v>1.7174</v>
      </c>
      <c r="H578" s="11">
        <v>1.95</v>
      </c>
      <c r="J578" s="8">
        <v>45582</v>
      </c>
      <c r="K578" s="11">
        <v>1819.3530000000001</v>
      </c>
      <c r="L578" s="11">
        <v>2466.8746000000001</v>
      </c>
      <c r="M578" s="11">
        <v>2997.5805999999998</v>
      </c>
      <c r="N578" s="11">
        <v>3183.5945999999999</v>
      </c>
      <c r="O578" s="3">
        <f t="shared" si="81"/>
        <v>2.1391272577265807E-2</v>
      </c>
      <c r="P578" s="3">
        <f t="shared" si="82"/>
        <v>2.9945550394432363E-2</v>
      </c>
      <c r="Q578" s="3">
        <f t="shared" si="83"/>
        <v>2.7278576270958643E-2</v>
      </c>
      <c r="R578" s="3">
        <f t="shared" si="84"/>
        <v>2.7119968596582833E-2</v>
      </c>
      <c r="S578" s="15">
        <f t="shared" si="77"/>
        <v>1.0213912725772658</v>
      </c>
      <c r="T578" s="15">
        <f t="shared" si="78"/>
        <v>1.0299455503944324</v>
      </c>
      <c r="U578" s="15">
        <f t="shared" si="79"/>
        <v>1.0272785762709586</v>
      </c>
      <c r="V578" s="15">
        <f t="shared" si="80"/>
        <v>1.0271199685965828</v>
      </c>
    </row>
    <row r="579" spans="1:22" x14ac:dyDescent="0.25">
      <c r="A579" s="8">
        <v>45549</v>
      </c>
      <c r="B579" s="11">
        <v>1.331</v>
      </c>
      <c r="C579" s="11">
        <v>1.7009000000000001</v>
      </c>
      <c r="D579" s="11">
        <v>2.0425</v>
      </c>
      <c r="E579" s="11">
        <v>2.1829999999999998</v>
      </c>
      <c r="F579" s="11">
        <v>1.71</v>
      </c>
      <c r="G579" s="11"/>
      <c r="H579" s="11">
        <v>1.8</v>
      </c>
      <c r="J579" s="8">
        <v>45583</v>
      </c>
      <c r="K579" s="11">
        <v>1819.5079000000001</v>
      </c>
      <c r="L579" s="11">
        <v>2466.9940999999999</v>
      </c>
      <c r="M579" s="11">
        <v>3001.7728000000002</v>
      </c>
      <c r="N579" s="11">
        <v>3185.8155999999999</v>
      </c>
      <c r="O579" s="3">
        <f t="shared" si="81"/>
        <v>2.1478233990538609E-2</v>
      </c>
      <c r="P579" s="3">
        <f t="shared" si="82"/>
        <v>2.9995442875092593E-2</v>
      </c>
      <c r="Q579" s="3">
        <f t="shared" si="83"/>
        <v>2.8715253986127953E-2</v>
      </c>
      <c r="R579" s="3">
        <f t="shared" si="84"/>
        <v>2.7836527623995799E-2</v>
      </c>
      <c r="S579" s="15">
        <f t="shared" si="77"/>
        <v>1.0214782339905386</v>
      </c>
      <c r="T579" s="15">
        <f t="shared" si="78"/>
        <v>1.0299954428750926</v>
      </c>
      <c r="U579" s="15">
        <f t="shared" si="79"/>
        <v>1.028715253986128</v>
      </c>
      <c r="V579" s="15">
        <f t="shared" si="80"/>
        <v>1.0278365276239958</v>
      </c>
    </row>
    <row r="580" spans="1:22" x14ac:dyDescent="0.25">
      <c r="A580" s="8">
        <v>45553</v>
      </c>
      <c r="B580" s="11">
        <v>1.3660000000000001</v>
      </c>
      <c r="C580" s="11">
        <v>1.7217</v>
      </c>
      <c r="D580" s="11">
        <v>2.0402999999999998</v>
      </c>
      <c r="E580" s="11">
        <v>2.165</v>
      </c>
      <c r="F580" s="11">
        <v>1.7107000000000001</v>
      </c>
      <c r="G580" s="11">
        <v>1.6962999999999999</v>
      </c>
      <c r="H580" s="11">
        <v>1.9</v>
      </c>
      <c r="J580" s="8">
        <v>45586</v>
      </c>
      <c r="K580" s="11">
        <v>1819.6837</v>
      </c>
      <c r="L580" s="11">
        <v>2466.9940999999999</v>
      </c>
      <c r="M580" s="11">
        <v>3003.0684999999999</v>
      </c>
      <c r="N580" s="11">
        <v>3186.6030999999998</v>
      </c>
      <c r="O580" s="3">
        <f t="shared" si="81"/>
        <v>2.1576928738462176E-2</v>
      </c>
      <c r="P580" s="3">
        <f t="shared" si="82"/>
        <v>2.9995442875092593E-2</v>
      </c>
      <c r="Q580" s="3">
        <f t="shared" si="83"/>
        <v>2.9159293706452427E-2</v>
      </c>
      <c r="R580" s="3">
        <f t="shared" si="84"/>
        <v>2.8090597968024378E-2</v>
      </c>
      <c r="S580" s="15">
        <f t="shared" ref="S580:S643" si="85">(O580+1)</f>
        <v>1.0215769287384622</v>
      </c>
      <c r="T580" s="15">
        <f t="shared" ref="T580:T643" si="86">(P580+1)</f>
        <v>1.0299954428750926</v>
      </c>
      <c r="U580" s="15">
        <f t="shared" ref="U580:U643" si="87">(Q580+1)</f>
        <v>1.0291592937064524</v>
      </c>
      <c r="V580" s="15">
        <f t="shared" ref="V580:V643" si="88">(R580+1)</f>
        <v>1.0280905979680244</v>
      </c>
    </row>
    <row r="581" spans="1:22" x14ac:dyDescent="0.25">
      <c r="A581" s="8">
        <v>45554</v>
      </c>
      <c r="B581" s="11">
        <v>1.391</v>
      </c>
      <c r="C581" s="11">
        <v>1.7411000000000001</v>
      </c>
      <c r="D581" s="11">
        <v>2.0449999999999999</v>
      </c>
      <c r="E581" s="11">
        <v>2.17</v>
      </c>
      <c r="F581" s="11">
        <v>1.7201</v>
      </c>
      <c r="G581" s="11">
        <v>1.7055</v>
      </c>
      <c r="H581" s="11">
        <v>2</v>
      </c>
      <c r="J581" s="8">
        <v>45587</v>
      </c>
      <c r="K581" s="11">
        <v>1819.3205</v>
      </c>
      <c r="L581" s="11">
        <v>2465.5127000000002</v>
      </c>
      <c r="M581" s="11">
        <v>3002.1093999999998</v>
      </c>
      <c r="N581" s="11">
        <v>3185.3526999999999</v>
      </c>
      <c r="O581" s="3">
        <f t="shared" si="81"/>
        <v>2.137302696118204E-2</v>
      </c>
      <c r="P581" s="3">
        <f t="shared" si="82"/>
        <v>2.9376943119023169E-2</v>
      </c>
      <c r="Q581" s="3">
        <f t="shared" si="83"/>
        <v>2.8830607671287423E-2</v>
      </c>
      <c r="R581" s="3">
        <f t="shared" si="84"/>
        <v>2.7687182656058074E-2</v>
      </c>
      <c r="S581" s="15">
        <f t="shared" si="85"/>
        <v>1.021373026961182</v>
      </c>
      <c r="T581" s="15">
        <f t="shared" si="86"/>
        <v>1.0293769431190232</v>
      </c>
      <c r="U581" s="15">
        <f t="shared" si="87"/>
        <v>1.0288306076712874</v>
      </c>
      <c r="V581" s="15">
        <f t="shared" si="88"/>
        <v>1.0276871826560581</v>
      </c>
    </row>
    <row r="582" spans="1:22" x14ac:dyDescent="0.25">
      <c r="A582" s="8">
        <v>45555</v>
      </c>
      <c r="B582" s="11">
        <v>1.391</v>
      </c>
      <c r="C582" s="11">
        <v>1.7281</v>
      </c>
      <c r="D582" s="11">
        <v>2.0430999999999999</v>
      </c>
      <c r="E582" s="11">
        <v>2.15</v>
      </c>
      <c r="F582" s="11">
        <v>1.7201</v>
      </c>
      <c r="G582" s="11">
        <v>1.702</v>
      </c>
      <c r="H582" s="11">
        <v>2</v>
      </c>
      <c r="J582" s="8">
        <v>45588</v>
      </c>
      <c r="K582" s="11">
        <v>1818.731</v>
      </c>
      <c r="L582" s="11">
        <v>2464.1154000000001</v>
      </c>
      <c r="M582" s="11">
        <v>3001.0666000000001</v>
      </c>
      <c r="N582" s="11">
        <v>3184.2997</v>
      </c>
      <c r="O582" s="3">
        <f t="shared" si="81"/>
        <v>2.1042079555601889E-2</v>
      </c>
      <c r="P582" s="3">
        <f t="shared" si="82"/>
        <v>2.87935559790502E-2</v>
      </c>
      <c r="Q582" s="3">
        <f t="shared" si="83"/>
        <v>2.8473237430989284E-2</v>
      </c>
      <c r="R582" s="3">
        <f t="shared" si="84"/>
        <v>2.7347454310328478E-2</v>
      </c>
      <c r="S582" s="15">
        <f t="shared" si="85"/>
        <v>1.0210420795556019</v>
      </c>
      <c r="T582" s="15">
        <f t="shared" si="86"/>
        <v>1.0287935559790502</v>
      </c>
      <c r="U582" s="15">
        <f t="shared" si="87"/>
        <v>1.0284732374309893</v>
      </c>
      <c r="V582" s="15">
        <f t="shared" si="88"/>
        <v>1.0273474543103285</v>
      </c>
    </row>
    <row r="583" spans="1:22" x14ac:dyDescent="0.25">
      <c r="A583" s="8">
        <v>45558</v>
      </c>
      <c r="B583" s="11">
        <v>1.3878999999999999</v>
      </c>
      <c r="C583" s="11">
        <v>1.7314000000000001</v>
      </c>
      <c r="D583" s="11">
        <v>2.0381</v>
      </c>
      <c r="E583" s="11">
        <v>2.14</v>
      </c>
      <c r="F583" s="11">
        <v>1.7273000000000001</v>
      </c>
      <c r="G583" s="11">
        <v>1.7027000000000001</v>
      </c>
      <c r="H583" s="11">
        <v>2</v>
      </c>
      <c r="J583" s="8">
        <v>45589</v>
      </c>
      <c r="K583" s="11">
        <v>1818.7216000000001</v>
      </c>
      <c r="L583" s="11">
        <v>2463.9940999999999</v>
      </c>
      <c r="M583" s="11">
        <v>2999.0816</v>
      </c>
      <c r="N583" s="11">
        <v>3183.127</v>
      </c>
      <c r="O583" s="3">
        <f t="shared" si="81"/>
        <v>2.1036802362026874E-2</v>
      </c>
      <c r="P583" s="3">
        <f t="shared" si="82"/>
        <v>2.874291197985257E-2</v>
      </c>
      <c r="Q583" s="3">
        <f t="shared" si="83"/>
        <v>2.7792972828963869E-2</v>
      </c>
      <c r="R583" s="3">
        <f t="shared" si="84"/>
        <v>2.696910727230617E-2</v>
      </c>
      <c r="S583" s="15">
        <f t="shared" si="85"/>
        <v>1.0210368023620269</v>
      </c>
      <c r="T583" s="15">
        <f t="shared" si="86"/>
        <v>1.0287429119798526</v>
      </c>
      <c r="U583" s="15">
        <f t="shared" si="87"/>
        <v>1.0277929728289639</v>
      </c>
      <c r="V583" s="15">
        <f t="shared" si="88"/>
        <v>1.0269691072723062</v>
      </c>
    </row>
    <row r="584" spans="1:22" x14ac:dyDescent="0.25">
      <c r="A584" s="8">
        <v>45559</v>
      </c>
      <c r="B584" s="11">
        <v>1.4178999999999999</v>
      </c>
      <c r="C584" s="11">
        <v>1.7521</v>
      </c>
      <c r="D584" s="11">
        <v>2.0728</v>
      </c>
      <c r="E584" s="11">
        <v>2.19</v>
      </c>
      <c r="F584" s="11">
        <v>1.6675</v>
      </c>
      <c r="G584" s="11">
        <v>1.6928000000000001</v>
      </c>
      <c r="H584" s="11">
        <v>2.0499999999999998</v>
      </c>
      <c r="J584" s="8">
        <v>45590</v>
      </c>
      <c r="K584" s="11">
        <v>1818.7045000000001</v>
      </c>
      <c r="L584" s="11">
        <v>2463.8625000000002</v>
      </c>
      <c r="M584" s="11">
        <v>3000.5324000000001</v>
      </c>
      <c r="N584" s="11">
        <v>3183.8110000000001</v>
      </c>
      <c r="O584" s="3">
        <f t="shared" si="81"/>
        <v>2.1027202360949016E-2</v>
      </c>
      <c r="P584" s="3">
        <f t="shared" si="82"/>
        <v>2.8687967624581479E-2</v>
      </c>
      <c r="Q584" s="3">
        <f t="shared" si="83"/>
        <v>2.8290165717940408E-2</v>
      </c>
      <c r="R584" s="3">
        <f t="shared" si="84"/>
        <v>2.7189785513976883E-2</v>
      </c>
      <c r="S584" s="15">
        <f t="shared" si="85"/>
        <v>1.021027202360949</v>
      </c>
      <c r="T584" s="15">
        <f t="shared" si="86"/>
        <v>1.0286879676245815</v>
      </c>
      <c r="U584" s="15">
        <f t="shared" si="87"/>
        <v>1.0282901657179404</v>
      </c>
      <c r="V584" s="15">
        <f t="shared" si="88"/>
        <v>1.0271897855139769</v>
      </c>
    </row>
    <row r="585" spans="1:22" x14ac:dyDescent="0.25">
      <c r="A585" s="8">
        <v>45560</v>
      </c>
      <c r="B585" s="11">
        <v>1.3878999999999999</v>
      </c>
      <c r="C585" s="11">
        <v>1.6995</v>
      </c>
      <c r="D585" s="11">
        <v>2.0436999999999999</v>
      </c>
      <c r="E585" s="11">
        <v>2.1549999999999998</v>
      </c>
      <c r="F585" s="11">
        <v>1.6254999999999999</v>
      </c>
      <c r="G585" s="11">
        <v>1.6830000000000001</v>
      </c>
      <c r="H585" s="11">
        <v>2</v>
      </c>
      <c r="J585" s="8">
        <v>45593</v>
      </c>
      <c r="K585" s="11">
        <v>1818.7298000000001</v>
      </c>
      <c r="L585" s="11">
        <v>2463.5457999999999</v>
      </c>
      <c r="M585" s="11">
        <v>3000.9935</v>
      </c>
      <c r="N585" s="11">
        <v>3183.9159</v>
      </c>
      <c r="O585" s="3">
        <f t="shared" si="81"/>
        <v>2.1041405871315755E-2</v>
      </c>
      <c r="P585" s="3">
        <f t="shared" si="82"/>
        <v>2.8555742113073768E-2</v>
      </c>
      <c r="Q585" s="3">
        <f t="shared" si="83"/>
        <v>2.844818587310094E-2</v>
      </c>
      <c r="R585" s="3">
        <f t="shared" si="84"/>
        <v>2.722362929694655E-2</v>
      </c>
      <c r="S585" s="15">
        <f t="shared" si="85"/>
        <v>1.0210414058713158</v>
      </c>
      <c r="T585" s="15">
        <f t="shared" si="86"/>
        <v>1.0285557421130738</v>
      </c>
      <c r="U585" s="15">
        <f t="shared" si="87"/>
        <v>1.0284481858731009</v>
      </c>
      <c r="V585" s="15">
        <f t="shared" si="88"/>
        <v>1.0272236292969465</v>
      </c>
    </row>
    <row r="586" spans="1:22" x14ac:dyDescent="0.25">
      <c r="A586" s="8">
        <v>45561</v>
      </c>
      <c r="B586" s="11">
        <v>1.4029</v>
      </c>
      <c r="C586" s="11">
        <v>1.7316</v>
      </c>
      <c r="D586" s="11">
        <v>2.0787</v>
      </c>
      <c r="E586" s="11">
        <v>2.2200000000000002</v>
      </c>
      <c r="F586" s="11">
        <v>1.6123000000000001</v>
      </c>
      <c r="G586" s="11">
        <v>1.6763999999999999</v>
      </c>
      <c r="H586" s="11">
        <v>2.0499999999999998</v>
      </c>
      <c r="J586" s="8">
        <v>45594</v>
      </c>
      <c r="K586" s="11">
        <v>1818.7348999999999</v>
      </c>
      <c r="L586" s="11">
        <v>2463.7368000000001</v>
      </c>
      <c r="M586" s="11">
        <v>2999.2683999999999</v>
      </c>
      <c r="N586" s="11">
        <v>3183.0342000000001</v>
      </c>
      <c r="O586" s="3">
        <f t="shared" si="81"/>
        <v>2.1044269029531826E-2</v>
      </c>
      <c r="P586" s="3">
        <f t="shared" si="82"/>
        <v>2.8635486580070868E-2</v>
      </c>
      <c r="Q586" s="3">
        <f t="shared" si="83"/>
        <v>2.785698966909389E-2</v>
      </c>
      <c r="R586" s="3">
        <f t="shared" si="84"/>
        <v>2.6939167300336964E-2</v>
      </c>
      <c r="S586" s="15">
        <f t="shared" si="85"/>
        <v>1.0210442690295318</v>
      </c>
      <c r="T586" s="15">
        <f t="shared" si="86"/>
        <v>1.0286354865800709</v>
      </c>
      <c r="U586" s="15">
        <f t="shared" si="87"/>
        <v>1.0278569896690939</v>
      </c>
      <c r="V586" s="15">
        <f t="shared" si="88"/>
        <v>1.026939167300337</v>
      </c>
    </row>
    <row r="587" spans="1:22" x14ac:dyDescent="0.25">
      <c r="A587" s="8">
        <v>45562</v>
      </c>
      <c r="B587" s="11">
        <v>1.4379</v>
      </c>
      <c r="C587" s="11">
        <v>1.8311999999999999</v>
      </c>
      <c r="D587" s="11">
        <v>2.1714000000000002</v>
      </c>
      <c r="E587" s="11">
        <v>2.3475000000000001</v>
      </c>
      <c r="F587" s="11">
        <v>1.6131</v>
      </c>
      <c r="G587" s="11">
        <v>1.7623</v>
      </c>
      <c r="H587" s="11">
        <v>1.9</v>
      </c>
      <c r="J587" s="8">
        <v>45595</v>
      </c>
      <c r="K587" s="11">
        <v>1818.7396000000001</v>
      </c>
      <c r="L587" s="11">
        <v>2463.8292000000001</v>
      </c>
      <c r="M587" s="11">
        <v>2998.4578999999999</v>
      </c>
      <c r="N587" s="11">
        <v>3182.6226999999999</v>
      </c>
      <c r="O587" s="3">
        <f t="shared" si="81"/>
        <v>2.1046907626319555E-2</v>
      </c>
      <c r="P587" s="3">
        <f t="shared" si="82"/>
        <v>2.8674064531644117E-2</v>
      </c>
      <c r="Q587" s="3">
        <f t="shared" si="83"/>
        <v>2.7579229235874081E-2</v>
      </c>
      <c r="R587" s="3">
        <f t="shared" si="84"/>
        <v>2.6806405463425387E-2</v>
      </c>
      <c r="S587" s="15">
        <f t="shared" si="85"/>
        <v>1.0210469076263196</v>
      </c>
      <c r="T587" s="15">
        <f t="shared" si="86"/>
        <v>1.0286740645316441</v>
      </c>
      <c r="U587" s="15">
        <f t="shared" si="87"/>
        <v>1.0275792292358741</v>
      </c>
      <c r="V587" s="15">
        <f t="shared" si="88"/>
        <v>1.0268064054634254</v>
      </c>
    </row>
    <row r="588" spans="1:22" x14ac:dyDescent="0.25">
      <c r="A588" s="8">
        <v>45564</v>
      </c>
      <c r="B588" s="11">
        <v>1.4379</v>
      </c>
      <c r="C588" s="11">
        <v>1.9312</v>
      </c>
      <c r="D588" s="11">
        <v>2.2534000000000001</v>
      </c>
      <c r="E588" s="11">
        <v>2.4350000000000001</v>
      </c>
      <c r="F588" s="11">
        <v>1.6612</v>
      </c>
      <c r="G588" s="11">
        <v>1.8893</v>
      </c>
      <c r="H588" s="11">
        <v>1.8</v>
      </c>
      <c r="J588" s="8">
        <v>45596</v>
      </c>
      <c r="K588" s="11">
        <v>1818.9563000000001</v>
      </c>
      <c r="L588" s="11">
        <v>2464.6543000000001</v>
      </c>
      <c r="M588" s="11">
        <v>2999.7905999999998</v>
      </c>
      <c r="N588" s="11">
        <v>3183.7352000000001</v>
      </c>
      <c r="O588" s="3">
        <f t="shared" si="81"/>
        <v>2.1168563780330052E-2</v>
      </c>
      <c r="P588" s="3">
        <f t="shared" si="82"/>
        <v>2.9018552278865073E-2</v>
      </c>
      <c r="Q588" s="3">
        <f t="shared" si="83"/>
        <v>2.803594895129935E-2</v>
      </c>
      <c r="R588" s="3">
        <f t="shared" si="84"/>
        <v>2.7165330235148444E-2</v>
      </c>
      <c r="S588" s="15">
        <f t="shared" si="85"/>
        <v>1.0211685637803301</v>
      </c>
      <c r="T588" s="15">
        <f t="shared" si="86"/>
        <v>1.0290185522788651</v>
      </c>
      <c r="U588" s="15">
        <f t="shared" si="87"/>
        <v>1.0280359489512993</v>
      </c>
      <c r="V588" s="15">
        <f t="shared" si="88"/>
        <v>1.0271653302351484</v>
      </c>
    </row>
    <row r="589" spans="1:22" x14ac:dyDescent="0.25">
      <c r="A589" s="8">
        <v>45565</v>
      </c>
      <c r="B589" s="11">
        <v>1.3678999999999999</v>
      </c>
      <c r="C589" s="11">
        <v>1.8388</v>
      </c>
      <c r="D589" s="11">
        <v>2.1518000000000002</v>
      </c>
      <c r="E589" s="11">
        <v>2.355</v>
      </c>
      <c r="F589" s="11">
        <v>1.6431</v>
      </c>
      <c r="G589" s="11">
        <v>1.8393999999999999</v>
      </c>
      <c r="H589" s="11">
        <v>2.4</v>
      </c>
      <c r="J589" s="8">
        <v>45597</v>
      </c>
      <c r="K589" s="11">
        <v>1819.4942000000001</v>
      </c>
      <c r="L589" s="11">
        <v>2466.3525</v>
      </c>
      <c r="M589" s="11">
        <v>3001.0536999999999</v>
      </c>
      <c r="N589" s="11">
        <v>3185.7285000000002</v>
      </c>
      <c r="O589" s="3">
        <f t="shared" si="81"/>
        <v>2.1470542761604872E-2</v>
      </c>
      <c r="P589" s="3">
        <f t="shared" si="82"/>
        <v>2.9727568267630788E-2</v>
      </c>
      <c r="Q589" s="3">
        <f t="shared" si="83"/>
        <v>2.84688165678324E-2</v>
      </c>
      <c r="R589" s="3">
        <f t="shared" si="84"/>
        <v>2.7808426637373707E-2</v>
      </c>
      <c r="S589" s="15">
        <f t="shared" si="85"/>
        <v>1.0214705427616049</v>
      </c>
      <c r="T589" s="15">
        <f t="shared" si="86"/>
        <v>1.0297275682676308</v>
      </c>
      <c r="U589" s="15">
        <f t="shared" si="87"/>
        <v>1.0284688165678324</v>
      </c>
      <c r="V589" s="15">
        <f t="shared" si="88"/>
        <v>1.0278084266373737</v>
      </c>
    </row>
    <row r="590" spans="1:22" x14ac:dyDescent="0.25">
      <c r="A590" s="8">
        <v>45573</v>
      </c>
      <c r="B590" s="11">
        <v>1.3729</v>
      </c>
      <c r="C590" s="11">
        <v>1.9106000000000001</v>
      </c>
      <c r="D590" s="11">
        <v>2.1928000000000001</v>
      </c>
      <c r="E590" s="11">
        <v>2.38</v>
      </c>
      <c r="F590" s="11">
        <v>1.6655</v>
      </c>
      <c r="G590" s="11">
        <v>1.8395999999999999</v>
      </c>
      <c r="H590" s="11">
        <v>1.9</v>
      </c>
      <c r="J590" s="8">
        <v>45600</v>
      </c>
      <c r="K590" s="11">
        <v>1819.9106999999999</v>
      </c>
      <c r="L590" s="11">
        <v>2466.9947000000002</v>
      </c>
      <c r="M590" s="11">
        <v>3003.6363000000001</v>
      </c>
      <c r="N590" s="11">
        <v>3187.4872</v>
      </c>
      <c r="O590" s="3">
        <f t="shared" si="81"/>
        <v>2.1704367349262288E-2</v>
      </c>
      <c r="P590" s="3">
        <f t="shared" si="82"/>
        <v>2.9995693381271948E-2</v>
      </c>
      <c r="Q590" s="3">
        <f t="shared" si="83"/>
        <v>2.9353880225863049E-2</v>
      </c>
      <c r="R590" s="3">
        <f t="shared" si="84"/>
        <v>2.8375834274253942E-2</v>
      </c>
      <c r="S590" s="15">
        <f t="shared" si="85"/>
        <v>1.0217043673492623</v>
      </c>
      <c r="T590" s="15">
        <f t="shared" si="86"/>
        <v>1.0299956933812719</v>
      </c>
      <c r="U590" s="15">
        <f t="shared" si="87"/>
        <v>1.029353880225863</v>
      </c>
      <c r="V590" s="15">
        <f t="shared" si="88"/>
        <v>1.0283758342742539</v>
      </c>
    </row>
    <row r="591" spans="1:22" x14ac:dyDescent="0.25">
      <c r="A591" s="8">
        <v>45574</v>
      </c>
      <c r="B591" s="11">
        <v>1.4278999999999999</v>
      </c>
      <c r="C591" s="11">
        <v>1.8886000000000001</v>
      </c>
      <c r="D591" s="11">
        <v>2.1760000000000002</v>
      </c>
      <c r="E591" s="11">
        <v>2.3576000000000001</v>
      </c>
      <c r="F591" s="11">
        <v>1.7125999999999999</v>
      </c>
      <c r="G591" s="11">
        <v>1.8453999999999999</v>
      </c>
      <c r="H591" s="11">
        <v>2.0499999999999998</v>
      </c>
      <c r="J591" s="8">
        <v>45601</v>
      </c>
      <c r="K591" s="11">
        <v>1820.0790999999999</v>
      </c>
      <c r="L591" s="11">
        <v>2467.5392000000002</v>
      </c>
      <c r="M591" s="11">
        <v>3007.1585</v>
      </c>
      <c r="N591" s="11">
        <v>3189.5632000000001</v>
      </c>
      <c r="O591" s="3">
        <f t="shared" si="81"/>
        <v>2.1798907710754545E-2</v>
      </c>
      <c r="P591" s="3">
        <f t="shared" si="82"/>
        <v>3.0223027738757846E-2</v>
      </c>
      <c r="Q591" s="3">
        <f t="shared" si="83"/>
        <v>3.0560947218937873E-2</v>
      </c>
      <c r="R591" s="3">
        <f t="shared" si="84"/>
        <v>2.9045612095464746E-2</v>
      </c>
      <c r="S591" s="15">
        <f t="shared" si="85"/>
        <v>1.0217989077107545</v>
      </c>
      <c r="T591" s="15">
        <f t="shared" si="86"/>
        <v>1.0302230277387578</v>
      </c>
      <c r="U591" s="15">
        <f t="shared" si="87"/>
        <v>1.0305609472189379</v>
      </c>
      <c r="V591" s="15">
        <f t="shared" si="88"/>
        <v>1.0290456120954647</v>
      </c>
    </row>
    <row r="592" spans="1:22" x14ac:dyDescent="0.25">
      <c r="A592" s="8">
        <v>45575</v>
      </c>
      <c r="B592" s="11">
        <v>1.4379</v>
      </c>
      <c r="C592" s="11">
        <v>1.8326</v>
      </c>
      <c r="D592" s="11">
        <v>2.1440999999999999</v>
      </c>
      <c r="E592" s="11">
        <v>2.29</v>
      </c>
      <c r="F592" s="11">
        <v>1.6884999999999999</v>
      </c>
      <c r="G592" s="11">
        <v>1.794</v>
      </c>
      <c r="H592" s="11">
        <v>2.1</v>
      </c>
      <c r="J592" s="8">
        <v>45602</v>
      </c>
      <c r="K592" s="11">
        <v>1820.2158999999999</v>
      </c>
      <c r="L592" s="11">
        <v>2467.5796</v>
      </c>
      <c r="M592" s="11">
        <v>3006.8784000000001</v>
      </c>
      <c r="N592" s="11">
        <v>3189.4976999999999</v>
      </c>
      <c r="O592" s="3">
        <f t="shared" si="81"/>
        <v>2.1875707719377635E-2</v>
      </c>
      <c r="P592" s="3">
        <f t="shared" si="82"/>
        <v>3.0239895154813734E-2</v>
      </c>
      <c r="Q592" s="3">
        <f t="shared" si="83"/>
        <v>3.0464956228999585E-2</v>
      </c>
      <c r="R592" s="3">
        <f t="shared" si="84"/>
        <v>2.9024479895421784E-2</v>
      </c>
      <c r="S592" s="15">
        <f t="shared" si="85"/>
        <v>1.0218757077193776</v>
      </c>
      <c r="T592" s="15">
        <f t="shared" si="86"/>
        <v>1.0302398951548137</v>
      </c>
      <c r="U592" s="15">
        <f t="shared" si="87"/>
        <v>1.0304649562289996</v>
      </c>
      <c r="V592" s="15">
        <f t="shared" si="88"/>
        <v>1.0290244798954218</v>
      </c>
    </row>
    <row r="593" spans="1:22" x14ac:dyDescent="0.25">
      <c r="A593" s="8">
        <v>45576</v>
      </c>
      <c r="B593" s="11">
        <v>1.4429000000000001</v>
      </c>
      <c r="C593" s="11">
        <v>1.8170999999999999</v>
      </c>
      <c r="D593" s="11">
        <v>2.1392000000000002</v>
      </c>
      <c r="E593" s="11">
        <v>2.2999999999999998</v>
      </c>
      <c r="F593" s="11">
        <v>1.6549</v>
      </c>
      <c r="G593" s="11">
        <v>1.7668999999999999</v>
      </c>
      <c r="H593" s="11">
        <v>1.9</v>
      </c>
      <c r="J593" s="8">
        <v>45603</v>
      </c>
      <c r="K593" s="11">
        <v>1820.6674</v>
      </c>
      <c r="L593" s="11">
        <v>2468.7211000000002</v>
      </c>
      <c r="M593" s="11">
        <v>3010.6244999999999</v>
      </c>
      <c r="N593" s="11">
        <v>3192.1603</v>
      </c>
      <c r="O593" s="3">
        <f t="shared" si="81"/>
        <v>2.2129181432048339E-2</v>
      </c>
      <c r="P593" s="3">
        <f t="shared" si="82"/>
        <v>3.0716483160452723E-2</v>
      </c>
      <c r="Q593" s="3">
        <f t="shared" si="83"/>
        <v>3.1748754327562301E-2</v>
      </c>
      <c r="R593" s="3">
        <f t="shared" si="84"/>
        <v>2.9883511892895731E-2</v>
      </c>
      <c r="S593" s="15">
        <f t="shared" si="85"/>
        <v>1.0221291814320483</v>
      </c>
      <c r="T593" s="15">
        <f t="shared" si="86"/>
        <v>1.0307164831604527</v>
      </c>
      <c r="U593" s="15">
        <f t="shared" si="87"/>
        <v>1.0317487543275623</v>
      </c>
      <c r="V593" s="15">
        <f t="shared" si="88"/>
        <v>1.0298835118928957</v>
      </c>
    </row>
    <row r="594" spans="1:22" x14ac:dyDescent="0.25">
      <c r="A594" s="8">
        <v>45577</v>
      </c>
      <c r="B594" s="11">
        <v>1.4178999999999999</v>
      </c>
      <c r="C594" s="11">
        <v>1.8122</v>
      </c>
      <c r="D594" s="11">
        <v>2.1440999999999999</v>
      </c>
      <c r="E594" s="11">
        <v>2.2999999999999998</v>
      </c>
      <c r="F594" s="11">
        <v>1.6637</v>
      </c>
      <c r="G594" s="11">
        <v>1.7798</v>
      </c>
      <c r="H594" s="11">
        <v>1.57</v>
      </c>
      <c r="J594" s="8">
        <v>45604</v>
      </c>
      <c r="K594" s="11">
        <v>1820.8891000000001</v>
      </c>
      <c r="L594" s="11">
        <v>2469.4279000000001</v>
      </c>
      <c r="M594" s="11">
        <v>3010.7462</v>
      </c>
      <c r="N594" s="11">
        <v>3192.6637999999998</v>
      </c>
      <c r="O594" s="3">
        <f t="shared" si="81"/>
        <v>2.2253644603918099E-2</v>
      </c>
      <c r="P594" s="3">
        <f t="shared" si="82"/>
        <v>3.1011579439371273E-2</v>
      </c>
      <c r="Q594" s="3">
        <f t="shared" si="83"/>
        <v>3.1790461230366773E-2</v>
      </c>
      <c r="R594" s="3">
        <f t="shared" si="84"/>
        <v>3.0045955598569929E-2</v>
      </c>
      <c r="S594" s="15">
        <f t="shared" si="85"/>
        <v>1.0222536446039181</v>
      </c>
      <c r="T594" s="15">
        <f t="shared" si="86"/>
        <v>1.0310115794393713</v>
      </c>
      <c r="U594" s="15">
        <f t="shared" si="87"/>
        <v>1.0317904612303668</v>
      </c>
      <c r="V594" s="15">
        <f t="shared" si="88"/>
        <v>1.0300459555985699</v>
      </c>
    </row>
    <row r="595" spans="1:22" x14ac:dyDescent="0.25">
      <c r="A595" s="8">
        <v>45579</v>
      </c>
      <c r="B595" s="11">
        <v>1.4479</v>
      </c>
      <c r="C595" s="11">
        <v>1.819</v>
      </c>
      <c r="D595" s="11">
        <v>2.1368</v>
      </c>
      <c r="E595" s="11">
        <v>2.3126000000000002</v>
      </c>
      <c r="F595" s="11">
        <v>1.6560999999999999</v>
      </c>
      <c r="G595" s="11">
        <v>1.7686999999999999</v>
      </c>
      <c r="H595" s="11">
        <v>1.92</v>
      </c>
      <c r="J595" s="8">
        <v>45607</v>
      </c>
      <c r="K595" s="11">
        <v>1821.3335</v>
      </c>
      <c r="L595" s="11">
        <v>2470.3485000000001</v>
      </c>
      <c r="M595" s="11">
        <v>3014.0111999999999</v>
      </c>
      <c r="N595" s="11">
        <v>3194.7941000000001</v>
      </c>
      <c r="O595" s="3">
        <f t="shared" si="81"/>
        <v>2.2503132351228805E-2</v>
      </c>
      <c r="P595" s="3">
        <f t="shared" si="82"/>
        <v>3.1395939420090668E-2</v>
      </c>
      <c r="Q595" s="3">
        <f t="shared" si="83"/>
        <v>3.2909385122362966E-2</v>
      </c>
      <c r="R595" s="3">
        <f t="shared" si="84"/>
        <v>3.0733252174930836E-2</v>
      </c>
      <c r="S595" s="15">
        <f t="shared" si="85"/>
        <v>1.0225031323512288</v>
      </c>
      <c r="T595" s="15">
        <f t="shared" si="86"/>
        <v>1.0313959394200907</v>
      </c>
      <c r="U595" s="15">
        <f t="shared" si="87"/>
        <v>1.032909385122363</v>
      </c>
      <c r="V595" s="15">
        <f t="shared" si="88"/>
        <v>1.0307332521749308</v>
      </c>
    </row>
    <row r="596" spans="1:22" x14ac:dyDescent="0.25">
      <c r="A596" s="8">
        <v>45580</v>
      </c>
      <c r="B596" s="11">
        <v>1.4503999999999999</v>
      </c>
      <c r="C596" s="11">
        <v>1.8065</v>
      </c>
      <c r="D596" s="11">
        <v>2.1254</v>
      </c>
      <c r="E596" s="11">
        <v>2.3125</v>
      </c>
      <c r="F596" s="11">
        <v>1.6666000000000001</v>
      </c>
      <c r="G596" s="11">
        <v>1.7616000000000001</v>
      </c>
      <c r="H596" s="11">
        <v>1.88</v>
      </c>
      <c r="J596" s="8">
        <v>45608</v>
      </c>
      <c r="K596" s="11">
        <v>1821.7556999999999</v>
      </c>
      <c r="L596" s="11">
        <v>2471.6010000000001</v>
      </c>
      <c r="M596" s="11">
        <v>3013.7914000000001</v>
      </c>
      <c r="N596" s="11">
        <v>3195.3771999999999</v>
      </c>
      <c r="O596" s="3">
        <f t="shared" si="81"/>
        <v>2.2740156939245582E-2</v>
      </c>
      <c r="P596" s="3">
        <f t="shared" si="82"/>
        <v>3.1918871068853383E-2</v>
      </c>
      <c r="Q596" s="3">
        <f t="shared" si="83"/>
        <v>3.2834059097413215E-2</v>
      </c>
      <c r="R596" s="3">
        <f t="shared" si="84"/>
        <v>3.092137714966503E-2</v>
      </c>
      <c r="S596" s="15">
        <f t="shared" si="85"/>
        <v>1.0227401569392456</v>
      </c>
      <c r="T596" s="15">
        <f t="shared" si="86"/>
        <v>1.0319188710688534</v>
      </c>
      <c r="U596" s="15">
        <f t="shared" si="87"/>
        <v>1.0328340590974132</v>
      </c>
      <c r="V596" s="15">
        <f t="shared" si="88"/>
        <v>1.030921377149665</v>
      </c>
    </row>
    <row r="597" spans="1:22" x14ac:dyDescent="0.25">
      <c r="A597" s="8">
        <v>45581</v>
      </c>
      <c r="B597" s="11">
        <v>1.4503999999999999</v>
      </c>
      <c r="C597" s="11">
        <v>1.8214999999999999</v>
      </c>
      <c r="D597" s="11">
        <v>2.1331000000000002</v>
      </c>
      <c r="E597" s="11">
        <v>2.3279999999999998</v>
      </c>
      <c r="F597" s="11">
        <v>1.6800999999999999</v>
      </c>
      <c r="G597" s="11">
        <v>1.7503</v>
      </c>
      <c r="H597" s="11">
        <v>1.9</v>
      </c>
      <c r="J597" s="8">
        <v>45609</v>
      </c>
      <c r="K597" s="11">
        <v>1821.8418999999999</v>
      </c>
      <c r="L597" s="11">
        <v>2471.2420000000002</v>
      </c>
      <c r="M597" s="11">
        <v>3013.6493999999998</v>
      </c>
      <c r="N597" s="11">
        <v>3195.1997999999999</v>
      </c>
      <c r="O597" s="3">
        <f t="shared" ref="O597:O631" si="89">K597/$K$390-1</f>
        <v>2.2788549927135415E-2</v>
      </c>
      <c r="P597" s="3">
        <f t="shared" ref="P597:P631" si="90">L597/$L$390-1</f>
        <v>3.1768984871723083E-2</v>
      </c>
      <c r="Q597" s="3">
        <f t="shared" ref="Q597:Q631" si="91">M597/$M$390-1</f>
        <v>3.2785395332431966E-2</v>
      </c>
      <c r="R597" s="3">
        <f t="shared" ref="R597:R631" si="92">N597/$N$390-1</f>
        <v>3.0864142763594282E-2</v>
      </c>
      <c r="S597" s="15">
        <f t="shared" si="85"/>
        <v>1.0227885499271354</v>
      </c>
      <c r="T597" s="15">
        <f t="shared" si="86"/>
        <v>1.0317689848717231</v>
      </c>
      <c r="U597" s="15">
        <f t="shared" si="87"/>
        <v>1.032785395332432</v>
      </c>
      <c r="V597" s="15">
        <f t="shared" si="88"/>
        <v>1.0308641427635943</v>
      </c>
    </row>
    <row r="598" spans="1:22" x14ac:dyDescent="0.25">
      <c r="A598" s="8">
        <v>45582</v>
      </c>
      <c r="B598" s="11">
        <v>1.4278999999999999</v>
      </c>
      <c r="C598" s="11">
        <v>1.7805</v>
      </c>
      <c r="D598" s="11">
        <v>2.1084000000000001</v>
      </c>
      <c r="E598" s="11">
        <v>2.2949999999999999</v>
      </c>
      <c r="F598" s="11">
        <v>1.6891</v>
      </c>
      <c r="G598" s="11">
        <v>1.7361</v>
      </c>
      <c r="H598" s="11">
        <v>1.88</v>
      </c>
      <c r="J598" s="8">
        <v>45610</v>
      </c>
      <c r="K598" s="11">
        <v>1822.0016000000001</v>
      </c>
      <c r="L598" s="11">
        <v>2471.5102000000002</v>
      </c>
      <c r="M598" s="11">
        <v>3011.0333000000001</v>
      </c>
      <c r="N598" s="11">
        <v>3194.0304999999998</v>
      </c>
      <c r="O598" s="3">
        <f t="shared" si="89"/>
        <v>2.2878206077552976E-2</v>
      </c>
      <c r="P598" s="3">
        <f t="shared" si="90"/>
        <v>3.1880961133757602E-2</v>
      </c>
      <c r="Q598" s="3">
        <f t="shared" si="91"/>
        <v>3.188885113829687E-2</v>
      </c>
      <c r="R598" s="3">
        <f t="shared" si="92"/>
        <v>3.0486892664200349E-2</v>
      </c>
      <c r="S598" s="15">
        <f t="shared" si="85"/>
        <v>1.022878206077553</v>
      </c>
      <c r="T598" s="15">
        <f t="shared" si="86"/>
        <v>1.0318809611337576</v>
      </c>
      <c r="U598" s="15">
        <f t="shared" si="87"/>
        <v>1.0318888511382969</v>
      </c>
      <c r="V598" s="15">
        <f t="shared" si="88"/>
        <v>1.0304868926642003</v>
      </c>
    </row>
    <row r="599" spans="1:22" x14ac:dyDescent="0.25">
      <c r="A599" s="8">
        <v>45583</v>
      </c>
      <c r="B599" s="11">
        <v>1.4329000000000001</v>
      </c>
      <c r="C599" s="11">
        <v>1.7882</v>
      </c>
      <c r="D599" s="11">
        <v>2.1208999999999998</v>
      </c>
      <c r="E599" s="11">
        <v>2.3050000000000002</v>
      </c>
      <c r="F599" s="11">
        <v>1.69</v>
      </c>
      <c r="G599" s="11">
        <v>1.7382</v>
      </c>
      <c r="H599" s="11">
        <v>1.85</v>
      </c>
      <c r="J599" s="8">
        <v>45611</v>
      </c>
      <c r="K599" s="11">
        <v>1822.2352000000001</v>
      </c>
      <c r="L599" s="11">
        <v>2471.9061999999999</v>
      </c>
      <c r="M599" s="11">
        <v>3009.3944000000001</v>
      </c>
      <c r="N599" s="11">
        <v>3193.6048999999998</v>
      </c>
      <c r="O599" s="3">
        <f t="shared" si="89"/>
        <v>2.3009349951927049E-2</v>
      </c>
      <c r="P599" s="3">
        <f t="shared" si="90"/>
        <v>3.2046295211929143E-2</v>
      </c>
      <c r="Q599" s="3">
        <f t="shared" si="91"/>
        <v>3.132719589584898E-2</v>
      </c>
      <c r="R599" s="3">
        <f t="shared" si="92"/>
        <v>3.034958175827196E-2</v>
      </c>
      <c r="S599" s="15">
        <f t="shared" si="85"/>
        <v>1.023009349951927</v>
      </c>
      <c r="T599" s="15">
        <f t="shared" si="86"/>
        <v>1.0320462952119291</v>
      </c>
      <c r="U599" s="15">
        <f t="shared" si="87"/>
        <v>1.031327195895849</v>
      </c>
      <c r="V599" s="15">
        <f t="shared" si="88"/>
        <v>1.030349581758272</v>
      </c>
    </row>
    <row r="600" spans="1:22" x14ac:dyDescent="0.25">
      <c r="A600" s="8">
        <v>45586</v>
      </c>
      <c r="B600" s="11">
        <v>1.4354</v>
      </c>
      <c r="C600" s="11">
        <v>1.7938000000000001</v>
      </c>
      <c r="D600" s="11">
        <v>2.1211000000000002</v>
      </c>
      <c r="E600" s="11">
        <v>2.3075000000000001</v>
      </c>
      <c r="F600" s="11">
        <v>1.696</v>
      </c>
      <c r="G600" s="11">
        <v>1.7557</v>
      </c>
      <c r="H600" s="11">
        <v>1.92</v>
      </c>
      <c r="J600" s="8">
        <v>45614</v>
      </c>
      <c r="K600" s="11">
        <v>1822.3412000000001</v>
      </c>
      <c r="L600" s="11">
        <v>2471.3858</v>
      </c>
      <c r="M600" s="11">
        <v>3007.1974</v>
      </c>
      <c r="N600" s="11">
        <v>3192.3714</v>
      </c>
      <c r="O600" s="3">
        <f t="shared" si="89"/>
        <v>2.3068858730538544E-2</v>
      </c>
      <c r="P600" s="3">
        <f t="shared" si="90"/>
        <v>3.1829022852634781E-2</v>
      </c>
      <c r="Q600" s="3">
        <f t="shared" si="91"/>
        <v>3.0574278348922013E-2</v>
      </c>
      <c r="R600" s="3">
        <f t="shared" si="92"/>
        <v>2.9951618876545849E-2</v>
      </c>
      <c r="S600" s="15">
        <f t="shared" si="85"/>
        <v>1.0230688587305385</v>
      </c>
      <c r="T600" s="15">
        <f t="shared" si="86"/>
        <v>1.0318290228526348</v>
      </c>
      <c r="U600" s="15">
        <f t="shared" si="87"/>
        <v>1.030574278348922</v>
      </c>
      <c r="V600" s="15">
        <f t="shared" si="88"/>
        <v>1.0299516188765458</v>
      </c>
    </row>
    <row r="601" spans="1:22" x14ac:dyDescent="0.25">
      <c r="A601" s="8">
        <v>45587</v>
      </c>
      <c r="B601" s="11">
        <v>1.4349000000000001</v>
      </c>
      <c r="C601" s="11">
        <v>1.8315999999999999</v>
      </c>
      <c r="D601" s="11">
        <v>2.1457999999999999</v>
      </c>
      <c r="E601" s="11">
        <v>2.34</v>
      </c>
      <c r="F601" s="11">
        <v>1.7191000000000001</v>
      </c>
      <c r="G601" s="11">
        <v>1.7778</v>
      </c>
      <c r="H601" s="11">
        <v>1.92</v>
      </c>
      <c r="J601" s="8">
        <v>45615</v>
      </c>
      <c r="K601" s="11">
        <v>1822.5169000000001</v>
      </c>
      <c r="L601" s="11">
        <v>2471.9771999999998</v>
      </c>
      <c r="M601" s="11">
        <v>3009.7121000000002</v>
      </c>
      <c r="N601" s="11">
        <v>3193.9890999999998</v>
      </c>
      <c r="O601" s="3">
        <f t="shared" si="89"/>
        <v>2.3167497338105081E-2</v>
      </c>
      <c r="P601" s="3">
        <f t="shared" si="90"/>
        <v>3.2075938443116403E-2</v>
      </c>
      <c r="Q601" s="3">
        <f t="shared" si="91"/>
        <v>3.1436072502430079E-2</v>
      </c>
      <c r="R601" s="3">
        <f t="shared" si="92"/>
        <v>3.047353582325707E-2</v>
      </c>
      <c r="S601" s="15">
        <f t="shared" si="85"/>
        <v>1.0231674973381051</v>
      </c>
      <c r="T601" s="15">
        <f t="shared" si="86"/>
        <v>1.0320759384431164</v>
      </c>
      <c r="U601" s="15">
        <f t="shared" si="87"/>
        <v>1.0314360725024301</v>
      </c>
      <c r="V601" s="15">
        <f t="shared" si="88"/>
        <v>1.0304735358232571</v>
      </c>
    </row>
    <row r="602" spans="1:22" x14ac:dyDescent="0.25">
      <c r="A602" s="8">
        <v>45588</v>
      </c>
      <c r="B602" s="11">
        <v>1.4254</v>
      </c>
      <c r="C602" s="11">
        <v>1.8443000000000001</v>
      </c>
      <c r="D602" s="11">
        <v>2.1558999999999999</v>
      </c>
      <c r="E602" s="11">
        <v>2.355</v>
      </c>
      <c r="F602" s="11">
        <v>1.7370000000000001</v>
      </c>
      <c r="G602" s="11">
        <v>1.8105</v>
      </c>
      <c r="H602" s="11">
        <v>1.9</v>
      </c>
      <c r="J602" s="8">
        <v>45616</v>
      </c>
      <c r="K602" s="11">
        <v>1822.6270999999999</v>
      </c>
      <c r="L602" s="11">
        <v>2471.9796000000001</v>
      </c>
      <c r="M602" s="11">
        <v>3011.1068</v>
      </c>
      <c r="N602" s="11">
        <v>3194.6356000000001</v>
      </c>
      <c r="O602" s="3">
        <f t="shared" si="89"/>
        <v>2.3229364011718046E-2</v>
      </c>
      <c r="P602" s="3">
        <f t="shared" si="90"/>
        <v>3.2076940467832715E-2</v>
      </c>
      <c r="Q602" s="3">
        <f t="shared" si="91"/>
        <v>3.1914039777213299E-2</v>
      </c>
      <c r="R602" s="3">
        <f t="shared" si="92"/>
        <v>3.0682115477116856E-2</v>
      </c>
      <c r="S602" s="15">
        <f t="shared" si="85"/>
        <v>1.023229364011718</v>
      </c>
      <c r="T602" s="15">
        <f t="shared" si="86"/>
        <v>1.0320769404678327</v>
      </c>
      <c r="U602" s="15">
        <f t="shared" si="87"/>
        <v>1.0319140397772133</v>
      </c>
      <c r="V602" s="15">
        <f t="shared" si="88"/>
        <v>1.0306821154771169</v>
      </c>
    </row>
    <row r="603" spans="1:22" x14ac:dyDescent="0.25">
      <c r="A603" s="8">
        <v>45589</v>
      </c>
      <c r="B603" s="11">
        <v>1.4301999999999999</v>
      </c>
      <c r="C603" s="11">
        <v>1.8521000000000001</v>
      </c>
      <c r="D603" s="11">
        <v>2.1661000000000001</v>
      </c>
      <c r="E603" s="11">
        <v>2.355</v>
      </c>
      <c r="F603" s="11">
        <v>1.7297</v>
      </c>
      <c r="G603" s="11">
        <v>1.8120000000000001</v>
      </c>
      <c r="H603" s="11">
        <v>1.9</v>
      </c>
      <c r="J603" s="8">
        <v>45617</v>
      </c>
      <c r="K603" s="11">
        <v>1822.9088999999999</v>
      </c>
      <c r="L603" s="11">
        <v>2472.9868000000001</v>
      </c>
      <c r="M603" s="11">
        <v>3012.3418000000001</v>
      </c>
      <c r="N603" s="11">
        <v>3195.8561</v>
      </c>
      <c r="O603" s="3">
        <f t="shared" si="89"/>
        <v>2.3387567538253107E-2</v>
      </c>
      <c r="P603" s="3">
        <f t="shared" si="90"/>
        <v>3.2497456840394845E-2</v>
      </c>
      <c r="Q603" s="3">
        <f t="shared" si="91"/>
        <v>3.2337277451521151E-2</v>
      </c>
      <c r="R603" s="3">
        <f t="shared" si="92"/>
        <v>3.1075884181735125E-2</v>
      </c>
      <c r="S603" s="15">
        <f t="shared" si="85"/>
        <v>1.0233875675382531</v>
      </c>
      <c r="T603" s="15">
        <f t="shared" si="86"/>
        <v>1.0324974568403948</v>
      </c>
      <c r="U603" s="15">
        <f t="shared" si="87"/>
        <v>1.0323372774515212</v>
      </c>
      <c r="V603" s="15">
        <f t="shared" si="88"/>
        <v>1.0310758841817351</v>
      </c>
    </row>
    <row r="604" spans="1:22" x14ac:dyDescent="0.25">
      <c r="A604" s="8">
        <v>45590</v>
      </c>
      <c r="B604" s="11">
        <v>1.4169</v>
      </c>
      <c r="C604" s="11">
        <v>1.8428</v>
      </c>
      <c r="D604" s="11">
        <v>2.1539000000000001</v>
      </c>
      <c r="E604" s="11">
        <v>2.36</v>
      </c>
      <c r="F604" s="11">
        <v>1.7315</v>
      </c>
      <c r="G604" s="11">
        <v>1.8217000000000001</v>
      </c>
      <c r="H604" s="11">
        <v>2</v>
      </c>
      <c r="J604" s="8">
        <v>45618</v>
      </c>
      <c r="K604" s="11">
        <v>1823.155</v>
      </c>
      <c r="L604" s="11">
        <v>2473.6394</v>
      </c>
      <c r="M604" s="11">
        <v>3009.7806</v>
      </c>
      <c r="N604" s="11">
        <v>3194.9274</v>
      </c>
      <c r="O604" s="3">
        <f t="shared" si="89"/>
        <v>2.3525728957274783E-2</v>
      </c>
      <c r="P604" s="3">
        <f t="shared" si="90"/>
        <v>3.2769924061139211E-2</v>
      </c>
      <c r="Q604" s="3">
        <f t="shared" si="91"/>
        <v>3.1459547628494899E-2</v>
      </c>
      <c r="R604" s="3">
        <f t="shared" si="92"/>
        <v>3.0776258621735941E-2</v>
      </c>
      <c r="S604" s="15">
        <f t="shared" si="85"/>
        <v>1.0235257289572748</v>
      </c>
      <c r="T604" s="15">
        <f t="shared" si="86"/>
        <v>1.0327699240611392</v>
      </c>
      <c r="U604" s="15">
        <f t="shared" si="87"/>
        <v>1.0314595476284949</v>
      </c>
      <c r="V604" s="15">
        <f t="shared" si="88"/>
        <v>1.0307762586217359</v>
      </c>
    </row>
    <row r="605" spans="1:22" x14ac:dyDescent="0.25">
      <c r="A605" s="8">
        <v>45593</v>
      </c>
      <c r="B605" s="11">
        <v>1.407</v>
      </c>
      <c r="C605" s="11">
        <v>1.8335999999999999</v>
      </c>
      <c r="D605" s="11">
        <v>2.1617000000000002</v>
      </c>
      <c r="E605" s="11">
        <v>2.38</v>
      </c>
      <c r="F605" s="11">
        <v>1.7141999999999999</v>
      </c>
      <c r="G605" s="11">
        <v>1.8113999999999999</v>
      </c>
      <c r="H605" s="11">
        <v>1.93</v>
      </c>
      <c r="J605" s="8">
        <v>45621</v>
      </c>
      <c r="K605" s="11">
        <v>1823.6874</v>
      </c>
      <c r="L605" s="11">
        <v>2474.9445000000001</v>
      </c>
      <c r="M605" s="11">
        <v>3010.9859000000001</v>
      </c>
      <c r="N605" s="11">
        <v>3196.2464</v>
      </c>
      <c r="O605" s="3">
        <f t="shared" si="89"/>
        <v>2.3824620218904746E-2</v>
      </c>
      <c r="P605" s="3">
        <f t="shared" si="90"/>
        <v>3.3314816751598642E-2</v>
      </c>
      <c r="Q605" s="3">
        <f t="shared" si="91"/>
        <v>3.1872607036465217E-2</v>
      </c>
      <c r="R605" s="3">
        <f t="shared" si="92"/>
        <v>3.1201806283670974E-2</v>
      </c>
      <c r="S605" s="15">
        <f t="shared" si="85"/>
        <v>1.0238246202189047</v>
      </c>
      <c r="T605" s="15">
        <f t="shared" si="86"/>
        <v>1.0333148167515986</v>
      </c>
      <c r="U605" s="15">
        <f t="shared" si="87"/>
        <v>1.0318726070364652</v>
      </c>
      <c r="V605" s="15">
        <f t="shared" si="88"/>
        <v>1.031201806283671</v>
      </c>
    </row>
    <row r="606" spans="1:22" x14ac:dyDescent="0.25">
      <c r="A606" s="8">
        <v>45594</v>
      </c>
      <c r="B606" s="11">
        <v>1.4367000000000001</v>
      </c>
      <c r="C606" s="11">
        <v>1.8290999999999999</v>
      </c>
      <c r="D606" s="11">
        <v>2.1598000000000002</v>
      </c>
      <c r="E606" s="11">
        <v>2.3660000000000001</v>
      </c>
      <c r="F606" s="11">
        <v>1.7063999999999999</v>
      </c>
      <c r="G606" s="11">
        <v>1.7985</v>
      </c>
      <c r="H606" s="11">
        <v>1.9</v>
      </c>
      <c r="J606" s="8">
        <v>45622</v>
      </c>
      <c r="K606" s="11">
        <v>1823.9490000000001</v>
      </c>
      <c r="L606" s="11">
        <v>2475.3798000000002</v>
      </c>
      <c r="M606" s="11">
        <v>3011.0852</v>
      </c>
      <c r="N606" s="11">
        <v>3196.45</v>
      </c>
      <c r="O606" s="3">
        <f t="shared" si="89"/>
        <v>2.3971483393289361E-2</v>
      </c>
      <c r="P606" s="3">
        <f t="shared" si="90"/>
        <v>3.3496558984497993E-2</v>
      </c>
      <c r="Q606" s="3">
        <f t="shared" si="91"/>
        <v>3.1906637401694971E-2</v>
      </c>
      <c r="R606" s="3">
        <f t="shared" si="92"/>
        <v>3.1267493549758774E-2</v>
      </c>
      <c r="S606" s="15">
        <f t="shared" si="85"/>
        <v>1.0239714833932894</v>
      </c>
      <c r="T606" s="15">
        <f t="shared" si="86"/>
        <v>1.033496558984498</v>
      </c>
      <c r="U606" s="15">
        <f t="shared" si="87"/>
        <v>1.031906637401695</v>
      </c>
      <c r="V606" s="15">
        <f t="shared" si="88"/>
        <v>1.0312674935497588</v>
      </c>
    </row>
    <row r="607" spans="1:22" x14ac:dyDescent="0.25">
      <c r="A607" s="8">
        <v>45595</v>
      </c>
      <c r="B607" s="11">
        <v>1.4460999999999999</v>
      </c>
      <c r="C607" s="11">
        <v>1.8220000000000001</v>
      </c>
      <c r="D607" s="11">
        <v>2.1597</v>
      </c>
      <c r="E607" s="11">
        <v>2.36</v>
      </c>
      <c r="F607" s="11">
        <v>1.7115</v>
      </c>
      <c r="G607" s="11">
        <v>1.7951999999999999</v>
      </c>
      <c r="H607" s="11">
        <v>1.9</v>
      </c>
      <c r="J607" s="8">
        <v>45623</v>
      </c>
      <c r="K607" s="11">
        <v>1824.1927000000001</v>
      </c>
      <c r="L607" s="11">
        <v>2475.6749</v>
      </c>
      <c r="M607" s="11">
        <v>3013.7046999999998</v>
      </c>
      <c r="N607" s="11">
        <v>3197.9747000000002</v>
      </c>
      <c r="O607" s="3">
        <f t="shared" si="89"/>
        <v>2.4108297443738769E-2</v>
      </c>
      <c r="P607" s="3">
        <f t="shared" si="90"/>
        <v>3.3619766273559781E-2</v>
      </c>
      <c r="Q607" s="3">
        <f t="shared" si="91"/>
        <v>3.2804346784569116E-2</v>
      </c>
      <c r="R607" s="3">
        <f t="shared" si="92"/>
        <v>3.1759405998699197E-2</v>
      </c>
      <c r="S607" s="15">
        <f t="shared" si="85"/>
        <v>1.0241082974437388</v>
      </c>
      <c r="T607" s="15">
        <f t="shared" si="86"/>
        <v>1.0336197662735598</v>
      </c>
      <c r="U607" s="15">
        <f t="shared" si="87"/>
        <v>1.0328043467845691</v>
      </c>
      <c r="V607" s="15">
        <f t="shared" si="88"/>
        <v>1.0317594059986992</v>
      </c>
    </row>
    <row r="608" spans="1:22" x14ac:dyDescent="0.25">
      <c r="A608" s="8">
        <v>45596</v>
      </c>
      <c r="B608" s="11">
        <v>1.4259999999999999</v>
      </c>
      <c r="C608" s="11">
        <v>1.7947</v>
      </c>
      <c r="D608" s="11">
        <v>2.1476000000000002</v>
      </c>
      <c r="E608" s="11">
        <v>2.335</v>
      </c>
      <c r="F608" s="11">
        <v>1.7156</v>
      </c>
      <c r="G608" s="11">
        <v>1.7998000000000001</v>
      </c>
      <c r="H608" s="11">
        <v>1.87</v>
      </c>
      <c r="J608" s="8">
        <v>45624</v>
      </c>
      <c r="K608" s="11">
        <v>1824.5903000000001</v>
      </c>
      <c r="L608" s="11">
        <v>2477.0342999999998</v>
      </c>
      <c r="M608" s="11">
        <v>3014.8472999999999</v>
      </c>
      <c r="N608" s="11">
        <v>3199.2172999999998</v>
      </c>
      <c r="O608" s="3">
        <f t="shared" si="89"/>
        <v>2.4331511503889125E-2</v>
      </c>
      <c r="P608" s="3">
        <f t="shared" si="90"/>
        <v>3.4187329773222919E-2</v>
      </c>
      <c r="Q608" s="3">
        <f t="shared" si="91"/>
        <v>3.3195918741382391E-2</v>
      </c>
      <c r="R608" s="3">
        <f t="shared" si="92"/>
        <v>3.2160304804400797E-2</v>
      </c>
      <c r="S608" s="15">
        <f t="shared" si="85"/>
        <v>1.0243315115038891</v>
      </c>
      <c r="T608" s="15">
        <f t="shared" si="86"/>
        <v>1.0341873297732229</v>
      </c>
      <c r="U608" s="15">
        <f t="shared" si="87"/>
        <v>1.0331959187413824</v>
      </c>
      <c r="V608" s="15">
        <f t="shared" si="88"/>
        <v>1.0321603048044008</v>
      </c>
    </row>
    <row r="609" spans="1:22" x14ac:dyDescent="0.25">
      <c r="A609" s="8">
        <v>45597</v>
      </c>
      <c r="B609" s="11">
        <v>1.4065000000000001</v>
      </c>
      <c r="C609" s="11">
        <v>1.7674000000000001</v>
      </c>
      <c r="D609" s="11">
        <v>2.1406000000000001</v>
      </c>
      <c r="E609" s="11">
        <v>2.3174999999999999</v>
      </c>
      <c r="F609" s="11">
        <v>1.6840999999999999</v>
      </c>
      <c r="G609" s="11">
        <v>1.7819</v>
      </c>
      <c r="H609" s="11">
        <v>1.79</v>
      </c>
      <c r="J609" s="8">
        <v>45625</v>
      </c>
      <c r="K609" s="11">
        <v>1825.3063999999999</v>
      </c>
      <c r="L609" s="11">
        <v>2479.1795999999999</v>
      </c>
      <c r="M609" s="11">
        <v>3018.9195</v>
      </c>
      <c r="N609" s="11">
        <v>3202.6015000000002</v>
      </c>
      <c r="O609" s="3">
        <f t="shared" si="89"/>
        <v>2.473353260165978E-2</v>
      </c>
      <c r="P609" s="3">
        <f t="shared" si="90"/>
        <v>3.5083014616409169E-2</v>
      </c>
      <c r="Q609" s="3">
        <f t="shared" si="91"/>
        <v>3.4591472148116642E-2</v>
      </c>
      <c r="R609" s="3">
        <f t="shared" si="92"/>
        <v>3.3252145894257179E-2</v>
      </c>
      <c r="S609" s="15">
        <f t="shared" si="85"/>
        <v>1.0247335326016598</v>
      </c>
      <c r="T609" s="15">
        <f t="shared" si="86"/>
        <v>1.0350830146164092</v>
      </c>
      <c r="U609" s="15">
        <f t="shared" si="87"/>
        <v>1.0345914721481166</v>
      </c>
      <c r="V609" s="15">
        <f t="shared" si="88"/>
        <v>1.0332521458942572</v>
      </c>
    </row>
    <row r="610" spans="1:22" x14ac:dyDescent="0.25">
      <c r="A610" s="8">
        <v>45600</v>
      </c>
      <c r="B610" s="11">
        <v>1.4044000000000001</v>
      </c>
      <c r="C610" s="11">
        <v>1.7786</v>
      </c>
      <c r="D610" s="11">
        <v>2.1274999999999999</v>
      </c>
      <c r="E610" s="11">
        <v>2.3050000000000002</v>
      </c>
      <c r="F610" s="11">
        <v>1.6728000000000001</v>
      </c>
      <c r="G610" s="11">
        <v>1.7739</v>
      </c>
      <c r="H610" s="11">
        <v>1.78</v>
      </c>
      <c r="J610" s="8">
        <v>45628</v>
      </c>
      <c r="K610" s="11">
        <v>1826.9998000000001</v>
      </c>
      <c r="L610" s="11">
        <v>2483.1307000000002</v>
      </c>
      <c r="M610" s="11">
        <v>3024.6606000000002</v>
      </c>
      <c r="N610" s="11">
        <v>3207.6934999999999</v>
      </c>
      <c r="O610" s="3">
        <f t="shared" si="89"/>
        <v>2.5684213410157364E-2</v>
      </c>
      <c r="P610" s="3">
        <f t="shared" si="90"/>
        <v>3.6732639556470437E-2</v>
      </c>
      <c r="Q610" s="3">
        <f t="shared" si="91"/>
        <v>3.6558961874407769E-2</v>
      </c>
      <c r="R610" s="3">
        <f t="shared" si="92"/>
        <v>3.4894972804471625E-2</v>
      </c>
      <c r="S610" s="15">
        <f t="shared" si="85"/>
        <v>1.0256842134101574</v>
      </c>
      <c r="T610" s="15">
        <f t="shared" si="86"/>
        <v>1.0367326395564704</v>
      </c>
      <c r="U610" s="15">
        <f t="shared" si="87"/>
        <v>1.0365589618744078</v>
      </c>
      <c r="V610" s="15">
        <f t="shared" si="88"/>
        <v>1.0348949728044716</v>
      </c>
    </row>
    <row r="611" spans="1:22" x14ac:dyDescent="0.25">
      <c r="A611" s="8">
        <v>45601</v>
      </c>
      <c r="B611" s="11">
        <v>1.4077</v>
      </c>
      <c r="C611" s="11">
        <v>1.7690999999999999</v>
      </c>
      <c r="D611" s="11">
        <v>2.1105999999999998</v>
      </c>
      <c r="E611" s="11">
        <v>2.2825000000000002</v>
      </c>
      <c r="F611" s="11">
        <v>1.6725000000000001</v>
      </c>
      <c r="G611" s="11">
        <v>1.77</v>
      </c>
      <c r="H611" s="11">
        <v>1.79</v>
      </c>
      <c r="J611" s="8">
        <v>45629</v>
      </c>
      <c r="K611" s="11">
        <v>1827.2369000000001</v>
      </c>
      <c r="L611" s="11">
        <v>2483.2085000000002</v>
      </c>
      <c r="M611" s="11">
        <v>3024.8953000000001</v>
      </c>
      <c r="N611" s="11">
        <v>3207.8247999999999</v>
      </c>
      <c r="O611" s="3">
        <f t="shared" si="89"/>
        <v>2.5817322197032588E-2</v>
      </c>
      <c r="P611" s="3">
        <f t="shared" si="90"/>
        <v>3.6765121857686989E-2</v>
      </c>
      <c r="Q611" s="3">
        <f t="shared" si="91"/>
        <v>3.6639394167654604E-2</v>
      </c>
      <c r="R611" s="3">
        <f t="shared" si="92"/>
        <v>3.4937333993260156E-2</v>
      </c>
      <c r="S611" s="15">
        <f t="shared" si="85"/>
        <v>1.0258173221970326</v>
      </c>
      <c r="T611" s="15">
        <f t="shared" si="86"/>
        <v>1.036765121857687</v>
      </c>
      <c r="U611" s="15">
        <f t="shared" si="87"/>
        <v>1.0366393941676546</v>
      </c>
      <c r="V611" s="15">
        <f t="shared" si="88"/>
        <v>1.0349373339932602</v>
      </c>
    </row>
    <row r="612" spans="1:22" x14ac:dyDescent="0.25">
      <c r="A612" s="8">
        <v>45602</v>
      </c>
      <c r="B612" s="11">
        <v>1.4103000000000001</v>
      </c>
      <c r="C612" s="11">
        <v>1.7747999999999999</v>
      </c>
      <c r="D612" s="11">
        <v>2.1234000000000002</v>
      </c>
      <c r="E612" s="11">
        <v>2.29</v>
      </c>
      <c r="F612" s="11">
        <v>1.669</v>
      </c>
      <c r="G612" s="11">
        <v>1.7504</v>
      </c>
      <c r="H612" s="11">
        <v>1.79</v>
      </c>
      <c r="J612" s="8">
        <v>45630</v>
      </c>
      <c r="K612" s="11">
        <v>1827.9247</v>
      </c>
      <c r="L612" s="11">
        <v>2485.1815000000001</v>
      </c>
      <c r="M612" s="11">
        <v>3025.7264</v>
      </c>
      <c r="N612" s="11">
        <v>3209.4895000000001</v>
      </c>
      <c r="O612" s="3">
        <f t="shared" si="89"/>
        <v>2.620345557372139E-2</v>
      </c>
      <c r="P612" s="3">
        <f t="shared" si="90"/>
        <v>3.7588869676456582E-2</v>
      </c>
      <c r="Q612" s="3">
        <f t="shared" si="91"/>
        <v>3.6924214273822642E-2</v>
      </c>
      <c r="R612" s="3">
        <f t="shared" si="92"/>
        <v>3.5474414503361196E-2</v>
      </c>
      <c r="S612" s="15">
        <f t="shared" si="85"/>
        <v>1.0262034555737214</v>
      </c>
      <c r="T612" s="15">
        <f t="shared" si="86"/>
        <v>1.0375888696764566</v>
      </c>
      <c r="U612" s="15">
        <f t="shared" si="87"/>
        <v>1.0369242142738226</v>
      </c>
      <c r="V612" s="15">
        <f t="shared" si="88"/>
        <v>1.0354744145033612</v>
      </c>
    </row>
    <row r="613" spans="1:22" x14ac:dyDescent="0.25">
      <c r="A613" s="8">
        <v>45603</v>
      </c>
      <c r="B613" s="11">
        <v>1.4021999999999999</v>
      </c>
      <c r="C613" s="11">
        <v>1.7552000000000001</v>
      </c>
      <c r="D613" s="11">
        <v>2.1114999999999999</v>
      </c>
      <c r="E613" s="11">
        <v>2.2799999999999998</v>
      </c>
      <c r="F613" s="11">
        <v>1.6471</v>
      </c>
      <c r="G613" s="11">
        <v>1.7354000000000001</v>
      </c>
      <c r="H613" s="11">
        <v>1.8</v>
      </c>
      <c r="J613" s="8">
        <v>45631</v>
      </c>
      <c r="K613" s="11">
        <v>1828.2297000000001</v>
      </c>
      <c r="L613" s="11">
        <v>2485.7231000000002</v>
      </c>
      <c r="M613" s="11">
        <v>3027.0039000000002</v>
      </c>
      <c r="N613" s="11">
        <v>3210.3996000000002</v>
      </c>
      <c r="O613" s="3">
        <f t="shared" si="89"/>
        <v>2.6374683663122456E-2</v>
      </c>
      <c r="P613" s="3">
        <f t="shared" si="90"/>
        <v>3.7814993254077445E-2</v>
      </c>
      <c r="Q613" s="3">
        <f t="shared" si="91"/>
        <v>3.7362016807367837E-2</v>
      </c>
      <c r="R613" s="3">
        <f t="shared" si="92"/>
        <v>3.576803916380622E-2</v>
      </c>
      <c r="S613" s="15">
        <f t="shared" si="85"/>
        <v>1.0263746836631225</v>
      </c>
      <c r="T613" s="15">
        <f t="shared" si="86"/>
        <v>1.0378149932540774</v>
      </c>
      <c r="U613" s="15">
        <f t="shared" si="87"/>
        <v>1.0373620168073678</v>
      </c>
      <c r="V613" s="15">
        <f t="shared" si="88"/>
        <v>1.0357680391638062</v>
      </c>
    </row>
    <row r="614" spans="1:22" x14ac:dyDescent="0.25">
      <c r="A614" s="8">
        <v>45604</v>
      </c>
      <c r="B614" s="11">
        <v>1.4061999999999999</v>
      </c>
      <c r="C614" s="11">
        <v>1.7426999999999999</v>
      </c>
      <c r="D614" s="11">
        <v>2.1067</v>
      </c>
      <c r="E614" s="11">
        <v>2.2774999999999999</v>
      </c>
      <c r="F614" s="11">
        <v>1.651</v>
      </c>
      <c r="G614" s="11">
        <v>1.7243999999999999</v>
      </c>
      <c r="H614" s="11">
        <v>1.8</v>
      </c>
      <c r="J614" s="8">
        <v>45632</v>
      </c>
      <c r="K614" s="11">
        <v>1828.3422</v>
      </c>
      <c r="L614" s="11">
        <v>2486.154</v>
      </c>
      <c r="M614" s="11">
        <v>3028.9279000000001</v>
      </c>
      <c r="N614" s="11">
        <v>3211.5275999999999</v>
      </c>
      <c r="O614" s="3">
        <f t="shared" si="89"/>
        <v>2.6437841564950659E-2</v>
      </c>
      <c r="P614" s="3">
        <f t="shared" si="90"/>
        <v>3.7994898441663594E-2</v>
      </c>
      <c r="Q614" s="3">
        <f t="shared" si="91"/>
        <v>3.8021376552605401E-2</v>
      </c>
      <c r="R614" s="3">
        <f t="shared" si="92"/>
        <v>3.6131964685157669E-2</v>
      </c>
      <c r="S614" s="15">
        <f t="shared" si="85"/>
        <v>1.0264378415649507</v>
      </c>
      <c r="T614" s="15">
        <f t="shared" si="86"/>
        <v>1.0379948984416636</v>
      </c>
      <c r="U614" s="15">
        <f t="shared" si="87"/>
        <v>1.0380213765526054</v>
      </c>
      <c r="V614" s="15">
        <f t="shared" si="88"/>
        <v>1.0361319646851577</v>
      </c>
    </row>
    <row r="615" spans="1:22" x14ac:dyDescent="0.25">
      <c r="A615" s="8">
        <v>45607</v>
      </c>
      <c r="B615" s="11">
        <v>1.4032</v>
      </c>
      <c r="C615" s="11">
        <v>1.7408999999999999</v>
      </c>
      <c r="D615" s="11">
        <v>2.0920000000000001</v>
      </c>
      <c r="E615" s="11">
        <v>2.2574999999999998</v>
      </c>
      <c r="F615" s="11">
        <v>1.6617</v>
      </c>
      <c r="G615" s="11">
        <v>1.7163999999999999</v>
      </c>
      <c r="H615" s="11">
        <v>1.88</v>
      </c>
      <c r="J615" s="8">
        <v>45635</v>
      </c>
      <c r="K615" s="11">
        <v>1828.7976000000001</v>
      </c>
      <c r="L615" s="11">
        <v>2487.8721</v>
      </c>
      <c r="M615" s="11">
        <v>3030.7766000000001</v>
      </c>
      <c r="N615" s="11">
        <v>3213.5185000000001</v>
      </c>
      <c r="O615" s="3">
        <f t="shared" si="89"/>
        <v>2.6693504751551522E-2</v>
      </c>
      <c r="P615" s="3">
        <f t="shared" si="90"/>
        <v>3.8712222885367575E-2</v>
      </c>
      <c r="Q615" s="3">
        <f t="shared" si="91"/>
        <v>3.8654930794300268E-2</v>
      </c>
      <c r="R615" s="3">
        <f t="shared" si="92"/>
        <v>3.6774286777763177E-2</v>
      </c>
      <c r="S615" s="15">
        <f t="shared" si="85"/>
        <v>1.0266935047515515</v>
      </c>
      <c r="T615" s="15">
        <f t="shared" si="86"/>
        <v>1.0387122228853676</v>
      </c>
      <c r="U615" s="15">
        <f t="shared" si="87"/>
        <v>1.0386549307943003</v>
      </c>
      <c r="V615" s="15">
        <f t="shared" si="88"/>
        <v>1.0367742867777632</v>
      </c>
    </row>
    <row r="616" spans="1:22" x14ac:dyDescent="0.25">
      <c r="A616" s="8">
        <v>45608</v>
      </c>
      <c r="B616" s="11">
        <v>1.4008</v>
      </c>
      <c r="C616" s="11">
        <v>1.7130000000000001</v>
      </c>
      <c r="D616" s="11">
        <v>2.0729000000000002</v>
      </c>
      <c r="E616" s="11">
        <v>2.2360000000000002</v>
      </c>
      <c r="F616" s="11">
        <v>1.6501999999999999</v>
      </c>
      <c r="G616" s="11">
        <v>1.6915</v>
      </c>
      <c r="H616" s="11">
        <v>1.9</v>
      </c>
      <c r="J616" s="8">
        <v>45636</v>
      </c>
      <c r="K616" s="11">
        <v>1830.123</v>
      </c>
      <c r="L616" s="11">
        <v>2492.1323000000002</v>
      </c>
      <c r="M616" s="11">
        <v>3036.9009999999998</v>
      </c>
      <c r="N616" s="11">
        <v>3219.0612000000001</v>
      </c>
      <c r="O616" s="3">
        <f t="shared" si="89"/>
        <v>2.7437589045623989E-2</v>
      </c>
      <c r="P616" s="3">
        <f t="shared" si="90"/>
        <v>4.0490900258668416E-2</v>
      </c>
      <c r="Q616" s="3">
        <f t="shared" si="91"/>
        <v>4.0753778415783426E-2</v>
      </c>
      <c r="R616" s="3">
        <f t="shared" si="92"/>
        <v>3.8562522582014092E-2</v>
      </c>
      <c r="S616" s="15">
        <f t="shared" si="85"/>
        <v>1.027437589045624</v>
      </c>
      <c r="T616" s="15">
        <f t="shared" si="86"/>
        <v>1.0404909002586684</v>
      </c>
      <c r="U616" s="15">
        <f t="shared" si="87"/>
        <v>1.0407537784157834</v>
      </c>
      <c r="V616" s="15">
        <f t="shared" si="88"/>
        <v>1.0385625225820141</v>
      </c>
    </row>
    <row r="617" spans="1:22" x14ac:dyDescent="0.25">
      <c r="A617" s="8">
        <v>45609</v>
      </c>
      <c r="B617" s="11">
        <v>1.4028</v>
      </c>
      <c r="C617" s="11">
        <v>1.7185999999999999</v>
      </c>
      <c r="D617" s="11">
        <v>2.0876000000000001</v>
      </c>
      <c r="E617" s="11">
        <v>2.2599999999999998</v>
      </c>
      <c r="F617" s="11">
        <v>1.6563000000000001</v>
      </c>
      <c r="G617" s="11">
        <v>1.6934</v>
      </c>
      <c r="H617" s="11">
        <v>1.9</v>
      </c>
      <c r="J617" s="8">
        <v>45637</v>
      </c>
      <c r="K617" s="11">
        <v>1830.2512999999999</v>
      </c>
      <c r="L617" s="11">
        <v>2492.7941000000001</v>
      </c>
      <c r="M617" s="11">
        <v>3039.1914999999999</v>
      </c>
      <c r="N617" s="11">
        <v>3220.7062999999998</v>
      </c>
      <c r="O617" s="3">
        <f t="shared" si="89"/>
        <v>2.7509617123886665E-2</v>
      </c>
      <c r="P617" s="3">
        <f t="shared" si="90"/>
        <v>4.0767208574158387E-2</v>
      </c>
      <c r="Q617" s="3">
        <f t="shared" si="91"/>
        <v>4.1538738653032148E-2</v>
      </c>
      <c r="R617" s="3">
        <f t="shared" si="92"/>
        <v>3.9093279563552574E-2</v>
      </c>
      <c r="S617" s="15">
        <f t="shared" si="85"/>
        <v>1.0275096171238867</v>
      </c>
      <c r="T617" s="15">
        <f t="shared" si="86"/>
        <v>1.0407672085741584</v>
      </c>
      <c r="U617" s="15">
        <f t="shared" si="87"/>
        <v>1.0415387386530321</v>
      </c>
      <c r="V617" s="15">
        <f t="shared" si="88"/>
        <v>1.0390932795635526</v>
      </c>
    </row>
    <row r="618" spans="1:22" x14ac:dyDescent="0.25">
      <c r="A618" s="8">
        <v>45610</v>
      </c>
      <c r="B618" s="11">
        <v>1.391</v>
      </c>
      <c r="C618" s="11">
        <v>1.7064999999999999</v>
      </c>
      <c r="D618" s="11">
        <v>2.0808</v>
      </c>
      <c r="E618" s="11">
        <v>2.2610000000000001</v>
      </c>
      <c r="F618" s="11">
        <v>1.6515</v>
      </c>
      <c r="G618" s="11">
        <v>1.6958</v>
      </c>
      <c r="H618" s="11">
        <v>1.89</v>
      </c>
      <c r="J618" s="8">
        <v>45638</v>
      </c>
      <c r="K618" s="11">
        <v>1830.6043999999999</v>
      </c>
      <c r="L618" s="11">
        <v>2493.7062000000001</v>
      </c>
      <c r="M618" s="11">
        <v>3041.913</v>
      </c>
      <c r="N618" s="11">
        <v>3222.9171000000001</v>
      </c>
      <c r="O618" s="3">
        <f t="shared" si="89"/>
        <v>2.7707848725091688E-2</v>
      </c>
      <c r="P618" s="3">
        <f t="shared" si="90"/>
        <v>4.1148019717341278E-2</v>
      </c>
      <c r="Q618" s="3">
        <f t="shared" si="91"/>
        <v>4.2471403698076005E-2</v>
      </c>
      <c r="R618" s="3">
        <f t="shared" si="92"/>
        <v>3.980654777508108E-2</v>
      </c>
      <c r="S618" s="15">
        <f t="shared" si="85"/>
        <v>1.0277078487250917</v>
      </c>
      <c r="T618" s="15">
        <f t="shared" si="86"/>
        <v>1.0411480197173413</v>
      </c>
      <c r="U618" s="15">
        <f t="shared" si="87"/>
        <v>1.042471403698076</v>
      </c>
      <c r="V618" s="15">
        <f t="shared" si="88"/>
        <v>1.0398065477750811</v>
      </c>
    </row>
    <row r="619" spans="1:22" x14ac:dyDescent="0.25">
      <c r="A619" s="8">
        <v>45611</v>
      </c>
      <c r="B619" s="11">
        <v>1.3875</v>
      </c>
      <c r="C619" s="11">
        <v>1.7099</v>
      </c>
      <c r="D619" s="11">
        <v>2.0948000000000002</v>
      </c>
      <c r="E619" s="11">
        <v>2.2825000000000002</v>
      </c>
      <c r="F619" s="11">
        <v>1.6460999999999999</v>
      </c>
      <c r="G619" s="11">
        <v>1.6859</v>
      </c>
      <c r="H619" s="11">
        <v>1.85</v>
      </c>
      <c r="J619" s="8">
        <v>45639</v>
      </c>
      <c r="K619" s="11">
        <v>1831.6856</v>
      </c>
      <c r="L619" s="11">
        <v>2497.5938000000001</v>
      </c>
      <c r="M619" s="11">
        <v>3043.5997000000002</v>
      </c>
      <c r="N619" s="11">
        <v>3225.3323999999998</v>
      </c>
      <c r="O619" s="3">
        <f t="shared" si="89"/>
        <v>2.8314838266929154E-2</v>
      </c>
      <c r="P619" s="3">
        <f t="shared" si="90"/>
        <v>4.2771132753453234E-2</v>
      </c>
      <c r="Q619" s="3">
        <f t="shared" si="91"/>
        <v>4.3049440123384075E-2</v>
      </c>
      <c r="R619" s="3">
        <f t="shared" si="92"/>
        <v>4.0585793618804544E-2</v>
      </c>
      <c r="S619" s="15">
        <f t="shared" si="85"/>
        <v>1.0283148382669292</v>
      </c>
      <c r="T619" s="15">
        <f t="shared" si="86"/>
        <v>1.0427711327534532</v>
      </c>
      <c r="U619" s="15">
        <f t="shared" si="87"/>
        <v>1.0430494401233841</v>
      </c>
      <c r="V619" s="15">
        <f t="shared" si="88"/>
        <v>1.0405857936188045</v>
      </c>
    </row>
    <row r="620" spans="1:22" x14ac:dyDescent="0.25">
      <c r="A620" s="8">
        <v>45614</v>
      </c>
      <c r="B620" s="11">
        <v>1.3703000000000001</v>
      </c>
      <c r="C620" s="11">
        <v>1.724</v>
      </c>
      <c r="D620" s="11">
        <v>2.1116999999999999</v>
      </c>
      <c r="E620" s="11">
        <v>2.3174999999999999</v>
      </c>
      <c r="F620" s="11">
        <v>1.6745000000000001</v>
      </c>
      <c r="G620" s="11">
        <v>1.716</v>
      </c>
      <c r="H620" s="11">
        <v>1.85</v>
      </c>
      <c r="J620" s="8">
        <v>45642</v>
      </c>
      <c r="K620" s="11">
        <v>1832.6690000000001</v>
      </c>
      <c r="L620" s="11">
        <v>2500.5171999999998</v>
      </c>
      <c r="M620" s="11">
        <v>3044.7482</v>
      </c>
      <c r="N620" s="11">
        <v>3227.5648000000001</v>
      </c>
      <c r="O620" s="3">
        <f t="shared" si="89"/>
        <v>2.8866922539444007E-2</v>
      </c>
      <c r="P620" s="3">
        <f t="shared" si="90"/>
        <v>4.399168235983475E-2</v>
      </c>
      <c r="Q620" s="3">
        <f t="shared" si="91"/>
        <v>4.344303402536176E-2</v>
      </c>
      <c r="R620" s="3">
        <f t="shared" si="92"/>
        <v>4.1306030616912182E-2</v>
      </c>
      <c r="S620" s="15">
        <f t="shared" si="85"/>
        <v>1.028866922539444</v>
      </c>
      <c r="T620" s="15">
        <f t="shared" si="86"/>
        <v>1.0439916823598347</v>
      </c>
      <c r="U620" s="15">
        <f t="shared" si="87"/>
        <v>1.0434430340253618</v>
      </c>
      <c r="V620" s="15">
        <f t="shared" si="88"/>
        <v>1.0413060306169122</v>
      </c>
    </row>
    <row r="621" spans="1:22" x14ac:dyDescent="0.25">
      <c r="A621" s="8">
        <v>45615</v>
      </c>
      <c r="B621" s="11">
        <v>1.3579000000000001</v>
      </c>
      <c r="C621" s="11">
        <v>1.7121999999999999</v>
      </c>
      <c r="D621" s="11">
        <v>2.0947</v>
      </c>
      <c r="E621" s="11">
        <v>2.286</v>
      </c>
      <c r="F621" s="11">
        <v>1.671</v>
      </c>
      <c r="G621" s="11">
        <v>1.7122999999999999</v>
      </c>
      <c r="H621" s="11">
        <v>1.84</v>
      </c>
      <c r="J621" s="8">
        <v>45643</v>
      </c>
      <c r="K621" s="11">
        <v>1832.4527</v>
      </c>
      <c r="L621" s="11">
        <v>2499.7721999999999</v>
      </c>
      <c r="M621" s="11">
        <v>3042.5807</v>
      </c>
      <c r="N621" s="11">
        <v>3226.1835000000001</v>
      </c>
      <c r="O621" s="3">
        <f t="shared" si="89"/>
        <v>2.8745490946862073E-2</v>
      </c>
      <c r="P621" s="3">
        <f t="shared" si="90"/>
        <v>4.3680637187516913E-2</v>
      </c>
      <c r="Q621" s="3">
        <f t="shared" si="91"/>
        <v>4.2700226204258618E-2</v>
      </c>
      <c r="R621" s="3">
        <f t="shared" si="92"/>
        <v>4.086038316776075E-2</v>
      </c>
      <c r="S621" s="15">
        <f t="shared" si="85"/>
        <v>1.0287454909468621</v>
      </c>
      <c r="T621" s="15">
        <f t="shared" si="86"/>
        <v>1.0436806371875169</v>
      </c>
      <c r="U621" s="15">
        <f t="shared" si="87"/>
        <v>1.0427002262042586</v>
      </c>
      <c r="V621" s="15">
        <f t="shared" si="88"/>
        <v>1.0408603831677607</v>
      </c>
    </row>
    <row r="622" spans="1:22" x14ac:dyDescent="0.25">
      <c r="A622" s="8">
        <v>45616</v>
      </c>
      <c r="B622" s="11">
        <v>1.3480000000000001</v>
      </c>
      <c r="C622" s="11">
        <v>1.7074</v>
      </c>
      <c r="D622" s="11">
        <v>2.1025</v>
      </c>
      <c r="E622" s="11">
        <v>2.3050000000000002</v>
      </c>
      <c r="F622" s="11">
        <v>1.6660999999999999</v>
      </c>
      <c r="G622" s="11">
        <v>1.7043999999999999</v>
      </c>
      <c r="H622" s="11">
        <v>1.84</v>
      </c>
      <c r="J622" s="8">
        <v>45644</v>
      </c>
      <c r="K622" s="11">
        <v>1832.1849999999999</v>
      </c>
      <c r="L622" s="11">
        <v>2498.2354999999998</v>
      </c>
      <c r="M622" s="11">
        <v>3042.1257000000001</v>
      </c>
      <c r="N622" s="11">
        <v>3225.1585</v>
      </c>
      <c r="O622" s="3">
        <f t="shared" si="89"/>
        <v>2.8595203210689313E-2</v>
      </c>
      <c r="P622" s="3">
        <f t="shared" si="90"/>
        <v>4.3039049111945005E-2</v>
      </c>
      <c r="Q622" s="3">
        <f t="shared" si="91"/>
        <v>4.2544296534776649E-2</v>
      </c>
      <c r="R622" s="3">
        <f t="shared" si="92"/>
        <v>4.0529688434262967E-2</v>
      </c>
      <c r="S622" s="15">
        <f t="shared" si="85"/>
        <v>1.0285952032106893</v>
      </c>
      <c r="T622" s="15">
        <f t="shared" si="86"/>
        <v>1.043039049111945</v>
      </c>
      <c r="U622" s="15">
        <f t="shared" si="87"/>
        <v>1.0425442965347766</v>
      </c>
      <c r="V622" s="15">
        <f t="shared" si="88"/>
        <v>1.040529688434263</v>
      </c>
    </row>
    <row r="623" spans="1:22" x14ac:dyDescent="0.25">
      <c r="A623" s="8">
        <v>45617</v>
      </c>
      <c r="B623" s="11">
        <v>1.3479000000000001</v>
      </c>
      <c r="C623" s="11">
        <v>1.6977</v>
      </c>
      <c r="D623" s="11">
        <v>2.0842999999999998</v>
      </c>
      <c r="E623" s="11">
        <v>2.2751000000000001</v>
      </c>
      <c r="F623" s="11">
        <v>1.6577999999999999</v>
      </c>
      <c r="G623" s="11">
        <v>1.6919999999999999</v>
      </c>
      <c r="H623" s="11">
        <v>1.84</v>
      </c>
      <c r="J623" s="8">
        <v>45645</v>
      </c>
      <c r="K623" s="11">
        <v>1832.2131999999999</v>
      </c>
      <c r="L623" s="11">
        <v>2498.5707000000002</v>
      </c>
      <c r="M623" s="11">
        <v>3042.3157999999999</v>
      </c>
      <c r="N623" s="11">
        <v>3225.5027</v>
      </c>
      <c r="O623" s="3">
        <f t="shared" si="89"/>
        <v>2.8611034791414358E-2</v>
      </c>
      <c r="P623" s="3">
        <f t="shared" si="90"/>
        <v>4.3178998563973225E-2</v>
      </c>
      <c r="Q623" s="3">
        <f t="shared" si="91"/>
        <v>4.2609444293388643E-2</v>
      </c>
      <c r="R623" s="3">
        <f t="shared" si="92"/>
        <v>4.0640737338916599E-2</v>
      </c>
      <c r="S623" s="15">
        <f t="shared" si="85"/>
        <v>1.0286110347914144</v>
      </c>
      <c r="T623" s="15">
        <f t="shared" si="86"/>
        <v>1.0431789985639732</v>
      </c>
      <c r="U623" s="15">
        <f t="shared" si="87"/>
        <v>1.0426094442933886</v>
      </c>
      <c r="V623" s="15">
        <f t="shared" si="88"/>
        <v>1.0406407373389166</v>
      </c>
    </row>
    <row r="624" spans="1:22" x14ac:dyDescent="0.25">
      <c r="A624" s="8">
        <v>45618</v>
      </c>
      <c r="B624" s="11">
        <v>1.3504</v>
      </c>
      <c r="C624" s="11">
        <v>1.7031000000000001</v>
      </c>
      <c r="D624" s="11">
        <v>2.0832000000000002</v>
      </c>
      <c r="E624" s="11">
        <v>2.2650000000000001</v>
      </c>
      <c r="F624" s="11">
        <v>1.6567000000000001</v>
      </c>
      <c r="G624" s="11">
        <v>1.6860999999999999</v>
      </c>
      <c r="H624" s="11">
        <v>1.82</v>
      </c>
      <c r="J624" s="8">
        <v>45646</v>
      </c>
      <c r="K624" s="11">
        <v>1833.0354</v>
      </c>
      <c r="L624" s="11">
        <v>2501.7049999999999</v>
      </c>
      <c r="M624" s="11">
        <v>3046.2698</v>
      </c>
      <c r="N624" s="11">
        <v>3228.6855999999998</v>
      </c>
      <c r="O624" s="3">
        <f t="shared" si="89"/>
        <v>2.9072620808153982E-2</v>
      </c>
      <c r="P624" s="3">
        <f t="shared" si="90"/>
        <v>4.448760109229033E-2</v>
      </c>
      <c r="Q624" s="3">
        <f t="shared" si="91"/>
        <v>4.396449025631477E-2</v>
      </c>
      <c r="R624" s="3">
        <f t="shared" si="92"/>
        <v>4.166763320940392E-2</v>
      </c>
      <c r="S624" s="15">
        <f t="shared" si="85"/>
        <v>1.029072620808154</v>
      </c>
      <c r="T624" s="15">
        <f t="shared" si="86"/>
        <v>1.0444876010922903</v>
      </c>
      <c r="U624" s="15">
        <f t="shared" si="87"/>
        <v>1.0439644902563148</v>
      </c>
      <c r="V624" s="15">
        <f t="shared" si="88"/>
        <v>1.0416676332094039</v>
      </c>
    </row>
    <row r="625" spans="1:22" x14ac:dyDescent="0.25">
      <c r="A625" s="8">
        <v>45621</v>
      </c>
      <c r="B625" s="11">
        <v>1.3603000000000001</v>
      </c>
      <c r="C625" s="11">
        <v>1.6936</v>
      </c>
      <c r="D625" s="11">
        <v>2.0682</v>
      </c>
      <c r="E625" s="11">
        <v>2.2410000000000001</v>
      </c>
      <c r="F625" s="11">
        <v>1.6373</v>
      </c>
      <c r="G625" s="11">
        <v>1.6661999999999999</v>
      </c>
      <c r="H625" s="11">
        <v>1.9</v>
      </c>
      <c r="J625" s="8">
        <v>45649</v>
      </c>
      <c r="K625" s="11">
        <v>1833.585</v>
      </c>
      <c r="L625" s="11">
        <v>2502.5547999999999</v>
      </c>
      <c r="M625" s="11">
        <v>3046.0365999999999</v>
      </c>
      <c r="N625" s="11">
        <v>3229.125</v>
      </c>
      <c r="O625" s="3">
        <f t="shared" si="89"/>
        <v>2.9381168211218833E-2</v>
      </c>
      <c r="P625" s="3">
        <f t="shared" si="90"/>
        <v>4.4842401343881955E-2</v>
      </c>
      <c r="Q625" s="3">
        <f t="shared" si="91"/>
        <v>4.3884572016923196E-2</v>
      </c>
      <c r="R625" s="3">
        <f t="shared" si="92"/>
        <v>4.1809396395646736E-2</v>
      </c>
      <c r="S625" s="15">
        <f t="shared" si="85"/>
        <v>1.0293811682112188</v>
      </c>
      <c r="T625" s="15">
        <f t="shared" si="86"/>
        <v>1.044842401343882</v>
      </c>
      <c r="U625" s="15">
        <f t="shared" si="87"/>
        <v>1.0438845720169232</v>
      </c>
      <c r="V625" s="15">
        <f t="shared" si="88"/>
        <v>1.0418093963956467</v>
      </c>
    </row>
    <row r="626" spans="1:22" x14ac:dyDescent="0.25">
      <c r="A626" s="8">
        <v>45622</v>
      </c>
      <c r="B626" s="11">
        <v>1.3855999999999999</v>
      </c>
      <c r="C626" s="11">
        <v>1.6988000000000001</v>
      </c>
      <c r="D626" s="11">
        <v>2.0657000000000001</v>
      </c>
      <c r="E626" s="11">
        <v>2.2450000000000001</v>
      </c>
      <c r="F626" s="11">
        <v>1.6317999999999999</v>
      </c>
      <c r="G626" s="11">
        <v>1.6593</v>
      </c>
      <c r="H626" s="11">
        <v>1.83</v>
      </c>
      <c r="J626" s="8">
        <v>45650</v>
      </c>
      <c r="K626" s="11">
        <v>1833.4638</v>
      </c>
      <c r="L626" s="11">
        <v>2501.2692000000002</v>
      </c>
      <c r="M626" s="11">
        <v>3046.2078000000001</v>
      </c>
      <c r="N626" s="11">
        <v>3228.4661999999998</v>
      </c>
      <c r="O626" s="3">
        <f t="shared" si="89"/>
        <v>2.9313126098315934E-2</v>
      </c>
      <c r="P626" s="3">
        <f t="shared" si="90"/>
        <v>4.4305650104241812E-2</v>
      </c>
      <c r="Q626" s="3">
        <f t="shared" si="91"/>
        <v>4.3943242696956819E-2</v>
      </c>
      <c r="R626" s="3">
        <f t="shared" si="92"/>
        <v>4.1596848404985121E-2</v>
      </c>
      <c r="S626" s="15">
        <f t="shared" si="85"/>
        <v>1.0293131260983159</v>
      </c>
      <c r="T626" s="15">
        <f t="shared" si="86"/>
        <v>1.0443056501042418</v>
      </c>
      <c r="U626" s="15">
        <f t="shared" si="87"/>
        <v>1.0439432426969568</v>
      </c>
      <c r="V626" s="15">
        <f t="shared" si="88"/>
        <v>1.0415968484049851</v>
      </c>
    </row>
    <row r="627" spans="1:22" x14ac:dyDescent="0.25">
      <c r="A627" s="8">
        <v>45623</v>
      </c>
      <c r="B627" s="11">
        <v>1.3845000000000001</v>
      </c>
      <c r="C627" s="11">
        <v>1.7020999999999999</v>
      </c>
      <c r="D627" s="11">
        <v>2.0552999999999999</v>
      </c>
      <c r="E627" s="11">
        <v>2.25</v>
      </c>
      <c r="F627" s="11">
        <v>1.6305000000000001</v>
      </c>
      <c r="G627" s="11">
        <v>1.6609</v>
      </c>
      <c r="H627" s="11">
        <v>1.8</v>
      </c>
      <c r="J627" s="8">
        <v>45651</v>
      </c>
      <c r="K627" s="11">
        <v>1833.1342999999999</v>
      </c>
      <c r="L627" s="11">
        <v>2499.8991999999998</v>
      </c>
      <c r="M627" s="11">
        <v>3044.1959999999999</v>
      </c>
      <c r="N627" s="11">
        <v>3226.6689000000001</v>
      </c>
      <c r="O627" s="3">
        <f t="shared" si="89"/>
        <v>2.9128143621405478E-2</v>
      </c>
      <c r="P627" s="3">
        <f t="shared" si="90"/>
        <v>4.3733660995415313E-2</v>
      </c>
      <c r="Q627" s="3">
        <f t="shared" si="91"/>
        <v>4.3253793666047757E-2</v>
      </c>
      <c r="R627" s="3">
        <f t="shared" si="92"/>
        <v>4.1016987288384765E-2</v>
      </c>
      <c r="S627" s="15">
        <f t="shared" si="85"/>
        <v>1.0291281436214055</v>
      </c>
      <c r="T627" s="15">
        <f t="shared" si="86"/>
        <v>1.0437336609954153</v>
      </c>
      <c r="U627" s="15">
        <f t="shared" si="87"/>
        <v>1.0432537936660478</v>
      </c>
      <c r="V627" s="15">
        <f t="shared" si="88"/>
        <v>1.0410169872883848</v>
      </c>
    </row>
    <row r="628" spans="1:22" x14ac:dyDescent="0.25">
      <c r="A628" s="8">
        <v>45624</v>
      </c>
      <c r="B628" s="11">
        <v>1.3776999999999999</v>
      </c>
      <c r="C628" s="11">
        <v>1.6841999999999999</v>
      </c>
      <c r="D628" s="11">
        <v>2.0304000000000002</v>
      </c>
      <c r="E628" s="11">
        <v>2.218</v>
      </c>
      <c r="F628" s="11">
        <v>1.6328</v>
      </c>
      <c r="G628" s="11">
        <v>1.6607000000000001</v>
      </c>
      <c r="H628" s="11">
        <v>1.82</v>
      </c>
      <c r="J628" s="8">
        <v>45652</v>
      </c>
      <c r="K628" s="11">
        <v>1833.1737000000001</v>
      </c>
      <c r="L628" s="11">
        <v>2500.6950000000002</v>
      </c>
      <c r="M628" s="11">
        <v>3045.6336999999999</v>
      </c>
      <c r="N628" s="11">
        <v>3227.8472000000002</v>
      </c>
      <c r="O628" s="3">
        <f t="shared" si="89"/>
        <v>2.915026292213474E-2</v>
      </c>
      <c r="P628" s="3">
        <f t="shared" si="90"/>
        <v>4.4065915690892909E-2</v>
      </c>
      <c r="Q628" s="3">
        <f t="shared" si="91"/>
        <v>4.3746497151353481E-2</v>
      </c>
      <c r="R628" s="3">
        <f t="shared" si="92"/>
        <v>4.1397141048853392E-2</v>
      </c>
      <c r="S628" s="15">
        <f t="shared" si="85"/>
        <v>1.0291502629221347</v>
      </c>
      <c r="T628" s="15">
        <f t="shared" si="86"/>
        <v>1.0440659156908929</v>
      </c>
      <c r="U628" s="15">
        <f t="shared" si="87"/>
        <v>1.0437464971513535</v>
      </c>
      <c r="V628" s="15">
        <f t="shared" si="88"/>
        <v>1.0413971410488534</v>
      </c>
    </row>
    <row r="629" spans="1:22" x14ac:dyDescent="0.25">
      <c r="A629" s="8">
        <v>45625</v>
      </c>
      <c r="B629" s="11">
        <v>1.3697999999999999</v>
      </c>
      <c r="C629" s="11">
        <v>1.6597999999999999</v>
      </c>
      <c r="D629" s="11">
        <v>2.0206</v>
      </c>
      <c r="E629" s="11">
        <v>2.2025000000000001</v>
      </c>
      <c r="F629" s="11">
        <v>1.6024</v>
      </c>
      <c r="G629" s="11">
        <v>1.6372</v>
      </c>
      <c r="H629" s="11">
        <v>1.8</v>
      </c>
      <c r="J629" s="8">
        <v>45653</v>
      </c>
      <c r="K629" s="11">
        <v>1833.8856000000001</v>
      </c>
      <c r="L629" s="11">
        <v>2503.0407</v>
      </c>
      <c r="M629" s="11">
        <v>3048.3946999999998</v>
      </c>
      <c r="N629" s="11">
        <v>3230.3510999999999</v>
      </c>
      <c r="O629" s="3">
        <f t="shared" si="89"/>
        <v>2.9549926124903925E-2</v>
      </c>
      <c r="P629" s="3">
        <f t="shared" si="90"/>
        <v>4.5045269597881132E-2</v>
      </c>
      <c r="Q629" s="3">
        <f t="shared" si="91"/>
        <v>4.4692698947923715E-2</v>
      </c>
      <c r="R629" s="3">
        <f t="shared" si="92"/>
        <v>4.2204971822711546E-2</v>
      </c>
      <c r="S629" s="15">
        <f t="shared" si="85"/>
        <v>1.0295499261249039</v>
      </c>
      <c r="T629" s="15">
        <f t="shared" si="86"/>
        <v>1.0450452695978811</v>
      </c>
      <c r="U629" s="15">
        <f t="shared" si="87"/>
        <v>1.0446926989479237</v>
      </c>
      <c r="V629" s="15">
        <f t="shared" si="88"/>
        <v>1.0422049718227115</v>
      </c>
    </row>
    <row r="630" spans="1:22" x14ac:dyDescent="0.25">
      <c r="A630" s="8">
        <v>45628</v>
      </c>
      <c r="B630" s="11">
        <v>1.35</v>
      </c>
      <c r="C630" s="11">
        <v>1.615</v>
      </c>
      <c r="D630" s="11">
        <v>1.9810000000000001</v>
      </c>
      <c r="E630" s="11">
        <v>2.17</v>
      </c>
      <c r="F630" s="11">
        <v>1.5374000000000001</v>
      </c>
      <c r="G630" s="11">
        <v>1.5894999999999999</v>
      </c>
      <c r="H630" s="11">
        <v>1.73</v>
      </c>
      <c r="J630" s="8">
        <v>45656</v>
      </c>
      <c r="K630" s="11">
        <v>1834.1362999999999</v>
      </c>
      <c r="L630" s="11">
        <v>2503.0149999999999</v>
      </c>
      <c r="M630" s="11">
        <v>3048.6359000000002</v>
      </c>
      <c r="N630" s="11">
        <v>3230.634</v>
      </c>
      <c r="O630" s="3">
        <f t="shared" si="89"/>
        <v>2.9690670000355857E-2</v>
      </c>
      <c r="P630" s="3">
        <f t="shared" si="90"/>
        <v>4.5034539583211908E-2</v>
      </c>
      <c r="Q630" s="3">
        <f t="shared" si="91"/>
        <v>4.4775358807877641E-2</v>
      </c>
      <c r="R630" s="3">
        <f t="shared" si="92"/>
        <v>4.2296243569156955E-2</v>
      </c>
      <c r="S630" s="15">
        <f t="shared" si="85"/>
        <v>1.0296906700003559</v>
      </c>
      <c r="T630" s="15">
        <f t="shared" si="86"/>
        <v>1.0450345395832119</v>
      </c>
      <c r="U630" s="15">
        <f t="shared" si="87"/>
        <v>1.0447753588078776</v>
      </c>
      <c r="V630" s="15">
        <f t="shared" si="88"/>
        <v>1.042296243569157</v>
      </c>
    </row>
    <row r="631" spans="1:22" x14ac:dyDescent="0.25">
      <c r="A631" s="8">
        <v>45629</v>
      </c>
      <c r="B631" s="11">
        <v>1.3491</v>
      </c>
      <c r="C631" s="11">
        <v>1.6256999999999999</v>
      </c>
      <c r="D631" s="11">
        <v>1.9885999999999999</v>
      </c>
      <c r="E631" s="11">
        <v>2.1675</v>
      </c>
      <c r="F631" s="11">
        <v>1.5441</v>
      </c>
      <c r="G631" s="11">
        <v>1.5972999999999999</v>
      </c>
      <c r="H631" s="11">
        <v>1.75</v>
      </c>
      <c r="J631" s="8">
        <v>45657</v>
      </c>
      <c r="K631" s="11">
        <v>1834.8033</v>
      </c>
      <c r="L631" s="11">
        <v>2505.2791999999999</v>
      </c>
      <c r="M631" s="11">
        <v>3048.8110000000001</v>
      </c>
      <c r="N631" s="11">
        <v>3232.1363999999999</v>
      </c>
      <c r="O631" s="3">
        <f t="shared" si="89"/>
        <v>3.0065126182750923E-2</v>
      </c>
      <c r="P631" s="3">
        <f t="shared" si="90"/>
        <v>4.5979866400879477E-2</v>
      </c>
      <c r="Q631" s="3">
        <f t="shared" si="91"/>
        <v>4.4835366027935475E-2</v>
      </c>
      <c r="R631" s="3">
        <f t="shared" si="92"/>
        <v>4.2780961391212458E-2</v>
      </c>
      <c r="S631" s="15">
        <f t="shared" si="85"/>
        <v>1.0300651261827509</v>
      </c>
      <c r="T631" s="15">
        <f t="shared" si="86"/>
        <v>1.0459798664008795</v>
      </c>
      <c r="U631" s="15">
        <f t="shared" si="87"/>
        <v>1.0448353660279355</v>
      </c>
      <c r="V631" s="15">
        <f t="shared" si="88"/>
        <v>1.0427809613912125</v>
      </c>
    </row>
    <row r="632" spans="1:22" x14ac:dyDescent="0.25">
      <c r="A632" s="8">
        <v>45630</v>
      </c>
      <c r="B632" s="11">
        <v>1.3431999999999999</v>
      </c>
      <c r="C632" s="11">
        <v>1.6026</v>
      </c>
      <c r="D632" s="11">
        <v>1.9612000000000001</v>
      </c>
      <c r="E632" s="11">
        <v>2.1375000000000002</v>
      </c>
      <c r="F632" s="11">
        <v>1.5501</v>
      </c>
      <c r="G632" s="11">
        <v>1.5858000000000001</v>
      </c>
      <c r="H632" s="11">
        <v>1.79</v>
      </c>
      <c r="J632" s="8">
        <v>45659</v>
      </c>
      <c r="K632" s="11">
        <v>1835.7236</v>
      </c>
      <c r="L632" s="11">
        <v>2508.5976000000001</v>
      </c>
      <c r="M632" s="11">
        <v>3049.6981999999998</v>
      </c>
      <c r="N632" s="11">
        <v>3234.5684999999999</v>
      </c>
      <c r="O632" s="3"/>
      <c r="P632" s="3"/>
      <c r="Q632" s="3"/>
      <c r="R632" s="3"/>
      <c r="S632" s="15">
        <f t="shared" si="85"/>
        <v>1</v>
      </c>
      <c r="T632" s="15">
        <f t="shared" si="86"/>
        <v>1</v>
      </c>
      <c r="U632" s="15">
        <f t="shared" si="87"/>
        <v>1</v>
      </c>
      <c r="V632" s="15">
        <f t="shared" si="88"/>
        <v>1</v>
      </c>
    </row>
    <row r="633" spans="1:22" x14ac:dyDescent="0.25">
      <c r="A633" s="8">
        <v>45631</v>
      </c>
      <c r="B633" s="11">
        <v>1.3479000000000001</v>
      </c>
      <c r="C633" s="11">
        <v>1.6086</v>
      </c>
      <c r="D633" s="11">
        <v>1.9461999999999999</v>
      </c>
      <c r="E633" s="11">
        <v>2.1425000000000001</v>
      </c>
      <c r="F633" s="11">
        <v>1.5684</v>
      </c>
      <c r="G633" s="11">
        <v>1.5931999999999999</v>
      </c>
      <c r="H633" s="11">
        <v>1.82</v>
      </c>
      <c r="J633" s="8">
        <v>45660</v>
      </c>
      <c r="K633" s="11">
        <v>1836.174</v>
      </c>
      <c r="L633" s="11">
        <v>2510.0783999999999</v>
      </c>
      <c r="M633" s="11">
        <v>3049.8589000000002</v>
      </c>
      <c r="N633" s="11">
        <v>3235.5886</v>
      </c>
      <c r="O633" s="3">
        <f>K633/$K$632-1</f>
        <v>2.453528407000416E-4</v>
      </c>
      <c r="P633" s="3">
        <f>L633/$L$632-1</f>
        <v>5.9028996918430998E-4</v>
      </c>
      <c r="Q633" s="3">
        <f>M633/$M$632-1</f>
        <v>5.269373867888838E-5</v>
      </c>
      <c r="R633" s="3">
        <f>N633/$N$632-1</f>
        <v>3.1537436910067385E-4</v>
      </c>
      <c r="S633" s="15">
        <f t="shared" si="85"/>
        <v>1.0002453528407</v>
      </c>
      <c r="T633" s="15">
        <f t="shared" si="86"/>
        <v>1.0005902899691843</v>
      </c>
      <c r="U633" s="15">
        <f t="shared" si="87"/>
        <v>1.0000526937386789</v>
      </c>
      <c r="V633" s="15">
        <f t="shared" si="88"/>
        <v>1.0003153743691007</v>
      </c>
    </row>
    <row r="634" spans="1:22" x14ac:dyDescent="0.25">
      <c r="A634" s="8">
        <v>45632</v>
      </c>
      <c r="B634" s="11">
        <v>1.3485</v>
      </c>
      <c r="C634" s="11">
        <v>1.6111</v>
      </c>
      <c r="D634" s="11">
        <v>1.9539</v>
      </c>
      <c r="E634" s="11">
        <v>2.1585000000000001</v>
      </c>
      <c r="F634" s="11">
        <v>1.577</v>
      </c>
      <c r="G634" s="11">
        <v>1.6002000000000001</v>
      </c>
      <c r="H634" s="11">
        <v>1.85</v>
      </c>
      <c r="J634" s="8">
        <v>45663</v>
      </c>
      <c r="K634" s="11">
        <v>1836.5446999999999</v>
      </c>
      <c r="L634" s="11">
        <v>2510.5614999999998</v>
      </c>
      <c r="M634" s="11">
        <v>3049.8960999999999</v>
      </c>
      <c r="N634" s="11">
        <v>3235.9803999999999</v>
      </c>
      <c r="O634" s="3">
        <f t="shared" ref="O634:O642" si="93">K634/$K$632-1</f>
        <v>4.472895592777526E-4</v>
      </c>
      <c r="P634" s="3">
        <f t="shared" ref="P634:P642" si="94">L634/$L$632-1</f>
        <v>7.8286768671054219E-4</v>
      </c>
      <c r="Q634" s="3">
        <f t="shared" ref="Q634:Q642" si="95">M634/$M$632-1</f>
        <v>6.4891666985422702E-5</v>
      </c>
      <c r="R634" s="3">
        <f t="shared" ref="R634:R642" si="96">N634/$N$632-1</f>
        <v>4.3650335431144605E-4</v>
      </c>
      <c r="S634" s="15">
        <f t="shared" si="85"/>
        <v>1.0004472895592778</v>
      </c>
      <c r="T634" s="15">
        <f t="shared" si="86"/>
        <v>1.0007828676867105</v>
      </c>
      <c r="U634" s="15">
        <f t="shared" si="87"/>
        <v>1.0000648916669854</v>
      </c>
      <c r="V634" s="15">
        <f t="shared" si="88"/>
        <v>1.0004365033543114</v>
      </c>
    </row>
    <row r="635" spans="1:22" x14ac:dyDescent="0.25">
      <c r="A635" s="8">
        <v>45635</v>
      </c>
      <c r="B635" s="11">
        <v>1.3482000000000001</v>
      </c>
      <c r="C635" s="11">
        <v>1.585</v>
      </c>
      <c r="D635" s="11">
        <v>1.9168000000000001</v>
      </c>
      <c r="E635" s="11">
        <v>2.1151</v>
      </c>
      <c r="F635" s="11">
        <v>1.5606</v>
      </c>
      <c r="G635" s="11">
        <v>1.5898000000000001</v>
      </c>
      <c r="H635" s="11">
        <v>1.88</v>
      </c>
      <c r="J635" s="8">
        <v>45664</v>
      </c>
      <c r="K635" s="11">
        <v>1836.2548999999999</v>
      </c>
      <c r="L635" s="11">
        <v>2509.0124999999998</v>
      </c>
      <c r="M635" s="11">
        <v>3050.0992000000001</v>
      </c>
      <c r="N635" s="11">
        <v>3235.2312000000002</v>
      </c>
      <c r="O635" s="3">
        <f t="shared" si="93"/>
        <v>2.8942265600329087E-4</v>
      </c>
      <c r="P635" s="3">
        <f t="shared" si="94"/>
        <v>1.6539121300263027E-4</v>
      </c>
      <c r="Q635" s="3">
        <f t="shared" si="95"/>
        <v>1.3148842072308042E-4</v>
      </c>
      <c r="R635" s="3">
        <f t="shared" si="96"/>
        <v>2.0488049642497508E-4</v>
      </c>
      <c r="S635" s="15">
        <f t="shared" si="85"/>
        <v>1.0002894226560033</v>
      </c>
      <c r="T635" s="15">
        <f t="shared" si="86"/>
        <v>1.0001653912130026</v>
      </c>
      <c r="U635" s="15">
        <f t="shared" si="87"/>
        <v>1.0001314884207231</v>
      </c>
      <c r="V635" s="15">
        <f t="shared" si="88"/>
        <v>1.000204880496425</v>
      </c>
    </row>
    <row r="636" spans="1:22" x14ac:dyDescent="0.25">
      <c r="A636" s="8">
        <v>45636</v>
      </c>
      <c r="B636" s="11">
        <v>1.3087</v>
      </c>
      <c r="C636" s="11">
        <v>1.5454000000000001</v>
      </c>
      <c r="D636" s="11">
        <v>1.8468</v>
      </c>
      <c r="E636" s="11">
        <v>2.0550999999999999</v>
      </c>
      <c r="F636" s="11">
        <v>1.4987999999999999</v>
      </c>
      <c r="G636" s="11">
        <v>1.5296000000000001</v>
      </c>
      <c r="H636" s="11">
        <v>1.93</v>
      </c>
      <c r="J636" s="8">
        <v>45665</v>
      </c>
      <c r="K636" s="11">
        <v>1836.1736000000001</v>
      </c>
      <c r="L636" s="11">
        <v>2508.5286999999998</v>
      </c>
      <c r="M636" s="11">
        <v>3049.4070000000002</v>
      </c>
      <c r="N636" s="11">
        <v>3234.6849999999999</v>
      </c>
      <c r="O636" s="3">
        <f t="shared" si="93"/>
        <v>2.4513494297284666E-4</v>
      </c>
      <c r="P636" s="3">
        <f t="shared" si="94"/>
        <v>-2.7465544892524285E-5</v>
      </c>
      <c r="Q636" s="3">
        <f t="shared" si="95"/>
        <v>-9.5484858140926221E-5</v>
      </c>
      <c r="R636" s="3">
        <f t="shared" si="96"/>
        <v>3.6017168905333463E-5</v>
      </c>
      <c r="S636" s="15">
        <f t="shared" si="85"/>
        <v>1.0002451349429728</v>
      </c>
      <c r="T636" s="15">
        <f t="shared" si="86"/>
        <v>0.99997253445510748</v>
      </c>
      <c r="U636" s="15">
        <f t="shared" si="87"/>
        <v>0.99990451514185907</v>
      </c>
      <c r="V636" s="15">
        <f t="shared" si="88"/>
        <v>1.0000360171689053</v>
      </c>
    </row>
    <row r="637" spans="1:22" x14ac:dyDescent="0.25">
      <c r="A637" s="8">
        <v>45637</v>
      </c>
      <c r="B637" s="11">
        <v>1.2782</v>
      </c>
      <c r="C637" s="11">
        <v>1.53</v>
      </c>
      <c r="D637" s="11">
        <v>1.8218000000000001</v>
      </c>
      <c r="E637" s="11">
        <v>2.0400999999999998</v>
      </c>
      <c r="F637" s="11">
        <v>1.5132000000000001</v>
      </c>
      <c r="G637" s="11">
        <v>1.5404</v>
      </c>
      <c r="H637" s="11">
        <v>1.86</v>
      </c>
      <c r="J637" s="8">
        <v>45666</v>
      </c>
      <c r="K637" s="11">
        <v>1835.7021999999999</v>
      </c>
      <c r="L637" s="11">
        <v>2506.567</v>
      </c>
      <c r="M637" s="11">
        <v>3047.7469000000001</v>
      </c>
      <c r="N637" s="11">
        <v>3232.9212000000002</v>
      </c>
      <c r="O637" s="3">
        <f t="shared" si="93"/>
        <v>-1.1657528399156014E-5</v>
      </c>
      <c r="P637" s="3">
        <f t="shared" si="94"/>
        <v>-8.094562475863265E-4</v>
      </c>
      <c r="Q637" s="3">
        <f t="shared" si="95"/>
        <v>-6.3983380388255018E-4</v>
      </c>
      <c r="R637" s="3">
        <f t="shared" si="96"/>
        <v>-5.0927967671721142E-4</v>
      </c>
      <c r="S637" s="15">
        <f t="shared" si="85"/>
        <v>0.99998834247160084</v>
      </c>
      <c r="T637" s="15">
        <f t="shared" si="86"/>
        <v>0.99919054375241367</v>
      </c>
      <c r="U637" s="15">
        <f t="shared" si="87"/>
        <v>0.99936016619611745</v>
      </c>
      <c r="V637" s="15">
        <f t="shared" si="88"/>
        <v>0.99949072032328279</v>
      </c>
    </row>
    <row r="638" spans="1:22" x14ac:dyDescent="0.25">
      <c r="A638" s="8">
        <v>45638</v>
      </c>
      <c r="B638" s="11">
        <v>1.2141999999999999</v>
      </c>
      <c r="C638" s="11">
        <v>1.4843999999999999</v>
      </c>
      <c r="D638" s="11">
        <v>1.8171999999999999</v>
      </c>
      <c r="E638" s="11">
        <v>2.0430000000000001</v>
      </c>
      <c r="F638" s="11">
        <v>1.5023</v>
      </c>
      <c r="G638" s="11">
        <v>1.5236000000000001</v>
      </c>
      <c r="H638" s="11">
        <v>1.95</v>
      </c>
      <c r="J638" s="8">
        <v>45667</v>
      </c>
      <c r="K638" s="11">
        <v>1835.5478000000001</v>
      </c>
      <c r="L638" s="11">
        <v>2506.4578999999999</v>
      </c>
      <c r="M638" s="11">
        <v>3046.3923</v>
      </c>
      <c r="N638" s="11">
        <v>3232.0639000000001</v>
      </c>
      <c r="O638" s="3">
        <f t="shared" si="93"/>
        <v>-9.5766051054768653E-5</v>
      </c>
      <c r="P638" s="3">
        <f t="shared" si="94"/>
        <v>-8.529466822420062E-4</v>
      </c>
      <c r="Q638" s="3">
        <f t="shared" si="95"/>
        <v>-1.0840089029137134E-3</v>
      </c>
      <c r="R638" s="3">
        <f t="shared" si="96"/>
        <v>-7.7432275742495005E-4</v>
      </c>
      <c r="S638" s="15">
        <f t="shared" si="85"/>
        <v>0.99990423394894523</v>
      </c>
      <c r="T638" s="15">
        <f t="shared" si="86"/>
        <v>0.99914705331775799</v>
      </c>
      <c r="U638" s="15">
        <f t="shared" si="87"/>
        <v>0.99891599109708629</v>
      </c>
      <c r="V638" s="15">
        <f t="shared" si="88"/>
        <v>0.99922567724257505</v>
      </c>
    </row>
    <row r="639" spans="1:22" x14ac:dyDescent="0.25">
      <c r="A639" s="8">
        <v>45639</v>
      </c>
      <c r="B639" s="11">
        <v>1.1581999999999999</v>
      </c>
      <c r="C639" s="11">
        <v>1.4353</v>
      </c>
      <c r="D639" s="11">
        <v>1.7770999999999999</v>
      </c>
      <c r="E639" s="11">
        <v>2.0049999999999999</v>
      </c>
      <c r="F639" s="11">
        <v>1.4534</v>
      </c>
      <c r="G639" s="11">
        <v>1.4723999999999999</v>
      </c>
      <c r="H639" s="11">
        <v>1.93</v>
      </c>
      <c r="J639" s="8">
        <v>45670</v>
      </c>
      <c r="K639" s="11">
        <v>1835.1487</v>
      </c>
      <c r="L639" s="11">
        <v>2504.8413</v>
      </c>
      <c r="M639" s="11">
        <v>3044.3312000000001</v>
      </c>
      <c r="N639" s="11">
        <v>3230.0558000000001</v>
      </c>
      <c r="O639" s="3">
        <f t="shared" si="93"/>
        <v>-3.1317350825588175E-4</v>
      </c>
      <c r="P639" s="3">
        <f t="shared" si="94"/>
        <v>-1.4973704830141266E-3</v>
      </c>
      <c r="Q639" s="3">
        <f t="shared" si="95"/>
        <v>-1.7598462693783068E-3</v>
      </c>
      <c r="R639" s="3">
        <f t="shared" si="96"/>
        <v>-1.3951474516615825E-3</v>
      </c>
      <c r="S639" s="15">
        <f t="shared" si="85"/>
        <v>0.99968682649174412</v>
      </c>
      <c r="T639" s="15">
        <f t="shared" si="86"/>
        <v>0.99850262951698587</v>
      </c>
      <c r="U639" s="15">
        <f t="shared" si="87"/>
        <v>0.99824015373062169</v>
      </c>
      <c r="V639" s="15">
        <f t="shared" si="88"/>
        <v>0.99860485254833842</v>
      </c>
    </row>
    <row r="640" spans="1:22" x14ac:dyDescent="0.25">
      <c r="A640" s="8">
        <v>45642</v>
      </c>
      <c r="B640" s="11">
        <v>1.1182000000000001</v>
      </c>
      <c r="C640" s="11">
        <v>1.4176</v>
      </c>
      <c r="D640" s="11">
        <v>1.7215</v>
      </c>
      <c r="E640" s="11">
        <v>1.9525999999999999</v>
      </c>
      <c r="F640" s="11">
        <v>1.4736</v>
      </c>
      <c r="G640" s="11">
        <v>1.4694</v>
      </c>
      <c r="H640" s="11">
        <v>1.95</v>
      </c>
      <c r="J640" s="8">
        <v>45671</v>
      </c>
      <c r="K640" s="11">
        <v>1835.1521</v>
      </c>
      <c r="L640" s="11">
        <v>2506.0394999999999</v>
      </c>
      <c r="M640" s="11">
        <v>3049.0344</v>
      </c>
      <c r="N640" s="11">
        <v>3233.2215999999999</v>
      </c>
      <c r="O640" s="3">
        <f t="shared" si="93"/>
        <v>-3.1132137757561296E-4</v>
      </c>
      <c r="P640" s="3">
        <f t="shared" si="94"/>
        <v>-1.0197330970899143E-3</v>
      </c>
      <c r="Q640" s="3">
        <f t="shared" si="95"/>
        <v>-2.1766088198493794E-4</v>
      </c>
      <c r="R640" s="3">
        <f t="shared" si="96"/>
        <v>-4.1640793818398247E-4</v>
      </c>
      <c r="S640" s="15">
        <f t="shared" si="85"/>
        <v>0.99968867862242439</v>
      </c>
      <c r="T640" s="15">
        <f t="shared" si="86"/>
        <v>0.99898026690291009</v>
      </c>
      <c r="U640" s="15">
        <f t="shared" si="87"/>
        <v>0.99978233911801506</v>
      </c>
      <c r="V640" s="15">
        <f t="shared" si="88"/>
        <v>0.99958359206181602</v>
      </c>
    </row>
    <row r="641" spans="1:22" x14ac:dyDescent="0.25">
      <c r="A641" s="8">
        <v>45643</v>
      </c>
      <c r="B641" s="11">
        <v>1.1081000000000001</v>
      </c>
      <c r="C641" s="11">
        <v>1.4417</v>
      </c>
      <c r="D641" s="11">
        <v>1.7237</v>
      </c>
      <c r="E641" s="11">
        <v>1.9591000000000001</v>
      </c>
      <c r="F641" s="11">
        <v>1.5053000000000001</v>
      </c>
      <c r="G641" s="11">
        <v>1.4937</v>
      </c>
      <c r="H641" s="11">
        <v>2.0499999999999998</v>
      </c>
      <c r="J641" s="8">
        <v>45672</v>
      </c>
      <c r="K641" s="11">
        <v>1835.2117000000001</v>
      </c>
      <c r="L641" s="11">
        <v>2506.3211000000001</v>
      </c>
      <c r="M641" s="11">
        <v>3049.2478999999998</v>
      </c>
      <c r="N641" s="11">
        <v>3233.5603000000001</v>
      </c>
      <c r="O641" s="3">
        <f t="shared" si="93"/>
        <v>-2.7885461623955443E-4</v>
      </c>
      <c r="P641" s="3">
        <f t="shared" si="94"/>
        <v>-9.0747914292832466E-4</v>
      </c>
      <c r="Q641" s="3">
        <f t="shared" si="95"/>
        <v>-1.4765395474214404E-4</v>
      </c>
      <c r="R641" s="3">
        <f t="shared" si="96"/>
        <v>-3.1169536214792348E-4</v>
      </c>
      <c r="S641" s="15">
        <f t="shared" si="85"/>
        <v>0.99972114538376045</v>
      </c>
      <c r="T641" s="15">
        <f t="shared" si="86"/>
        <v>0.99909252085707168</v>
      </c>
      <c r="U641" s="15">
        <f t="shared" si="87"/>
        <v>0.99985234604525786</v>
      </c>
      <c r="V641" s="15">
        <f t="shared" si="88"/>
        <v>0.99968830463785208</v>
      </c>
    </row>
    <row r="642" spans="1:22" x14ac:dyDescent="0.25">
      <c r="A642" s="8">
        <v>45644</v>
      </c>
      <c r="B642" s="11">
        <v>1.0782</v>
      </c>
      <c r="C642" s="11">
        <v>1.4515</v>
      </c>
      <c r="D642" s="11">
        <v>1.7564</v>
      </c>
      <c r="E642" s="11">
        <v>1.9961</v>
      </c>
      <c r="F642" s="11">
        <v>1.4879</v>
      </c>
      <c r="G642" s="11">
        <v>1.4821</v>
      </c>
      <c r="H642" s="11">
        <v>1.93</v>
      </c>
      <c r="J642" s="8">
        <v>45673</v>
      </c>
      <c r="K642" s="11">
        <v>1834.5728999999999</v>
      </c>
      <c r="L642" s="11">
        <v>2505.0771</v>
      </c>
      <c r="M642" s="11">
        <v>3048.0083</v>
      </c>
      <c r="N642" s="11">
        <v>3232.3067000000001</v>
      </c>
      <c r="O642" s="3">
        <f t="shared" si="93"/>
        <v>-6.2683728639767455E-4</v>
      </c>
      <c r="P642" s="3">
        <f t="shared" si="94"/>
        <v>-1.4033737415678482E-3</v>
      </c>
      <c r="Q642" s="3">
        <f t="shared" si="95"/>
        <v>-5.5412040443869603E-4</v>
      </c>
      <c r="R642" s="3">
        <f t="shared" si="96"/>
        <v>-6.9925864918296554E-4</v>
      </c>
      <c r="S642" s="15">
        <f>(O642+1)</f>
        <v>0.99937316271360233</v>
      </c>
      <c r="T642" s="15">
        <f t="shared" si="86"/>
        <v>0.99859662625843215</v>
      </c>
      <c r="U642" s="15">
        <f t="shared" si="87"/>
        <v>0.9994458795955613</v>
      </c>
      <c r="V642" s="15">
        <f t="shared" si="88"/>
        <v>0.99930074135081703</v>
      </c>
    </row>
    <row r="643" spans="1:22" x14ac:dyDescent="0.25">
      <c r="A643" s="8">
        <v>45645</v>
      </c>
      <c r="B643" s="11">
        <v>1.0431999999999999</v>
      </c>
      <c r="C643" s="11">
        <v>1.4160999999999999</v>
      </c>
      <c r="D643" s="11">
        <v>1.7417</v>
      </c>
      <c r="E643" s="11">
        <v>1.9925999999999999</v>
      </c>
      <c r="F643" s="11">
        <v>1.4862</v>
      </c>
      <c r="G643" s="11">
        <v>1.49</v>
      </c>
      <c r="H643" s="11">
        <v>1.84</v>
      </c>
      <c r="J643" s="8">
        <v>45674</v>
      </c>
      <c r="K643" s="11">
        <v>1834.3171</v>
      </c>
      <c r="L643" s="11">
        <v>2504.2145999999998</v>
      </c>
      <c r="M643" s="11">
        <v>3048.1896999999999</v>
      </c>
      <c r="N643" s="11">
        <v>3231.9236000000001</v>
      </c>
      <c r="O643" s="3"/>
      <c r="P643" s="3"/>
      <c r="Q643" s="3"/>
      <c r="R643" s="3"/>
      <c r="S643" s="15">
        <f t="shared" si="85"/>
        <v>1</v>
      </c>
      <c r="T643" s="15">
        <f t="shared" si="86"/>
        <v>1</v>
      </c>
      <c r="U643" s="15">
        <f t="shared" si="87"/>
        <v>1</v>
      </c>
      <c r="V643" s="15">
        <f t="shared" si="88"/>
        <v>1</v>
      </c>
    </row>
    <row r="644" spans="1:22" x14ac:dyDescent="0.25">
      <c r="A644" s="8">
        <v>45646</v>
      </c>
      <c r="B644" s="11">
        <v>0.98070000000000002</v>
      </c>
      <c r="C644" s="11">
        <v>1.3727</v>
      </c>
      <c r="D644" s="11">
        <v>1.7018</v>
      </c>
      <c r="E644" s="11">
        <v>1.9525999999999999</v>
      </c>
      <c r="F644" s="11">
        <v>1.4428000000000001</v>
      </c>
      <c r="G644" s="11">
        <v>1.4368000000000001</v>
      </c>
      <c r="H644" s="11">
        <v>1.8</v>
      </c>
      <c r="J644" s="11"/>
      <c r="K644" s="11"/>
      <c r="L644" s="11"/>
      <c r="M644" s="11"/>
      <c r="N644" s="11"/>
      <c r="O644" s="3"/>
      <c r="P644" s="3"/>
      <c r="Q644" s="3"/>
      <c r="R644" s="3"/>
    </row>
    <row r="645" spans="1:22" x14ac:dyDescent="0.25">
      <c r="A645" s="8">
        <v>45649</v>
      </c>
      <c r="B645" s="11">
        <v>0.93069999999999997</v>
      </c>
      <c r="C645" s="11">
        <v>1.3915</v>
      </c>
      <c r="D645" s="11">
        <v>1.7019</v>
      </c>
      <c r="E645" s="11">
        <v>1.9525999999999999</v>
      </c>
      <c r="F645" s="11">
        <v>1.4234</v>
      </c>
      <c r="G645" s="11">
        <v>1.4194</v>
      </c>
      <c r="H645" s="11">
        <v>1.73</v>
      </c>
      <c r="J645" s="11"/>
      <c r="K645" s="11"/>
      <c r="L645" s="11"/>
      <c r="M645" s="11"/>
      <c r="N645" s="11"/>
      <c r="O645" s="3"/>
      <c r="P645" s="3"/>
      <c r="Q645" s="3"/>
      <c r="R645" s="3"/>
    </row>
    <row r="646" spans="1:22" x14ac:dyDescent="0.25">
      <c r="A646" s="8">
        <v>45650</v>
      </c>
      <c r="B646" s="11">
        <v>0.93069999999999997</v>
      </c>
      <c r="C646" s="11">
        <v>1.4198999999999999</v>
      </c>
      <c r="D646" s="11">
        <v>1.7165999999999999</v>
      </c>
      <c r="E646" s="11">
        <v>1.9925999999999999</v>
      </c>
      <c r="F646" s="11">
        <v>1.4296</v>
      </c>
      <c r="G646" s="11">
        <v>1.4314</v>
      </c>
      <c r="H646" s="11">
        <v>1.73</v>
      </c>
      <c r="J646" s="11"/>
      <c r="K646" s="11"/>
      <c r="L646" s="11"/>
      <c r="M646" s="11"/>
      <c r="N646" s="11"/>
      <c r="O646" s="3"/>
      <c r="P646" s="3"/>
      <c r="Q646" s="3"/>
      <c r="R646" s="3"/>
    </row>
    <row r="647" spans="1:22" x14ac:dyDescent="0.25">
      <c r="A647" s="8">
        <v>45651</v>
      </c>
      <c r="B647" s="11">
        <v>0.99070000000000003</v>
      </c>
      <c r="C647" s="11">
        <v>1.4591000000000001</v>
      </c>
      <c r="D647" s="11">
        <v>1.7364999999999999</v>
      </c>
      <c r="E647" s="11">
        <v>2.0070000000000001</v>
      </c>
      <c r="F647" s="11">
        <v>1.4555</v>
      </c>
      <c r="G647" s="11">
        <v>1.4588000000000001</v>
      </c>
      <c r="H647" s="11">
        <v>2.0499999999999998</v>
      </c>
      <c r="J647" s="11"/>
      <c r="K647" s="11"/>
      <c r="L647" s="11"/>
      <c r="M647" s="11"/>
      <c r="N647" s="11"/>
      <c r="O647" s="3"/>
      <c r="P647" s="3"/>
      <c r="Q647" s="3"/>
      <c r="R647" s="3"/>
    </row>
    <row r="648" spans="1:22" x14ac:dyDescent="0.25">
      <c r="A648" s="8">
        <v>45652</v>
      </c>
      <c r="B648" s="11">
        <v>1.0157</v>
      </c>
      <c r="C648" s="11">
        <v>1.4370000000000001</v>
      </c>
      <c r="D648" s="11">
        <v>1.7121999999999999</v>
      </c>
      <c r="E648" s="11">
        <v>1.9701</v>
      </c>
      <c r="F648" s="11">
        <v>1.4570000000000001</v>
      </c>
      <c r="G648" s="11">
        <v>1.4578</v>
      </c>
      <c r="H648" s="11">
        <v>2.2400000000000002</v>
      </c>
      <c r="J648" s="11"/>
      <c r="K648" s="11"/>
      <c r="L648" s="11"/>
      <c r="M648" s="11"/>
      <c r="N648" s="11"/>
      <c r="O648" s="3"/>
      <c r="P648" s="3"/>
      <c r="Q648" s="3"/>
      <c r="R648" s="3"/>
    </row>
    <row r="649" spans="1:22" x14ac:dyDescent="0.25">
      <c r="A649" s="8">
        <v>45653</v>
      </c>
      <c r="B649" s="11">
        <v>1.0392999999999999</v>
      </c>
      <c r="C649" s="11">
        <v>1.4058999999999999</v>
      </c>
      <c r="D649" s="11">
        <v>1.6929000000000001</v>
      </c>
      <c r="E649" s="11">
        <v>1.9476</v>
      </c>
      <c r="F649" s="11">
        <v>1.4468000000000001</v>
      </c>
      <c r="G649" s="11">
        <v>1.4356</v>
      </c>
      <c r="H649" s="11">
        <v>2.2999999999999998</v>
      </c>
      <c r="J649" s="11"/>
      <c r="K649" s="11"/>
      <c r="L649" s="11"/>
      <c r="M649" s="11"/>
      <c r="N649" s="11"/>
      <c r="O649" s="3"/>
      <c r="P649" s="3"/>
      <c r="Q649" s="3"/>
      <c r="R649" s="3"/>
    </row>
    <row r="650" spans="1:22" x14ac:dyDescent="0.25">
      <c r="A650" s="8">
        <v>45656</v>
      </c>
      <c r="B650" s="11">
        <v>1.1093</v>
      </c>
      <c r="C650" s="11">
        <v>1.4413</v>
      </c>
      <c r="D650" s="11">
        <v>1.7128000000000001</v>
      </c>
      <c r="E650" s="11">
        <v>1.9476</v>
      </c>
      <c r="F650" s="11">
        <v>1.4695</v>
      </c>
      <c r="G650" s="11">
        <v>1.4536</v>
      </c>
      <c r="H650" s="11">
        <v>2.2000000000000002</v>
      </c>
      <c r="J650" s="11"/>
      <c r="K650" s="11"/>
      <c r="L650" s="11"/>
      <c r="M650" s="11"/>
      <c r="N650" s="11"/>
      <c r="O650" s="3"/>
      <c r="P650" s="3"/>
      <c r="Q650" s="3"/>
      <c r="R650" s="3"/>
    </row>
    <row r="651" spans="1:22" x14ac:dyDescent="0.25">
      <c r="A651" s="8">
        <v>45657</v>
      </c>
      <c r="B651" s="11">
        <v>1.0843</v>
      </c>
      <c r="C651" s="11">
        <v>1.4152</v>
      </c>
      <c r="D651" s="11">
        <v>1.6752</v>
      </c>
      <c r="E651" s="11">
        <v>1.9120999999999999</v>
      </c>
      <c r="F651" s="11">
        <v>1.4611000000000001</v>
      </c>
      <c r="G651" s="11">
        <v>1.4359999999999999</v>
      </c>
      <c r="H651" s="11">
        <v>2.2000000000000002</v>
      </c>
      <c r="J651" s="11"/>
      <c r="K651" s="11"/>
      <c r="L651" s="11"/>
      <c r="M651" s="11"/>
      <c r="N651" s="11"/>
      <c r="O651" s="3"/>
      <c r="P651" s="3"/>
      <c r="Q651" s="3"/>
      <c r="R651" s="3"/>
    </row>
    <row r="652" spans="1:22" x14ac:dyDescent="0.25">
      <c r="A652" s="8">
        <v>45659</v>
      </c>
      <c r="B652" s="11">
        <v>1.0692999999999999</v>
      </c>
      <c r="C652" s="11">
        <v>1.3976</v>
      </c>
      <c r="D652" s="11">
        <v>1.6076999999999999</v>
      </c>
      <c r="E652" s="11">
        <v>1.8396999999999999</v>
      </c>
      <c r="F652" s="11">
        <v>1.4659</v>
      </c>
      <c r="G652" s="11">
        <v>1.4094</v>
      </c>
      <c r="H652" s="11">
        <v>1.8</v>
      </c>
      <c r="J652" s="11"/>
      <c r="K652" s="11"/>
      <c r="L652" s="11"/>
      <c r="M652" s="11"/>
      <c r="N652" s="11"/>
      <c r="O652" s="3"/>
      <c r="P652" s="3"/>
      <c r="Q652" s="3"/>
      <c r="R652" s="3"/>
    </row>
    <row r="653" spans="1:22" x14ac:dyDescent="0.25">
      <c r="A653" s="8">
        <v>45660</v>
      </c>
      <c r="B653" s="11">
        <v>1.0177</v>
      </c>
      <c r="C653" s="11">
        <v>1.3409</v>
      </c>
      <c r="D653" s="11">
        <v>1.6041000000000001</v>
      </c>
      <c r="E653" s="11">
        <v>1.8501000000000001</v>
      </c>
      <c r="F653" s="11">
        <v>1.4625999999999999</v>
      </c>
      <c r="G653" s="11">
        <v>1.3984000000000001</v>
      </c>
      <c r="H653" s="11">
        <v>1.83</v>
      </c>
      <c r="J653" s="11"/>
      <c r="K653" s="11"/>
      <c r="L653" s="11"/>
      <c r="M653" s="11"/>
      <c r="N653" s="11"/>
      <c r="O653" s="3"/>
      <c r="P653" s="3"/>
      <c r="Q653" s="3"/>
      <c r="R653" s="3"/>
    </row>
    <row r="654" spans="1:22" x14ac:dyDescent="0.25">
      <c r="A654" s="8">
        <v>45663</v>
      </c>
      <c r="B654" s="11">
        <v>1.0390999999999999</v>
      </c>
      <c r="C654" s="11">
        <v>1.3492999999999999</v>
      </c>
      <c r="D654" s="11">
        <v>1.5966</v>
      </c>
      <c r="E654" s="11">
        <v>1.8327</v>
      </c>
      <c r="F654" s="11">
        <v>1.4567000000000001</v>
      </c>
      <c r="G654" s="11">
        <v>1.4058999999999999</v>
      </c>
      <c r="H654" s="11">
        <v>1.67</v>
      </c>
      <c r="J654" s="11"/>
      <c r="K654" s="11"/>
      <c r="L654" s="11"/>
      <c r="M654" s="11"/>
      <c r="N654" s="11"/>
      <c r="O654" s="3"/>
      <c r="P654" s="3"/>
      <c r="Q654" s="3"/>
      <c r="R654" s="3"/>
    </row>
    <row r="655" spans="1:22" x14ac:dyDescent="0.25">
      <c r="A655" s="8">
        <v>45664</v>
      </c>
      <c r="B655" s="11">
        <v>1.08</v>
      </c>
      <c r="C655" s="11">
        <v>1.3895</v>
      </c>
      <c r="D655" s="11">
        <v>1.6093</v>
      </c>
      <c r="E655" s="11">
        <v>1.8602000000000001</v>
      </c>
      <c r="F655" s="11">
        <v>1.4696</v>
      </c>
      <c r="G655" s="11">
        <v>1.4307000000000001</v>
      </c>
      <c r="H655" s="11">
        <v>1.6</v>
      </c>
      <c r="J655" s="11"/>
      <c r="K655" s="11"/>
      <c r="L655" s="11"/>
      <c r="M655" s="11"/>
      <c r="N655" s="11"/>
      <c r="O655" s="3"/>
      <c r="P655" s="3"/>
      <c r="Q655" s="3"/>
      <c r="R655" s="3"/>
    </row>
    <row r="656" spans="1:22" x14ac:dyDescent="0.25">
      <c r="A656" s="8">
        <v>45665</v>
      </c>
      <c r="B656" s="11">
        <v>1.1200000000000001</v>
      </c>
      <c r="C656" s="11">
        <v>1.3948</v>
      </c>
      <c r="D656" s="11">
        <v>1.6069</v>
      </c>
      <c r="E656" s="11">
        <v>1.8702000000000001</v>
      </c>
      <c r="F656" s="11">
        <v>1.4831000000000001</v>
      </c>
      <c r="G656" s="11">
        <v>1.4435</v>
      </c>
      <c r="H656" s="11">
        <v>1.63</v>
      </c>
      <c r="J656" s="11"/>
      <c r="K656" s="11"/>
      <c r="L656" s="11"/>
      <c r="M656" s="11"/>
      <c r="N656" s="11"/>
      <c r="O656" s="3"/>
      <c r="P656" s="3"/>
      <c r="Q656" s="3"/>
      <c r="R656" s="3"/>
    </row>
    <row r="657" spans="1:18" x14ac:dyDescent="0.25">
      <c r="A657" s="8">
        <v>45666</v>
      </c>
      <c r="B657" s="11">
        <v>1.17</v>
      </c>
      <c r="C657" s="11">
        <v>1.4464999999999999</v>
      </c>
      <c r="D657" s="11">
        <v>1.6368</v>
      </c>
      <c r="E657" s="11">
        <v>1.8932</v>
      </c>
      <c r="F657" s="11">
        <v>1.5055000000000001</v>
      </c>
      <c r="G657" s="11">
        <v>1.4656</v>
      </c>
      <c r="H657" s="11">
        <v>1.68</v>
      </c>
      <c r="J657" s="11"/>
      <c r="K657" s="11"/>
      <c r="L657" s="11"/>
      <c r="M657" s="11"/>
      <c r="N657" s="11"/>
      <c r="O657" s="3"/>
      <c r="P657" s="3"/>
      <c r="Q657" s="3"/>
      <c r="R657" s="3"/>
    </row>
    <row r="658" spans="1:18" x14ac:dyDescent="0.25">
      <c r="A658" s="8">
        <v>45667</v>
      </c>
      <c r="B658" s="11">
        <v>1.1960999999999999</v>
      </c>
      <c r="C658" s="11">
        <v>1.4341999999999999</v>
      </c>
      <c r="D658" s="11">
        <v>1.6337999999999999</v>
      </c>
      <c r="E658" s="11">
        <v>1.8752</v>
      </c>
      <c r="F658" s="11">
        <v>1.5388999999999999</v>
      </c>
      <c r="G658" s="11">
        <v>1.5134000000000001</v>
      </c>
      <c r="H658" s="11">
        <v>1.78</v>
      </c>
      <c r="J658" s="11"/>
      <c r="K658" s="11"/>
      <c r="L658" s="11"/>
      <c r="M658" s="11"/>
      <c r="N658" s="11"/>
      <c r="O658" s="3"/>
      <c r="P658" s="3"/>
      <c r="Q658" s="3"/>
      <c r="R658" s="3"/>
    </row>
    <row r="659" spans="1:18" x14ac:dyDescent="0.25">
      <c r="A659" s="8">
        <v>45670</v>
      </c>
      <c r="B659" s="11">
        <v>1.2361</v>
      </c>
      <c r="C659" s="11">
        <v>1.4792000000000001</v>
      </c>
      <c r="D659" s="11">
        <v>1.6592</v>
      </c>
      <c r="E659" s="11">
        <v>1.9051</v>
      </c>
      <c r="F659" s="11">
        <v>1.5861000000000001</v>
      </c>
      <c r="G659" s="11">
        <v>1.5063</v>
      </c>
      <c r="H659" s="11">
        <v>2.1</v>
      </c>
      <c r="J659" s="11"/>
      <c r="K659" s="11"/>
      <c r="L659" s="11"/>
      <c r="M659" s="11"/>
      <c r="N659" s="11"/>
      <c r="O659" s="3"/>
      <c r="P659" s="3"/>
      <c r="Q659" s="3"/>
      <c r="R659" s="3"/>
    </row>
    <row r="660" spans="1:18" x14ac:dyDescent="0.25">
      <c r="A660" s="8">
        <v>45671</v>
      </c>
      <c r="B660" s="11">
        <v>1.2161</v>
      </c>
      <c r="C660" s="11">
        <v>1.4157</v>
      </c>
      <c r="D660" s="11">
        <v>1.6446000000000001</v>
      </c>
      <c r="E660" s="11">
        <v>1.8652</v>
      </c>
      <c r="F660" s="11">
        <v>1.5851999999999999</v>
      </c>
      <c r="G660" s="11">
        <v>1.4942</v>
      </c>
      <c r="H660" s="11">
        <v>2.4</v>
      </c>
      <c r="J660" s="11"/>
      <c r="K660" s="11"/>
      <c r="L660" s="11"/>
      <c r="M660" s="11"/>
      <c r="N660" s="11"/>
      <c r="O660" s="3"/>
      <c r="P660" s="3"/>
      <c r="Q660" s="3"/>
      <c r="R660" s="3"/>
    </row>
    <row r="661" spans="1:18" x14ac:dyDescent="0.25">
      <c r="A661" s="8">
        <v>45672</v>
      </c>
      <c r="B661" s="11">
        <v>1.2060999999999999</v>
      </c>
      <c r="C661" s="11">
        <v>1.4207000000000001</v>
      </c>
      <c r="D661" s="11">
        <v>1.633</v>
      </c>
      <c r="E661" s="11">
        <v>1.8602000000000001</v>
      </c>
      <c r="F661" s="11">
        <v>1.5647</v>
      </c>
      <c r="G661" s="11">
        <v>1.4731000000000001</v>
      </c>
      <c r="H661" s="11">
        <v>2.4500000000000002</v>
      </c>
    </row>
    <row r="662" spans="1:18" x14ac:dyDescent="0.25">
      <c r="A662" s="8">
        <v>45673</v>
      </c>
      <c r="B662" s="11">
        <v>1.2217</v>
      </c>
      <c r="C662" s="11">
        <v>1.4257</v>
      </c>
      <c r="D662" s="11">
        <v>1.6394</v>
      </c>
      <c r="E662" s="11">
        <v>1.8676999999999999</v>
      </c>
      <c r="F662" s="11">
        <v>1.6017999999999999</v>
      </c>
      <c r="G662" s="11">
        <v>1.4955000000000001</v>
      </c>
      <c r="H662" s="11">
        <v>3.3</v>
      </c>
    </row>
    <row r="663" spans="1:18" x14ac:dyDescent="0.25">
      <c r="A663" s="8">
        <v>45674</v>
      </c>
      <c r="B663" s="11">
        <v>1.2617</v>
      </c>
      <c r="C663" s="11">
        <v>1.4307000000000001</v>
      </c>
      <c r="D663" s="11">
        <v>1.6593</v>
      </c>
      <c r="E663" s="11">
        <v>1.915</v>
      </c>
      <c r="F663" s="11">
        <v>1.5922000000000001</v>
      </c>
      <c r="G663" s="11">
        <v>1.5054000000000001</v>
      </c>
      <c r="H663" s="11">
        <v>2.5</v>
      </c>
    </row>
    <row r="664" spans="1:18" x14ac:dyDescent="0.25">
      <c r="A664" s="8">
        <v>45677</v>
      </c>
      <c r="B664" s="11">
        <v>1.3</v>
      </c>
      <c r="C664" s="11">
        <v>1.4357</v>
      </c>
      <c r="D664" s="11">
        <v>1.6747000000000001</v>
      </c>
      <c r="E664" s="11">
        <v>1.9225000000000001</v>
      </c>
      <c r="F664" s="11"/>
      <c r="G664" s="11"/>
      <c r="H664" s="11">
        <v>2.4</v>
      </c>
    </row>
  </sheetData>
  <phoneticPr fontId="4" type="noConversion"/>
  <pageMargins left="0.7" right="0.7" top="0.75" bottom="0.75" header="0.3" footer="0.3"/>
  <pageSetup paperSize="9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3"/>
  <sheetViews>
    <sheetView topLeftCell="A573" workbookViewId="0">
      <selection activeCell="G598" sqref="G598"/>
    </sheetView>
  </sheetViews>
  <sheetFormatPr defaultColWidth="8.7265625" defaultRowHeight="14" x14ac:dyDescent="0.25"/>
  <cols>
    <col min="1" max="1" width="15" customWidth="1"/>
  </cols>
  <sheetData>
    <row r="1" spans="1:7" x14ac:dyDescent="0.25">
      <c r="A1" s="5" t="s">
        <v>0</v>
      </c>
    </row>
    <row r="2" spans="1:7" x14ac:dyDescent="0.25">
      <c r="A2" s="6">
        <v>44713</v>
      </c>
    </row>
    <row r="3" spans="1:7" x14ac:dyDescent="0.25">
      <c r="A3" s="6">
        <v>44714</v>
      </c>
    </row>
    <row r="4" spans="1:7" x14ac:dyDescent="0.25">
      <c r="A4" s="6">
        <v>44718</v>
      </c>
      <c r="B4" t="e">
        <f>-中国_中债国债到期收益率_1年!B3+中国_中债国债到期收益率_1年!B2</f>
        <v>#VALUE!</v>
      </c>
      <c r="C4">
        <f>-中国_中债国债到期收益率_1年!C3+中国_中债国债到期收益率_1年!C2</f>
        <v>-3.6000000000000476E-3</v>
      </c>
      <c r="D4">
        <f>-中国_中债国债到期收益率_1年!D3+中国_中债国债到期收益率_1年!D2</f>
        <v>-4.9999999999998934E-3</v>
      </c>
      <c r="E4">
        <f>-中国_中债国债到期收益率_1年!E3+中国_中债国债到期收益率_1年!E2</f>
        <v>-2.6000000000001577E-3</v>
      </c>
      <c r="F4">
        <f>-中国_中债国债到期收益率_1年!F3+中国_中债国债到期收益率_1年!F2</f>
        <v>-1.0199999999999765E-2</v>
      </c>
      <c r="G4">
        <f>-中国_中债国债到期收益率_1年!G3+中国_中债国债到期收益率_1年!G2</f>
        <v>-1.4299999999999979E-2</v>
      </c>
    </row>
    <row r="5" spans="1:7" x14ac:dyDescent="0.25">
      <c r="A5" s="6">
        <v>44719</v>
      </c>
      <c r="B5">
        <f>-中国_中债国债到期收益率_1年!B4+中国_中债国债到期收益率_1年!B3</f>
        <v>-6.349999999999989E-2</v>
      </c>
      <c r="C5">
        <f>-中国_中债国债到期收益率_1年!C4+中国_中债国债到期收益率_1年!C3</f>
        <v>-3.6399999999999988E-2</v>
      </c>
      <c r="D5">
        <f>-中国_中债国债到期收益率_1年!D4+中国_中债国债到期收益率_1年!D3</f>
        <v>-1.7500000000000071E-2</v>
      </c>
      <c r="E5">
        <f>-中国_中债国债到期收益率_1年!E4+中国_中债国债到期收益率_1年!E3</f>
        <v>-7.6000000000000512E-3</v>
      </c>
      <c r="F5">
        <f>-中国_中债国债到期收益率_1年!F4+中国_中债国债到期收益率_1年!F3</f>
        <v>-2.079999999999993E-2</v>
      </c>
      <c r="G5">
        <f>-中国_中债国债到期收益率_1年!G4+中国_中债国债到期收益率_1年!G3</f>
        <v>-1.8600000000000172E-2</v>
      </c>
    </row>
    <row r="6" spans="1:7" x14ac:dyDescent="0.25">
      <c r="A6" s="6">
        <v>44720</v>
      </c>
      <c r="B6">
        <f>-中国_中债国债到期收益率_1年!B5+中国_中债国债到期收益率_1年!B4</f>
        <v>1.9000000000000128E-3</v>
      </c>
      <c r="C6">
        <f>-中国_中债国债到期收益率_1年!C5+中国_中债国债到期收益率_1年!C4</f>
        <v>1.5200000000000102E-2</v>
      </c>
      <c r="D6">
        <f>-中国_中债国债到期收益率_1年!D5+中国_中债国债到期收益率_1年!D4</f>
        <v>2.0000000000000018E-2</v>
      </c>
      <c r="E6">
        <f>-中国_中债国债到期收益率_1年!E5+中国_中债国债到期收益率_1年!E4</f>
        <v>7.4000000000000732E-3</v>
      </c>
      <c r="F6">
        <f>-中国_中债国债到期收益率_1年!F5+中国_中债国债到期收益率_1年!F4</f>
        <v>-7.5000000000002842E-3</v>
      </c>
      <c r="G6">
        <f>-中国_中债国债到期收益率_1年!G5+中国_中债国债到期收益率_1年!G4</f>
        <v>-4.3999999999999595E-3</v>
      </c>
    </row>
    <row r="7" spans="1:7" x14ac:dyDescent="0.25">
      <c r="A7" s="6">
        <v>44721</v>
      </c>
      <c r="B7">
        <f>-中国_中债国债到期收益率_1年!B6+中国_中债国债到期收益率_1年!B5</f>
        <v>-1.0200000000000209E-2</v>
      </c>
      <c r="C7">
        <f>-中国_中债国债到期收益率_1年!C6+中国_中债国债到期收益率_1年!C5</f>
        <v>-7.9999999999991189E-4</v>
      </c>
      <c r="D7">
        <f>-中国_中债国债到期收益率_1年!D6+中国_中债国债到期收益率_1年!D5</f>
        <v>-8.49999999999973E-3</v>
      </c>
      <c r="E7">
        <f>-中国_中债国债到期收益率_1年!E6+中国_中债国债到期收益率_1年!E5</f>
        <v>-7.4999999999998401E-3</v>
      </c>
      <c r="F7">
        <f>-中国_中债国债到期收益率_1年!F6+中国_中债国债到期收益率_1年!F5</f>
        <v>1.4800000000000146E-2</v>
      </c>
      <c r="G7">
        <f>-中国_中债国债到期收益率_1年!G6+中国_中债国债到期收益率_1年!G5</f>
        <v>1.2700000000000156E-2</v>
      </c>
    </row>
    <row r="8" spans="1:7" x14ac:dyDescent="0.25">
      <c r="A8" s="6">
        <v>44722</v>
      </c>
      <c r="B8">
        <f>-中国_中债国债到期收益率_1年!B7+中国_中债国债到期收益率_1年!B6</f>
        <v>1.3100000000000112E-2</v>
      </c>
      <c r="C8">
        <f>-中国_中债国债到期收益率_1年!C7+中国_中债国债到期收益率_1年!C6</f>
        <v>1.2399999999999967E-2</v>
      </c>
      <c r="D8">
        <f>-中国_中债国债到期收益率_1年!D7+中国_中债国债到期收益率_1年!D6</f>
        <v>8.49999999999973E-3</v>
      </c>
      <c r="E8">
        <f>-中国_中债国债到期收益率_1年!E7+中国_中债国债到期收益率_1年!E6</f>
        <v>9.9999999999997868E-3</v>
      </c>
      <c r="F8">
        <f>-中国_中债国债到期收益率_1年!F7+中国_中债国债到期收益率_1年!F6</f>
        <v>6.8000000000001393E-3</v>
      </c>
      <c r="G8">
        <f>-中国_中债国债到期收益率_1年!G7+中国_中债国债到期收益率_1年!G6</f>
        <v>7.8999999999997961E-3</v>
      </c>
    </row>
    <row r="9" spans="1:7" x14ac:dyDescent="0.25">
      <c r="A9" s="6">
        <v>44725</v>
      </c>
      <c r="B9">
        <f>-中国_中债国债到期收益率_1年!B8+中国_中债国债到期收益率_1年!B7</f>
        <v>9.9999999999997868E-3</v>
      </c>
      <c r="C9">
        <f>-中国_中债国债到期收益率_1年!C8+中国_中债国债到期收益率_1年!C7</f>
        <v>4.5999999999999375E-3</v>
      </c>
      <c r="D9">
        <f>-中国_中债国债到期收益率_1年!D8+中国_中债国债到期收益率_1年!D7</f>
        <v>4.9999999999998934E-3</v>
      </c>
      <c r="E9">
        <f>-中国_中债国债到期收益率_1年!E8+中国_中债国债到期收益率_1年!E7</f>
        <v>2.4000000000001798E-3</v>
      </c>
      <c r="F9">
        <f>-中国_中债国债到期收益率_1年!F8+中国_中债国债到期收益率_1年!F7</f>
        <v>4.9999999999998934E-3</v>
      </c>
      <c r="G9">
        <f>-中国_中债国债到期收益率_1年!G8+中国_中债国债到期收益率_1年!G7</f>
        <v>5.3000000000000824E-3</v>
      </c>
    </row>
    <row r="10" spans="1:7" x14ac:dyDescent="0.25">
      <c r="A10" s="6">
        <v>44726</v>
      </c>
      <c r="B10">
        <f>-中国_中债国债到期收益率_1年!B9+中国_中债国债到期收益率_1年!B8</f>
        <v>2.4999999999999467E-3</v>
      </c>
      <c r="C10">
        <f>-中国_中债国债到期收益率_1年!C9+中国_中债国债到期收益率_1年!C8</f>
        <v>-2.1900000000000031E-2</v>
      </c>
      <c r="D10">
        <f>-中国_中债国债到期收益率_1年!D9+中国_中债国债到期收益率_1年!D8</f>
        <v>-1.2599999999999945E-2</v>
      </c>
      <c r="E10">
        <f>-中国_中债国债到期收益率_1年!E9+中国_中债国债到期收益率_1年!E8</f>
        <v>-7.6000000000000512E-3</v>
      </c>
      <c r="F10">
        <f>-中国_中债国债到期收益率_1年!F9+中国_中债国债到期收益率_1年!F8</f>
        <v>-1.0099999999999998E-2</v>
      </c>
      <c r="G10">
        <f>-中国_中债国债到期收益率_1年!G9+中国_中债国债到期收益率_1年!G8</f>
        <v>-1.3900000000000023E-2</v>
      </c>
    </row>
    <row r="11" spans="1:7" x14ac:dyDescent="0.25">
      <c r="A11" s="6">
        <v>44727</v>
      </c>
      <c r="B11">
        <f>-中国_中债国债到期收益率_1年!B10+中国_中债国债到期收益率_1年!B9</f>
        <v>-1.499999999999968E-2</v>
      </c>
      <c r="C11">
        <f>-中国_中债国债到期收益率_1年!C10+中国_中债国债到期收益率_1年!C9</f>
        <v>-5.3000000000000824E-3</v>
      </c>
      <c r="D11">
        <f>-中国_中债国债到期收益率_1年!D10+中国_中债国债到期收益率_1年!D9</f>
        <v>-4.9999999999998934E-3</v>
      </c>
      <c r="E11">
        <f>-中国_中债国债到期收益率_1年!E10+中国_中债国债到期收益率_1年!E9</f>
        <v>0</v>
      </c>
      <c r="F11">
        <f>-中国_中债国债到期收益率_1年!F10+中国_中债国债到期收益率_1年!F9</f>
        <v>-1.5800000000000036E-2</v>
      </c>
      <c r="G11">
        <f>-中国_中债国债到期收益率_1年!G10+中国_中债国债到期收益率_1年!G9</f>
        <v>-1.6799999999999926E-2</v>
      </c>
    </row>
    <row r="12" spans="1:7" x14ac:dyDescent="0.25">
      <c r="A12" s="6">
        <v>44728</v>
      </c>
      <c r="B12">
        <f>-中国_中债国债到期收益率_1年!B11+中国_中债国债到期收益率_1年!B10</f>
        <v>-1.8400000000000194E-2</v>
      </c>
      <c r="C12">
        <f>-中国_中债国债到期收益率_1年!C11+中国_中债国债到期收益率_1年!C10</f>
        <v>-1.6000000000000014E-2</v>
      </c>
      <c r="D12">
        <f>-中国_中债国债到期收益率_1年!D11+中国_中债国债到期收益率_1年!D10</f>
        <v>-1.2500000000000178E-2</v>
      </c>
      <c r="E12">
        <f>-中国_中债国债到期收益率_1年!E11+中国_中债国债到期收益率_1年!E10</f>
        <v>-2.4000000000001798E-3</v>
      </c>
      <c r="F12">
        <f>-中国_中债国债到期收益率_1年!F11+中国_中债国债到期收益率_1年!F10</f>
        <v>-7.6999999999998181E-3</v>
      </c>
      <c r="G12">
        <f>-中国_中债国债到期收益率_1年!G11+中国_中债国债到期收益率_1年!G10</f>
        <v>-8.0000000000000071E-3</v>
      </c>
    </row>
    <row r="13" spans="1:7" x14ac:dyDescent="0.25">
      <c r="A13" s="6">
        <v>44729</v>
      </c>
      <c r="B13">
        <f>-中国_中债国债到期收益率_1年!B12+中国_中债国债到期收益率_1年!B11</f>
        <v>7.9999999999991189E-4</v>
      </c>
      <c r="C13">
        <f>-中国_中债国债到期收益率_1年!C12+中国_中债国债到期收益率_1年!C11</f>
        <v>1.7600000000000282E-2</v>
      </c>
      <c r="D13">
        <f>-中国_中债国债到期收益率_1年!D12+中国_中债国债到期收益率_1年!D11</f>
        <v>9.9000000000000199E-3</v>
      </c>
      <c r="E13">
        <f>-中国_中债国债到期收益率_1年!E12+中国_中债国债到期收益率_1年!E11</f>
        <v>9.9000000000000199E-3</v>
      </c>
      <c r="F13">
        <f>-中国_中债国债到期收益率_1年!F12+中国_中债国债到期收益率_1年!F11</f>
        <v>8.799999999999919E-3</v>
      </c>
      <c r="G13">
        <f>-中国_中债国债到期收益率_1年!G12+中国_中债国债到期收益率_1年!G11</f>
        <v>5.7000000000000384E-3</v>
      </c>
    </row>
    <row r="14" spans="1:7" x14ac:dyDescent="0.25">
      <c r="A14" s="6">
        <v>44732</v>
      </c>
      <c r="B14">
        <f>-中国_中债国债到期收益率_1年!B13+中国_中债国债到期收益率_1年!B12</f>
        <v>2.4999999999999911E-2</v>
      </c>
      <c r="C14">
        <f>-中国_中债国债到期收益率_1年!C13+中国_中债国债到期收益率_1年!C12</f>
        <v>-7.9999999999991189E-4</v>
      </c>
      <c r="D14">
        <f>-中国_中债国债到期收益率_1年!D13+中国_中债国债到期收益率_1年!D12</f>
        <v>-2.3999999999997357E-3</v>
      </c>
      <c r="E14">
        <f>-中国_中债国债到期收益率_1年!E13+中国_中债国债到期收益率_1年!E12</f>
        <v>2.5000000000003908E-3</v>
      </c>
      <c r="F14">
        <f>-中国_中债国债到期收益率_1年!F13+中国_中债国债到期收益率_1年!F12</f>
        <v>1.2399999999999967E-2</v>
      </c>
      <c r="G14">
        <f>-中国_中债国债到期收益率_1年!G13+中国_中债国债到期收益率_1年!G12</f>
        <v>1.0399999999999743E-2</v>
      </c>
    </row>
    <row r="15" spans="1:7" x14ac:dyDescent="0.25">
      <c r="A15" s="6">
        <v>44733</v>
      </c>
      <c r="B15">
        <f>-中国_中债国债到期收益率_1年!B14+中国_中债国债到期收益率_1年!B13</f>
        <v>4.6000000000003816E-3</v>
      </c>
      <c r="C15">
        <f>-中国_中债国债到期收益率_1年!C14+中国_中债国债到期收益率_1年!C13</f>
        <v>-2.1900000000000031E-2</v>
      </c>
      <c r="D15">
        <f>-中国_中债国债到期收益率_1年!D14+中国_中债国债到期收益率_1年!D13</f>
        <v>-1.0099999999999998E-2</v>
      </c>
      <c r="E15">
        <f>-中国_中债国债到期收益率_1年!E14+中国_中债国债到期收益率_1年!E13</f>
        <v>-7.6000000000000512E-3</v>
      </c>
      <c r="F15">
        <f>-中国_中债国债到期收益率_1年!F14+中国_中债国债到期收益率_1年!F13</f>
        <v>-2.53000000000001E-2</v>
      </c>
      <c r="G15">
        <f>-中国_中债国债到期收益率_1年!G14+中国_中债国债到期收益率_1年!G13</f>
        <v>-2.3499999999999854E-2</v>
      </c>
    </row>
    <row r="16" spans="1:7" x14ac:dyDescent="0.25">
      <c r="A16" s="6">
        <v>44734</v>
      </c>
      <c r="B16">
        <f>-中国_中债国债到期收益率_1年!B15+中国_中债国债到期收益率_1年!B14</f>
        <v>3.8000000000000256E-3</v>
      </c>
      <c r="C16">
        <f>-中国_中债国债到期收益率_1年!C15+中国_中债国债到期收益率_1年!C14</f>
        <v>4.4999999999997264E-3</v>
      </c>
      <c r="D16">
        <f>-中国_中债国债到期收益率_1年!D15+中国_中债国债到期收益率_1年!D14</f>
        <v>0</v>
      </c>
      <c r="E16">
        <f>-中国_中债国债到期收益率_1年!E15+中国_中债国债到期收益率_1年!E14</f>
        <v>9.9999999999988987E-4</v>
      </c>
      <c r="F16">
        <f>-中国_中债国债到期收益率_1年!F15+中国_中债国债到期收益率_1年!F14</f>
        <v>-9.7999999999998089E-3</v>
      </c>
      <c r="G16">
        <f>-中国_中债国债到期收益率_1年!G15+中国_中债国债到期收益率_1年!G14</f>
        <v>-7.8000000000000291E-3</v>
      </c>
    </row>
    <row r="17" spans="1:7" x14ac:dyDescent="0.25">
      <c r="A17" s="6">
        <v>44735</v>
      </c>
      <c r="B17">
        <f>-中国_中债国债到期收益率_1年!B16+中国_中债国债到期收益率_1年!B15</f>
        <v>1.4899999999999691E-2</v>
      </c>
      <c r="C17">
        <f>-中国_中债国债到期收益率_1年!C16+中国_中债国债到期收益率_1年!C15</f>
        <v>7.3000000000003062E-3</v>
      </c>
      <c r="D17">
        <f>-中国_中债国债到期收益率_1年!D16+中国_中债国债到期收益率_1年!D15</f>
        <v>8.0000000000000071E-3</v>
      </c>
      <c r="E17">
        <f>-中国_中债国债到期收益率_1年!E16+中国_中债国债到期收益率_1年!E15</f>
        <v>9.0000000000012292E-4</v>
      </c>
      <c r="F17">
        <f>-中国_中债国债到期收益率_1年!F16+中国_中债国债到期收益率_1年!F15</f>
        <v>1.0099999999999998E-2</v>
      </c>
      <c r="G17">
        <f>-中国_中债国债到期收益率_1年!G16+中国_中债国债到期收益率_1年!G15</f>
        <v>1.0699999999999932E-2</v>
      </c>
    </row>
    <row r="18" spans="1:7" x14ac:dyDescent="0.25">
      <c r="A18" s="6">
        <v>44736</v>
      </c>
      <c r="B18">
        <f>-中国_中债国债到期收益率_1年!B17+中国_中债国债到期收益率_1年!B16</f>
        <v>2.6100000000000012E-2</v>
      </c>
      <c r="C18">
        <f>-中国_中债国债到期收益率_1年!C17+中国_中债国债到期收益率_1年!C16</f>
        <v>-3.2000000000000917E-3</v>
      </c>
      <c r="D18">
        <f>-中国_中债国债到期收益率_1年!D17+中国_中债国债到期收益率_1年!D16</f>
        <v>-3.0000000000001137E-3</v>
      </c>
      <c r="E18">
        <f>-中国_中债国债到期收益率_1年!E17+中国_中债国债到期收益率_1年!E16</f>
        <v>-2.0000000000002238E-3</v>
      </c>
      <c r="F18">
        <f>-中国_中债国债到期收益率_1年!F17+中国_中债国债到期收益率_1年!F16</f>
        <v>4.7999999999999154E-3</v>
      </c>
      <c r="G18">
        <f>-中国_中债国债到期收益率_1年!G17+中国_中债国债到期收益率_1年!G16</f>
        <v>5.6000000000002714E-3</v>
      </c>
    </row>
    <row r="19" spans="1:7" x14ac:dyDescent="0.25">
      <c r="A19" s="6">
        <v>44739</v>
      </c>
      <c r="B19">
        <f>-中国_中债国债到期收益率_1年!B18+中国_中债国债到期收益率_1年!B17</f>
        <v>-4.4999999999999485E-3</v>
      </c>
      <c r="C19">
        <f>-中国_中债国债到期收益率_1年!C18+中国_中债国债到期收益率_1年!C17</f>
        <v>-2.629999999999999E-2</v>
      </c>
      <c r="D19">
        <f>-中国_中债国债到期收益率_1年!D18+中国_中债国债到期收益率_1年!D17</f>
        <v>-1.7500000000000071E-2</v>
      </c>
      <c r="E19">
        <f>-中国_中债国债到期收益率_1年!E18+中国_中债国债到期收益率_1年!E17</f>
        <v>-1.5000000000000124E-2</v>
      </c>
      <c r="F19">
        <f>-中国_中债国债到期收益率_1年!F18+中国_中债国债到期收益率_1年!F17</f>
        <v>-2.079999999999993E-2</v>
      </c>
      <c r="G19">
        <f>-中国_中债国债到期收益率_1年!G18+中国_中债国债到期收益率_1年!G17</f>
        <v>-2.120000000000033E-2</v>
      </c>
    </row>
    <row r="20" spans="1:7" x14ac:dyDescent="0.25">
      <c r="A20" s="6">
        <v>44740</v>
      </c>
      <c r="B20">
        <f>-中国_中债国债到期收益率_1年!B19+中国_中债国债到期收益率_1年!B18</f>
        <v>-3.180000000000005E-2</v>
      </c>
      <c r="C20">
        <f>-中国_中债国债到期收益率_1年!C19+中国_中债国债到期收益率_1年!C18</f>
        <v>-3.6399999999999988E-2</v>
      </c>
      <c r="D20">
        <f>-中国_中债国债到期收益率_1年!D19+中国_中债国债到期收益率_1年!D18</f>
        <v>-3.5099999999999909E-2</v>
      </c>
      <c r="E20">
        <f>-中国_中债国债到期收益率_1年!E19+中国_中债国债到期收益率_1年!E18</f>
        <v>-9.7999999999998089E-3</v>
      </c>
      <c r="F20">
        <f>-中国_中债国债到期收益率_1年!F19+中国_中债国债到期收益率_1年!F18</f>
        <v>-4.1000000000000369E-2</v>
      </c>
      <c r="G20">
        <f>-中国_中债国债到期收益率_1年!G19+中国_中债国债到期收益率_1年!G18</f>
        <v>-4.4000000000000039E-2</v>
      </c>
    </row>
    <row r="21" spans="1:7" x14ac:dyDescent="0.25">
      <c r="A21" s="6">
        <v>44741</v>
      </c>
      <c r="B21">
        <f>-中国_中债国债到期收益率_1年!B20+中国_中债国债到期收益率_1年!B19</f>
        <v>-4.9999999999994493E-4</v>
      </c>
      <c r="C21">
        <f>-中国_中债国债到期收益率_1年!C20+中国_中债国债到期收益率_1年!C19</f>
        <v>-1.2100000000000222E-2</v>
      </c>
      <c r="D21">
        <f>-中国_中债国债到期收益率_1年!D20+中国_中债国债到期收益率_1年!D19</f>
        <v>-8.5000000000001741E-3</v>
      </c>
      <c r="E21">
        <f>-中国_中债国债到期收益率_1年!E20+中国_中债国债到期收益率_1年!E19</f>
        <v>-4.9999999999998934E-3</v>
      </c>
      <c r="F21">
        <f>-中国_中债国债到期收益率_1年!F20+中国_中债国债到期收益率_1年!F19</f>
        <v>2.2999999999999687E-3</v>
      </c>
      <c r="G21">
        <f>-中国_中债国债到期收益率_1年!G20+中国_中债国债到期收益率_1年!G19</f>
        <v>-1.1199999999999655E-2</v>
      </c>
    </row>
    <row r="22" spans="1:7" x14ac:dyDescent="0.25">
      <c r="A22" s="6">
        <v>44742</v>
      </c>
      <c r="B22">
        <f>-中国_中债国债到期收益率_1年!B21+中国_中债国债到期收益率_1年!B20</f>
        <v>2.1300000000000097E-2</v>
      </c>
      <c r="C22">
        <f>-中国_中债国债到期收益率_1年!C21+中国_中债国债到期收益率_1年!C20</f>
        <v>9.300000000000086E-3</v>
      </c>
      <c r="D22">
        <f>-中国_中债国债到期收益率_1年!D21+中国_中债国债到期收益率_1年!D20</f>
        <v>1.2000000000000011E-2</v>
      </c>
      <c r="E22">
        <f>-中国_中债国债到期收益率_1年!E21+中国_中债国债到期收益率_1年!E20</f>
        <v>2.2999999999999687E-3</v>
      </c>
      <c r="F22">
        <f>-中国_中债国债到期收益率_1年!F21+中国_中债国债到期收益率_1年!F20</f>
        <v>5.8000000000002494E-3</v>
      </c>
      <c r="G22">
        <f>-中国_中债国债到期收益率_1年!G21+中国_中债国债到期收益率_1年!G20</f>
        <v>2.9999999999996696E-3</v>
      </c>
    </row>
    <row r="23" spans="1:7" x14ac:dyDescent="0.25">
      <c r="A23" s="6">
        <v>44743</v>
      </c>
      <c r="B23">
        <f>-中国_中债国债到期收益率_1年!B22+中国_中债国债到期收益率_1年!B21</f>
        <v>2.5900000000000034E-2</v>
      </c>
      <c r="C23">
        <f>-中国_中债国债到期收益率_1年!C22+中国_中债国债到期收益率_1年!C21</f>
        <v>2.0300000000000207E-2</v>
      </c>
      <c r="D23">
        <f>-中国_中债国债到期收益率_1年!D22+中国_中债国债到期收益率_1年!D21</f>
        <v>8.90000000000013E-3</v>
      </c>
      <c r="E23">
        <f>-中国_中债国债到期收益率_1年!E22+中国_中债国债到期收益率_1年!E21</f>
        <v>4.9999999999998934E-3</v>
      </c>
      <c r="F23">
        <f>-中国_中债国债到期收益率_1年!F22+中国_中债国债到期收益率_1年!F21</f>
        <v>1.4499999999999957E-2</v>
      </c>
      <c r="G23">
        <f>-中国_中债国债到期收益率_1年!G22+中国_中债国债到期收益率_1年!G21</f>
        <v>1.5500000000000291E-2</v>
      </c>
    </row>
    <row r="24" spans="1:7" x14ac:dyDescent="0.25">
      <c r="A24" s="6">
        <v>44746</v>
      </c>
      <c r="B24">
        <f>-中国_中债国债到期收益率_1年!B23+中国_中债国债到期收益率_1年!B22</f>
        <v>1.8000000000000016E-2</v>
      </c>
      <c r="C24">
        <f>-中国_中债国债到期收益率_1年!C23+中国_中债国债到期收益率_1年!C22</f>
        <v>4.3999999999999595E-3</v>
      </c>
      <c r="D24">
        <f>-中国_中债国债到期收益率_1年!D23+中国_中债国债到期收益率_1年!D22</f>
        <v>-4.9999999999998934E-3</v>
      </c>
      <c r="E24">
        <f>-中国_中债国债到期收益率_1年!E23+中国_中债国债到期收益率_1年!E22</f>
        <v>-2.6000000000001577E-3</v>
      </c>
      <c r="F24">
        <f>-中国_中债国债到期收益率_1年!F23+中国_中债国债到期收益率_1年!F22</f>
        <v>2.389999999999981E-2</v>
      </c>
      <c r="G24">
        <f>-中国_中债国债到期收益率_1年!G23+中国_中债国债到期收益率_1年!G22</f>
        <v>1.2099999999999778E-2</v>
      </c>
    </row>
    <row r="25" spans="1:7" x14ac:dyDescent="0.25">
      <c r="A25" s="6">
        <v>44747</v>
      </c>
      <c r="B25">
        <f>-中国_中债国债到期收益率_1年!B24+中国_中债国债到期收益率_1年!B23</f>
        <v>-5.0700000000000189E-2</v>
      </c>
      <c r="C25">
        <f>-中国_中债国债到期收益率_1年!C24+中国_中债国债到期收益率_1年!C23</f>
        <v>-4.8000000000000043E-2</v>
      </c>
      <c r="D25">
        <f>-中国_中债国债到期收益率_1年!D24+中国_中债国债到期收益率_1年!D23</f>
        <v>-1.9000000000000128E-2</v>
      </c>
      <c r="E25">
        <f>-中国_中债国债到期收益率_1年!E24+中国_中债国债到期收益率_1年!E23</f>
        <v>-1.7499999999999627E-2</v>
      </c>
      <c r="F25">
        <f>-中国_中债国债到期收益率_1年!F24+中国_中债国债到期收益率_1年!F23</f>
        <v>-6.3799999999999635E-2</v>
      </c>
      <c r="G25">
        <f>-中国_中债国债到期收益率_1年!G24+中国_中债国债到期收益率_1年!G23</f>
        <v>-4.5399999999999885E-2</v>
      </c>
    </row>
    <row r="26" spans="1:7" x14ac:dyDescent="0.25">
      <c r="A26" s="6">
        <v>44748</v>
      </c>
      <c r="B26">
        <f>-中国_中债国债到期收益率_1年!B25+中国_中债国债到期收益率_1年!B24</f>
        <v>-2.6899999999999702E-2</v>
      </c>
      <c r="C26">
        <f>-中国_中债国债到期收益率_1年!C25+中国_中债国债到期收益率_1年!C24</f>
        <v>3.4999999999998366E-3</v>
      </c>
      <c r="D26">
        <f>-中国_中债国债到期收益率_1年!D25+中国_中债国债到期收益率_1年!D24</f>
        <v>1.1200000000000099E-2</v>
      </c>
      <c r="E26">
        <f>-中国_中债国债到期收益率_1年!E25+中国_中债国债到期收益率_1年!E24</f>
        <v>-5.2000000000003155E-3</v>
      </c>
      <c r="F26">
        <f>-中国_中债国债到期收益率_1年!F25+中国_中债国债到期收益率_1年!F24</f>
        <v>-4.3999999999999595E-3</v>
      </c>
      <c r="G26">
        <f>-中国_中债国债到期收益率_1年!G25+中国_中债国债到期收益率_1年!G24</f>
        <v>-2.0199999999999996E-2</v>
      </c>
    </row>
    <row r="27" spans="1:7" x14ac:dyDescent="0.25">
      <c r="A27" s="6">
        <v>44749</v>
      </c>
      <c r="B27">
        <f>-中国_中债国债到期收益率_1年!B26+中国_中债国债到期收益率_1年!B25</f>
        <v>1.8899999999999695E-2</v>
      </c>
      <c r="C27">
        <f>-中国_中债国债到期收益率_1年!C26+中国_中债国债到期收益率_1年!C25</f>
        <v>2.8000000000001357E-3</v>
      </c>
      <c r="D27">
        <f>-中国_中债国债到期收益率_1年!D26+中国_中债国债到期收益率_1年!D25</f>
        <v>-2.2999999999999687E-3</v>
      </c>
      <c r="E27">
        <f>-中国_中债国债到期收益率_1年!E26+中国_中债国债到期收益率_1年!E25</f>
        <v>0</v>
      </c>
      <c r="F27">
        <f>-中国_中债国债到期收益率_1年!F26+中国_中债国债到期收益率_1年!F25</f>
        <v>1.6999999999999904E-2</v>
      </c>
      <c r="G27">
        <f>-中国_中债国债到期收益率_1年!G26+中国_中债国债到期收益率_1年!G25</f>
        <v>1.739999999999986E-2</v>
      </c>
    </row>
    <row r="28" spans="1:7" x14ac:dyDescent="0.25">
      <c r="A28" s="6">
        <v>44750</v>
      </c>
      <c r="B28">
        <f>-中国_中债国债到期收益率_1年!B27+中国_中债国债到期收益率_1年!B26</f>
        <v>8.7000000000001521E-3</v>
      </c>
      <c r="C28">
        <f>-中国_中债国债到期收益率_1年!C27+中国_中债国债到期收益率_1年!C26</f>
        <v>4.4999999999997264E-3</v>
      </c>
      <c r="D28">
        <f>-中国_中债国债到期收益率_1年!D27+中国_中债国债到期收益率_1年!D26</f>
        <v>0</v>
      </c>
      <c r="E28">
        <f>-中国_中债国债到期收益率_1年!E27+中国_中债国债到期收益率_1年!E26</f>
        <v>-9.9999999999766942E-5</v>
      </c>
      <c r="F28">
        <f>-中国_中债国债到期收益率_1年!F27+中国_中债国债到期收益率_1年!F26</f>
        <v>-3.7000000000002586E-3</v>
      </c>
      <c r="G28">
        <f>-中国_中债国债到期收益率_1年!G27+中国_中债国债到期收益率_1年!G26</f>
        <v>-3.6999999999998145E-3</v>
      </c>
    </row>
    <row r="29" spans="1:7" x14ac:dyDescent="0.25">
      <c r="A29" s="6">
        <v>44753</v>
      </c>
      <c r="B29">
        <f>-中国_中债国债到期收益率_1年!B28+中国_中债国债到期收益率_1年!B27</f>
        <v>2.4000000000000021E-2</v>
      </c>
      <c r="C29">
        <f>-中国_中债国债到期收益率_1年!C28+中国_中债国债到期收益率_1年!C27</f>
        <v>7.2000000000000952E-3</v>
      </c>
      <c r="D29">
        <f>-中国_中债国债到期收益率_1年!D28+中国_中债国债到期收益率_1年!D27</f>
        <v>-2.8000000000001357E-3</v>
      </c>
      <c r="E29">
        <f>-中国_中债国债到期收益率_1年!E28+中国_中债国债到期收益率_1年!E27</f>
        <v>-2.53000000000001E-2</v>
      </c>
      <c r="F29">
        <f>-中国_中债国债到期收益率_1年!F28+中国_中债国债到期收益率_1年!F27</f>
        <v>5.9000000000000163E-3</v>
      </c>
      <c r="G29">
        <f>-中国_中债国债到期收益率_1年!G28+中国_中债国债到期收益率_1年!G27</f>
        <v>0</v>
      </c>
    </row>
    <row r="30" spans="1:7" x14ac:dyDescent="0.25">
      <c r="A30" s="6">
        <v>44754</v>
      </c>
      <c r="B30">
        <f>-中国_中债国债到期收益率_1年!B29+中国_中债国债到期收益率_1年!B28</f>
        <v>1.6699999999999937E-2</v>
      </c>
      <c r="C30">
        <f>-中国_中债国债到期收益率_1年!C29+中国_中债国债到期收益率_1年!C28</f>
        <v>2.4999999999999911E-2</v>
      </c>
      <c r="D30">
        <f>-中国_中债国债到期收益率_1年!D29+中国_中债国债到期收益率_1年!D28</f>
        <v>1.1800000000000033E-2</v>
      </c>
      <c r="E30">
        <f>-中国_中债国债到期收益率_1年!E29+中国_中债国债到期收益率_1年!E28</f>
        <v>8.3000000000001961E-3</v>
      </c>
      <c r="F30">
        <f>-中国_中债国债到期收益率_1年!F29+中国_中债国债到期收益率_1年!F28</f>
        <v>3.3600000000000296E-2</v>
      </c>
      <c r="G30">
        <f>-中国_中债国债到期收益率_1年!G29+中国_中债国债到期收益率_1年!G28</f>
        <v>2.7400000000000091E-2</v>
      </c>
    </row>
    <row r="31" spans="1:7" x14ac:dyDescent="0.25">
      <c r="A31" s="6">
        <v>44755</v>
      </c>
      <c r="B31">
        <f>-中国_中债国债到期收益率_1年!B30+中国_中债国债到期收益率_1年!B29</f>
        <v>7.1999999999998732E-3</v>
      </c>
      <c r="C31">
        <f>-中国_中债国债到期收益率_1年!C30+中国_中债国债到期收益率_1年!C29</f>
        <v>3.2600000000000406E-2</v>
      </c>
      <c r="D31">
        <f>-中国_中债国债到期收益率_1年!D30+中国_中债国债到期收益率_1年!D29</f>
        <v>1.4899999999999913E-2</v>
      </c>
      <c r="E31">
        <f>-中国_中债国债到期收益率_1年!E30+中国_中债国债到期收益率_1年!E29</f>
        <v>1.399999999999979E-2</v>
      </c>
      <c r="F31">
        <f>-中国_中债国债到期收益率_1年!F30+中国_中债国债到期收益率_1年!F29</f>
        <v>2.5799999999999823E-2</v>
      </c>
      <c r="G31">
        <f>-中国_中债国债到期收益率_1年!G30+中国_中债国债到期收益率_1年!G29</f>
        <v>2.9999999999999805E-2</v>
      </c>
    </row>
    <row r="32" spans="1:7" x14ac:dyDescent="0.25">
      <c r="A32" s="6">
        <v>44756</v>
      </c>
      <c r="B32">
        <f>-中国_中债国债到期收益率_1年!B31+中国_中债国债到期收益率_1年!B30</f>
        <v>-3.0999999999998806E-3</v>
      </c>
      <c r="C32">
        <f>-中国_中债国债到期收益率_1年!C31+中国_中债国债到期收益率_1年!C30</f>
        <v>7.4999999999998401E-3</v>
      </c>
      <c r="D32">
        <f>-中国_中债国债到期收益率_1年!D31+中国_中债国债到期收益率_1年!D30</f>
        <v>4.9999999999998934E-3</v>
      </c>
      <c r="E32">
        <f>-中国_中债国债到期收益率_1年!E31+中国_中债国债到期收益率_1年!E30</f>
        <v>2.4000000000001798E-3</v>
      </c>
      <c r="F32">
        <f>-中国_中债国债到期收益率_1年!F31+中国_中债国债到期收益率_1年!F30</f>
        <v>1.1299999999999866E-2</v>
      </c>
      <c r="G32">
        <f>-中国_中债国债到期收益率_1年!G31+中国_中债国债到期收益率_1年!G30</f>
        <v>1.8499999999999961E-2</v>
      </c>
    </row>
    <row r="33" spans="1:7" x14ac:dyDescent="0.25">
      <c r="A33" s="6">
        <v>44757</v>
      </c>
      <c r="B33">
        <f>-中国_中债国债到期收益率_1年!B32+中国_中债国债到期收益率_1年!B31</f>
        <v>2.289999999999992E-2</v>
      </c>
      <c r="C33">
        <f>-中国_中债国债到期收益率_1年!C32+中国_中债国债到期收益率_1年!C31</f>
        <v>2.6399999999999757E-2</v>
      </c>
      <c r="D33">
        <f>-中国_中债国债到期收益率_1年!D32+中国_中债国债到期收益率_1年!D31</f>
        <v>1.6000000000000014E-2</v>
      </c>
      <c r="E33">
        <f>-中国_中债国债到期收益率_1年!E32+中国_中债国债到期收益率_1年!E31</f>
        <v>2.0000000000000018E-2</v>
      </c>
      <c r="F33">
        <f>-中国_中债国债到期收益率_1年!F32+中国_中债国债到期收益率_1年!F31</f>
        <v>1.8900000000000361E-2</v>
      </c>
      <c r="G33">
        <f>-中国_中债国债到期收益率_1年!G32+中国_中债国债到期收益率_1年!G31</f>
        <v>1.2999999999999901E-2</v>
      </c>
    </row>
    <row r="34" spans="1:7" x14ac:dyDescent="0.25">
      <c r="A34" s="6">
        <v>44760</v>
      </c>
      <c r="B34">
        <f>-中国_中债国债到期收益率_1年!B33+中国_中债国债到期收益率_1年!B32</f>
        <v>3.1000000000000139E-2</v>
      </c>
      <c r="C34">
        <f>-中国_中债国债到期收益率_1年!C33+中国_中债国债到期收益率_1年!C32</f>
        <v>2.2000000000002018E-3</v>
      </c>
      <c r="D34">
        <f>-中国_中债国债到期收益率_1年!D33+中国_中债国债到期收益率_1年!D32</f>
        <v>5.0000000000003375E-3</v>
      </c>
      <c r="E34">
        <f>-中国_中债国债到期收益率_1年!E33+中国_中债国债到期收益率_1年!E32</f>
        <v>1.0099999999999998E-2</v>
      </c>
      <c r="F34">
        <f>-中国_中债国债到期收益率_1年!F33+中国_中债国债到期收益率_1年!F32</f>
        <v>1.2399999999999967E-2</v>
      </c>
      <c r="G34">
        <f>-中国_中债国债到期收益率_1年!G33+中国_中债国债到期收益率_1年!G32</f>
        <v>1.5800000000000036E-2</v>
      </c>
    </row>
    <row r="35" spans="1:7" x14ac:dyDescent="0.25">
      <c r="A35" s="6">
        <v>44761</v>
      </c>
      <c r="B35">
        <f>-中国_中债国债到期收益率_1年!B34+中国_中债国债到期收益率_1年!B33</f>
        <v>3.4899999999999931E-2</v>
      </c>
      <c r="C35">
        <f>-中国_中债国债到期收益率_1年!C34+中国_中债国债到期收益率_1年!C33</f>
        <v>5.9000000000000163E-3</v>
      </c>
      <c r="D35">
        <f>-中国_中债国债到期收益率_1年!D34+中国_中债国债到期收益率_1年!D33</f>
        <v>1.9999999999997797E-3</v>
      </c>
      <c r="E35">
        <f>-中国_中债国债到期收益率_1年!E34+中国_中债国债到期收益率_1年!E33</f>
        <v>7.3999999999996291E-3</v>
      </c>
      <c r="F35">
        <f>-中国_中债国债到期收益率_1年!F34+中国_中债国债到期收益率_1年!F33</f>
        <v>7.4999999999998401E-3</v>
      </c>
      <c r="G35">
        <f>-中国_中债国债到期收益率_1年!G34+中国_中债国债到期收益率_1年!G33</f>
        <v>3.3000000000003027E-3</v>
      </c>
    </row>
    <row r="36" spans="1:7" x14ac:dyDescent="0.25">
      <c r="A36" s="6">
        <v>44762</v>
      </c>
      <c r="B36">
        <f>-中国_中债国债到期收益率_1年!B35+中国_中债国债到期收益率_1年!B34</f>
        <v>-2.9999999999996696E-4</v>
      </c>
      <c r="C36">
        <f>-中国_中债国债到期收益率_1年!C35+中国_中债国债到期收益率_1年!C34</f>
        <v>-7.9000000000002402E-3</v>
      </c>
      <c r="D36">
        <f>-中国_中债国债到期收益率_1年!D35+中国_中债国债到期收益率_1年!D34</f>
        <v>-2.1999999999997577E-3</v>
      </c>
      <c r="E36">
        <f>-中国_中债国债到期收益率_1年!E35+中国_中债国债到期收益率_1年!E34</f>
        <v>0</v>
      </c>
      <c r="F36">
        <f>-中国_中债国债到期收益率_1年!F35+中国_中债国债到期收益率_1年!F34</f>
        <v>-6.6999999999999282E-3</v>
      </c>
      <c r="G36">
        <f>-中国_中债国债到期收益率_1年!G35+中国_中债国债到期收益率_1年!G34</f>
        <v>-9.400000000000297E-3</v>
      </c>
    </row>
    <row r="37" spans="1:7" x14ac:dyDescent="0.25">
      <c r="A37" s="6">
        <v>44763</v>
      </c>
      <c r="B37">
        <f>-中国_中债国债到期收益率_1年!B36+中国_中债国债到期收益率_1年!B35</f>
        <v>-2.2100000000000009E-2</v>
      </c>
      <c r="C37">
        <f>-中国_中债国债到期收益率_1年!C36+中国_中债国债到期收益率_1年!C35</f>
        <v>2.3400000000000087E-2</v>
      </c>
      <c r="D37">
        <f>-中国_中债国债到期收益率_1年!D36+中国_中债国债到期收益率_1年!D35</f>
        <v>1.4899999999999913E-2</v>
      </c>
      <c r="E37">
        <f>-中国_中债国债到期收益率_1年!E36+中国_中债国债到期收益率_1年!E35</f>
        <v>1.4900000000000357E-2</v>
      </c>
      <c r="F37">
        <f>-中国_中债国债到期收益率_1年!F36+中国_中债国债到期收益率_1年!F35</f>
        <v>8.1999999999999851E-3</v>
      </c>
      <c r="G37">
        <f>-中国_中债国债到期收益率_1年!G36+中国_中债国债到期收益率_1年!G35</f>
        <v>1.2399999999999967E-2</v>
      </c>
    </row>
    <row r="38" spans="1:7" x14ac:dyDescent="0.25">
      <c r="A38" s="6">
        <v>44764</v>
      </c>
      <c r="B38">
        <f>-中国_中债国债到期收益率_1年!B37+中国_中债国债到期收益率_1年!B36</f>
        <v>-4.9999999999994493E-4</v>
      </c>
      <c r="C38">
        <f>-中国_中债国债到期收益率_1年!C37+中国_中债国债到期收益率_1年!C36</f>
        <v>1.1800000000000033E-2</v>
      </c>
      <c r="D38">
        <f>-中国_中债国债到期收益率_1年!D37+中国_中债国债到期收益率_1年!D36</f>
        <v>7.4999999999998401E-3</v>
      </c>
      <c r="E38">
        <f>-中国_中债国债到期收益率_1年!E37+中国_中债国债到期收益率_1年!E36</f>
        <v>6.9999999999996732E-3</v>
      </c>
      <c r="F38">
        <f>-中国_中债国债到期收益率_1年!F37+中国_中债国债到期收益率_1年!F36</f>
        <v>2.1900000000000031E-2</v>
      </c>
      <c r="G38">
        <f>-中国_中债国债到期收益率_1年!G37+中国_中债国债到期收益率_1年!G36</f>
        <v>2.9600000000000293E-2</v>
      </c>
    </row>
    <row r="39" spans="1:7" x14ac:dyDescent="0.25">
      <c r="A39" s="6">
        <v>44767</v>
      </c>
      <c r="B39">
        <f>-中国_中债国债到期收益率_1年!B38+中国_中债国债到期收益率_1年!B37</f>
        <v>-3.1900000000000039E-2</v>
      </c>
      <c r="C39">
        <f>-中国_中债国债到期收益率_1年!C38+中国_中债国债到期收益率_1年!C37</f>
        <v>-2.8499999999999748E-2</v>
      </c>
      <c r="D39">
        <f>-中国_中债国债到期收益率_1年!D38+中国_中债国债到期收益率_1年!D37</f>
        <v>-2.3499999999999854E-2</v>
      </c>
      <c r="E39">
        <f>-中国_中债国债到期收益率_1年!E38+中国_中债国债到期收益率_1年!E37</f>
        <v>-1.2199999999999989E-2</v>
      </c>
      <c r="F39">
        <f>-中国_中债国债到期收益率_1年!F38+中国_中债国债到期收益率_1年!F37</f>
        <v>-1.6900000000000137E-2</v>
      </c>
      <c r="G39">
        <f>-中国_中债国债到期收益率_1年!G38+中国_中债国债到期收益率_1年!G37</f>
        <v>-1.8400000000000194E-2</v>
      </c>
    </row>
    <row r="40" spans="1:7" x14ac:dyDescent="0.25">
      <c r="A40" s="6">
        <v>44768</v>
      </c>
      <c r="B40">
        <f>-中国_中债国债到期收益率_1年!B39+中国_中债国债到期收益率_1年!B38</f>
        <v>2.8999999999999027E-3</v>
      </c>
      <c r="C40">
        <f>-中国_中债国债到期收益率_1年!C39+中国_中债国债到期收益率_1年!C38</f>
        <v>2.4599999999999955E-2</v>
      </c>
      <c r="D40">
        <f>-中国_中债国债到期收益率_1年!D39+中国_中债国债到期收益率_1年!D38</f>
        <v>8.0000000000000071E-3</v>
      </c>
      <c r="E40">
        <f>-中国_中债国债到期收益率_1年!E39+中国_中债国债到期收益率_1年!E38</f>
        <v>4.9000000000001265E-3</v>
      </c>
      <c r="F40">
        <f>-中国_中债国债到期收益率_1年!F39+中国_中债国债到期收益率_1年!F38</f>
        <v>3.0000000000001137E-3</v>
      </c>
      <c r="G40">
        <f>-中国_中债国债到期收益率_1年!G39+中国_中债国债到期收益率_1年!G38</f>
        <v>4.0000000000000036E-3</v>
      </c>
    </row>
    <row r="41" spans="1:7" x14ac:dyDescent="0.25">
      <c r="A41" s="6">
        <v>44769</v>
      </c>
      <c r="B41">
        <f>-中国_中债国债到期收益率_1年!B40+中国_中债国债到期收益率_1年!B39</f>
        <v>1.9700000000000051E-2</v>
      </c>
      <c r="C41">
        <f>-中国_中债国债到期收益率_1年!C40+中国_中债国债到期收益率_1年!C39</f>
        <v>1.399999999999979E-2</v>
      </c>
      <c r="D41">
        <f>-中国_中债国债到期收益率_1年!D40+中国_中债国债到期收益率_1年!D39</f>
        <v>8.999999999999897E-3</v>
      </c>
      <c r="E41">
        <f>-中国_中债国债到期收益率_1年!E40+中国_中债国债到期收益率_1年!E39</f>
        <v>6.8000000000001393E-3</v>
      </c>
      <c r="F41">
        <f>-中国_中债国债到期收益率_1年!F40+中国_中债国债到期收益率_1年!F39</f>
        <v>9.5000000000000639E-3</v>
      </c>
      <c r="G41">
        <f>-中国_中债国债到期收益率_1年!G40+中国_中债国债到期收益率_1年!G39</f>
        <v>1.2100000000000222E-2</v>
      </c>
    </row>
    <row r="42" spans="1:7" x14ac:dyDescent="0.25">
      <c r="A42" s="6">
        <v>44770</v>
      </c>
      <c r="B42">
        <f>-中国_中债国债到期收益率_1年!B41+中国_中债国债到期收益率_1年!B40</f>
        <v>3.8000000000000256E-3</v>
      </c>
      <c r="C42">
        <f>-中国_中债国债到期收益率_1年!C41+中国_中债国债到期收益率_1年!C40</f>
        <v>2.0999999999999908E-2</v>
      </c>
      <c r="D42">
        <f>-中国_中债国债到期收益率_1年!D41+中国_中债国债到期收益率_1年!D40</f>
        <v>-9.9999999999766942E-5</v>
      </c>
      <c r="E42">
        <f>-中国_中债国债到期收益率_1年!E41+中国_中债国债到期收益率_1年!E40</f>
        <v>4.9999999999972289E-4</v>
      </c>
      <c r="F42">
        <f>-中国_中债国债到期收益率_1年!F41+中国_中债国债到期收益率_1年!F40</f>
        <v>5.7999999999998053E-3</v>
      </c>
      <c r="G42">
        <f>-中国_中债国债到期收益率_1年!G41+中国_中债国债到期收益率_1年!G40</f>
        <v>2.9999999999996696E-3</v>
      </c>
    </row>
    <row r="43" spans="1:7" x14ac:dyDescent="0.25">
      <c r="A43" s="6">
        <v>44771</v>
      </c>
      <c r="B43">
        <f>-中国_中债国债到期收益率_1年!B42+中国_中债国债到期收益率_1年!B41</f>
        <v>-1.330000000000009E-2</v>
      </c>
      <c r="C43">
        <f>-中国_中债国债到期收益率_1年!C42+中国_中债国债到期收益率_1年!C41</f>
        <v>-2.7799999999999603E-2</v>
      </c>
      <c r="D43">
        <f>-中国_中债国债到期收益率_1年!D42+中国_中债国债到期收益率_1年!D41</f>
        <v>-1.4900000000000357E-2</v>
      </c>
      <c r="E43">
        <f>-中国_中债国债到期收益率_1年!E42+中国_中债国债到期收益率_1年!E41</f>
        <v>-1.2699999999999712E-2</v>
      </c>
      <c r="F43">
        <f>-中国_中债国债到期收益率_1年!F42+中国_中债国债到期收益率_1年!F41</f>
        <v>-1.3500000000000068E-2</v>
      </c>
      <c r="G43">
        <f>-中国_中债国债到期收益率_1年!G42+中国_中债国债到期收益率_1年!G41</f>
        <v>-2.2999999999999687E-2</v>
      </c>
    </row>
    <row r="44" spans="1:7" x14ac:dyDescent="0.25">
      <c r="A44" s="6">
        <v>44774</v>
      </c>
      <c r="B44">
        <f>-中国_中债国债到期收益率_1年!B43+中国_中债国债到期收益率_1年!B42</f>
        <v>2.8200000000000003E-2</v>
      </c>
      <c r="C44">
        <f>-中国_中债国债到期收益率_1年!C43+中国_中债国债到期收益率_1年!C42</f>
        <v>3.4699999999999953E-2</v>
      </c>
      <c r="D44">
        <f>-中国_中债国债到期收益率_1年!D43+中国_中债国债到期收益率_1年!D42</f>
        <v>2.9000000000000359E-2</v>
      </c>
      <c r="E44">
        <f>-中国_中债国债到期收益率_1年!E43+中国_中债国债到期收益率_1年!E42</f>
        <v>2.4399999999999977E-2</v>
      </c>
      <c r="F44">
        <f>-中国_中债国债到期收益率_1年!F43+中国_中债国债到期收益率_1年!F42</f>
        <v>3.069999999999995E-2</v>
      </c>
      <c r="G44">
        <f>-中国_中债国债到期收益率_1年!G43+中国_中债国债到期收益率_1年!G42</f>
        <v>2.8499999999999748E-2</v>
      </c>
    </row>
    <row r="45" spans="1:7" x14ac:dyDescent="0.25">
      <c r="A45" s="6">
        <v>44775</v>
      </c>
      <c r="B45">
        <f>-中国_中债国债到期收益率_1年!B44+中国_中债国债到期收益率_1年!B43</f>
        <v>3.5400000000000098E-2</v>
      </c>
      <c r="C45">
        <f>-中国_中债国债到期收益率_1年!C44+中国_中债国债到期收益率_1年!C43</f>
        <v>2.4099999999999788E-2</v>
      </c>
      <c r="D45">
        <f>-中国_中债国债到期收益率_1年!D44+中国_中债国债到期收益率_1年!D43</f>
        <v>2.6799999999999713E-2</v>
      </c>
      <c r="E45">
        <f>-中国_中债国债到期收益率_1年!E44+中国_中债国债到期收益率_1年!E43</f>
        <v>2.0299999999999763E-2</v>
      </c>
      <c r="F45">
        <f>-中国_中债国债到期收益率_1年!F44+中国_中债国债到期收益率_1年!F43</f>
        <v>2.3000000000000131E-2</v>
      </c>
      <c r="G45">
        <f>-中国_中债国债到期收益率_1年!G44+中国_中债国债到期收益率_1年!G43</f>
        <v>2.0999999999999908E-2</v>
      </c>
    </row>
    <row r="46" spans="1:7" x14ac:dyDescent="0.25">
      <c r="A46" s="6">
        <v>44776</v>
      </c>
      <c r="B46">
        <f>-中国_中债国债到期收益率_1年!B45+中国_中债国债到期收益率_1年!B44</f>
        <v>5.6400000000000006E-2</v>
      </c>
      <c r="C46">
        <f>-中国_中债国债到期收益率_1年!C45+中国_中债国债到期收益率_1年!C44</f>
        <v>-3.9999999999995595E-4</v>
      </c>
      <c r="D46">
        <f>-中国_中债国债到期收益率_1年!D45+中国_中债国债到期收益率_1年!D44</f>
        <v>-2.1999999999997577E-3</v>
      </c>
      <c r="E46">
        <f>-中国_中债国债到期收益率_1年!E45+中国_中债国债到期收益率_1年!E44</f>
        <v>-2.6999999999999247E-3</v>
      </c>
      <c r="F46">
        <f>-中国_中债国债到期收益率_1年!F45+中国_中债国债到期收益率_1年!F44</f>
        <v>1.639999999999997E-2</v>
      </c>
      <c r="G46">
        <f>-中国_中债国债到期收益率_1年!G45+中国_中债国债到期收益率_1年!G44</f>
        <v>1.3000000000000345E-2</v>
      </c>
    </row>
    <row r="47" spans="1:7" x14ac:dyDescent="0.25">
      <c r="A47" s="6">
        <v>44777</v>
      </c>
      <c r="B47">
        <f>-中国_中债国债到期收益率_1年!B46+中国_中债国债到期收益率_1年!B45</f>
        <v>1.7700000000000049E-2</v>
      </c>
      <c r="C47">
        <f>-中国_中债国债到期收益率_1年!C46+中国_中债国债到期收益率_1年!C45</f>
        <v>3.9800000000000058E-2</v>
      </c>
      <c r="D47">
        <f>-中国_中债国债到期收益率_1年!D46+中国_中债国债到期收益率_1年!D45</f>
        <v>9.5999999999998309E-3</v>
      </c>
      <c r="E47">
        <f>-中国_中债国债到期收益率_1年!E46+中国_中债国债到期收益率_1年!E45</f>
        <v>7.6000000000000512E-3</v>
      </c>
      <c r="F47">
        <f>-中国_中债国债到期收益率_1年!F46+中国_中债国债到期收益率_1年!F45</f>
        <v>3.2200000000000006E-2</v>
      </c>
      <c r="G47">
        <f>-中国_中债国债到期收益率_1年!G46+中国_中债国债到期收益率_1年!G45</f>
        <v>1.2899999999999689E-2</v>
      </c>
    </row>
    <row r="48" spans="1:7" x14ac:dyDescent="0.25">
      <c r="A48" s="6">
        <v>44778</v>
      </c>
      <c r="B48">
        <f>-中国_中债国债到期收益率_1年!B47+中国_中债国债到期收益率_1年!B46</f>
        <v>6.2099999999999822E-2</v>
      </c>
      <c r="C48">
        <f>-中国_中债国债到期收益率_1年!C47+中国_中债国债到期收益率_1年!C46</f>
        <v>1.2199999999999989E-2</v>
      </c>
      <c r="D48">
        <f>-中国_中债国债到期收益率_1年!D47+中国_中债国债到期收益率_1年!D46</f>
        <v>2.6000000000001577E-3</v>
      </c>
      <c r="E48">
        <f>-中国_中债国债到期收益率_1年!E47+中国_中债国债到期收益率_1年!E46</f>
        <v>5.9999999999993392E-4</v>
      </c>
      <c r="F48">
        <f>-中国_中债国债到期收益率_1年!F47+中国_中债国债到期收益率_1年!F46</f>
        <v>6.0899999999999954E-2</v>
      </c>
      <c r="G48">
        <f>-中国_中债国债到期收益率_1年!G47+中国_中债国债到期收益率_1年!G46</f>
        <v>4.1000000000000369E-2</v>
      </c>
    </row>
    <row r="49" spans="1:7" x14ac:dyDescent="0.25">
      <c r="A49" s="6">
        <v>44781</v>
      </c>
      <c r="B49">
        <f>-中国_中债国债到期收益率_1年!B48+中国_中债国债到期收益率_1年!B47</f>
        <v>-2.0899999999999919E-2</v>
      </c>
      <c r="C49">
        <f>-中国_中债国债到期收益率_1年!C48+中国_中债国债到期收益率_1年!C47</f>
        <v>-2.7800000000000047E-2</v>
      </c>
      <c r="D49">
        <f>-中国_中债国债到期收益率_1年!D48+中国_中债国债到期收益率_1年!D47</f>
        <v>-1.4700000000000379E-2</v>
      </c>
      <c r="E49">
        <f>-中国_中债国债到期收益率_1年!E48+中国_中债国债到期收益率_1年!E47</f>
        <v>-1.2799999999999923E-2</v>
      </c>
      <c r="F49">
        <f>-中国_中债国债到期收益率_1年!F48+中国_中债国债到期收益率_1年!F47</f>
        <v>-2.6200000000000001E-2</v>
      </c>
      <c r="G49">
        <f>-中国_中债国债到期收益率_1年!G48+中国_中债国债到期收益率_1年!G47</f>
        <v>-2.330000000000032E-2</v>
      </c>
    </row>
    <row r="50" spans="1:7" x14ac:dyDescent="0.25">
      <c r="A50" s="6">
        <v>44782</v>
      </c>
      <c r="B50">
        <f>-中国_中债国债到期收益率_1年!B49+中国_中债国债到期收益率_1年!B48</f>
        <v>-2.0000000000000018E-2</v>
      </c>
      <c r="C50">
        <f>-中国_中债国债到期收益率_1年!C49+中国_中债国债到期收益率_1年!C48</f>
        <v>-5.7999999999998053E-3</v>
      </c>
      <c r="D50">
        <f>-中国_中债国债到期收益率_1年!D49+中国_中债国债到期收益率_1年!D48</f>
        <v>-6.9999999999996732E-3</v>
      </c>
      <c r="E50">
        <f>-中国_中债国债到期收益率_1年!E49+中国_中债国债到期收益率_1年!E48</f>
        <v>-9.7000000000000419E-3</v>
      </c>
      <c r="F50">
        <f>-中国_中债国债到期收益率_1年!F49+中国_中债国债到期收益率_1年!F48</f>
        <v>-5.8999999999997943E-3</v>
      </c>
      <c r="G50">
        <f>-中国_中债国债到期收益率_1年!G49+中国_中债国债到期收益率_1年!G48</f>
        <v>-1.3500000000000068E-2</v>
      </c>
    </row>
    <row r="51" spans="1:7" x14ac:dyDescent="0.25">
      <c r="A51" s="6">
        <v>44783</v>
      </c>
      <c r="B51">
        <f>-中国_中债国债到期收益率_1年!B50+中国_中债国债到期收益率_1年!B49</f>
        <v>-5.699999999999994E-2</v>
      </c>
      <c r="C51">
        <f>-中国_中债国债到期收益率_1年!C50+中国_中债国债到期收益率_1年!C49</f>
        <v>-1.7400000000000304E-2</v>
      </c>
      <c r="D51">
        <f>-中国_中债国债到期收益率_1年!D50+中国_中债国债到期收益率_1年!D49</f>
        <v>8.9999999999967883E-4</v>
      </c>
      <c r="E51">
        <f>-中国_中债国债到期收益率_1年!E50+中国_中债国债到期收益率_1年!E49</f>
        <v>-2.4000000000001798E-3</v>
      </c>
      <c r="F51">
        <f>-中国_中债国债到期收益率_1年!F50+中国_中债国债到期收益率_1年!F49</f>
        <v>-4.0399999999999991E-2</v>
      </c>
      <c r="G51">
        <f>-中国_中债国债到期收益率_1年!G50+中国_中债国债到期收益率_1年!G49</f>
        <v>-2.8899999999999704E-2</v>
      </c>
    </row>
    <row r="52" spans="1:7" x14ac:dyDescent="0.25">
      <c r="A52" s="6">
        <v>44784</v>
      </c>
      <c r="B52">
        <f>-中国_中债国债到期收益率_1年!B51+中国_中债国债到期收益率_1年!B50</f>
        <v>-2.5000000000000133E-2</v>
      </c>
      <c r="C52">
        <f>-中国_中债国债到期收益率_1年!C51+中国_中债国债到期收益率_1年!C50</f>
        <v>-2.4999999999999467E-3</v>
      </c>
      <c r="D52">
        <f>-中国_中债国债到期收益率_1年!D51+中国_中债国债到期收益率_1年!D50</f>
        <v>3.4000000000000696E-3</v>
      </c>
      <c r="E52">
        <f>-中国_中债国债到期收益率_1年!E51+中国_中债国债到期收益率_1年!E50</f>
        <v>2.0000000000002238E-3</v>
      </c>
      <c r="F52">
        <f>-中国_中债国债到期收益率_1年!F51+中国_中债国债到期收益率_1年!F50</f>
        <v>-8.4000000000001851E-3</v>
      </c>
      <c r="G52">
        <f>-中国_中债国债到期收益率_1年!G51+中国_中债国债到期收益率_1年!G50</f>
        <v>4.5999999999999375E-3</v>
      </c>
    </row>
    <row r="53" spans="1:7" x14ac:dyDescent="0.25">
      <c r="A53" s="6">
        <v>44785</v>
      </c>
      <c r="B53">
        <f>-中国_中债国债到期收益率_1年!B52+中国_中债国债到期收益率_1年!B51</f>
        <v>-2.4999999999999467E-3</v>
      </c>
      <c r="C53">
        <f>-中国_中债国债到期收益率_1年!C52+中国_中债国债到期收益率_1年!C51</f>
        <v>7.4999999999998401E-3</v>
      </c>
      <c r="D53">
        <f>-中国_中债国债到期收益率_1年!D52+中国_中债国债到期收益率_1年!D51</f>
        <v>4.9000000000001265E-3</v>
      </c>
      <c r="E53">
        <f>-中国_中债国债到期收益率_1年!E52+中国_中债国债到期收益率_1年!E51</f>
        <v>1.7000000000000348E-3</v>
      </c>
      <c r="F53">
        <f>-中国_中债国债到期收益率_1年!F52+中国_中债国债到期收益率_1年!F51</f>
        <v>-2.2499999999999964E-2</v>
      </c>
      <c r="G53">
        <f>-中国_中债国债到期收益率_1年!G52+中国_中债国债到期收益率_1年!G51</f>
        <v>-1.6500000000000181E-2</v>
      </c>
    </row>
    <row r="54" spans="1:7" x14ac:dyDescent="0.25">
      <c r="A54" s="6">
        <v>44788</v>
      </c>
      <c r="B54">
        <f>-中国_中债国债到期收益率_1年!B53+中国_中债国债到期收益率_1年!B52</f>
        <v>4.5999999999999375E-3</v>
      </c>
      <c r="C54">
        <f>-中国_中债国债到期收益率_1年!C53+中国_中债国债到期收益率_1年!C52</f>
        <v>-5.2999999999996383E-3</v>
      </c>
      <c r="D54">
        <f>-中国_中债国债到期收益率_1年!D53+中国_中债国债到期收益率_1年!D52</f>
        <v>-3.0000000000001137E-3</v>
      </c>
      <c r="E54">
        <f>-中国_中债国债到期收益率_1年!E53+中国_中债国债到期收益率_1年!E52</f>
        <v>-1.9000000000000128E-3</v>
      </c>
      <c r="F54">
        <f>-中国_中债国债到期收益率_1年!F53+中国_中债国债到期收益率_1年!F52</f>
        <v>-1.7999999999998018E-3</v>
      </c>
      <c r="G54">
        <f>-中国_中债国债到期收益率_1年!G53+中国_中债国债到期收益率_1年!G52</f>
        <v>-5.9999999999993392E-4</v>
      </c>
    </row>
    <row r="55" spans="1:7" x14ac:dyDescent="0.25">
      <c r="A55" s="6">
        <v>44789</v>
      </c>
      <c r="B55">
        <f>-中国_中债国债到期收益率_1年!B54+中国_中债国债到期收益率_1年!B53</f>
        <v>9.4800000000000217E-2</v>
      </c>
      <c r="C55">
        <f>-中国_中债国债到期收益率_1年!C54+中国_中债国债到期收益率_1年!C53</f>
        <v>9.4199999999999839E-2</v>
      </c>
      <c r="D55">
        <f>-中国_中债国债到期收益率_1年!D54+中国_中债国债到期收益率_1年!D53</f>
        <v>7.6500000000000234E-2</v>
      </c>
      <c r="E55">
        <f>-中国_中债国债到期收益率_1年!E54+中国_中债国债到期收益率_1年!E53</f>
        <v>5.3900000000000059E-2</v>
      </c>
      <c r="F55">
        <f>-中国_中债国债到期收益率_1年!F54+中国_中债国债到期收益率_1年!F53</f>
        <v>9.509999999999974E-2</v>
      </c>
      <c r="G55">
        <f>-中国_中债国债到期收益率_1年!G54+中国_中债国债到期收益率_1年!G53</f>
        <v>9.7599999999999909E-2</v>
      </c>
    </row>
    <row r="56" spans="1:7" x14ac:dyDescent="0.25">
      <c r="A56" s="6">
        <v>44790</v>
      </c>
      <c r="B56">
        <f>-中国_中债国债到期收益率_1年!B55+中国_中债国债到期收益率_1年!B54</f>
        <v>-3.2000000000000917E-3</v>
      </c>
      <c r="C56">
        <f>-中国_中债国债到期收益率_1年!C55+中国_中债国债到期收益率_1年!C54</f>
        <v>1.2199999999999989E-2</v>
      </c>
      <c r="D56">
        <f>-中国_中债国债到期收益率_1年!D55+中国_中债国债到期收益率_1年!D54</f>
        <v>2.3600000000000065E-2</v>
      </c>
      <c r="E56">
        <f>-中国_中债国债到期收益率_1年!E55+中国_中债国债到期收益率_1年!E54</f>
        <v>1.2399999999999967E-2</v>
      </c>
      <c r="F56">
        <f>-中国_中债国债到期收益率_1年!F55+中国_中债国债到期收益率_1年!F54</f>
        <v>2.6700000000000168E-2</v>
      </c>
      <c r="G56">
        <f>-中国_中债国债到期收益率_1年!G55+中国_中债国债到期收益率_1年!G54</f>
        <v>2.5000000000000355E-2</v>
      </c>
    </row>
    <row r="57" spans="1:7" x14ac:dyDescent="0.25">
      <c r="A57" s="6">
        <v>44791</v>
      </c>
      <c r="B57">
        <f>-中国_中债国债到期收益率_1年!B56+中国_中债国债到期收益率_1年!B55</f>
        <v>8.9999999999990088E-4</v>
      </c>
      <c r="C57">
        <f>-中国_中债国债到期收益率_1年!C56+中国_中债国债到期收益率_1年!C55</f>
        <v>2.6999999999999247E-3</v>
      </c>
      <c r="D57">
        <f>-中国_中债国债到期收益率_1年!D56+中国_中债国债到期收益率_1年!D55</f>
        <v>2.2199999999999775E-2</v>
      </c>
      <c r="E57">
        <f>-中国_中债国债到期收益率_1年!E56+中国_中债国债到期收益率_1年!E55</f>
        <v>4.9999999999998934E-3</v>
      </c>
      <c r="F57">
        <f>-中国_中债国债到期收益率_1年!F56+中国_中债国债到期收益率_1年!F55</f>
        <v>-1.4900000000000135E-2</v>
      </c>
      <c r="G57">
        <f>-中国_中债国债到期收益率_1年!G56+中国_中债国债到期收益率_1年!G55</f>
        <v>-2.0000000000000018E-2</v>
      </c>
    </row>
    <row r="58" spans="1:7" x14ac:dyDescent="0.25">
      <c r="A58" s="6">
        <v>44792</v>
      </c>
      <c r="B58">
        <f>-中国_中债国债到期收益率_1年!B57+中国_中债国债到期收益率_1年!B56</f>
        <v>1.8600000000000172E-2</v>
      </c>
      <c r="C58">
        <f>-中国_中债国债到期收益率_1年!C57+中国_中债国债到期收益率_1年!C56</f>
        <v>2.2299999999999986E-2</v>
      </c>
      <c r="D58">
        <f>-中国_中债国债到期收益率_1年!D57+中国_中债国债到期收益率_1年!D56</f>
        <v>3.2399999999999984E-2</v>
      </c>
      <c r="E58">
        <f>-中国_中债国债到期收益率_1年!E57+中国_中债国债到期收益率_1年!E56</f>
        <v>3.3100000000000129E-2</v>
      </c>
      <c r="F58">
        <f>-中国_中债国债到期收益率_1年!F57+中国_中债国债到期收益率_1年!F56</f>
        <v>1.9200000000000106E-2</v>
      </c>
      <c r="G58">
        <f>-中国_中债国债到期收益率_1年!G57+中国_中债国债到期收益率_1年!G56</f>
        <v>1.7299999999999649E-2</v>
      </c>
    </row>
    <row r="59" spans="1:7" x14ac:dyDescent="0.25">
      <c r="A59" s="6">
        <v>44795</v>
      </c>
      <c r="B59">
        <f>-中国_中债国债到期收益率_1年!B58+中国_中债国债到期收益率_1年!B57</f>
        <v>-2.4400000000000199E-2</v>
      </c>
      <c r="C59">
        <f>-中国_中债国债到期收益率_1年!C58+中国_中债国债到期收益率_1年!C57</f>
        <v>-1.2999999999999901E-2</v>
      </c>
      <c r="D59">
        <f>-中国_中债国债到期收益率_1年!D58+中国_中债国债到期收益率_1年!D57</f>
        <v>-7.4999999999998401E-3</v>
      </c>
      <c r="E59">
        <f>-中国_中债国债到期收益率_1年!E58+中国_中债国债到期收益率_1年!E57</f>
        <v>2.3699999999999832E-2</v>
      </c>
      <c r="F59">
        <f>-中国_中债国债到期收益率_1年!F58+中国_中债国债到期收益率_1年!F57</f>
        <v>-2.4999999999999467E-3</v>
      </c>
      <c r="G59">
        <f>-中国_中债国债到期收益率_1年!G58+中国_中债国债到期收益率_1年!G57</f>
        <v>-1.7999999999998018E-3</v>
      </c>
    </row>
    <row r="60" spans="1:7" x14ac:dyDescent="0.25">
      <c r="A60" s="6">
        <v>44796</v>
      </c>
      <c r="B60">
        <f>-中国_中债国债到期收益率_1年!B59+中国_中债国债到期收益率_1年!B58</f>
        <v>-3.2199999999999784E-2</v>
      </c>
      <c r="C60">
        <f>-中国_中债国债到期收益率_1年!C59+中国_中债国债到期收益率_1年!C58</f>
        <v>-2.5900000000000034E-2</v>
      </c>
      <c r="D60">
        <f>-中国_中债国债到期收益率_1年!D59+中国_中债国债到期收益率_1年!D58</f>
        <v>-4.9999999999998934E-3</v>
      </c>
      <c r="E60">
        <f>-中国_中债国债到期收益率_1年!E59+中国_中债国债到期收益率_1年!E58</f>
        <v>1.5600000000000058E-2</v>
      </c>
      <c r="F60">
        <f>-中国_中债国债到期收益率_1年!F59+中国_中债国债到期收益率_1年!F58</f>
        <v>-1.2500000000000178E-2</v>
      </c>
      <c r="G60">
        <f>-中国_中债国债到期收益率_1年!G59+中国_中债国债到期收益率_1年!G58</f>
        <v>-5.3999999999998494E-3</v>
      </c>
    </row>
    <row r="61" spans="1:7" x14ac:dyDescent="0.25">
      <c r="A61" s="6">
        <v>44797</v>
      </c>
      <c r="B61">
        <f>-中国_中债国债到期收益率_1年!B60+中国_中债国债到期收益率_1年!B59</f>
        <v>-1.0000000000021103E-4</v>
      </c>
      <c r="C61">
        <f>-中国_中债国债到期收益率_1年!C60+中国_中债国债到期收益率_1年!C59</f>
        <v>-1.2399999999999967E-2</v>
      </c>
      <c r="D61">
        <f>-中国_中债国债到期收益率_1年!D60+中国_中债国债到期收益率_1年!D59</f>
        <v>-1.5000000000000124E-2</v>
      </c>
      <c r="E61">
        <f>-中国_中债国债到期收益率_1年!E60+中国_中债国债到期收益率_1年!E59</f>
        <v>-1.2000000000000011E-2</v>
      </c>
      <c r="F61">
        <f>-中国_中债国债到期收益率_1年!F60+中国_中债国债到期收益率_1年!F59</f>
        <v>-1.5599999999999836E-2</v>
      </c>
      <c r="G61">
        <f>-中国_中债国债到期收益率_1年!G60+中国_中债国债到期收益率_1年!G59</f>
        <v>-1.9200000000000106E-2</v>
      </c>
    </row>
    <row r="62" spans="1:7" x14ac:dyDescent="0.25">
      <c r="A62" s="6">
        <v>44798</v>
      </c>
      <c r="B62">
        <f>-中国_中债国债到期收益率_1年!B61+中国_中债国债到期收益率_1年!B60</f>
        <v>7.5000000000000622E-3</v>
      </c>
      <c r="C62">
        <f>-中国_中债国债到期收益率_1年!C61+中国_中债国债到期收益率_1年!C60</f>
        <v>-3.0999999999998806E-3</v>
      </c>
      <c r="D62">
        <f>-中国_中债国债到期收益率_1年!D61+中国_中债国债到期收益率_1年!D60</f>
        <v>-2.4999999999999467E-3</v>
      </c>
      <c r="E62">
        <f>-中国_中债国债到期收益率_1年!E61+中国_中债国债到期收益率_1年!E60</f>
        <v>-2.3999999999997357E-3</v>
      </c>
      <c r="F62">
        <f>-中国_中债国债到期收益率_1年!F61+中国_中债国债到期收益率_1年!F60</f>
        <v>1.0999999999998789E-3</v>
      </c>
      <c r="G62">
        <f>-中国_中债国债到期收益率_1年!G61+中国_中债国债到期收益率_1年!G60</f>
        <v>-1.0000000000021103E-4</v>
      </c>
    </row>
    <row r="63" spans="1:7" x14ac:dyDescent="0.25">
      <c r="A63" s="6">
        <v>44799</v>
      </c>
      <c r="B63">
        <f>-中国_中债国债到期收益率_1年!B62+中国_中债国债到期收益率_1年!B61</f>
        <v>-4.1599999999999859E-2</v>
      </c>
      <c r="C63">
        <f>-中国_中债国债到期收益率_1年!C62+中国_中债国债到期收益率_1年!C61</f>
        <v>-3.2599999999999962E-2</v>
      </c>
      <c r="D63">
        <f>-中国_中债国债到期收益率_1年!D62+中国_中债国债到期收益率_1年!D61</f>
        <v>-2.8999999999999915E-2</v>
      </c>
      <c r="E63">
        <f>-中国_中债国债到期收益率_1年!E62+中国_中债国债到期收益率_1年!E61</f>
        <v>-2.970000000000006E-2</v>
      </c>
      <c r="F63">
        <f>-中国_中债国债到期收益率_1年!F62+中国_中债国债到期收益率_1年!F61</f>
        <v>-2.5199999999999889E-2</v>
      </c>
      <c r="G63">
        <f>-中国_中债国债到期收益率_1年!G62+中国_中债国债到期收益率_1年!G61</f>
        <v>-2.2100000000000009E-2</v>
      </c>
    </row>
    <row r="64" spans="1:7" x14ac:dyDescent="0.25">
      <c r="A64" s="6">
        <v>44802</v>
      </c>
      <c r="B64">
        <f>-中国_中债国债到期收益率_1年!B63+中国_中债国债到期收益率_1年!B62</f>
        <v>-1.0000000000001119E-3</v>
      </c>
      <c r="C64">
        <f>-中国_中债国债到期收益率_1年!C63+中国_中债国债到期收益率_1年!C62</f>
        <v>1.5000000000000568E-3</v>
      </c>
      <c r="D64">
        <f>-中国_中债国债到期收益率_1年!D63+中国_中债国债到期收益率_1年!D62</f>
        <v>-4.0000000000000036E-3</v>
      </c>
      <c r="E64">
        <f>-中国_中债国债到期收益率_1年!E63+中国_中债国债到期收益率_1年!E62</f>
        <v>-1.3000000000000789E-3</v>
      </c>
      <c r="F64">
        <f>-中国_中债国债到期收益率_1年!F63+中国_中债国债到期收益率_1年!F62</f>
        <v>-1.6800000000000148E-2</v>
      </c>
      <c r="G64">
        <f>-中国_中债国债到期收益率_1年!G63+中国_中债国债到期收益率_1年!G62</f>
        <v>-9.2999999999996419E-3</v>
      </c>
    </row>
    <row r="65" spans="1:7" x14ac:dyDescent="0.25">
      <c r="A65" s="6">
        <v>44803</v>
      </c>
      <c r="B65">
        <f>-中国_中债国债到期收益率_1年!B64+中国_中债国债到期收益率_1年!B63</f>
        <v>3.6100000000000021E-2</v>
      </c>
      <c r="C65">
        <f>-中国_中债国债到期收益率_1年!C64+中国_中债国债到期收益率_1年!C63</f>
        <v>3.0299999999999994E-2</v>
      </c>
      <c r="D65">
        <f>-中国_中债国债到期收益率_1年!D64+中国_中债国债到期收益率_1年!D63</f>
        <v>2.0499999999999741E-2</v>
      </c>
      <c r="E65">
        <f>-中国_中债国债到期收益率_1年!E64+中国_中债国债到期收益率_1年!E63</f>
        <v>2.0399999999999974E-2</v>
      </c>
      <c r="F65">
        <f>-中国_中债国债到期收益率_1年!F64+中国_中债国债到期收益率_1年!F63</f>
        <v>1.5900000000000025E-2</v>
      </c>
      <c r="G65">
        <f>-中国_中债国债到期收益率_1年!G64+中国_中债国债到期收益率_1年!G63</f>
        <v>9.9999999999997868E-3</v>
      </c>
    </row>
    <row r="66" spans="1:7" x14ac:dyDescent="0.25">
      <c r="A66" s="6">
        <v>44804</v>
      </c>
      <c r="B66">
        <f>-中国_中债国债到期收益率_1年!B65+中国_中债国债到期收益率_1年!B64</f>
        <v>1.5500000000000069E-2</v>
      </c>
      <c r="C66">
        <f>-中国_中债国债到期收益率_1年!C65+中国_中债国债到期收益率_1年!C64</f>
        <v>5.9000000000000163E-3</v>
      </c>
      <c r="D66">
        <f>-中国_中债国债到期收益率_1年!D65+中国_中债国债到期收益率_1年!D64</f>
        <v>9.5000000000000639E-3</v>
      </c>
      <c r="E66">
        <f>-中国_中债国债到期收益率_1年!E65+中国_中债国债到期收益率_1年!E64</f>
        <v>7.2999999999998622E-3</v>
      </c>
      <c r="F66">
        <f>-中国_中债国债到期收益率_1年!F65+中国_中债国债到期收益率_1年!F64</f>
        <v>1.4900000000000135E-2</v>
      </c>
      <c r="G66">
        <f>-中国_中债国债到期收益率_1年!G65+中国_中债国债到期收益率_1年!G64</f>
        <v>2.2499999999999964E-2</v>
      </c>
    </row>
    <row r="67" spans="1:7" x14ac:dyDescent="0.25">
      <c r="A67" s="6">
        <v>44805</v>
      </c>
      <c r="B67">
        <f>-中国_中债国债到期收益率_1年!B66+中国_中债国债到期收益率_1年!B65</f>
        <v>2.7999999999999137E-3</v>
      </c>
      <c r="C67">
        <f>-中国_中债国债到期收益率_1年!C66+中国_中债国债到期收益率_1年!C65</f>
        <v>5.9999999999993392E-4</v>
      </c>
      <c r="D67">
        <f>-中国_中债国债到期收益率_1年!D66+中国_中债国债到期收益率_1年!D65</f>
        <v>-9.5000000000000639E-3</v>
      </c>
      <c r="E67">
        <f>-中国_中债国债到期收益率_1年!E66+中国_中债国债到期收益率_1年!E65</f>
        <v>0</v>
      </c>
      <c r="F67">
        <f>-中国_中债国债到期收益率_1年!F66+中国_中债国债到期收益率_1年!F65</f>
        <v>1.2299999999999978E-2</v>
      </c>
      <c r="G67">
        <f>-中国_中债国债到期收益率_1年!G66+中国_中债国债到期收益率_1年!G65</f>
        <v>-3.2999999999998586E-3</v>
      </c>
    </row>
    <row r="68" spans="1:7" x14ac:dyDescent="0.25">
      <c r="A68" s="6">
        <v>44806</v>
      </c>
      <c r="B68">
        <f>-中国_中债国债到期收益率_1年!B67+中国_中债国债到期收益率_1年!B66</f>
        <v>1.3500000000000068E-2</v>
      </c>
      <c r="C68">
        <f>-中国_中债国债到期收益率_1年!C67+中国_中债国债到期收益率_1年!C66</f>
        <v>9.9999999999997868E-3</v>
      </c>
      <c r="D68">
        <f>-中国_中债国债到期收益率_1年!D67+中国_中债国债到期收益率_1年!D66</f>
        <v>1.0000000000000231E-2</v>
      </c>
      <c r="E68">
        <f>-中国_中债国债到期收益率_1年!E67+中国_中债国债到期收益率_1年!E66</f>
        <v>1.2999999999999901E-2</v>
      </c>
      <c r="F68">
        <f>-中国_中债国债到期收益率_1年!F67+中国_中债国债到期收益率_1年!F66</f>
        <v>9.3999999999998529E-3</v>
      </c>
      <c r="G68">
        <f>-中国_中债国债到期收益率_1年!G67+中国_中债国债到期收益率_1年!G66</f>
        <v>9.3999999999998529E-3</v>
      </c>
    </row>
    <row r="69" spans="1:7" x14ac:dyDescent="0.25">
      <c r="A69" s="6">
        <v>44809</v>
      </c>
      <c r="B69">
        <f>-中国_中债国债到期收益率_1年!B68+中国_中债国债到期收益率_1年!B67</f>
        <v>4.9999999999998934E-3</v>
      </c>
      <c r="C69">
        <f>-中国_中债国债到期收益率_1年!C68+中国_中债国债到期收益率_1年!C67</f>
        <v>-5.9000000000000163E-3</v>
      </c>
      <c r="D69">
        <f>-中国_中债国债到期收益率_1年!D68+中国_中债国债到期收益率_1年!D67</f>
        <v>-1.0099999999999998E-2</v>
      </c>
      <c r="E69">
        <f>-中国_中债国债到期收益率_1年!E68+中国_中债国债到期收益率_1年!E67</f>
        <v>2.4000000000001798E-3</v>
      </c>
      <c r="F69">
        <f>-中国_中债国债到期收益率_1年!F68+中国_中债国债到期收益率_1年!F67</f>
        <v>1.0400000000000187E-2</v>
      </c>
      <c r="G69">
        <f>-中国_中债国债到期收益率_1年!G68+中国_中债国债到期收益率_1年!G67</f>
        <v>1.2900000000000134E-2</v>
      </c>
    </row>
    <row r="70" spans="1:7" x14ac:dyDescent="0.25">
      <c r="A70" s="6">
        <v>44810</v>
      </c>
      <c r="B70">
        <f>-中国_中债国债到期收益率_1年!B69+中国_中债国债到期收益率_1年!B68</f>
        <v>6.0999999999999943E-3</v>
      </c>
      <c r="C70">
        <f>-中国_中债国债到期收益率_1年!C69+中国_中债国债到期收益率_1年!C68</f>
        <v>1.4200000000000212E-2</v>
      </c>
      <c r="D70">
        <f>-中国_中债国债到期收益率_1年!D69+中国_中债国债到期收益率_1年!D68</f>
        <v>4.5999999999999375E-3</v>
      </c>
      <c r="E70">
        <f>-中国_中债国债到期收益率_1年!E69+中国_中债国债到期收益率_1年!E68</f>
        <v>1.0800000000000143E-2</v>
      </c>
      <c r="F70">
        <f>-中国_中债国债到期收益率_1年!F69+中国_中债国债到期收益率_1年!F68</f>
        <v>9.4999999999998419E-3</v>
      </c>
      <c r="G70">
        <f>-中国_中债国债到期收益率_1年!G69+中国_中债国债到期收益率_1年!G68</f>
        <v>4.9999999999998934E-3</v>
      </c>
    </row>
    <row r="71" spans="1:7" x14ac:dyDescent="0.25">
      <c r="A71" s="6">
        <v>44811</v>
      </c>
      <c r="B71">
        <f>-中国_中债国债到期收益率_1年!B70+中国_中债国债到期收益率_1年!B69</f>
        <v>5.0000000000016698E-4</v>
      </c>
      <c r="C71">
        <f>-中国_中债国债到期收益率_1年!C70+中国_中债国债到期收益率_1年!C69</f>
        <v>4.6999999999997044E-3</v>
      </c>
      <c r="D71">
        <f>-中国_中债国债到期收益率_1年!D70+中国_中债国债到期收益率_1年!D69</f>
        <v>4.0000000000000036E-3</v>
      </c>
      <c r="E71">
        <f>-中国_中债国债到期收益率_1年!E70+中国_中债国债到期收益率_1年!E69</f>
        <v>5.3999999999998494E-3</v>
      </c>
      <c r="F71">
        <f>-中国_中债国债到期收益率_1年!F70+中国_中债国债到期收益率_1年!F69</f>
        <v>0</v>
      </c>
      <c r="G71">
        <f>-中国_中债国债到期收益率_1年!G70+中国_中债国债到期收益率_1年!G69</f>
        <v>2.8000000000001357E-3</v>
      </c>
    </row>
    <row r="72" spans="1:7" x14ac:dyDescent="0.25">
      <c r="A72" s="6">
        <v>44812</v>
      </c>
      <c r="B72">
        <f>-中国_中债国债到期收益率_1年!B71+中国_中债国债到期收益率_1年!B70</f>
        <v>-2.3800000000000043E-2</v>
      </c>
      <c r="C72">
        <f>-中国_中债国债到期收益率_1年!C71+中国_中债国债到期收益率_1年!C70</f>
        <v>-7.8999999999997961E-3</v>
      </c>
      <c r="D72">
        <f>-中国_中债国债到期收益率_1年!D71+中国_中债国债到期收益率_1年!D70</f>
        <v>-7.5000000000002842E-3</v>
      </c>
      <c r="E72">
        <f>-中国_中债国债到期收益率_1年!E71+中国_中债国债到期收益率_1年!E70</f>
        <v>-4.0999999999997705E-3</v>
      </c>
      <c r="F72">
        <f>-中国_中债国债到期收益率_1年!F71+中国_中债国债到期收益率_1年!F70</f>
        <v>-5.2999999999998604E-3</v>
      </c>
      <c r="G72">
        <f>-中国_中债国债到期收益率_1年!G71+中国_中债国债到期收益率_1年!G70</f>
        <v>-4.5000000000001705E-3</v>
      </c>
    </row>
    <row r="73" spans="1:7" x14ac:dyDescent="0.25">
      <c r="A73" s="6">
        <v>44813</v>
      </c>
      <c r="B73">
        <f>-中国_中债国债到期收益率_1年!B72+中国_中债国债到期收益率_1年!B71</f>
        <v>-1.2500000000000178E-2</v>
      </c>
      <c r="C73">
        <f>-中国_中债国债到期收益率_1年!C72+中国_中债国债到期收益率_1年!C71</f>
        <v>-7.2000000000000952E-3</v>
      </c>
      <c r="D73">
        <f>-中国_中债国债到期收益率_1年!D72+中国_中债国债到期收益率_1年!D71</f>
        <v>-4.0999999999997705E-3</v>
      </c>
      <c r="E73">
        <f>-中国_中债国债到期收益率_1年!E72+中国_中债国债到期收益率_1年!E71</f>
        <v>-1.4000000000002899E-3</v>
      </c>
      <c r="F73">
        <f>-中国_中债国债到期收益率_1年!F72+中国_中债国债到期收益率_1年!F71</f>
        <v>-1.6199999999999992E-2</v>
      </c>
      <c r="G73">
        <f>-中国_中债国债到期收益率_1年!G72+中国_中债国债到期收益率_1年!G71</f>
        <v>-1.3399999999999856E-2</v>
      </c>
    </row>
    <row r="74" spans="1:7" x14ac:dyDescent="0.25">
      <c r="A74" s="6">
        <v>44817</v>
      </c>
      <c r="B74">
        <f>-中国_中债国债到期收益率_1年!B73+中国_中债国债到期收益率_1年!B72</f>
        <v>-1.0699999999999932E-2</v>
      </c>
      <c r="C74">
        <f>-中国_中债国债到期收益率_1年!C73+中国_中债国债到期收益率_1年!C72</f>
        <v>-1.980000000000004E-2</v>
      </c>
      <c r="D74">
        <f>-中国_中债国债到期收益率_1年!D73+中国_中债国债到期收益率_1年!D72</f>
        <v>-9.3999999999998529E-3</v>
      </c>
      <c r="E74">
        <f>-中国_中债国债到期收益率_1年!E73+中国_中债国债到期收益率_1年!E72</f>
        <v>-8.099999999999774E-3</v>
      </c>
      <c r="F74">
        <f>-中国_中债国债到期收益率_1年!F73+中国_中债国债到期收益率_1年!F72</f>
        <v>-7.5000000000000622E-3</v>
      </c>
      <c r="G74">
        <f>-中国_中债国债到期收益率_1年!G73+中国_中债国债到期收益率_1年!G72</f>
        <v>-8.0000000000000071E-3</v>
      </c>
    </row>
    <row r="75" spans="1:7" x14ac:dyDescent="0.25">
      <c r="A75" s="6">
        <v>44818</v>
      </c>
      <c r="B75">
        <f>-中国_中债国债到期收益率_1年!B74+中国_中债国债到期收益率_1年!B73</f>
        <v>-1.0000000000000009E-2</v>
      </c>
      <c r="C75">
        <f>-中国_中债国债到期收益率_1年!C74+中国_中债国债到期收益率_1年!C73</f>
        <v>-1.18999999999998E-2</v>
      </c>
      <c r="D75">
        <f>-中国_中债国债到期收益率_1年!D74+中国_中债国债到期收益率_1年!D73</f>
        <v>-7.7000000000002622E-3</v>
      </c>
      <c r="E75">
        <f>-中国_中债国债到期收益率_1年!E74+中国_中债国债到期收益率_1年!E73</f>
        <v>-2.9000000000003467E-3</v>
      </c>
      <c r="F75">
        <f>-中国_中债国债到期收益率_1年!F74+中国_中债国债到期收益率_1年!F73</f>
        <v>-8.599999999999941E-3</v>
      </c>
      <c r="G75">
        <f>-中国_中债国债到期收益率_1年!G74+中国_中债国债到期收益率_1年!G73</f>
        <v>-1.540000000000008E-2</v>
      </c>
    </row>
    <row r="76" spans="1:7" x14ac:dyDescent="0.25">
      <c r="A76" s="6">
        <v>44819</v>
      </c>
      <c r="B76">
        <f>-中国_中债国债到期收益率_1年!B75+中国_中债国债到期收益率_1年!B74</f>
        <v>-3.180000000000005E-2</v>
      </c>
      <c r="C76">
        <f>-中国_中债国债到期收益率_1年!C75+中国_中债国债到期收益率_1年!C74</f>
        <v>-1.9600000000000062E-2</v>
      </c>
      <c r="D76">
        <f>-中国_中债国债到期收益率_1年!D75+中国_中债国债到期收益率_1年!D74</f>
        <v>-1.980000000000004E-2</v>
      </c>
      <c r="E76">
        <f>-中国_中债国债到期收益率_1年!E75+中国_中债国债到期收益率_1年!E74</f>
        <v>-7.8000000000000291E-3</v>
      </c>
      <c r="F76">
        <f>-中国_中债国债到期收益率_1年!F75+中国_中债国债到期收益率_1年!F74</f>
        <v>-1.2900000000000134E-2</v>
      </c>
      <c r="G76">
        <f>-中国_中债国债到期收益率_1年!G75+中国_中债国债到期收益率_1年!G74</f>
        <v>-1.4200000000000212E-2</v>
      </c>
    </row>
    <row r="77" spans="1:7" x14ac:dyDescent="0.25">
      <c r="A77" s="6">
        <v>44820</v>
      </c>
      <c r="B77">
        <f>-中国_中债国债到期收益率_1年!B76+中国_中债国债到期收益率_1年!B75</f>
        <v>-4.2999999999999705E-3</v>
      </c>
      <c r="C77">
        <f>-中国_中债国债到期收益率_1年!C76+中国_中债国债到期收益率_1年!C75</f>
        <v>-4.7000000000001485E-3</v>
      </c>
      <c r="D77">
        <f>-中国_中债国债到期收益率_1年!D76+中国_中债国债到期收益率_1年!D75</f>
        <v>0</v>
      </c>
      <c r="E77">
        <f>-中国_中债国债到期收益率_1年!E76+中国_中债国债到期收益率_1年!E75</f>
        <v>2.9000000000003467E-3</v>
      </c>
      <c r="F77">
        <f>-中国_中债国债到期收益率_1年!F76+中国_中债国债到期收益率_1年!F75</f>
        <v>-8.899999999999908E-3</v>
      </c>
      <c r="G77">
        <f>-中国_中债国债到期收益率_1年!G76+中国_中债国债到期收益率_1年!G75</f>
        <v>-2.2999999999999687E-3</v>
      </c>
    </row>
    <row r="78" spans="1:7" x14ac:dyDescent="0.25">
      <c r="A78" s="6">
        <v>44823</v>
      </c>
      <c r="B78">
        <f>-中国_中债国债到期收益率_1年!B77+中国_中债国债到期收益率_1年!B76</f>
        <v>-2.4000000000000021E-2</v>
      </c>
      <c r="C78">
        <f>-中国_中债国债到期收益率_1年!C77+中国_中债国债到期收益率_1年!C76</f>
        <v>-1.2000000000000011E-2</v>
      </c>
      <c r="D78">
        <f>-中国_中债国债到期收益率_1年!D77+中国_中债国债到期收益率_1年!D76</f>
        <v>-1.0499999999999954E-2</v>
      </c>
      <c r="E78">
        <f>-中国_中债国债到期收益率_1年!E77+中国_中债国债到期收益率_1年!E76</f>
        <v>9.9999999999766942E-5</v>
      </c>
      <c r="F78">
        <f>-中国_中债国债到期收益率_1年!F77+中国_中债国债到期收益率_1年!F76</f>
        <v>-3.1700000000000061E-2</v>
      </c>
      <c r="G78">
        <f>-中国_中债国债到期收益率_1年!G77+中国_中债国债到期收益率_1年!G76</f>
        <v>-2.6899999999999924E-2</v>
      </c>
    </row>
    <row r="79" spans="1:7" x14ac:dyDescent="0.25">
      <c r="A79" s="6">
        <v>44824</v>
      </c>
      <c r="B79">
        <f>-中国_中债国债到期收益率_1年!B78+中国_中债国债到期收益率_1年!B77</f>
        <v>-2.079999999999993E-2</v>
      </c>
      <c r="C79">
        <f>-中国_中债国债到期收益率_1年!C78+中国_中债国债到期收益率_1年!C77</f>
        <v>7.6000000000000512E-3</v>
      </c>
      <c r="D79">
        <f>-中国_中债国债到期收益率_1年!D78+中国_中债国债到期收益率_1年!D77</f>
        <v>-1.9999999999997797E-3</v>
      </c>
      <c r="E79">
        <f>-中国_中债国债到期收益率_1年!E78+中国_中债国债到期收益率_1年!E77</f>
        <v>2.0000000000002238E-3</v>
      </c>
      <c r="F79">
        <f>-中国_中债国债到期收益率_1年!F78+中国_中债国债到期收益率_1年!F77</f>
        <v>7.0000000000001172E-3</v>
      </c>
      <c r="G79">
        <f>-中国_中债国债到期收益率_1年!G78+中国_中债国债到期收益率_1年!G77</f>
        <v>1.0499999999999954E-2</v>
      </c>
    </row>
    <row r="80" spans="1:7" x14ac:dyDescent="0.25">
      <c r="A80" s="6">
        <v>44825</v>
      </c>
      <c r="B80">
        <f>-中国_中债国债到期收益率_1年!B79+中国_中债国债到期收益率_1年!B78</f>
        <v>2.2999999999999687E-3</v>
      </c>
      <c r="C80">
        <f>-中国_中债国债到期收益率_1年!C79+中国_中债国债到期收益率_1年!C78</f>
        <v>1.7500000000000071E-2</v>
      </c>
      <c r="D80">
        <f>-中国_中债国债到期收益率_1年!D79+中国_中债国债到期收益率_1年!D78</f>
        <v>1.0999999999999677E-2</v>
      </c>
      <c r="E80">
        <f>-中国_中债国债到期收益率_1年!E79+中国_中债国债到期收益率_1年!E78</f>
        <v>2.8999999999999027E-3</v>
      </c>
      <c r="F80">
        <f>-中国_中债国债到期收益率_1年!F79+中国_中债国债到期收益率_1年!F78</f>
        <v>1.2399999999999967E-2</v>
      </c>
      <c r="G80">
        <f>-中国_中债国债到期收益率_1年!G79+中国_中债国债到期收益率_1年!G78</f>
        <v>1.3100000000000112E-2</v>
      </c>
    </row>
    <row r="81" spans="1:7" x14ac:dyDescent="0.25">
      <c r="A81" s="6">
        <v>44826</v>
      </c>
      <c r="B81">
        <f>-中国_中债国债到期收益率_1年!B80+中国_中债国债到期收益率_1年!B79</f>
        <v>2.0100000000000007E-2</v>
      </c>
      <c r="C81">
        <f>-中国_中债国债到期收益率_1年!C80+中国_中债国债到期收益率_1年!C79</f>
        <v>8.999999999999897E-3</v>
      </c>
      <c r="D81">
        <f>-中国_中债国债到期收益率_1年!D80+中国_中债国债到期收益率_1年!D79</f>
        <v>1.8900000000000361E-2</v>
      </c>
      <c r="E81">
        <f>-中国_中债国债到期收益率_1年!E80+中国_中债国债到期收益率_1年!E79</f>
        <v>1.2000000000000011E-2</v>
      </c>
      <c r="F81">
        <f>-中国_中债国债到期收益率_1年!F80+中国_中债国债到期收益率_1年!F79</f>
        <v>2.8999999999999027E-3</v>
      </c>
      <c r="G81">
        <f>-中国_中债国债到期收益率_1年!G80+中国_中债国债到期收益率_1年!G79</f>
        <v>8.90000000000013E-3</v>
      </c>
    </row>
    <row r="82" spans="1:7" x14ac:dyDescent="0.25">
      <c r="A82" s="6">
        <v>44827</v>
      </c>
      <c r="B82">
        <f>-中国_中债国债到期收益率_1年!B81+中国_中债国债到期收益率_1年!B80</f>
        <v>5.0000000000001155E-3</v>
      </c>
      <c r="C82">
        <f>-中国_中债国债到期收益率_1年!C81+中国_中债国债到期收益率_1年!C80</f>
        <v>-1.0399999999999743E-2</v>
      </c>
      <c r="D82">
        <f>-中国_中债国债到期收益率_1年!D81+中国_中债国债到期收益率_1年!D80</f>
        <v>-5.0000000000003375E-3</v>
      </c>
      <c r="E82">
        <f>-中国_中债国债到期收益率_1年!E81+中国_中债国债到期收益率_1年!E80</f>
        <v>-2.2999999999999687E-3</v>
      </c>
      <c r="F82">
        <f>-中国_中债国债到期收益率_1年!F81+中国_中债国债到期收益率_1年!F80</f>
        <v>-8.3999999999999631E-3</v>
      </c>
      <c r="G82">
        <f>-中国_中债国债到期收益率_1年!G81+中国_中债国债到期收益率_1年!G80</f>
        <v>-4.5000000000001705E-3</v>
      </c>
    </row>
    <row r="83" spans="1:7" x14ac:dyDescent="0.25">
      <c r="A83" s="6">
        <v>44830</v>
      </c>
      <c r="B83">
        <f>-中国_中债国债到期收益率_1年!B82+中国_中债国债到期收益率_1年!B81</f>
        <v>-4.8000000000001375E-3</v>
      </c>
      <c r="C83">
        <f>-中国_中债国债到期收益率_1年!C82+中国_中债国债到期收益率_1年!C81</f>
        <v>-2.5900000000000034E-2</v>
      </c>
      <c r="D83">
        <f>-中国_中债国债到期收益率_1年!D82+中国_中债国债到期收益率_1年!D81</f>
        <v>-3.0100000000000016E-2</v>
      </c>
      <c r="E83">
        <f>-中国_中债国债到期收益率_1年!E82+中国_中债国债到期收益率_1年!E81</f>
        <v>-9.5000000000000639E-3</v>
      </c>
      <c r="F83">
        <f>-中国_中债国债到期收益率_1年!F82+中国_中债国债到期收益率_1年!F81</f>
        <v>-6.9999999999998952E-3</v>
      </c>
      <c r="G83">
        <f>-中国_中债国债到期收益率_1年!G82+中国_中债国债到期收益率_1年!G81</f>
        <v>-2.1100000000000119E-2</v>
      </c>
    </row>
    <row r="84" spans="1:7" x14ac:dyDescent="0.25">
      <c r="A84" s="6">
        <v>44831</v>
      </c>
      <c r="B84">
        <f>-中国_中债国债到期收益率_1年!B83+中国_中债国债到期收益率_1年!B82</f>
        <v>-3.279999999999994E-2</v>
      </c>
      <c r="C84">
        <f>-中国_中债国债到期收益率_1年!C83+中国_中债国债到期收益率_1年!C82</f>
        <v>-4.3200000000000127E-2</v>
      </c>
      <c r="D84">
        <f>-中国_中债国债到期收益率_1年!D83+中国_中债国债到期收益率_1年!D82</f>
        <v>-3.5199999999999676E-2</v>
      </c>
      <c r="E84">
        <f>-中国_中债国债到期收益率_1年!E83+中国_中债国债到期收益率_1年!E82</f>
        <v>-2.6600000000000179E-2</v>
      </c>
      <c r="F84">
        <f>-中国_中债国债到期收益率_1年!F83+中国_中债国债到期收益率_1年!F82</f>
        <v>-4.0800000000000169E-2</v>
      </c>
      <c r="G84">
        <f>-中国_中债国债到期收益率_1年!G83+中国_中债国债到期收益率_1年!G82</f>
        <v>-3.6099999999999799E-2</v>
      </c>
    </row>
    <row r="85" spans="1:7" x14ac:dyDescent="0.25">
      <c r="A85" s="6">
        <v>44832</v>
      </c>
      <c r="B85">
        <f>-中国_中债国债到期收益率_1年!B84+中国_中债国债到期收益率_1年!B83</f>
        <v>-1.0299999999999976E-2</v>
      </c>
      <c r="C85">
        <f>-中国_中债国债到期收益率_1年!C84+中国_中债国债到期收益率_1年!C83</f>
        <v>9.3999999999998529E-3</v>
      </c>
      <c r="D85">
        <f>-中国_中债国债到期收益率_1年!D84+中国_中债国债到期收益率_1年!D83</f>
        <v>1.0299999999999976E-2</v>
      </c>
      <c r="E85">
        <f>-中国_中债国债到期收益率_1年!E84+中国_中债国债到期收益率_1年!E83</f>
        <v>7.2000000000000952E-3</v>
      </c>
      <c r="F85">
        <f>-中国_中债国债到期收益率_1年!F84+中国_中债国债到期收益率_1年!F83</f>
        <v>1.21E-2</v>
      </c>
      <c r="G85">
        <f>-中国_中债国债到期收益率_1年!G84+中国_中债国债到期收益率_1年!G83</f>
        <v>-7.6000000000000512E-3</v>
      </c>
    </row>
    <row r="86" spans="1:7" x14ac:dyDescent="0.25">
      <c r="A86" s="6">
        <v>44833</v>
      </c>
      <c r="B86">
        <f>-中国_中债国债到期收益率_1年!B85+中国_中债国债到期收益率_1年!B84</f>
        <v>-3.1300000000000106E-2</v>
      </c>
      <c r="C86">
        <f>-中国_中债国债到期收益率_1年!C85+中国_中债国债到期收益率_1年!C84</f>
        <v>-2.8899999999999704E-2</v>
      </c>
      <c r="D86">
        <f>-中国_中债国债到期收益率_1年!D85+中国_中债国债到期收益率_1年!D84</f>
        <v>-3.5000000000000142E-2</v>
      </c>
      <c r="E86">
        <f>-中国_中债国债到期收益率_1年!E85+中国_中债国债到期收益率_1年!E84</f>
        <v>-2.4599999999999955E-2</v>
      </c>
      <c r="F86">
        <f>-中国_中债国债到期收益率_1年!F85+中国_中债国债到期收益率_1年!F84</f>
        <v>-1.7000000000000348E-3</v>
      </c>
      <c r="G86">
        <f>-中国_中债国债到期收益率_1年!G85+中国_中债国债到期收益率_1年!G84</f>
        <v>-1.4499999999999957E-2</v>
      </c>
    </row>
    <row r="87" spans="1:7" x14ac:dyDescent="0.25">
      <c r="A87" s="6">
        <v>44834</v>
      </c>
      <c r="B87">
        <f>-中国_中债国债到期收益率_1年!B86+中国_中债国债到期收益率_1年!B85</f>
        <v>9.400000000000075E-3</v>
      </c>
      <c r="C87">
        <f>-中国_中债国债到期收益率_1年!C86+中国_中债国债到期收益率_1年!C85</f>
        <v>-3.0100000000000016E-2</v>
      </c>
      <c r="D87">
        <f>-中国_中债国债到期收益率_1年!D86+中国_中债国债到期收益率_1年!D85</f>
        <v>-1.0000000000000231E-2</v>
      </c>
      <c r="E87">
        <f>-中国_中债国债到期收益率_1年!E86+中国_中债国债到期收益率_1年!E85</f>
        <v>3.00000000000189E-4</v>
      </c>
      <c r="F87">
        <f>-中国_中债国债到期收益率_1年!F86+中国_中债国债到期收益率_1年!F85</f>
        <v>-2.4399999999999755E-2</v>
      </c>
      <c r="G87">
        <f>-中国_中债国债到期收益率_1年!G86+中国_中债国债到期收益率_1年!G85</f>
        <v>-1.5800000000000036E-2</v>
      </c>
    </row>
    <row r="88" spans="1:7" x14ac:dyDescent="0.25">
      <c r="A88" s="6">
        <v>44842</v>
      </c>
      <c r="B88">
        <f>-中国_中债国债到期收益率_1年!B87+中国_中债国债到期收益率_1年!B86</f>
        <v>3.9500000000000091E-2</v>
      </c>
      <c r="C88">
        <f>-中国_中债国债到期收益率_1年!C87+中国_中债国债到期收益率_1年!C86</f>
        <v>-2.2000000000000242E-2</v>
      </c>
      <c r="D88">
        <f>-中国_中债国债到期收益率_1年!D87+中国_中债国债到期收益率_1年!D86</f>
        <v>-9.9999999999997868E-3</v>
      </c>
      <c r="E88">
        <f>-中国_中债国债到期收益率_1年!E87+中国_中债国债到期收益率_1年!E86</f>
        <v>-3.4499999999999975E-2</v>
      </c>
      <c r="F88">
        <f>-中国_中债国债到期收益率_1年!F87+中国_中债国债到期收益率_1年!F86</f>
        <v>0</v>
      </c>
      <c r="G88">
        <f>-中国_中债国债到期收益率_1年!G87+中国_中债国债到期收益率_1年!G86</f>
        <v>-2.4599999999999955E-2</v>
      </c>
    </row>
    <row r="89" spans="1:7" x14ac:dyDescent="0.25">
      <c r="A89" s="6">
        <v>44843</v>
      </c>
      <c r="B89">
        <f>-中国_中债国债到期收益率_1年!B88+中国_中债国债到期收益率_1年!B87</f>
        <v>2.1199999999999886E-2</v>
      </c>
      <c r="C89">
        <f>-中国_中债国债到期收益率_1年!C88+中国_中债国债到期收益率_1年!C87</f>
        <v>2.4999999999999467E-3</v>
      </c>
      <c r="D89">
        <f>-中国_中债国债到期收益率_1年!D88+中国_中债国债到期收益率_1年!D87</f>
        <v>-2.4999999999999467E-3</v>
      </c>
      <c r="E89">
        <f>-中国_中债国债到期收益率_1年!E88+中国_中债国债到期收益率_1年!E87</f>
        <v>-6.0999999999999943E-3</v>
      </c>
      <c r="F89">
        <f>-中国_中债国债到期收益率_1年!F88+中国_中债国债到期收益率_1年!F87</f>
        <v>8.49999999999973E-3</v>
      </c>
      <c r="G89">
        <f>-中国_中债国债到期收益率_1年!G88+中国_中债国债到期收益率_1年!G87</f>
        <v>2.0700000000000163E-2</v>
      </c>
    </row>
    <row r="90" spans="1:7" x14ac:dyDescent="0.25">
      <c r="A90" s="6">
        <v>44844</v>
      </c>
      <c r="B90">
        <f>-中国_中债国债到期收益率_1年!B89+中国_中债国债到期收益率_1年!B88</f>
        <v>3.3000000000000806E-3</v>
      </c>
      <c r="C90">
        <f>-中国_中债国债到期收益率_1年!C89+中国_中债国债到期收益率_1年!C88</f>
        <v>3.2500000000000195E-2</v>
      </c>
      <c r="D90">
        <f>-中国_中债国债到期收益率_1年!D89+中国_中债国债到期收益率_1年!D88</f>
        <v>1.739999999999986E-2</v>
      </c>
      <c r="E90">
        <f>-中国_中债国债到期收益率_1年!E89+中国_中债国债到期收益率_1年!E88</f>
        <v>2.1099999999999675E-2</v>
      </c>
      <c r="F90">
        <f>-中国_中债国债到期收益率_1年!F89+中国_中债国债到期收益率_1年!F88</f>
        <v>1.1700000000000266E-2</v>
      </c>
      <c r="G90">
        <f>-中国_中债国债到期收益率_1年!G89+中国_中债国债到期收益率_1年!G88</f>
        <v>-3.00000000000189E-4</v>
      </c>
    </row>
    <row r="91" spans="1:7" x14ac:dyDescent="0.25">
      <c r="A91" s="6">
        <v>44845</v>
      </c>
      <c r="B91">
        <f>-中国_中债国债到期收益率_1年!B90+中国_中债国债到期收益率_1年!B89</f>
        <v>3.8200000000000012E-2</v>
      </c>
      <c r="C91">
        <f>-中国_中债国债到期收益率_1年!C90+中国_中债国债到期收益率_1年!C89</f>
        <v>1.7999999999999794E-2</v>
      </c>
      <c r="D91">
        <f>-中国_中债国债到期收益率_1年!D90+中国_中债国债到期收益率_1年!D89</f>
        <v>4.9999999999998934E-3</v>
      </c>
      <c r="E91">
        <f>-中国_中债国债到期收益率_1年!E90+中国_中债国债到期收益率_1年!E89</f>
        <v>3.00000000000189E-4</v>
      </c>
      <c r="F91">
        <f>-中国_中债国债到期收益率_1年!F90+中国_中债国债到期收益率_1年!F89</f>
        <v>2.7599999999999847E-2</v>
      </c>
      <c r="G91">
        <f>-中国_中债国债到期收益率_1年!G90+中国_中债国债到期收益率_1年!G89</f>
        <v>1.2900000000000134E-2</v>
      </c>
    </row>
    <row r="92" spans="1:7" x14ac:dyDescent="0.25">
      <c r="A92" s="6">
        <v>44846</v>
      </c>
      <c r="B92">
        <f>-中国_中债国债到期收益率_1年!B91+中国_中债国债到期收益率_1年!B90</f>
        <v>4.0999999999999925E-3</v>
      </c>
      <c r="C92">
        <f>-中国_中债国债到期收益率_1年!C91+中国_中债国债到期收益率_1年!C90</f>
        <v>-4.3999999999999595E-3</v>
      </c>
      <c r="D92">
        <f>-中国_中债国债到期收益率_1年!D91+中国_中债国债到期收益率_1年!D90</f>
        <v>-2.3999999999997357E-3</v>
      </c>
      <c r="E92">
        <f>-中国_中债国债到期收益率_1年!E91+中国_中债国债到期收益率_1年!E90</f>
        <v>5.0000000000016698E-4</v>
      </c>
      <c r="F92">
        <f>-中国_中债国债到期收益率_1年!F91+中国_中债国债到期收益率_1年!F90</f>
        <v>3.4000000000000696E-3</v>
      </c>
      <c r="G92">
        <f>-中国_中债国债到期收益率_1年!G91+中国_中债国债到期收益率_1年!G90</f>
        <v>8.8999999999996859E-3</v>
      </c>
    </row>
    <row r="93" spans="1:7" x14ac:dyDescent="0.25">
      <c r="A93" s="6">
        <v>44847</v>
      </c>
      <c r="B93">
        <f>-中国_中债国债到期收益率_1年!B92+中国_中债国债到期收益率_1年!B91</f>
        <v>-2.0000000000000018E-2</v>
      </c>
      <c r="C93">
        <f>-中国_中债国债到期收益率_1年!C92+中国_中债国债到期收益率_1年!C91</f>
        <v>1.3100000000000112E-2</v>
      </c>
      <c r="D93">
        <f>-中国_中债国债到期收益率_1年!D92+中国_中债国债到期收益率_1年!D91</f>
        <v>7.4000000000000732E-3</v>
      </c>
      <c r="E93">
        <f>-中国_中债国债到期收益率_1年!E92+中国_中债国债到期收益率_1年!E91</f>
        <v>2.4999999999999467E-3</v>
      </c>
      <c r="F93">
        <f>-中国_中债国债到期收益率_1年!F92+中国_中债国债到期收益率_1年!F91</f>
        <v>6.9999999999992291E-4</v>
      </c>
      <c r="G93">
        <f>-中国_中债国债到期收益率_1年!G92+中国_中债国债到期收益率_1年!G91</f>
        <v>-1.6999999999995907E-3</v>
      </c>
    </row>
    <row r="94" spans="1:7" x14ac:dyDescent="0.25">
      <c r="A94" s="6">
        <v>44848</v>
      </c>
      <c r="B94">
        <f>-中国_中债国债到期收益率_1年!B93+中国_中债国债到期收益率_1年!B92</f>
        <v>1.6000000000000458E-3</v>
      </c>
      <c r="C94">
        <f>-中国_中债国债到期收益率_1年!C93+中国_中债国债到期收益率_1年!C92</f>
        <v>9.7000000000000419E-3</v>
      </c>
      <c r="D94">
        <f>-中国_中债国债到期收益率_1年!D93+中国_中债国债到期收益率_1年!D92</f>
        <v>9.9999999999997868E-3</v>
      </c>
      <c r="E94">
        <f>-中国_中债国债到期收益率_1年!E93+中国_中债国债到期收益率_1年!E92</f>
        <v>7.3999999999996291E-3</v>
      </c>
      <c r="F94">
        <f>-中国_中债国债到期收益率_1年!F93+中国_中债国债到期收益率_1年!F92</f>
        <v>1.089999999999991E-2</v>
      </c>
      <c r="G94">
        <f>-中国_中债国债到期收益率_1年!G93+中国_中债国债到期收益率_1年!G92</f>
        <v>1.089999999999991E-2</v>
      </c>
    </row>
    <row r="95" spans="1:7" x14ac:dyDescent="0.25">
      <c r="A95" s="6">
        <v>44851</v>
      </c>
      <c r="B95">
        <f>-中国_中债国债到期收益率_1年!B94+中国_中债国债到期收益率_1年!B93</f>
        <v>2.0000000000000018E-2</v>
      </c>
      <c r="C95">
        <f>-中国_中债国债到期收益率_1年!C94+中国_中债国债到期收益率_1年!C93</f>
        <v>2.1700000000000053E-2</v>
      </c>
      <c r="D95">
        <f>-中国_中债国债到期收益率_1年!D94+中国_中债国债到期收益率_1年!D93</f>
        <v>2.7499999999999858E-2</v>
      </c>
      <c r="E95">
        <f>-中国_中债国债到期收益率_1年!E94+中国_中债国债到期收益率_1年!E93</f>
        <v>2.4400000000000421E-2</v>
      </c>
      <c r="F95">
        <f>-中国_中债国债到期收益率_1年!F94+中国_中债国债到期收益率_1年!F93</f>
        <v>5.2000000000000934E-3</v>
      </c>
      <c r="G95">
        <f>-中国_中债国债到期收益率_1年!G94+中国_中债国债到期收益率_1年!G93</f>
        <v>7.8000000000000291E-3</v>
      </c>
    </row>
    <row r="96" spans="1:7" x14ac:dyDescent="0.25">
      <c r="A96" s="6">
        <v>44852</v>
      </c>
      <c r="B96">
        <f>-中国_中债国债到期收益率_1年!B95+中国_中债国债到期收益率_1年!B94</f>
        <v>-5.0000000000016698E-4</v>
      </c>
      <c r="C96">
        <f>-中国_中债国债到期收益率_1年!C95+中国_中债国债到期收益率_1年!C94</f>
        <v>-2.6000000000001577E-3</v>
      </c>
      <c r="D96">
        <f>-中国_中债国债到期收益率_1年!D95+中国_中债国债到期收益率_1年!D94</f>
        <v>-2.4999999999999467E-3</v>
      </c>
      <c r="E96">
        <f>-中国_中债国债到期收益率_1年!E95+中国_中债国债到期收益率_1年!E94</f>
        <v>-1.0000000000021103E-4</v>
      </c>
      <c r="F96">
        <f>-中国_中债国债到期收益率_1年!F95+中国_中债国债到期收益率_1年!F94</f>
        <v>8.1999999999999851E-3</v>
      </c>
      <c r="G96">
        <f>-中国_中债国债到期收益率_1年!G95+中国_中债国债到期收益率_1年!G94</f>
        <v>1.2499999999999734E-2</v>
      </c>
    </row>
    <row r="97" spans="1:7" x14ac:dyDescent="0.25">
      <c r="A97" s="6">
        <v>44853</v>
      </c>
      <c r="B97">
        <f>-中国_中债国债到期收益率_1年!B96+中国_中债国债到期收益率_1年!B95</f>
        <v>0</v>
      </c>
      <c r="C97">
        <f>-中国_中债国债到期收益率_1年!C96+中国_中债国债到期收益率_1年!C95</f>
        <v>2.0000000000002238E-3</v>
      </c>
      <c r="D97">
        <f>-中国_中债国债到期收益率_1年!D96+中国_中债国债到期收益率_1年!D95</f>
        <v>0</v>
      </c>
      <c r="E97">
        <f>-中国_中债国债到期收益率_1年!E96+中国_中债国债到期收益率_1年!E95</f>
        <v>-2.4000000000001798E-3</v>
      </c>
      <c r="F97">
        <f>-中国_中债国债到期收益率_1年!F96+中国_中债国债到期收益率_1年!F95</f>
        <v>6.9999999999992291E-4</v>
      </c>
      <c r="G97">
        <f>-中国_中债国债到期收益率_1年!G96+中国_中债国债到期收益率_1年!G95</f>
        <v>-2.7999999999996916E-3</v>
      </c>
    </row>
    <row r="98" spans="1:7" x14ac:dyDescent="0.25">
      <c r="A98" s="6">
        <v>44854</v>
      </c>
      <c r="B98">
        <f>-中国_中债国债到期收益率_1年!B97+中国_中债国债到期收益率_1年!B96</f>
        <v>5.0000000000001155E-3</v>
      </c>
      <c r="C98">
        <f>-中国_中债国债到期收益率_1年!C97+中国_中债国债到期收益率_1年!C96</f>
        <v>1.4899999999999913E-2</v>
      </c>
      <c r="D98">
        <f>-中国_中债国债到期收益率_1年!D97+中国_中债国债到期收益率_1年!D96</f>
        <v>-4.9999999999998934E-3</v>
      </c>
      <c r="E98">
        <f>-中国_中债国债到期收益率_1年!E97+中国_中债国债到期收益率_1年!E96</f>
        <v>-2.8999999999999027E-3</v>
      </c>
      <c r="F98">
        <f>-中国_中债国债到期收益率_1年!F97+中国_中债国债到期收益率_1年!F96</f>
        <v>5.0000000000016698E-4</v>
      </c>
      <c r="G98">
        <f>-中国_中债国债到期收益率_1年!G97+中国_中债国债到期收益率_1年!G96</f>
        <v>1.5999999999998238E-3</v>
      </c>
    </row>
    <row r="99" spans="1:7" x14ac:dyDescent="0.25">
      <c r="A99" s="6">
        <v>44855</v>
      </c>
      <c r="B99">
        <f>-中国_中债国债到期收益率_1年!B98+中国_中债国债到期收益率_1年!B97</f>
        <v>1.4999999999999902E-2</v>
      </c>
      <c r="C99">
        <f>-中国_中债国债到期收益率_1年!C98+中国_中债国债到期收益率_1年!C97</f>
        <v>-7.9000000000002402E-3</v>
      </c>
      <c r="D99">
        <f>-中国_中债国债到期收益率_1年!D98+中国_中债国债到期收益率_1年!D97</f>
        <v>-1.2299999999999756E-2</v>
      </c>
      <c r="E99">
        <f>-中国_中债国债到期收益率_1年!E98+中国_中债国债到期收益率_1年!E97</f>
        <v>-1.2799999999999923E-2</v>
      </c>
      <c r="F99">
        <f>-中国_中债国债到期收益率_1年!F98+中国_中债国债到期收益率_1年!F97</f>
        <v>-1.0700000000000154E-2</v>
      </c>
      <c r="G99">
        <f>-中国_中债国债到期收益率_1年!G98+中国_中债国债到期收益率_1年!G97</f>
        <v>-1.6500000000000181E-2</v>
      </c>
    </row>
    <row r="100" spans="1:7" x14ac:dyDescent="0.25">
      <c r="A100" s="6">
        <v>44858</v>
      </c>
      <c r="B100">
        <f>-中国_中债国债到期收益率_1年!B99+中国_中债国债到期收益率_1年!B98</f>
        <v>-4.9999999999998934E-3</v>
      </c>
      <c r="C100">
        <f>-中国_中债国债到期收益率_1年!C99+中国_中债国债到期收益率_1年!C98</f>
        <v>-7.6999999999998181E-3</v>
      </c>
      <c r="D100">
        <f>-中国_中债国债到期收益率_1年!D99+中国_中债国债到期收益率_1年!D98</f>
        <v>-1.0299999999999976E-2</v>
      </c>
      <c r="E100">
        <f>-中国_中债国债到期收益率_1年!E99+中国_中债国债到期收益率_1年!E98</f>
        <v>-8.3999999999999631E-3</v>
      </c>
      <c r="F100">
        <f>-中国_中债国债到期收益率_1年!F99+中国_中债国债到期收益率_1年!F98</f>
        <v>-1.8299999999999983E-2</v>
      </c>
      <c r="G100">
        <f>-中国_中债国债到期收益率_1年!G99+中国_中债国债到期收益率_1年!G98</f>
        <v>-8.3999999999999631E-3</v>
      </c>
    </row>
    <row r="101" spans="1:7" x14ac:dyDescent="0.25">
      <c r="A101" s="6">
        <v>44859</v>
      </c>
      <c r="B101">
        <f>-中国_中债国债到期收益率_1年!B100+中国_中债国债到期收益率_1年!B99</f>
        <v>5.9999999999993392E-4</v>
      </c>
      <c r="C101">
        <f>-中国_中债国债到期收益率_1年!C100+中国_中债国债到期收益率_1年!C99</f>
        <v>6.6000000000001613E-3</v>
      </c>
      <c r="D101">
        <f>-中国_中债国债到期收益率_1年!D100+中国_中债国债到期收益率_1年!D99</f>
        <v>1.2499999999999734E-2</v>
      </c>
      <c r="E101">
        <f>-中国_中债国债到期收益率_1年!E100+中国_中债国债到期收益率_1年!E99</f>
        <v>1.3900000000000023E-2</v>
      </c>
      <c r="F101">
        <f>-中国_中债国债到期收益率_1年!F100+中国_中债国债到期收益率_1年!F99</f>
        <v>-4.0999999999999925E-3</v>
      </c>
      <c r="G101">
        <f>-中国_中债国债到期收益率_1年!G100+中国_中债国债到期收益率_1年!G99</f>
        <v>5.3000000000000824E-3</v>
      </c>
    </row>
    <row r="102" spans="1:7" x14ac:dyDescent="0.25">
      <c r="A102" s="6">
        <v>44860</v>
      </c>
      <c r="B102">
        <f>-中国_中债国债到期收益率_1年!B101+中国_中债国债到期收益率_1年!B100</f>
        <v>-2.4499999999999966E-2</v>
      </c>
      <c r="C102">
        <f>-中国_中债国债到期收益率_1年!C101+中国_中债国债到期收益率_1年!C100</f>
        <v>-1.7900000000000027E-2</v>
      </c>
      <c r="D102">
        <f>-中国_中债国债到期收益率_1年!D101+中国_中债国债到期收益率_1年!D100</f>
        <v>-1.2499999999999734E-2</v>
      </c>
      <c r="E102">
        <f>-中国_中债国债到期收益率_1年!E101+中国_中债国债到期收益率_1年!E100</f>
        <v>-7.0000000000001172E-3</v>
      </c>
      <c r="F102">
        <f>-中国_中债国债到期收益率_1年!F101+中国_中债国债到期收益率_1年!F100</f>
        <v>-2.0699999999999941E-2</v>
      </c>
      <c r="G102">
        <f>-中国_中债国债到期收益率_1年!G101+中国_中债国债到期收益率_1年!G100</f>
        <v>-7.8000000000000291E-3</v>
      </c>
    </row>
    <row r="103" spans="1:7" x14ac:dyDescent="0.25">
      <c r="A103" s="6">
        <v>44861</v>
      </c>
      <c r="B103">
        <f>-中国_中债国债到期收益率_1年!B102+中国_中债国债到期收益率_1年!B101</f>
        <v>-6.0000000000000053E-3</v>
      </c>
      <c r="C103">
        <f>-中国_中债国债到期收益率_1年!C102+中国_中债国债到期收益率_1年!C101</f>
        <v>1.9600000000000062E-2</v>
      </c>
      <c r="D103">
        <f>-中国_中债国债到期收益率_1年!D102+中国_中债国债到期收益率_1年!D101</f>
        <v>2.5299999999999656E-2</v>
      </c>
      <c r="E103">
        <f>-中国_中债国债到期收益率_1年!E102+中国_中债国债到期收益率_1年!E101</f>
        <v>9.1999999999998749E-3</v>
      </c>
      <c r="F103">
        <f>-中国_中债国债到期收益率_1年!F102+中国_中债国债到期收益率_1年!F101</f>
        <v>5.5000000000000604E-3</v>
      </c>
      <c r="G103">
        <f>-中国_中债国债到期收益率_1年!G102+中国_中债国债到期收益率_1年!G101</f>
        <v>5.9000000000000163E-3</v>
      </c>
    </row>
    <row r="104" spans="1:7" x14ac:dyDescent="0.25">
      <c r="A104" s="6">
        <v>44862</v>
      </c>
      <c r="B104">
        <f>-中国_中债国债到期收益率_1年!B103+中国_中债国债到期收益率_1年!B102</f>
        <v>4.5399999999999885E-2</v>
      </c>
      <c r="C104">
        <f>-中国_中债国债到期收益率_1年!C103+中国_中债国债到期收益率_1年!C102</f>
        <v>1.9899999999999807E-2</v>
      </c>
      <c r="D104">
        <f>-中国_中债国债到期收益率_1年!D103+中国_中债国债到期收益率_1年!D102</f>
        <v>7.2000000000000952E-3</v>
      </c>
      <c r="E104">
        <f>-中国_中债国债到期收益率_1年!E103+中国_中债国债到期收益率_1年!E102</f>
        <v>2.5200000000000333E-2</v>
      </c>
      <c r="F104">
        <f>-中国_中债国债到期收益率_1年!F103+中国_中债国债到期收益率_1年!F102</f>
        <v>1.6199999999999992E-2</v>
      </c>
      <c r="G104">
        <f>-中国_中债国债到期收益率_1年!G103+中国_中债国债到期收益率_1年!G102</f>
        <v>2.2699999999999942E-2</v>
      </c>
    </row>
    <row r="105" spans="1:7" x14ac:dyDescent="0.25">
      <c r="A105" s="6">
        <v>44865</v>
      </c>
      <c r="B105">
        <f>-中国_中债国债到期收益率_1年!B104+中国_中债国债到期收益率_1年!B103</f>
        <v>1.4800000000000146E-2</v>
      </c>
      <c r="C105">
        <f>-中国_中债国债到期收益率_1年!C104+中国_中债国债到期收益率_1年!C103</f>
        <v>2.9900000000000038E-2</v>
      </c>
      <c r="D105">
        <f>-中国_中债国债到期收益率_1年!D104+中国_中债国债到期收益率_1年!D103</f>
        <v>3.0000000000000249E-2</v>
      </c>
      <c r="E105">
        <f>-中国_中债国债到期收益率_1年!E104+中国_中债国债到期收益率_1年!E103</f>
        <v>3.6599999999999966E-2</v>
      </c>
      <c r="F105">
        <f>-中国_中债国债到期收益率_1年!F104+中国_中债国债到期收益率_1年!F103</f>
        <v>1.6299999999999981E-2</v>
      </c>
      <c r="G105">
        <f>-中国_中债国债到期收益率_1年!G104+中国_中债国债到期收益率_1年!G103</f>
        <v>1.2599999999999945E-2</v>
      </c>
    </row>
    <row r="106" spans="1:7" x14ac:dyDescent="0.25">
      <c r="A106" s="6">
        <v>44866</v>
      </c>
      <c r="B106">
        <f>-中国_中债国债到期收益率_1年!B105+中国_中债国债到期收益率_1年!B104</f>
        <v>9.8000000000000309E-3</v>
      </c>
      <c r="C106">
        <f>-中国_中债国债到期收益率_1年!C105+中国_中债国债到期收益率_1年!C104</f>
        <v>6.4999999999999503E-3</v>
      </c>
      <c r="D106">
        <f>-中国_中债国债到期收益率_1年!D105+中国_中债国债到期收益率_1年!D104</f>
        <v>2.1999999999999797E-2</v>
      </c>
      <c r="E106">
        <f>-中国_中债国债到期收益率_1年!E105+中国_中债国债到期收益率_1年!E104</f>
        <v>1.2299999999999756E-2</v>
      </c>
      <c r="F106">
        <f>-中国_中债国债到期收益率_1年!F105+中国_中债国债到期收益率_1年!F104</f>
        <v>1.0299999999999976E-2</v>
      </c>
      <c r="G106">
        <f>-中国_中债国债到期收益率_1年!G105+中国_中债国债到期收益率_1年!G104</f>
        <v>2.6699999999999946E-2</v>
      </c>
    </row>
    <row r="107" spans="1:7" x14ac:dyDescent="0.25">
      <c r="A107" s="6">
        <v>44867</v>
      </c>
      <c r="B107">
        <f>-中国_中债国债到期收益率_1年!B106+中国_中债国债到期收益率_1年!B105</f>
        <v>-2.1800000000000042E-2</v>
      </c>
      <c r="C107">
        <f>-中国_中债国债到期收益率_1年!C106+中国_中债国债到期收益率_1年!C105</f>
        <v>-2.0399999999999974E-2</v>
      </c>
      <c r="D107">
        <f>-中国_中债国债到期收益率_1年!D106+中国_中债国债到期收益率_1年!D105</f>
        <v>-1.9600000000000062E-2</v>
      </c>
      <c r="E107">
        <f>-中国_中债国债到期收益率_1年!E106+中国_中债国债到期收益率_1年!E105</f>
        <v>-9.9999999999997868E-3</v>
      </c>
      <c r="F107">
        <f>-中国_中债国债到期收益率_1年!F106+中国_中债国债到期收益率_1年!F105</f>
        <v>-2.6499999999999968E-2</v>
      </c>
      <c r="G107">
        <f>-中国_中债国债到期收益率_1年!G106+中国_中债国债到期收益率_1年!G105</f>
        <v>-2.3699999999999832E-2</v>
      </c>
    </row>
    <row r="108" spans="1:7" x14ac:dyDescent="0.25">
      <c r="A108" s="6">
        <v>44868</v>
      </c>
      <c r="B108">
        <f>-中国_中债国债到期收益率_1年!B107+中国_中债国债到期收益率_1年!B106</f>
        <v>-1.1000000000000121E-2</v>
      </c>
      <c r="C108">
        <f>-中国_中债国债到期收益率_1年!C107+中国_中债国债到期收益率_1年!C106</f>
        <v>-1.5299999999999869E-2</v>
      </c>
      <c r="D108">
        <f>-中国_中债国债到期收益率_1年!D107+中国_中债国债到期收益率_1年!D106</f>
        <v>-2.2499999999999964E-2</v>
      </c>
      <c r="E108">
        <f>-中国_中债国债到期收益率_1年!E107+中国_中债国债到期收益率_1年!E106</f>
        <v>-1.0000000000000231E-2</v>
      </c>
      <c r="F108">
        <f>-中国_中债国债到期收益率_1年!F107+中国_中债国债到期收益率_1年!F106</f>
        <v>-7.0000000000001172E-3</v>
      </c>
      <c r="G108">
        <f>-中国_中债国债到期收益率_1年!G107+中国_中债国债到期收益率_1年!G106</f>
        <v>-1.4699999999999935E-2</v>
      </c>
    </row>
    <row r="109" spans="1:7" x14ac:dyDescent="0.25">
      <c r="A109" s="6">
        <v>44869</v>
      </c>
      <c r="B109">
        <f>-中国_中债国债到期收益率_1年!B108+中国_中债国债到期收益率_1年!B107</f>
        <v>1.0300000000000198E-2</v>
      </c>
      <c r="C109">
        <f>-中国_中债国债到期收益率_1年!C108+中国_中债国债到期收益率_1年!C107</f>
        <v>-3.00000000000189E-4</v>
      </c>
      <c r="D109">
        <f>-中国_中债国债到期收益率_1年!D108+中国_中债国债到期收益率_1年!D107</f>
        <v>7.8000000000000291E-3</v>
      </c>
      <c r="E109">
        <f>-中国_中债国债到期收益率_1年!E108+中国_中债国债到期收益率_1年!E107</f>
        <v>-9.9999999999766942E-5</v>
      </c>
      <c r="F109">
        <f>-中国_中债国债到期收益率_1年!F108+中国_中债国债到期收益率_1年!F107</f>
        <v>-1.4999999999998348E-3</v>
      </c>
      <c r="G109">
        <f>-中国_中债国债到期收益率_1年!G108+中国_中债国债到期收益率_1年!G107</f>
        <v>-2.2999999999999687E-3</v>
      </c>
    </row>
    <row r="110" spans="1:7" x14ac:dyDescent="0.25">
      <c r="A110" s="6">
        <v>44872</v>
      </c>
      <c r="B110">
        <f>-中国_中债国债到期收益率_1年!B109+中国_中债国债到期收益率_1年!B108</f>
        <v>-9.8000000000000309E-3</v>
      </c>
      <c r="C110">
        <f>-中国_中债国债到期收益率_1年!C109+中国_中债国债到期收益率_1年!C108</f>
        <v>-2.5500000000000078E-2</v>
      </c>
      <c r="D110">
        <f>-中国_中债国债到期收益率_1年!D109+中国_中债国债到期收益率_1年!D108</f>
        <v>-2.4700000000000166E-2</v>
      </c>
      <c r="E110">
        <f>-中国_中债国债到期收益率_1年!E109+中国_中债国债到期收益率_1年!E108</f>
        <v>-1.7500000000000071E-2</v>
      </c>
      <c r="F110">
        <f>-中国_中债国债到期收益率_1年!F109+中国_中债国债到期收益率_1年!F108</f>
        <v>-1.2600000000000167E-2</v>
      </c>
      <c r="G110">
        <f>-中国_中债国债到期收益率_1年!G109+中国_中债国债到期收益率_1年!G108</f>
        <v>-2.629999999999999E-2</v>
      </c>
    </row>
    <row r="111" spans="1:7" x14ac:dyDescent="0.25">
      <c r="A111" s="6">
        <v>44873</v>
      </c>
      <c r="B111">
        <f>-中国_中债国债到期收益率_1年!B110+中国_中债国债到期收益率_1年!B109</f>
        <v>1.1199999999999877E-2</v>
      </c>
      <c r="C111">
        <f>-中国_中债国债到期收益率_1年!C110+中国_中债国债到期收益率_1年!C109</f>
        <v>-5.7999999999998053E-3</v>
      </c>
      <c r="D111">
        <f>-中国_中债国债到期收益率_1年!D110+中国_中债国债到期收益率_1年!D109</f>
        <v>2.0000000000002238E-3</v>
      </c>
      <c r="E111">
        <f>-中国_中债国债到期收益率_1年!E110+中国_中债国债到期收益率_1年!E109</f>
        <v>-1.5999999999998238E-3</v>
      </c>
      <c r="F111">
        <f>-中国_中债国债到期收益率_1年!F110+中国_中债国债到期收益率_1年!F109</f>
        <v>-1.5800000000000036E-2</v>
      </c>
      <c r="G111">
        <f>-中国_中债国债到期收益率_1年!G110+中国_中债国债到期收益率_1年!G109</f>
        <v>-1.23000000000002E-2</v>
      </c>
    </row>
    <row r="112" spans="1:7" x14ac:dyDescent="0.25">
      <c r="A112" s="6">
        <v>44874</v>
      </c>
      <c r="B112">
        <f>-中国_中债国债到期收益率_1年!B111+中国_中债国债到期收益率_1年!B110</f>
        <v>-2.5800000000000045E-2</v>
      </c>
      <c r="C112">
        <f>-中国_中债国债到期收益率_1年!C111+中国_中债国债到期收益率_1年!C110</f>
        <v>1.0399999999999743E-2</v>
      </c>
      <c r="D112">
        <f>-中国_中债国债到期收益率_1年!D111+中国_中债国债到期收益率_1年!D110</f>
        <v>1.5000000000000124E-2</v>
      </c>
      <c r="E112">
        <f>-中国_中债国债到期收益率_1年!E111+中国_中债国债到期收益率_1年!E110</f>
        <v>3.8999999999997925E-3</v>
      </c>
      <c r="F112">
        <f>-中国_中债国债到期收益率_1年!F111+中国_中债国债到期收益率_1年!F110</f>
        <v>-2.629999999999999E-2</v>
      </c>
      <c r="G112">
        <f>-中国_中债国债到期收益率_1年!G111+中国_中债国债到期收益率_1年!G110</f>
        <v>-1.7599999999999838E-2</v>
      </c>
    </row>
    <row r="113" spans="1:7" x14ac:dyDescent="0.25">
      <c r="A113" s="6">
        <v>44875</v>
      </c>
      <c r="B113">
        <f>-中国_中债国债到期收益率_1年!B112+中国_中债国债到期收益率_1年!B111</f>
        <v>-3.8200000000000012E-2</v>
      </c>
      <c r="C113">
        <f>-中国_中债国债到期收益率_1年!C112+中国_中债国债到期收益率_1年!C111</f>
        <v>-1.2699999999999712E-2</v>
      </c>
      <c r="D113">
        <f>-中国_中债国债到期收益率_1年!D112+中国_中债国债到期收益率_1年!D111</f>
        <v>-1.0000000000000231E-2</v>
      </c>
      <c r="E113">
        <f>-中国_中债国债到期收益率_1年!E112+中国_中债国债到期收益率_1年!E111</f>
        <v>-9.9000000000000199E-3</v>
      </c>
      <c r="F113">
        <f>-中国_中债国债到期收益率_1年!F112+中国_中债国债到期收益率_1年!F111</f>
        <v>-4.2999999999997485E-3</v>
      </c>
      <c r="G113">
        <f>-中国_中债国债到期收益率_1年!G112+中国_中债国债到期收益率_1年!G111</f>
        <v>1.0800000000000143E-2</v>
      </c>
    </row>
    <row r="114" spans="1:7" x14ac:dyDescent="0.25">
      <c r="A114" s="6">
        <v>44876</v>
      </c>
      <c r="B114">
        <f>-中国_中债国债到期收益率_1年!B113+中国_中债国债到期收益率_1年!B112</f>
        <v>-4.2799999999999949E-2</v>
      </c>
      <c r="C114">
        <f>-中国_中债国债到期收益率_1年!C113+中国_中债国债到期收益率_1年!C112</f>
        <v>-5.4000000000002935E-3</v>
      </c>
      <c r="D114">
        <f>-中国_中债国债到期收益率_1年!D113+中国_中债国债到期收益率_1年!D112</f>
        <v>-7.4999999999998401E-3</v>
      </c>
      <c r="E114">
        <f>-中国_中债国债到期收益率_1年!E113+中国_中债国债到期收益率_1年!E112</f>
        <v>-6.0999999999999943E-3</v>
      </c>
      <c r="F114">
        <f>-中国_中债国债到期收益率_1年!F113+中国_中债国债到期收益率_1年!F112</f>
        <v>-2.0599999999999952E-2</v>
      </c>
      <c r="G114">
        <f>-中国_中债国债到期收益率_1年!G113+中国_中债国债到期收益率_1年!G112</f>
        <v>-5.7000000000000384E-3</v>
      </c>
    </row>
    <row r="115" spans="1:7" x14ac:dyDescent="0.25">
      <c r="A115" s="6">
        <v>44879</v>
      </c>
      <c r="B115">
        <f>-中国_中债国债到期收益率_1年!B114+中国_中债国债到期收益率_1年!B113</f>
        <v>-0.10299999999999998</v>
      </c>
      <c r="C115">
        <f>-中国_中债国债到期收益率_1年!C114+中国_中债国债到期收益率_1年!C113</f>
        <v>-3.2599999999999962E-2</v>
      </c>
      <c r="D115">
        <f>-中国_中债国债到期收益率_1年!D114+中国_中债国债到期收益率_1年!D113</f>
        <v>-3.2599999999999962E-2</v>
      </c>
      <c r="E115">
        <f>-中国_中债国债到期收益率_1年!E114+中国_中债国债到期收益率_1年!E113</f>
        <v>-1.9099999999999895E-2</v>
      </c>
      <c r="F115">
        <f>-中国_中债国债到期收益率_1年!F114+中国_中债国债到期收益率_1年!F113</f>
        <v>-1.5700000000000269E-2</v>
      </c>
      <c r="G115">
        <f>-中国_中债国债到期收益率_1年!G114+中国_中债国债到期收益率_1年!G113</f>
        <v>-3.5099999999999909E-2</v>
      </c>
    </row>
    <row r="116" spans="1:7" x14ac:dyDescent="0.25">
      <c r="A116" s="6">
        <v>44880</v>
      </c>
      <c r="B116">
        <f>-中国_中债国债到期收益率_1年!B115+中国_中债国债到期收益率_1年!B114</f>
        <v>-0.10489999999999999</v>
      </c>
      <c r="C116">
        <f>-中国_中债国债到期收益率_1年!C115+中国_中债国债到期收益率_1年!C114</f>
        <v>-0.11260000000000003</v>
      </c>
      <c r="D116">
        <f>-中国_中债国债到期收益率_1年!D115+中国_中债国债到期收益率_1年!D114</f>
        <v>-0.10000000000000009</v>
      </c>
      <c r="E116">
        <f>-中国_中债国债到期收益率_1年!E115+中国_中债国债到期收益率_1年!E114</f>
        <v>-8.4999999999999964E-2</v>
      </c>
      <c r="F116">
        <f>-中国_中债国债到期收益率_1年!F115+中国_中债国债到期收益率_1年!F114</f>
        <v>-9.8999999999999755E-2</v>
      </c>
      <c r="G116">
        <f>-中国_中债国债到期收益率_1年!G115+中国_中债国债到期收益率_1年!G114</f>
        <v>-0.12770000000000037</v>
      </c>
    </row>
    <row r="117" spans="1:7" x14ac:dyDescent="0.25">
      <c r="A117" s="6">
        <v>44881</v>
      </c>
      <c r="B117">
        <f>-中国_中债国债到期收益率_1年!B116+中国_中债国债到期收益率_1年!B115</f>
        <v>-6.7899999999999849E-2</v>
      </c>
      <c r="C117">
        <f>-中国_中债国债到期收益率_1年!C116+中国_中债国债到期收益率_1年!C115</f>
        <v>-9.9999999999766942E-5</v>
      </c>
      <c r="D117">
        <f>-中国_中债国债到期收益率_1年!D116+中国_中债国债到期收益率_1年!D115</f>
        <v>1.9899999999999807E-2</v>
      </c>
      <c r="E117">
        <f>-中国_中债国债到期收益率_1年!E116+中国_中债国债到期收益率_1年!E115</f>
        <v>4.8999999999996824E-3</v>
      </c>
      <c r="F117">
        <f>-中国_中债国债到期收益率_1年!F116+中国_中债国债到期收益率_1年!F115</f>
        <v>-4.4200000000000017E-2</v>
      </c>
      <c r="G117">
        <f>-中国_中债国债到期收益率_1年!G116+中国_中债国债到期收益率_1年!G115</f>
        <v>-3.3999999999999808E-2</v>
      </c>
    </row>
    <row r="118" spans="1:7" x14ac:dyDescent="0.25">
      <c r="A118" s="6">
        <v>44882</v>
      </c>
      <c r="B118">
        <f>-中国_中债国债到期收益率_1年!B117+中国_中债国债到期收益率_1年!B116</f>
        <v>-6.7200000000000149E-2</v>
      </c>
      <c r="C118">
        <f>-中国_中债国债到期收益率_1年!C117+中国_中债国债到期收益率_1年!C116</f>
        <v>-3.4899999999999931E-2</v>
      </c>
      <c r="D118">
        <f>-中国_中债国债到期收益率_1年!D117+中国_中债国债到期收益率_1年!D116</f>
        <v>-1.739999999999986E-2</v>
      </c>
      <c r="E118">
        <f>-中国_中债国债到期收益率_1年!E117+中国_中债国债到期收益率_1年!E116</f>
        <v>-1.5099999999999891E-2</v>
      </c>
      <c r="F118">
        <f>-中国_中债国债到期收益率_1年!F117+中国_中债国债到期收益率_1年!F116</f>
        <v>-6.2300000000000022E-2</v>
      </c>
      <c r="G118">
        <f>-中国_中债国债到期收益率_1年!G117+中国_中债国债到期收益率_1年!G116</f>
        <v>-4.0100000000000247E-2</v>
      </c>
    </row>
    <row r="119" spans="1:7" x14ac:dyDescent="0.25">
      <c r="A119" s="6">
        <v>44883</v>
      </c>
      <c r="B119">
        <f>-中国_中债国债到期收益率_1年!B118+中国_中债国债到期收益率_1年!B117</f>
        <v>2.9900000000000038E-2</v>
      </c>
      <c r="C119">
        <f>-中国_中债国债到期收益率_1年!C118+中国_中债国债到期收益率_1年!C117</f>
        <v>4.4499999999999762E-2</v>
      </c>
      <c r="D119">
        <f>-中国_中债国债到期收益率_1年!D118+中国_中债国债到期收益率_1年!D117</f>
        <v>3.0299999999999994E-2</v>
      </c>
      <c r="E119">
        <f>-中国_中债国债到期收益率_1年!E118+中国_中债国债到期收益率_1年!E117</f>
        <v>2.0000000000000018E-2</v>
      </c>
      <c r="F119">
        <f>-中国_中债国债到期收益率_1年!F118+中国_中债国债到期收益率_1年!F117</f>
        <v>1.2899999999999689E-2</v>
      </c>
      <c r="G119">
        <f>-中国_中债国债到期收益率_1年!G118+中国_中债国债到期收益率_1年!G117</f>
        <v>-4.0000000000000036E-3</v>
      </c>
    </row>
    <row r="120" spans="1:7" x14ac:dyDescent="0.25">
      <c r="A120" s="6">
        <v>44886</v>
      </c>
      <c r="B120">
        <f>-中国_中债国债到期收益率_1年!B119+中国_中债国债到期收益率_1年!B118</f>
        <v>-3.00000000000189E-4</v>
      </c>
      <c r="C120">
        <f>-中国_中债国债到期收益率_1年!C119+中国_中债国债到期收益率_1年!C118</f>
        <v>9.800000000000253E-3</v>
      </c>
      <c r="D120">
        <f>-中国_中债国债到期收益率_1年!D119+中国_中债国债到期收益率_1年!D118</f>
        <v>-2.2400000000000198E-2</v>
      </c>
      <c r="E120">
        <f>-中国_中债国债到期收益率_1年!E119+中国_中债国债到期收益率_1年!E118</f>
        <v>-9.9999999999997868E-3</v>
      </c>
      <c r="F120">
        <f>-中国_中债国债到期收益率_1年!F119+中国_中债国债到期收益率_1年!F118</f>
        <v>3.9200000000000124E-2</v>
      </c>
      <c r="G120">
        <f>-中国_中债国债到期收益率_1年!G119+中国_中债国债到期收益率_1年!G118</f>
        <v>2.8000000000000025E-2</v>
      </c>
    </row>
    <row r="121" spans="1:7" x14ac:dyDescent="0.25">
      <c r="A121" s="6">
        <v>44887</v>
      </c>
      <c r="B121">
        <f>-中国_中债国债到期收益率_1年!B120+中国_中债国债到期收益率_1年!B119</f>
        <v>2.1400000000000308E-2</v>
      </c>
      <c r="C121">
        <f>-中国_中债国债到期收益率_1年!C120+中国_中债国债到期收益率_1年!C119</f>
        <v>8.599999999999941E-3</v>
      </c>
      <c r="D121">
        <f>-中国_中债国债到期收益率_1年!D120+中国_中债国债到期收益率_1年!D119</f>
        <v>7.0000000000001172E-3</v>
      </c>
      <c r="E121">
        <f>-中国_中债国债到期收益率_1年!E120+中国_中债国债到期收益率_1年!E119</f>
        <v>1.2299999999999756E-2</v>
      </c>
      <c r="F121">
        <f>-中国_中债国债到期收益率_1年!F120+中国_中债国债到期收益率_1年!F119</f>
        <v>2.3000000000000131E-2</v>
      </c>
      <c r="G121">
        <f>-中国_中债国债到期收益率_1年!G120+中国_中债国债到期收益率_1年!G119</f>
        <v>2.8200000000000003E-2</v>
      </c>
    </row>
    <row r="122" spans="1:7" x14ac:dyDescent="0.25">
      <c r="A122" s="6">
        <v>44888</v>
      </c>
      <c r="B122">
        <f>-中国_中债国债到期收益率_1年!B121+中国_中债国债到期收益率_1年!B120</f>
        <v>7.2999999999998622E-3</v>
      </c>
      <c r="C122">
        <f>-中国_中债国债到期收益率_1年!C121+中国_中债国债到期收益率_1年!C120</f>
        <v>3.6999999999998145E-3</v>
      </c>
      <c r="D122">
        <f>-中国_中债国债到期收益率_1年!D121+中国_中债国债到期收益率_1年!D120</f>
        <v>-9.5999999999998309E-3</v>
      </c>
      <c r="E122">
        <f>-中国_中债国债到期收益率_1年!E121+中国_中债国债到期收益率_1年!E120</f>
        <v>-7.4999999999998401E-3</v>
      </c>
      <c r="F122">
        <f>-中国_中债国债到期收益率_1年!F121+中国_中债国债到期收益率_1年!F120</f>
        <v>-6.4000000000001833E-3</v>
      </c>
      <c r="G122">
        <f>-中国_中债国债到期收益率_1年!G121+中国_中债国债到期收益率_1年!G120</f>
        <v>-1.6299999999999759E-2</v>
      </c>
    </row>
    <row r="123" spans="1:7" x14ac:dyDescent="0.25">
      <c r="A123" s="6">
        <v>44889</v>
      </c>
      <c r="B123">
        <f>-中国_中债国债到期收益率_1年!B122+中国_中债国债到期收益率_1年!B121</f>
        <v>4.070000000000018E-2</v>
      </c>
      <c r="C123">
        <f>-中国_中债国债到期收益率_1年!C122+中国_中债国债到期收益率_1年!C121</f>
        <v>3.4499999999999975E-2</v>
      </c>
      <c r="D123">
        <f>-中国_中债国债到期收益率_1年!D122+中国_中债国债到期收益率_1年!D121</f>
        <v>3.0100000000000016E-2</v>
      </c>
      <c r="E123">
        <f>-中国_中债国债到期收益率_1年!E122+中国_中债国债到期收益率_1年!E121</f>
        <v>2.4900000000000144E-2</v>
      </c>
      <c r="F123">
        <f>-中国_中债国债到期收益率_1年!F122+中国_中债国债到期收益率_1年!F121</f>
        <v>2.7200000000000113E-2</v>
      </c>
      <c r="G123">
        <f>-中国_中债国债到期收益率_1年!G122+中国_中债国债到期收益率_1年!G121</f>
        <v>2.9399999999999871E-2</v>
      </c>
    </row>
    <row r="124" spans="1:7" x14ac:dyDescent="0.25">
      <c r="A124" s="6">
        <v>44890</v>
      </c>
      <c r="B124">
        <f>-中国_中债国债到期收益率_1年!B123+中国_中债国债到期收益率_1年!B122</f>
        <v>4.4299999999999784E-2</v>
      </c>
      <c r="C124">
        <f>-中国_中债国债到期收益率_1年!C123+中国_中债国债到期收益率_1年!C122</f>
        <v>9.0000000000003411E-3</v>
      </c>
      <c r="D124">
        <f>-中国_中债国债到期收益率_1年!D123+中国_中债国债到期收益率_1年!D122</f>
        <v>2.4999999999999467E-3</v>
      </c>
      <c r="E124">
        <f>-中国_中债国债到期收益率_1年!E123+中国_中债国债到期收益率_1年!E122</f>
        <v>9.9000000000000199E-3</v>
      </c>
      <c r="F124">
        <f>-中国_中债国债到期收益率_1年!F123+中国_中债国债到期收益率_1年!F122</f>
        <v>5.06000000000002E-2</v>
      </c>
      <c r="G124">
        <f>-中国_中债国债到期收益率_1年!G123+中国_中债国债到期收益率_1年!G122</f>
        <v>5.5800000000000072E-2</v>
      </c>
    </row>
    <row r="125" spans="1:7" x14ac:dyDescent="0.25">
      <c r="A125" s="6">
        <v>44893</v>
      </c>
      <c r="B125">
        <f>-中国_中债国债到期收益率_1年!B124+中国_中债国债到期收益率_1年!B123</f>
        <v>-1.0399999999999743E-2</v>
      </c>
      <c r="C125">
        <f>-中国_中债国债到期收益率_1年!C124+中国_中债国债到期收益率_1年!C123</f>
        <v>-4.2100000000000026E-2</v>
      </c>
      <c r="D125">
        <f>-中国_中债国债到期收益率_1年!D124+中国_中债国债到期收益率_1年!D123</f>
        <v>-3.5000000000000142E-2</v>
      </c>
      <c r="E125">
        <f>-中国_中债国债到期收益率_1年!E124+中国_中债国债到期收益率_1年!E123</f>
        <v>-3.4900000000000375E-2</v>
      </c>
      <c r="F125">
        <f>-中国_中债国债到期收益率_1年!F124+中国_中债国债到期收益率_1年!F123</f>
        <v>-3.8300000000000001E-2</v>
      </c>
      <c r="G125">
        <f>-中国_中债国债到期收益率_1年!G124+中国_中债国债到期收益率_1年!G123</f>
        <v>-3.9699999999999847E-2</v>
      </c>
    </row>
    <row r="126" spans="1:7" x14ac:dyDescent="0.25">
      <c r="A126" s="6">
        <v>44894</v>
      </c>
      <c r="B126">
        <f>-中国_中债国债到期收益率_1年!B125+中国_中债国债到期收益率_1年!B124</f>
        <v>-1.4000000000002899E-3</v>
      </c>
      <c r="C126">
        <f>-中国_中债国债到期收益率_1年!C125+中国_中债国债到期收益率_1年!C124</f>
        <v>-3.9700000000000291E-2</v>
      </c>
      <c r="D126">
        <f>-中国_中债国债到期收益率_1年!D125+中国_中债国债到期收益率_1年!D124</f>
        <v>-2.9999999999999805E-2</v>
      </c>
      <c r="E126">
        <f>-中国_中债国债到期收益率_1年!E125+中国_中债国债到期收益率_1年!E124</f>
        <v>-1.7499999999999627E-2</v>
      </c>
      <c r="F126">
        <f>-中国_中债国债到期收益率_1年!F125+中国_中债国债到期收益率_1年!F124</f>
        <v>-4.0000000000000036E-2</v>
      </c>
      <c r="G126">
        <f>-中国_中债国债到期收益率_1年!G125+中国_中债国债到期收益率_1年!G124</f>
        <v>-4.6800000000000175E-2</v>
      </c>
    </row>
    <row r="127" spans="1:7" x14ac:dyDescent="0.25">
      <c r="A127" s="6">
        <v>44895</v>
      </c>
      <c r="B127">
        <f>-中国_中债国债到期收益率_1年!B126+中国_中债国债到期收益率_1年!B125</f>
        <v>-4.4000000000000039E-2</v>
      </c>
      <c r="C127">
        <f>-中国_中债国债到期收益率_1年!C126+中国_中债国债到期收益率_1年!C125</f>
        <v>-5.0599999999999756E-2</v>
      </c>
      <c r="D127">
        <f>-中国_中债国债到期收益率_1年!D126+中国_中债国债到期收益率_1年!D125</f>
        <v>-2.0000000000000018E-2</v>
      </c>
      <c r="E127">
        <f>-中国_中债国债到期收益率_1年!E126+中国_中债国债到期收益率_1年!E125</f>
        <v>-3.2600000000000406E-2</v>
      </c>
      <c r="F127">
        <f>-中国_中债国债到期收益率_1年!F126+中国_中债国债到期收益率_1年!F125</f>
        <v>-4.9200000000000355E-2</v>
      </c>
      <c r="G127">
        <f>-中国_中债国债到期收益率_1年!G126+中国_中债国债到期收益率_1年!G125</f>
        <v>-7.9600000000000115E-2</v>
      </c>
    </row>
    <row r="128" spans="1:7" x14ac:dyDescent="0.25">
      <c r="A128" s="6">
        <v>44896</v>
      </c>
      <c r="B128">
        <f>-中国_中债国债到期收益率_1年!B127+中国_中债国债到期收益率_1年!B126</f>
        <v>-2.0199999999999996E-2</v>
      </c>
      <c r="C128">
        <f>-中国_中债国债到期收益率_1年!C127+中国_中债国债到期收益率_1年!C126</f>
        <v>1.0199999999999765E-2</v>
      </c>
      <c r="D128">
        <f>-中国_中债国债到期收益率_1年!D127+中国_中债国债到期收益率_1年!D126</f>
        <v>-4.9999999999998934E-3</v>
      </c>
      <c r="E128">
        <f>-中国_中债国债到期收益率_1年!E127+中国_中债国债到期收益率_1年!E126</f>
        <v>-9.9999999999997868E-3</v>
      </c>
      <c r="F128">
        <f>-中国_中债国债到期收益率_1年!F127+中国_中债国债到期收益率_1年!F126</f>
        <v>1.8600000000000172E-2</v>
      </c>
      <c r="G128">
        <f>-中国_中债国债到期收益率_1年!G127+中国_中债国债到期收益率_1年!G126</f>
        <v>1.8400000000000194E-2</v>
      </c>
    </row>
    <row r="129" spans="1:7" x14ac:dyDescent="0.25">
      <c r="A129" s="6">
        <v>44897</v>
      </c>
      <c r="B129">
        <f>-中国_中债国债到期收益率_1年!B128+中国_中债国债到期收益率_1年!B127</f>
        <v>-1.1499999999999844E-2</v>
      </c>
      <c r="C129">
        <f>-中国_中债国债到期收益率_1年!C128+中国_中债国债到期收益率_1年!C127</f>
        <v>1.9600000000000062E-2</v>
      </c>
      <c r="D129">
        <f>-中国_中债国债到期收益率_1年!D128+中国_中债国债到期收益率_1年!D127</f>
        <v>2.4999999999999911E-2</v>
      </c>
      <c r="E129">
        <f>-中国_中债国债到期收益率_1年!E128+中国_中债国债到期收益率_1年!E127</f>
        <v>1.4800000000000146E-2</v>
      </c>
      <c r="F129">
        <f>-中国_中债国债到期收益率_1年!F128+中国_中债国债到期收益率_1年!F127</f>
        <v>1.1499999999999844E-2</v>
      </c>
      <c r="G129">
        <f>-中国_中债国债到期收益率_1年!G128+中国_中债国债到期收益率_1年!G127</f>
        <v>9.9999999999766942E-5</v>
      </c>
    </row>
    <row r="130" spans="1:7" x14ac:dyDescent="0.25">
      <c r="A130" s="6">
        <v>44900</v>
      </c>
      <c r="B130">
        <f>-中国_中债国债到期收益率_1年!B129+中国_中债国债到期收益率_1年!B128</f>
        <v>-9.800000000000253E-3</v>
      </c>
      <c r="C130">
        <f>-中国_中债国债到期收益率_1年!C129+中国_中债国债到期收益率_1年!C128</f>
        <v>4.7000000000001485E-3</v>
      </c>
      <c r="D130">
        <f>-中国_中债国债到期收益率_1年!D129+中国_中债国债到期收益率_1年!D128</f>
        <v>-7.6000000000000512E-3</v>
      </c>
      <c r="E130">
        <f>-中国_中债国债到期收益率_1年!E129+中国_中债国债到期收益率_1年!E128</f>
        <v>-1.5000000000000568E-3</v>
      </c>
      <c r="F130">
        <f>-中国_中债国债到期收益率_1年!F129+中国_中债国债到期收益率_1年!F128</f>
        <v>1.9600000000000062E-2</v>
      </c>
      <c r="G130">
        <f>-中国_中债国债到期收益率_1年!G129+中国_中债国债到期收益率_1年!G128</f>
        <v>3.0000000000000249E-2</v>
      </c>
    </row>
    <row r="131" spans="1:7" x14ac:dyDescent="0.25">
      <c r="A131" s="6">
        <v>44901</v>
      </c>
      <c r="B131">
        <f>-中国_中债国债到期收益率_1年!B130+中国_中债国债到期收益率_1年!B129</f>
        <v>9.200000000000319E-3</v>
      </c>
      <c r="C131">
        <f>-中国_中债国债到期收益率_1年!C130+中国_中债国债到期收益率_1年!C129</f>
        <v>-1.639999999999997E-2</v>
      </c>
      <c r="D131">
        <f>-中国_中债国债到期收益率_1年!D130+中国_中债国债到期收益率_1年!D129</f>
        <v>-2.2600000000000176E-2</v>
      </c>
      <c r="E131">
        <f>-中国_中债国债到期收益率_1年!E130+中国_中债国债到期收益率_1年!E129</f>
        <v>-8.599999999999941E-3</v>
      </c>
      <c r="F131">
        <f>-中国_中债国债到期收益率_1年!F130+中国_中债国债到期收益率_1年!F129</f>
        <v>-1.2899999999999689E-2</v>
      </c>
      <c r="G131">
        <f>-中国_中债国债到期收益率_1年!G130+中国_中债国债到期收益率_1年!G129</f>
        <v>-2.2100000000000009E-2</v>
      </c>
    </row>
    <row r="132" spans="1:7" x14ac:dyDescent="0.25">
      <c r="A132" s="6">
        <v>44902</v>
      </c>
      <c r="B132">
        <f>-中国_中债国债到期收益率_1年!B131+中国_中债国债到期收益率_1年!B130</f>
        <v>-1.0400000000000187E-2</v>
      </c>
      <c r="C132">
        <f>-中国_中债国债到期收益率_1年!C131+中国_中债国债到期收益率_1年!C130</f>
        <v>-4.5900000000000052E-2</v>
      </c>
      <c r="D132">
        <f>-中国_中债国债到期收益率_1年!D131+中国_中债国债到期收益率_1年!D130</f>
        <v>-2.4999999999999911E-2</v>
      </c>
      <c r="E132">
        <f>-中国_中债国债到期收益率_1年!E131+中国_中债国债到期收益率_1年!E130</f>
        <v>-1.4900000000000357E-2</v>
      </c>
      <c r="F132">
        <f>-中国_中债国债到期收益率_1年!F131+中国_中债国债到期收益率_1年!F130</f>
        <v>-2.3600000000000065E-2</v>
      </c>
      <c r="G132">
        <f>-中国_中债国债到期收益率_1年!G131+中国_中债国债到期收益率_1年!G130</f>
        <v>-4.3499999999999872E-2</v>
      </c>
    </row>
    <row r="133" spans="1:7" x14ac:dyDescent="0.25">
      <c r="A133" s="6">
        <v>44903</v>
      </c>
      <c r="B133">
        <f>-中国_中债国债到期收益率_1年!B132+中国_中债国债到期收益率_1年!B131</f>
        <v>-9.2899999999999761E-2</v>
      </c>
      <c r="C133">
        <f>-中国_中债国债到期收益率_1年!C132+中国_中债国债到期收益率_1年!C131</f>
        <v>2.6399999999999757E-2</v>
      </c>
      <c r="D133">
        <f>-中国_中债国债到期收益率_1年!D132+中国_中债国债到期收益率_1年!D131</f>
        <v>4.4999999999999929E-2</v>
      </c>
      <c r="E133">
        <f>-中国_中债国债到期收益率_1年!E132+中国_中债国债到期收益率_1年!E131</f>
        <v>1.4600000000000168E-2</v>
      </c>
      <c r="F133">
        <f>-中国_中债国债到期收益率_1年!F132+中国_中债国债到期收益率_1年!F131</f>
        <v>-2.3800000000000043E-2</v>
      </c>
      <c r="G133">
        <f>-中国_中债国债到期收益率_1年!G132+中国_中债国债到期收益率_1年!G131</f>
        <v>-2.8399999999999981E-2</v>
      </c>
    </row>
    <row r="134" spans="1:7" x14ac:dyDescent="0.25">
      <c r="A134" s="6">
        <v>44904</v>
      </c>
      <c r="B134">
        <f>-中国_中债国债到期收益率_1年!B133+中国_中债国债到期收益率_1年!B132</f>
        <v>3.8000000000000256E-3</v>
      </c>
      <c r="C134">
        <f>-中国_中债国债到期收益率_1年!C133+中国_中债国债到期收益率_1年!C132</f>
        <v>1.0900000000000354E-2</v>
      </c>
      <c r="D134">
        <f>-中国_中债国债到期收益率_1年!D133+中国_中债国债到期收益率_1年!D132</f>
        <v>-1.5099999999999891E-2</v>
      </c>
      <c r="E134">
        <f>-中国_中债国债到期收益率_1年!E133+中国_中债国债到期收益率_1年!E132</f>
        <v>-3.6000000000000476E-3</v>
      </c>
      <c r="F134">
        <f>-中国_中债国债到期收益率_1年!F133+中国_中债国债到期收益率_1年!F132</f>
        <v>3.4699999999999953E-2</v>
      </c>
      <c r="G134">
        <f>-中国_中债国债到期收益率_1年!G133+中国_中债国债到期收益率_1年!G132</f>
        <v>5.1099999999999923E-2</v>
      </c>
    </row>
    <row r="135" spans="1:7" x14ac:dyDescent="0.25">
      <c r="A135" s="6">
        <v>44907</v>
      </c>
      <c r="B135">
        <f>-中国_中债国债到期收益率_1年!B134+中国_中债国债到期收益率_1年!B133</f>
        <v>-4.1200000000000347E-2</v>
      </c>
      <c r="C135">
        <f>-中国_中债国债到期收益率_1年!C134+中国_中债国债到期收益率_1年!C133</f>
        <v>-3.9200000000000124E-2</v>
      </c>
      <c r="D135">
        <f>-中国_中债国债到期收益率_1年!D134+中国_中债国债到期收益率_1年!D133</f>
        <v>-4.9999999999998934E-3</v>
      </c>
      <c r="E135">
        <f>-中国_中债国债到期收益率_1年!E134+中国_中债国债到期收益率_1年!E133</f>
        <v>-8.799999999999919E-3</v>
      </c>
      <c r="F135">
        <f>-中国_中债国债到期收益率_1年!F134+中国_中债国债到期收益率_1年!F133</f>
        <v>-1.3599999999999834E-2</v>
      </c>
      <c r="G135">
        <f>-中国_中债国债到期收益率_1年!G134+中国_中债国债到期收益率_1年!G133</f>
        <v>-2.1100000000000119E-2</v>
      </c>
    </row>
    <row r="136" spans="1:7" x14ac:dyDescent="0.25">
      <c r="A136" s="6">
        <v>44908</v>
      </c>
      <c r="B136">
        <f>-中国_中债国债到期收益率_1年!B135+中国_中债国债到期收益率_1年!B134</f>
        <v>-1.499999999999968E-2</v>
      </c>
      <c r="C136">
        <f>-中国_中债国债到期收益率_1年!C135+中国_中债国债到期收益率_1年!C134</f>
        <v>-7.0000000000001172E-3</v>
      </c>
      <c r="D136">
        <f>-中国_中债国债到期收益率_1年!D135+中国_中债国债到期收益率_1年!D134</f>
        <v>9.9999999999766942E-5</v>
      </c>
      <c r="E136">
        <f>-中国_中债国债到期收益率_1年!E135+中国_中债国债到期收益率_1年!E134</f>
        <v>-1.0000000000021103E-4</v>
      </c>
      <c r="F136">
        <f>-中国_中债国债到期收益率_1年!F135+中国_中债国债到期收益率_1年!F134</f>
        <v>1.1499999999999844E-2</v>
      </c>
      <c r="G136">
        <f>-中国_中债国债到期收益率_1年!G135+中国_中债国债到期收益率_1年!G134</f>
        <v>9.7999999999998089E-3</v>
      </c>
    </row>
    <row r="137" spans="1:7" x14ac:dyDescent="0.25">
      <c r="A137" s="6">
        <v>44909</v>
      </c>
      <c r="B137">
        <f>-中国_中债国债到期收益率_1年!B136+中国_中债国债到期收益率_1年!B135</f>
        <v>-3.5000000000000142E-2</v>
      </c>
      <c r="C137">
        <f>-中国_中债国债到期收益率_1年!C136+中国_中债国债到期收益率_1年!C135</f>
        <v>-1.8100000000000005E-2</v>
      </c>
      <c r="D137">
        <f>-中国_中债国债到期收益率_1年!D136+中国_中债国债到期收益率_1年!D135</f>
        <v>-4.9999999999998934E-3</v>
      </c>
      <c r="E137">
        <f>-中国_中债国债到期收益率_1年!E136+中国_中债国债到期收益率_1年!E135</f>
        <v>-5.1999999999998714E-3</v>
      </c>
      <c r="F137">
        <f>-中国_中债国债到期收益率_1年!F136+中国_中债国债到期收益率_1年!F135</f>
        <v>-1.9099999999999895E-2</v>
      </c>
      <c r="G137">
        <f>-中国_中债国债到期收益率_1年!G136+中国_中债国债到期收益率_1年!G135</f>
        <v>-1.4799999999999702E-2</v>
      </c>
    </row>
    <row r="138" spans="1:7" x14ac:dyDescent="0.25">
      <c r="A138" s="6">
        <v>44910</v>
      </c>
      <c r="B138">
        <f>-中国_中债国债到期收益率_1年!B137+中国_中债国债到期收益率_1年!B136</f>
        <v>3.5000000000000142E-2</v>
      </c>
      <c r="C138">
        <f>-中国_中债国债到期收益率_1年!C137+中国_中债国债到期收益率_1年!C136</f>
        <v>6.2699999999999978E-2</v>
      </c>
      <c r="D138">
        <f>-中国_中债国债到期收益率_1年!D137+中国_中债国债到期收益率_1年!D136</f>
        <v>2.970000000000006E-2</v>
      </c>
      <c r="E138">
        <f>-中国_中债国债到期收益率_1年!E137+中国_中债国债到期收益率_1年!E136</f>
        <v>2.7499999999999858E-2</v>
      </c>
      <c r="F138">
        <f>-中国_中债国债到期收益率_1年!F137+中国_中债国债到期收益率_1年!F136</f>
        <v>3.2200000000000006E-2</v>
      </c>
      <c r="G138">
        <f>-中国_中债国债到期收益率_1年!G137+中国_中债国债到期收益率_1年!G136</f>
        <v>5.01999999999998E-2</v>
      </c>
    </row>
    <row r="139" spans="1:7" x14ac:dyDescent="0.25">
      <c r="A139" s="6">
        <v>44911</v>
      </c>
      <c r="B139">
        <f>-中国_中债国债到期收益率_1年!B138+中国_中债国债到期收益率_1年!B137</f>
        <v>-1.5000000000000124E-2</v>
      </c>
      <c r="C139">
        <f>-中国_中债国债到期收益率_1年!C138+中国_中债国债到期收益率_1年!C137</f>
        <v>-8.90000000000013E-3</v>
      </c>
      <c r="D139">
        <f>-中国_中债国债到期收益率_1年!D138+中国_中债国债到期收益率_1年!D137</f>
        <v>-1.739999999999986E-2</v>
      </c>
      <c r="E139">
        <f>-中国_中债国债到期收益率_1年!E138+中国_中债国债到期收益率_1年!E137</f>
        <v>-1.4899999999999913E-2</v>
      </c>
      <c r="F139">
        <f>-中国_中债国债到期收益率_1年!F138+中国_中债国债到期收益率_1年!F137</f>
        <v>-1.000000000000334E-3</v>
      </c>
      <c r="G139">
        <f>-中国_中债国债到期收益率_1年!G138+中国_中债国债到期收益率_1年!G137</f>
        <v>4.5999999999999375E-3</v>
      </c>
    </row>
    <row r="140" spans="1:7" x14ac:dyDescent="0.25">
      <c r="A140" s="6">
        <v>44914</v>
      </c>
      <c r="B140">
        <f>-中国_中债国债到期收益率_1年!B139+中国_中债国债到期收益率_1年!B138</f>
        <v>0</v>
      </c>
      <c r="C140">
        <f>-中国_中债国债到期收益率_1年!C139+中国_中债国债到期收益率_1年!C138</f>
        <v>5.0000000000016698E-4</v>
      </c>
      <c r="D140">
        <f>-中国_中债国债到期收益率_1年!D139+中国_中债国债到期收益率_1年!D138</f>
        <v>-2.7000000000003688E-3</v>
      </c>
      <c r="E140">
        <f>-中国_中债国债到期收益率_1年!E139+中国_中债国债到期收益率_1年!E138</f>
        <v>7.3000000000003062E-3</v>
      </c>
      <c r="F140">
        <f>-中国_中债国债到期收益率_1年!F139+中国_中债国债到期收益率_1年!F138</f>
        <v>-4.6999999999997044E-3</v>
      </c>
      <c r="G140">
        <f>-中国_中债国债到期收益率_1年!G139+中国_中债国债到期收益率_1年!G138</f>
        <v>-1.4799999999999702E-2</v>
      </c>
    </row>
    <row r="141" spans="1:7" x14ac:dyDescent="0.25">
      <c r="A141" s="6">
        <v>44915</v>
      </c>
      <c r="B141">
        <f>-中国_中债国债到期收益率_1年!B140+中国_中债国债到期收益率_1年!B139</f>
        <v>2.0000000000000018E-2</v>
      </c>
      <c r="C141">
        <f>-中国_中债国债到期收益率_1年!C140+中国_中债国债到期收益率_1年!C139</f>
        <v>3.4699999999999953E-2</v>
      </c>
      <c r="D141">
        <f>-中国_中债国债到期收益率_1年!D140+中国_中债国债到期收益率_1年!D139</f>
        <v>2.2400000000000198E-2</v>
      </c>
      <c r="E141">
        <f>-中国_中债国债到期收益率_1年!E140+中国_中债国债到期收益率_1年!E139</f>
        <v>1.7199999999999882E-2</v>
      </c>
      <c r="F141">
        <f>-中国_中债国债到期收益率_1年!F140+中国_中债国债到期收益率_1年!F139</f>
        <v>4.6899999999999942E-2</v>
      </c>
      <c r="G141">
        <f>-中国_中债国债到期收益率_1年!G140+中国_中债国债到期收益率_1年!G139</f>
        <v>4.7599999999999643E-2</v>
      </c>
    </row>
    <row r="142" spans="1:7" x14ac:dyDescent="0.25">
      <c r="A142" s="6">
        <v>44916</v>
      </c>
      <c r="B142">
        <f>-中国_中债国债到期收益率_1年!B141+中国_中债国债到期收益率_1年!B140</f>
        <v>0</v>
      </c>
      <c r="C142">
        <f>-中国_中债国债到期收益率_1年!C141+中国_中债国债到期收益率_1年!C140</f>
        <v>-5.1999999999998714E-3</v>
      </c>
      <c r="D142">
        <f>-中国_中债国债到期收益率_1年!D141+中国_中债国债到期收益率_1年!D140</f>
        <v>-1.0000000000000231E-2</v>
      </c>
      <c r="E142">
        <f>-中国_中债国债到期收益率_1年!E141+中国_中债国债到期收益率_1年!E140</f>
        <v>5.1000000000001044E-3</v>
      </c>
      <c r="F142">
        <f>-中国_中债国债到期收益率_1年!F141+中国_中债国债到期收益率_1年!F140</f>
        <v>-1.1600000000000055E-2</v>
      </c>
      <c r="G142">
        <f>-中国_中债国债到期收益率_1年!G141+中国_中债国债到期收益率_1年!G140</f>
        <v>-8.1999999999999851E-3</v>
      </c>
    </row>
    <row r="143" spans="1:7" x14ac:dyDescent="0.25">
      <c r="A143" s="6">
        <v>44917</v>
      </c>
      <c r="B143">
        <f>-中国_中债国债到期收益率_1年!B142+中国_中债国债到期收益率_1年!B141</f>
        <v>4.9999999999998934E-3</v>
      </c>
      <c r="C143">
        <f>-中国_中债国债到期收益率_1年!C142+中国_中债国债到期收益率_1年!C141</f>
        <v>1.4499999999999957E-2</v>
      </c>
      <c r="D143">
        <f>-中国_中债国债到期收益率_1年!D142+中国_中债国债到期收益率_1年!D141</f>
        <v>1.2600000000000389E-2</v>
      </c>
      <c r="E143">
        <f>-中国_中债国债到期收益率_1年!E142+中国_中债国债到期收益率_1年!E141</f>
        <v>9.9000000000000199E-3</v>
      </c>
      <c r="F143">
        <f>-中国_中债国债到期收益率_1年!F142+中国_中债国债到期收益率_1年!F141</f>
        <v>2.6000000000001577E-3</v>
      </c>
      <c r="G143">
        <f>-中国_中债国债到期收益率_1年!G142+中国_中债国债到期收益率_1年!G141</f>
        <v>-6.2999999999999723E-3</v>
      </c>
    </row>
    <row r="144" spans="1:7" x14ac:dyDescent="0.25">
      <c r="A144" s="6">
        <v>44918</v>
      </c>
      <c r="B144">
        <f>-中国_中债国债到期收益率_1年!B143+中国_中债国债到期收益率_1年!B142</f>
        <v>2.4999999999999911E-2</v>
      </c>
      <c r="C144">
        <f>-中国_中债国债到期收益率_1年!C143+中国_中债国债到期收益率_1年!C142</f>
        <v>1.9600000000000062E-2</v>
      </c>
      <c r="D144">
        <f>-中国_中债国债到期收益率_1年!D143+中国_中债国债到期收益率_1年!D142</f>
        <v>1.0299999999999976E-2</v>
      </c>
      <c r="E144">
        <f>-中国_中债国债到期收益率_1年!E143+中国_中债国债到期收益率_1年!E142</f>
        <v>7.4999999999998401E-3</v>
      </c>
      <c r="F144">
        <f>-中国_中债国债到期收益率_1年!F143+中国_中债国债到期收益率_1年!F142</f>
        <v>2.0499999999999741E-2</v>
      </c>
      <c r="G144">
        <f>-中国_中债国债到期收益率_1年!G143+中国_中债国债到期收益率_1年!G142</f>
        <v>2.7300000000000324E-2</v>
      </c>
    </row>
    <row r="145" spans="1:7" x14ac:dyDescent="0.25">
      <c r="A145" s="6">
        <v>44921</v>
      </c>
      <c r="B145">
        <f>-中国_中债国债到期收益率_1年!B144+中国_中债国债到期收益率_1年!B143</f>
        <v>4.0000000000000036E-2</v>
      </c>
      <c r="C145">
        <f>-中国_中债国债到期收益率_1年!C144+中国_中债国债到期收益率_1年!C143</f>
        <v>3.5400000000000098E-2</v>
      </c>
      <c r="D145">
        <f>-中国_中债国债到期收益率_1年!D144+中国_中债国债到期收益率_1年!D143</f>
        <v>2.5199999999999889E-2</v>
      </c>
      <c r="E145">
        <f>-中国_中债国债到期收益率_1年!E144+中国_中债国债到期收益率_1年!E143</f>
        <v>1.4800000000000146E-2</v>
      </c>
      <c r="F145">
        <f>-中国_中债国债到期收益率_1年!F144+中国_中债国债到期收益率_1年!F143</f>
        <v>1.1800000000000033E-2</v>
      </c>
      <c r="G145">
        <f>-中国_中债国债到期收益率_1年!G144+中国_中债国债到期收益率_1年!G143</f>
        <v>1.5899999999999803E-2</v>
      </c>
    </row>
    <row r="146" spans="1:7" x14ac:dyDescent="0.25">
      <c r="A146" s="6">
        <v>44922</v>
      </c>
      <c r="B146">
        <f>-中国_中债国债到期收益率_1年!B145+中国_中债国债到期收益率_1年!B144</f>
        <v>-2.0000000000000018E-2</v>
      </c>
      <c r="C146">
        <f>-中国_中债国债到期收益率_1年!C145+中国_中债国债到期收益率_1年!C144</f>
        <v>-2.1400000000000308E-2</v>
      </c>
      <c r="D146">
        <f>-中国_中债国债到期收益率_1年!D145+中国_中债国债到期收益率_1年!D144</f>
        <v>-1.2700000000000156E-2</v>
      </c>
      <c r="E146">
        <f>-中国_中债国债到期收益率_1年!E145+中国_中债国债到期收益率_1年!E144</f>
        <v>-5.0000000000003375E-3</v>
      </c>
      <c r="F146">
        <f>-中国_中债国债到期收益率_1年!F145+中国_中债国债到期收益率_1年!F144</f>
        <v>2.1688000000000001</v>
      </c>
      <c r="G146">
        <f>-中国_中债国债到期收益率_1年!G145+中国_中债国债到期收益率_1年!G144</f>
        <v>2.7376</v>
      </c>
    </row>
    <row r="147" spans="1:7" x14ac:dyDescent="0.25">
      <c r="A147" s="6">
        <v>44923</v>
      </c>
      <c r="B147">
        <f>-中国_中债国债到期收益率_1年!B146+中国_中债国债到期收益率_1年!B145</f>
        <v>0</v>
      </c>
      <c r="C147">
        <f>-中国_中债国债到期收益率_1年!C146+中国_中债国债到期收益率_1年!C145</f>
        <v>-4.269999999999996E-2</v>
      </c>
      <c r="D147">
        <f>-中国_中债国债到期收益率_1年!D146+中国_中债国债到期收益率_1年!D145</f>
        <v>-2.7899999999999814E-2</v>
      </c>
      <c r="E147">
        <f>-中国_中债国债到期收益率_1年!E146+中国_中债国债到期收益率_1年!E145</f>
        <v>2.7000000000003688E-3</v>
      </c>
      <c r="F147">
        <f>-中国_中债国债到期收益率_1年!F146+中国_中债国债到期收益率_1年!F145</f>
        <v>-2.2315</v>
      </c>
      <c r="G147">
        <f>-中国_中债国债到期收益率_1年!G146+中国_中债国债到期收益率_1年!G145</f>
        <v>-2.7833000000000001</v>
      </c>
    </row>
    <row r="148" spans="1:7" x14ac:dyDescent="0.25">
      <c r="A148" s="6">
        <v>44924</v>
      </c>
      <c r="B148">
        <f>-中国_中债国债到期收益率_1年!B147+中国_中债国债到期收益率_1年!B146</f>
        <v>1.0000000000000231E-2</v>
      </c>
      <c r="C148">
        <f>-中国_中债国债到期收益率_1年!C147+中国_中债国债到期收益率_1年!C146</f>
        <v>-9.9999999999766942E-5</v>
      </c>
      <c r="D148">
        <f>-中国_中债国债到期收益率_1年!D147+中国_中债国债到期收益率_1年!D146</f>
        <v>1.540000000000008E-2</v>
      </c>
      <c r="E148">
        <f>-中国_中债国债到期收益率_1年!E147+中国_中债国债到期收益率_1年!E146</f>
        <v>4.7999999999999154E-3</v>
      </c>
      <c r="F148">
        <f>-中国_中债国债到期收益率_1年!F147+中国_中债国债到期收益率_1年!F146</f>
        <v>5.9999999999993392E-4</v>
      </c>
      <c r="G148">
        <f>-中国_中债国债到期收益率_1年!G147+中国_中债国债到期收益率_1年!G146</f>
        <v>2.0000000000002238E-3</v>
      </c>
    </row>
    <row r="149" spans="1:7" x14ac:dyDescent="0.25">
      <c r="A149" s="6">
        <v>44925</v>
      </c>
      <c r="B149">
        <f>-中国_中债国债到期收益率_1年!B148+中国_中债国债到期收益率_1年!B147</f>
        <v>6.999999999999984E-2</v>
      </c>
      <c r="C149">
        <f>-中国_中债国债到期收益率_1年!C148+中国_中债国债到期收益率_1年!C147</f>
        <v>3.2200000000000006E-2</v>
      </c>
      <c r="D149">
        <f>-中国_中债国债到期收益率_1年!D148+中国_中债国债到期收益率_1年!D147</f>
        <v>1.2699999999999712E-2</v>
      </c>
      <c r="E149">
        <f>-中国_中债国债到期收益率_1年!E148+中国_中债国债到期收益率_1年!E147</f>
        <v>2.0099999999999785E-2</v>
      </c>
      <c r="F149">
        <f>-中国_中债国债到期收益率_1年!F148+中国_中债国债到期收益率_1年!F147</f>
        <v>3.0200000000000227E-2</v>
      </c>
      <c r="G149">
        <f>-中国_中债国债到期收益率_1年!G148+中国_中债国债到期收益率_1年!G147</f>
        <v>2.389999999999981E-2</v>
      </c>
    </row>
    <row r="150" spans="1:7" x14ac:dyDescent="0.25">
      <c r="A150" s="6">
        <v>44926</v>
      </c>
      <c r="B150">
        <f>-中国_中债国债到期收益率_1年!B149+中国_中债国债到期收益率_1年!B148</f>
        <v>6.999999999999984E-2</v>
      </c>
      <c r="C150">
        <f>-中国_中债国债到期收益率_1年!C149+中国_中债国债到期收益率_1年!C148</f>
        <v>-6.4000000000001833E-3</v>
      </c>
      <c r="D150">
        <f>-中国_中债国债到期收益率_1年!D149+中国_中债国债到期收益率_1年!D148</f>
        <v>2.2999999999999687E-3</v>
      </c>
      <c r="E150">
        <f>-中国_中债国债到期收益率_1年!E149+中国_中债国债到期收益率_1年!E148</f>
        <v>-2.5999999999997137E-3</v>
      </c>
      <c r="F150">
        <f>-中国_中债国债到期收益率_1年!F149+中国_中债国债到期收益率_1年!F148</f>
        <v>2.0599999999999952E-2</v>
      </c>
      <c r="G150">
        <f>-中国_中债国债到期收益率_1年!G149+中国_中债国债到期收益率_1年!G148</f>
        <v>-1.5999999999998238E-3</v>
      </c>
    </row>
    <row r="151" spans="1:7" x14ac:dyDescent="0.25">
      <c r="A151" s="6">
        <v>44929</v>
      </c>
      <c r="B151">
        <f>-中国_中债国债到期收益率_1年!B150+中国_中债国债到期收益率_1年!B149</f>
        <v>0</v>
      </c>
      <c r="C151">
        <f>-中国_中债国债到期收益率_1年!C150+中国_中债国债到期收益率_1年!C149</f>
        <v>0</v>
      </c>
      <c r="D151">
        <f>-中国_中债国债到期收益率_1年!D150+中国_中债国债到期收益率_1年!D149</f>
        <v>0</v>
      </c>
      <c r="E151">
        <f>-中国_中债国债到期收益率_1年!E150+中国_中债国债到期收益率_1年!E149</f>
        <v>0</v>
      </c>
      <c r="F151">
        <f>-中国_中债国债到期收益率_1年!F150+中国_中债国债到期收益率_1年!F149</f>
        <v>2.1800999999999999</v>
      </c>
      <c r="G151">
        <f>-中国_中债国债到期收益率_1年!G150+中国_中债国债到期收益率_1年!G149</f>
        <v>2.7589999999999999</v>
      </c>
    </row>
    <row r="152" spans="1:7" x14ac:dyDescent="0.25">
      <c r="A152" s="6">
        <v>44930</v>
      </c>
      <c r="B152">
        <f>-中国_中债国债到期收益率_1年!B151+中国_中债国债到期收益率_1年!B150</f>
        <v>-1.5099999999999891E-2</v>
      </c>
      <c r="C152">
        <f>-中国_中债国债到期收益率_1年!C151+中国_中债国债到期收益率_1年!C150</f>
        <v>1.4800000000000146E-2</v>
      </c>
      <c r="D152">
        <f>-中国_中债国债到期收益率_1年!D151+中国_中债国债到期收益率_1年!D150</f>
        <v>1.2500000000000178E-2</v>
      </c>
      <c r="E152">
        <f>-中国_中债国债到期收益率_1年!E151+中国_中债国债到期收益率_1年!E150</f>
        <v>2.1999999999997577E-3</v>
      </c>
      <c r="F152">
        <f>-中国_中债国债到期收益率_1年!F151+中国_中债国债到期收益率_1年!F150</f>
        <v>-2.1751999999999998</v>
      </c>
      <c r="G152">
        <f>-中国_中债国债到期收益率_1年!G151+中国_中债国债到期收益率_1年!G150</f>
        <v>-2.7650999999999999</v>
      </c>
    </row>
    <row r="153" spans="1:7" x14ac:dyDescent="0.25">
      <c r="A153" s="6">
        <v>44931</v>
      </c>
      <c r="B153">
        <f>-中国_中债国债到期收益率_1年!B152+中国_中债国债到期收益率_1年!B151</f>
        <v>4.4999999999999929E-2</v>
      </c>
      <c r="C153">
        <f>-中国_中债国债到期收益率_1年!C152+中国_中债国债到期收益率_1年!C151</f>
        <v>2.2699999999999942E-2</v>
      </c>
      <c r="D153">
        <f>-中国_中债国债到期收益率_1年!D152+中国_中债国债到期收益率_1年!D151</f>
        <v>1.2500000000000178E-2</v>
      </c>
      <c r="E153">
        <f>-中国_中债国债到期收益率_1年!E152+中国_中债国债到期收益率_1年!E151</f>
        <v>-9.9999999999766942E-5</v>
      </c>
      <c r="F153">
        <f>-中国_中债国债到期收益率_1年!F152+中国_中债国债到期收益率_1年!F151</f>
        <v>2.829999999999977E-2</v>
      </c>
      <c r="G153">
        <f>-中国_中债国债到期收益率_1年!G152+中国_中债国债到期收益率_1年!G151</f>
        <v>3.0899999999999928E-2</v>
      </c>
    </row>
    <row r="154" spans="1:7" x14ac:dyDescent="0.25">
      <c r="A154" s="6">
        <v>44932</v>
      </c>
      <c r="B154">
        <f>-中国_中债国债到期收益率_1年!B153+中国_中债国债到期收益率_1年!B152</f>
        <v>-1.499999999999968E-2</v>
      </c>
      <c r="C154">
        <f>-中国_中债国债到期收益率_1年!C153+中国_中债国债到期收益率_1年!C152</f>
        <v>-1.7900000000000027E-2</v>
      </c>
      <c r="D154">
        <f>-中国_中债国债到期收益率_1年!D153+中国_中债国债到期收益率_1年!D152</f>
        <v>-2.0100000000000229E-2</v>
      </c>
      <c r="E154">
        <f>-中国_中债国债到期收益率_1年!E153+中国_中债国债到期收益率_1年!E152</f>
        <v>-1.2500000000000178E-2</v>
      </c>
      <c r="F154">
        <f>-中国_中债国债到期收益率_1年!F153+中国_中债国债到期收益率_1年!F152</f>
        <v>2.8999999999999027E-3</v>
      </c>
      <c r="G154">
        <f>-中国_中债国债到期收益率_1年!G153+中国_中债国债到期收益率_1年!G152</f>
        <v>-2.4000000000001798E-3</v>
      </c>
    </row>
    <row r="155" spans="1:7" x14ac:dyDescent="0.25">
      <c r="A155" s="6">
        <v>44935</v>
      </c>
      <c r="B155">
        <f>-中国_中债国债到期收益率_1年!B154+中国_中债国债到期收益率_1年!B153</f>
        <v>-1.5000000000000124E-2</v>
      </c>
      <c r="C155">
        <f>-中国_中债国债到期收益率_1年!C154+中国_中债国债到期收益率_1年!C153</f>
        <v>-2.4500000000000188E-2</v>
      </c>
      <c r="D155">
        <f>-中国_中债国债到期收益率_1年!D154+中国_中债国债到期收益率_1年!D153</f>
        <v>-2.4000000000001798E-3</v>
      </c>
      <c r="E155">
        <f>-中国_中债国债到期收益率_1年!E154+中国_中债国债到期收益率_1年!E153</f>
        <v>-4.9999999999998934E-3</v>
      </c>
      <c r="F155">
        <f>-中国_中债国债到期收益率_1年!F154+中国_中债国债到期收益率_1年!F153</f>
        <v>-1.7099999999999671E-2</v>
      </c>
      <c r="G155">
        <f>-中国_中债国债到期收益率_1年!G154+中国_中债国债到期收益率_1年!G153</f>
        <v>-2.3800000000000043E-2</v>
      </c>
    </row>
    <row r="156" spans="1:7" x14ac:dyDescent="0.25">
      <c r="A156" s="6">
        <v>44936</v>
      </c>
      <c r="B156">
        <f>-中国_中债国债到期收益率_1年!B155+中国_中债国债到期收益率_1年!B154</f>
        <v>-2.6000000000001577E-3</v>
      </c>
      <c r="C156">
        <f>-中国_中债国债到期收益率_1年!C155+中国_中债国债到期收益率_1年!C154</f>
        <v>-1.5399999999999636E-2</v>
      </c>
      <c r="D156">
        <f>-中国_中债国债到期收益率_1年!D155+中国_中债国债到期收益率_1年!D154</f>
        <v>-9.9999999999997868E-3</v>
      </c>
      <c r="E156">
        <f>-中国_中债国债到期收益率_1年!E155+中国_中债国债到期收益率_1年!E154</f>
        <v>-4.9999999999998934E-3</v>
      </c>
      <c r="F156">
        <f>-中国_中债国债到期收益率_1年!F155+中国_中债国债到期收益率_1年!F154</f>
        <v>-1.8500000000000405E-2</v>
      </c>
      <c r="G156">
        <f>-中国_中债国债到期收益率_1年!G155+中国_中债国债到期收益率_1年!G154</f>
        <v>-9.6999999999995978E-3</v>
      </c>
    </row>
    <row r="157" spans="1:7" x14ac:dyDescent="0.25">
      <c r="A157" s="6">
        <v>44937</v>
      </c>
      <c r="B157">
        <f>-中国_中债国债到期收益率_1年!B156+中国_中债国债到期收益率_1年!B155</f>
        <v>-2.2399999999999753E-2</v>
      </c>
      <c r="C157">
        <f>-中国_中债国债到期收益率_1年!C156+中国_中债国债到期收益率_1年!C155</f>
        <v>-4.5500000000000096E-2</v>
      </c>
      <c r="D157">
        <f>-中国_中债国债到期收益率_1年!D156+中国_中债国债到期收益率_1年!D155</f>
        <v>-1.739999999999986E-2</v>
      </c>
      <c r="E157">
        <f>-中国_中债国债到期收益率_1年!E156+中国_中债国债到期收益率_1年!E155</f>
        <v>-1.7500000000000071E-2</v>
      </c>
      <c r="F157">
        <f>-中国_中债国债到期收益率_1年!F156+中国_中债国债到期收益率_1年!F155</f>
        <v>-5.3499999999999659E-2</v>
      </c>
      <c r="G157">
        <f>-中国_中债国债到期收益率_1年!G156+中国_中债国债到期收益率_1年!G155</f>
        <v>-4.3500000000000316E-2</v>
      </c>
    </row>
    <row r="158" spans="1:7" x14ac:dyDescent="0.25">
      <c r="A158" s="6">
        <v>44938</v>
      </c>
      <c r="B158">
        <f>-中国_中债国债到期收益率_1年!B157+中国_中债国债到期收益率_1年!B156</f>
        <v>-4.9999999999998934E-3</v>
      </c>
      <c r="C158">
        <f>-中国_中债国债到期收益率_1年!C157+中国_中债国债到期收益率_1年!C156</f>
        <v>1.1499999999999844E-2</v>
      </c>
      <c r="D158">
        <f>-中国_中债国债到期收益率_1年!D157+中国_中债国债到期收益率_1年!D156</f>
        <v>-1.0000000000021103E-4</v>
      </c>
      <c r="E158">
        <f>-中国_中债国债到期收益率_1年!E157+中国_中债国债到期收益率_1年!E156</f>
        <v>0</v>
      </c>
      <c r="F158">
        <f>-中国_中债国债到期收益率_1年!F157+中国_中债国债到期收益率_1年!F156</f>
        <v>-2.1600000000000286E-2</v>
      </c>
      <c r="G158">
        <f>-中国_中债国债到期收益率_1年!G157+中国_中债国债到期收益率_1年!G156</f>
        <v>-1.4799999999999702E-2</v>
      </c>
    </row>
    <row r="159" spans="1:7" x14ac:dyDescent="0.25">
      <c r="A159" s="6">
        <v>44939</v>
      </c>
      <c r="B159">
        <f>-中国_中债国债到期收益率_1年!B158+中国_中债国债到期收益率_1年!B157</f>
        <v>2.9999999999999805E-2</v>
      </c>
      <c r="C159">
        <f>-中国_中债国债到期收益率_1年!C158+中国_中债国债到期收益率_1年!C157</f>
        <v>1.5000000000000568E-3</v>
      </c>
      <c r="D159">
        <f>-中国_中债国债到期收益率_1年!D158+中国_中债国债到期收益率_1年!D157</f>
        <v>-1.7500000000000071E-2</v>
      </c>
      <c r="E159">
        <f>-中国_中债国债到期收益率_1年!E158+中国_中债国债到期收益率_1年!E157</f>
        <v>-4.7000000000001485E-3</v>
      </c>
      <c r="F159">
        <f>-中国_中债国债到期收益率_1年!F158+中国_中债国债到期收益率_1年!F157</f>
        <v>1.9000000000000128E-2</v>
      </c>
      <c r="G159">
        <f>-中国_中债国债到期收益率_1年!G158+中国_中债国债到期收益率_1年!G157</f>
        <v>1.1499999999999844E-2</v>
      </c>
    </row>
    <row r="160" spans="1:7" x14ac:dyDescent="0.25">
      <c r="A160" s="6">
        <v>44942</v>
      </c>
      <c r="B160">
        <f>-中国_中债国债到期收益率_1年!B159+中国_中债国债到期收益率_1年!B158</f>
        <v>0</v>
      </c>
      <c r="C160">
        <f>-中国_中债国债到期收益率_1年!C159+中国_中债国债到期收益率_1年!C158</f>
        <v>-1.2199999999999989E-2</v>
      </c>
      <c r="D160">
        <f>-中国_中债国债到期收益率_1年!D159+中国_中债国债到期收益率_1年!D158</f>
        <v>-2.3199999999999665E-2</v>
      </c>
      <c r="E160">
        <f>-中国_中债国债到期收益率_1年!E159+中国_中债国债到期收益率_1年!E158</f>
        <v>-9.7999999999998089E-3</v>
      </c>
      <c r="F160">
        <f>-中国_中债国债到期收益率_1年!F159+中国_中债国债到期收益率_1年!F158</f>
        <v>-9.1999999999998749E-3</v>
      </c>
      <c r="G160">
        <f>-中国_中债国债到期收益率_1年!G159+中国_中债国债到期收益率_1年!G158</f>
        <v>-2.4500000000000188E-2</v>
      </c>
    </row>
    <row r="161" spans="1:7" x14ac:dyDescent="0.25">
      <c r="A161" s="6">
        <v>44943</v>
      </c>
      <c r="B161">
        <f>-中国_中债国债到期收益率_1年!B160+中国_中债国债到期收益率_1年!B159</f>
        <v>-2.9999999999999805E-2</v>
      </c>
      <c r="C161">
        <f>-中国_中债国债到期收益率_1年!C160+中国_中债国债到期收益率_1年!C159</f>
        <v>-4.7499999999999876E-2</v>
      </c>
      <c r="D161">
        <f>-中国_中债国债到期收益率_1年!D160+中国_中债国债到期收益率_1年!D159</f>
        <v>-1.5700000000000269E-2</v>
      </c>
      <c r="E161">
        <f>-中国_中债国债到期收益率_1年!E160+中国_中债国债到期收益率_1年!E159</f>
        <v>-2.0100000000000229E-2</v>
      </c>
      <c r="F161">
        <f>-中国_中债国债到期收益率_1年!F160+中国_中债国债到期收益率_1年!F159</f>
        <v>-4.2800000000000171E-2</v>
      </c>
      <c r="G161">
        <f>-中国_中债国债到期收益率_1年!G160+中国_中债国债到期收益率_1年!G159</f>
        <v>-5.5800000000000072E-2</v>
      </c>
    </row>
    <row r="162" spans="1:7" x14ac:dyDescent="0.25">
      <c r="A162" s="6">
        <v>44944</v>
      </c>
      <c r="B162">
        <f>-中国_中债国债到期收益率_1年!B161+中国_中债国债到期收益率_1年!B160</f>
        <v>0</v>
      </c>
      <c r="C162">
        <f>-中国_中债国债到期收益率_1年!C161+中国_中债国债到期收益率_1年!C160</f>
        <v>2.2499999999999964E-2</v>
      </c>
      <c r="D162">
        <f>-中国_中债国债到期收益率_1年!D161+中国_中债国债到期收益率_1年!D160</f>
        <v>1.5000000000000124E-2</v>
      </c>
      <c r="E162">
        <f>-中国_中债国债到期收益率_1年!E161+中国_中债国债到期收益率_1年!E160</f>
        <v>1.4600000000000168E-2</v>
      </c>
      <c r="F162">
        <f>-中国_中债国债到期收益率_1年!F161+中国_中债国债到期收益率_1年!F160</f>
        <v>-9.300000000000086E-3</v>
      </c>
      <c r="G162">
        <f>-中国_中债国债到期收益率_1年!G161+中国_中债国债到期收益率_1年!G160</f>
        <v>1.8000000000002458E-3</v>
      </c>
    </row>
    <row r="163" spans="1:7" x14ac:dyDescent="0.25">
      <c r="A163" s="6">
        <v>44945</v>
      </c>
      <c r="B163">
        <f>-中国_中债国债到期收益率_1年!B162+中国_中债国债到期收益率_1年!B161</f>
        <v>-3.4500000000000419E-2</v>
      </c>
      <c r="C163">
        <f>-中国_中债国债到期收益率_1年!C162+中国_中债国债到期收益率_1年!C161</f>
        <v>8.90000000000013E-3</v>
      </c>
      <c r="D163">
        <f>-中国_中债国债到期收益率_1年!D162+中国_中债国债到期收益率_1年!D161</f>
        <v>-2.0500000000000185E-2</v>
      </c>
      <c r="E163">
        <f>-中国_中债国债到期收益率_1年!E162+中国_中债国债到期收益率_1年!E161</f>
        <v>-2.2299999999999986E-2</v>
      </c>
      <c r="F163">
        <f>-中国_中债国债到期收益率_1年!F162+中国_中债国债到期收益率_1年!F161</f>
        <v>3.7000000000002586E-3</v>
      </c>
      <c r="G163">
        <f>-中国_中债国债到期收益率_1年!G162+中国_中债国债到期收益率_1年!G161</f>
        <v>8.0000000000000071E-3</v>
      </c>
    </row>
    <row r="164" spans="1:7" x14ac:dyDescent="0.25">
      <c r="A164" s="6">
        <v>44946</v>
      </c>
      <c r="B164">
        <f>-中国_中债国债到期收益率_1年!B163+中国_中债国债到期收益率_1年!B162</f>
        <v>-6.1999999999997613E-3</v>
      </c>
      <c r="C164">
        <f>-中国_中债国债到期收益率_1年!C163+中国_中债国债到期收益率_1年!C162</f>
        <v>4.6999999999997044E-3</v>
      </c>
      <c r="D164">
        <f>-中国_中债国债到期收益率_1年!D163+中国_中债国债到期收益率_1年!D162</f>
        <v>7.7000000000002622E-3</v>
      </c>
      <c r="E164">
        <f>-中国_中债国债到期收益率_1年!E163+中国_中债国债到期收益率_1年!E162</f>
        <v>2.3999999999997357E-3</v>
      </c>
      <c r="F164">
        <f>-中国_中债国债到期收益率_1年!F163+中国_中债国债到期收益率_1年!F162</f>
        <v>-1.4699999999999935E-2</v>
      </c>
      <c r="G164">
        <f>-中国_中债国债到期收益率_1年!G163+中国_中债国债到期收益率_1年!G162</f>
        <v>-2.4900000000000144E-2</v>
      </c>
    </row>
    <row r="165" spans="1:7" x14ac:dyDescent="0.25">
      <c r="A165" s="6">
        <v>44954</v>
      </c>
      <c r="B165">
        <f>-中国_中债国债到期收益率_1年!B164+中国_中债国债到期收益率_1年!B163</f>
        <v>2.8999999999999027E-3</v>
      </c>
      <c r="C165">
        <f>-中国_中债国债到期收益率_1年!C164+中国_中债国债到期收益率_1年!C163</f>
        <v>-7.8000000000000291E-3</v>
      </c>
      <c r="D165">
        <f>-中国_中债国债到期收益率_1年!D164+中国_中债国债到期收益率_1年!D163</f>
        <v>-1.8600000000000172E-2</v>
      </c>
      <c r="E165">
        <f>-中国_中债国债到期收益率_1年!E164+中国_中债国债到期收益率_1年!E163</f>
        <v>-4.8999999999996824E-3</v>
      </c>
      <c r="F165">
        <f>-中国_中债国债到期收益率_1年!F164+中国_中债国债到期收益率_1年!F163</f>
        <v>1.4299999999999979E-2</v>
      </c>
      <c r="G165">
        <f>-中国_中债国债到期收益率_1年!G164+中国_中债国债到期收益率_1年!G163</f>
        <v>5.7000000000000384E-3</v>
      </c>
    </row>
    <row r="166" spans="1:7" x14ac:dyDescent="0.25">
      <c r="A166" s="6">
        <v>44955</v>
      </c>
      <c r="B166">
        <f>-中国_中债国债到期收益率_1年!B165+中国_中债国债到期收益率_1年!B164</f>
        <v>1.5200000000000102E-2</v>
      </c>
      <c r="C166">
        <f>-中国_中债国债到期收益率_1年!C165+中国_中债国债到期收益率_1年!C164</f>
        <v>5.0000000000016698E-4</v>
      </c>
      <c r="D166">
        <f>-中国_中债国债到期收益率_1年!D165+中国_中债国债到期收益率_1年!D164</f>
        <v>-9.9999999999988987E-4</v>
      </c>
      <c r="E166">
        <f>-中国_中债国债到期收益率_1年!E165+中国_中债国债到期收益率_1年!E164</f>
        <v>-5.1000000000001044E-3</v>
      </c>
      <c r="F166">
        <f>-中国_中债国债到期收益率_1年!F165+中国_中债国债到期收益率_1年!F164</f>
        <v>2.2936999999999999</v>
      </c>
      <c r="G166">
        <f>-中国_中债国债到期收益率_1年!G165+中国_中债国债到期收益率_1年!G164</f>
        <v>-3.6799999999999944E-2</v>
      </c>
    </row>
    <row r="167" spans="1:7" x14ac:dyDescent="0.25">
      <c r="A167" s="6">
        <v>44956</v>
      </c>
      <c r="B167">
        <f>-中国_中债国债到期收益率_1年!B166+中国_中债国债到期收益率_1年!B165</f>
        <v>-2.2999999999999687E-3</v>
      </c>
      <c r="C167">
        <f>-中国_中债国债到期收益率_1年!C166+中国_中债国债到期收益率_1年!C165</f>
        <v>5.7999999999998053E-3</v>
      </c>
      <c r="D167">
        <f>-中国_中债国债到期收益率_1年!D166+中国_中债国债到期收益率_1年!D165</f>
        <v>1.2199999999999989E-2</v>
      </c>
      <c r="E167">
        <f>-中国_中债国债到期收益率_1年!E166+中国_中债国债到期收益率_1年!E165</f>
        <v>2.4999999999999467E-3</v>
      </c>
      <c r="F167">
        <f>-中国_中债国债到期收益率_1年!F166+中国_中债国债到期收益率_1年!F165</f>
        <v>0</v>
      </c>
      <c r="G167">
        <f>-中国_中债国债到期收益率_1年!G166+中国_中债国债到期收益率_1年!G165</f>
        <v>2.9434</v>
      </c>
    </row>
    <row r="168" spans="1:7" x14ac:dyDescent="0.25">
      <c r="A168" s="6">
        <v>44957</v>
      </c>
      <c r="B168">
        <f>-中国_中债国债到期收益率_1年!B167+中国_中债国债到期收益率_1年!B166</f>
        <v>-2.4100000000000232E-2</v>
      </c>
      <c r="C168">
        <f>-中国_中债国债到期收益率_1年!C167+中国_中债国债到期收益率_1年!C166</f>
        <v>-1.3000000000000789E-3</v>
      </c>
      <c r="D168">
        <f>-中国_中债国债到期收益率_1年!D167+中国_中债国债到期收益率_1年!D166</f>
        <v>8.599999999999941E-3</v>
      </c>
      <c r="E168">
        <f>-中国_中债国债到期收益率_1年!E167+中国_中债国债到期收益率_1年!E166</f>
        <v>2.2999999999999687E-3</v>
      </c>
      <c r="F168">
        <f>-中国_中债国债到期收益率_1年!F167+中国_中债国债到期收益率_1年!F166</f>
        <v>-2.3007</v>
      </c>
      <c r="G168">
        <f>-中国_中债国债到期收益率_1年!G167+中国_中债国债到期收益率_1年!G166</f>
        <v>-2.9291999999999998</v>
      </c>
    </row>
    <row r="169" spans="1:7" x14ac:dyDescent="0.25">
      <c r="A169" s="6">
        <v>44958</v>
      </c>
      <c r="B169">
        <f>-中国_中债国债到期收益率_1年!B168+中国_中债国债到期收益率_1年!B167</f>
        <v>2.2499999999999964E-2</v>
      </c>
      <c r="C169">
        <f>-中国_中债国债到期收益率_1年!C168+中国_中债国债到期收益率_1年!C167</f>
        <v>1.9900000000000251E-2</v>
      </c>
      <c r="D169">
        <f>-中国_中债国债到期收益率_1年!D168+中国_中债国债到期收益率_1年!D167</f>
        <v>1.5600000000000058E-2</v>
      </c>
      <c r="E169">
        <f>-中国_中债国债到期收益率_1年!E168+中国_中债国债到期收益率_1年!E167</f>
        <v>-1.1000000000001009E-3</v>
      </c>
      <c r="F169">
        <f>-中国_中债国债到期收益率_1年!F168+中国_中债国债到期收益率_1年!F167</f>
        <v>1.3900000000000023E-2</v>
      </c>
      <c r="G169">
        <f>-中国_中债国债到期收益率_1年!G168+中国_中债国债到期收益率_1年!G167</f>
        <v>2.2499999999999964E-2</v>
      </c>
    </row>
    <row r="170" spans="1:7" x14ac:dyDescent="0.25">
      <c r="A170" s="6">
        <v>44959</v>
      </c>
      <c r="B170">
        <f>-中国_中债国债到期收益率_1年!B169+中国_中债国债到期收益率_1年!B168</f>
        <v>-9.5999999999998309E-3</v>
      </c>
      <c r="C170">
        <f>-中国_中债国债到期收益率_1年!C169+中国_中债国债到期收益率_1年!C168</f>
        <v>-5.1999999999998714E-3</v>
      </c>
      <c r="D170">
        <f>-中国_中债国债到期收益率_1年!D169+中国_中债国债到期收益率_1年!D168</f>
        <v>-1.2399999999999967E-2</v>
      </c>
      <c r="E170">
        <f>-中国_中债国债到期收益率_1年!E169+中国_中债国债到期收益率_1年!E168</f>
        <v>-9.5999999999998309E-3</v>
      </c>
      <c r="F170">
        <f>-中国_中债国债到期收益率_1年!F169+中国_中债国债到期收益率_1年!F168</f>
        <v>5.3999999999998494E-3</v>
      </c>
      <c r="G170">
        <f>-中国_中债国债到期收益率_1年!G169+中国_中债国债到期收益率_1年!G168</f>
        <v>3.4999999999998366E-3</v>
      </c>
    </row>
    <row r="171" spans="1:7" x14ac:dyDescent="0.25">
      <c r="A171" s="6">
        <v>44960</v>
      </c>
      <c r="B171">
        <f>-中国_中债国债到期收益率_1年!B170+中国_中债国债到期收益率_1年!B169</f>
        <v>1.2399999999999967E-2</v>
      </c>
      <c r="C171">
        <f>-中国_中债国债到期收益率_1年!C170+中国_中债国债到期收益率_1年!C169</f>
        <v>1.4599999999999724E-2</v>
      </c>
      <c r="D171">
        <f>-中国_中债国债到期收益率_1年!D170+中国_中债国债到期收益率_1年!D169</f>
        <v>1.3100000000000112E-2</v>
      </c>
      <c r="E171">
        <f>-中国_中债国债到期收益率_1年!E170+中国_中债国债到期收益率_1年!E169</f>
        <v>3.6000000000000476E-3</v>
      </c>
      <c r="F171">
        <f>-中国_中债国债到期收益率_1年!F170+中国_中债国债到期收益率_1年!F169</f>
        <v>1.540000000000008E-2</v>
      </c>
      <c r="G171">
        <f>-中国_中债国债到期收益率_1年!G170+中国_中债国债到期收益率_1年!G169</f>
        <v>1.8699999999999939E-2</v>
      </c>
    </row>
    <row r="172" spans="1:7" x14ac:dyDescent="0.25">
      <c r="A172" s="6">
        <v>44963</v>
      </c>
      <c r="B172">
        <f>-中国_中债国债到期收益率_1年!B171+中国_中债国债到期收益率_1年!B170</f>
        <v>3.00000000000189E-4</v>
      </c>
      <c r="C172">
        <f>-中国_中债国债到期收益率_1年!C171+中国_中债国债到期收益率_1年!C170</f>
        <v>2.4000000000001798E-3</v>
      </c>
      <c r="D172">
        <f>-中国_中债国债到期收益率_1年!D171+中国_中债国债到期收益率_1年!D170</f>
        <v>2.6999999999999247E-3</v>
      </c>
      <c r="E172">
        <f>-中国_中债国债到期收益率_1年!E171+中国_中债国债到期收益率_1年!E170</f>
        <v>2.2999999999999687E-3</v>
      </c>
      <c r="F172">
        <f>-中国_中债国债到期收益率_1年!F171+中国_中债国债到期收益率_1年!F170</f>
        <v>1.3500000000000068E-2</v>
      </c>
      <c r="G172">
        <f>-中国_中债国债到期收益率_1年!G171+中国_中债国债到期收益率_1年!G170</f>
        <v>2.7400000000000091E-2</v>
      </c>
    </row>
    <row r="173" spans="1:7" x14ac:dyDescent="0.25">
      <c r="A173" s="6">
        <v>44964</v>
      </c>
      <c r="B173">
        <f>-中国_中债国债到期收益率_1年!B172+中国_中债国债到期收益率_1年!B171</f>
        <v>-7.7000000000002622E-3</v>
      </c>
      <c r="C173">
        <f>-中国_中债国债到期收益率_1年!C172+中国_中债国债到期收益率_1年!C171</f>
        <v>-1.330000000000009E-2</v>
      </c>
      <c r="D173">
        <f>-中国_中债国债到期收益率_1年!D172+中国_中债国债到期收益率_1年!D171</f>
        <v>-7.4000000000000732E-3</v>
      </c>
      <c r="E173">
        <f>-中国_中债国债到期收益率_1年!E172+中国_中债国债到期收益率_1年!E171</f>
        <v>-4.9000000000001265E-3</v>
      </c>
      <c r="F173">
        <f>-中国_中债国债到期收益率_1年!F172+中国_中债国债到期收益率_1年!F171</f>
        <v>-1.2799999999999923E-2</v>
      </c>
      <c r="G173">
        <f>-中国_中债国债到期收益率_1年!G172+中国_中债国债到期收益率_1年!G171</f>
        <v>-8.3000000000001961E-3</v>
      </c>
    </row>
    <row r="174" spans="1:7" x14ac:dyDescent="0.25">
      <c r="A174" s="6">
        <v>44965</v>
      </c>
      <c r="B174">
        <f>-中国_中债国债到期收益率_1年!B173+中国_中债国债到期收益率_1年!B172</f>
        <v>-4.8999999999996824E-3</v>
      </c>
      <c r="C174">
        <f>-中国_中债国债到期收益率_1年!C173+中国_中债国债到期收益率_1年!C172</f>
        <v>7.0999999999998842E-3</v>
      </c>
      <c r="D174">
        <f>-中国_中债国债到期收益率_1年!D173+中国_中债国债到期收益率_1年!D172</f>
        <v>5.3000000000000824E-3</v>
      </c>
      <c r="E174">
        <f>-中国_中债国债到期收益率_1年!E173+中国_中债国债到期收益率_1年!E172</f>
        <v>5.1999999999998714E-3</v>
      </c>
      <c r="F174">
        <f>-中国_中债国债到期收益率_1年!F173+中国_中债国债到期收益率_1年!F172</f>
        <v>-2.4100000000000232E-2</v>
      </c>
      <c r="G174">
        <f>-中国_中债国债到期收益率_1年!G173+中国_中债国债到期收益率_1年!G172</f>
        <v>-1.3900000000000023E-2</v>
      </c>
    </row>
    <row r="175" spans="1:7" x14ac:dyDescent="0.25">
      <c r="A175" s="6">
        <v>44966</v>
      </c>
      <c r="B175">
        <f>-中国_中债国债到期收益率_1年!B174+中国_中债国债到期收益率_1年!B173</f>
        <v>1.2999999999996348E-3</v>
      </c>
      <c r="C175">
        <f>-中国_中债国债到期收益率_1年!C174+中国_中债国债到期收益率_1年!C173</f>
        <v>-4.6999999999997044E-3</v>
      </c>
      <c r="D175">
        <f>-中国_中债国债到期收益率_1年!D174+中国_中债国债到期收益率_1年!D173</f>
        <v>-9.0000000000012292E-4</v>
      </c>
      <c r="E175">
        <f>-中国_中债国债到期收益率_1年!E174+中国_中债国债到期收益率_1年!E173</f>
        <v>1.9000000000000128E-3</v>
      </c>
      <c r="F175">
        <f>-中国_中债国债到期收益率_1年!F174+中国_中债国债到期收益率_1年!F173</f>
        <v>-9.9999999999997868E-3</v>
      </c>
      <c r="G175">
        <f>-中国_中债国债到期收益率_1年!G174+中国_中债国债到期收益率_1年!G173</f>
        <v>4.5000000000001705E-3</v>
      </c>
    </row>
    <row r="176" spans="1:7" x14ac:dyDescent="0.25">
      <c r="A176" s="6">
        <v>44967</v>
      </c>
      <c r="B176">
        <f>-中国_中债国债到期收益率_1年!B175+中国_中债国债到期收益率_1年!B174</f>
        <v>-5.5999999999998273E-3</v>
      </c>
      <c r="C176">
        <f>-中国_中债国债到期收益率_1年!C175+中国_中债国债到期收益率_1年!C174</f>
        <v>7.0999999999998842E-3</v>
      </c>
      <c r="D176">
        <f>-中国_中债国债到期收益率_1年!D175+中国_中债国债到期收益率_1年!D174</f>
        <v>6.0999999999999943E-3</v>
      </c>
      <c r="E176">
        <f>-中国_中债国债到期收益率_1年!E175+中国_中债国债到期收益率_1年!E174</f>
        <v>2.4000000000001798E-3</v>
      </c>
      <c r="F176">
        <f>-中国_中债国债到期收益率_1年!F175+中国_中债国债到期收益率_1年!F174</f>
        <v>4.5999999999999375E-3</v>
      </c>
      <c r="G176">
        <f>-中国_中债国债到期收益率_1年!G175+中国_中债国债到期收益率_1年!G174</f>
        <v>7.9999999999991189E-4</v>
      </c>
    </row>
    <row r="177" spans="1:7" x14ac:dyDescent="0.25">
      <c r="A177" s="6">
        <v>44970</v>
      </c>
      <c r="B177">
        <f>-中国_中债国债到期收益率_1年!B176+中国_中债国债到期收益率_1年!B175</f>
        <v>-9.0000000000012292E-4</v>
      </c>
      <c r="C177">
        <f>-中国_中债国债到期收益率_1年!C176+中国_中债国债到期收益率_1年!C175</f>
        <v>-1.9999999999997797E-4</v>
      </c>
      <c r="D177">
        <f>-中国_中债国债到期收益率_1年!D176+中国_中债国债到期收益率_1年!D175</f>
        <v>-9.100000000000108E-3</v>
      </c>
      <c r="E177">
        <f>-中国_中债国债到期收益率_1年!E176+中国_中债国债到期收益率_1年!E175</f>
        <v>-7.2999999999998622E-3</v>
      </c>
      <c r="F177">
        <f>-中国_中债国债到期收益率_1年!F176+中国_中债国债到期收益率_1年!F175</f>
        <v>1.4299999999999979E-2</v>
      </c>
      <c r="G177">
        <f>-中国_中债国债到期收益率_1年!G176+中国_中债国债到期收益率_1年!G175</f>
        <v>7.4000000000000732E-3</v>
      </c>
    </row>
    <row r="178" spans="1:7" x14ac:dyDescent="0.25">
      <c r="A178" s="6">
        <v>44971</v>
      </c>
      <c r="B178">
        <f>-中国_中债国债到期收益率_1年!B177+中国_中债国债到期收益率_1年!B176</f>
        <v>-5.1999999999998714E-3</v>
      </c>
      <c r="C178">
        <f>-中国_中债国债到期收益率_1年!C177+中国_中债国债到期收益率_1年!C176</f>
        <v>-5.9999999999993392E-4</v>
      </c>
      <c r="D178">
        <f>-中国_中债国债到期收益率_1年!D177+中国_中债国债到期收益率_1年!D176</f>
        <v>6.0000000000002274E-3</v>
      </c>
      <c r="E178">
        <f>-中国_中债国债到期收益率_1年!E177+中国_中债国债到期收益率_1年!E176</f>
        <v>2.7999999999996916E-3</v>
      </c>
      <c r="F178">
        <f>-中国_中债国债到期收益率_1年!F177+中国_中债国债到期收益率_1年!F176</f>
        <v>3.4000000000000696E-3</v>
      </c>
      <c r="G178">
        <f>-中国_中债国债到期收益率_1年!G177+中国_中债国债到期收益率_1年!G176</f>
        <v>1.1499999999999844E-2</v>
      </c>
    </row>
    <row r="179" spans="1:7" x14ac:dyDescent="0.25">
      <c r="A179" s="6">
        <v>44972</v>
      </c>
      <c r="B179">
        <f>-中国_中债国债到期收益率_1年!B178+中国_中债国债到期收益率_1年!B177</f>
        <v>-4.7000000000001485E-3</v>
      </c>
      <c r="C179">
        <f>-中国_中债国债到期收益率_1年!C178+中国_中债国债到期收益率_1年!C177</f>
        <v>1.7000000000000348E-3</v>
      </c>
      <c r="D179">
        <f>-中国_中债国债到期收益率_1年!D178+中国_中债国债到期收益率_1年!D177</f>
        <v>2.8999999999999027E-3</v>
      </c>
      <c r="E179">
        <f>-中国_中债国债到期收益率_1年!E178+中国_中债国债到期收益率_1年!E177</f>
        <v>1.9000000000000128E-3</v>
      </c>
      <c r="F179">
        <f>-中国_中债国债到期收益率_1年!F178+中国_中债国债到期收益率_1年!F177</f>
        <v>-1.2399999999999967E-2</v>
      </c>
      <c r="G179">
        <f>-中国_中债国债到期收益率_1年!G178+中国_中债国债到期收益率_1年!G177</f>
        <v>0</v>
      </c>
    </row>
    <row r="180" spans="1:7" x14ac:dyDescent="0.25">
      <c r="A180" s="6">
        <v>44973</v>
      </c>
      <c r="B180">
        <f>-中国_中债国债到期收益率_1年!B179+中国_中债国债到期收益率_1年!B178</f>
        <v>-1.0999999999996568E-3</v>
      </c>
      <c r="C180">
        <f>-中国_中债国债到期收益率_1年!C179+中国_中债国债到期收益率_1年!C178</f>
        <v>4.9999999999972289E-4</v>
      </c>
      <c r="D180">
        <f>-中国_中债国债到期收益率_1年!D179+中国_中债国债到期收益率_1年!D178</f>
        <v>-3.9999999999995595E-4</v>
      </c>
      <c r="E180">
        <f>-中国_中债国债到期收益率_1年!E179+中国_中债国债到期收益率_1年!E178</f>
        <v>-5.9999999999993392E-4</v>
      </c>
      <c r="F180">
        <f>-中国_中债国债到期收益率_1年!F179+中国_中债国债到期收益率_1年!F178</f>
        <v>-1.8600000000000172E-2</v>
      </c>
      <c r="G180">
        <f>-中国_中债国债到期收益率_1年!G179+中国_中债国债到期收益率_1年!G178</f>
        <v>-7.4999999999998401E-3</v>
      </c>
    </row>
    <row r="181" spans="1:7" x14ac:dyDescent="0.25">
      <c r="A181" s="6">
        <v>44974</v>
      </c>
      <c r="B181">
        <f>-中国_中债国债到期收益率_1年!B180+中国_中债国债到期收益率_1年!B179</f>
        <v>-1.2400000000000411E-2</v>
      </c>
      <c r="C181">
        <f>-中国_中债国债到期收益率_1年!C180+中国_中债国债到期收益率_1年!C179</f>
        <v>2.4000000000001798E-3</v>
      </c>
      <c r="D181">
        <f>-中国_中债国债到期收益率_1年!D180+中国_中债国债到期收益率_1年!D179</f>
        <v>1.1000000000001009E-3</v>
      </c>
      <c r="E181">
        <f>-中国_中债国债到期收益率_1年!E180+中国_中债国债到期收益率_1年!E179</f>
        <v>-1.3999999999998458E-3</v>
      </c>
      <c r="F181">
        <f>-中国_中债国债到期收益率_1年!F180+中国_中债国债到期收益率_1年!F179</f>
        <v>-8.3999999999999631E-3</v>
      </c>
      <c r="G181">
        <f>-中国_中债国债到期收益率_1年!G180+中国_中债国债到期收益率_1年!G179</f>
        <v>-1.3000000000000789E-3</v>
      </c>
    </row>
    <row r="182" spans="1:7" x14ac:dyDescent="0.25">
      <c r="A182" s="6">
        <v>44977</v>
      </c>
      <c r="B182">
        <f>-中国_中债国债到期收益率_1年!B181+中国_中债国债到期收益率_1年!B180</f>
        <v>-5.6999999999995943E-3</v>
      </c>
      <c r="C182">
        <f>-中国_中债国债到期收益率_1年!C181+中国_中债国债到期收益率_1年!C180</f>
        <v>-5.5000000000000604E-3</v>
      </c>
      <c r="D182">
        <f>-中国_中债国债到期收益率_1年!D181+中国_中债国债到期收益率_1年!D180</f>
        <v>-1.3000000000000789E-3</v>
      </c>
      <c r="E182">
        <f>-中国_中债国债到期收益率_1年!E181+中国_中债国债到期收益率_1年!E180</f>
        <v>0</v>
      </c>
      <c r="F182">
        <f>-中国_中债国债到期收益率_1年!F181+中国_中债国债到期收益率_1年!F180</f>
        <v>-2.6999999999999247E-3</v>
      </c>
      <c r="G182">
        <f>-中国_中债国债到期收益率_1年!G181+中国_中债国债到期收益率_1年!G180</f>
        <v>-2.7999999999996916E-3</v>
      </c>
    </row>
    <row r="183" spans="1:7" x14ac:dyDescent="0.25">
      <c r="A183" s="6">
        <v>44978</v>
      </c>
      <c r="B183">
        <f>-中国_中债国债到期收益率_1年!B182+中国_中债国债到期收益率_1年!B181</f>
        <v>-4.2200000000000237E-2</v>
      </c>
      <c r="C183">
        <f>-中国_中债国债到期收益率_1年!C182+中国_中债国债到期收益率_1年!C181</f>
        <v>-4.1599999999999859E-2</v>
      </c>
      <c r="D183">
        <f>-中国_中债国债到期收益率_1年!D182+中国_中债国债到期收益率_1年!D181</f>
        <v>-2.4999999999999911E-2</v>
      </c>
      <c r="E183">
        <f>-中国_中债国债到期收益率_1年!E182+中国_中债国债到期收益率_1年!E181</f>
        <v>-1.4699999999999935E-2</v>
      </c>
      <c r="F183">
        <f>-中国_中债国债到期收益率_1年!F182+中国_中债国债到期收益率_1年!F181</f>
        <v>-1.980000000000004E-2</v>
      </c>
      <c r="G183">
        <f>-中国_中债国债到期收益率_1年!G182+中国_中债国债到期收益率_1年!G181</f>
        <v>-2.8000000000000025E-2</v>
      </c>
    </row>
    <row r="184" spans="1:7" x14ac:dyDescent="0.25">
      <c r="A184" s="6">
        <v>44979</v>
      </c>
      <c r="B184">
        <f>-中国_中债国债到期收益率_1年!B183+中国_中债国债到期收益率_1年!B182</f>
        <v>-2.6999999999999247E-3</v>
      </c>
      <c r="C184">
        <f>-中国_中债国债到期收益率_1年!C183+中国_中债国债到期收益率_1年!C182</f>
        <v>1.9999999999997797E-4</v>
      </c>
      <c r="D184">
        <f>-中国_中债国债到期收益率_1年!D183+中国_中债国债到期收益率_1年!D182</f>
        <v>-2.0000000000002238E-3</v>
      </c>
      <c r="E184">
        <f>-中国_中债国债到期收益率_1年!E183+中国_中债国债到期收益率_1年!E182</f>
        <v>-4.8000000000003595E-3</v>
      </c>
      <c r="F184">
        <f>-中国_中债国债到期收益率_1年!F183+中国_中债国债到期收益率_1年!F182</f>
        <v>-2.3699999999999832E-2</v>
      </c>
      <c r="G184">
        <f>-中国_中债国债到期收益率_1年!G183+中国_中债国债到期收益率_1年!G182</f>
        <v>-4.0900000000000158E-2</v>
      </c>
    </row>
    <row r="185" spans="1:7" x14ac:dyDescent="0.25">
      <c r="A185" s="6">
        <v>44980</v>
      </c>
      <c r="B185">
        <f>-中国_中债国债到期收益率_1年!B184+中国_中债国债到期收益率_1年!B183</f>
        <v>2.1999999999997577E-3</v>
      </c>
      <c r="C185">
        <f>-中国_中债国债到期收益率_1年!C184+中国_中债国债到期收益率_1年!C183</f>
        <v>4.7999999999999154E-3</v>
      </c>
      <c r="D185">
        <f>-中国_中债国债到期收益率_1年!D184+中国_中债国债到期收益率_1年!D183</f>
        <v>1.5000000000000568E-3</v>
      </c>
      <c r="E185">
        <f>-中国_中债国债到期收益率_1年!E184+中国_中债国债到期收益率_1年!E183</f>
        <v>0</v>
      </c>
      <c r="F185">
        <f>-中国_中债国债到期收益率_1年!F184+中国_中债国债到期收益率_1年!F183</f>
        <v>-1.3000000000000345E-2</v>
      </c>
      <c r="G185">
        <f>-中国_中债国债到期收益率_1年!G184+中国_中债国债到期收益率_1年!G183</f>
        <v>1.6300000000000203E-2</v>
      </c>
    </row>
    <row r="186" spans="1:7" x14ac:dyDescent="0.25">
      <c r="A186" s="6">
        <v>44981</v>
      </c>
      <c r="B186">
        <f>-中国_中债国债到期收益率_1年!B185+中国_中债国债到期收益率_1年!B184</f>
        <v>-2.0299999999999763E-2</v>
      </c>
      <c r="C186">
        <f>-中国_中债国债到期收益率_1年!C185+中国_中债国债到期收益率_1年!C184</f>
        <v>-1.0400000000000187E-2</v>
      </c>
      <c r="D186">
        <f>-中国_中债国债到期收益率_1年!D185+中国_中债国债到期收益率_1年!D184</f>
        <v>-4.5000000000001705E-3</v>
      </c>
      <c r="E186">
        <f>-中国_中债国债到期收益率_1年!E185+中国_中债国债到期收益率_1年!E184</f>
        <v>-2.7999999999996916E-3</v>
      </c>
      <c r="F186">
        <f>-中国_中债国债到期收益率_1年!F185+中国_中债国债到期收益率_1年!F184</f>
        <v>-3.5899999999999821E-2</v>
      </c>
      <c r="G186">
        <f>-中国_中债国债到期收益率_1年!G185+中国_中债国债到期收益率_1年!G184</f>
        <v>-1.6600000000000392E-2</v>
      </c>
    </row>
    <row r="187" spans="1:7" x14ac:dyDescent="0.25">
      <c r="A187" s="6">
        <v>44984</v>
      </c>
      <c r="B187">
        <f>-中国_中债国债到期收益率_1年!B186+中国_中债国债到期收益率_1年!B185</f>
        <v>-3.4499999999999975E-2</v>
      </c>
      <c r="C187">
        <f>-中国_中债国债到期收益率_1年!C186+中国_中债国债到期收益率_1年!C185</f>
        <v>5.1000000000001044E-3</v>
      </c>
      <c r="D187">
        <f>-中国_中债国债到期收益率_1年!D186+中国_中债国债到期收益率_1年!D185</f>
        <v>9.400000000000297E-3</v>
      </c>
      <c r="E187">
        <f>-中国_中债国债到期收益率_1年!E186+中国_中债国债到期收益率_1年!E185</f>
        <v>3.6999999999998145E-3</v>
      </c>
      <c r="F187">
        <f>-中国_中债国债到期收益率_1年!F186+中国_中债国债到期收益率_1年!F185</f>
        <v>-4.1000000000002146E-3</v>
      </c>
      <c r="G187">
        <f>-中国_中债国债到期收益率_1年!G186+中国_中债国债到期收益率_1年!G185</f>
        <v>-2.0999999999999908E-3</v>
      </c>
    </row>
    <row r="188" spans="1:7" x14ac:dyDescent="0.25">
      <c r="A188" s="6">
        <v>44985</v>
      </c>
      <c r="B188">
        <f>-中国_中债国债到期收益率_1年!B187+中国_中债国债到期收益率_1年!B186</f>
        <v>-2.1700000000000053E-2</v>
      </c>
      <c r="C188">
        <f>-中国_中债国债到期收益率_1年!C187+中国_中债国债到期收益率_1年!C186</f>
        <v>-2.9999999999974492E-4</v>
      </c>
      <c r="D188">
        <f>-中国_中债国债到期收益率_1年!D187+中国_中债国债到期收益率_1年!D186</f>
        <v>8.9999999999967883E-4</v>
      </c>
      <c r="E188">
        <f>-中国_中债国债到期收益率_1年!E187+中国_中债国债到期收益率_1年!E186</f>
        <v>-3.4999999999998366E-3</v>
      </c>
      <c r="F188">
        <f>-中国_中债国债到期收益率_1年!F187+中国_中债国债到期收益率_1年!F186</f>
        <v>-6.8999999999999062E-3</v>
      </c>
      <c r="G188">
        <f>-中国_中债国债到期收益率_1年!G187+中国_中债国债到期收益率_1年!G186</f>
        <v>-4.6999999999997044E-3</v>
      </c>
    </row>
    <row r="189" spans="1:7" x14ac:dyDescent="0.25">
      <c r="A189" s="6">
        <v>44986</v>
      </c>
      <c r="B189">
        <f>-中国_中债国债到期收益率_1年!B188+中国_中债国债到期收益率_1年!B187</f>
        <v>-1.2599999999999945E-2</v>
      </c>
      <c r="C189">
        <f>-中国_中债国债到期收益率_1年!C188+中国_中债国债到期收益率_1年!C187</f>
        <v>2.3999999999997357E-3</v>
      </c>
      <c r="D189">
        <f>-中国_中债国债到期收益率_1年!D188+中国_中债国债到期收益率_1年!D187</f>
        <v>1.0000000000000231E-2</v>
      </c>
      <c r="E189">
        <f>-中国_中债国债到期收益率_1年!E188+中国_中债国债到期收益率_1年!E187</f>
        <v>2.1999999999997577E-3</v>
      </c>
      <c r="F189">
        <f>-中国_中债国债到期收益率_1年!F188+中国_中债国债到期收益率_1年!F187</f>
        <v>-3.2299999999999773E-2</v>
      </c>
      <c r="G189">
        <f>-中国_中债国债到期收益率_1年!G188+中国_中债国债到期收益率_1年!G187</f>
        <v>-1.7100000000000115E-2</v>
      </c>
    </row>
    <row r="190" spans="1:7" x14ac:dyDescent="0.25">
      <c r="A190" s="6">
        <v>44987</v>
      </c>
      <c r="B190">
        <f>-中国_中债国债到期收益率_1年!B189+中国_中债国债到期收益率_1年!B188</f>
        <v>9.3999999999998529E-3</v>
      </c>
      <c r="C190">
        <f>-中国_中债国债到期收益率_1年!C189+中国_中债国债到期收益率_1年!C188</f>
        <v>2.0000000000002238E-3</v>
      </c>
      <c r="D190">
        <f>-中国_中债国债到期收益率_1年!D189+中国_中债国债到期收益率_1年!D188</f>
        <v>4.0000000000000036E-3</v>
      </c>
      <c r="E190">
        <f>-中国_中债国债到期收益率_1年!E189+中国_中债国债到期收益率_1年!E188</f>
        <v>-1.9999999999997797E-3</v>
      </c>
      <c r="F190">
        <f>-中国_中债国债到期收益率_1年!F189+中国_中债国债到期收益率_1年!F188</f>
        <v>3.2000000000000028E-2</v>
      </c>
      <c r="G190">
        <f>-中国_中债国债到期收益率_1年!G189+中国_中债国债到期收益率_1年!G188</f>
        <v>4.3999999999999595E-3</v>
      </c>
    </row>
    <row r="191" spans="1:7" x14ac:dyDescent="0.25">
      <c r="A191" s="6">
        <v>44988</v>
      </c>
      <c r="B191">
        <f>-中国_中债国债到期收益率_1年!B190+中国_中债国债到期收益率_1年!B189</f>
        <v>-4.9999999999998934E-3</v>
      </c>
      <c r="C191">
        <f>-中国_中债国债到期收益率_1年!C190+中国_中债国债到期收益率_1年!C189</f>
        <v>-1.5900000000000247E-2</v>
      </c>
      <c r="D191">
        <f>-中国_中债国债到期收益率_1年!D190+中国_中债国债到期收益率_1年!D189</f>
        <v>-1.3399999999999856E-2</v>
      </c>
      <c r="E191">
        <f>-中国_中债国债到期收益率_1年!E190+中国_中债国债到期收益率_1年!E189</f>
        <v>-5.1000000000001044E-3</v>
      </c>
      <c r="F191">
        <f>-中国_中债国债到期收益率_1年!F190+中国_中债国债到期收益率_1年!F189</f>
        <v>-8.1000000000002181E-3</v>
      </c>
      <c r="G191">
        <f>-中国_中债国债到期收益率_1年!G190+中国_中债国债到期收益率_1年!G189</f>
        <v>-1.3599999999999834E-2</v>
      </c>
    </row>
    <row r="192" spans="1:7" x14ac:dyDescent="0.25">
      <c r="A192" s="6">
        <v>44991</v>
      </c>
      <c r="B192">
        <f>-中国_中债国债到期收益率_1年!B191+中国_中债国债到期收益率_1年!B190</f>
        <v>1.7000000000000348E-3</v>
      </c>
      <c r="C192">
        <f>-中国_中债国债到期收益率_1年!C191+中国_中债国债到期收益率_1年!C190</f>
        <v>1.2599999999999945E-2</v>
      </c>
      <c r="D192">
        <f>-中国_中债国债到期收益率_1年!D191+中国_中债国债到期收益率_1年!D190</f>
        <v>8.49999999999973E-3</v>
      </c>
      <c r="E192">
        <f>-中国_中债国债到期收益率_1年!E191+中国_中债国债到期收益率_1年!E190</f>
        <v>2.0999999999999908E-3</v>
      </c>
      <c r="F192">
        <f>-中国_中债国债到期收益率_1年!F191+中国_中债国债到期收益率_1年!F190</f>
        <v>-2.7499999999999858E-2</v>
      </c>
      <c r="G192">
        <f>-中国_中债国债到期收益率_1年!G191+中国_中债国债到期收益率_1年!G190</f>
        <v>-2.330000000000032E-2</v>
      </c>
    </row>
    <row r="193" spans="1:7" x14ac:dyDescent="0.25">
      <c r="A193" s="6">
        <v>44992</v>
      </c>
      <c r="B193">
        <f>-中国_中债国债到期收益率_1年!B192+中国_中债国债到期收益率_1年!B191</f>
        <v>2.7499999999999858E-2</v>
      </c>
      <c r="C193">
        <f>-中国_中债国债到期收益率_1年!C192+中国_中债国债到期收益率_1年!C191</f>
        <v>2.7300000000000324E-2</v>
      </c>
      <c r="D193">
        <f>-中国_中债国债到期收益率_1年!D192+中国_中债国债到期收益率_1年!D191</f>
        <v>2.0000000000000018E-2</v>
      </c>
      <c r="E193">
        <f>-中国_中债国债到期收益率_1年!E192+中国_中债国债到期收益率_1年!E191</f>
        <v>1.8200000000000216E-2</v>
      </c>
      <c r="F193">
        <f>-中国_中债国债到期收益率_1年!F192+中国_中债国债到期收益率_1年!F191</f>
        <v>3.7300000000000111E-2</v>
      </c>
      <c r="G193">
        <f>-中国_中债国债到期收益率_1年!G192+中国_中债国债到期收益率_1年!G191</f>
        <v>5.1500000000000323E-2</v>
      </c>
    </row>
    <row r="194" spans="1:7" x14ac:dyDescent="0.25">
      <c r="A194" s="6">
        <v>44993</v>
      </c>
      <c r="B194">
        <f>-中国_中债国债到期收益率_1年!B193+中国_中债国债到期收益率_1年!B192</f>
        <v>7.5000000000002842E-3</v>
      </c>
      <c r="C194">
        <f>-中国_中债国债到期收益率_1年!C193+中国_中债国债到期收益率_1年!C192</f>
        <v>9.9999999999997868E-3</v>
      </c>
      <c r="D194">
        <f>-中国_中债国债到期收益率_1年!D193+中国_中债国债到期收益率_1年!D192</f>
        <v>1.0000000000000231E-2</v>
      </c>
      <c r="E194">
        <f>-中国_中债国债到期收益率_1年!E193+中国_中债国债到期收益率_1年!E192</f>
        <v>3.6999999999998145E-3</v>
      </c>
      <c r="F194">
        <f>-中国_中债国债到期收益率_1年!F193+中国_中债国债到期收益率_1年!F192</f>
        <v>1.3999999999998458E-3</v>
      </c>
      <c r="G194">
        <f>-中国_中债国债到期收益率_1年!G193+中国_中债国债到期收益率_1年!G192</f>
        <v>1.0999999999999677E-2</v>
      </c>
    </row>
    <row r="195" spans="1:7" x14ac:dyDescent="0.25">
      <c r="A195" s="6">
        <v>44994</v>
      </c>
      <c r="B195">
        <f>-中国_中债国债到期收益率_1年!B194+中国_中债国债到期收益率_1年!B193</f>
        <v>1.499999999999968E-2</v>
      </c>
      <c r="C195">
        <f>-中国_中债国债到期收益率_1年!C194+中国_中债国债到期收益率_1年!C193</f>
        <v>-1.089999999999991E-2</v>
      </c>
      <c r="D195">
        <f>-中国_中债国债到期收益率_1年!D194+中国_中债国债到期收益率_1年!D193</f>
        <v>-1.0200000000000209E-2</v>
      </c>
      <c r="E195">
        <f>-中国_中债国债到期收益率_1年!E194+中国_中债国债到期收益率_1年!E193</f>
        <v>-4.7000000000001485E-3</v>
      </c>
      <c r="F195">
        <f>-中国_中债国债到期收益率_1年!F194+中国_中债国债到期收益率_1年!F193</f>
        <v>-3.9000000000002366E-3</v>
      </c>
      <c r="G195">
        <f>-中国_中债国债到期收益率_1年!G194+中国_中债国债到期收益率_1年!G193</f>
        <v>6.4000000000001833E-3</v>
      </c>
    </row>
    <row r="196" spans="1:7" x14ac:dyDescent="0.25">
      <c r="A196" s="6">
        <v>44995</v>
      </c>
      <c r="B196">
        <f>-中国_中债国债到期收益率_1年!B195+中国_中债国债到期收益率_1年!B194</f>
        <v>0</v>
      </c>
      <c r="C196">
        <f>-中国_中债国债到期收益率_1年!C195+中国_中债国债到期收益率_1年!C194</f>
        <v>9.5999999999998309E-3</v>
      </c>
      <c r="D196">
        <f>-中国_中债国债到期收益率_1年!D195+中国_中债国债到期收益率_1年!D194</f>
        <v>7.6000000000000512E-3</v>
      </c>
      <c r="E196">
        <f>-中国_中债国债到期收益率_1年!E195+中国_中债国债到期收益率_1年!E194</f>
        <v>5.3000000000000824E-3</v>
      </c>
      <c r="F196">
        <f>-中国_中债国债到期收益率_1年!F195+中国_中债国债到期收益率_1年!F194</f>
        <v>-1.2999999999996348E-3</v>
      </c>
      <c r="G196">
        <f>-中国_中债国债到期收益率_1年!G195+中国_中债国债到期收益率_1年!G194</f>
        <v>1.3399999999999856E-2</v>
      </c>
    </row>
    <row r="197" spans="1:7" x14ac:dyDescent="0.25">
      <c r="A197" s="6">
        <v>44998</v>
      </c>
      <c r="B197">
        <f>-中国_中债国债到期收益率_1年!B196+中国_中债国债到期收益率_1年!B195</f>
        <v>1.0000000000000231E-2</v>
      </c>
      <c r="C197">
        <f>-中国_中债国债到期收益率_1年!C196+中国_中债国债到期收益率_1年!C195</f>
        <v>7.2000000000000952E-3</v>
      </c>
      <c r="D197">
        <f>-中国_中债国债到期收益率_1年!D196+中国_中债国债到期收益率_1年!D195</f>
        <v>1.2500000000000178E-2</v>
      </c>
      <c r="E197">
        <f>-中国_中债国债到期收益率_1年!E196+中国_中债国债到期收益率_1年!E195</f>
        <v>1.1900000000000244E-2</v>
      </c>
      <c r="F197">
        <f>-中国_中债国债到期收益率_1年!F196+中国_中债国债到期收益率_1年!F195</f>
        <v>1.6699999999999715E-2</v>
      </c>
      <c r="G197">
        <f>-中国_中债国债到期收益率_1年!G196+中国_中债国债到期收益率_1年!G195</f>
        <v>3.960000000000008E-2</v>
      </c>
    </row>
    <row r="198" spans="1:7" x14ac:dyDescent="0.25">
      <c r="A198" s="6">
        <v>44999</v>
      </c>
      <c r="B198">
        <f>-中国_中债国债到期收益率_1年!B197+中国_中债国债到期收益率_1年!B196</f>
        <v>0</v>
      </c>
      <c r="C198">
        <f>-中国_中债国债到期收益率_1年!C197+中国_中债国债到期收益率_1年!C196</f>
        <v>-9.1999999999998749E-3</v>
      </c>
      <c r="D198">
        <f>-中国_中债国债到期收益率_1年!D197+中国_中债国债到期收益率_1年!D196</f>
        <v>-7.6000000000000512E-3</v>
      </c>
      <c r="E198">
        <f>-中国_中债国债到期收益率_1年!E197+中国_中债国债到期收益率_1年!E196</f>
        <v>-2.9000000000003467E-3</v>
      </c>
      <c r="F198">
        <f>-中国_中债国债到期收益率_1年!F197+中国_中债国债到期收益率_1年!F196</f>
        <v>5.0000000000016698E-4</v>
      </c>
      <c r="G198">
        <f>-中国_中债国债到期收益率_1年!G197+中国_中债国债到期收益率_1年!G196</f>
        <v>-5.9000000000000163E-3</v>
      </c>
    </row>
    <row r="199" spans="1:7" x14ac:dyDescent="0.25">
      <c r="A199" s="6">
        <v>45000</v>
      </c>
      <c r="B199">
        <f>-中国_中债国债到期收益率_1年!B198+中国_中债国债到期收益率_1年!B197</f>
        <v>-6.0000000000002274E-3</v>
      </c>
      <c r="C199">
        <f>-中国_中债国债到期收益率_1年!C198+中国_中债国债到期收益率_1年!C197</f>
        <v>7.8999999999997961E-3</v>
      </c>
      <c r="D199">
        <f>-中国_中债国债到期收益率_1年!D198+中国_中债国债到期收益率_1年!D197</f>
        <v>5.0999999999996604E-3</v>
      </c>
      <c r="E199">
        <f>-中国_中债国债到期收益率_1年!E198+中国_中债国债到期收益率_1年!E197</f>
        <v>5.4000000000002935E-3</v>
      </c>
      <c r="F199">
        <f>-中国_中债国债到期收益率_1年!F198+中国_中债国债到期收益率_1年!F197</f>
        <v>5.7000000000000384E-3</v>
      </c>
      <c r="G199">
        <f>-中国_中债国债到期收益率_1年!G198+中国_中债国债到期收益率_1年!G197</f>
        <v>3.6799999999999944E-2</v>
      </c>
    </row>
    <row r="200" spans="1:7" x14ac:dyDescent="0.25">
      <c r="A200" s="6">
        <v>45001</v>
      </c>
      <c r="B200">
        <f>-中国_中债国债到期收益率_1年!B199+中国_中债国债到期收益率_1年!B198</f>
        <v>-9.9999999999997868E-3</v>
      </c>
      <c r="C200">
        <f>-中国_中债国债到期收益率_1年!C199+中国_中债国债到期收益率_1年!C198</f>
        <v>-1.9000000000000128E-3</v>
      </c>
      <c r="D200">
        <f>-中国_中债国债到期收益率_1年!D199+中国_中债国债到期收益率_1年!D198</f>
        <v>0</v>
      </c>
      <c r="E200">
        <f>-中国_中债国债到期收益率_1年!E199+中国_中债国债到期收益率_1年!E198</f>
        <v>-1.4000000000002899E-3</v>
      </c>
      <c r="F200">
        <f>-中国_中债国债到期收益率_1年!F199+中国_中债国债到期收益率_1年!F198</f>
        <v>-2.079999999999993E-2</v>
      </c>
      <c r="G200">
        <f>-中国_中债国债到期收益率_1年!G199+中国_中债国债到期收益率_1年!G198</f>
        <v>-2.1900000000000031E-2</v>
      </c>
    </row>
    <row r="201" spans="1:7" x14ac:dyDescent="0.25">
      <c r="A201" s="6">
        <v>45002</v>
      </c>
      <c r="B201">
        <f>-中国_中债国债到期收益率_1年!B200+中国_中债国债到期收益率_1年!B199</f>
        <v>2.9999999999999805E-2</v>
      </c>
      <c r="C201">
        <f>-中国_中债国债到期收益率_1年!C200+中国_中债国债到期收益率_1年!C199</f>
        <v>1.4800000000000146E-2</v>
      </c>
      <c r="D201">
        <f>-中国_中债国债到期收益率_1年!D200+中国_中债国债到期收益率_1年!D199</f>
        <v>1.0000000000000231E-2</v>
      </c>
      <c r="E201">
        <f>-中国_中债国债到期收益率_1年!E200+中国_中债国债到期收益率_1年!E199</f>
        <v>2.0700000000000163E-2</v>
      </c>
      <c r="F201">
        <f>-中国_中债国债到期收益率_1年!F200+中国_中债国债到期收益率_1年!F199</f>
        <v>1.2499999999999734E-2</v>
      </c>
      <c r="G201">
        <f>-中国_中债国债到期收益率_1年!G200+中国_中债国债到期收益率_1年!G199</f>
        <v>2.9200000000000337E-2</v>
      </c>
    </row>
    <row r="202" spans="1:7" x14ac:dyDescent="0.25">
      <c r="A202" s="6">
        <v>45005</v>
      </c>
      <c r="B202">
        <f>-中国_中债国债到期收益率_1年!B201+中国_中债国债到期收益率_1年!B200</f>
        <v>0</v>
      </c>
      <c r="C202">
        <f>-中国_中债国债到期收益率_1年!C201+中国_中债国债到期收益率_1年!C200</f>
        <v>-2.6000000000001577E-3</v>
      </c>
      <c r="D202">
        <f>-中国_中债国债到期收益率_1年!D201+中国_中债国债到期收益率_1年!D200</f>
        <v>-4.9999999999998934E-3</v>
      </c>
      <c r="E202">
        <f>-中国_中债国债到期收益率_1年!E201+中国_中债国债到期收益率_1年!E200</f>
        <v>1.3599999999999834E-2</v>
      </c>
      <c r="F202">
        <f>-中国_中债国债到期收益率_1年!F201+中国_中债国债到期收益率_1年!F200</f>
        <v>1.1200000000000099E-2</v>
      </c>
      <c r="G202">
        <f>-中国_中债国债到期收益率_1年!G201+中国_中债国债到期收益率_1年!G200</f>
        <v>-1.0000000000021103E-4</v>
      </c>
    </row>
    <row r="203" spans="1:7" x14ac:dyDescent="0.25">
      <c r="A203" s="6">
        <v>45006</v>
      </c>
      <c r="B203">
        <f>-中国_中债国债到期收益率_1年!B202+中国_中债国债到期收益率_1年!B201</f>
        <v>1.5000000000000124E-2</v>
      </c>
      <c r="C203">
        <f>-中国_中债国债到期收益率_1年!C202+中国_中债国债到期收益率_1年!C201</f>
        <v>2.8900000000000148E-2</v>
      </c>
      <c r="D203">
        <f>-中国_中债国债到期收益率_1年!D202+中国_中债国债到期收益率_1年!D201</f>
        <v>9.7999999999998089E-3</v>
      </c>
      <c r="E203">
        <f>-中国_中债国债到期收益率_1年!E202+中国_中债国债到期收益率_1年!E201</f>
        <v>1.440000000000019E-2</v>
      </c>
      <c r="F203">
        <f>-中国_中债国债到期收益率_1年!F202+中国_中债国债到期收益率_1年!F201</f>
        <v>5.6099999999999817E-2</v>
      </c>
      <c r="G203">
        <f>-中国_中债国债到期收益率_1年!G202+中国_中债国债到期收益率_1年!G201</f>
        <v>2.6200000000000223E-2</v>
      </c>
    </row>
    <row r="204" spans="1:7" x14ac:dyDescent="0.25">
      <c r="A204" s="6">
        <v>45007</v>
      </c>
      <c r="B204">
        <f>-中国_中债国债到期收益率_1年!B203+中国_中债国债到期收益率_1年!B202</f>
        <v>-1.5000000000000124E-2</v>
      </c>
      <c r="C204">
        <f>-中国_中债国债到期收益率_1年!C203+中国_中债国债到期收益率_1年!C202</f>
        <v>-2.2499999999999964E-2</v>
      </c>
      <c r="D204">
        <f>-中国_中债国债到期收益率_1年!D203+中国_中债国债到期收益率_1年!D202</f>
        <v>-9.9999999999997868E-3</v>
      </c>
      <c r="E204">
        <f>-中国_中债国债到期收益率_1年!E203+中国_中债国债到期收益率_1年!E202</f>
        <v>-3.2999999999998586E-3</v>
      </c>
      <c r="F204">
        <f>-中国_中债国债到期收益率_1年!F203+中国_中债国债到期收益率_1年!F202</f>
        <v>-2.9199999999999893E-2</v>
      </c>
      <c r="G204">
        <f>-中国_中债国债到期收益率_1年!G203+中国_中债国债到期收益率_1年!G202</f>
        <v>-9.600000000000275E-3</v>
      </c>
    </row>
    <row r="205" spans="1:7" x14ac:dyDescent="0.25">
      <c r="A205" s="6">
        <v>45008</v>
      </c>
      <c r="B205">
        <f>-中国_中债国债到期收益率_1年!B204+中国_中债国债到期收益率_1年!B203</f>
        <v>-2.3800000000000043E-2</v>
      </c>
      <c r="C205">
        <f>-中国_中债国债到期收益率_1年!C204+中国_中债国债到期收益率_1年!C203</f>
        <v>-8.1000000000002181E-3</v>
      </c>
      <c r="D205">
        <f>-中国_中债国债到期收益率_1年!D204+中国_中债国债到期收益率_1年!D203</f>
        <v>2.6999999999999247E-3</v>
      </c>
      <c r="E205">
        <f>-中国_中债国债到期收益率_1年!E204+中国_中债国债到期收益率_1年!E203</f>
        <v>-5.9999999999993392E-4</v>
      </c>
      <c r="F205">
        <f>-中国_中债国债到期收益率_1年!F204+中国_中债国债到期收益率_1年!F203</f>
        <v>-8.90000000000013E-3</v>
      </c>
      <c r="G205">
        <f>-中国_中债国债到期收益率_1年!G204+中国_中债国债到期收益率_1年!G203</f>
        <v>-2.0499999999999741E-2</v>
      </c>
    </row>
    <row r="206" spans="1:7" x14ac:dyDescent="0.25">
      <c r="A206" s="6">
        <v>45009</v>
      </c>
      <c r="B206">
        <f>-中国_中债国债到期收益率_1年!B205+中国_中债国债到期收益率_1年!B204</f>
        <v>5.0000000000003375E-3</v>
      </c>
      <c r="C206">
        <f>-中国_中债国债到期收益率_1年!C205+中国_中债国债到期收益率_1年!C204</f>
        <v>-5.7999999999998053E-3</v>
      </c>
      <c r="D206">
        <f>-中国_中债国债到期收益率_1年!D205+中国_中债国债到期收益率_1年!D204</f>
        <v>-7.5000000000002842E-3</v>
      </c>
      <c r="E206">
        <f>-中国_中债国债到期收益率_1年!E205+中国_中债国债到期收益率_1年!E204</f>
        <v>-9.0000000000003411E-3</v>
      </c>
      <c r="F206">
        <f>-中国_中债国债到期收益率_1年!F205+中国_中债国债到期收益率_1年!F204</f>
        <v>1.2500000000000178E-2</v>
      </c>
      <c r="G206">
        <f>-中国_中债国债到期收益率_1年!G205+中国_中债国债到期收益率_1年!G204</f>
        <v>5.4999999999996163E-3</v>
      </c>
    </row>
    <row r="207" spans="1:7" x14ac:dyDescent="0.25">
      <c r="A207" s="6">
        <v>45012</v>
      </c>
      <c r="B207">
        <f>-中国_中债国债到期收益率_1年!B206+中国_中债国债到期收益率_1年!B205</f>
        <v>-2.5000000000000355E-2</v>
      </c>
      <c r="C207">
        <f>-中国_中债国债到期收益率_1年!C206+中国_中债国债到期收益率_1年!C205</f>
        <v>-1.2599999999999945E-2</v>
      </c>
      <c r="D207">
        <f>-中国_中债国债到期收益率_1年!D206+中国_中债国债到期收益率_1年!D205</f>
        <v>-2.3999999999997357E-3</v>
      </c>
      <c r="E207">
        <f>-中国_中债国债到期收益率_1年!E206+中国_中债国债到期收益率_1年!E205</f>
        <v>-5.2999999999996383E-3</v>
      </c>
      <c r="F207">
        <f>-中国_中债国债到期收益率_1年!F206+中国_中债国债到期收益率_1年!F205</f>
        <v>-1.1699999999999822E-2</v>
      </c>
      <c r="G207">
        <f>-中国_中债国债到期收益率_1年!G206+中国_中债国债到期收益率_1年!G205</f>
        <v>-1.9099999999999895E-2</v>
      </c>
    </row>
    <row r="208" spans="1:7" x14ac:dyDescent="0.25">
      <c r="A208" s="6">
        <v>45013</v>
      </c>
      <c r="B208">
        <f>-中国_中债国债到期收益率_1年!B207+中国_中债国债到期收益率_1年!B206</f>
        <v>2.0000000000000018E-2</v>
      </c>
      <c r="C208">
        <f>-中国_中债国债到期收益率_1年!C207+中国_中债国债到期收益率_1年!C206</f>
        <v>1.4399999999999746E-2</v>
      </c>
      <c r="D208">
        <f>-中国_中债国债到期收益率_1年!D207+中国_中债国债到期收益率_1年!D206</f>
        <v>1.2499999999999734E-2</v>
      </c>
      <c r="E208">
        <f>-中国_中债国债到期收益率_1年!E207+中国_中债国债到期收益率_1年!E206</f>
        <v>9.9999999999997868E-3</v>
      </c>
      <c r="F208">
        <f>-中国_中债国债到期收益率_1年!F207+中国_中债国债到期收益率_1年!F206</f>
        <v>1.7099999999999671E-2</v>
      </c>
      <c r="G208">
        <f>-中国_中债国债到期收益率_1年!G207+中国_中债国债到期收益率_1年!G206</f>
        <v>2.6899999999999924E-2</v>
      </c>
    </row>
    <row r="209" spans="1:7" x14ac:dyDescent="0.25">
      <c r="A209" s="6">
        <v>45014</v>
      </c>
      <c r="B209">
        <f>-中国_中债国债到期收益率_1年!B208+中国_中债国债到期收益率_1年!B207</f>
        <v>-4.9999999999998934E-3</v>
      </c>
      <c r="C209">
        <f>-中国_中债国债到期收益率_1年!C208+中国_中债国债到期收益率_1年!C207</f>
        <v>-8.099999999999774E-3</v>
      </c>
      <c r="D209">
        <f>-中国_中债国债到期收益率_1年!D208+中国_中债国债到期收益率_1年!D207</f>
        <v>-4.9999999999972289E-4</v>
      </c>
      <c r="E209">
        <f>-中国_中债国债到期收益率_1年!E208+中国_中债国债到期收益率_1年!E207</f>
        <v>0</v>
      </c>
      <c r="F209">
        <f>-中国_中债国债到期收益率_1年!F208+中国_中债国债到期收益率_1年!F207</f>
        <v>-1.18999999999998E-2</v>
      </c>
      <c r="G209">
        <f>-中国_中债国债到期收益率_1年!G208+中国_中债国债到期收益率_1年!G207</f>
        <v>1.2000000000003119E-3</v>
      </c>
    </row>
    <row r="210" spans="1:7" x14ac:dyDescent="0.25">
      <c r="A210" s="6">
        <v>45015</v>
      </c>
      <c r="B210">
        <f>-中国_中债国债到期收益率_1年!B209+中国_中债国债到期收益率_1年!B208</f>
        <v>2.4999999999999467E-3</v>
      </c>
      <c r="C210">
        <f>-中国_中债国债到期收益率_1年!C209+中国_中债国债到期收益率_1年!C208</f>
        <v>4.9000000000001265E-3</v>
      </c>
      <c r="D210">
        <f>-中国_中债国债到期收益率_1年!D209+中国_中债国债到期收益率_1年!D208</f>
        <v>2.3999999999997357E-3</v>
      </c>
      <c r="E210">
        <f>-中国_中债国债到期收益率_1年!E209+中国_中债国债到期收益率_1年!E208</f>
        <v>3.2999999999998586E-3</v>
      </c>
      <c r="F210">
        <f>-中国_中债国债到期收益率_1年!F209+中国_中债国债到期收益率_1年!F208</f>
        <v>3.6999999999998145E-3</v>
      </c>
      <c r="G210">
        <f>-中国_中债国债到期收益率_1年!G209+中国_中债国债到期收益率_1年!G208</f>
        <v>-6.2000000000002053E-3</v>
      </c>
    </row>
    <row r="211" spans="1:7" x14ac:dyDescent="0.25">
      <c r="A211" s="6">
        <v>45016</v>
      </c>
      <c r="B211">
        <f>-中国_中债国债到期收益率_1年!B210+中国_中债国债到期收益率_1年!B209</f>
        <v>2.4999999999999467E-3</v>
      </c>
      <c r="C211">
        <f>-中国_中债国债到期收益率_1年!C210+中国_中债国债到期收益率_1年!C209</f>
        <v>-5.3000000000000824E-3</v>
      </c>
      <c r="D211">
        <f>-中国_中债国债到期收益率_1年!D210+中国_中债国债到期收益率_1年!D209</f>
        <v>-7.0999999999998842E-3</v>
      </c>
      <c r="E211">
        <f>-中国_中债国债到期收益率_1年!E210+中国_中债国债到期收益率_1年!E209</f>
        <v>-8.9999999999967883E-4</v>
      </c>
      <c r="F211">
        <f>-中国_中债国债到期收益率_1年!F210+中国_中债国债到期收益率_1年!F209</f>
        <v>8.3999999999999631E-3</v>
      </c>
      <c r="G211">
        <f>-中国_中债国债到期收益率_1年!G210+中国_中债国债到期收益率_1年!G209</f>
        <v>5.1999999999998714E-3</v>
      </c>
    </row>
    <row r="212" spans="1:7" x14ac:dyDescent="0.25">
      <c r="A212" s="6">
        <v>45019</v>
      </c>
      <c r="B212">
        <f>-中国_中债国债到期收益率_1年!B211+中国_中债国债到期收益率_1年!B210</f>
        <v>4.0000000000000036E-2</v>
      </c>
      <c r="C212">
        <f>-中国_中债国债到期收益率_1年!C211+中国_中债国债到期收益率_1年!C210</f>
        <v>1.6999999999999904E-2</v>
      </c>
      <c r="D212">
        <f>-中国_中债国债到期收益率_1年!D211+中国_中债国债到期收益率_1年!D210</f>
        <v>7.5000000000002842E-3</v>
      </c>
      <c r="E212">
        <f>-中国_中债国债到期收益率_1年!E211+中国_中债国债到期收益率_1年!E210</f>
        <v>-3.7000000000002586E-3</v>
      </c>
      <c r="F212">
        <f>-中国_中债国债到期收益率_1年!F211+中国_中债国债到期收益率_1年!F210</f>
        <v>1.0800000000000143E-2</v>
      </c>
      <c r="G212">
        <f>-中国_中债国债到期收益率_1年!G211+中国_中债国债到期收益率_1年!G210</f>
        <v>-5.7999999999998053E-3</v>
      </c>
    </row>
    <row r="213" spans="1:7" x14ac:dyDescent="0.25">
      <c r="A213" s="6">
        <v>45020</v>
      </c>
      <c r="B213">
        <f>-中国_中债国债到期收益率_1年!B212+中国_中债国债到期收益率_1年!B211</f>
        <v>0</v>
      </c>
      <c r="C213">
        <f>-中国_中债国债到期收益率_1年!C212+中国_中债国债到期收益率_1年!C211</f>
        <v>-1.1200000000000099E-2</v>
      </c>
      <c r="D213">
        <f>-中国_中债国债到期收益率_1年!D212+中国_中债国债到期收益率_1年!D211</f>
        <v>-7.6000000000000512E-3</v>
      </c>
      <c r="E213">
        <f>-中国_中债国债到期收益率_1年!E212+中国_中债国债到期收益率_1年!E211</f>
        <v>-7.4999999999998401E-3</v>
      </c>
      <c r="F213">
        <f>-中国_中债国债到期收益率_1年!F212+中国_中债国债到期收益率_1年!F211</f>
        <v>1.330000000000009E-2</v>
      </c>
      <c r="G213">
        <f>-中国_中债国债到期收益率_1年!G212+中国_中债国债到期收益率_1年!G211</f>
        <v>-1.7999999999998018E-3</v>
      </c>
    </row>
    <row r="214" spans="1:7" x14ac:dyDescent="0.25">
      <c r="A214" s="6">
        <v>45022</v>
      </c>
      <c r="B214">
        <f>-中国_中债国债到期收益率_1年!B213+中国_中债国债到期收益率_1年!B212</f>
        <v>2.4999999999999467E-3</v>
      </c>
      <c r="C214">
        <f>-中国_中债国债到期收益率_1年!C213+中国_中债国债到期收益率_1年!C212</f>
        <v>-3.0000000000001137E-3</v>
      </c>
      <c r="D214">
        <f>-中国_中债国债到期收益率_1年!D213+中国_中债国债到期收益率_1年!D212</f>
        <v>1.9999999999997797E-3</v>
      </c>
      <c r="E214">
        <f>-中国_中债国债到期收益率_1年!E213+中国_中债国债到期收益率_1年!E212</f>
        <v>-1.4000000000002899E-3</v>
      </c>
      <c r="F214">
        <f>-中国_中债国债到期收益率_1年!F213+中国_中债国债到期收益率_1年!F212</f>
        <v>-1.4600000000000168E-2</v>
      </c>
      <c r="G214">
        <f>-中国_中债国债到期收益率_1年!G213+中国_中债国债到期收益率_1年!G212</f>
        <v>-1.0900000000000354E-2</v>
      </c>
    </row>
    <row r="215" spans="1:7" x14ac:dyDescent="0.25">
      <c r="A215" s="6">
        <v>45023</v>
      </c>
      <c r="B215">
        <f>-中国_中债国债到期收益率_1年!B214+中国_中债国债到期收益率_1年!B213</f>
        <v>2.5000000000003908E-3</v>
      </c>
      <c r="C215">
        <f>-中国_中债国债到期收益率_1年!C214+中国_中债国债到期收益率_1年!C213</f>
        <v>-4.8999999999996824E-3</v>
      </c>
      <c r="D215">
        <f>-中国_中债国债到期收益率_1年!D214+中国_中债国债到期收益率_1年!D213</f>
        <v>-2.0999999999999908E-3</v>
      </c>
      <c r="E215">
        <f>-中国_中债国债到期收益率_1年!E214+中国_中债国债到期收益率_1年!E213</f>
        <v>-4.1999999999999815E-3</v>
      </c>
      <c r="F215">
        <f>-中国_中债国债到期收益率_1年!F214+中国_中债国债到期收益率_1年!F213</f>
        <v>-3.1699999999999839E-2</v>
      </c>
      <c r="G215">
        <f>-中国_中债国债到期收益率_1年!G214+中国_中债国债到期收益率_1年!G213</f>
        <v>-1.639999999999997E-2</v>
      </c>
    </row>
    <row r="216" spans="1:7" x14ac:dyDescent="0.25">
      <c r="A216" s="6">
        <v>45026</v>
      </c>
      <c r="B216">
        <f>-中国_中债国债到期收益率_1年!B215+中国_中债国债到期收益率_1年!B214</f>
        <v>0</v>
      </c>
      <c r="C216">
        <f>-中国_中债国债到期收益率_1年!C215+中国_中债国债到期收益率_1年!C214</f>
        <v>1.4799999999999702E-2</v>
      </c>
      <c r="D216">
        <f>-中国_中债国债到期收益率_1年!D215+中国_中债国债到期收益率_1年!D214</f>
        <v>1.4100000000000001E-2</v>
      </c>
      <c r="E216">
        <f>-中国_中债国债到期收益率_1年!E215+中国_中债国债到期收益率_1年!E214</f>
        <v>1.0299999999999976E-2</v>
      </c>
      <c r="F216">
        <f>-中国_中债国债到期收益率_1年!F215+中国_中债国债到期收益率_1年!F214</f>
        <v>-5.1000000000001044E-3</v>
      </c>
      <c r="G216">
        <f>-中国_中债国债到期收益率_1年!G215+中国_中债国债到期收益率_1年!G214</f>
        <v>-4.8999999999996824E-3</v>
      </c>
    </row>
    <row r="217" spans="1:7" x14ac:dyDescent="0.25">
      <c r="A217" s="6">
        <v>45027</v>
      </c>
      <c r="B217">
        <f>-中国_中债国债到期收益率_1年!B216+中国_中债国债到期收益率_1年!B215</f>
        <v>4.9999999999998934E-3</v>
      </c>
      <c r="C217">
        <f>-中国_中债国债到期收益率_1年!C216+中国_中债国债到期收益率_1年!C215</f>
        <v>-3.8000000000000256E-3</v>
      </c>
      <c r="D217">
        <f>-中国_中债国债到期收益率_1年!D216+中国_中债国债到期收益率_1年!D215</f>
        <v>9.0000000000012292E-4</v>
      </c>
      <c r="E217">
        <f>-中国_中债国债到期收益率_1年!E216+中国_中债国债到期收益率_1年!E215</f>
        <v>1.3000000000000789E-3</v>
      </c>
      <c r="F217">
        <f>-中国_中债国债到期收益率_1年!F216+中国_中债国债到期收益率_1年!F215</f>
        <v>5.1999999999998714E-3</v>
      </c>
      <c r="G217">
        <f>-中国_中债国债到期收益率_1年!G216+中国_中债国债到期收益率_1年!G215</f>
        <v>9.9999999999997868E-3</v>
      </c>
    </row>
    <row r="218" spans="1:7" x14ac:dyDescent="0.25">
      <c r="A218" s="6">
        <v>45028</v>
      </c>
      <c r="B218">
        <f>-中国_中债国债到期收益率_1年!B217+中国_中债国债到期收益率_1年!B216</f>
        <v>9.9999999999997868E-3</v>
      </c>
      <c r="C218">
        <f>-中国_中债国债到期收益率_1年!C217+中国_中债国债到期收益率_1年!C216</f>
        <v>1.2500000000000178E-2</v>
      </c>
      <c r="D218">
        <f>-中国_中债国债到期收益率_1年!D217+中国_中债国债到期收益率_1年!D216</f>
        <v>2.5199999999999889E-2</v>
      </c>
      <c r="E218">
        <f>-中国_中债国债到期收益率_1年!E217+中国_中债国债到期收益率_1年!E216</f>
        <v>1.7400000000000304E-2</v>
      </c>
      <c r="F218">
        <f>-中国_中债国债到期收益率_1年!F217+中国_中债国债到期收益率_1年!F216</f>
        <v>7.6000000000000512E-3</v>
      </c>
      <c r="G218">
        <f>-中国_中债国债到期收益率_1年!G217+中国_中债国债到期收益率_1年!G216</f>
        <v>2.2400000000000198E-2</v>
      </c>
    </row>
    <row r="219" spans="1:7" x14ac:dyDescent="0.25">
      <c r="A219" s="6">
        <v>45029</v>
      </c>
      <c r="B219">
        <f>-中国_中债国债到期收益率_1年!B218+中国_中债国债到期收益率_1年!B217</f>
        <v>3.7000000000002586E-3</v>
      </c>
      <c r="C219">
        <f>-中国_中债国债到期收益率_1年!C218+中国_中债国债到期收益率_1年!C217</f>
        <v>1.0299999999999976E-2</v>
      </c>
      <c r="D219">
        <f>-中国_中债国债到期收益率_1年!D218+中国_中债国债到期收益率_1年!D217</f>
        <v>4.5000000000001705E-3</v>
      </c>
      <c r="E219">
        <f>-中国_中债国债到期收益率_1年!E218+中国_中债国债到期收益率_1年!E217</f>
        <v>1.9599999999999618E-2</v>
      </c>
      <c r="F219">
        <f>-中国_中债国债到期收益率_1年!F218+中国_中债国债到期收益率_1年!F217</f>
        <v>8.1000000000002181E-3</v>
      </c>
      <c r="G219">
        <f>-中国_中债国债到期收益率_1年!G218+中国_中债国债到期收益率_1年!G217</f>
        <v>1.5699999999999825E-2</v>
      </c>
    </row>
    <row r="220" spans="1:7" x14ac:dyDescent="0.25">
      <c r="A220" s="6">
        <v>45030</v>
      </c>
      <c r="B220">
        <f>-中国_中债国债到期收益率_1年!B219+中国_中债国债到期收益率_1年!B218</f>
        <v>2.4999999999999467E-3</v>
      </c>
      <c r="C220">
        <f>-中国_中债国债到期收益率_1年!C219+中国_中债国债到期收益率_1年!C218</f>
        <v>-1.0299999999999976E-2</v>
      </c>
      <c r="D220">
        <f>-中国_中债国债到期收益率_1年!D219+中国_中债国债到期收益率_1年!D218</f>
        <v>-1.1900000000000244E-2</v>
      </c>
      <c r="E220">
        <f>-中国_中债国债到期收益率_1年!E219+中国_中债国债到期收益率_1年!E218</f>
        <v>-5.3999999999998494E-3</v>
      </c>
      <c r="F220">
        <f>-中国_中债国债到期收益率_1年!F219+中国_中债国债到期收益率_1年!F218</f>
        <v>-9.7000000000000419E-3</v>
      </c>
      <c r="G220">
        <f>-中国_中债国债到期收益率_1年!G219+中国_中债国债到期收益率_1年!G218</f>
        <v>-1.399999999999979E-2</v>
      </c>
    </row>
    <row r="221" spans="1:7" x14ac:dyDescent="0.25">
      <c r="A221" s="6">
        <v>45033</v>
      </c>
      <c r="B221">
        <f>-中国_中债国债到期收益率_1年!B220+中国_中债国债到期收益率_1年!B219</f>
        <v>-2.4999999999999467E-3</v>
      </c>
      <c r="C221">
        <f>-中国_中债国债到期收益率_1年!C220+中国_中债国债到期收益率_1年!C219</f>
        <v>-3.2999999999998586E-3</v>
      </c>
      <c r="D221">
        <f>-中国_中债国债到期收益率_1年!D220+中国_中债国债到期收益率_1年!D219</f>
        <v>-3.9999999999995595E-4</v>
      </c>
      <c r="E221">
        <f>-中国_中债国债到期收益率_1年!E220+中国_中债国债到期收益率_1年!E219</f>
        <v>-9.9999999999766942E-5</v>
      </c>
      <c r="F221">
        <f>-中国_中债国债到期收益率_1年!F220+中国_中债国债到期收益率_1年!F219</f>
        <v>8.799999999999919E-3</v>
      </c>
      <c r="G221">
        <f>-中国_中债国债到期收益率_1年!G220+中国_中债国债到期收益率_1年!G219</f>
        <v>-2.6000000000001577E-3</v>
      </c>
    </row>
    <row r="222" spans="1:7" x14ac:dyDescent="0.25">
      <c r="A222" s="6">
        <v>45034</v>
      </c>
      <c r="B222">
        <f>-中国_中债国债到期收益率_1年!B221+中国_中债国债到期收益率_1年!B220</f>
        <v>-5.0000000000003375E-3</v>
      </c>
      <c r="C222">
        <f>-中国_中债国债到期收益率_1年!C221+中国_中债国债到期收益率_1年!C220</f>
        <v>-1.2000000000000011E-2</v>
      </c>
      <c r="D222">
        <f>-中国_中债国债到期收益率_1年!D221+中国_中债国债到期收益率_1年!D220</f>
        <v>-1.5099999999999891E-2</v>
      </c>
      <c r="E222">
        <f>-中国_中债国债到期收益率_1年!E221+中国_中债国债到期收益率_1年!E220</f>
        <v>-1.0400000000000187E-2</v>
      </c>
      <c r="F222">
        <f>-中国_中债国债到期收益率_1年!F221+中国_中债国债到期收益率_1年!F220</f>
        <v>-1.7599999999999838E-2</v>
      </c>
      <c r="G222">
        <f>-中国_中债国债到期收益率_1年!G221+中国_中债国债到期收益率_1年!G220</f>
        <v>-1.5499999999999847E-2</v>
      </c>
    </row>
    <row r="223" spans="1:7" x14ac:dyDescent="0.25">
      <c r="A223" s="6">
        <v>45035</v>
      </c>
      <c r="B223">
        <f>-中国_中债国债到期收益率_1年!B222+中国_中债国债到期收益率_1年!B221</f>
        <v>1.2500000000000178E-2</v>
      </c>
      <c r="C223">
        <f>-中国_中债国债到期收益率_1年!C222+中国_中债国债到期收益率_1年!C221</f>
        <v>9.3999999999998529E-3</v>
      </c>
      <c r="D223">
        <f>-中国_中债国债到期收益率_1年!D222+中国_中债国债到期收益率_1年!D221</f>
        <v>1.1299999999999866E-2</v>
      </c>
      <c r="E223">
        <f>-中国_中债国债到期收益率_1年!E222+中国_中债国债到期收益率_1年!E221</f>
        <v>8.0000000000000071E-3</v>
      </c>
      <c r="F223">
        <f>-中国_中债国债到期收益率_1年!F222+中国_中债国债到期收益率_1年!F221</f>
        <v>4.9999999999972289E-4</v>
      </c>
      <c r="G223">
        <f>-中国_中债国债到期收益率_1年!G222+中国_中债国债到期收益率_1年!G221</f>
        <v>-2.2000000000002018E-3</v>
      </c>
    </row>
    <row r="224" spans="1:7" x14ac:dyDescent="0.25">
      <c r="A224" s="6">
        <v>45036</v>
      </c>
      <c r="B224">
        <f>-中国_中债国债到期收益率_1年!B223+中国_中债国债到期收益率_1年!B222</f>
        <v>1.2500000000000178E-2</v>
      </c>
      <c r="C224">
        <f>-中国_中债国债到期收益率_1年!C223+中国_中债国债到期收益率_1年!C222</f>
        <v>1.1699999999999822E-2</v>
      </c>
      <c r="D224">
        <f>-中国_中债国债到期收益率_1年!D223+中国_中债国债到期收益率_1年!D222</f>
        <v>-1.3999999999998458E-3</v>
      </c>
      <c r="E224">
        <f>-中国_中债国债到期收益率_1年!E223+中国_中债国债到期收益率_1年!E222</f>
        <v>1.8100000000000005E-2</v>
      </c>
      <c r="F224">
        <f>-中国_中债国债到期收益率_1年!F223+中国_中债国债到期收益率_1年!F222</f>
        <v>8.5000000000001741E-3</v>
      </c>
      <c r="G224">
        <f>-中国_中债国债到期收益率_1年!G223+中国_中债国债到期收益率_1年!G222</f>
        <v>1.1400000000000077E-2</v>
      </c>
    </row>
    <row r="225" spans="1:7" x14ac:dyDescent="0.25">
      <c r="A225" s="6">
        <v>45037</v>
      </c>
      <c r="B225">
        <f>-中国_中债国债到期收益率_1年!B224+中国_中债国债到期收益率_1年!B223</f>
        <v>-1.4000000000002899E-3</v>
      </c>
      <c r="C225">
        <f>-中国_中债国债到期收益率_1年!C224+中国_中债国债到期收益率_1年!C223</f>
        <v>2.5000000000003908E-3</v>
      </c>
      <c r="D225">
        <f>-中国_中债国债到期收益率_1年!D224+中国_中债国债到期收益率_1年!D223</f>
        <v>9.9999999999766942E-5</v>
      </c>
      <c r="E225">
        <f>-中国_中债国债到期收益率_1年!E224+中国_中债国债到期收益率_1年!E223</f>
        <v>9.9999999999997868E-3</v>
      </c>
      <c r="F225">
        <f>-中国_中债国债到期收益率_1年!F224+中国_中债国债到期收益率_1年!F223</f>
        <v>-1.9999999999997797E-3</v>
      </c>
      <c r="G225">
        <f>-中国_中债国债到期收益率_1年!G224+中国_中债国债到期收益率_1年!G223</f>
        <v>-9.1999999999998749E-3</v>
      </c>
    </row>
    <row r="226" spans="1:7" x14ac:dyDescent="0.25">
      <c r="A226" s="6">
        <v>45039</v>
      </c>
      <c r="B226">
        <f>-中国_中债国债到期收益率_1年!B225+中国_中债国债到期收益率_1年!B224</f>
        <v>1.1000000000001009E-3</v>
      </c>
      <c r="C226">
        <f>-中国_中债国债到期收益率_1年!C225+中国_中债国债到期收益率_1年!C224</f>
        <v>1.9999999999997797E-3</v>
      </c>
      <c r="D226">
        <f>-中国_中债国债到期收益率_1年!D225+中国_中债国债到期收益率_1年!D224</f>
        <v>7.4000000000000732E-3</v>
      </c>
      <c r="E226">
        <f>-中国_中债国债到期收益率_1年!E225+中国_中债国债到期收益率_1年!E224</f>
        <v>4.9000000000001265E-3</v>
      </c>
      <c r="F226">
        <f>-中国_中债国债到期收益率_1年!F225+中国_中债国债到期收益率_1年!F224</f>
        <v>-6.0000000000002274E-3</v>
      </c>
      <c r="G226">
        <f>-中国_中债国债到期收益率_1年!G225+中国_中债国债到期收益率_1年!G224</f>
        <v>3.0999999999998806E-3</v>
      </c>
    </row>
    <row r="227" spans="1:7" x14ac:dyDescent="0.25">
      <c r="A227" s="6">
        <v>45040</v>
      </c>
      <c r="B227">
        <f>-中国_中债国债到期收益率_1年!B226+中国_中债国债到期收益率_1年!B225</f>
        <v>-1.1999999999998678E-3</v>
      </c>
      <c r="C227">
        <f>-中国_中债国债到期收益率_1年!C226+中国_中债国债到期收益率_1年!C225</f>
        <v>7.9999999999991189E-4</v>
      </c>
      <c r="D227">
        <f>-中国_中债国债到期收益率_1年!D226+中国_中债国债到期收益率_1年!D225</f>
        <v>3.8000000000000256E-3</v>
      </c>
      <c r="E227">
        <f>-中国_中债国债到期收益率_1年!E226+中国_中债国债到期收益率_1年!E225</f>
        <v>1.1000000000001009E-3</v>
      </c>
      <c r="F227">
        <f>-中国_中债国债到期收益率_1年!F226+中国_中债国债到期收益率_1年!F225</f>
        <v>1.6999999999999904E-2</v>
      </c>
      <c r="G227">
        <f>-中国_中债国债到期收益率_1年!G226+中国_中债国债到期收益率_1年!G225</f>
        <v>2.8433999999999999</v>
      </c>
    </row>
    <row r="228" spans="1:7" x14ac:dyDescent="0.25">
      <c r="A228" s="6">
        <v>45041</v>
      </c>
      <c r="B228">
        <f>-中国_中债国债到期收益率_1年!B227+中国_中债国债到期收益率_1年!B226</f>
        <v>5.0999999999996604E-3</v>
      </c>
      <c r="C228">
        <f>-中国_中债国债到期收益率_1年!C227+中国_中债国债到期收益率_1年!C226</f>
        <v>5.0000000000003375E-3</v>
      </c>
      <c r="D228">
        <f>-中国_中债国债到期收益率_1年!D227+中国_中债国债到期收益率_1年!D226</f>
        <v>4.3999999999999595E-3</v>
      </c>
      <c r="E228">
        <f>-中国_中债国债到期收益率_1年!E227+中国_中债国债到期收益率_1年!E226</f>
        <v>1.0699999999999932E-2</v>
      </c>
      <c r="F228">
        <f>-中国_中债国债到期收益率_1年!F227+中国_中债国债到期收益率_1年!F226</f>
        <v>-9.100000000000108E-3</v>
      </c>
      <c r="G228">
        <f>-中国_中债国债到期收益率_1年!G227+中国_中债国债到期收益率_1年!G226</f>
        <v>-2.8271999999999999</v>
      </c>
    </row>
    <row r="229" spans="1:7" x14ac:dyDescent="0.25">
      <c r="A229" s="6">
        <v>45042</v>
      </c>
      <c r="B229">
        <f>-中国_中债国债到期收益率_1年!B228+中国_中债国债到期收益率_1年!B227</f>
        <v>1.0100000000000442E-2</v>
      </c>
      <c r="C229">
        <f>-中国_中债国债到期收益率_1年!C228+中国_中债国债到期收益率_1年!C227</f>
        <v>3.2999999999998586E-3</v>
      </c>
      <c r="D229">
        <f>-中国_中债国债到期收益率_1年!D228+中国_中债国债到期收益率_1年!D227</f>
        <v>1.9000000000000128E-3</v>
      </c>
      <c r="E229">
        <f>-中国_中债国债到期收益率_1年!E228+中国_中债国债到期收益率_1年!E227</f>
        <v>2.4000000000001798E-3</v>
      </c>
      <c r="F229">
        <f>-中国_中债国债到期收益率_1年!F228+中国_中债国债到期收益率_1年!F227</f>
        <v>-2.3999999999997357E-3</v>
      </c>
      <c r="G229">
        <f>-中国_中债国债到期收益率_1年!G228+中国_中债国债到期收益率_1年!G227</f>
        <v>7.9999999999991189E-4</v>
      </c>
    </row>
    <row r="230" spans="1:7" x14ac:dyDescent="0.25">
      <c r="A230" s="6">
        <v>45043</v>
      </c>
      <c r="B230">
        <f>-中国_中债国债到期收益率_1年!B229+中国_中债国债到期收益率_1年!B228</f>
        <v>2.6999999999999247E-3</v>
      </c>
      <c r="C230">
        <f>-中国_中债国债到期收益率_1年!C229+中国_中债国债到期收益率_1年!C228</f>
        <v>2.2399999999999753E-2</v>
      </c>
      <c r="D230">
        <f>-中国_中债国债到期收益率_1年!D229+中国_中债国债到期收益率_1年!D228</f>
        <v>9.9000000000000199E-3</v>
      </c>
      <c r="E230">
        <f>-中国_中债国债到期收益率_1年!E229+中国_中债国债到期收益率_1年!E228</f>
        <v>9.9999999999988987E-4</v>
      </c>
      <c r="F230">
        <f>-中国_中债国债到期收益率_1年!F229+中国_中债国债到期收益率_1年!F228</f>
        <v>1.8299999999999983E-2</v>
      </c>
      <c r="G230">
        <f>-中国_中债国债到期收益率_1年!G229+中国_中债国债到期收益率_1年!G228</f>
        <v>1.5600000000000058E-2</v>
      </c>
    </row>
    <row r="231" spans="1:7" x14ac:dyDescent="0.25">
      <c r="A231" s="6">
        <v>45044</v>
      </c>
      <c r="B231">
        <f>-中国_中债国债到期收益率_1年!B230+中国_中债国债到期收益率_1年!B229</f>
        <v>1.6699999999999715E-2</v>
      </c>
      <c r="C231">
        <f>-中国_中债国债到期收益率_1年!C230+中国_中债国债到期收益率_1年!C229</f>
        <v>2.2299999999999986E-2</v>
      </c>
      <c r="D231">
        <f>-中国_中债国债到期收益率_1年!D230+中国_中债国债到期收益率_1年!D229</f>
        <v>2.0599999999999952E-2</v>
      </c>
      <c r="E231">
        <f>-中国_中债国债到期收益率_1年!E230+中国_中债国债到期收益率_1年!E229</f>
        <v>1.9499999999999851E-2</v>
      </c>
      <c r="F231">
        <f>-中国_中债国债到期收益率_1年!F230+中国_中债国债到期收益率_1年!F229</f>
        <v>2.9399999999999871E-2</v>
      </c>
      <c r="G231">
        <f>-中国_中债国债到期收益率_1年!G230+中国_中债国债到期收益率_1年!G229</f>
        <v>3.5299999999999887E-2</v>
      </c>
    </row>
    <row r="232" spans="1:7" x14ac:dyDescent="0.25">
      <c r="A232" s="6">
        <v>45050</v>
      </c>
      <c r="B232">
        <f>-中国_中债国债到期收益率_1年!B231+中国_中债国债到期收益率_1年!B230</f>
        <v>9.600000000000275E-3</v>
      </c>
      <c r="C232">
        <f>-中国_中债国债到期收益率_1年!C231+中国_中债国债到期收益率_1年!C230</f>
        <v>2.2000000000002018E-3</v>
      </c>
      <c r="D232">
        <f>-中国_中债国债到期收益率_1年!D231+中国_中债国债到期收益率_1年!D230</f>
        <v>6.4000000000001833E-3</v>
      </c>
      <c r="E232">
        <f>-中国_中债国债到期收益率_1年!E231+中国_中债国债到期收益率_1年!E230</f>
        <v>2.4000000000001798E-3</v>
      </c>
      <c r="F232">
        <f>-中国_中债国债到期收益率_1年!F231+中国_中债国债到期收益率_1年!F230</f>
        <v>-3.4000000000000696E-3</v>
      </c>
      <c r="G232">
        <f>-中国_中债国债到期收益率_1年!G231+中国_中债国债到期收益率_1年!G230</f>
        <v>-3.8000000000000256E-3</v>
      </c>
    </row>
    <row r="233" spans="1:7" x14ac:dyDescent="0.25">
      <c r="A233" s="6">
        <v>45051</v>
      </c>
      <c r="B233">
        <f>-中国_中债国债到期收益率_1年!B232+中国_中债国债到期收益率_1年!B231</f>
        <v>1.0199999999999765E-2</v>
      </c>
      <c r="C233">
        <f>-中国_中债国债到期收益率_1年!C232+中国_中债国债到期收益率_1年!C231</f>
        <v>1.6199999999999992E-2</v>
      </c>
      <c r="D233">
        <f>-中国_中债国债到期收益率_1年!D232+中国_中债国债到期收益率_1年!D231</f>
        <v>1.7500000000000071E-2</v>
      </c>
      <c r="E233">
        <f>-中国_中债国债到期收益率_1年!E232+中国_中债国债到期收益率_1年!E231</f>
        <v>1.7300000000000093E-2</v>
      </c>
      <c r="F233">
        <f>-中国_中债国债到期收益率_1年!F232+中国_中债国债到期收益率_1年!F231</f>
        <v>3.6900000000000155E-2</v>
      </c>
      <c r="G233">
        <f>-中国_中债国债到期收益率_1年!G232+中国_中债国债到期收益率_1年!G231</f>
        <v>3.9000000000000146E-2</v>
      </c>
    </row>
    <row r="234" spans="1:7" x14ac:dyDescent="0.25">
      <c r="A234" s="6">
        <v>45052</v>
      </c>
      <c r="B234">
        <f>-中国_中债国债到期收益率_1年!B233+中国_中债国债到期收益率_1年!B232</f>
        <v>9.600000000000275E-3</v>
      </c>
      <c r="C234">
        <f>-中国_中债国债到期收益率_1年!C233+中国_中债国债到期收益率_1年!C232</f>
        <v>3.2300000000000217E-2</v>
      </c>
      <c r="D234">
        <f>-中国_中债国债到期收益率_1年!D233+中国_中债国债到期收益率_1年!D232</f>
        <v>2.7499999999999858E-2</v>
      </c>
      <c r="E234">
        <f>-中国_中债国债到期收益率_1年!E233+中国_中债国债到期收益率_1年!E232</f>
        <v>3.5099999999999909E-2</v>
      </c>
      <c r="F234">
        <f>-中国_中债国债到期收益率_1年!F233+中国_中债国债到期收益率_1年!F232</f>
        <v>3.6599999999999966E-2</v>
      </c>
      <c r="G234">
        <f>-中国_中债国债到期收益率_1年!G233+中国_中债国债到期收益率_1年!G232</f>
        <v>2.9599999999999849E-2</v>
      </c>
    </row>
    <row r="235" spans="1:7" x14ac:dyDescent="0.25">
      <c r="A235" s="6">
        <v>45054</v>
      </c>
      <c r="B235">
        <f>-中国_中债国债到期收益率_1年!B234+中国_中债国债到期收益率_1年!B233</f>
        <v>5.0999999999996604E-3</v>
      </c>
      <c r="C235">
        <f>-中国_中债国债到期收益率_1年!C234+中国_中债国债到期收益率_1年!C233</f>
        <v>9.9999999999988987E-4</v>
      </c>
      <c r="D235">
        <f>-中国_中债国债到期收益率_1年!D234+中国_中债国债到期收益率_1年!D233</f>
        <v>2.6999999999999247E-3</v>
      </c>
      <c r="E235">
        <f>-中国_中债国债到期收益率_1年!E234+中国_中债国债到期收益率_1年!E233</f>
        <v>-5.1000000000001044E-3</v>
      </c>
      <c r="F235">
        <f>-中国_中债国债到期收益率_1年!F234+中国_中债国债到期收益率_1年!F233</f>
        <v>2.9799999999999827E-2</v>
      </c>
      <c r="G235">
        <f>-中国_中债国债到期收益率_1年!G234+中国_中债国债到期收益率_1年!G233</f>
        <v>2.870000000000017E-2</v>
      </c>
    </row>
    <row r="236" spans="1:7" x14ac:dyDescent="0.25">
      <c r="A236" s="6">
        <v>45055</v>
      </c>
      <c r="B236">
        <f>-中国_中债国债到期收益率_1年!B235+中国_中债国债到期收益率_1年!B234</f>
        <v>-1.0799999999999699E-2</v>
      </c>
      <c r="C236">
        <f>-中国_中债国债到期收益率_1年!C235+中国_中债国债到期收益率_1年!C234</f>
        <v>-2.1900000000000031E-2</v>
      </c>
      <c r="D236">
        <f>-中国_中债国债到期收益率_1年!D235+中国_中债国债到期收益率_1年!D234</f>
        <v>-1.7300000000000093E-2</v>
      </c>
      <c r="E236">
        <f>-中国_中债国债到期收益率_1年!E235+中国_中债国债到期收益率_1年!E234</f>
        <v>-1.7599999999999838E-2</v>
      </c>
      <c r="F236">
        <f>-中国_中债国债到期收益率_1年!F235+中国_中债国债到期收益率_1年!F234</f>
        <v>-1.9899999999999807E-2</v>
      </c>
      <c r="G236">
        <f>-中国_中债国债到期收益率_1年!G235+中国_中债国债到期收益率_1年!G234</f>
        <v>-2.1199999999999886E-2</v>
      </c>
    </row>
    <row r="237" spans="1:7" x14ac:dyDescent="0.25">
      <c r="A237" s="6">
        <v>45056</v>
      </c>
      <c r="B237">
        <f>-中国_中债国债到期收益率_1年!B236+中国_中债国债到期收益率_1年!B235</f>
        <v>1.2000000000000011E-2</v>
      </c>
      <c r="C237">
        <f>-中国_中债国债到期收益率_1年!C236+中国_中债国债到期收益率_1年!C235</f>
        <v>7.4000000000000732E-3</v>
      </c>
      <c r="D237">
        <f>-中国_中债国债到期收益率_1年!D236+中国_中债国债到期收益率_1年!D235</f>
        <v>1.0099999999999998E-2</v>
      </c>
      <c r="E237">
        <f>-中国_中债国债到期收益率_1年!E236+中国_中债国债到期收益率_1年!E235</f>
        <v>5.9999999999997833E-3</v>
      </c>
      <c r="F237">
        <f>-中国_中债国债到期收益率_1年!F236+中国_中债国债到期收益率_1年!F235</f>
        <v>8.5000000000001741E-3</v>
      </c>
      <c r="G237">
        <f>-中国_中债国债到期收益率_1年!G236+中国_中债国债到期收益率_1年!G235</f>
        <v>1.4399999999999746E-2</v>
      </c>
    </row>
    <row r="238" spans="1:7" x14ac:dyDescent="0.25">
      <c r="A238" s="6">
        <v>45057</v>
      </c>
      <c r="B238">
        <f>-中国_中债国债到期收益率_1年!B237+中国_中债国债到期收益率_1年!B236</f>
        <v>3.2000000000000028E-2</v>
      </c>
      <c r="C238">
        <f>-中国_中债国债到期收益率_1年!C237+中国_中债国债到期收益率_1年!C236</f>
        <v>2.9799999999999827E-2</v>
      </c>
      <c r="D238">
        <f>-中国_中债国债到期收益率_1年!D237+中国_中债国债到期收益率_1年!D236</f>
        <v>1.7300000000000093E-2</v>
      </c>
      <c r="E238">
        <f>-中国_中债国债到期收益率_1年!E237+中国_中债国债到期收益率_1年!E236</f>
        <v>1.4899999999999913E-2</v>
      </c>
      <c r="F238">
        <f>-中国_中债国债到期收益率_1年!F237+中国_中债国债到期收益率_1年!F236</f>
        <v>2.5700000000000056E-2</v>
      </c>
      <c r="G238">
        <f>-中国_中债国债到期收益率_1年!G237+中国_中债国债到期收益率_1年!G236</f>
        <v>2.7600000000000069E-2</v>
      </c>
    </row>
    <row r="239" spans="1:7" x14ac:dyDescent="0.25">
      <c r="A239" s="6">
        <v>45058</v>
      </c>
      <c r="B239">
        <f>-中国_中债国债到期收益率_1年!B238+中国_中债国债到期收益率_1年!B237</f>
        <v>5.2999999999999936E-2</v>
      </c>
      <c r="C239">
        <f>-中国_中债国债到期收益率_1年!C238+中国_中债国债到期收益率_1年!C237</f>
        <v>2.7099999999999902E-2</v>
      </c>
      <c r="D239">
        <f>-中国_中债国债到期收益率_1年!D238+中国_中债国债到期收益率_1年!D237</f>
        <v>2.0000000000000018E-2</v>
      </c>
      <c r="E239">
        <f>-中国_中债国债到期收益率_1年!E238+中国_中债国债到期收益率_1年!E237</f>
        <v>1.7700000000000049E-2</v>
      </c>
      <c r="F239">
        <f>-中国_中债国债到期收益率_1年!F238+中国_中债国债到期收益率_1年!F237</f>
        <v>4.6099999999999586E-2</v>
      </c>
      <c r="G239">
        <f>-中国_中债国债到期收益率_1年!G238+中国_中债国债到期收益率_1年!G237</f>
        <v>4.1799999999999837E-2</v>
      </c>
    </row>
    <row r="240" spans="1:7" x14ac:dyDescent="0.25">
      <c r="A240" s="6">
        <v>45061</v>
      </c>
      <c r="B240">
        <f>-中国_中债国债到期收益率_1年!B239+中国_中债国债到期收益率_1年!B238</f>
        <v>-8.799999999999919E-3</v>
      </c>
      <c r="C240">
        <f>-中国_中债国债到期收益率_1年!C239+中国_中债国债到期收益率_1年!C238</f>
        <v>4.7000000000001485E-3</v>
      </c>
      <c r="D240">
        <f>-中国_中债国债到期收益率_1年!D239+中国_中债国债到期收益率_1年!D238</f>
        <v>-4.7999999999999154E-3</v>
      </c>
      <c r="E240">
        <f>-中国_中债国债到期收益率_1年!E239+中国_中债国债到期收益率_1年!E238</f>
        <v>6.4000000000001833E-3</v>
      </c>
      <c r="F240">
        <f>-中国_中债国债到期收益率_1年!F239+中国_中债国债到期收益率_1年!F238</f>
        <v>1.7400000000000304E-2</v>
      </c>
      <c r="G240">
        <f>-中国_中债国债到期收益率_1年!G239+中国_中债国债到期收益率_1年!G238</f>
        <v>-4.8999999999996824E-3</v>
      </c>
    </row>
    <row r="241" spans="1:7" x14ac:dyDescent="0.25">
      <c r="A241" s="6">
        <v>45062</v>
      </c>
      <c r="B241">
        <f>-中国_中债国债到期收益率_1年!B240+中国_中债国债到期收益率_1年!B239</f>
        <v>-1.6100000000000225E-2</v>
      </c>
      <c r="C241">
        <f>-中国_中债国债到期收益率_1年!C240+中国_中债国债到期收益率_1年!C239</f>
        <v>-2.3099999999999898E-2</v>
      </c>
      <c r="D241">
        <f>-中国_中债国债到期收益率_1年!D240+中国_中债国债到期收益率_1年!D239</f>
        <v>-1.3199999999999878E-2</v>
      </c>
      <c r="E241">
        <f>-中国_中债国债到期收益率_1年!E240+中国_中债国债到期收益率_1年!E239</f>
        <v>-4.1000000000002146E-3</v>
      </c>
      <c r="F241">
        <f>-中国_中债国债到期收益率_1年!F240+中国_中债国债到期收益率_1年!F239</f>
        <v>2.6999999999999247E-3</v>
      </c>
      <c r="G241">
        <f>-中国_中债国债到期收益率_1年!G240+中国_中债国债到期收益率_1年!G239</f>
        <v>2.4999999999999467E-3</v>
      </c>
    </row>
    <row r="242" spans="1:7" x14ac:dyDescent="0.25">
      <c r="A242" s="6">
        <v>45063</v>
      </c>
      <c r="B242">
        <f>-中国_中债国债到期收益率_1年!B241+中国_中债国债到期收益率_1年!B240</f>
        <v>-5.1000000000001044E-3</v>
      </c>
      <c r="C242">
        <f>-中国_中债国债到期收益率_1年!C241+中国_中债国债到期收益率_1年!C240</f>
        <v>2.3999999999997357E-3</v>
      </c>
      <c r="D242">
        <f>-中国_中债国债到期收益率_1年!D241+中国_中债国债到期收益率_1年!D240</f>
        <v>6.0999999999999943E-3</v>
      </c>
      <c r="E242">
        <f>-中国_中债国债到期收益率_1年!E241+中国_中债国债到期收益率_1年!E240</f>
        <v>-1.0999999999996568E-3</v>
      </c>
      <c r="F242">
        <f>-中国_中债国债到期收益率_1年!F241+中国_中债国债到期收益率_1年!F240</f>
        <v>-2.5999999999999801E-2</v>
      </c>
      <c r="G242">
        <f>-中国_中债国债到期收益率_1年!G241+中国_中债国债到期收益率_1年!G240</f>
        <v>-1.2599999999999945E-2</v>
      </c>
    </row>
    <row r="243" spans="1:7" x14ac:dyDescent="0.25">
      <c r="A243" s="6">
        <v>45064</v>
      </c>
      <c r="B243">
        <f>-中国_中债国债到期收益率_1年!B242+中国_中债国债到期收益率_1年!B241</f>
        <v>-1.2699999999999712E-2</v>
      </c>
      <c r="C243">
        <f>-中国_中债国债到期收益率_1年!C242+中国_中债国债到期收益率_1年!C241</f>
        <v>-1.6199999999999992E-2</v>
      </c>
      <c r="D243">
        <f>-中国_中债国债到期收益率_1年!D242+中国_中债国债到期收益率_1年!D241</f>
        <v>-8.1000000000002181E-3</v>
      </c>
      <c r="E243">
        <f>-中国_中债国债到期收益率_1年!E242+中国_中债国债到期收益率_1年!E241</f>
        <v>-1.5000000000000124E-2</v>
      </c>
      <c r="F243">
        <f>-中国_中债国债到期收益率_1年!F242+中国_中债国债到期收益率_1年!F241</f>
        <v>8.49999999999973E-3</v>
      </c>
      <c r="G243">
        <f>-中国_中债国债到期收益率_1年!G242+中国_中债国债到期收益率_1年!G241</f>
        <v>-3.9999999999995595E-4</v>
      </c>
    </row>
    <row r="244" spans="1:7" x14ac:dyDescent="0.25">
      <c r="A244" s="6">
        <v>45065</v>
      </c>
      <c r="B244">
        <f>-中国_中债国债到期收益率_1年!B243+中国_中债国债到期收益率_1年!B242</f>
        <v>5.0999999999996604E-3</v>
      </c>
      <c r="C244">
        <f>-中国_中债国债到期收益率_1年!C243+中国_中债国债到期收益率_1年!C242</f>
        <v>7.9000000000002402E-3</v>
      </c>
      <c r="D244">
        <f>-中国_中债国债到期收益率_1年!D243+中国_中债国债到期收益率_1年!D242</f>
        <v>2.6000000000001577E-3</v>
      </c>
      <c r="E244">
        <f>-中国_中债国债到期收益率_1年!E243+中国_中债国债到期收益率_1年!E242</f>
        <v>0</v>
      </c>
      <c r="F244">
        <f>-中国_中债国债到期收益率_1年!F243+中国_中债国债到期收益率_1年!F242</f>
        <v>-6.0999999999999943E-3</v>
      </c>
      <c r="G244">
        <f>-中国_中债国债到期收益率_1年!G243+中国_中债国债到期收益率_1年!G242</f>
        <v>-1.4900000000000357E-2</v>
      </c>
    </row>
    <row r="245" spans="1:7" x14ac:dyDescent="0.25">
      <c r="A245" s="6">
        <v>45068</v>
      </c>
      <c r="B245">
        <f>-中国_中债国债到期收益率_1年!B244+中国_中债国债到期收益率_1年!B243</f>
        <v>1.7500000000000071E-2</v>
      </c>
      <c r="C245">
        <f>-中国_中债国债到期收益率_1年!C244+中国_中债国债到期收益率_1年!C243</f>
        <v>2.4999999999999911E-2</v>
      </c>
      <c r="D245">
        <f>-中国_中债国债到期收益率_1年!D244+中国_中债国债到期收益率_1年!D243</f>
        <v>3.2999999999998586E-3</v>
      </c>
      <c r="E245">
        <f>-中国_中债国债到期收益率_1年!E244+中国_中债国债到期收益率_1年!E243</f>
        <v>3.6999999999998145E-3</v>
      </c>
      <c r="F245">
        <f>-中国_中债国债到期收益率_1年!F244+中国_中债国债到期收益率_1年!F243</f>
        <v>2.9199999999999893E-2</v>
      </c>
      <c r="G245">
        <f>-中国_中债国债到期收益率_1年!G244+中国_中债国债到期收益率_1年!G243</f>
        <v>3.0600000000000183E-2</v>
      </c>
    </row>
    <row r="246" spans="1:7" x14ac:dyDescent="0.25">
      <c r="A246" s="6">
        <v>45069</v>
      </c>
      <c r="B246">
        <f>-中国_中债国债到期收益率_1年!B245+中国_中债国债到期收益率_1年!B244</f>
        <v>3.3600000000000296E-2</v>
      </c>
      <c r="C246">
        <f>-中国_中债国债到期收益率_1年!C245+中国_中债国债到期收益率_1年!C244</f>
        <v>3.1600000000000072E-2</v>
      </c>
      <c r="D246">
        <f>-中国_中债国债到期收益率_1年!D245+中国_中债国债到期收益率_1年!D244</f>
        <v>1.9000000000000128E-3</v>
      </c>
      <c r="E246">
        <f>-中国_中债国债到期收益率_1年!E245+中国_中债国债到期收益率_1年!E244</f>
        <v>1.1000000000001009E-3</v>
      </c>
      <c r="F246">
        <f>-中国_中债国债到期收益率_1年!F245+中国_中债国债到期收益率_1年!F244</f>
        <v>3.520000000000012E-2</v>
      </c>
      <c r="G246">
        <f>-中国_中债国债到期收益率_1年!G245+中国_中债国债到期收益率_1年!G244</f>
        <v>4.1799999999999837E-2</v>
      </c>
    </row>
    <row r="247" spans="1:7" x14ac:dyDescent="0.25">
      <c r="A247" s="6">
        <v>45070</v>
      </c>
      <c r="B247">
        <f>-中国_中债国债到期收益率_1年!B246+中国_中债国债到期收益率_1年!B245</f>
        <v>3.0899999999999928E-2</v>
      </c>
      <c r="C247">
        <f>-中国_中债国债到期收益率_1年!C246+中国_中债国债到期收益率_1年!C245</f>
        <v>2.2299999999999986E-2</v>
      </c>
      <c r="D247">
        <f>-中国_中债国债到期收益率_1年!D246+中国_中债国债到期收益率_1年!D245</f>
        <v>1.6999999999999904E-2</v>
      </c>
      <c r="E247">
        <f>-中国_中债国债到期收益率_1年!E246+中国_中债国债到期收益率_1年!E245</f>
        <v>7.4999999999998401E-3</v>
      </c>
      <c r="F247">
        <f>-中国_中债国债到期收益率_1年!F246+中国_中债国债到期收益率_1年!F245</f>
        <v>3.9499999999999869E-2</v>
      </c>
      <c r="G247">
        <f>-中国_中债国债到期收益率_1年!G246+中国_中债国债到期收益率_1年!G245</f>
        <v>5.9600000000000097E-2</v>
      </c>
    </row>
    <row r="248" spans="1:7" x14ac:dyDescent="0.25">
      <c r="A248" s="6">
        <v>45071</v>
      </c>
      <c r="B248">
        <f>-中国_中债国债到期收益率_1年!B247+中国_中债国债到期收益率_1年!B246</f>
        <v>1.5999999999998238E-3</v>
      </c>
      <c r="C248">
        <f>-中国_中债国债到期收益率_1年!C247+中国_中债国债到期收益率_1年!C246</f>
        <v>-1.2900000000000134E-2</v>
      </c>
      <c r="D248">
        <f>-中国_中债国债到期收益率_1年!D247+中国_中债国债到期收益率_1年!D246</f>
        <v>-7.4999999999998401E-3</v>
      </c>
      <c r="E248">
        <f>-中国_中债国债到期收益率_1年!E247+中国_中债国债到期收益率_1年!E246</f>
        <v>-3.5999999999996035E-3</v>
      </c>
      <c r="F248">
        <f>-中国_中债国债到期收益率_1年!F247+中国_中债国债到期收益率_1年!F246</f>
        <v>-2.1599999999999842E-2</v>
      </c>
      <c r="G248">
        <f>-中国_中债国债到期收益率_1年!G247+中国_中债国债到期收益率_1年!G246</f>
        <v>-1.6299999999999759E-2</v>
      </c>
    </row>
    <row r="249" spans="1:7" x14ac:dyDescent="0.25">
      <c r="A249" s="6">
        <v>45072</v>
      </c>
      <c r="B249">
        <f>-中国_中债国债到期收益率_1年!B248+中国_中债国债到期收益率_1年!B247</f>
        <v>1.0299999999999976E-2</v>
      </c>
      <c r="C249">
        <f>-中国_中债国债到期收益率_1年!C248+中国_中债国债到期收益率_1年!C247</f>
        <v>-9.9999999999766942E-5</v>
      </c>
      <c r="D249">
        <f>-中国_中债国债到期收益率_1年!D248+中国_中债国债到期收益率_1年!D247</f>
        <v>-2.8000000000001357E-3</v>
      </c>
      <c r="E249">
        <f>-中国_中债国债到期收益率_1年!E248+中国_中债国债到期收益率_1年!E247</f>
        <v>-5.0000000000003375E-3</v>
      </c>
      <c r="F249">
        <f>-中国_中债国债到期收益率_1年!F248+中国_中债国债到期收益率_1年!F247</f>
        <v>-1.2599999999999945E-2</v>
      </c>
      <c r="G249">
        <f>-中国_中债国债到期收益率_1年!G248+中国_中债国债到期收益率_1年!G247</f>
        <v>-1.5100000000000335E-2</v>
      </c>
    </row>
    <row r="250" spans="1:7" x14ac:dyDescent="0.25">
      <c r="A250" s="6">
        <v>45075</v>
      </c>
      <c r="B250">
        <f>-中国_中债国债到期收益率_1年!B249+中国_中债国债到期收益率_1年!B248</f>
        <v>-3.9800000000000058E-2</v>
      </c>
      <c r="C250">
        <f>-中国_中债国债到期收益率_1年!C249+中国_中债国债到期收益率_1年!C248</f>
        <v>-2.120000000000033E-2</v>
      </c>
      <c r="D250">
        <f>-中国_中债国债到期收益率_1年!D249+中国_中债国债到期收益率_1年!D248</f>
        <v>-1.399999999999979E-2</v>
      </c>
      <c r="E250">
        <f>-中国_中债国债到期收益率_1年!E249+中国_中债国债到期收益率_1年!E248</f>
        <v>-1.399999999999979E-2</v>
      </c>
      <c r="F250">
        <f>-中国_中债国债到期收益率_1年!F249+中国_中债国债到期收益率_1年!F248</f>
        <v>4.3999999999999595E-3</v>
      </c>
      <c r="G250">
        <f>-中国_中债国债到期收益率_1年!G249+中国_中债国债到期收益率_1年!G248</f>
        <v>-2.9999999999974492E-4</v>
      </c>
    </row>
    <row r="251" spans="1:7" x14ac:dyDescent="0.25">
      <c r="A251" s="6">
        <v>45076</v>
      </c>
      <c r="B251">
        <f>-中国_中债国债到期收益率_1年!B250+中国_中债国债到期收益率_1年!B249</f>
        <v>2.0900000000000141E-2</v>
      </c>
      <c r="C251">
        <f>-中国_中债国债到期收益率_1年!C250+中国_中债国债到期收益率_1年!C249</f>
        <v>1.3600000000000279E-2</v>
      </c>
      <c r="D251">
        <f>-中国_中债国债到期收益率_1年!D250+中国_中债国债到期收益率_1年!D249</f>
        <v>2.5500000000000078E-2</v>
      </c>
      <c r="E251">
        <f>-中国_中债国债到期收益率_1年!E250+中国_中债国债到期收益率_1年!E249</f>
        <v>7.4000000000000732E-3</v>
      </c>
      <c r="F251">
        <f>-中国_中债国债到期收益率_1年!F250+中国_中债国债到期收益率_1年!F249</f>
        <v>1.9000000000000128E-3</v>
      </c>
      <c r="G251">
        <f>-中国_中债国债到期收益率_1年!G250+中国_中债国债到期收益率_1年!G249</f>
        <v>-9.0000000000012292E-4</v>
      </c>
    </row>
    <row r="252" spans="1:7" x14ac:dyDescent="0.25">
      <c r="A252" s="6">
        <v>45077</v>
      </c>
      <c r="B252">
        <f>-中国_中债国债到期收益率_1年!B251+中国_中债国债到期收益率_1年!B250</f>
        <v>1.4399999999999968E-2</v>
      </c>
      <c r="C252">
        <f>-中国_中债国债到期收益率_1年!C251+中国_中债国债到期收益率_1年!C250</f>
        <v>-9.0000000000012292E-4</v>
      </c>
      <c r="D252">
        <f>-中国_中债国债到期收益率_1年!D251+中国_中债国债到期收益率_1年!D250</f>
        <v>-5.0000000000003375E-3</v>
      </c>
      <c r="E252">
        <f>-中国_中债国债到期收益率_1年!E251+中国_中债国债到期收益率_1年!E250</f>
        <v>0</v>
      </c>
      <c r="F252">
        <f>-中国_中债国债到期收益率_1年!F251+中国_中债国债到期收益率_1年!F250</f>
        <v>8.3999999999999631E-3</v>
      </c>
      <c r="G252">
        <f>-中国_中债国债到期收益率_1年!G251+中国_中债国债到期收益率_1年!G250</f>
        <v>1.7199999999999882E-2</v>
      </c>
    </row>
    <row r="253" spans="1:7" x14ac:dyDescent="0.25">
      <c r="A253" s="6">
        <v>45078</v>
      </c>
      <c r="B253">
        <f>-中国_中债国债到期收益率_1年!B252+中国_中债国债到期收益率_1年!B251</f>
        <v>5.9999999999993392E-4</v>
      </c>
      <c r="C253">
        <f>-中国_中债国债到期收益率_1年!C252+中国_中债国债到期收益率_1年!C251</f>
        <v>3.2200000000000006E-2</v>
      </c>
      <c r="D253">
        <f>-中国_中债国债到期收益率_1年!D252+中国_中债国债到期收益率_1年!D251</f>
        <v>1.5000000000000124E-2</v>
      </c>
      <c r="E253">
        <f>-中国_中债国债到期收益率_1年!E252+中国_中债国债到期收益率_1年!E251</f>
        <v>1.0599999999999721E-2</v>
      </c>
      <c r="F253">
        <f>-中国_中债国债到期收益率_1年!F252+中国_中债国债到期收益率_1年!F251</f>
        <v>7.6000000000000512E-3</v>
      </c>
      <c r="G253">
        <f>-中国_中债国债到期收益率_1年!G252+中国_中债国债到期收益率_1年!G251</f>
        <v>-1.7999999999998018E-3</v>
      </c>
    </row>
    <row r="254" spans="1:7" x14ac:dyDescent="0.25">
      <c r="A254" s="6">
        <v>45079</v>
      </c>
      <c r="B254">
        <f>-中国_中债国债到期收益率_1年!B253+中国_中债国债到期收益率_1年!B252</f>
        <v>1.0800000000000143E-2</v>
      </c>
      <c r="C254">
        <f>-中国_中债国债到期收益率_1年!C253+中国_中债国债到期收益率_1年!C252</f>
        <v>3.0199999999999783E-2</v>
      </c>
      <c r="D254">
        <f>-中国_中债国债到期收益率_1年!D253+中国_中债国债到期收益率_1年!D252</f>
        <v>2.4999999999999467E-3</v>
      </c>
      <c r="E254">
        <f>-中国_中债国债到期收益率_1年!E253+中国_中债国债到期收益率_1年!E252</f>
        <v>3.9000000000002366E-3</v>
      </c>
      <c r="F254">
        <f>-中国_中债国债到期收益率_1年!F253+中国_中债国债到期收益率_1年!F252</f>
        <v>2.53000000000001E-2</v>
      </c>
      <c r="G254">
        <f>-中国_中债国债到期收益率_1年!G253+中国_中债国债到期收益率_1年!G252</f>
        <v>3.2099999999999795E-2</v>
      </c>
    </row>
    <row r="255" spans="1:7" x14ac:dyDescent="0.25">
      <c r="A255" s="6">
        <v>45082</v>
      </c>
      <c r="B255">
        <f>-中国_中债国债到期收益率_1年!B254+中国_中债国债到期收益率_1年!B253</f>
        <v>-1.0000000000001119E-3</v>
      </c>
      <c r="C255">
        <f>-中国_中债国债到期收益率_1年!C254+中国_中债国债到期收益率_1年!C253</f>
        <v>-2.7599999999999625E-2</v>
      </c>
      <c r="D255">
        <f>-中国_中债国债到期收益率_1年!D254+中国_中债国债到期收益率_1年!D253</f>
        <v>-1.2599999999999945E-2</v>
      </c>
      <c r="E255">
        <f>-中国_中债国债到期收益率_1年!E254+中国_中债国债到期收益率_1年!E253</f>
        <v>-8.999999999999897E-3</v>
      </c>
      <c r="F255">
        <f>-中国_中债国债到期收益率_1年!F254+中国_中债国债到期收益率_1年!F253</f>
        <v>-1.2500000000000178E-2</v>
      </c>
      <c r="G255">
        <f>-中国_中债国债到期收益率_1年!G254+中国_中债国债到期收益率_1年!G253</f>
        <v>-2.7699999999999836E-2</v>
      </c>
    </row>
    <row r="256" spans="1:7" x14ac:dyDescent="0.25">
      <c r="A256" s="6">
        <v>45083</v>
      </c>
      <c r="B256">
        <f>-中国_中债国债到期收益率_1年!B255+中国_中债国债到期收益率_1年!B254</f>
        <v>3.4100000000000019E-2</v>
      </c>
      <c r="C256">
        <f>-中国_中债国债到期收益率_1年!C255+中国_中债国债到期收益率_1年!C254</f>
        <v>-1.7000000000000348E-3</v>
      </c>
      <c r="D256">
        <f>-中国_中债国债到期收益率_1年!D255+中国_中债国债到期收益率_1年!D254</f>
        <v>2.4999999999999467E-3</v>
      </c>
      <c r="E256">
        <f>-中国_中债国债到期收益率_1年!E255+中国_中债国债到期收益率_1年!E254</f>
        <v>-6.0000000000037801E-4</v>
      </c>
      <c r="F256">
        <f>-中国_中债国债到期收益率_1年!F255+中国_中债国债到期收益率_1年!F254</f>
        <v>0</v>
      </c>
      <c r="G256">
        <f>-中国_中债国债到期收益率_1年!G255+中国_中债国债到期收益率_1年!G254</f>
        <v>-8.90000000000013E-3</v>
      </c>
    </row>
    <row r="257" spans="1:7" x14ac:dyDescent="0.25">
      <c r="A257" s="6">
        <v>45084</v>
      </c>
      <c r="B257">
        <f>-中国_中债国债到期收益率_1年!B256+中国_中债国债到期收益率_1年!B255</f>
        <v>2.1300000000000097E-2</v>
      </c>
      <c r="C257">
        <f>-中国_中债国债到期收益率_1年!C256+中国_中债国债到期收益率_1年!C255</f>
        <v>1.6899999999999693E-2</v>
      </c>
      <c r="D257">
        <f>-中国_中债国债到期收益率_1年!D256+中国_中债国债到期收益率_1年!D255</f>
        <v>1.0000000000000231E-2</v>
      </c>
      <c r="E257">
        <f>-中国_中债国债到期收益率_1年!E256+中国_中债国债到期收益率_1年!E255</f>
        <v>7.4000000000000732E-3</v>
      </c>
      <c r="F257">
        <f>-中国_中债国债到期收益率_1年!F256+中国_中债国债到期收益率_1年!F255</f>
        <v>1.0600000000000165E-2</v>
      </c>
      <c r="G257">
        <f>-中国_中债国债到期收益率_1年!G256+中国_中债国债到期收益率_1年!G255</f>
        <v>2.0100000000000229E-2</v>
      </c>
    </row>
    <row r="258" spans="1:7" x14ac:dyDescent="0.25">
      <c r="A258" s="6">
        <v>45085</v>
      </c>
      <c r="B258">
        <f>-中国_中债国债到期收益率_1年!B257+中国_中债国债到期收益率_1年!B256</f>
        <v>2.2199999999999998E-2</v>
      </c>
      <c r="C258">
        <f>-中国_中债国债到期收益率_1年!C257+中国_中债国债到期收益率_1年!C256</f>
        <v>-3.2999999999998586E-3</v>
      </c>
      <c r="D258">
        <f>-中国_中债国债到期收益率_1年!D257+中国_中债国债到期收益率_1年!D256</f>
        <v>-1.0000000000021103E-4</v>
      </c>
      <c r="E258">
        <f>-中国_中债国债到期收益率_1年!E257+中国_中债国债到期收益率_1年!E256</f>
        <v>7.1000000000003283E-3</v>
      </c>
      <c r="F258">
        <f>-中国_中债国债到期收益率_1年!F257+中国_中债国债到期收益率_1年!F256</f>
        <v>-1.9999999999997797E-4</v>
      </c>
      <c r="G258">
        <f>-中国_中债国债到期收益率_1年!G257+中国_中债国债到期收益率_1年!G256</f>
        <v>1.0399999999999743E-2</v>
      </c>
    </row>
    <row r="259" spans="1:7" x14ac:dyDescent="0.25">
      <c r="A259" s="6">
        <v>45086</v>
      </c>
      <c r="B259">
        <f>-中国_中债国债到期收益率_1年!B258+中国_中债国债到期收益率_1年!B257</f>
        <v>6.7999999999999172E-3</v>
      </c>
      <c r="C259">
        <f>-中国_中债国债到期收益率_1年!C258+中国_中债国债到期收益率_1年!C257</f>
        <v>-1.089999999999991E-2</v>
      </c>
      <c r="D259">
        <f>-中国_中债国债到期收益率_1年!D258+中国_中债国债到期收益率_1年!D257</f>
        <v>5.0000000000016698E-4</v>
      </c>
      <c r="E259">
        <f>-中国_中债国债到期收益率_1年!E258+中国_中债国债到期收益率_1年!E257</f>
        <v>-6.0000000000037801E-4</v>
      </c>
      <c r="F259">
        <f>-中国_中债国债到期收益率_1年!F258+中国_中债国债到期收益率_1年!F257</f>
        <v>-6.4000000000001833E-3</v>
      </c>
      <c r="G259">
        <f>-中国_中债国债到期收益率_1年!G258+中国_中债国债到期收益率_1年!G257</f>
        <v>-1.6199999999999992E-2</v>
      </c>
    </row>
    <row r="260" spans="1:7" x14ac:dyDescent="0.25">
      <c r="A260" s="6">
        <v>45089</v>
      </c>
      <c r="B260">
        <f>-中国_中债国债到期收益率_1年!B259+中国_中债国债到期收益率_1年!B258</f>
        <v>2.5100000000000122E-2</v>
      </c>
      <c r="C260">
        <f>-中国_中债国债到期收益率_1年!C259+中国_中债国债到期收益率_1年!C258</f>
        <v>1.8199999999999772E-2</v>
      </c>
      <c r="D260">
        <f>-中国_中债国债到期收益率_1年!D259+中国_中债国债到期收益率_1年!D258</f>
        <v>1.18999999999998E-2</v>
      </c>
      <c r="E260">
        <f>-中国_中债国债到期收益率_1年!E259+中国_中债国债到期收益率_1年!E258</f>
        <v>2.1100000000000119E-2</v>
      </c>
      <c r="F260">
        <f>-中国_中债国债到期收益率_1年!F259+中国_中债国债到期收益率_1年!F258</f>
        <v>1.1600000000000055E-2</v>
      </c>
      <c r="G260">
        <f>-中国_中债国债到期收益率_1年!G259+中国_中债国债到期收益率_1年!G258</f>
        <v>1.7300000000000093E-2</v>
      </c>
    </row>
    <row r="261" spans="1:7" x14ac:dyDescent="0.25">
      <c r="A261" s="6">
        <v>45090</v>
      </c>
      <c r="B261">
        <f>-中国_中债国债到期收益率_1年!B260+中国_中债国债到期收益率_1年!B259</f>
        <v>-2.7000000000001467E-3</v>
      </c>
      <c r="C261">
        <f>-中国_中债国债到期收益率_1年!C260+中国_中债国债到期收益率_1年!C259</f>
        <v>-2.0999999999999908E-3</v>
      </c>
      <c r="D261">
        <f>-中国_中债国债到期收益率_1年!D260+中国_中债国债到期收益率_1年!D259</f>
        <v>-9.9999999999766942E-5</v>
      </c>
      <c r="E261">
        <f>-中国_中债国债到期收益率_1年!E260+中国_中债国债到期收益率_1年!E259</f>
        <v>4.9000000000001265E-3</v>
      </c>
      <c r="F261">
        <f>-中国_中债国债到期收益率_1年!F260+中国_中债国债到期收益率_1年!F259</f>
        <v>7.6000000000000512E-3</v>
      </c>
      <c r="G261">
        <f>-中国_中债国债到期收益率_1年!G260+中国_中债国债到期收益率_1年!G259</f>
        <v>2.4100000000000232E-2</v>
      </c>
    </row>
    <row r="262" spans="1:7" x14ac:dyDescent="0.25">
      <c r="A262" s="6">
        <v>45091</v>
      </c>
      <c r="B262">
        <f>-中国_中债国债到期收益率_1年!B261+中国_中债国债到期收益率_1年!B260</f>
        <v>1.4900000000000135E-2</v>
      </c>
      <c r="C262">
        <f>-中国_中债国债到期收益率_1年!C261+中国_中债国债到期收益率_1年!C260</f>
        <v>3.3000000000000362E-2</v>
      </c>
      <c r="D262">
        <f>-中国_中债国债到期收益率_1年!D261+中国_中债国债到期收益率_1年!D260</f>
        <v>4.7699999999999854E-2</v>
      </c>
      <c r="E262">
        <f>-中国_中债国债到期收益率_1年!E261+中国_中债国债到期收益率_1年!E260</f>
        <v>3.2699999999999729E-2</v>
      </c>
      <c r="F262">
        <f>-中国_中债国债到期收益率_1年!F261+中国_中债国债到期收益率_1年!F260</f>
        <v>2.4199999999999999E-2</v>
      </c>
      <c r="G262">
        <f>-中国_中债国债到期收益率_1年!G261+中国_中债国债到期收益率_1年!G260</f>
        <v>4.8999999999999932E-2</v>
      </c>
    </row>
    <row r="263" spans="1:7" x14ac:dyDescent="0.25">
      <c r="A263" s="6">
        <v>45092</v>
      </c>
      <c r="B263">
        <f>-中国_中债国债到期收益率_1年!B262+中国_中债国债到期收益率_1年!B261</f>
        <v>1.4899999999999913E-2</v>
      </c>
      <c r="C263">
        <f>-中国_中债国债到期收益率_1年!C262+中国_中债国债到期收益率_1年!C261</f>
        <v>5.0999999999996604E-3</v>
      </c>
      <c r="D263">
        <f>-中国_中债国债到期收益率_1年!D262+中国_中债国债到期收益率_1年!D261</f>
        <v>4.9000000000001265E-3</v>
      </c>
      <c r="E263">
        <f>-中国_中债国债到期收益率_1年!E262+中国_中债国债到期收益率_1年!E261</f>
        <v>1.0099999999999998E-2</v>
      </c>
      <c r="F263">
        <f>-中国_中债国债到期收益率_1年!F262+中国_中债国债到期收益率_1年!F261</f>
        <v>-5.9999999999993392E-4</v>
      </c>
      <c r="G263">
        <f>-中国_中债国债到期收益率_1年!G262+中国_中债国债到期收益率_1年!G261</f>
        <v>1.2399999999999967E-2</v>
      </c>
    </row>
    <row r="264" spans="1:7" x14ac:dyDescent="0.25">
      <c r="A264" s="6">
        <v>45093</v>
      </c>
      <c r="B264">
        <f>-中国_中债国债到期收益率_1年!B263+中国_中债国债到期收益率_1年!B262</f>
        <v>-2.50999999999999E-2</v>
      </c>
      <c r="C264">
        <f>-中国_中债国债到期收益率_1年!C263+中国_中债国债到期收益率_1年!C262</f>
        <v>-3.8599999999999746E-2</v>
      </c>
      <c r="D264">
        <f>-中国_中债国债到期收益率_1年!D263+中国_中债国债到期收益率_1年!D262</f>
        <v>-3.0400000000000205E-2</v>
      </c>
      <c r="E264">
        <f>-中国_中债国债到期收益率_1年!E263+中国_中债国债到期收益率_1年!E262</f>
        <v>-3.0399999999999761E-2</v>
      </c>
      <c r="F264">
        <f>-中国_中债国债到期收益率_1年!F263+中国_中债国债到期收益率_1年!F262</f>
        <v>-2.0700000000000163E-2</v>
      </c>
      <c r="G264">
        <f>-中国_中债国债到期收益率_1年!G263+中国_中债国债到期收益率_1年!G262</f>
        <v>-4.2300000000000004E-2</v>
      </c>
    </row>
    <row r="265" spans="1:7" x14ac:dyDescent="0.25">
      <c r="A265" s="6">
        <v>45096</v>
      </c>
      <c r="B265">
        <f>-中国_中债国债到期收益率_1年!B264+中国_中债国债到期收益率_1年!B263</f>
        <v>-2.0100000000000007E-2</v>
      </c>
      <c r="C265">
        <f>-中国_中债国债到期收益率_1年!C264+中国_中债国债到期收益率_1年!C263</f>
        <v>-1.7700000000000049E-2</v>
      </c>
      <c r="D265">
        <f>-中国_中债国债到期收益率_1年!D264+中国_中债国债到期收益率_1年!D263</f>
        <v>-1.4399999999999746E-2</v>
      </c>
      <c r="E265">
        <f>-中国_中债国债到期收益率_1年!E264+中国_中债国债到期收益率_1年!E263</f>
        <v>-1.5200000000000102E-2</v>
      </c>
      <c r="F265">
        <f>-中国_中债国债到期收益率_1年!F264+中国_中债国债到期收益率_1年!F263</f>
        <v>-4.0099999999999802E-2</v>
      </c>
      <c r="G265">
        <f>-中国_中债国债到期收益率_1年!G264+中国_中债国债到期收益率_1年!G263</f>
        <v>-6.3099999999999934E-2</v>
      </c>
    </row>
    <row r="266" spans="1:7" x14ac:dyDescent="0.25">
      <c r="A266" s="6">
        <v>45097</v>
      </c>
      <c r="B266">
        <f>-中国_中债国债到期收益率_1年!B265+中国_中债国债到期收益率_1年!B264</f>
        <v>-2.0100000000000007E-2</v>
      </c>
      <c r="C266">
        <f>-中国_中债国债到期收益率_1年!C265+中国_中债国债到期收益率_1年!C264</f>
        <v>-4.8399999999999999E-2</v>
      </c>
      <c r="D266">
        <f>-中国_中债国债到期收益率_1年!D265+中国_中债国债到期收益率_1年!D264</f>
        <v>-2.5000000000000355E-2</v>
      </c>
      <c r="E266">
        <f>-中国_中债国债到期收益率_1年!E265+中国_中债国债到期收益率_1年!E264</f>
        <v>-2.0000000000000018E-2</v>
      </c>
      <c r="F266">
        <f>-中国_中债国债到期收益率_1年!F265+中国_中债国债到期收益率_1年!F264</f>
        <v>-1.6900000000000137E-2</v>
      </c>
      <c r="G266">
        <f>-中国_中债国债到期收益率_1年!G265+中国_中债国债到期收益率_1年!G264</f>
        <v>-2.1500000000000075E-2</v>
      </c>
    </row>
    <row r="267" spans="1:7" x14ac:dyDescent="0.25">
      <c r="A267" s="6">
        <v>45098</v>
      </c>
      <c r="B267">
        <f>-中国_中债国债到期收益率_1年!B266+中国_中债国债到期收益率_1年!B265</f>
        <v>-1.0000000000000009E-2</v>
      </c>
      <c r="C267">
        <f>-中国_中债国债到期收益率_1年!C266+中国_中债国债到期收益率_1年!C265</f>
        <v>2.1599999999999842E-2</v>
      </c>
      <c r="D267">
        <f>-中国_中债国债到期收益率_1年!D266+中国_中债国债到期收益率_1年!D265</f>
        <v>1.2500000000000178E-2</v>
      </c>
      <c r="E267">
        <f>-中国_中债国债到期收益率_1年!E266+中国_中债国债到期收益率_1年!E265</f>
        <v>1.7500000000000071E-2</v>
      </c>
      <c r="F267">
        <f>-中国_中债国债到期收益率_1年!F266+中国_中债国债到期收益率_1年!F265</f>
        <v>1.2199999999999989E-2</v>
      </c>
      <c r="G267">
        <f>-中国_中债国债到期收益率_1年!G266+中国_中债国债到期收益率_1年!G265</f>
        <v>1.6199999999999992E-2</v>
      </c>
    </row>
    <row r="268" spans="1:7" x14ac:dyDescent="0.25">
      <c r="A268" s="6">
        <v>45102</v>
      </c>
      <c r="B268">
        <f>-中国_中债国债到期收益率_1年!B267+中国_中债国债到期收益率_1年!B266</f>
        <v>-4.2999999999999705E-3</v>
      </c>
      <c r="C268">
        <f>-中国_中债国债到期收益率_1年!C267+中国_中债国债到期收益率_1年!C266</f>
        <v>6.6999999999999282E-3</v>
      </c>
      <c r="D268">
        <f>-中国_中债国债到期收益率_1年!D267+中国_中债国债到期收益率_1年!D266</f>
        <v>4.9999999999998934E-3</v>
      </c>
      <c r="E268">
        <f>-中国_中债国债到期收益率_1年!E267+中国_中债国债到期收益率_1年!E266</f>
        <v>2.4000000000001798E-3</v>
      </c>
      <c r="F268">
        <f>-中国_中债国债到期收益率_1年!F267+中国_中债国债到期收益率_1年!F266</f>
        <v>9.1999999999998749E-3</v>
      </c>
      <c r="G268">
        <f>-中国_中债国债到期收益率_1年!G267+中国_中债国债到期收益率_1年!G266</f>
        <v>1.9200000000000106E-2</v>
      </c>
    </row>
    <row r="269" spans="1:7" x14ac:dyDescent="0.25">
      <c r="A269" s="6">
        <v>45103</v>
      </c>
      <c r="B269">
        <f>-中国_中债国债到期收益率_1年!B268+中国_中债国债到期收益率_1年!B267</f>
        <v>4.0999999999999925E-3</v>
      </c>
      <c r="C269">
        <f>-中国_中债国债到期收益率_1年!C268+中国_中债国债到期收益率_1年!C267</f>
        <v>1.5200000000000102E-2</v>
      </c>
      <c r="D269">
        <f>-中国_中债国债到期收益率_1年!D268+中国_中债国债到期收益率_1年!D267</f>
        <v>1.2500000000000178E-2</v>
      </c>
      <c r="E269">
        <f>-中国_中债国债到期收益率_1年!E268+中国_中债国债到期收益率_1年!E267</f>
        <v>1.399999999999979E-2</v>
      </c>
      <c r="F269">
        <f>-中国_中债国债到期收益率_1年!F268+中国_中债国债到期收益率_1年!F267</f>
        <v>5.1700000000000301E-2</v>
      </c>
      <c r="G269">
        <f>-中国_中债国债到期收益率_1年!G268+中国_中债国债到期收益率_1年!G267</f>
        <v>3.8000000000000256E-3</v>
      </c>
    </row>
    <row r="270" spans="1:7" x14ac:dyDescent="0.25">
      <c r="A270" s="6">
        <v>45104</v>
      </c>
      <c r="B270">
        <f>-中国_中债国债到期收益率_1年!B269+中国_中债国债到期收益率_1年!B268</f>
        <v>0</v>
      </c>
      <c r="C270">
        <f>-中国_中债国债到期收益率_1年!C269+中国_中债国债到期收益率_1年!C268</f>
        <v>-1.3100000000000112E-2</v>
      </c>
      <c r="D270">
        <f>-中国_中债国债到期收益率_1年!D269+中国_中债国债到期收益率_1年!D268</f>
        <v>-1.0099999999999998E-2</v>
      </c>
      <c r="E270">
        <f>-中国_中债国债到期收益率_1年!E269+中国_中债国债到期收益率_1年!E268</f>
        <v>-6.6000000000001613E-3</v>
      </c>
      <c r="F270">
        <f>-中国_中债国债到期收益率_1年!F269+中国_中债国债到期收益率_1年!F268</f>
        <v>-4.0200000000000014E-2</v>
      </c>
      <c r="G270">
        <f>-中国_中债国债到期收益率_1年!G269+中国_中债国债到期收益率_1年!G268</f>
        <v>4.8999999999996824E-3</v>
      </c>
    </row>
    <row r="271" spans="1:7" x14ac:dyDescent="0.25">
      <c r="A271" s="6">
        <v>45105</v>
      </c>
      <c r="B271">
        <f>-中国_中债国债到期收益率_1年!B270+中国_中债国债到期收益率_1年!B269</f>
        <v>-4.0000000000000036E-2</v>
      </c>
      <c r="C271">
        <f>-中国_中债国债到期收益率_1年!C270+中国_中债国债到期收益率_1年!C269</f>
        <v>-4.9999999999998934E-3</v>
      </c>
      <c r="D271">
        <f>-中国_中债国债到期收益率_1年!D270+中国_中债国债到期收益率_1年!D269</f>
        <v>9.9999999999766942E-5</v>
      </c>
      <c r="E271">
        <f>-中国_中债国债到期收益率_1年!E270+中国_中债国债到期收益率_1年!E269</f>
        <v>5.1000000000001044E-3</v>
      </c>
      <c r="F271">
        <f>-中国_中债国债到期收益率_1年!F270+中国_中债国债到期收益率_1年!F269</f>
        <v>-9.7000000000000419E-3</v>
      </c>
      <c r="G271">
        <f>-中国_中债国债到期收益率_1年!G270+中国_中债国债到期收益率_1年!G269</f>
        <v>-1.9899999999999807E-2</v>
      </c>
    </row>
    <row r="272" spans="1:7" x14ac:dyDescent="0.25">
      <c r="A272" s="6">
        <v>45106</v>
      </c>
      <c r="B272">
        <f>-中国_中债国债到期收益率_1年!B271+中国_中债国债到期收益率_1年!B270</f>
        <v>1.0000000000000009E-2</v>
      </c>
      <c r="C272">
        <f>-中国_中债国债到期收益率_1年!C271+中国_中债国债到期收益率_1年!C270</f>
        <v>1.1299999999999866E-2</v>
      </c>
      <c r="D272">
        <f>-中国_中债国债到期收益率_1年!D271+中国_中债国债到期收益率_1年!D270</f>
        <v>2.5000000000003908E-3</v>
      </c>
      <c r="E272">
        <f>-中国_中债国债到期收益率_1年!E271+中国_中债国债到期收益率_1年!E270</f>
        <v>2.4000000000001798E-3</v>
      </c>
      <c r="F272">
        <f>-中国_中债国债到期收益率_1年!F271+中国_中债国债到期收益率_1年!F270</f>
        <v>9.7999999999998089E-3</v>
      </c>
      <c r="G272">
        <f>-中国_中债国债到期收益率_1年!G271+中国_中债国债到期收益率_1年!G270</f>
        <v>2.1999999999999797E-2</v>
      </c>
    </row>
    <row r="273" spans="1:7" x14ac:dyDescent="0.25">
      <c r="A273" s="6">
        <v>45107</v>
      </c>
      <c r="B273">
        <f>-中国_中债国债到期收益率_1年!B272+中国_中债国债到期收益率_1年!B271</f>
        <v>1.0000000000000009E-2</v>
      </c>
      <c r="C273">
        <f>-中国_中债国债到期收益率_1年!C272+中国_中债国债到期收益率_1年!C271</f>
        <v>9.0000000000003411E-3</v>
      </c>
      <c r="D273">
        <f>-中国_中债国债到期收益率_1年!D272+中国_中债国债到期收益率_1年!D271</f>
        <v>1.2499999999999734E-2</v>
      </c>
      <c r="E273">
        <f>-中国_中债国债到期收益率_1年!E272+中国_中债国债到期收益率_1年!E271</f>
        <v>9.9999999999997868E-3</v>
      </c>
      <c r="F273">
        <f>-中国_中债国债到期收益率_1年!F272+中国_中债国债到期收益率_1年!F271</f>
        <v>4.3000000000001926E-3</v>
      </c>
      <c r="G273">
        <f>-中国_中债国债到期收益率_1年!G272+中国_中债国债到期收益率_1年!G271</f>
        <v>6.4999999999999503E-3</v>
      </c>
    </row>
    <row r="274" spans="1:7" x14ac:dyDescent="0.25">
      <c r="A274" s="6">
        <v>45110</v>
      </c>
      <c r="B274">
        <f>-中国_中债国债到期收益率_1年!B273+中国_中债国债到期收益率_1年!B272</f>
        <v>5.9699999999999864E-2</v>
      </c>
      <c r="C274">
        <f>-中国_中债国债到期收益率_1年!C273+中国_中债国债到期收益率_1年!C272</f>
        <v>3.2299999999999773E-2</v>
      </c>
      <c r="D274">
        <f>-中国_中债国债到期收益率_1年!D273+中国_中债国债到期收益率_1年!D272</f>
        <v>1.7500000000000071E-2</v>
      </c>
      <c r="E274">
        <f>-中国_中债国债到期收益率_1年!E273+中国_中债国债到期收益率_1年!E272</f>
        <v>9.9000000000000199E-3</v>
      </c>
      <c r="F274">
        <f>-中国_中债国债到期收益率_1年!F273+中国_中债国债到期收益率_1年!F272</f>
        <v>4.129999999999967E-2</v>
      </c>
      <c r="G274">
        <f>-中国_中债国债到期收益率_1年!G273+中国_中债国债到期收益率_1年!G272</f>
        <v>3.3900000000000041E-2</v>
      </c>
    </row>
    <row r="275" spans="1:7" x14ac:dyDescent="0.25">
      <c r="A275" s="6">
        <v>45111</v>
      </c>
      <c r="B275">
        <f>-中国_中债国债到期收益率_1年!B274+中国_中债国债到期收益率_1年!B273</f>
        <v>2.9800000000000049E-2</v>
      </c>
      <c r="C275">
        <f>-中国_中债国债到期收益率_1年!C274+中国_中债国债到期收益率_1年!C273</f>
        <v>-8.599999999999941E-3</v>
      </c>
      <c r="D275">
        <f>-中国_中债国债到期收益率_1年!D274+中国_中债国债到期收益率_1年!D273</f>
        <v>-5.1000000000001044E-3</v>
      </c>
      <c r="E275">
        <f>-中国_中债国债到期收益率_1年!E274+中国_中债国债到期收益率_1年!E273</f>
        <v>-6.0999999999999943E-3</v>
      </c>
      <c r="F275">
        <f>-中国_中债国债到期收益率_1年!F274+中国_中债国债到期收益率_1年!F273</f>
        <v>1.0000000000000231E-2</v>
      </c>
      <c r="G275">
        <f>-中国_中债国债到期收益率_1年!G274+中国_中债国债到期收益率_1年!G273</f>
        <v>4.3000000000001926E-3</v>
      </c>
    </row>
    <row r="276" spans="1:7" x14ac:dyDescent="0.25">
      <c r="A276" s="6">
        <v>45112</v>
      </c>
      <c r="B276">
        <f>-中国_中债国债到期收益率_1年!B275+中国_中债国债到期收益率_1年!B274</f>
        <v>9.9000000000000199E-3</v>
      </c>
      <c r="C276">
        <f>-中国_中债国债到期收益率_1年!C275+中国_中债国债到期收益率_1年!C274</f>
        <v>-1.0299999999999976E-2</v>
      </c>
      <c r="D276">
        <f>-中国_中债国债到期收益率_1年!D275+中国_中债国债到期收益率_1年!D274</f>
        <v>-7.4999999999998401E-3</v>
      </c>
      <c r="E276">
        <f>-中国_中债国债到期收益率_1年!E275+中国_中债国债到期收益率_1年!E274</f>
        <v>-9.1999999999998749E-3</v>
      </c>
      <c r="F276">
        <f>-中国_中债国债到期收益率_1年!F275+中国_中债国债到期收益率_1年!F274</f>
        <v>-1.3100000000000112E-2</v>
      </c>
      <c r="G276">
        <f>-中国_中债国债到期收益率_1年!G275+中国_中债国债到期收益率_1年!G274</f>
        <v>-7.2999999999998622E-3</v>
      </c>
    </row>
    <row r="277" spans="1:7" x14ac:dyDescent="0.25">
      <c r="A277" s="6">
        <v>45113</v>
      </c>
      <c r="B277">
        <f>-中国_中债国债到期收益率_1年!B276+中国_中债国债到期收益率_1年!B275</f>
        <v>9.9000000000000199E-3</v>
      </c>
      <c r="C277">
        <f>-中国_中债国债到期收益率_1年!C276+中国_中债国债到期收益率_1年!C275</f>
        <v>1.0299999999999976E-2</v>
      </c>
      <c r="D277">
        <f>-中国_中债国债到期收益率_1年!D276+中国_中债国债到期收益率_1年!D275</f>
        <v>7.4999999999998401E-3</v>
      </c>
      <c r="E277">
        <f>-中国_中债国债到期收益率_1年!E276+中国_中债国债到期收益率_1年!E275</f>
        <v>4.9000000000001265E-3</v>
      </c>
      <c r="F277">
        <f>-中国_中债国债到期收益率_1年!F276+中国_中债国债到期收益率_1年!F275</f>
        <v>3.9000000000002366E-3</v>
      </c>
      <c r="G277">
        <f>-中国_中债国债到期收益率_1年!G276+中国_中债国债到期收益率_1年!G275</f>
        <v>3.5999999999996035E-3</v>
      </c>
    </row>
    <row r="278" spans="1:7" x14ac:dyDescent="0.25">
      <c r="A278" s="6">
        <v>45114</v>
      </c>
      <c r="B278">
        <f>-中国_中债国债到期收益率_1年!B277+中国_中债国债到期收益率_1年!B276</f>
        <v>0</v>
      </c>
      <c r="C278">
        <f>-中国_中债国债到期收益率_1年!C277+中国_中债国债到期收益率_1年!C276</f>
        <v>-1.9999999999997797E-4</v>
      </c>
      <c r="D278">
        <f>-中国_中债国债到期收益率_1年!D277+中国_中债国债到期收益率_1年!D276</f>
        <v>9.9999999999988987E-4</v>
      </c>
      <c r="E278">
        <f>-中国_中债国债到期收益率_1年!E277+中国_中债国债到期收益率_1年!E276</f>
        <v>-3.9999999999995595E-4</v>
      </c>
      <c r="F278">
        <f>-中国_中债国债到期收益率_1年!F277+中国_中债国债到期收益率_1年!F276</f>
        <v>4.8999999999996824E-3</v>
      </c>
      <c r="G278">
        <f>-中国_中债国债到期收益率_1年!G277+中国_中债国债到期收益率_1年!G276</f>
        <v>9.400000000000297E-3</v>
      </c>
    </row>
    <row r="279" spans="1:7" x14ac:dyDescent="0.25">
      <c r="A279" s="6">
        <v>45117</v>
      </c>
      <c r="B279">
        <f>-中国_中债国债到期收益率_1年!B278+中国_中债国债到期收益率_1年!B277</f>
        <v>-5.2000000000000934E-3</v>
      </c>
      <c r="C279">
        <f>-中国_中债国债到期收益率_1年!C278+中国_中债国债到期收益率_1年!C277</f>
        <v>4.0000000000000036E-3</v>
      </c>
      <c r="D279">
        <f>-中国_中债国债到期收益率_1年!D278+中国_中债国债到期收益率_1年!D277</f>
        <v>-1.0999999999996568E-3</v>
      </c>
      <c r="E279">
        <f>-中国_中债国债到期收益率_1年!E278+中国_中债国债到期收益率_1年!E277</f>
        <v>4.9999999999998934E-3</v>
      </c>
      <c r="F279">
        <f>-中国_中债国债到期收益率_1年!F278+中国_中债国债到期收益率_1年!F277</f>
        <v>-6.9999999999970086E-4</v>
      </c>
      <c r="G279">
        <f>-中国_中债国债到期收益率_1年!G278+中国_中债国债到期收益率_1年!G277</f>
        <v>-1.0000000000021103E-4</v>
      </c>
    </row>
    <row r="280" spans="1:7" x14ac:dyDescent="0.25">
      <c r="A280" s="6">
        <v>45118</v>
      </c>
      <c r="B280">
        <f>-中国_中债国债到期收益率_1年!B279+中国_中债国债到期收益率_1年!B278</f>
        <v>0</v>
      </c>
      <c r="C280">
        <f>-中国_中债国债到期收益率_1年!C279+中国_中债国债到期收益率_1年!C278</f>
        <v>-9.9999999999997868E-3</v>
      </c>
      <c r="D280">
        <f>-中国_中债国债到期收益率_1年!D279+中国_中债国债到期收益率_1年!D278</f>
        <v>0</v>
      </c>
      <c r="E280">
        <f>-中国_中债国债到期收益率_1年!E279+中国_中债国债到期收益率_1年!E278</f>
        <v>3.8999999999997925E-3</v>
      </c>
      <c r="F280">
        <f>-中国_中债国债到期收益率_1年!F279+中国_中债国债到期收益率_1年!F278</f>
        <v>-7.0000000000001172E-3</v>
      </c>
      <c r="G280">
        <f>-中国_中债国债到期收益率_1年!G279+中国_中债国债到期收益率_1年!G278</f>
        <v>-9.300000000000086E-3</v>
      </c>
    </row>
    <row r="281" spans="1:7" x14ac:dyDescent="0.25">
      <c r="A281" s="6">
        <v>45119</v>
      </c>
      <c r="B281">
        <f>-中国_中债国债到期收益率_1年!B280+中国_中债国债到期收益率_1年!B279</f>
        <v>4.8000000000001375E-3</v>
      </c>
      <c r="C281">
        <f>-中国_中债国债到期收益率_1年!C280+中国_中债国债到期收益率_1年!C279</f>
        <v>5.1999999999998714E-3</v>
      </c>
      <c r="D281">
        <f>-中国_中债国债到期收益率_1年!D280+中国_中债国债到期收益率_1年!D279</f>
        <v>4.9999999999998934E-3</v>
      </c>
      <c r="E281">
        <f>-中国_中债国债到期收益率_1年!E280+中国_中债国债到期收益率_1年!E279</f>
        <v>8.0000000000000071E-3</v>
      </c>
      <c r="F281">
        <f>-中国_中债国债到期收益率_1年!F280+中国_中债国债到期收益率_1年!F279</f>
        <v>3.00000000000189E-4</v>
      </c>
      <c r="G281">
        <f>-中国_中债国债到期收益率_1年!G280+中国_中债国债到期收益率_1年!G279</f>
        <v>1.1600000000000055E-2</v>
      </c>
    </row>
    <row r="282" spans="1:7" x14ac:dyDescent="0.25">
      <c r="A282" s="6">
        <v>45120</v>
      </c>
      <c r="B282">
        <f>-中国_中债国债到期收益率_1年!B281+中国_中债国债到期收益率_1年!B280</f>
        <v>4.7999999999999154E-3</v>
      </c>
      <c r="C282">
        <f>-中国_中债国债到期收益率_1年!C281+中国_中债国债到期收益率_1年!C280</f>
        <v>-2.6000000000001577E-3</v>
      </c>
      <c r="D282">
        <f>-中国_中债国债到期收益率_1年!D281+中国_中债国债到期收益率_1年!D280</f>
        <v>-2.4999999999999467E-3</v>
      </c>
      <c r="E282">
        <f>-中国_中债国债到期收益率_1年!E281+中国_中债国债到期收益率_1年!E280</f>
        <v>0</v>
      </c>
      <c r="F282">
        <f>-中国_中债国债到期收益率_1年!F281+中国_中债国债到期收益率_1年!F280</f>
        <v>-7.7000000000002622E-3</v>
      </c>
      <c r="G282">
        <f>-中国_中债国债到期收益率_1年!G281+中国_中债国债到期收益率_1年!G280</f>
        <v>-1.3099999999999667E-2</v>
      </c>
    </row>
    <row r="283" spans="1:7" x14ac:dyDescent="0.25">
      <c r="A283" s="6">
        <v>45121</v>
      </c>
      <c r="B283">
        <f>-中国_中债国债到期收益率_1年!B282+中国_中债国债到期收益率_1年!B281</f>
        <v>-2.0100000000000007E-2</v>
      </c>
      <c r="C283">
        <f>-中国_中债国债到期收益率_1年!C282+中国_中债国债到期收益率_1年!C281</f>
        <v>-1.330000000000009E-2</v>
      </c>
      <c r="D283">
        <f>-中国_中债国债到期收益率_1年!D282+中国_中债国债到期收益率_1年!D281</f>
        <v>-3.5000000000002807E-3</v>
      </c>
      <c r="E283">
        <f>-中国_中债国债到期收益率_1年!E282+中国_中债国债到期收益率_1年!E281</f>
        <v>-7.2999999999998622E-3</v>
      </c>
      <c r="F283">
        <f>-中国_中债国债到期收益率_1年!F282+中国_中债国债到期收益率_1年!F281</f>
        <v>-6.8000000000001393E-3</v>
      </c>
      <c r="G283">
        <f>-中国_中债国债到期收益率_1年!G282+中国_中债国债到期收益率_1年!G281</f>
        <v>-8.6000000000003851E-3</v>
      </c>
    </row>
    <row r="284" spans="1:7" x14ac:dyDescent="0.25">
      <c r="A284" s="6">
        <v>45124</v>
      </c>
      <c r="B284">
        <f>-中国_中债国债到期收益率_1年!B283+中国_中债国债到期收益率_1年!B282</f>
        <v>-9.9999999999988987E-5</v>
      </c>
      <c r="C284">
        <f>-中国_中债国债到期收益率_1年!C283+中国_中债国债到期收益率_1年!C282</f>
        <v>-9.9999999999988987E-4</v>
      </c>
      <c r="D284">
        <f>-中国_中债国债到期收益率_1年!D283+中国_中债国债到期收益率_1年!D282</f>
        <v>-3.0999999999998806E-3</v>
      </c>
      <c r="E284">
        <f>-中国_中债国债到期收益率_1年!E283+中国_中债国债到期收益率_1年!E282</f>
        <v>-6.0000000000002274E-3</v>
      </c>
      <c r="F284">
        <f>-中国_中债国债到期收益率_1年!F283+中国_中债国债到期收益率_1年!F282</f>
        <v>-4.0999999999997705E-3</v>
      </c>
      <c r="G284">
        <f>-中国_中债国债到期收益率_1年!G283+中国_中债国债到期收益率_1年!G282</f>
        <v>-8.599999999999941E-3</v>
      </c>
    </row>
    <row r="285" spans="1:7" x14ac:dyDescent="0.25">
      <c r="A285" s="6">
        <v>45125</v>
      </c>
      <c r="B285">
        <f>-中国_中债国债到期收益率_1年!B284+中国_中债国债到期收益率_1年!B283</f>
        <v>7.4999999999999956E-2</v>
      </c>
      <c r="C285">
        <f>-中国_中债国债到期收益率_1年!C284+中国_中债国债到期收益率_1年!C283</f>
        <v>1.639999999999997E-2</v>
      </c>
      <c r="D285">
        <f>-中国_中债国债到期收益率_1年!D284+中国_中债国债到期收益率_1年!D283</f>
        <v>8.0000000000000071E-3</v>
      </c>
      <c r="E285">
        <f>-中国_中债国债到期收益率_1年!E284+中国_中债国债到期收益率_1年!E283</f>
        <v>5.9000000000000163E-3</v>
      </c>
      <c r="F285">
        <f>-中国_中债国债到期收益率_1年!F284+中国_中债国债到期收益率_1年!F283</f>
        <v>7.8000000000000291E-3</v>
      </c>
      <c r="G285">
        <f>-中国_中债国债到期收益率_1年!G284+中国_中债国债到期收益率_1年!G283</f>
        <v>1.8699999999999939E-2</v>
      </c>
    </row>
    <row r="286" spans="1:7" x14ac:dyDescent="0.25">
      <c r="A286" s="6">
        <v>45126</v>
      </c>
      <c r="B286">
        <f>-中国_中债国债到期收益率_1年!B285+中国_中债国债到期收益率_1年!B284</f>
        <v>0</v>
      </c>
      <c r="C286">
        <f>-中国_中债国债到期收益率_1年!C285+中国_中债国债到期收益率_1年!C284</f>
        <v>1.0000000000000231E-2</v>
      </c>
      <c r="D286">
        <f>-中国_中债国债到期收益率_1年!D285+中国_中债国债到期收益率_1年!D284</f>
        <v>1.2999999999999901E-2</v>
      </c>
      <c r="E286">
        <f>-中国_中债国债到期收益率_1年!E285+中国_中债国债到期收益率_1年!E284</f>
        <v>1.2000000000000011E-2</v>
      </c>
      <c r="F286">
        <f>-中国_中债国债到期收益率_1年!F285+中国_中债国债到期收益率_1年!F284</f>
        <v>9.7000000000000419E-3</v>
      </c>
      <c r="G286">
        <f>-中国_中债国债到期收益率_1年!G285+中国_中债国债到期收益率_1年!G284</f>
        <v>1.2500000000000178E-2</v>
      </c>
    </row>
    <row r="287" spans="1:7" x14ac:dyDescent="0.25">
      <c r="A287" s="6">
        <v>45127</v>
      </c>
      <c r="B287">
        <f>-中国_中债国债到期收益率_1年!B286+中国_中债国债到期收益率_1年!B285</f>
        <v>1.0000000000000009E-2</v>
      </c>
      <c r="C287">
        <f>-中国_中债国债到期收益率_1年!C286+中国_中债国债到期收益率_1年!C285</f>
        <v>1.5800000000000036E-2</v>
      </c>
      <c r="D287">
        <f>-中国_中债国债到期收益率_1年!D286+中国_中债国债到期收益率_1年!D285</f>
        <v>1.0000000000021103E-4</v>
      </c>
      <c r="E287">
        <f>-中国_中债国债到期收益率_1年!E286+中国_中债国债到期收益率_1年!E285</f>
        <v>-2.1999999999997577E-3</v>
      </c>
      <c r="F287">
        <f>-中国_中债国债到期收益率_1年!F286+中国_中债国债到期收益率_1年!F285</f>
        <v>2.1999999999997577E-3</v>
      </c>
      <c r="G287">
        <f>-中国_中债国债到期收益率_1年!G286+中国_中债国债到期收益率_1年!G285</f>
        <v>1.3000000000000789E-3</v>
      </c>
    </row>
    <row r="288" spans="1:7" x14ac:dyDescent="0.25">
      <c r="A288" s="6">
        <v>45128</v>
      </c>
      <c r="B288">
        <f>-中国_中债国债到期收益率_1年!B287+中国_中债国债到期收益率_1年!B286</f>
        <v>5.0000000000001155E-3</v>
      </c>
      <c r="C288">
        <f>-中国_中债国债到期收益率_1年!C287+中国_中债国债到期收益率_1年!C286</f>
        <v>4.6999999999997044E-3</v>
      </c>
      <c r="D288">
        <f>-中国_中债国债到期收益率_1年!D287+中国_中债国债到期收益率_1年!D286</f>
        <v>1.9000000000000128E-3</v>
      </c>
      <c r="E288">
        <f>-中国_中债国债到期收益率_1年!E287+中国_中债国债到期收益率_1年!E286</f>
        <v>1.9999999999997797E-3</v>
      </c>
      <c r="F288">
        <f>-中国_中债国债到期收益率_1年!F287+中国_中债国债到期收益率_1年!F286</f>
        <v>5.9000000000000163E-3</v>
      </c>
      <c r="G288">
        <f>-中国_中债国债到期收益率_1年!G287+中国_中债国债到期收益率_1年!G286</f>
        <v>-5.6000000000002714E-3</v>
      </c>
    </row>
    <row r="289" spans="1:7" x14ac:dyDescent="0.25">
      <c r="A289" s="6">
        <v>45131</v>
      </c>
      <c r="B289">
        <f>-中国_中债国债到期收益率_1年!B288+中国_中债国债到期收益率_1年!B287</f>
        <v>1.0000000000000009E-2</v>
      </c>
      <c r="C289">
        <f>-中国_中债国债到期收益率_1年!C288+中国_中债国债到期收益率_1年!C287</f>
        <v>1.23000000000002E-2</v>
      </c>
      <c r="D289">
        <f>-中国_中债国债到期收益率_1年!D288+中国_中债国债到期收益率_1年!D287</f>
        <v>1.3500000000000068E-2</v>
      </c>
      <c r="E289">
        <f>-中国_中债国债到期收益率_1年!E288+中国_中债国债到期收益率_1年!E287</f>
        <v>1.3900000000000023E-2</v>
      </c>
      <c r="F289">
        <f>-中国_中债国债到期收益率_1年!F288+中国_中债国债到期收益率_1年!F287</f>
        <v>1.0600000000000165E-2</v>
      </c>
      <c r="G289">
        <f>-中国_中债国债到期收益率_1年!G288+中国_中债国债到期收益率_1年!G287</f>
        <v>1.8600000000000172E-2</v>
      </c>
    </row>
    <row r="290" spans="1:7" x14ac:dyDescent="0.25">
      <c r="A290" s="6">
        <v>45132</v>
      </c>
      <c r="B290">
        <f>-中国_中债国债到期收益率_1年!B289+中国_中债国债到期收益率_1年!B288</f>
        <v>4.9999999999998934E-3</v>
      </c>
      <c r="C290">
        <f>-中国_中债国债到期收益率_1年!C289+中国_中债国债到期收益率_1年!C288</f>
        <v>4.6999999999997044E-3</v>
      </c>
      <c r="D290">
        <f>-中国_中债国债到期收益率_1年!D289+中国_中债国债到期收益率_1年!D288</f>
        <v>1.4499999999999957E-2</v>
      </c>
      <c r="E290">
        <f>-中国_中债国债到期收益率_1年!E289+中国_中债国债到期收益率_1年!E288</f>
        <v>2.4000000000000021E-2</v>
      </c>
      <c r="F290">
        <f>-中国_中债国债到期收益率_1年!F289+中国_中债国债到期收益率_1年!F288</f>
        <v>1.9999999999997797E-4</v>
      </c>
      <c r="G290">
        <f>-中国_中债国债到期收益率_1年!G289+中国_中债国债到期收益率_1年!G288</f>
        <v>-2.4999999999999467E-3</v>
      </c>
    </row>
    <row r="291" spans="1:7" x14ac:dyDescent="0.25">
      <c r="A291" s="6">
        <v>45133</v>
      </c>
      <c r="B291">
        <f>-中国_中债国债到期收益率_1年!B290+中国_中债国债到期收益率_1年!B289</f>
        <v>-4.4699999999999962E-2</v>
      </c>
      <c r="C291">
        <f>-中国_中债国债到期收益率_1年!C290+中国_中债国债到期收益率_1年!C289</f>
        <v>-7.5399999999999689E-2</v>
      </c>
      <c r="D291">
        <f>-中国_中债国债到期收益率_1年!D290+中国_中债国债到期收益率_1年!D289</f>
        <v>-6.9599999999999884E-2</v>
      </c>
      <c r="E291">
        <f>-中国_中债国债到期收益率_1年!E290+中国_中债国债到期收益率_1年!E289</f>
        <v>-5.6799999999999962E-2</v>
      </c>
      <c r="F291">
        <f>-中国_中债国债到期收益率_1年!F290+中国_中债国债到期收益率_1年!F289</f>
        <v>-3.5800000000000054E-2</v>
      </c>
      <c r="G291">
        <f>-中国_中债国债到期收益率_1年!G290+中国_中债国债到期收益率_1年!G289</f>
        <v>-5.2099999999999813E-2</v>
      </c>
    </row>
    <row r="292" spans="1:7" x14ac:dyDescent="0.25">
      <c r="A292" s="6">
        <v>45134</v>
      </c>
      <c r="B292">
        <f>-中国_中债国债到期收益率_1年!B291+中国_中债国债到期收益率_1年!B290</f>
        <v>-1.0000000000000009E-2</v>
      </c>
      <c r="C292">
        <f>-中国_中债国债到期收益率_1年!C291+中国_中债国债到期收益率_1年!C290</f>
        <v>2.9900000000000038E-2</v>
      </c>
      <c r="D292">
        <f>-中国_中债国债到期收益率_1年!D291+中国_中债国债到期收益率_1年!D290</f>
        <v>2.0000000000000018E-2</v>
      </c>
      <c r="E292">
        <f>-中国_中债国债到期收益率_1年!E291+中国_中债国债到期收益率_1年!E290</f>
        <v>1.5299999999999869E-2</v>
      </c>
      <c r="F292">
        <f>-中国_中债国债到期收益率_1年!F291+中国_中债国债到期收益率_1年!F290</f>
        <v>1.9999999999997797E-4</v>
      </c>
      <c r="G292">
        <f>-中国_中债国债到期收益率_1年!G291+中国_中债国债到期收益率_1年!G290</f>
        <v>-1.3000000000000345E-2</v>
      </c>
    </row>
    <row r="293" spans="1:7" x14ac:dyDescent="0.25">
      <c r="A293" s="6">
        <v>45135</v>
      </c>
      <c r="B293">
        <f>-中国_中债国债到期收益率_1年!B292+中国_中债国债到期收益率_1年!B291</f>
        <v>-3.0000000000000027E-2</v>
      </c>
      <c r="C293">
        <f>-中国_中债国债到期收益率_1年!C292+中国_中债国债到期收益率_1年!C291</f>
        <v>9.5999999999998309E-3</v>
      </c>
      <c r="D293">
        <f>-中国_中债国债到期收益率_1年!D292+中国_中债国债到期收益率_1年!D291</f>
        <v>3.4999999999998366E-3</v>
      </c>
      <c r="E293">
        <f>-中国_中债国债到期收益率_1年!E292+中国_中债国债到期收益率_1年!E291</f>
        <v>5.5000000000000604E-3</v>
      </c>
      <c r="F293">
        <f>-中国_中债国债到期收益率_1年!F292+中国_中债国债到期收益率_1年!F291</f>
        <v>2.1599999999999842E-2</v>
      </c>
      <c r="G293">
        <f>-中国_中债国债到期收益率_1年!G292+中国_中债国债到期收益率_1年!G291</f>
        <v>2.4799999999999933E-2</v>
      </c>
    </row>
    <row r="294" spans="1:7" x14ac:dyDescent="0.25">
      <c r="A294" s="6">
        <v>45138</v>
      </c>
      <c r="B294">
        <f>-中国_中债国债到期收益率_1年!B293+中国_中债国债到期收益率_1年!B292</f>
        <v>9.9999999999988987E-5</v>
      </c>
      <c r="C294">
        <f>-中国_中债国债到期收益率_1年!C293+中国_中债国债到期收益率_1年!C292</f>
        <v>-1.7799999999999816E-2</v>
      </c>
      <c r="D294">
        <f>-中国_中债国债到期收益率_1年!D293+中国_中债国债到期收益率_1年!D292</f>
        <v>-1.3800000000000257E-2</v>
      </c>
      <c r="E294">
        <f>-中国_中债国债到期收益率_1年!E293+中国_中债国债到期收益率_1年!E292</f>
        <v>-1.1299999999999866E-2</v>
      </c>
      <c r="F294">
        <f>-中国_中债国债到期收益率_1年!F293+中国_中债国债到期收益率_1年!F292</f>
        <v>-8.099999999999774E-3</v>
      </c>
      <c r="G294">
        <f>-中国_中债国债到期收益率_1年!G293+中国_中债国债到期收益率_1年!G292</f>
        <v>-1.8699999999999939E-2</v>
      </c>
    </row>
    <row r="295" spans="1:7" x14ac:dyDescent="0.25">
      <c r="A295" s="6">
        <v>45139</v>
      </c>
      <c r="B295">
        <f>-中国_中债国债到期收益率_1年!B294+中国_中债国债到期收益率_1年!B293</f>
        <v>7.9000000000000181E-3</v>
      </c>
      <c r="C295">
        <f>-中国_中债国债到期收益率_1年!C294+中国_中债国债到期收益率_1年!C293</f>
        <v>-1.3400000000000301E-2</v>
      </c>
      <c r="D295">
        <f>-中国_中债国债到期收益率_1年!D294+中国_中债国债到期收益率_1年!D293</f>
        <v>-6.3999999999997392E-3</v>
      </c>
      <c r="E295">
        <f>-中国_中债国债到期收益率_1年!E294+中国_中债国债到期收益率_1年!E293</f>
        <v>-4.1999999999999815E-3</v>
      </c>
      <c r="F295">
        <f>-中国_中债国债到期收益率_1年!F294+中国_中债国债到期收益率_1年!F293</f>
        <v>-1.4499999999999957E-2</v>
      </c>
      <c r="G295">
        <f>-中国_中债国债到期收益率_1年!G294+中国_中债国债到期收益率_1年!G293</f>
        <v>-2.729999999999988E-2</v>
      </c>
    </row>
    <row r="296" spans="1:7" x14ac:dyDescent="0.25">
      <c r="A296" s="6">
        <v>45140</v>
      </c>
      <c r="B296">
        <f>-中国_中债国债到期收益率_1年!B295+中国_中债国债到期收益率_1年!B294</f>
        <v>3.5100000000000131E-2</v>
      </c>
      <c r="C296">
        <f>-中国_中债国债到期收益率_1年!C295+中国_中债国债到期收益率_1年!C294</f>
        <v>-5.5000000000000604E-3</v>
      </c>
      <c r="D296">
        <f>-中国_中债国债到期收益率_1年!D295+中国_中债国债到期收益率_1年!D294</f>
        <v>-9.9999999999988987E-4</v>
      </c>
      <c r="E296">
        <f>-中国_中债国债到期收益率_1年!E295+中国_中债国债到期收益率_1年!E294</f>
        <v>-1.5999999999998238E-3</v>
      </c>
      <c r="F296">
        <f>-中国_中债国债到期收益率_1年!F295+中国_中债国债到期收益率_1年!F294</f>
        <v>1.9299999999999873E-2</v>
      </c>
      <c r="G296">
        <f>-中国_中债国债到期收益率_1年!G295+中国_中债国债到期收益率_1年!G294</f>
        <v>2.0700000000000163E-2</v>
      </c>
    </row>
    <row r="297" spans="1:7" x14ac:dyDescent="0.25">
      <c r="A297" s="6">
        <v>45141</v>
      </c>
      <c r="B297">
        <f>-中国_中债国债到期收益率_1年!B296+中国_中债国债到期收益率_1年!B295</f>
        <v>8.799999999999919E-3</v>
      </c>
      <c r="C297">
        <f>-中国_中债国债到期收益率_1年!C296+中国_中债国债到期收益率_1年!C295</f>
        <v>7.3000000000003062E-3</v>
      </c>
      <c r="D297">
        <f>-中国_中债国债到期收益率_1年!D296+中国_中债国债到期收益率_1年!D295</f>
        <v>8.1999999999999851E-3</v>
      </c>
      <c r="E297">
        <f>-中国_中债国债到期收益率_1年!E296+中国_中债国债到期收益率_1年!E295</f>
        <v>1.2999999999999901E-2</v>
      </c>
      <c r="F297">
        <f>-中国_中债国债到期收益率_1年!F296+中国_中债国债到期收益率_1年!F295</f>
        <v>6.2000000000002053E-3</v>
      </c>
      <c r="G297">
        <f>-中国_中债国债到期收益率_1年!G296+中国_中债国债到期收益率_1年!G295</f>
        <v>3.2999999999998586E-3</v>
      </c>
    </row>
    <row r="298" spans="1:7" x14ac:dyDescent="0.25">
      <c r="A298" s="6">
        <v>45142</v>
      </c>
      <c r="B298">
        <f>-中国_中债国债到期收益率_1年!B297+中国_中债国债到期收益率_1年!B296</f>
        <v>2.4199999999999999E-2</v>
      </c>
      <c r="C298">
        <f>-中国_中债国债到期收益率_1年!C297+中国_中债国债到期收益率_1年!C296</f>
        <v>2.7200000000000113E-2</v>
      </c>
      <c r="D298">
        <f>-中国_中债国债到期收益率_1年!D297+中国_中债国债到期收益率_1年!D296</f>
        <v>8.999999999999897E-3</v>
      </c>
      <c r="E298">
        <f>-中国_中债国债到期收益率_1年!E297+中国_中债国债到期收益率_1年!E296</f>
        <v>6.1999999999997613E-3</v>
      </c>
      <c r="F298">
        <f>-中国_中债国债到期收益率_1年!F297+中国_中债国债到期收益率_1年!F296</f>
        <v>2.6699999999999946E-2</v>
      </c>
      <c r="G298">
        <f>-中国_中债国债到期收益率_1年!G297+中国_中债国债到期收益率_1年!G296</f>
        <v>2.7400000000000091E-2</v>
      </c>
    </row>
    <row r="299" spans="1:7" x14ac:dyDescent="0.25">
      <c r="A299" s="6">
        <v>45145</v>
      </c>
      <c r="B299">
        <f>-中国_中债国债到期收益率_1年!B298+中国_中债国债到期收益率_1年!B297</f>
        <v>-9.000000000000119E-3</v>
      </c>
      <c r="C299">
        <f>-中国_中债国债到期收益率_1年!C298+中国_中债国债到期收益率_1年!C297</f>
        <v>-2.6000000000001577E-3</v>
      </c>
      <c r="D299">
        <f>-中国_中债国债到期收益率_1年!D298+中国_中债国债到期收益率_1年!D297</f>
        <v>-3.4000000000000696E-3</v>
      </c>
      <c r="E299">
        <f>-中国_中债国债到期收益率_1年!E298+中国_中债国债到期收益率_1年!E297</f>
        <v>0</v>
      </c>
      <c r="F299">
        <f>-中国_中债国债到期收益率_1年!F298+中国_中债国债到期收益率_1年!F297</f>
        <v>1.4499999999999957E-2</v>
      </c>
      <c r="G299">
        <f>-中国_中债国债到期收益率_1年!G298+中国_中债国债到期收益率_1年!G297</f>
        <v>4.7999999999999154E-3</v>
      </c>
    </row>
    <row r="300" spans="1:7" x14ac:dyDescent="0.25">
      <c r="A300" s="6">
        <v>45146</v>
      </c>
      <c r="B300">
        <f>-中国_中债国债到期收益率_1年!B299+中国_中债国债到期收益率_1年!B298</f>
        <v>-8.799999999999919E-3</v>
      </c>
      <c r="C300">
        <f>-中国_中债国债到期收益率_1年!C299+中国_中债国债到期收益率_1年!C298</f>
        <v>2.0999999999999908E-3</v>
      </c>
      <c r="D300">
        <f>-中国_中债国债到期收益率_1年!D299+中国_中债国债到期收益率_1年!D298</f>
        <v>7.0000000000014495E-4</v>
      </c>
      <c r="E300">
        <f>-中国_中债国债到期收益率_1年!E299+中国_中债国债到期收益率_1年!E298</f>
        <v>2.2999999999999687E-3</v>
      </c>
      <c r="F300">
        <f>-中国_中债国债到期收益率_1年!F299+中国_中债国债到期收益率_1年!F298</f>
        <v>-1.9400000000000084E-2</v>
      </c>
      <c r="G300">
        <f>-中国_中债国债到期收益率_1年!G299+中国_中债国债到期收益率_1年!G298</f>
        <v>4.0000000000000036E-3</v>
      </c>
    </row>
    <row r="301" spans="1:7" x14ac:dyDescent="0.25">
      <c r="A301" s="6">
        <v>45147</v>
      </c>
      <c r="B301">
        <f>-中国_中债国债到期收益率_1年!B300+中国_中债国债到期收益率_1年!B299</f>
        <v>-1.9700000000000051E-2</v>
      </c>
      <c r="C301">
        <f>-中国_中债国债到期收益率_1年!C300+中国_中债国债到期收益率_1年!C299</f>
        <v>4.7999999999999154E-3</v>
      </c>
      <c r="D301">
        <f>-中国_中债国债到期收益率_1年!D300+中国_中债国债到期收益率_1年!D299</f>
        <v>7.9999999999991189E-4</v>
      </c>
      <c r="E301">
        <f>-中国_中债国债到期收益率_1年!E300+中国_中债国债到期收益率_1年!E299</f>
        <v>2.5000000000003908E-3</v>
      </c>
      <c r="F301">
        <f>-中国_中债国债到期收益率_1年!F300+中国_中债国债到期收益率_1年!F299</f>
        <v>1.2199999999999989E-2</v>
      </c>
      <c r="G301">
        <f>-中国_中债国债到期收益率_1年!G300+中国_中债国债到期收益率_1年!G299</f>
        <v>1.5000000000000568E-3</v>
      </c>
    </row>
    <row r="302" spans="1:7" x14ac:dyDescent="0.25">
      <c r="A302" s="6">
        <v>45148</v>
      </c>
      <c r="B302">
        <f>-中国_中债国债到期收益率_1年!B301+中国_中债国债到期收益率_1年!B300</f>
        <v>-2.9699999999999838E-2</v>
      </c>
      <c r="C302">
        <f>-中国_中债国债到期收益率_1年!C301+中国_中债国债到期收益率_1年!C300</f>
        <v>-2.6000000000001577E-3</v>
      </c>
      <c r="D302">
        <f>-中国_中债国债到期收益率_1年!D301+中国_中债国债到期收益率_1年!D300</f>
        <v>-7.0000000000014495E-4</v>
      </c>
      <c r="E302">
        <f>-中国_中债国债到期收益率_1年!E301+中国_中债国债到期收益率_1年!E300</f>
        <v>-1.7000000000000348E-3</v>
      </c>
      <c r="F302">
        <f>-中国_中债国债到期收益率_1年!F301+中国_中债国债到期收益率_1年!F300</f>
        <v>-3.6000000000000476E-3</v>
      </c>
      <c r="G302">
        <f>-中国_中债国债到期收益率_1年!G301+中国_中债国债到期收益率_1年!G300</f>
        <v>8.099999999999774E-3</v>
      </c>
    </row>
    <row r="303" spans="1:7" x14ac:dyDescent="0.25">
      <c r="A303" s="6">
        <v>45149</v>
      </c>
      <c r="B303">
        <f>-中国_中债国债到期收益率_1年!B302+中国_中债国债到期收益率_1年!B301</f>
        <v>-1.7200000000000104E-2</v>
      </c>
      <c r="C303">
        <f>-中国_中债国债到期收益率_1年!C302+中国_中债国债到期收益率_1年!C301</f>
        <v>-5.2999999999996383E-3</v>
      </c>
      <c r="D303">
        <f>-中国_中债国债到期收益率_1年!D302+中国_中债国债到期收益率_1年!D301</f>
        <v>-1.3999999999998458E-3</v>
      </c>
      <c r="E303">
        <f>-中国_中债国债到期收益率_1年!E302+中国_中债国债到期收益率_1年!E301</f>
        <v>-2.4000000000001798E-3</v>
      </c>
      <c r="F303">
        <f>-中国_中债国债到期收益率_1年!F302+中国_中债国债到期收益率_1年!F301</f>
        <v>-1.9999999999997797E-4</v>
      </c>
      <c r="G303">
        <f>-中国_中债国债到期收益率_1年!G302+中国_中债国债到期收益率_1年!G301</f>
        <v>-7.0999999999998842E-3</v>
      </c>
    </row>
    <row r="304" spans="1:7" x14ac:dyDescent="0.25">
      <c r="A304" s="6">
        <v>45152</v>
      </c>
      <c r="B304">
        <f>-中国_中债国债到期收益率_1年!B303+中国_中债国债到期收益率_1年!B302</f>
        <v>-4.0000000000000036E-3</v>
      </c>
      <c r="C304">
        <f>-中国_中债国债到期收益率_1年!C303+中国_中债国债到期收益率_1年!C302</f>
        <v>7.3999999999996291E-3</v>
      </c>
      <c r="D304">
        <f>-中国_中债国债到期收益率_1年!D303+中国_中债国债到期收益率_1年!D302</f>
        <v>9.3999999999998529E-3</v>
      </c>
      <c r="E304">
        <f>-中国_中债国债到期收益率_1年!E303+中国_中债国债到期收益率_1年!E302</f>
        <v>7.0000000000001172E-3</v>
      </c>
      <c r="F304">
        <f>-中国_中债国债到期收益率_1年!F303+中国_中债国债到期收益率_1年!F302</f>
        <v>1.3700000000000045E-2</v>
      </c>
      <c r="G304">
        <f>-中国_中债国债到期收益率_1年!G303+中国_中债国债到期收益率_1年!G302</f>
        <v>1.2000000000000011E-2</v>
      </c>
    </row>
    <row r="305" spans="1:7" x14ac:dyDescent="0.25">
      <c r="A305" s="6">
        <v>45153</v>
      </c>
      <c r="B305">
        <f>-中国_中债国债到期收益率_1年!B304+中国_中债国债到期收益率_1年!B303</f>
        <v>1.4899999999999913E-2</v>
      </c>
      <c r="C305">
        <f>-中国_中债国债到期收益率_1年!C304+中国_中债国债到期收益率_1年!C303</f>
        <v>1.680000000000037E-2</v>
      </c>
      <c r="D305">
        <f>-中国_中债国债到期收益率_1年!D304+中国_中债国债到期收益率_1年!D303</f>
        <v>1.6900000000000137E-2</v>
      </c>
      <c r="E305">
        <f>-中国_中债国债到期收益率_1年!E304+中国_中债国债到期收益率_1年!E303</f>
        <v>1.399999999999979E-2</v>
      </c>
      <c r="F305">
        <f>-中国_中债国债到期收益率_1年!F304+中国_中债国债到期收益率_1年!F303</f>
        <v>2.3500000000000076E-2</v>
      </c>
      <c r="G305">
        <f>-中国_中债国债到期收益率_1年!G304+中国_中债国债到期收益率_1年!G303</f>
        <v>4.1300000000000114E-2</v>
      </c>
    </row>
    <row r="306" spans="1:7" x14ac:dyDescent="0.25">
      <c r="A306" s="6">
        <v>45154</v>
      </c>
      <c r="B306">
        <f>-中国_中债国债到期收益率_1年!B305+中国_中债国债到期收益率_1年!B304</f>
        <v>-8.899999999999908E-3</v>
      </c>
      <c r="C306">
        <f>-中国_中债国债到期收益率_1年!C305+中国_中债国债到期收益率_1年!C304</f>
        <v>2.7599999999999625E-2</v>
      </c>
      <c r="D306">
        <f>-中国_中债国债到期收益率_1年!D305+中国_中债国债到期收益率_1年!D304</f>
        <v>4.5300000000000118E-2</v>
      </c>
      <c r="E306">
        <f>-中国_中债国债到期收益率_1年!E305+中国_中债国债到期收益率_1年!E304</f>
        <v>3.6799999999999944E-2</v>
      </c>
      <c r="F306">
        <f>-中国_中债国债到期收益率_1年!F305+中国_中债国债到期收益率_1年!F304</f>
        <v>4.1699999999999848E-2</v>
      </c>
      <c r="G306">
        <f>-中国_中债国债到期收益率_1年!G305+中国_中债国债到期收益率_1年!G304</f>
        <v>6.6799999999999748E-2</v>
      </c>
    </row>
    <row r="307" spans="1:7" x14ac:dyDescent="0.25">
      <c r="A307" s="6">
        <v>45155</v>
      </c>
      <c r="B307">
        <f>-中国_中债国债到期收益率_1年!B306+中国_中债国债到期收益率_1年!B305</f>
        <v>-1.2999999999999901E-2</v>
      </c>
      <c r="C307">
        <f>-中国_中债国债到期收益率_1年!C306+中国_中债国债到期收益率_1年!C305</f>
        <v>1.2199999999999989E-2</v>
      </c>
      <c r="D307">
        <f>-中国_中债国债到期收益率_1年!D306+中国_中债国债到期收益率_1年!D305</f>
        <v>1.0999999999999677E-2</v>
      </c>
      <c r="E307">
        <f>-中国_中债国债到期收益率_1年!E306+中国_中债国债到期收益率_1年!E305</f>
        <v>8.3000000000001961E-3</v>
      </c>
      <c r="F307">
        <f>-中国_中债国债到期收益率_1年!F306+中国_中债国债到期收益率_1年!F305</f>
        <v>-4.9999999999994493E-4</v>
      </c>
      <c r="G307">
        <f>-中国_中债国债到期收益率_1年!G306+中国_中债国债到期收益率_1年!G305</f>
        <v>3.9999999999995595E-4</v>
      </c>
    </row>
    <row r="308" spans="1:7" x14ac:dyDescent="0.25">
      <c r="A308" s="6">
        <v>45156</v>
      </c>
      <c r="B308">
        <f>-中国_中债国债到期收益率_1年!B307+中国_中债国债到期收益率_1年!B306</f>
        <v>-2.1999999999999797E-3</v>
      </c>
      <c r="C308">
        <f>-中国_中债国债到期收益率_1年!C307+中国_中债国债到期收益率_1年!C306</f>
        <v>-5.2999999999996383E-3</v>
      </c>
      <c r="D308">
        <f>-中国_中债国债到期收益率_1年!D307+中国_中债国债到期收益率_1年!D306</f>
        <v>-2.8999999999999027E-3</v>
      </c>
      <c r="E308">
        <f>-中国_中债国债到期收益率_1年!E307+中国_中债国债到期收益率_1年!E306</f>
        <v>-2.6000000000001577E-3</v>
      </c>
      <c r="F308">
        <f>-中国_中债国债到期收益率_1年!F307+中国_中债国债到期收益率_1年!F306</f>
        <v>-3.6000000000000476E-3</v>
      </c>
      <c r="G308">
        <f>-中国_中债国债到期收益率_1年!G307+中国_中债国债到期收益率_1年!G306</f>
        <v>-1.089999999999991E-2</v>
      </c>
    </row>
    <row r="309" spans="1:7" x14ac:dyDescent="0.25">
      <c r="A309" s="6">
        <v>45159</v>
      </c>
      <c r="B309">
        <f>-中国_中债国债到期收益率_1年!B308+中国_中债国债到期收益率_1年!B307</f>
        <v>7.3999999999998511E-3</v>
      </c>
      <c r="C309">
        <f>-中国_中债国债到期收益率_1年!C308+中国_中债国债到期收益率_1年!C307</f>
        <v>4.5999999999999375E-3</v>
      </c>
      <c r="D309">
        <f>-中国_中债国债到期收益率_1年!D308+中国_中债国债到期收益率_1年!D307</f>
        <v>3.9000000000002366E-3</v>
      </c>
      <c r="E309">
        <f>-中国_中债国债到期收益率_1年!E308+中国_中债国债到期收益率_1年!E307</f>
        <v>6.0000000000002274E-3</v>
      </c>
      <c r="F309">
        <f>-中国_中债国债到期收益率_1年!F308+中国_中债国债到期收益率_1年!F307</f>
        <v>1.1700000000000044E-2</v>
      </c>
      <c r="G309">
        <f>-中国_中债国债到期收益率_1年!G308+中国_中债国债到期收益率_1年!G307</f>
        <v>1.7100000000000115E-2</v>
      </c>
    </row>
    <row r="310" spans="1:7" x14ac:dyDescent="0.25">
      <c r="A310" s="6">
        <v>45160</v>
      </c>
      <c r="B310">
        <f>-中国_中债国债到期收益率_1年!B309+中国_中债国债到期收益率_1年!B308</f>
        <v>-3.8200000000000012E-2</v>
      </c>
      <c r="C310">
        <f>-中国_中债国债到期收益率_1年!C309+中国_中债国债到期收益率_1年!C308</f>
        <v>2.0099999999999785E-2</v>
      </c>
      <c r="D310">
        <f>-中国_中债国债到期收益率_1年!D309+中国_中债国债到期收益率_1年!D308</f>
        <v>2.3600000000000065E-2</v>
      </c>
      <c r="E310">
        <f>-中国_中债国债到期收益率_1年!E309+中国_中债国债到期收益率_1年!E308</f>
        <v>3.3099999999999685E-2</v>
      </c>
      <c r="F310">
        <f>-中国_中债国债到期收益率_1年!F309+中国_中债国债到期收益率_1年!F308</f>
        <v>1.3000000000000123E-2</v>
      </c>
      <c r="G310">
        <f>-中国_中债国债到期收益率_1年!G309+中国_中债国债到期收益率_1年!G308</f>
        <v>3.279999999999994E-2</v>
      </c>
    </row>
    <row r="311" spans="1:7" x14ac:dyDescent="0.25">
      <c r="A311" s="6">
        <v>45161</v>
      </c>
      <c r="B311">
        <f>-中国_中债国债到期收益率_1年!B310+中国_中债国债到期收益率_1年!B309</f>
        <v>-2.849999999999997E-2</v>
      </c>
      <c r="C311">
        <f>-中国_中债国债到期收益率_1年!C310+中国_中债国债到期收益率_1年!C309</f>
        <v>-1.7999999999999794E-2</v>
      </c>
      <c r="D311">
        <f>-中国_中债国债到期收益率_1年!D310+中国_中债国债到期收益率_1年!D309</f>
        <v>-1.6100000000000225E-2</v>
      </c>
      <c r="E311">
        <f>-中国_中债国债到期收益率_1年!E310+中国_中债国债到期收益率_1年!E309</f>
        <v>-4.3999999999999595E-3</v>
      </c>
      <c r="F311">
        <f>-中国_中债国债到期收益率_1年!F310+中国_中债国债到期收益率_1年!F309</f>
        <v>-1.540000000000008E-2</v>
      </c>
      <c r="G311">
        <f>-中国_中债国债到期收益率_1年!G310+中国_中债国债到期收益率_1年!G309</f>
        <v>-1.6000000000000014E-2</v>
      </c>
    </row>
    <row r="312" spans="1:7" x14ac:dyDescent="0.25">
      <c r="A312" s="6">
        <v>45162</v>
      </c>
      <c r="B312">
        <f>-中国_中债国债到期收益率_1年!B311+中国_中债国债到期收益率_1年!B310</f>
        <v>2.5999999999999357E-3</v>
      </c>
      <c r="C312">
        <f>-中国_中债国债到期收益率_1年!C311+中国_中债国债到期收益率_1年!C310</f>
        <v>-2.8999999999999027E-3</v>
      </c>
      <c r="D312">
        <f>-中国_中债国债到期收益率_1年!D311+中国_中债国债到期收益率_1年!D310</f>
        <v>2.8999999999999027E-3</v>
      </c>
      <c r="E312">
        <f>-中国_中债国债到期收益率_1年!E311+中国_中债国债到期收益率_1年!E310</f>
        <v>1.0400000000000187E-2</v>
      </c>
      <c r="F312">
        <f>-中国_中债国债到期收益率_1年!F311+中国_中债国债到期收益率_1年!F310</f>
        <v>-1.6000000000000458E-3</v>
      </c>
      <c r="G312">
        <f>-中国_中债国债到期收益率_1年!G311+中国_中债国债到期收益率_1年!G310</f>
        <v>-1.2799999999999923E-2</v>
      </c>
    </row>
    <row r="313" spans="1:7" x14ac:dyDescent="0.25">
      <c r="A313" s="6">
        <v>45163</v>
      </c>
      <c r="B313">
        <f>-中国_中债国债到期收益率_1年!B312+中国_中债国债到期收益率_1年!B311</f>
        <v>1.9200000000000106E-2</v>
      </c>
      <c r="C313">
        <f>-中国_中债国债到期收益率_1年!C312+中国_中债国债到期收益率_1年!C311</f>
        <v>1.1999999999998678E-3</v>
      </c>
      <c r="D313">
        <f>-中国_中债国债到期收益率_1年!D312+中国_中债国债到期收益率_1年!D311</f>
        <v>-7.9999999999991189E-4</v>
      </c>
      <c r="E313">
        <f>-中国_中债国债到期收益率_1年!E312+中国_中债国债到期收益率_1年!E311</f>
        <v>2.1999999999997577E-3</v>
      </c>
      <c r="F313">
        <f>-中国_中债国债到期收益率_1年!F312+中国_中债国债到期收益率_1年!F311</f>
        <v>1.2700000000000156E-2</v>
      </c>
      <c r="G313">
        <f>-中国_中债国债到期收益率_1年!G312+中国_中债国债到期收益率_1年!G311</f>
        <v>8.999999999999897E-3</v>
      </c>
    </row>
    <row r="314" spans="1:7" x14ac:dyDescent="0.25">
      <c r="A314" s="6">
        <v>45166</v>
      </c>
      <c r="B314">
        <f>-中国_中债国债到期收益率_1年!B313+中国_中债国债到期收益率_1年!B312</f>
        <v>-1.7900000000000027E-2</v>
      </c>
      <c r="C314">
        <f>-中国_中债国债到期收益率_1年!C313+中国_中债国债到期收益率_1年!C312</f>
        <v>-2.2400000000000198E-2</v>
      </c>
      <c r="D314">
        <f>-中国_中债国债到期收益率_1年!D313+中国_中债国债到期收益率_1年!D312</f>
        <v>-1.5899999999999803E-2</v>
      </c>
      <c r="E314">
        <f>-中国_中债国债到期收益率_1年!E313+中国_中债国债到期收益率_1年!E312</f>
        <v>-6.4999999999999503E-3</v>
      </c>
      <c r="F314">
        <f>-中国_中债国债到期收益率_1年!F313+中国_中债国债到期收益率_1年!F312</f>
        <v>-2.1900000000000031E-2</v>
      </c>
      <c r="G314">
        <f>-中国_中债国债到期收益率_1年!G313+中国_中债国债到期收益率_1年!G312</f>
        <v>-1.7300000000000093E-2</v>
      </c>
    </row>
    <row r="315" spans="1:7" x14ac:dyDescent="0.25">
      <c r="A315" s="6">
        <v>45167</v>
      </c>
      <c r="B315">
        <f>-中国_中债国债到期收益率_1年!B314+中国_中债国债到期收益率_1年!B313</f>
        <v>-2.9400000000000093E-2</v>
      </c>
      <c r="C315">
        <f>-中国_中债国债到期收益率_1年!C314+中国_中债国债到期收益率_1年!C313</f>
        <v>-1.980000000000004E-2</v>
      </c>
      <c r="D315">
        <f>-中国_中债国债到期收益率_1年!D314+中国_中债国债到期收益率_1年!D313</f>
        <v>-1.3500000000000068E-2</v>
      </c>
      <c r="E315">
        <f>-中国_中债国债到期收益率_1年!E314+中国_中债国债到期收益率_1年!E313</f>
        <v>-7.8000000000000291E-3</v>
      </c>
      <c r="F315">
        <f>-中国_中债国债到期收益率_1年!F314+中国_中债国债到期收益率_1年!F313</f>
        <v>-2.410000000000001E-2</v>
      </c>
      <c r="G315">
        <f>-中国_中债国债到期收益率_1年!G314+中国_中债国债到期收益率_1年!G313</f>
        <v>-3.8399999999999768E-2</v>
      </c>
    </row>
    <row r="316" spans="1:7" x14ac:dyDescent="0.25">
      <c r="A316" s="6">
        <v>45168</v>
      </c>
      <c r="B316">
        <f>-中国_中债国债到期收益率_1年!B315+中国_中债国债到期收益率_1年!B314</f>
        <v>-6.569999999999987E-2</v>
      </c>
      <c r="C316">
        <f>-中国_中债国债到期收益率_1年!C315+中国_中债国债到期收益率_1年!C314</f>
        <v>-1.2799999999999923E-2</v>
      </c>
      <c r="D316">
        <f>-中国_中债国债到期收益率_1年!D315+中国_中债国债到期收益率_1年!D314</f>
        <v>1.3700000000000045E-2</v>
      </c>
      <c r="E316">
        <f>-中国_中债国债到期收益率_1年!E315+中国_中债国债到期收益率_1年!E314</f>
        <v>-5.0999999999996604E-3</v>
      </c>
      <c r="F316">
        <f>-中国_中债国债到期收益率_1年!F315+中国_中债国债到期收益率_1年!F314</f>
        <v>-5.8000000000000274E-3</v>
      </c>
      <c r="G316">
        <f>-中国_中债国债到期收益率_1年!G315+中国_中债国债到期收益率_1年!G314</f>
        <v>2.8999999999999027E-3</v>
      </c>
    </row>
    <row r="317" spans="1:7" x14ac:dyDescent="0.25">
      <c r="A317" s="6">
        <v>45169</v>
      </c>
      <c r="B317">
        <f>-中国_中债国债到期收益率_1年!B316+中国_中债国债到期收益率_1年!B315</f>
        <v>5.0999999999999934E-2</v>
      </c>
      <c r="C317">
        <f>-中国_中债国债到期收益率_1年!C316+中国_中债国债到期收益率_1年!C315</f>
        <v>2.1400000000000308E-2</v>
      </c>
      <c r="D317">
        <f>-中国_中债国债到期收益率_1年!D316+中国_中债国债到期收益率_1年!D315</f>
        <v>9.9999999999997868E-3</v>
      </c>
      <c r="E317">
        <f>-中国_中债国债到期收益率_1年!E316+中国_中债国债到期收益率_1年!E315</f>
        <v>-2.0000000000002238E-3</v>
      </c>
      <c r="F317">
        <f>-中国_中债国债到期收益率_1年!F316+中国_中债国债到期收益率_1年!F315</f>
        <v>6.5999999999999392E-3</v>
      </c>
      <c r="G317">
        <f>-中国_中债国债到期收益率_1年!G316+中国_中债国债到期收益率_1年!G315</f>
        <v>1.1400000000000077E-2</v>
      </c>
    </row>
    <row r="318" spans="1:7" x14ac:dyDescent="0.25">
      <c r="A318" s="6">
        <v>45170</v>
      </c>
      <c r="B318">
        <f>-中国_中债国债到期收益率_1年!B317+中国_中债国债到期收益率_1年!B316</f>
        <v>3.4100000000000019E-2</v>
      </c>
      <c r="C318">
        <f>-中国_中债国债到期收益率_1年!C317+中国_中债国债到期收益率_1年!C316</f>
        <v>-7.0000000000014495E-4</v>
      </c>
      <c r="D318">
        <f>-中国_中债国债到期收益率_1年!D317+中国_中债国债到期收益率_1年!D316</f>
        <v>2.4999999999999467E-3</v>
      </c>
      <c r="E318">
        <f>-中国_中债国债到期收益率_1年!E317+中国_中债国债到期收益率_1年!E316</f>
        <v>-9.9999999999766942E-5</v>
      </c>
      <c r="F318">
        <f>-中国_中债国债到期收益率_1年!F317+中国_中债国债到期收益率_1年!F316</f>
        <v>3.5000000000000586E-3</v>
      </c>
      <c r="G318">
        <f>-中国_中债国债到期收益率_1年!G317+中国_中债国债到期收益率_1年!G316</f>
        <v>4.7000000000001485E-3</v>
      </c>
    </row>
    <row r="319" spans="1:7" x14ac:dyDescent="0.25">
      <c r="A319" s="6">
        <v>45173</v>
      </c>
      <c r="B319">
        <f>-中国_中债国债到期收益率_1年!B318+中国_中债国债到期收益率_1年!B317</f>
        <v>-5.2699999999999969E-2</v>
      </c>
      <c r="C319">
        <f>-中国_中债国债到期收益率_1年!C318+中国_中债国债到期收益率_1年!C317</f>
        <v>-3.860000000000019E-2</v>
      </c>
      <c r="D319">
        <f>-中国_中债国债到期收益率_1年!D318+中国_中债国债到期收益率_1年!D317</f>
        <v>-2.7499999999999858E-2</v>
      </c>
      <c r="E319">
        <f>-中国_中债国债到期收益率_1年!E318+中国_中债国债到期收益率_1年!E317</f>
        <v>-2.53000000000001E-2</v>
      </c>
      <c r="F319">
        <f>-中国_中债国债到期收益率_1年!F318+中国_中债国债到期收益率_1年!F317</f>
        <v>-1.9100000000000117E-2</v>
      </c>
      <c r="G319">
        <f>-中国_中债国债到期收益率_1年!G318+中国_中债国债到期收益率_1年!G317</f>
        <v>-4.0599999999999969E-2</v>
      </c>
    </row>
    <row r="320" spans="1:7" x14ac:dyDescent="0.25">
      <c r="A320" s="6">
        <v>45174</v>
      </c>
      <c r="B320">
        <f>-中国_中债国债到期收益率_1年!B319+中国_中债国债到期收益率_1年!B318</f>
        <v>-2.4399999999999977E-2</v>
      </c>
      <c r="C320">
        <f>-中国_中债国债到期收益率_1年!C319+中国_中债国债到期收益率_1年!C318</f>
        <v>-3.0899999999999928E-2</v>
      </c>
      <c r="D320">
        <f>-中国_中债国债到期收益率_1年!D319+中国_中债国债到期收益率_1年!D318</f>
        <v>-2.7400000000000091E-2</v>
      </c>
      <c r="E320">
        <f>-中国_中债国债到期收益率_1年!E319+中国_中债国债到期收益率_1年!E318</f>
        <v>-3.3100000000000129E-2</v>
      </c>
      <c r="F320">
        <f>-中国_中债国债到期收益率_1年!F319+中国_中债国债到期收益率_1年!F318</f>
        <v>-2.3299999999999876E-2</v>
      </c>
      <c r="G320">
        <f>-中国_中债国债到期收益率_1年!G319+中国_中债国债到期收益率_1年!G318</f>
        <v>-4.510000000000014E-2</v>
      </c>
    </row>
    <row r="321" spans="1:7" x14ac:dyDescent="0.25">
      <c r="A321" s="6">
        <v>45175</v>
      </c>
      <c r="B321">
        <f>-中国_中债国债到期收益率_1年!B320+中国_中债国债到期收益率_1年!B319</f>
        <v>-1.0699999999999932E-2</v>
      </c>
      <c r="C321">
        <f>-中国_中债国债到期收益率_1年!C320+中国_中债国债到期收益率_1年!C319</f>
        <v>-5.9999999999993392E-4</v>
      </c>
      <c r="D321">
        <f>-中国_中债国债到期收益率_1年!D320+中国_中债国债到期收益率_1年!D319</f>
        <v>-2.6000000000001577E-3</v>
      </c>
      <c r="E321">
        <f>-中国_中债国债到期收益率_1年!E320+中国_中债国债到期收益率_1年!E319</f>
        <v>-5.5000000000000604E-3</v>
      </c>
      <c r="F321">
        <f>-中国_中债国债到期收益率_1年!F320+中国_中债国债到期收益率_1年!F319</f>
        <v>2.0000000000000018E-3</v>
      </c>
      <c r="G321">
        <f>-中国_中债国债到期收益率_1年!G320+中国_中债国债到期收益率_1年!G319</f>
        <v>7.8000000000000291E-3</v>
      </c>
    </row>
    <row r="322" spans="1:7" x14ac:dyDescent="0.25">
      <c r="A322" s="6">
        <v>45176</v>
      </c>
      <c r="B322">
        <f>-中国_中债国债到期收益率_1年!B321+中国_中债国债到期收益率_1年!B320</f>
        <v>-8.7199999999999944E-2</v>
      </c>
      <c r="C322">
        <f>-中国_中债国债到期收益率_1年!C321+中国_中债国债到期收益率_1年!C320</f>
        <v>-3.4199999999999786E-2</v>
      </c>
      <c r="D322">
        <f>-中国_中债国债到期收益率_1年!D321+中国_中债国债到期收益率_1年!D320</f>
        <v>-2.2499999999999964E-2</v>
      </c>
      <c r="E322">
        <f>-中国_中债国债到期收益率_1年!E321+中国_中债国债到期收益率_1年!E320</f>
        <v>-2.0299999999999763E-2</v>
      </c>
      <c r="F322">
        <f>-中国_中债国债到期收益率_1年!F321+中国_中债国债到期收益率_1年!F320</f>
        <v>-3.1299999999999883E-2</v>
      </c>
      <c r="G322">
        <f>-中国_中债国债到期收益率_1年!G321+中国_中债国债到期收益率_1年!G320</f>
        <v>-2.9300000000000104E-2</v>
      </c>
    </row>
    <row r="323" spans="1:7" x14ac:dyDescent="0.25">
      <c r="A323" s="6">
        <v>45177</v>
      </c>
      <c r="B323">
        <f>-中国_中债国债到期收益率_1年!B322+中国_中债国债到期收益率_1年!B321</f>
        <v>-7.3000000000003062E-3</v>
      </c>
      <c r="C323">
        <f>-中国_中债国债到期收益率_1年!C322+中国_中债国债到期收益率_1年!C321</f>
        <v>5.2999999999996383E-3</v>
      </c>
      <c r="D323">
        <f>-中国_中债国债到期收益率_1年!D322+中国_中债国债到期收益率_1年!D321</f>
        <v>2.5000000000003908E-3</v>
      </c>
      <c r="E323">
        <f>-中国_中债国债到期收益率_1年!E322+中国_中债国债到期收益率_1年!E321</f>
        <v>3.4999999999998366E-3</v>
      </c>
      <c r="F323">
        <f>-中国_中债国债到期收益率_1年!F322+中国_中债国债到期收益率_1年!F321</f>
        <v>-3.9700000000000291E-2</v>
      </c>
      <c r="G323">
        <f>-中国_中债国债到期收益率_1年!G322+中国_中债国债到期收益率_1年!G321</f>
        <v>-2.3200000000000109E-2</v>
      </c>
    </row>
    <row r="324" spans="1:7" x14ac:dyDescent="0.25">
      <c r="A324" s="6">
        <v>45180</v>
      </c>
      <c r="B324">
        <f>-中国_中债国债到期收益率_1年!B323+中国_中债国债到期收益率_1年!B322</f>
        <v>-7.8000000000000291E-3</v>
      </c>
      <c r="C324">
        <f>-中国_中债国债到期收益率_1年!C323+中国_中债国债到期收益率_1年!C322</f>
        <v>5.6000000000002714E-3</v>
      </c>
      <c r="D324">
        <f>-中国_中债国债到期收益率_1年!D323+中国_中债国债到期收益率_1年!D322</f>
        <v>-2.5000000000003908E-3</v>
      </c>
      <c r="E324">
        <f>-中国_中债国债到期收益率_1年!E323+中国_中债国债到期收益率_1年!E322</f>
        <v>-1.5000000000000568E-3</v>
      </c>
      <c r="F324">
        <f>-中国_中债国债到期收益率_1年!F323+中国_中债国债到期收益率_1年!F322</f>
        <v>1.2000000000003119E-3</v>
      </c>
      <c r="G324">
        <f>-中国_中债国债到期收益率_1年!G323+中国_中债国债到期收益率_1年!G322</f>
        <v>2.0000000000002238E-3</v>
      </c>
    </row>
    <row r="325" spans="1:7" x14ac:dyDescent="0.25">
      <c r="A325" s="6">
        <v>45181</v>
      </c>
      <c r="B325">
        <f>-中国_中债国债到期收益率_1年!B324+中国_中债国债到期收益率_1年!B323</f>
        <v>-4.0000000000000036E-2</v>
      </c>
      <c r="C325">
        <f>-中国_中债国债到期收益率_1年!C324+中国_中债国债到期收益率_1年!C323</f>
        <v>0</v>
      </c>
      <c r="D325">
        <f>-中国_中债国债到期收益率_1年!D324+中国_中债国债到期收益率_1年!D323</f>
        <v>7.5000000000002842E-3</v>
      </c>
      <c r="E325">
        <f>-中国_中债国债到期收益率_1年!E324+中国_中债国债到期收益率_1年!E323</f>
        <v>1.9000000000000128E-3</v>
      </c>
      <c r="F325">
        <f>-中国_中债国债到期收益率_1年!F324+中国_中债国债到期收益率_1年!F323</f>
        <v>-2.2700000000000387E-2</v>
      </c>
      <c r="G325">
        <f>-中国_中债国债到期收益率_1年!G324+中国_中债国债到期收益率_1年!G323</f>
        <v>-9.5000000000000639E-3</v>
      </c>
    </row>
    <row r="326" spans="1:7" x14ac:dyDescent="0.25">
      <c r="A326" s="6">
        <v>45182</v>
      </c>
      <c r="B326">
        <f>-中国_中债国债到期收益率_1年!B325+中国_中债国债到期收益率_1年!B324</f>
        <v>1.0000000000000231E-2</v>
      </c>
      <c r="C326">
        <f>-中国_中债国债到期收益率_1年!C325+中国_中债国债到期收益率_1年!C324</f>
        <v>1.2199999999999989E-2</v>
      </c>
      <c r="D326">
        <f>-中国_中债国债到期收益率_1年!D325+中国_中债国债到期收益率_1年!D324</f>
        <v>6.9999999999996732E-3</v>
      </c>
      <c r="E326">
        <f>-中国_中债国债到期收益率_1年!E325+中国_中债国债到期收益率_1年!E324</f>
        <v>5.9999999999993392E-4</v>
      </c>
      <c r="F326">
        <f>-中国_中债国债到期收益率_1年!F325+中国_中债国债到期收益率_1年!F324</f>
        <v>3.5400000000000098E-2</v>
      </c>
      <c r="G326">
        <f>-中国_中债国债到期收益率_1年!G325+中国_中债国债到期收益率_1年!G324</f>
        <v>3.4399999999999764E-2</v>
      </c>
    </row>
    <row r="327" spans="1:7" x14ac:dyDescent="0.25">
      <c r="A327" s="6">
        <v>45183</v>
      </c>
      <c r="B327">
        <f>-中国_中债国债到期收益率_1年!B326+中国_中债国债到期收益率_1年!B325</f>
        <v>2.2499999999999964E-2</v>
      </c>
      <c r="C327">
        <f>-中国_中债国债到期收益率_1年!C326+中国_中债国债到期收益率_1年!C325</f>
        <v>1.2299999999999756E-2</v>
      </c>
      <c r="D327">
        <f>-中国_中债国债到期收益率_1年!D326+中国_中债国债到期收益率_1年!D325</f>
        <v>8.0000000000000071E-3</v>
      </c>
      <c r="E327">
        <f>-中国_中债国债到期收益率_1年!E326+中国_中债国债到期收益率_1年!E325</f>
        <v>9.200000000000319E-3</v>
      </c>
      <c r="F327">
        <f>-中国_中债国债到期收益率_1年!F326+中国_中债国债到期收益率_1年!F325</f>
        <v>2.4900000000000144E-2</v>
      </c>
      <c r="G327">
        <f>-中国_中债国债到期收益率_1年!G326+中国_中债国债到期收益率_1年!G325</f>
        <v>2.2700000000000387E-2</v>
      </c>
    </row>
    <row r="328" spans="1:7" x14ac:dyDescent="0.25">
      <c r="A328" s="6">
        <v>45184</v>
      </c>
      <c r="B328">
        <f>-中国_中债国债到期收益率_1年!B327+中国_中债国债到期收益率_1年!B326</f>
        <v>0</v>
      </c>
      <c r="C328">
        <f>-中国_中债国债到期收益率_1年!C327+中国_中债国债到期收益率_1年!C326</f>
        <v>6.4999999999999503E-3</v>
      </c>
      <c r="D328">
        <f>-中国_中债国债到期收益率_1年!D327+中国_中债国债到期收益率_1年!D326</f>
        <v>7.5000000000002842E-3</v>
      </c>
      <c r="E328">
        <f>-中国_中债国债到期收益率_1年!E327+中国_中债国债到期收益率_1年!E326</f>
        <v>1.8699999999999939E-2</v>
      </c>
      <c r="F328">
        <f>-中国_中债国债到期收益率_1年!F327+中国_中债国债到期收益率_1年!F326</f>
        <v>-5.3999999999998494E-3</v>
      </c>
      <c r="G328">
        <f>-中国_中债国债到期收益率_1年!G327+中国_中债国债到期收益率_1年!G326</f>
        <v>4.9999999999998934E-3</v>
      </c>
    </row>
    <row r="329" spans="1:7" x14ac:dyDescent="0.25">
      <c r="A329" s="6">
        <v>45187</v>
      </c>
      <c r="B329">
        <f>-中国_中债国债到期收益率_1年!B328+中国_中债国债到期收益率_1年!B327</f>
        <v>-2.9999999999999805E-2</v>
      </c>
      <c r="C329">
        <f>-中国_中债国债到期收益率_1年!C328+中国_中债国债到期收益率_1年!C327</f>
        <v>-3.1899999999999817E-2</v>
      </c>
      <c r="D329">
        <f>-中国_中债国债到期收益率_1年!D328+中国_中债国债到期收益率_1年!D327</f>
        <v>-3.2500000000000195E-2</v>
      </c>
      <c r="E329">
        <f>-中国_中债国债到期收益率_1年!E328+中国_中债国债到期收益率_1年!E327</f>
        <v>-2.9500000000000082E-2</v>
      </c>
      <c r="F329">
        <f>-中国_中债国债到期收益率_1年!F328+中国_中债国债到期收益率_1年!F327</f>
        <v>4.8999999999996824E-3</v>
      </c>
      <c r="G329">
        <f>-中国_中债国债到期收益率_1年!G328+中国_中债国债到期收益率_1年!G327</f>
        <v>-8.1999999999999851E-3</v>
      </c>
    </row>
    <row r="330" spans="1:7" x14ac:dyDescent="0.25">
      <c r="A330" s="6">
        <v>45188</v>
      </c>
      <c r="B330">
        <f>-中国_中债国债到期收益率_1年!B329+中国_中债国债到期收益率_1年!B328</f>
        <v>-4.0000000000000036E-2</v>
      </c>
      <c r="C330">
        <f>-中国_中债国债到期收益率_1年!C329+中国_中债国债到期收益率_1年!C328</f>
        <v>-1.8699999999999939E-2</v>
      </c>
      <c r="D330">
        <f>-中国_中债国债到期收益率_1年!D329+中国_中债国债到期收益率_1年!D328</f>
        <v>-9.9999999999997868E-3</v>
      </c>
      <c r="E330">
        <f>-中国_中债国债到期收益率_1年!E329+中国_中债国债到期收益率_1年!E328</f>
        <v>-1.0000000000021103E-4</v>
      </c>
      <c r="F330">
        <f>-中国_中债国债到期收益率_1年!F329+中国_中债国债到期收益率_1年!F328</f>
        <v>-4.1599999999999859E-2</v>
      </c>
      <c r="G330">
        <f>-中国_中债国债到期收益率_1年!G329+中国_中债国债到期收益率_1年!G328</f>
        <v>-4.3499999999999872E-2</v>
      </c>
    </row>
    <row r="331" spans="1:7" x14ac:dyDescent="0.25">
      <c r="A331" s="6">
        <v>45189</v>
      </c>
      <c r="B331">
        <f>-中国_中债国债到期收益率_1年!B330+中国_中债国债到期收益率_1年!B329</f>
        <v>-1.5000000000000124E-2</v>
      </c>
      <c r="C331">
        <f>-中国_中债国债到期收益率_1年!C330+中国_中债国债到期收益率_1年!C329</f>
        <v>-1.0800000000000143E-2</v>
      </c>
      <c r="D331">
        <f>-中国_中债国债到期收益率_1年!D330+中国_中债国债到期收益率_1年!D329</f>
        <v>-1.2500000000000178E-2</v>
      </c>
      <c r="E331">
        <f>-中国_中债国债到期收益率_1年!E330+中国_中债国债到期收益率_1年!E329</f>
        <v>-5.3999999999998494E-3</v>
      </c>
      <c r="F331">
        <f>-中国_中债国债到期收益率_1年!F330+中国_中债国债到期收益率_1年!F329</f>
        <v>-9.1999999999998749E-3</v>
      </c>
      <c r="G331">
        <f>-中国_中债国债到期收益率_1年!G330+中国_中债国债到期收益率_1年!G329</f>
        <v>8.0000000000000071E-3</v>
      </c>
    </row>
    <row r="332" spans="1:7" x14ac:dyDescent="0.25">
      <c r="A332" s="6">
        <v>45190</v>
      </c>
      <c r="B332">
        <f>-中国_中债国债到期收益率_1年!B331+中国_中债国债到期收益率_1年!B330</f>
        <v>-2.0000000000000018E-2</v>
      </c>
      <c r="C332">
        <f>-中国_中债国债到期收益率_1年!C331+中国_中债国债到期收益率_1年!C330</f>
        <v>2.2999999999999687E-3</v>
      </c>
      <c r="D332">
        <f>-中国_中债国债到期收益率_1年!D331+中国_中债国债到期收益率_1年!D330</f>
        <v>-2.4999999999999467E-3</v>
      </c>
      <c r="E332">
        <f>-中国_中债国债到期收益率_1年!E331+中国_中债国债到期收益率_1年!E330</f>
        <v>-2.3999999999997357E-3</v>
      </c>
      <c r="F332">
        <f>-中国_中债国债到期收益率_1年!F331+中国_中债国债到期收益率_1年!F330</f>
        <v>3.2999999999998586E-3</v>
      </c>
      <c r="G332">
        <f>-中国_中债国债到期收益率_1年!G331+中国_中债国债到期收益率_1年!G330</f>
        <v>2.0999999999999908E-3</v>
      </c>
    </row>
    <row r="333" spans="1:7" x14ac:dyDescent="0.25">
      <c r="A333" s="6">
        <v>45191</v>
      </c>
      <c r="B333">
        <f>-中国_中债国债到期收益率_1年!B332+中国_中债国债到期收益率_1年!B331</f>
        <v>2.0000000000000018E-2</v>
      </c>
      <c r="C333">
        <f>-中国_中债国债到期收益率_1年!C332+中国_中债国债到期收益率_1年!C331</f>
        <v>1.1900000000000244E-2</v>
      </c>
      <c r="D333">
        <f>-中国_中债国债到期收益率_1年!D332+中国_中债国债到期收益率_1年!D331</f>
        <v>7.4000000000000732E-3</v>
      </c>
      <c r="E333">
        <f>-中国_中债国债到期收益率_1年!E332+中国_中债国债到期收益率_1年!E331</f>
        <v>7.8999999999997961E-3</v>
      </c>
      <c r="F333">
        <f>-中国_中债国债到期收益率_1年!F332+中国_中债国债到期收益率_1年!F331</f>
        <v>2.3099999999999898E-2</v>
      </c>
      <c r="G333">
        <f>-中国_中债国债到期收益率_1年!G332+中国_中债国债到期收益率_1年!G331</f>
        <v>2.5099999999999678E-2</v>
      </c>
    </row>
    <row r="334" spans="1:7" x14ac:dyDescent="0.25">
      <c r="A334" s="6">
        <v>45194</v>
      </c>
      <c r="B334">
        <f>-中国_中债国债到期收益率_1年!B333+中国_中债国债到期收益率_1年!B332</f>
        <v>-1.0000000000000231E-2</v>
      </c>
      <c r="C334">
        <f>-中国_中债国债到期收益率_1年!C333+中国_中债国债到期收益率_1年!C332</f>
        <v>-2.0399999999999974E-2</v>
      </c>
      <c r="D334">
        <f>-中国_中债国债到期收益率_1年!D333+中国_中债国债到期收益率_1年!D332</f>
        <v>-2.0000000000000018E-2</v>
      </c>
      <c r="E334">
        <f>-中国_中债国债到期收益率_1年!E333+中国_中债国债到期收益率_1年!E332</f>
        <v>-1.3100000000000112E-2</v>
      </c>
      <c r="F334">
        <f>-中国_中债国债到期收益率_1年!F333+中国_中债国债到期收益率_1年!F332</f>
        <v>4.5999999999999375E-3</v>
      </c>
      <c r="G334">
        <f>-中国_中债国债到期收益率_1年!G333+中国_中债国债到期收益率_1年!G332</f>
        <v>-1.5699999999999825E-2</v>
      </c>
    </row>
    <row r="335" spans="1:7" x14ac:dyDescent="0.25">
      <c r="A335" s="6">
        <v>45195</v>
      </c>
      <c r="B335">
        <f>-中国_中债国债到期收益率_1年!B334+中国_中债国债到期收益率_1年!B333</f>
        <v>-1.499999999999968E-2</v>
      </c>
      <c r="C335">
        <f>-中国_中债国债到期收益率_1年!C334+中国_中债国债到期收益率_1年!C333</f>
        <v>-2.1500000000000075E-2</v>
      </c>
      <c r="D335">
        <f>-中国_中债国债到期收益率_1年!D334+中国_中债国债到期收益率_1年!D333</f>
        <v>-2.0000000000000018E-2</v>
      </c>
      <c r="E335">
        <f>-中国_中债国债到期收益率_1年!E334+中国_中债国债到期收益率_1年!E333</f>
        <v>-1.4799999999999702E-2</v>
      </c>
      <c r="F335">
        <f>-中国_中债国债到期收益率_1年!F334+中国_中债国债到期收益率_1年!F333</f>
        <v>-1.2399999999999967E-2</v>
      </c>
      <c r="G335">
        <f>-中国_中债国债到期收益率_1年!G334+中国_中债国债到期收益率_1年!G333</f>
        <v>-1.0099999999999998E-2</v>
      </c>
    </row>
    <row r="336" spans="1:7" x14ac:dyDescent="0.25">
      <c r="A336" s="6">
        <v>45196</v>
      </c>
      <c r="B336">
        <f>-中国_中债国债到期收益率_1年!B335+中国_中债国债到期收益率_1年!B334</f>
        <v>-2.0000000000000018E-2</v>
      </c>
      <c r="C336">
        <f>-中国_中债国债到期收益率_1年!C335+中国_中债国债到期收益率_1年!C334</f>
        <v>1.9999999999997797E-3</v>
      </c>
      <c r="D336">
        <f>-中国_中债国债到期收益率_1年!D335+中国_中债国债到期收益率_1年!D334</f>
        <v>2.4999999999999467E-3</v>
      </c>
      <c r="E336">
        <f>-中国_中债国债到期收益率_1年!E335+中国_中债国债到期收益率_1年!E334</f>
        <v>5.0999999999996604E-3</v>
      </c>
      <c r="F336">
        <f>-中国_中债国债到期收益率_1年!F335+中国_中债国债到期收益率_1年!F334</f>
        <v>-1.499999999999968E-2</v>
      </c>
      <c r="G336">
        <f>-中国_中债国债到期收益率_1年!G335+中国_中债国债到期收益率_1年!G334</f>
        <v>-1.2000000000000011E-2</v>
      </c>
    </row>
    <row r="337" spans="1:7" x14ac:dyDescent="0.25">
      <c r="A337" s="6">
        <v>45197</v>
      </c>
      <c r="B337">
        <f>-中国_中债国债到期收益率_1年!B336+中国_中债国债到期收益率_1年!B335</f>
        <v>2.4999999999999911E-2</v>
      </c>
      <c r="C337">
        <f>-中国_中债国债到期收益率_1年!C336+中国_中债国债到期收益率_1年!C335</f>
        <v>1.3700000000000045E-2</v>
      </c>
      <c r="D337">
        <f>-中国_中债国债到期收益率_1年!D336+中国_中债国债到期收益率_1年!D335</f>
        <v>7.4000000000000732E-3</v>
      </c>
      <c r="E337">
        <f>-中国_中债国债到期收益率_1年!E336+中国_中债国债到期收益率_1年!E335</f>
        <v>-1.9999999999997797E-4</v>
      </c>
      <c r="F337">
        <f>-中国_中债国债到期收益率_1年!F336+中国_中债国债到期收益率_1年!F335</f>
        <v>2.4199999999999999E-2</v>
      </c>
      <c r="G337">
        <f>-中国_中债国债到期收益率_1年!G336+中国_中债国债到期收益率_1年!G335</f>
        <v>1.2599999999999945E-2</v>
      </c>
    </row>
    <row r="338" spans="1:7" x14ac:dyDescent="0.25">
      <c r="A338" s="6">
        <v>45206</v>
      </c>
      <c r="B338">
        <f>-中国_中债国债到期收益率_1年!B337+中国_中债国债到期收益率_1年!B336</f>
        <v>4.0000000000000036E-2</v>
      </c>
      <c r="C338">
        <f>-中国_中债国债到期收益率_1年!C337+中国_中债国债到期收益率_1年!C336</f>
        <v>9.800000000000253E-3</v>
      </c>
      <c r="D338">
        <f>-中国_中债国债到期收益率_1年!D337+中国_中债国债到期收益率_1年!D336</f>
        <v>1.2599999999999945E-2</v>
      </c>
      <c r="E338">
        <f>-中国_中债国债到期收益率_1年!E337+中国_中债国债到期收益率_1年!E336</f>
        <v>4.7999999999999154E-3</v>
      </c>
      <c r="F338">
        <f>-中国_中债国债到期收益率_1年!F337+中国_中债国债到期收益率_1年!F336</f>
        <v>1.3900000000000023E-2</v>
      </c>
      <c r="G338">
        <f>-中国_中债国债到期收益率_1年!G337+中国_中债国债到期收益率_1年!G336</f>
        <v>2.1100000000000119E-2</v>
      </c>
    </row>
    <row r="339" spans="1:7" x14ac:dyDescent="0.25">
      <c r="A339" s="6">
        <v>45207</v>
      </c>
      <c r="B339">
        <f>-中国_中债国债到期收益率_1年!B338+中国_中债国债到期收益率_1年!B337</f>
        <v>2.0000000000000018E-2</v>
      </c>
      <c r="C339">
        <f>-中国_中债国债到期收益率_1年!C338+中国_中债国债到期收益率_1年!C337</f>
        <v>8.099999999999774E-3</v>
      </c>
      <c r="D339">
        <f>-中国_中债国债到期收益率_1年!D338+中国_中债国债到期收益率_1年!D337</f>
        <v>1.0000000000000231E-2</v>
      </c>
      <c r="E339">
        <f>-中国_中债国债到期收益率_1年!E338+中国_中债国债到期收益率_1年!E337</f>
        <v>9.600000000000275E-3</v>
      </c>
      <c r="F339">
        <f>-中国_中债国债到期收益率_1年!F338+中国_中债国债到期收益率_1年!F337</f>
        <v>2.0179999999999998</v>
      </c>
      <c r="G339">
        <f>-中国_中债国债到期收益率_1年!G338+中国_中债国债到期收益率_1年!G337</f>
        <v>2.4546999999999999</v>
      </c>
    </row>
    <row r="340" spans="1:7" x14ac:dyDescent="0.25">
      <c r="A340" s="6">
        <v>45208</v>
      </c>
      <c r="B340">
        <f>-中国_中债国债到期收益率_1年!B339+中国_中债国债到期收益率_1年!B338</f>
        <v>9.9999999999997868E-3</v>
      </c>
      <c r="C340">
        <f>-中国_中债国债到期收益率_1年!C339+中国_中债国债到期收益率_1年!C338</f>
        <v>-2.9999999999974492E-4</v>
      </c>
      <c r="D340">
        <f>-中国_中债国债到期收益率_1年!D339+中国_中债国债到期收益率_1年!D338</f>
        <v>2.4999999999999467E-3</v>
      </c>
      <c r="E340">
        <f>-中国_中债国债到期收益率_1年!E339+中国_中债国债到期收益率_1年!E338</f>
        <v>-2.2000000000002018E-3</v>
      </c>
      <c r="F340">
        <f>-中国_中债国债到期收益率_1年!F339+中国_中债国债到期收益率_1年!F338</f>
        <v>0</v>
      </c>
      <c r="G340">
        <f>-中国_中债国债到期收益率_1年!G339+中国_中债国债到期收益率_1年!G338</f>
        <v>0</v>
      </c>
    </row>
    <row r="341" spans="1:7" x14ac:dyDescent="0.25">
      <c r="A341" s="6">
        <v>45209</v>
      </c>
      <c r="B341">
        <f>-中国_中债国债到期收益率_1年!B340+中国_中债国债到期收益率_1年!B339</f>
        <v>-2.0000000000000018E-2</v>
      </c>
      <c r="C341">
        <f>-中国_中债国债到期收益率_1年!C340+中国_中债国债到期收益率_1年!C339</f>
        <v>-1.7400000000000304E-2</v>
      </c>
      <c r="D341">
        <f>-中国_中债国债到期收益率_1年!D340+中国_中债国债到期收益率_1年!D339</f>
        <v>-7.6000000000000512E-3</v>
      </c>
      <c r="E341">
        <f>-中国_中债国债到期收益率_1年!E340+中国_中债国债到期收益率_1年!E339</f>
        <v>-4.1999999999999815E-3</v>
      </c>
      <c r="F341">
        <f>-中国_中债国债到期收益率_1年!F340+中国_中债国债到期收益率_1年!F339</f>
        <v>-2.0345</v>
      </c>
      <c r="G341">
        <f>-中国_中债国债到期收益率_1年!G340+中国_中债国债到期收益率_1年!G339</f>
        <v>-2.4584999999999999</v>
      </c>
    </row>
    <row r="342" spans="1:7" x14ac:dyDescent="0.25">
      <c r="A342" s="6">
        <v>45210</v>
      </c>
      <c r="B342">
        <f>-中国_中债国债到期收益率_1年!B341+中国_中债国债到期收益率_1年!B340</f>
        <v>-4.0000000000000036E-2</v>
      </c>
      <c r="C342">
        <f>-中国_中债国债到期收益率_1年!C341+中国_中债国债到期收益率_1年!C340</f>
        <v>-1.980000000000004E-2</v>
      </c>
      <c r="D342">
        <f>-中国_中债国债到期收益率_1年!D341+中国_中债国债到期收益率_1年!D340</f>
        <v>-1.089999999999991E-2</v>
      </c>
      <c r="E342">
        <f>-中国_中债国债到期收益率_1年!E341+中国_中债国债到期收益率_1年!E340</f>
        <v>-2.8999999999999027E-3</v>
      </c>
      <c r="F342">
        <f>-中国_中债国债到期收益率_1年!F341+中国_中债国债到期收益率_1年!F340</f>
        <v>-2.7099999999999902E-2</v>
      </c>
      <c r="G342">
        <f>-中国_中债国债到期收益率_1年!G341+中国_中债国债到期收益率_1年!G340</f>
        <v>-2.2499999999999964E-2</v>
      </c>
    </row>
    <row r="343" spans="1:7" x14ac:dyDescent="0.25">
      <c r="A343" s="6">
        <v>45211</v>
      </c>
      <c r="B343">
        <f>-中国_中债国债到期收益率_1年!B342+中国_中债国债到期收益率_1年!B341</f>
        <v>-3.9999999999999591E-2</v>
      </c>
      <c r="C343">
        <f>-中国_中债国债到期收益率_1年!C342+中国_中债国债到期收益率_1年!C341</f>
        <v>-3.4899999999999931E-2</v>
      </c>
      <c r="D343">
        <f>-中国_中债国债到期收益率_1年!D342+中国_中债国债到期收益率_1年!D341</f>
        <v>-1.6500000000000181E-2</v>
      </c>
      <c r="E343">
        <f>-中国_中债国债到期收益率_1年!E342+中国_中债国债到期收益率_1年!E341</f>
        <v>-1.3399999999999856E-2</v>
      </c>
      <c r="F343">
        <f>-中国_中债国债到期收益率_1年!F342+中国_中债国债到期收益率_1年!F341</f>
        <v>-2.4000000000000021E-2</v>
      </c>
      <c r="G343">
        <f>-中国_中债国债到期收益率_1年!G342+中国_中债国债到期收益率_1年!G341</f>
        <v>-2.7500000000000302E-2</v>
      </c>
    </row>
    <row r="344" spans="1:7" x14ac:dyDescent="0.25">
      <c r="A344" s="6">
        <v>45212</v>
      </c>
      <c r="B344">
        <f>-中国_中债国债到期收益率_1年!B343+中国_中债国债到期收益率_1年!B342</f>
        <v>3.9999999999999591E-2</v>
      </c>
      <c r="C344">
        <f>-中国_中债国债到期收益率_1年!C343+中国_中债国债到期收益率_1年!C342</f>
        <v>9.600000000000275E-3</v>
      </c>
      <c r="D344">
        <f>-中国_中债国债到期收益率_1年!D343+中国_中债国债到期收益率_1年!D342</f>
        <v>6.4999999999999503E-3</v>
      </c>
      <c r="E344">
        <f>-中国_中债国债到期收益率_1年!E343+中国_中债国债到期收益率_1年!E342</f>
        <v>1.3999999999998458E-3</v>
      </c>
      <c r="F344">
        <f>-中国_中债国债到期收益率_1年!F343+中国_中债国债到期收益率_1年!F342</f>
        <v>-1.0000000000021103E-4</v>
      </c>
      <c r="G344">
        <f>-中国_中债国债到期收益率_1年!G343+中国_中债国债到期收益率_1年!G342</f>
        <v>-8.8999999999996859E-3</v>
      </c>
    </row>
    <row r="345" spans="1:7" x14ac:dyDescent="0.25">
      <c r="A345" s="6">
        <v>45215</v>
      </c>
      <c r="B345">
        <f>-中国_中债国债到期收益率_1年!B344+中国_中债国债到期收益率_1年!B343</f>
        <v>2.0000000000000018E-2</v>
      </c>
      <c r="C345">
        <f>-中国_中债国债到期收益率_1年!C344+中国_中债国债到期收益率_1年!C343</f>
        <v>2.7499999999999858E-2</v>
      </c>
      <c r="D345">
        <f>-中国_中债国债到期收益率_1年!D344+中国_中债国债到期收益率_1年!D343</f>
        <v>2.0900000000000141E-2</v>
      </c>
      <c r="E345">
        <f>-中国_中债国债到期收益率_1年!E344+中国_中债国债到期收益率_1年!E343</f>
        <v>1.8699999999999939E-2</v>
      </c>
      <c r="F345">
        <f>-中国_中债国债到期收益率_1年!F344+中国_中债国债到期收益率_1年!F343</f>
        <v>1.3600000000000279E-2</v>
      </c>
      <c r="G345">
        <f>-中国_中债国债到期收益率_1年!G344+中国_中债国债到期收益率_1年!G343</f>
        <v>2.6699999999999946E-2</v>
      </c>
    </row>
    <row r="346" spans="1:7" x14ac:dyDescent="0.25">
      <c r="A346" s="6">
        <v>45216</v>
      </c>
      <c r="B346">
        <f>-中国_中债国债到期收益率_1年!B345+中国_中债国债到期收益率_1年!B344</f>
        <v>-9.9999999999997868E-3</v>
      </c>
      <c r="C346">
        <f>-中国_中债国债到期收益率_1年!C345+中国_中债国债到期收益率_1年!C344</f>
        <v>-1.0099999999999998E-2</v>
      </c>
      <c r="D346">
        <f>-中国_中债国债到期收益率_1年!D345+中国_中债国债到期收益率_1年!D344</f>
        <v>-7.5000000000002842E-3</v>
      </c>
      <c r="E346">
        <f>-中国_中债国债到期收益率_1年!E345+中国_中债国债到期收益率_1年!E344</f>
        <v>-4.4999999999997264E-3</v>
      </c>
      <c r="F346">
        <f>-中国_中债国债到期收益率_1年!F345+中国_中债国债到期收益率_1年!F344</f>
        <v>4.9999999999972289E-4</v>
      </c>
      <c r="G346">
        <f>-中国_中债国债到期收益率_1年!G345+中国_中债国债到期收益率_1年!G344</f>
        <v>4.2999999999997485E-3</v>
      </c>
    </row>
    <row r="347" spans="1:7" x14ac:dyDescent="0.25">
      <c r="A347" s="6">
        <v>45217</v>
      </c>
      <c r="B347">
        <f>-中国_中债国债到期收益率_1年!B346+中国_中债国债到期收益率_1年!B345</f>
        <v>-3.5000000000000142E-2</v>
      </c>
      <c r="C347">
        <f>-中国_中债国债到期收益率_1年!C346+中国_中债国债到期收益率_1年!C345</f>
        <v>-1.0099999999999998E-2</v>
      </c>
      <c r="D347">
        <f>-中国_中债国债到期收益率_1年!D346+中国_中债国债到期收益率_1年!D345</f>
        <v>-1.0499999999999954E-2</v>
      </c>
      <c r="E347">
        <f>-中国_中债国债到期收益率_1年!E346+中国_中债国债到期收益率_1年!E345</f>
        <v>-2.4000000000001798E-3</v>
      </c>
      <c r="F347">
        <f>-中国_中债国债到期收益率_1年!F346+中国_中债国债到期收益率_1年!F345</f>
        <v>-1.7599999999999838E-2</v>
      </c>
      <c r="G347">
        <f>-中国_中债国债到期收益率_1年!G346+中国_中债国债到期收益率_1年!G345</f>
        <v>-1.8299999999999983E-2</v>
      </c>
    </row>
    <row r="348" spans="1:7" x14ac:dyDescent="0.25">
      <c r="A348" s="6">
        <v>45218</v>
      </c>
      <c r="B348">
        <f>-中国_中债国债到期收益率_1年!B347+中国_中债国债到期收益率_1年!B346</f>
        <v>-2.2999999999999687E-2</v>
      </c>
      <c r="C348">
        <f>-中国_中债国债到期收益率_1年!C347+中国_中债国债到期收益率_1年!C346</f>
        <v>-2.9900000000000038E-2</v>
      </c>
      <c r="D348">
        <f>-中国_中债国债到期收益率_1年!D347+中国_中债国债到期收益率_1年!D346</f>
        <v>-1.6999999999999904E-2</v>
      </c>
      <c r="E348">
        <f>-中国_中债国债到期收益率_1年!E347+中国_中债国债到期收益率_1年!E346</f>
        <v>0</v>
      </c>
      <c r="F348">
        <f>-中国_中债国债到期收益率_1年!F347+中国_中债国债到期收益率_1年!F346</f>
        <v>-5.6000000000002714E-3</v>
      </c>
      <c r="G348">
        <f>-中国_中债国债到期收益率_1年!G347+中国_中债国债到期收益率_1年!G346</f>
        <v>-4.5999999999999375E-3</v>
      </c>
    </row>
    <row r="349" spans="1:7" x14ac:dyDescent="0.25">
      <c r="A349" s="6">
        <v>45219</v>
      </c>
      <c r="B349">
        <f>-中国_中债国债到期收益率_1年!B348+中国_中债国债到期收益率_1年!B347</f>
        <v>-4.5000000000000373E-2</v>
      </c>
      <c r="C349">
        <f>-中国_中债国债到期收益率_1年!C348+中国_中债国债到期收益率_1年!C347</f>
        <v>-1.7599999999999838E-2</v>
      </c>
      <c r="D349">
        <f>-中国_中债国债到期收益率_1年!D348+中国_中债国债到期收益率_1年!D347</f>
        <v>-1.2499999999999734E-2</v>
      </c>
      <c r="E349">
        <f>-中国_中债国债到期收益率_1年!E348+中国_中债国债到期收益率_1年!E347</f>
        <v>-5.5999999999998273E-3</v>
      </c>
      <c r="F349">
        <f>-中国_中债国债到期收益率_1年!F348+中国_中债国债到期收益率_1年!F347</f>
        <v>-3.6699999999999733E-2</v>
      </c>
      <c r="G349">
        <f>-中国_中债国债到期收益率_1年!G348+中国_中债国债到期收益率_1年!G347</f>
        <v>-2.8000000000000025E-2</v>
      </c>
    </row>
    <row r="350" spans="1:7" x14ac:dyDescent="0.25">
      <c r="A350" s="6">
        <v>45222</v>
      </c>
      <c r="B350">
        <f>-中国_中债国债到期收益率_1年!B349+中国_中债国债到期收益率_1年!B348</f>
        <v>-2.0000000000000018E-2</v>
      </c>
      <c r="C350">
        <f>-中国_中债国债到期收益率_1年!C349+中国_中债国债到期收益率_1年!C348</f>
        <v>2.2299999999999986E-2</v>
      </c>
      <c r="D350">
        <f>-中国_中债国债到期收益率_1年!D349+中国_中债国债到期收益率_1年!D348</f>
        <v>1.2499999999999734E-2</v>
      </c>
      <c r="E350">
        <f>-中国_中债国债到期收益率_1年!E349+中国_中债国债到期收益率_1年!E348</f>
        <v>1.1499999999999844E-2</v>
      </c>
      <c r="F350">
        <f>-中国_中债国债到期收益率_1年!F349+中国_中债国债到期收益率_1年!F348</f>
        <v>-2.3099999999999898E-2</v>
      </c>
      <c r="G350">
        <f>-中国_中债国债到期收益率_1年!G349+中国_中债国债到期收益率_1年!G348</f>
        <v>-5.7000000000000384E-3</v>
      </c>
    </row>
    <row r="351" spans="1:7" x14ac:dyDescent="0.25">
      <c r="A351" s="6">
        <v>45223</v>
      </c>
      <c r="B351">
        <f>-中国_中债国债到期收益率_1年!B350+中国_中债国债到期收益率_1年!B349</f>
        <v>1.0000000000000231E-2</v>
      </c>
      <c r="C351">
        <f>-中国_中债国债到期收益率_1年!C350+中国_中债国债到期收益率_1年!C349</f>
        <v>9.5000000000000639E-3</v>
      </c>
      <c r="D351">
        <f>-中国_中债国债到期收益率_1年!D350+中国_中债国债到期收益率_1年!D349</f>
        <v>5.0000000000016698E-4</v>
      </c>
      <c r="E351">
        <f>-中国_中债国债到期收益率_1年!E350+中国_中债国债到期收益率_1年!E349</f>
        <v>5.9000000000000163E-3</v>
      </c>
      <c r="F351">
        <f>-中国_中债国债到期收益率_1年!F350+中国_中债国债到期收益率_1年!F349</f>
        <v>2.9799999999999827E-2</v>
      </c>
      <c r="G351">
        <f>-中国_中债国债到期收益率_1年!G350+中国_中债国债到期收益率_1年!G349</f>
        <v>2.8300000000000214E-2</v>
      </c>
    </row>
    <row r="352" spans="1:7" x14ac:dyDescent="0.25">
      <c r="A352" s="6">
        <v>45224</v>
      </c>
      <c r="B352">
        <f>-中国_中债国债到期收益率_1年!B351+中国_中债国债到期收益率_1年!B350</f>
        <v>-2.4999999999999911E-2</v>
      </c>
      <c r="C352">
        <f>-中国_中债国债到期收益率_1年!C351+中国_中债国债到期收益率_1年!C350</f>
        <v>2.4999999999999467E-3</v>
      </c>
      <c r="D352">
        <f>-中国_中债国债到期收益率_1年!D351+中国_中债国债到期收益率_1年!D350</f>
        <v>-1.2999999999999901E-2</v>
      </c>
      <c r="E352">
        <f>-中国_中债国债到期收益率_1年!E351+中国_中债国债到期收益率_1年!E350</f>
        <v>-7.4999999999998401E-3</v>
      </c>
      <c r="F352">
        <f>-中国_中债国债到期收益率_1年!F351+中国_中债国债到期收益率_1年!F350</f>
        <v>-2.6600000000000179E-2</v>
      </c>
      <c r="G352">
        <f>-中国_中债国债到期收益率_1年!G351+中国_中债国债到期收益率_1年!G350</f>
        <v>-2.289999999999992E-2</v>
      </c>
    </row>
    <row r="353" spans="1:7" x14ac:dyDescent="0.25">
      <c r="A353" s="6">
        <v>45225</v>
      </c>
      <c r="B353">
        <f>-中国_中债国债到期收益率_1年!B352+中国_中债国债到期收益率_1年!B351</f>
        <v>4.1900000000000048E-2</v>
      </c>
      <c r="C353">
        <f>-中国_中债国债到期收益率_1年!C352+中国_中债国债到期收益率_1年!C351</f>
        <v>3.4699999999999953E-2</v>
      </c>
      <c r="D353">
        <f>-中国_中债国债到期收益率_1年!D352+中国_中债国债到期收益率_1年!D351</f>
        <v>1.2499999999999734E-2</v>
      </c>
      <c r="E353">
        <f>-中国_中债国债到期收益率_1年!E352+中国_中债国债到期收益率_1年!E351</f>
        <v>-2.6000000000001577E-3</v>
      </c>
      <c r="F353">
        <f>-中国_中债国债到期收益率_1年!F352+中国_中债国债到期收益率_1年!F351</f>
        <v>3.5300000000000331E-2</v>
      </c>
      <c r="G353">
        <f>-中国_中债国债到期收益率_1年!G352+中国_中债国债到期收益率_1年!G351</f>
        <v>1.9699999999999829E-2</v>
      </c>
    </row>
    <row r="354" spans="1:7" x14ac:dyDescent="0.25">
      <c r="A354" s="6">
        <v>45226</v>
      </c>
      <c r="B354">
        <f>-中国_中债国债到期收益率_1年!B353+中国_中债国债到期收益率_1年!B352</f>
        <v>0</v>
      </c>
      <c r="C354">
        <f>-中国_中债国债到期收益率_1年!C353+中国_中债国债到期收益率_1年!C352</f>
        <v>-1.5200000000000102E-2</v>
      </c>
      <c r="D354">
        <f>-中国_中债国债到期收益率_1年!D353+中国_中债国债到期收益率_1年!D352</f>
        <v>-9.9999999999997868E-3</v>
      </c>
      <c r="E354">
        <f>-中国_中债国债到期收益率_1年!E353+中国_中债国债到期收益率_1年!E352</f>
        <v>-4.9999999999998934E-3</v>
      </c>
      <c r="F354">
        <f>-中国_中债国债到期收益率_1年!F353+中国_中债国债到期收益率_1年!F352</f>
        <v>2.2399999999999753E-2</v>
      </c>
      <c r="G354">
        <f>-中国_中债国债到期收益率_1年!G353+中国_中债国债到期收益率_1年!G352</f>
        <v>2.4900000000000144E-2</v>
      </c>
    </row>
    <row r="355" spans="1:7" x14ac:dyDescent="0.25">
      <c r="A355" s="6">
        <v>45229</v>
      </c>
      <c r="B355">
        <f>-中国_中债国债到期收益率_1年!B354+中国_中债国债到期收益率_1年!B353</f>
        <v>3.0999999999998806E-3</v>
      </c>
      <c r="C355">
        <f>-中国_中债国债到期收益率_1年!C354+中国_中债国债到期收益率_1年!C353</f>
        <v>1.4899999999999913E-2</v>
      </c>
      <c r="D355">
        <f>-中国_中债国债到期收益率_1年!D354+中国_中债国债到期收益率_1年!D353</f>
        <v>1.9000000000000128E-3</v>
      </c>
      <c r="E355">
        <f>-中国_中债国债到期收益率_1年!E354+中国_中债国债到期收益率_1年!E353</f>
        <v>-5.0000000000003375E-3</v>
      </c>
      <c r="F355">
        <f>-中国_中债国债到期收益率_1年!F354+中国_中债国债到期收益率_1年!F353</f>
        <v>5.9999999999993392E-4</v>
      </c>
      <c r="G355">
        <f>-中国_中债国债到期收益率_1年!G354+中国_中债国债到期收益率_1年!G353</f>
        <v>-3.7000000000002586E-3</v>
      </c>
    </row>
    <row r="356" spans="1:7" x14ac:dyDescent="0.25">
      <c r="A356" s="6">
        <v>45230</v>
      </c>
      <c r="B356">
        <f>-中国_中债国债到期收益率_1年!B355+中国_中债国债到期收益率_1年!B354</f>
        <v>5.5600000000000094E-2</v>
      </c>
      <c r="C356">
        <f>-中国_中债国债到期收益率_1年!C355+中国_中债国债到期收益率_1年!C354</f>
        <v>-7.9999999999991189E-4</v>
      </c>
      <c r="D356">
        <f>-中国_中债国债到期收益率_1年!D355+中国_中债国债到期收益率_1年!D354</f>
        <v>-8.0000000000035598E-4</v>
      </c>
      <c r="E356">
        <f>-中国_中债国债到期收益率_1年!E355+中国_中债国债到期收益率_1年!E354</f>
        <v>-1.9999999999997797E-4</v>
      </c>
      <c r="F356">
        <f>-中国_中债国债到期收益率_1年!F355+中国_中债国债到期收益率_1年!F354</f>
        <v>1.780000000000026E-2</v>
      </c>
      <c r="G356">
        <f>-中国_中债国债到期收益率_1年!G355+中国_中债国债到期收益率_1年!G354</f>
        <v>1.6500000000000181E-2</v>
      </c>
    </row>
    <row r="357" spans="1:7" x14ac:dyDescent="0.25">
      <c r="A357" s="6">
        <v>45231</v>
      </c>
      <c r="B357">
        <f>-中国_中债国债到期收益率_1年!B356+中国_中债国债到期收益率_1年!B355</f>
        <v>2.0000000000000018E-2</v>
      </c>
      <c r="C357">
        <f>-中国_中债国债到期收益率_1年!C356+中国_中债国债到期收益率_1年!C355</f>
        <v>2.0099999999999785E-2</v>
      </c>
      <c r="D357">
        <f>-中国_中债国债到期收益率_1年!D356+中国_中债国债到期收益率_1年!D355</f>
        <v>2.0300000000000207E-2</v>
      </c>
      <c r="E357">
        <f>-中国_中债国债到期收益率_1年!E356+中国_中债国债到期收益率_1年!E355</f>
        <v>1.5000000000000124E-2</v>
      </c>
      <c r="F357">
        <f>-中国_中债国债到期收益率_1年!F356+中国_中债国债到期收益率_1年!F355</f>
        <v>6.4999999999999503E-3</v>
      </c>
      <c r="G357">
        <f>-中国_中债国债到期收益率_1年!G356+中国_中债国债到期收益率_1年!G355</f>
        <v>1.7799999999999816E-2</v>
      </c>
    </row>
    <row r="358" spans="1:7" x14ac:dyDescent="0.25">
      <c r="A358" s="6">
        <v>45232</v>
      </c>
      <c r="B358">
        <f>-中国_中债国债到期收益率_1年!B357+中国_中债国债到期收益率_1年!B356</f>
        <v>-4.5000000000000373E-2</v>
      </c>
      <c r="C358">
        <f>-中国_中债国债到期收益率_1年!C357+中国_中债国债到期收益率_1年!C356</f>
        <v>2.6000000000001577E-3</v>
      </c>
      <c r="D358">
        <f>-中国_中债国债到期收益率_1年!D357+中国_中债国债到期收益率_1年!D356</f>
        <v>8.5000000000001741E-3</v>
      </c>
      <c r="E358">
        <f>-中国_中债国债到期收益率_1年!E357+中国_中债国债到期收益率_1年!E356</f>
        <v>4.5000000000001705E-3</v>
      </c>
      <c r="F358">
        <f>-中国_中债国债到期收益率_1年!F357+中国_中债国债到期收益率_1年!F356</f>
        <v>-1.7199999999999882E-2</v>
      </c>
      <c r="G358">
        <f>-中国_中债国债到期收益率_1年!G357+中国_中债国债到期收益率_1年!G356</f>
        <v>-3.0999999999998806E-3</v>
      </c>
    </row>
    <row r="359" spans="1:7" x14ac:dyDescent="0.25">
      <c r="A359" s="6">
        <v>45233</v>
      </c>
      <c r="B359">
        <f>-中国_中债国债到期收益率_1年!B358+中国_中债国债到期收益率_1年!B357</f>
        <v>3.5000000000000142E-2</v>
      </c>
      <c r="C359">
        <f>-中国_中债国债到期收益率_1年!C358+中国_中债国债到期收益率_1年!C357</f>
        <v>3.2399999999999984E-2</v>
      </c>
      <c r="D359">
        <f>-中国_中债国债到期收益率_1年!D358+中国_中债国债到期收益率_1年!D357</f>
        <v>2.9999999999999805E-2</v>
      </c>
      <c r="E359">
        <f>-中国_中债国债到期收益率_1年!E358+中国_中债国债到期收益率_1年!E357</f>
        <v>2.4499999999999744E-2</v>
      </c>
      <c r="F359">
        <f>-中国_中债国债到期收益率_1年!F358+中国_中债国债到期收益率_1年!F357</f>
        <v>3.4399999999999764E-2</v>
      </c>
      <c r="G359">
        <f>-中国_中债国债到期收益率_1年!G358+中国_中债国债到期收益率_1年!G357</f>
        <v>2.6400000000000201E-2</v>
      </c>
    </row>
    <row r="360" spans="1:7" x14ac:dyDescent="0.25">
      <c r="A360" s="6">
        <v>45236</v>
      </c>
      <c r="B360">
        <f>-中国_中债国债到期收益率_1年!B359+中国_中债国债到期收益率_1年!B358</f>
        <v>-5.1000000000001044E-3</v>
      </c>
      <c r="C360">
        <f>-中国_中债国债到期收益率_1年!C359+中国_中债国债到期收益率_1年!C358</f>
        <v>-2.0199999999999996E-2</v>
      </c>
      <c r="D360">
        <f>-中国_中债国债到期收益率_1年!D359+中国_中债国债到期收益率_1年!D358</f>
        <v>-6.0000000000002274E-3</v>
      </c>
      <c r="E360">
        <f>-中国_中债国债到期收益率_1年!E359+中国_中债国债到期收益率_1年!E358</f>
        <v>-6.0999999999999943E-3</v>
      </c>
      <c r="F360">
        <f>-中国_中债国债到期收益率_1年!F359+中国_中债国债到期收益率_1年!F358</f>
        <v>3.2000000000000917E-3</v>
      </c>
      <c r="G360">
        <f>-中国_中债国债到期收益率_1年!G359+中国_中债国债到期收益率_1年!G358</f>
        <v>-2.4000000000001798E-3</v>
      </c>
    </row>
    <row r="361" spans="1:7" x14ac:dyDescent="0.25">
      <c r="A361" s="6">
        <v>45237</v>
      </c>
      <c r="B361">
        <f>-中国_中债国债到期收益率_1年!B360+中国_中债国债到期收益率_1年!B359</f>
        <v>-1.0099999999999998E-2</v>
      </c>
      <c r="C361">
        <f>-中国_中债国债到期收益率_1年!C360+中国_中债国债到期收益率_1年!C359</f>
        <v>-3.9999999999995595E-4</v>
      </c>
      <c r="D361">
        <f>-中国_中债国债到期收益率_1年!D360+中国_中债国债到期收益率_1年!D359</f>
        <v>5.9000000000000163E-3</v>
      </c>
      <c r="E361">
        <f>-中国_中债国债到期收益率_1年!E360+中国_中债国债到期收益率_1年!E359</f>
        <v>4.3999999999999595E-3</v>
      </c>
      <c r="F361">
        <f>-中国_中债国债到期收益率_1年!F360+中国_中债国债到期收益率_1年!F359</f>
        <v>-6.0999999999999943E-3</v>
      </c>
      <c r="G361">
        <f>-中国_中债国债到期收益率_1年!G360+中国_中债国债到期收益率_1年!G359</f>
        <v>2.4000000000001798E-3</v>
      </c>
    </row>
    <row r="362" spans="1:7" x14ac:dyDescent="0.25">
      <c r="A362" s="6">
        <v>45238</v>
      </c>
      <c r="B362">
        <f>-中国_中债国债到期收益率_1年!B361+中国_中债国债到期收益率_1年!B360</f>
        <v>-2.0199999999999996E-2</v>
      </c>
      <c r="C362">
        <f>-中国_中债国债到期收益率_1年!C361+中国_中债国债到期收益率_1年!C360</f>
        <v>-1.4800000000000146E-2</v>
      </c>
      <c r="D362">
        <f>-中国_中债国债到期收益率_1年!D361+中国_中债国债到期收益率_1年!D360</f>
        <v>-7.799999999999585E-3</v>
      </c>
      <c r="E362">
        <f>-中国_中债国债到期收益率_1年!E361+中国_中债国债到期收益率_1年!E360</f>
        <v>-3.4999999999998366E-3</v>
      </c>
      <c r="F362">
        <f>-中国_中债国债到期收益率_1年!F361+中国_中债国债到期收益率_1年!F360</f>
        <v>-1.4699999999999935E-2</v>
      </c>
      <c r="G362">
        <f>-中国_中债国债到期收益率_1年!G361+中国_中债国债到期收益率_1年!G360</f>
        <v>-3.9999999999995595E-4</v>
      </c>
    </row>
    <row r="363" spans="1:7" x14ac:dyDescent="0.25">
      <c r="A363" s="6">
        <v>45239</v>
      </c>
      <c r="B363">
        <f>-中国_中债国债到期收益率_1年!B362+中国_中债国债到期收益率_1年!B361</f>
        <v>2.6000000000001577E-3</v>
      </c>
      <c r="C363">
        <f>-中国_中债国债到期收益率_1年!C362+中国_中债国债到期收益率_1年!C361</f>
        <v>1.1800000000000033E-2</v>
      </c>
      <c r="D363">
        <f>-中国_中债国债到期收益率_1年!D362+中国_中债国债到期收益率_1年!D361</f>
        <v>1.6799999999999926E-2</v>
      </c>
      <c r="E363">
        <f>-中国_中债国债到期收益率_1年!E362+中国_中债国债到期收益率_1年!E361</f>
        <v>1.3500000000000068E-2</v>
      </c>
      <c r="F363">
        <f>-中国_中债国债到期收益率_1年!F362+中国_中债国债到期收益率_1年!F361</f>
        <v>-9.100000000000108E-3</v>
      </c>
      <c r="G363">
        <f>-中国_中债国债到期收益率_1年!G362+中国_中债国债到期收益率_1年!G361</f>
        <v>-3.6000000000000476E-3</v>
      </c>
    </row>
    <row r="364" spans="1:7" x14ac:dyDescent="0.25">
      <c r="A364" s="6">
        <v>45240</v>
      </c>
      <c r="B364">
        <f>-中国_中债国债到期收益率_1年!B363+中国_中债国债到期收益率_1年!B362</f>
        <v>7.2999999999998622E-3</v>
      </c>
      <c r="C364">
        <f>-中国_中债国债到期收益率_1年!C363+中国_中债国债到期收益率_1年!C362</f>
        <v>7.0000000000014495E-4</v>
      </c>
      <c r="D364">
        <f>-中国_中债国债到期收益率_1年!D363+中国_中债国债到期收益率_1年!D362</f>
        <v>-3.0000000000001137E-3</v>
      </c>
      <c r="E364">
        <f>-中国_中债国债到期收益率_1年!E363+中国_中债国债到期收益率_1年!E362</f>
        <v>-1.0000000000021103E-4</v>
      </c>
      <c r="F364">
        <f>-中国_中债国债到期收益率_1年!F363+中国_中债国债到期收益率_1年!F362</f>
        <v>7.2999999999998622E-3</v>
      </c>
      <c r="G364">
        <f>-中国_中债国债到期收益率_1年!G363+中国_中债国债到期收益率_1年!G362</f>
        <v>2.0299999999999763E-2</v>
      </c>
    </row>
    <row r="365" spans="1:7" x14ac:dyDescent="0.25">
      <c r="A365" s="6">
        <v>45243</v>
      </c>
      <c r="B365">
        <f>-中国_中债国债到期收益率_1年!B364+中国_中债国债到期收益率_1年!B363</f>
        <v>1.0000000000000231E-2</v>
      </c>
      <c r="C365">
        <f>-中国_中债国债到期收益率_1年!C364+中国_中债国债到期收益率_1年!C363</f>
        <v>1.7500000000000071E-2</v>
      </c>
      <c r="D365">
        <f>-中国_中债国债到期收益率_1年!D364+中国_中债国债到期收益率_1年!D363</f>
        <v>4.9999999999998934E-3</v>
      </c>
      <c r="E365">
        <f>-中国_中债国债到期收益率_1年!E364+中国_中债国债到期收益率_1年!E363</f>
        <v>1.2500000000000178E-2</v>
      </c>
      <c r="F365">
        <f>-中国_中债国债到期收益率_1年!F364+中国_中债国债到期收益率_1年!F363</f>
        <v>1.7000000000000348E-3</v>
      </c>
      <c r="G365">
        <f>-中国_中债国债到期收益率_1年!G364+中国_中债国债到期收益率_1年!G363</f>
        <v>5.0000000000016698E-4</v>
      </c>
    </row>
    <row r="366" spans="1:7" x14ac:dyDescent="0.25">
      <c r="A366" s="6">
        <v>45244</v>
      </c>
      <c r="B366">
        <f>-中国_中债国债到期收益率_1年!B365+中国_中债国债到期收益率_1年!B364</f>
        <v>2.4699999999999722E-2</v>
      </c>
      <c r="C366">
        <f>-中国_中债国债到期收益率_1年!C365+中国_中债国债到期收益率_1年!C364</f>
        <v>1.2000000000000011E-2</v>
      </c>
      <c r="D366">
        <f>-中国_中债国债到期收益率_1年!D365+中国_中债国债到期收益率_1年!D364</f>
        <v>-9.9999999999988987E-4</v>
      </c>
      <c r="E366">
        <f>-中国_中债国债到期收益率_1年!E365+中国_中债国债到期收益率_1年!E364</f>
        <v>7.4000000000000732E-3</v>
      </c>
      <c r="F366">
        <f>-中国_中债国债到期收益率_1年!F365+中国_中债国债到期收益率_1年!F364</f>
        <v>1.5900000000000247E-2</v>
      </c>
      <c r="G366">
        <f>-中国_中债国债到期收益率_1年!G365+中国_中债国债到期收益率_1年!G364</f>
        <v>1.8699999999999939E-2</v>
      </c>
    </row>
    <row r="367" spans="1:7" x14ac:dyDescent="0.25">
      <c r="A367" s="6">
        <v>45245</v>
      </c>
      <c r="B367">
        <f>-中国_中债国债到期收益率_1年!B366+中国_中债国债到期收益率_1年!B365</f>
        <v>3.4600000000000186E-2</v>
      </c>
      <c r="C367">
        <f>-中国_中债国债到期收益率_1年!C366+中国_中债国债到期收益率_1年!C365</f>
        <v>-1.2999999999999901E-2</v>
      </c>
      <c r="D367">
        <f>-中国_中债国债到期收益率_1年!D366+中国_中债国债到期收益率_1年!D365</f>
        <v>-1.1900000000000244E-2</v>
      </c>
      <c r="E367">
        <f>-中国_中债国债到期收益率_1年!E366+中国_中债国债到期收益率_1年!E365</f>
        <v>-5.4000000000002935E-3</v>
      </c>
      <c r="F367">
        <f>-中国_中债国债到期收益率_1年!F366+中国_中债国债到期收益率_1年!F365</f>
        <v>-1.0499999999999954E-2</v>
      </c>
      <c r="G367">
        <f>-中国_中债国债到期收益率_1年!G366+中国_中债国债到期收益率_1年!G365</f>
        <v>-8.90000000000013E-3</v>
      </c>
    </row>
    <row r="368" spans="1:7" x14ac:dyDescent="0.25">
      <c r="A368" s="6">
        <v>45246</v>
      </c>
      <c r="B368">
        <f>-中国_中债国债到期收益率_1年!B367+中国_中债国债到期收益率_1年!B366</f>
        <v>9.9999999999997868E-3</v>
      </c>
      <c r="C368">
        <f>-中国_中债国债到期收益率_1年!C367+中国_中债国债到期收益率_1年!C366</f>
        <v>1.7999999999998018E-3</v>
      </c>
      <c r="D368">
        <f>-中国_中债国债到期收益率_1年!D367+中国_中债国债到期收益率_1年!D366</f>
        <v>-5.9999999999997833E-3</v>
      </c>
      <c r="E368">
        <f>-中国_中债国债到期收益率_1年!E367+中国_中债国债到期收益率_1年!E366</f>
        <v>-4.5999999999999375E-3</v>
      </c>
      <c r="F368">
        <f>-中国_中债国债到期收益率_1年!F367+中国_中债国债到期收益率_1年!F366</f>
        <v>-5.9999999999993392E-4</v>
      </c>
      <c r="G368">
        <f>-中国_中债国债到期收益率_1年!G367+中国_中债国债到期收益率_1年!G366</f>
        <v>-8.90000000000013E-3</v>
      </c>
    </row>
    <row r="369" spans="1:7" x14ac:dyDescent="0.25">
      <c r="A369" s="6">
        <v>45247</v>
      </c>
      <c r="B369">
        <f>-中国_中债国债到期收益率_1年!B368+中国_中债国债到期收益率_1年!B367</f>
        <v>1.980000000000004E-2</v>
      </c>
      <c r="C369">
        <f>-中国_中债国债到期收益率_1年!C368+中国_中债国债到期收益率_1年!C367</f>
        <v>-5.9999999999993392E-4</v>
      </c>
      <c r="D369">
        <f>-中国_中债国债到期收益率_1年!D368+中国_中债国债到期收益率_1年!D367</f>
        <v>7.4999999999998401E-3</v>
      </c>
      <c r="E369">
        <f>-中国_中债国债到期收益率_1年!E368+中国_中债国债到期收益率_1年!E367</f>
        <v>4.5000000000001705E-3</v>
      </c>
      <c r="F369">
        <f>-中国_中债国债到期收益率_1年!F368+中国_中债国债到期收益率_1年!F367</f>
        <v>7.9999999999991189E-4</v>
      </c>
      <c r="G369">
        <f>-中国_中债国债到期收益率_1年!G368+中国_中债国债到期收益率_1年!G367</f>
        <v>1.1700000000000266E-2</v>
      </c>
    </row>
    <row r="370" spans="1:7" x14ac:dyDescent="0.25">
      <c r="A370" s="6">
        <v>45250</v>
      </c>
      <c r="B370">
        <f>-中国_中债国债到期收益率_1年!B369+中国_中债国债到期收益率_1年!B368</f>
        <v>1.9400000000000084E-2</v>
      </c>
      <c r="C370">
        <f>-中国_中债国债到期收益率_1年!C369+中国_中债国债到期收益率_1年!C368</f>
        <v>-3.0999999999998806E-3</v>
      </c>
      <c r="D370">
        <f>-中国_中债国债到期收益率_1年!D369+中国_中债国债到期收益率_1年!D368</f>
        <v>3.4000000000000696E-3</v>
      </c>
      <c r="E370">
        <f>-中国_中债国债到期收益率_1年!E369+中国_中债国债到期收益率_1年!E368</f>
        <v>1.0399999999999743E-2</v>
      </c>
      <c r="F370">
        <f>-中国_中债国债到期收益率_1年!F369+中国_中债国债到期收益率_1年!F368</f>
        <v>-1.4000000000002899E-3</v>
      </c>
      <c r="G370">
        <f>-中国_中债国债到期收益率_1年!G369+中国_中债国债到期收益率_1年!G368</f>
        <v>9.9999999999988987E-4</v>
      </c>
    </row>
    <row r="371" spans="1:7" x14ac:dyDescent="0.25">
      <c r="A371" s="6">
        <v>45251</v>
      </c>
      <c r="B371">
        <f>-中国_中债国债到期收益率_1年!B370+中国_中债国债到期收益率_1年!B369</f>
        <v>-2.5599999999999845E-2</v>
      </c>
      <c r="C371">
        <f>-中国_中债国债到期收益率_1年!C370+中国_中债国债到期收益率_1年!C369</f>
        <v>-1.8500000000000405E-2</v>
      </c>
      <c r="D371">
        <f>-中国_中债国债到期收益率_1年!D370+中国_中债国债到期收益率_1年!D369</f>
        <v>-5.9999999999997833E-3</v>
      </c>
      <c r="E371">
        <f>-中国_中债国债到期收益率_1年!E370+中国_中债国债到期收益率_1年!E369</f>
        <v>1.5000000000000568E-3</v>
      </c>
      <c r="F371">
        <f>-中国_中债国债到期收益率_1年!F370+中国_中债国债到期收益率_1年!F369</f>
        <v>-1.2999999999999901E-2</v>
      </c>
      <c r="G371">
        <f>-中国_中债国债到期收益率_1年!G370+中国_中债国债到期收益率_1年!G369</f>
        <v>-9.9999999999997868E-3</v>
      </c>
    </row>
    <row r="372" spans="1:7" x14ac:dyDescent="0.25">
      <c r="A372" s="6">
        <v>45252</v>
      </c>
      <c r="B372">
        <f>-中国_中债国债到期收益率_1年!B371+中国_中债国债到期收益率_1年!B370</f>
        <v>-5.4699999999999971E-2</v>
      </c>
      <c r="C372">
        <f>-中国_中债国债到期收益率_1年!C371+中国_中债国债到期收益率_1年!C370</f>
        <v>-2.0699999999999719E-2</v>
      </c>
      <c r="D372">
        <f>-中国_中债国债到期收益率_1年!D371+中国_中债国债到期收益率_1年!D370</f>
        <v>-1.0000000000000231E-2</v>
      </c>
      <c r="E372">
        <f>-中国_中债国债到期收益率_1年!E371+中国_中债国债到期收益率_1年!E370</f>
        <v>-6.6999999999999282E-3</v>
      </c>
      <c r="F372">
        <f>-中国_中债国债到期收益率_1年!F371+中国_中债国债到期收益率_1年!F370</f>
        <v>-1.7900000000000027E-2</v>
      </c>
      <c r="G372">
        <f>-中国_中债国债到期收益率_1年!G371+中国_中债国债到期收益率_1年!G370</f>
        <v>-1.3500000000000068E-2</v>
      </c>
    </row>
    <row r="373" spans="1:7" x14ac:dyDescent="0.25">
      <c r="A373" s="6">
        <v>45253</v>
      </c>
      <c r="B373">
        <f>-中国_中债国债到期收益率_1年!B372+中国_中债国债到期收益率_1年!B371</f>
        <v>-0.10880000000000001</v>
      </c>
      <c r="C373">
        <f>-中国_中债国债到期收益率_1年!C372+中国_中债国债到期收益率_1年!C371</f>
        <v>-2.1100000000000119E-2</v>
      </c>
      <c r="D373">
        <f>-中国_中债国债到期收益率_1年!D372+中国_中债国债到期收益率_1年!D371</f>
        <v>-1.3900000000000023E-2</v>
      </c>
      <c r="E373">
        <f>-中国_中债国债到期收益率_1年!E372+中国_中债国债到期收益率_1年!E371</f>
        <v>-1.5000000000000124E-2</v>
      </c>
      <c r="F373">
        <f>-中国_中债国债到期收益率_1年!F372+中国_中债国债到期收益率_1年!F371</f>
        <v>-2.0699999999999719E-2</v>
      </c>
      <c r="G373">
        <f>-中国_中债国债到期收益率_1年!G372+中国_中债国债到期收益率_1年!G371</f>
        <v>-1.0099999999999998E-2</v>
      </c>
    </row>
    <row r="374" spans="1:7" x14ac:dyDescent="0.25">
      <c r="A374" s="6">
        <v>45254</v>
      </c>
      <c r="B374">
        <f>-中国_中债国债到期收益率_1年!B373+中国_中债国债到期收益率_1年!B372</f>
        <v>-1.5200000000000102E-2</v>
      </c>
      <c r="C374">
        <f>-中国_中债国债到期收益率_1年!C373+中国_中债国债到期收益率_1年!C372</f>
        <v>-1.7599999999999838E-2</v>
      </c>
      <c r="D374">
        <f>-中国_中债国债到期收益率_1年!D373+中国_中债国债到期收益率_1年!D372</f>
        <v>-2.0000000000000018E-2</v>
      </c>
      <c r="E374">
        <f>-中国_中债国债到期收益率_1年!E373+中国_中债国债到期收益率_1年!E372</f>
        <v>-1.6599999999999948E-2</v>
      </c>
      <c r="F374">
        <f>-中国_中债国债到期收益率_1年!F373+中国_中债国债到期收益率_1年!F372</f>
        <v>-1.7600000000000282E-2</v>
      </c>
      <c r="G374">
        <f>-中国_中债国债到期收益率_1年!G373+中国_中债国债到期收益率_1年!G372</f>
        <v>-3.2200000000000006E-2</v>
      </c>
    </row>
    <row r="375" spans="1:7" x14ac:dyDescent="0.25">
      <c r="A375" s="6">
        <v>45257</v>
      </c>
      <c r="B375">
        <f>-中国_中债国债到期收益率_1年!B374+中国_中债国债到期收益率_1年!B373</f>
        <v>-5.3000000000000824E-3</v>
      </c>
      <c r="C375">
        <f>-中国_中债国债到期收益率_1年!C374+中国_中债国债到期收益率_1年!C373</f>
        <v>-1.2399999999999967E-2</v>
      </c>
      <c r="D375">
        <f>-中国_中债国债到期收益率_1年!D374+中国_中债国债到期收益率_1年!D373</f>
        <v>-2.9999999999996696E-3</v>
      </c>
      <c r="E375">
        <f>-中国_中债国债到期收益率_1年!E374+中国_中债国债到期收益率_1年!E373</f>
        <v>2.0000000000002238E-3</v>
      </c>
      <c r="F375">
        <f>-中国_中债国债到期收益率_1年!F374+中国_中债国债到期收益率_1年!F373</f>
        <v>-4.9999999999998934E-3</v>
      </c>
      <c r="G375">
        <f>-中国_中债国债到期收益率_1年!G374+中国_中债国债到期收益率_1年!G373</f>
        <v>-1.8000000000002458E-3</v>
      </c>
    </row>
    <row r="376" spans="1:7" x14ac:dyDescent="0.25">
      <c r="A376" s="6">
        <v>45258</v>
      </c>
      <c r="B376">
        <f>-中国_中债国债到期收益率_1年!B375+中国_中债国债到期收益率_1年!B374</f>
        <v>-5.7199999999999918E-2</v>
      </c>
      <c r="C376">
        <f>-中国_中债国债到期收益率_1年!C375+中国_中债国债到期收益率_1年!C374</f>
        <v>-5.1000000000001044E-3</v>
      </c>
      <c r="D376">
        <f>-中国_中债国债到期收益率_1年!D375+中国_中债国债到期收益率_1年!D374</f>
        <v>-5.5000000000000604E-3</v>
      </c>
      <c r="E376">
        <f>-中国_中债国债到期收益率_1年!E375+中国_中债国债到期收益率_1年!E374</f>
        <v>-6.0999999999999943E-3</v>
      </c>
      <c r="F376">
        <f>-中国_中债国债到期收益率_1年!F375+中国_中债国债到期收益率_1年!F374</f>
        <v>-3.9699999999999847E-2</v>
      </c>
      <c r="G376">
        <f>-中国_中债国债到期收益率_1年!G375+中国_中债国债到期收益率_1年!G374</f>
        <v>-1.8699999999999939E-2</v>
      </c>
    </row>
    <row r="377" spans="1:7" x14ac:dyDescent="0.25">
      <c r="A377" s="6">
        <v>45259</v>
      </c>
      <c r="B377">
        <f>-中国_中债国债到期收益率_1年!B376+中国_中债国债到期收益率_1年!B375</f>
        <v>3.2500000000000195E-2</v>
      </c>
      <c r="C377">
        <f>-中国_中债国债到期收益率_1年!C376+中国_中债国债到期收益率_1年!C375</f>
        <v>2.4999999999999911E-2</v>
      </c>
      <c r="D377">
        <f>-中国_中债国债到期收益率_1年!D376+中国_中债国债到期收益率_1年!D375</f>
        <v>2.0999999999999908E-2</v>
      </c>
      <c r="E377">
        <f>-中国_中债国债到期收益率_1年!E376+中国_中债国债到期收益率_1年!E375</f>
        <v>2.0499999999999741E-2</v>
      </c>
      <c r="F377">
        <f>-中国_中债国债到期收益率_1年!F376+中国_中债国债到期收益率_1年!F375</f>
        <v>1.5299999999999869E-2</v>
      </c>
      <c r="G377">
        <f>-中国_中债国债到期收益率_1年!G376+中国_中债国债到期收益率_1年!G375</f>
        <v>1.9900000000000251E-2</v>
      </c>
    </row>
    <row r="378" spans="1:7" x14ac:dyDescent="0.25">
      <c r="A378" s="6">
        <v>45260</v>
      </c>
      <c r="B378">
        <f>-中国_中债国债到期收益率_1年!B377+中国_中债国债到期收益率_1年!B376</f>
        <v>-1.9999999999997797E-4</v>
      </c>
      <c r="C378">
        <f>-中国_中债国债到期收益率_1年!C377+中国_中债国债到期收益率_1年!C376</f>
        <v>-7.8000000000000291E-3</v>
      </c>
      <c r="D378">
        <f>-中国_中债国债到期收益率_1年!D377+中国_中债国债到期收益率_1年!D376</f>
        <v>7.2000000000000952E-3</v>
      </c>
      <c r="E378">
        <f>-中国_中债国债到期收益率_1年!E377+中国_中债国债到期收益率_1年!E376</f>
        <v>1.5000000000000568E-3</v>
      </c>
      <c r="F378">
        <f>-中国_中债国债到期收益率_1年!F377+中国_中债国债到期收益率_1年!F376</f>
        <v>2.9999999999974492E-4</v>
      </c>
      <c r="G378">
        <f>-中国_中债国债到期收益率_1年!G377+中国_中债国债到期收益率_1年!G376</f>
        <v>1.2699999999999712E-2</v>
      </c>
    </row>
    <row r="379" spans="1:7" x14ac:dyDescent="0.25">
      <c r="A379" s="6">
        <v>45261</v>
      </c>
      <c r="B379">
        <f>-中国_中债国债到期收益率_1年!B378+中国_中债国债到期收益率_1年!B377</f>
        <v>1.9899999999999807E-2</v>
      </c>
      <c r="C379">
        <f>-中国_中债国债到期收益率_1年!C378+中国_中债国债到期收益率_1年!C377</f>
        <v>1.4899999999999913E-2</v>
      </c>
      <c r="D379">
        <f>-中国_中债国债到期收益率_1年!D378+中国_中债国债到期收益率_1年!D377</f>
        <v>1.4599999999999724E-2</v>
      </c>
      <c r="E379">
        <f>-中国_中债国债到期收益率_1年!E378+中国_中债国债到期收益率_1年!E377</f>
        <v>1.2000000000000011E-2</v>
      </c>
      <c r="F379">
        <f>-中国_中债国债到期收益率_1年!F378+中国_中债国债到期收益率_1年!F377</f>
        <v>3.0400000000000205E-2</v>
      </c>
      <c r="G379">
        <f>-中国_中债国债到期收益率_1年!G378+中国_中债国债到期收益率_1年!G377</f>
        <v>1.330000000000009E-2</v>
      </c>
    </row>
    <row r="380" spans="1:7" x14ac:dyDescent="0.25">
      <c r="A380" s="6">
        <v>45264</v>
      </c>
      <c r="B380">
        <f>-中国_中债国债到期收益率_1年!B379+中国_中债国债到期收益率_1年!B378</f>
        <v>-7.2000000000000952E-3</v>
      </c>
      <c r="C380">
        <f>-中国_中债国债到期收益率_1年!C379+中国_中债国债到期收益率_1年!C378</f>
        <v>2.6000000000001577E-3</v>
      </c>
      <c r="D380">
        <f>-中国_中债国债到期收益率_1年!D379+中国_中债国债到期收益率_1年!D378</f>
        <v>5.5000000000000604E-3</v>
      </c>
      <c r="E380">
        <f>-中国_中债国债到期收益率_1年!E379+中国_中债国债到期收益率_1年!E378</f>
        <v>-4.0000000000000036E-3</v>
      </c>
      <c r="F380">
        <f>-中国_中债国债到期收益率_1年!F379+中国_中债国债到期收益率_1年!F378</f>
        <v>1.3100000000000112E-2</v>
      </c>
      <c r="G380">
        <f>-中国_中债国债到期收益率_1年!G379+中国_中债国债到期收益率_1年!G378</f>
        <v>-2.4999999999999467E-3</v>
      </c>
    </row>
    <row r="381" spans="1:7" x14ac:dyDescent="0.25">
      <c r="A381" s="6">
        <v>45265</v>
      </c>
      <c r="B381">
        <f>-中国_中债国债到期收益率_1年!B380+中国_中债国债到期收益率_1年!B379</f>
        <v>-3.2999999999999918E-2</v>
      </c>
      <c r="C381">
        <f>-中国_中债国债到期收益率_1年!C380+中国_中债国债到期收益率_1年!C379</f>
        <v>-2.5500000000000078E-2</v>
      </c>
      <c r="D381">
        <f>-中国_中债国债到期收益率_1年!D380+中国_中债国债到期收益率_1年!D379</f>
        <v>-9.9999999999997868E-3</v>
      </c>
      <c r="E381">
        <f>-中国_中债国债到期收益率_1年!E380+中国_中债国债到期收益率_1年!E379</f>
        <v>-9.1999999999998749E-3</v>
      </c>
      <c r="F381">
        <f>-中国_中债国债到期收益率_1年!F380+中国_中债国债到期收益率_1年!F379</f>
        <v>-3.8000000000000256E-2</v>
      </c>
      <c r="G381">
        <f>-中国_中债国债到期收益率_1年!G380+中国_中债国债到期收益率_1年!G379</f>
        <v>-8.599999999999941E-3</v>
      </c>
    </row>
    <row r="382" spans="1:7" x14ac:dyDescent="0.25">
      <c r="A382" s="6">
        <v>45266</v>
      </c>
      <c r="B382">
        <f>-中国_中债国债到期收益率_1年!B381+中国_中债国债到期收益率_1年!B380</f>
        <v>-4.7999999999999154E-3</v>
      </c>
      <c r="C382">
        <f>-中国_中债国债到期收益率_1年!C381+中国_中债国债到期收益率_1年!C380</f>
        <v>7.7000000000002622E-3</v>
      </c>
      <c r="D382">
        <f>-中国_中债国债到期收益率_1年!D381+中国_中债国债到期收益率_1年!D380</f>
        <v>7.4999999999998401E-3</v>
      </c>
      <c r="E382">
        <f>-中国_中债国债到期收益率_1年!E381+中国_中债国债到期收益率_1年!E380</f>
        <v>4.9999999999998934E-3</v>
      </c>
      <c r="F382">
        <f>-中国_中债国债到期收益率_1年!F381+中国_中债国债到期收益率_1年!F380</f>
        <v>-2.1900000000000031E-2</v>
      </c>
      <c r="G382">
        <f>-中国_中债国债到期收益率_1年!G381+中国_中债国债到期收益率_1年!G380</f>
        <v>-7.4999999999998401E-3</v>
      </c>
    </row>
    <row r="383" spans="1:7" x14ac:dyDescent="0.25">
      <c r="A383" s="6">
        <v>45267</v>
      </c>
      <c r="B383">
        <f>-中国_中债国债到期收益率_1年!B382+中国_中债国债到期收益率_1年!B381</f>
        <v>-1.540000000000008E-2</v>
      </c>
      <c r="C383">
        <f>-中国_中债国债到期收益率_1年!C382+中国_中债国债到期收益率_1年!C381</f>
        <v>-1.0900000000000354E-2</v>
      </c>
      <c r="D383">
        <f>-中国_中债国债到期收益率_1年!D382+中国_中债国债到期收益率_1年!D381</f>
        <v>-7.4999999999998401E-3</v>
      </c>
      <c r="E383">
        <f>-中国_中债国债到期收益率_1年!E382+中国_中债国债到期收益率_1年!E381</f>
        <v>-3.0000000000001137E-3</v>
      </c>
      <c r="F383">
        <f>-中国_中债国债到期收益率_1年!F382+中国_中债国债到期收益率_1年!F381</f>
        <v>-1.6099999999999781E-2</v>
      </c>
      <c r="G383">
        <f>-中国_中债国债到期收益率_1年!G382+中国_中债国债到期收益率_1年!G381</f>
        <v>-1.9000000000000128E-3</v>
      </c>
    </row>
    <row r="384" spans="1:7" x14ac:dyDescent="0.25">
      <c r="A384" s="6">
        <v>45268</v>
      </c>
      <c r="B384">
        <f>-中国_中债国债到期收益率_1年!B383+中国_中债国债到期收益率_1年!B382</f>
        <v>1.5499999999999847E-2</v>
      </c>
      <c r="C384">
        <f>-中国_中债国债到期收益率_1年!C383+中国_中债国债到期收益率_1年!C382</f>
        <v>3.0800000000000161E-2</v>
      </c>
      <c r="D384">
        <f>-中国_中债国债到期收益率_1年!D383+中国_中债国债到期收益率_1年!D382</f>
        <v>8.49999999999973E-3</v>
      </c>
      <c r="E384">
        <f>-中国_中债国债到期收益率_1年!E383+中国_中债国债到期收益率_1年!E382</f>
        <v>6.0000000000002274E-3</v>
      </c>
      <c r="F384">
        <f>-中国_中债国债到期收益率_1年!F383+中国_中债国债到期收益率_1年!F382</f>
        <v>9.3999999999998529E-3</v>
      </c>
      <c r="G384">
        <f>-中国_中债国债到期收益率_1年!G383+中国_中债国债到期收益率_1年!G382</f>
        <v>2.2999999999999687E-3</v>
      </c>
    </row>
    <row r="385" spans="1:7" x14ac:dyDescent="0.25">
      <c r="A385" s="6">
        <v>45271</v>
      </c>
      <c r="B385">
        <f>-中国_中债国债到期收益率_1年!B384+中国_中债国债到期收益率_1年!B383</f>
        <v>2.4999999999999467E-3</v>
      </c>
      <c r="C385">
        <f>-中国_中债国债到期收益率_1年!C384+中国_中债国债到期收益率_1年!C383</f>
        <v>7.4000000000000732E-3</v>
      </c>
      <c r="D385">
        <f>-中国_中债国债到期收益率_1年!D384+中国_中债国债到期收益率_1年!D383</f>
        <v>3.9999999999995595E-4</v>
      </c>
      <c r="E385">
        <f>-中国_中债国债到期收益率_1年!E384+中国_中债国债到期收益率_1年!E383</f>
        <v>2.8999999999999027E-3</v>
      </c>
      <c r="F385">
        <f>-中国_中债国债到期收益率_1年!F384+中国_中债国债到期收益率_1年!F383</f>
        <v>1.540000000000008E-2</v>
      </c>
      <c r="G385">
        <f>-中国_中债国债到期收益率_1年!G384+中国_中债国债到期收益率_1年!G383</f>
        <v>1.4100000000000001E-2</v>
      </c>
    </row>
    <row r="386" spans="1:7" x14ac:dyDescent="0.25">
      <c r="A386" s="6">
        <v>45272</v>
      </c>
      <c r="B386">
        <f>-中国_中债国债到期收益率_1年!B385+中国_中债国债到期收益率_1年!B384</f>
        <v>-2.4999999999999467E-3</v>
      </c>
      <c r="C386">
        <f>-中国_中债国债到期收益率_1年!C385+中国_中债国债到期收益率_1年!C384</f>
        <v>1.4299999999999979E-2</v>
      </c>
      <c r="D386">
        <f>-中国_中债国债到期收益率_1年!D385+中国_中债国债到期收益率_1年!D384</f>
        <v>1.9600000000000062E-2</v>
      </c>
      <c r="E386">
        <f>-中国_中债国债到期收益率_1年!E385+中国_中债国债到期收益率_1年!E384</f>
        <v>1.4000000000000234E-2</v>
      </c>
      <c r="F386">
        <f>-中国_中债国债到期收益率_1年!F385+中国_中债国债到期收益率_1年!F384</f>
        <v>1.7000000000000348E-3</v>
      </c>
      <c r="G386">
        <f>-中国_中债国债到期收益率_1年!G385+中国_中债国债到期收益率_1年!G384</f>
        <v>2.9900000000000038E-2</v>
      </c>
    </row>
    <row r="387" spans="1:7" x14ac:dyDescent="0.25">
      <c r="A387" s="6">
        <v>45273</v>
      </c>
      <c r="B387">
        <f>-中国_中债国债到期收益率_1年!B386+中国_中债国债到期收益率_1年!B385</f>
        <v>-9.9999999999988987E-4</v>
      </c>
      <c r="C387">
        <f>-中国_中债国债到期收益率_1年!C386+中国_中债国债到期收益率_1年!C385</f>
        <v>8.5000000000001741E-3</v>
      </c>
      <c r="D387">
        <f>-中国_中债国债到期收益率_1年!D386+中国_中债国债到期收益率_1年!D385</f>
        <v>6.4999999999999503E-3</v>
      </c>
      <c r="E387">
        <f>-中国_中债国债到期收益率_1年!E386+中国_中债国债到期收益率_1年!E385</f>
        <v>-5.0000000000016698E-4</v>
      </c>
      <c r="F387">
        <f>-中国_中债国债到期收益率_1年!F386+中国_中债国债到期收益率_1年!F385</f>
        <v>3.6999999999998145E-3</v>
      </c>
      <c r="G387">
        <f>-中国_中债国债到期收益率_1年!G386+中国_中债国债到期收益率_1年!G385</f>
        <v>3.3999999999996255E-3</v>
      </c>
    </row>
    <row r="388" spans="1:7" x14ac:dyDescent="0.25">
      <c r="A388" s="6">
        <v>45274</v>
      </c>
      <c r="B388">
        <f>-中国_中债国债到期收益率_1年!B387+中国_中债国债到期收益率_1年!B386</f>
        <v>3.0000000000000249E-2</v>
      </c>
      <c r="C388">
        <f>-中国_中债国债到期收益率_1年!C387+中国_中债国债到期收益率_1年!C386</f>
        <v>2.0599999999999952E-2</v>
      </c>
      <c r="D388">
        <f>-中国_中债国债到期收益率_1年!D387+中国_中债国债到期收益率_1年!D386</f>
        <v>1.4900000000000357E-2</v>
      </c>
      <c r="E388">
        <f>-中国_中债国债到期收益率_1年!E387+中国_中债国债到期收益率_1年!E386</f>
        <v>1.4499999999999957E-2</v>
      </c>
      <c r="F388">
        <f>-中国_中债国债到期收益率_1年!F387+中国_中债国债到期收益率_1年!F386</f>
        <v>3.9300000000000335E-2</v>
      </c>
      <c r="G388">
        <f>-中国_中债国债到期收益率_1年!G387+中国_中债国债到期收益率_1年!G386</f>
        <v>2.9100000000000126E-2</v>
      </c>
    </row>
    <row r="389" spans="1:7" x14ac:dyDescent="0.25">
      <c r="A389" s="6">
        <v>45275</v>
      </c>
      <c r="B389">
        <f>-中国_中债国债到期收益率_1年!B388+中国_中债国债到期收益率_1年!B387</f>
        <v>1.7499999999999627E-2</v>
      </c>
      <c r="C389">
        <f>-中国_中债国债到期收益率_1年!C388+中国_中债国债到期收益率_1年!C387</f>
        <v>-5.2000000000003155E-3</v>
      </c>
      <c r="D389">
        <f>-中国_中债国债到期收益率_1年!D388+中国_中债国债到期收益率_1年!D387</f>
        <v>-1.5000000000000124E-2</v>
      </c>
      <c r="E389">
        <f>-中国_中债国债到期收益率_1年!E388+中国_中债国债到期收益率_1年!E387</f>
        <v>-7.0999999999998842E-3</v>
      </c>
      <c r="F389">
        <f>-中国_中债国债到期收益率_1年!F388+中国_中债国债到期收益率_1年!F387</f>
        <v>2.8499999999999748E-2</v>
      </c>
      <c r="G389">
        <f>-中国_中债国债到期收益率_1年!G388+中国_中债国债到期收益率_1年!G387</f>
        <v>1.639999999999997E-2</v>
      </c>
    </row>
    <row r="390" spans="1:7" x14ac:dyDescent="0.25">
      <c r="A390" s="6">
        <v>45278</v>
      </c>
      <c r="B390">
        <f>-中国_中债国债到期收益率_1年!B389+中国_中债国债到期收益率_1年!B388</f>
        <v>2.7500000000000302E-2</v>
      </c>
      <c r="C390">
        <f>-中国_中债国债到期收益率_1年!C389+中国_中债国债到期收益率_1年!C388</f>
        <v>2.7200000000000113E-2</v>
      </c>
      <c r="D390">
        <f>-中国_中债国债到期收益率_1年!D389+中国_中债国债到期收益率_1年!D388</f>
        <v>1.4899999999999913E-2</v>
      </c>
      <c r="E390">
        <f>-中国_中债国债到期收益率_1年!E389+中国_中债国债到期收益率_1年!E388</f>
        <v>1.7999999999999794E-2</v>
      </c>
      <c r="F390">
        <f>-中国_中债国债到期收益率_1年!F389+中国_中债国债到期收益率_1年!F388</f>
        <v>1.5900000000000247E-2</v>
      </c>
      <c r="G390">
        <f>-中国_中债国债到期收益率_1年!G389+中国_中债国债到期收益率_1年!G388</f>
        <v>3.0000000000001137E-3</v>
      </c>
    </row>
    <row r="391" spans="1:7" x14ac:dyDescent="0.25">
      <c r="A391" s="6">
        <v>45279</v>
      </c>
      <c r="B391">
        <f>-中国_中债国债到期收益率_1年!B390+中国_中债国债到期收益率_1年!B389</f>
        <v>1.2499999999999734E-2</v>
      </c>
      <c r="C391">
        <f>-中国_中债国债到期收益率_1年!C390+中国_中债国债到期收益率_1年!C389</f>
        <v>4.9000000000001265E-3</v>
      </c>
      <c r="D391">
        <f>-中国_中债国债到期收益率_1年!D390+中国_中债国债到期收益率_1年!D389</f>
        <v>1.0099999999999998E-2</v>
      </c>
      <c r="E391">
        <f>-中国_中债国债到期收益率_1年!E390+中国_中债国债到期收益率_1年!E389</f>
        <v>1.7000000000000348E-2</v>
      </c>
      <c r="F391">
        <f>-中国_中债国债到期收益率_1年!F390+中国_中债国债到期收益率_1年!F389</f>
        <v>-1.23000000000002E-2</v>
      </c>
      <c r="G391">
        <f>-中国_中债国债到期收益率_1年!G390+中国_中债国债到期收益率_1年!G389</f>
        <v>8.3999999999999631E-3</v>
      </c>
    </row>
    <row r="392" spans="1:7" x14ac:dyDescent="0.25">
      <c r="A392" s="6">
        <v>45280</v>
      </c>
      <c r="B392">
        <f>-中国_中债国债到期收益率_1年!B391+中国_中债国债到期收益率_1年!B390</f>
        <v>-4.9999999999998934E-3</v>
      </c>
      <c r="C392">
        <f>-中国_中债国债到期收益率_1年!C391+中国_中债国债到期收益率_1年!C390</f>
        <v>-2.2100000000000009E-2</v>
      </c>
      <c r="D392">
        <f>-中国_中债国债到期收益率_1年!D391+中国_中债国债到期收益率_1年!D390</f>
        <v>-6.4999999999999503E-3</v>
      </c>
      <c r="E392">
        <f>-中国_中债国债到期收益率_1年!E391+中国_中债国债到期收益率_1年!E390</f>
        <v>-5.1000000000001044E-3</v>
      </c>
      <c r="F392">
        <f>-中国_中债国债到期收益率_1年!F391+中国_中债国债到期收益率_1年!F390</f>
        <v>-1.0399999999999743E-2</v>
      </c>
      <c r="G392">
        <f>-中国_中债国债到期收益率_1年!G391+中国_中债国债到期收益率_1年!G390</f>
        <v>-1.1000000000001009E-3</v>
      </c>
    </row>
    <row r="393" spans="1:7" x14ac:dyDescent="0.25">
      <c r="A393" s="6">
        <v>45281</v>
      </c>
      <c r="B393">
        <f>-中国_中债国债到期收益率_1年!B392+中国_中债国债到期收益率_1年!B391</f>
        <v>-4.9999999999998934E-3</v>
      </c>
      <c r="C393">
        <f>-中国_中债国债到期收益率_1年!C392+中国_中债国债到期收益率_1年!C391</f>
        <v>-1.089999999999991E-2</v>
      </c>
      <c r="D393">
        <f>-中国_中债国债到期收益率_1年!D392+中国_中债国债到期收益率_1年!D391</f>
        <v>-3.0999999999998806E-3</v>
      </c>
      <c r="E393">
        <f>-中国_中债国债到期收益率_1年!E392+中国_中债国债到期收益率_1年!E391</f>
        <v>7.0999999999998842E-3</v>
      </c>
      <c r="F393">
        <f>-中国_中债国债到期收益率_1年!F392+中国_中债国债到期收益率_1年!F391</f>
        <v>1.9999999999997797E-4</v>
      </c>
      <c r="G393">
        <f>-中国_中债国债到期收益率_1年!G392+中国_中债国债到期收益率_1年!G391</f>
        <v>1.9999999999997797E-4</v>
      </c>
    </row>
    <row r="394" spans="1:7" x14ac:dyDescent="0.25">
      <c r="A394" s="6">
        <v>45282</v>
      </c>
      <c r="B394">
        <f>-中国_中债国债到期收益率_1年!B393+中国_中债国债到期收益率_1年!B392</f>
        <v>2.4999999999999911E-2</v>
      </c>
      <c r="C394">
        <f>-中国_中债国债到期收益率_1年!C393+中国_中债国债到期收益率_1年!C392</f>
        <v>4.1399999999999881E-2</v>
      </c>
      <c r="D394">
        <f>-中国_中债国债到期收益率_1年!D393+中国_中债国债到期收益率_1年!D392</f>
        <v>3.2099999999999795E-2</v>
      </c>
      <c r="E394">
        <f>-中国_中债国债到期收益率_1年!E393+中国_中债国债到期收益率_1年!E392</f>
        <v>3.5699999999999843E-2</v>
      </c>
      <c r="F394">
        <f>-中国_中债国债到期收益率_1年!F393+中国_中债国债到期收益率_1年!F392</f>
        <v>-2.8000000000001357E-3</v>
      </c>
      <c r="G394">
        <f>-中国_中债国债到期收益率_1年!G393+中国_中债国债到期收益率_1年!G392</f>
        <v>1.7000000000000348E-3</v>
      </c>
    </row>
    <row r="395" spans="1:7" x14ac:dyDescent="0.25">
      <c r="A395" s="6">
        <v>45285</v>
      </c>
      <c r="B395">
        <f>-中国_中债国债到期收益率_1年!B394+中国_中债国债到期收益率_1年!B393</f>
        <v>2.7499999999999858E-2</v>
      </c>
      <c r="C395">
        <f>-中国_中债国债到期收益率_1年!C394+中国_中债国债到期收益率_1年!C393</f>
        <v>2.2100000000000009E-2</v>
      </c>
      <c r="D395">
        <f>-中国_中债国债到期收益率_1年!D394+中国_中债国债到期收益率_1年!D393</f>
        <v>2.4000000000001798E-3</v>
      </c>
      <c r="E395">
        <f>-中国_中债国债到期收益率_1年!E394+中国_中债国债到期收益率_1年!E393</f>
        <v>1.5100000000000335E-2</v>
      </c>
      <c r="F395">
        <f>-中国_中债国债到期收益率_1年!F394+中国_中债国债到期收益率_1年!F393</f>
        <v>4.610000000000003E-2</v>
      </c>
      <c r="G395">
        <f>-中国_中债国债到期收益率_1年!G394+中国_中债国债到期收益率_1年!G393</f>
        <v>2.9100000000000126E-2</v>
      </c>
    </row>
    <row r="396" spans="1:7" x14ac:dyDescent="0.25">
      <c r="A396" s="6">
        <v>45286</v>
      </c>
      <c r="B396">
        <f>-中国_中债国债到期收益率_1年!B395+中国_中债国债到期收益率_1年!B394</f>
        <v>2.8000000000000025E-2</v>
      </c>
      <c r="C396">
        <f>-中国_中债国债到期收益率_1年!C395+中国_中债国债到期收益率_1年!C394</f>
        <v>3.9000000000000146E-2</v>
      </c>
      <c r="D396">
        <f>-中国_中债国债到期收益率_1年!D395+中国_中债国债到期收益率_1年!D394</f>
        <v>1.9899999999999807E-2</v>
      </c>
      <c r="E396">
        <f>-中国_中债国债到期收益率_1年!E395+中国_中债国债到期收益率_1年!E394</f>
        <v>2.6399999999999757E-2</v>
      </c>
      <c r="F396">
        <f>-中国_中债国债到期收益率_1年!F395+中国_中债国债到期收益率_1年!F394</f>
        <v>1.6900000000000137E-2</v>
      </c>
      <c r="G396">
        <f>-中国_中债国债到期收益率_1年!G395+中国_中债国债到期收益率_1年!G394</f>
        <v>1.6900000000000137E-2</v>
      </c>
    </row>
    <row r="397" spans="1:7" x14ac:dyDescent="0.25">
      <c r="A397" s="6">
        <v>45287</v>
      </c>
      <c r="B397">
        <f>-中国_中债国债到期收益率_1年!B396+中国_中债国债到期收益率_1年!B395</f>
        <v>2.0000000000000018E-2</v>
      </c>
      <c r="C397">
        <f>-中国_中债国债到期收益率_1年!C396+中国_中债国债到期收益率_1年!C395</f>
        <v>4.8999999999996824E-3</v>
      </c>
      <c r="D397">
        <f>-中国_中债国债到期收益率_1年!D396+中国_中债国债到期收益率_1年!D395</f>
        <v>-1.2599999999999945E-2</v>
      </c>
      <c r="E397">
        <f>-中国_中债国债到期收益率_1年!E396+中国_中债国债到期收益率_1年!E395</f>
        <v>-1.9000000000000128E-2</v>
      </c>
      <c r="F397">
        <f>-中国_中债国债到期收益率_1年!F396+中国_中债国债到期收益率_1年!F395</f>
        <v>9.0999999999996639E-3</v>
      </c>
      <c r="G397">
        <f>-中国_中债国债到期收益率_1年!G396+中国_中债国债到期收益率_1年!G395</f>
        <v>5.7999999999998053E-3</v>
      </c>
    </row>
    <row r="398" spans="1:7" x14ac:dyDescent="0.25">
      <c r="A398" s="6">
        <v>45288</v>
      </c>
      <c r="B398">
        <f>-中国_中债国债到期收益率_1年!B397+中国_中债国债到期收益率_1年!B396</f>
        <v>5.0000000000000266E-2</v>
      </c>
      <c r="C398">
        <f>-中国_中债国债到期收益率_1年!C397+中国_中债国债到期收益率_1年!C396</f>
        <v>2.870000000000017E-2</v>
      </c>
      <c r="D398">
        <f>-中国_中债国债到期收益率_1年!D397+中国_中债国债到期收益率_1年!D396</f>
        <v>2.2699999999999942E-2</v>
      </c>
      <c r="E398">
        <f>-中国_中债国债到期收益率_1年!E397+中国_中债国债到期收益率_1年!E396</f>
        <v>1.0000000000000231E-2</v>
      </c>
      <c r="F398">
        <f>-中国_中债国债到期收益率_1年!F397+中国_中债国债到期收益率_1年!F396</f>
        <v>1.6300000000000203E-2</v>
      </c>
      <c r="G398">
        <f>-中国_中债国债到期收益率_1年!G397+中国_中债国债到期收益率_1年!G396</f>
        <v>-8.0000000000000071E-3</v>
      </c>
    </row>
    <row r="399" spans="1:7" x14ac:dyDescent="0.25">
      <c r="A399" s="6">
        <v>45289</v>
      </c>
      <c r="B399">
        <f>-中国_中债国债到期收益率_1年!B398+中国_中债国债到期收益率_1年!B397</f>
        <v>3.4999999999999698E-2</v>
      </c>
      <c r="C399">
        <f>-中国_中债国债到期收益率_1年!C398+中国_中债国债到期收益率_1年!C397</f>
        <v>-2.4500000000000188E-2</v>
      </c>
      <c r="D399">
        <f>-中国_中债国债到期收益率_1年!D398+中国_中债国债到期收益率_1年!D397</f>
        <v>-1.1699999999999822E-2</v>
      </c>
      <c r="E399">
        <f>-中国_中债国债到期收益率_1年!E398+中国_中债国债到期收益率_1年!E397</f>
        <v>-1.2100000000000222E-2</v>
      </c>
      <c r="F399">
        <f>-中国_中债国债到期收益率_1年!F398+中国_中债国债到期收益率_1年!F397</f>
        <v>2.3699999999999832E-2</v>
      </c>
      <c r="G399">
        <f>-中国_中债国债到期收益率_1年!G398+中国_中债国债到期收益率_1年!G397</f>
        <v>-3.8999999999997925E-3</v>
      </c>
    </row>
    <row r="400" spans="1:7" x14ac:dyDescent="0.25">
      <c r="A400" s="6">
        <v>45291</v>
      </c>
      <c r="B400">
        <f>-中国_中债国债到期收益率_1年!B399+中国_中债国债到期收益率_1年!B398</f>
        <v>4.0000000000000036E-2</v>
      </c>
      <c r="C400">
        <f>-中国_中债国债到期收益率_1年!C399+中国_中债国债到期收益率_1年!C398</f>
        <v>8.0000000000000071E-3</v>
      </c>
      <c r="D400">
        <f>-中国_中债国债到期收益率_1年!D399+中国_中债国债到期收益率_1年!D398</f>
        <v>1.4100000000000001E-2</v>
      </c>
      <c r="E400">
        <f>-中国_中债国债到期收益率_1年!E399+中国_中债国债到期收益率_1年!E398</f>
        <v>1.9000000000000128E-3</v>
      </c>
      <c r="F400">
        <f>-中国_中债国债到期收益率_1年!F399+中国_中债国债到期收益率_1年!F398</f>
        <v>9.5000000000000639E-3</v>
      </c>
      <c r="G400">
        <f>-中国_中债国债到期收益率_1年!G399+中国_中债国债到期收益率_1年!G398</f>
        <v>-2.2000000000002018E-3</v>
      </c>
    </row>
    <row r="401" spans="1:7" x14ac:dyDescent="0.25">
      <c r="A401" s="6">
        <v>45293</v>
      </c>
      <c r="B401">
        <f>-中国_中债国债到期收益率_1年!B400+中国_中债国债到期收益率_1年!B399</f>
        <v>0</v>
      </c>
      <c r="C401">
        <f>-中国_中债国债到期收益率_1年!C400+中国_中债国债到期收益率_1年!C399</f>
        <v>0</v>
      </c>
      <c r="D401">
        <f>-中国_中债国债到期收益率_1年!D400+中国_中债国债到期收益率_1年!D399</f>
        <v>0</v>
      </c>
      <c r="E401">
        <f>-中国_中债国债到期收益率_1年!E400+中国_中债国债到期收益率_1年!E399</f>
        <v>0</v>
      </c>
      <c r="F401">
        <f>-中国_中债国债到期收益率_1年!F400+中国_中债国债到期收益率_1年!F399</f>
        <v>1.9857</v>
      </c>
      <c r="G401">
        <f>-中国_中债国债到期收益率_1年!G400+中国_中债国债到期收益率_1年!G399</f>
        <v>2.3245</v>
      </c>
    </row>
    <row r="402" spans="1:7" x14ac:dyDescent="0.25">
      <c r="A402" s="6">
        <v>45294</v>
      </c>
      <c r="B402">
        <f>-中国_中债国债到期收益率_1年!B401+中国_中债国债到期收益率_1年!B400</f>
        <v>-3.6999999999999922E-2</v>
      </c>
      <c r="C402">
        <f>-中国_中债国债到期收益率_1年!C401+中国_中债国债到期收益率_1年!C400</f>
        <v>-3.7299999999999667E-2</v>
      </c>
      <c r="D402">
        <f>-中国_中债国债到期收益率_1年!D401+中国_中债国债到期收益率_1年!D400</f>
        <v>-4.7999999999999154E-3</v>
      </c>
      <c r="E402">
        <f>-中国_中债国债到期收益率_1年!E401+中国_中债国债到期收益率_1年!E400</f>
        <v>-1.5299999999999869E-2</v>
      </c>
      <c r="F402">
        <f>-中国_中债国债到期收益率_1年!F401+中国_中债国债到期收益率_1年!F400</f>
        <v>-2.0207999999999999</v>
      </c>
      <c r="G402">
        <f>-中国_中债国债到期收益率_1年!G401+中国_中债国债到期收益率_1年!G400</f>
        <v>-2.3323999999999998</v>
      </c>
    </row>
    <row r="403" spans="1:7" x14ac:dyDescent="0.25">
      <c r="A403" s="6">
        <v>45295</v>
      </c>
      <c r="B403">
        <f>-中国_中债国债到期收益率_1年!B402+中国_中债国债到期收益率_1年!B401</f>
        <v>-2.4999999999999911E-2</v>
      </c>
      <c r="C403">
        <f>-中国_中债国债到期收益率_1年!C402+中国_中债国债到期收益率_1年!C401</f>
        <v>1.6199999999999992E-2</v>
      </c>
      <c r="D403">
        <f>-中国_中债国债到期收益率_1年!D402+中国_中债国债到期收益率_1年!D401</f>
        <v>6.9999999999996732E-3</v>
      </c>
      <c r="E403">
        <f>-中国_中债国债到期收益率_1年!E402+中国_中债国债到期收益率_1年!E401</f>
        <v>2.0000000000002238E-3</v>
      </c>
      <c r="F403">
        <f>-中国_中债国债到期收益率_1年!F402+中国_中债国债到期收益率_1年!F401</f>
        <v>-4.4399999999999995E-2</v>
      </c>
      <c r="G403">
        <f>-中国_中债国债到期收益率_1年!G402+中国_中债国债到期收益率_1年!G401</f>
        <v>-1.3600000000000279E-2</v>
      </c>
    </row>
    <row r="404" spans="1:7" x14ac:dyDescent="0.25">
      <c r="A404" s="6">
        <v>45296</v>
      </c>
      <c r="B404">
        <f>-中国_中债国债到期收益率_1年!B403+中国_中债国债到期收益率_1年!B402</f>
        <v>-1.2500000000000178E-2</v>
      </c>
      <c r="C404">
        <f>-中国_中债国债到期收益率_1年!C403+中国_中债国债到期收益率_1年!C402</f>
        <v>1.2299999999999756E-2</v>
      </c>
      <c r="D404">
        <f>-中国_中债国债到期收益率_1年!D403+中国_中债国债到期收益率_1年!D402</f>
        <v>1.6300000000000203E-2</v>
      </c>
      <c r="E404">
        <f>-中国_中债国债到期收益率_1年!E403+中国_中债国债到期收益率_1年!E402</f>
        <v>2.3199999999999665E-2</v>
      </c>
      <c r="F404">
        <f>-中国_中债国债到期收益率_1年!F403+中国_中债国债到期收益率_1年!F402</f>
        <v>-2.0000000000002238E-3</v>
      </c>
      <c r="G404">
        <f>-中国_中债国债到期收益率_1年!G403+中国_中债国债到期收益率_1年!G402</f>
        <v>7.3000000000003062E-3</v>
      </c>
    </row>
    <row r="405" spans="1:7" x14ac:dyDescent="0.25">
      <c r="A405" s="6">
        <v>45299</v>
      </c>
      <c r="B405">
        <f>-中国_中债国债到期收益率_1年!B404+中国_中债国债到期收益率_1年!B403</f>
        <v>4.4999999999999929E-2</v>
      </c>
      <c r="C405">
        <f>-中国_中债国债到期收益率_1年!C404+中国_中债国债到期收益率_1年!C403</f>
        <v>1.8600000000000172E-2</v>
      </c>
      <c r="D405">
        <f>-中国_中债国债到期收益率_1年!D404+中国_中债国债到期收益率_1年!D403</f>
        <v>1.9299999999999873E-2</v>
      </c>
      <c r="E405">
        <f>-中国_中债国债到期收益率_1年!E404+中国_中债国债到期收益率_1年!E403</f>
        <v>1.2700000000000156E-2</v>
      </c>
      <c r="F405">
        <f>-中国_中债国债到期收益率_1年!F404+中国_中债国债到期收益率_1年!F403</f>
        <v>1.6000000000000014E-2</v>
      </c>
      <c r="G405">
        <f>-中国_中债国债到期收益率_1年!G404+中国_中债国债到期收益率_1年!G403</f>
        <v>2.6599999999999735E-2</v>
      </c>
    </row>
    <row r="406" spans="1:7" x14ac:dyDescent="0.25">
      <c r="A406" s="6">
        <v>45300</v>
      </c>
      <c r="B406">
        <f>-中国_中债国债到期收益率_1年!B405+中国_中债国债到期收益率_1年!B404</f>
        <v>-9.9999999999997868E-3</v>
      </c>
      <c r="C406">
        <f>-中国_中债国债到期收益率_1年!C405+中国_中债国债到期收益率_1年!C404</f>
        <v>-1.7700000000000049E-2</v>
      </c>
      <c r="D406">
        <f>-中国_中债国债到期收益率_1年!D405+中国_中债国债到期收益率_1年!D404</f>
        <v>3.9000000000002366E-3</v>
      </c>
      <c r="E406">
        <f>-中国_中债国债到期收益率_1年!E405+中国_中债国债到期收益率_1年!E404</f>
        <v>2.2999999999999687E-3</v>
      </c>
      <c r="F406">
        <f>-中国_中债国债到期收益率_1年!F405+中国_中债国债到期收益率_1年!F404</f>
        <v>-9.3999999999998529E-3</v>
      </c>
      <c r="G406">
        <f>-中国_中债国债到期收益率_1年!G405+中国_中债国债到期收益率_1年!G404</f>
        <v>-1.9999999999997797E-3</v>
      </c>
    </row>
    <row r="407" spans="1:7" x14ac:dyDescent="0.25">
      <c r="A407" s="6">
        <v>45301</v>
      </c>
      <c r="B407">
        <f>-中国_中债国债到期收益率_1年!B406+中国_中债国债到期收益率_1年!B405</f>
        <v>2.0000000000000018E-2</v>
      </c>
      <c r="C407">
        <f>-中国_中债国债到期收益率_1年!C406+中国_中债国债到期收益率_1年!C405</f>
        <v>1.7500000000000071E-2</v>
      </c>
      <c r="D407">
        <f>-中国_中债国债到期收益率_1年!D406+中国_中债国债到期收益率_1年!D405</f>
        <v>2.7399999999999647E-2</v>
      </c>
      <c r="E407">
        <f>-中国_中债国债到期收益率_1年!E406+中国_中债国债到期收益率_1年!E405</f>
        <v>3.2700000000000173E-2</v>
      </c>
      <c r="F407">
        <f>-中国_中债国债到期收益率_1年!F406+中国_中债国债到期收益率_1年!F405</f>
        <v>1.7500000000000071E-2</v>
      </c>
      <c r="G407">
        <f>-中国_中债国债到期收益率_1年!G406+中国_中债国债到期收益率_1年!G405</f>
        <v>2.3800000000000043E-2</v>
      </c>
    </row>
    <row r="408" spans="1:7" x14ac:dyDescent="0.25">
      <c r="A408" s="6">
        <v>45302</v>
      </c>
      <c r="B408">
        <f>-中国_中债国债到期收益率_1年!B407+中国_中债国债到期收益率_1年!B406</f>
        <v>-1.0000000000000231E-2</v>
      </c>
      <c r="C408">
        <f>-中国_中债国债到期收益率_1年!C407+中国_中债国债到期收益率_1年!C406</f>
        <v>-1.5700000000000269E-2</v>
      </c>
      <c r="D408">
        <f>-中国_中债国债到期收益率_1年!D407+中国_中债国债到期收益率_1年!D406</f>
        <v>-1.2000000000000011E-2</v>
      </c>
      <c r="E408">
        <f>-中国_中债国债到期收益率_1年!E407+中国_中债国债到期收益率_1年!E406</f>
        <v>-6.4999999999999503E-3</v>
      </c>
      <c r="F408">
        <f>-中国_中债国债到期收益率_1年!F407+中国_中债国债到期收益率_1年!F406</f>
        <v>-1.540000000000008E-2</v>
      </c>
      <c r="G408">
        <f>-中国_中债国债到期收益率_1年!G407+中国_中债国债到期收益率_1年!G406</f>
        <v>-4.8000000000003595E-3</v>
      </c>
    </row>
    <row r="409" spans="1:7" x14ac:dyDescent="0.25">
      <c r="A409" s="6">
        <v>45303</v>
      </c>
      <c r="B409">
        <f>-中国_中债国债到期收益率_1年!B408+中国_中债国债到期收益率_1年!B407</f>
        <v>1.5000000000000124E-2</v>
      </c>
      <c r="C409">
        <f>-中国_中债国债到期收益率_1年!C408+中国_中债国债到期收益率_1年!C407</f>
        <v>2.0000000000002238E-3</v>
      </c>
      <c r="D409">
        <f>-中国_中债国债到期收益率_1年!D408+中国_中债国债到期收益率_1年!D407</f>
        <v>-9.9999999999988987E-4</v>
      </c>
      <c r="E409">
        <f>-中国_中债国债到期收益率_1年!E408+中国_中债国债到期收益率_1年!E407</f>
        <v>-1.1000000000001009E-3</v>
      </c>
      <c r="F409">
        <f>-中国_中债国债到期收益率_1年!F408+中国_中债国债到期收益率_1年!F407</f>
        <v>5.1000000000001044E-3</v>
      </c>
      <c r="G409">
        <f>-中国_中债国债到期收益率_1年!G408+中国_中债国债到期收益率_1年!G407</f>
        <v>1.000000000000334E-3</v>
      </c>
    </row>
    <row r="410" spans="1:7" x14ac:dyDescent="0.25">
      <c r="A410" s="6">
        <v>45306</v>
      </c>
      <c r="B410">
        <f>-中国_中债国债到期收益率_1年!B409+中国_中债国债到期收益率_1年!B408</f>
        <v>0</v>
      </c>
      <c r="C410">
        <f>-中国_中债国债到期收益率_1年!C409+中国_中债国债到期收益率_1年!C408</f>
        <v>-1.1400000000000077E-2</v>
      </c>
      <c r="D410">
        <f>-中国_中债国债到期收益率_1年!D409+中国_中债国债到期收益率_1年!D408</f>
        <v>-1.7999999999999794E-2</v>
      </c>
      <c r="E410">
        <f>-中国_中债国债到期收益率_1年!E409+中国_中债国债到期收益率_1年!E408</f>
        <v>-1.6100000000000225E-2</v>
      </c>
      <c r="F410">
        <f>-中国_中债国债到期收益率_1年!F409+中国_中债国债到期收益率_1年!F408</f>
        <v>1.3199999999999878E-2</v>
      </c>
      <c r="G410">
        <f>-中国_中债国债到期收益率_1年!G409+中国_中债国债到期收益率_1年!G408</f>
        <v>-3.6000000000000476E-3</v>
      </c>
    </row>
    <row r="411" spans="1:7" x14ac:dyDescent="0.25">
      <c r="A411" s="6">
        <v>45307</v>
      </c>
      <c r="B411">
        <f>-中国_中债国债到期收益率_1年!B410+中国_中债国债到期收益率_1年!B409</f>
        <v>-4.9999999999998934E-3</v>
      </c>
      <c r="C411">
        <f>-中国_中债国债到期收益率_1年!C410+中国_中债国债到期收益率_1年!C409</f>
        <v>-1.0000000000000231E-2</v>
      </c>
      <c r="D411">
        <f>-中国_中债国债到期收益率_1年!D410+中国_中债国债到期收益率_1年!D409</f>
        <v>-4.0000000000000036E-3</v>
      </c>
      <c r="E411">
        <f>-中国_中债国债到期收益率_1年!E410+中国_中债国债到期收益率_1年!E409</f>
        <v>7.4000000000000732E-3</v>
      </c>
      <c r="F411">
        <f>-中国_中债国债到期收益率_1年!F410+中国_中债国债到期收益率_1年!F409</f>
        <v>-3.0199999999999783E-2</v>
      </c>
      <c r="G411">
        <f>-中国_中债国债到期收益率_1年!G410+中国_中债国债到期收益率_1年!G409</f>
        <v>-1.7000000000000348E-3</v>
      </c>
    </row>
    <row r="412" spans="1:7" x14ac:dyDescent="0.25">
      <c r="A412" s="6">
        <v>45308</v>
      </c>
      <c r="B412">
        <f>-中国_中债国债到期收益率_1年!B411+中国_中债国债到期收益率_1年!B410</f>
        <v>-1.0000000000000231E-2</v>
      </c>
      <c r="C412">
        <f>-中国_中债国债到期收益率_1年!C411+中国_中债国债到期收益率_1年!C410</f>
        <v>-1.499999999999968E-2</v>
      </c>
      <c r="D412">
        <f>-中国_中债国债到期收益率_1年!D411+中国_中债国债到期收益率_1年!D410</f>
        <v>-4.0000000000000036E-3</v>
      </c>
      <c r="E412">
        <f>-中国_中债国债到期收益率_1年!E411+中国_中债国债到期收益率_1年!E410</f>
        <v>-4.0999999999997705E-3</v>
      </c>
      <c r="F412">
        <f>-中国_中债国债到期收益率_1年!F411+中国_中债国债到期收益率_1年!F410</f>
        <v>-3.4400000000000208E-2</v>
      </c>
      <c r="G412">
        <f>-中国_中债国债到期收益率_1年!G411+中国_中债国债到期收益率_1年!G410</f>
        <v>-1.7600000000000282E-2</v>
      </c>
    </row>
    <row r="413" spans="1:7" x14ac:dyDescent="0.25">
      <c r="A413" s="6">
        <v>45309</v>
      </c>
      <c r="B413">
        <f>-中国_中债国债到期收益率_1年!B412+中国_中债国债到期收益率_1年!B411</f>
        <v>5.0000000000003375E-3</v>
      </c>
      <c r="C413">
        <f>-中国_中债国债到期收益率_1年!C412+中国_中债国债到期收益率_1年!C411</f>
        <v>4.029999999999978E-2</v>
      </c>
      <c r="D413">
        <f>-中国_中债国债到期收益率_1年!D412+中国_中债国债到期收益率_1年!D411</f>
        <v>1.7500000000000071E-2</v>
      </c>
      <c r="E413">
        <f>-中国_中债国债到期收益率_1年!E412+中国_中债国债到期收益率_1年!E411</f>
        <v>1.499999999999968E-2</v>
      </c>
      <c r="F413">
        <f>-中国_中债国债到期收益率_1年!F412+中国_中债国债到期收益率_1年!F411</f>
        <v>1.7999999999998018E-3</v>
      </c>
      <c r="G413">
        <f>-中国_中债国债到期收益率_1年!G412+中国_中债国债到期收益率_1年!G411</f>
        <v>1.2000000000000011E-2</v>
      </c>
    </row>
    <row r="414" spans="1:7" x14ac:dyDescent="0.25">
      <c r="A414" s="6">
        <v>45310</v>
      </c>
      <c r="B414">
        <f>-中国_中债国债到期收益率_1年!B413+中国_中债国债到期收益率_1年!B412</f>
        <v>4.9999999999998934E-3</v>
      </c>
      <c r="C414">
        <f>-中国_中债国债到期收益率_1年!C413+中国_中债国债到期收益率_1年!C412</f>
        <v>4.9000000000001265E-3</v>
      </c>
      <c r="D414">
        <f>-中国_中债国债到期收益率_1年!D413+中国_中债国债到期收益率_1年!D412</f>
        <v>-1.5000000000000568E-3</v>
      </c>
      <c r="E414">
        <f>-中国_中债国债到期收益率_1年!E413+中国_中债国债到期收益率_1年!E412</f>
        <v>1.5000000000000568E-3</v>
      </c>
      <c r="F414">
        <f>-中国_中债国债到期收益率_1年!F413+中国_中债国债到期收益率_1年!F412</f>
        <v>9.200000000000319E-3</v>
      </c>
      <c r="G414">
        <f>-中国_中债国债到期收益率_1年!G413+中国_中债国债到期收益率_1年!G412</f>
        <v>6.2999999999999723E-3</v>
      </c>
    </row>
    <row r="415" spans="1:7" x14ac:dyDescent="0.25">
      <c r="A415" s="6">
        <v>45313</v>
      </c>
      <c r="B415">
        <f>-中国_中债国债到期收益率_1年!B414+中国_中债国债到期收益率_1年!B413</f>
        <v>1.5000000000000124E-2</v>
      </c>
      <c r="C415">
        <f>-中国_中债国债到期收益率_1年!C414+中国_中债国债到期收益率_1年!C413</f>
        <v>1.739999999999986E-2</v>
      </c>
      <c r="D415">
        <f>-中国_中债国债到期收益率_1年!D414+中国_中债国债到期收益率_1年!D413</f>
        <v>6.4999999999999503E-3</v>
      </c>
      <c r="E415">
        <f>-中国_中债国债到期收益率_1年!E414+中国_中债国债到期收益率_1年!E413</f>
        <v>1.4899999999999913E-2</v>
      </c>
      <c r="F415">
        <f>-中国_中债国债到期收益率_1年!F414+中国_中债国债到期收益率_1年!F413</f>
        <v>2.2100000000000009E-2</v>
      </c>
      <c r="G415">
        <f>-中国_中债国债到期收益率_1年!G414+中国_中债国债到期收益率_1年!G413</f>
        <v>2.2000000000002018E-3</v>
      </c>
    </row>
    <row r="416" spans="1:7" x14ac:dyDescent="0.25">
      <c r="A416" s="6">
        <v>45314</v>
      </c>
      <c r="B416">
        <f>-中国_中债国债到期收益率_1年!B415+中国_中债国债到期收益率_1年!B414</f>
        <v>2.7999999999996916E-3</v>
      </c>
      <c r="C416">
        <f>-中国_中债国债到期收益率_1年!C415+中国_中债国债到期收益率_1年!C414</f>
        <v>7.1000000000003283E-3</v>
      </c>
      <c r="D416">
        <f>-中国_中债国债到期收益率_1年!D415+中国_中债国债到期收益率_1年!D414</f>
        <v>1.0499999999999954E-2</v>
      </c>
      <c r="E416">
        <f>-中国_中债国债到期收益率_1年!E415+中国_中债国债到期收益率_1年!E414</f>
        <v>3.5900000000000265E-2</v>
      </c>
      <c r="F416">
        <f>-中国_中债国债到期收益率_1年!F415+中国_中债国债到期收益率_1年!F414</f>
        <v>-1.5200000000000102E-2</v>
      </c>
      <c r="G416">
        <f>-中国_中债国债到期收益率_1年!G415+中国_中债国债到期收益率_1年!G414</f>
        <v>4.9000000000001265E-3</v>
      </c>
    </row>
    <row r="417" spans="1:7" x14ac:dyDescent="0.25">
      <c r="A417" s="6">
        <v>45315</v>
      </c>
      <c r="B417">
        <f>-中国_中债国债到期收益率_1年!B416+中国_中债国债到期收益率_1年!B415</f>
        <v>-2.7999999999996916E-3</v>
      </c>
      <c r="C417">
        <f>-中国_中债国债到期收益率_1年!C416+中国_中债国债到期收益率_1年!C415</f>
        <v>-1.2600000000000389E-2</v>
      </c>
      <c r="D417">
        <f>-中国_中债国债到期收益率_1年!D416+中国_中债国债到期收益率_1年!D415</f>
        <v>-1.2000000000000011E-2</v>
      </c>
      <c r="E417">
        <f>-中国_中债国债到期收益率_1年!E416+中国_中债国债到期收益率_1年!E415</f>
        <v>-1.0299999999999976E-2</v>
      </c>
      <c r="F417">
        <f>-中国_中债国债到期收益率_1年!F416+中国_中债国债到期收益率_1年!F415</f>
        <v>1.9000000000000128E-3</v>
      </c>
      <c r="G417">
        <f>-中国_中债国债到期收益率_1年!G416+中国_中债国债到期收益率_1年!G415</f>
        <v>-1.0900000000000354E-2</v>
      </c>
    </row>
    <row r="418" spans="1:7" x14ac:dyDescent="0.25">
      <c r="A418" s="6">
        <v>45316</v>
      </c>
      <c r="B418">
        <f>-中国_中债国债到期收益率_1年!B417+中国_中债国债到期收益率_1年!B416</f>
        <v>1.499999999999968E-2</v>
      </c>
      <c r="C418">
        <f>-中国_中债国债到期收益率_1年!C417+中国_中债国债到期收益率_1年!C416</f>
        <v>1.2199999999999989E-2</v>
      </c>
      <c r="D418">
        <f>-中国_中债国债到期收益率_1年!D417+中国_中债国债到期收益率_1年!D416</f>
        <v>0</v>
      </c>
      <c r="E418">
        <f>-中国_中债国债到期收益率_1年!E417+中国_中债国债到期收益率_1年!E416</f>
        <v>-5.3000000000000824E-3</v>
      </c>
      <c r="F418">
        <f>-中国_中债国债到期收益率_1年!F417+中国_中债国债到期收益率_1年!F416</f>
        <v>2.3699999999999832E-2</v>
      </c>
      <c r="G418">
        <f>-中国_中债国债到期收益率_1年!G417+中国_中债国债到期收益率_1年!G416</f>
        <v>7.0000000000001172E-3</v>
      </c>
    </row>
    <row r="419" spans="1:7" x14ac:dyDescent="0.25">
      <c r="A419" s="6">
        <v>45317</v>
      </c>
      <c r="B419">
        <f>-中国_中债国债到期收益率_1年!B418+中国_中债国债到期收益率_1年!B417</f>
        <v>3.4900000000000375E-2</v>
      </c>
      <c r="C419">
        <f>-中国_中债国债到期收益率_1年!C418+中国_中债国债到期收益率_1年!C417</f>
        <v>3.9900000000000269E-2</v>
      </c>
      <c r="D419">
        <f>-中国_中债国债到期收益率_1年!D418+中国_中债国债到期收益率_1年!D417</f>
        <v>5.7999999999998053E-3</v>
      </c>
      <c r="E419">
        <f>-中国_中债国债到期收益率_1年!E418+中国_中债国债到期收益率_1年!E417</f>
        <v>5.9000000000000163E-3</v>
      </c>
      <c r="F419">
        <f>-中国_中债国债到期收益率_1年!F418+中国_中债国债到期收益率_1年!F417</f>
        <v>3.9000000000000146E-2</v>
      </c>
      <c r="G419">
        <f>-中国_中债国债到期收益率_1年!G418+中国_中债国债到期收益率_1年!G417</f>
        <v>3.069999999999995E-2</v>
      </c>
    </row>
    <row r="420" spans="1:7" x14ac:dyDescent="0.25">
      <c r="A420" s="6">
        <v>45320</v>
      </c>
      <c r="B420">
        <f>-中国_中债国债到期收益率_1年!B419+中国_中债国债到期收益率_1年!B418</f>
        <v>1.1299999999999866E-2</v>
      </c>
      <c r="C420">
        <f>-中国_中债国债到期收益率_1年!C419+中国_中债国债到期收益率_1年!C418</f>
        <v>-1.2700000000000156E-2</v>
      </c>
      <c r="D420">
        <f>-中国_中债国债到期收益率_1年!D419+中国_中债国债到期收益率_1年!D418</f>
        <v>-9.9999999999988987E-4</v>
      </c>
      <c r="E420">
        <f>-中国_中债国债到期收益率_1年!E419+中国_中债国债到期收益率_1年!E418</f>
        <v>-9.9999999999988987E-4</v>
      </c>
      <c r="F420">
        <f>-中国_中债国债到期收益率_1年!F419+中国_中债国债到期收益率_1年!F418</f>
        <v>1.9499999999999851E-2</v>
      </c>
      <c r="G420">
        <f>-中国_中债国债到期收益率_1年!G419+中国_中债国债到期收益率_1年!G418</f>
        <v>6.2999999999999723E-3</v>
      </c>
    </row>
    <row r="421" spans="1:7" x14ac:dyDescent="0.25">
      <c r="A421" s="6">
        <v>45321</v>
      </c>
      <c r="B421">
        <f>-中国_中债国债到期收益率_1年!B420+中国_中债国债到期收益率_1年!B419</f>
        <v>8.2799999999999985E-2</v>
      </c>
      <c r="C421">
        <f>-中国_中债国债到期收益率_1年!C420+中国_中债国债到期收益率_1年!C419</f>
        <v>2.1900000000000031E-2</v>
      </c>
      <c r="D421">
        <f>-中国_中债国债到期收益率_1年!D420+中国_中债国债到期收益率_1年!D419</f>
        <v>5.3999999999998494E-3</v>
      </c>
      <c r="E421">
        <f>-中国_中债国债到期收益率_1年!E420+中国_中债国债到期收益率_1年!E419</f>
        <v>5.9000000000000163E-3</v>
      </c>
      <c r="F421">
        <f>-中国_中债国债到期收益率_1年!F420+中国_中债国债到期收益率_1年!F419</f>
        <v>6.3000000000001943E-3</v>
      </c>
      <c r="G421">
        <f>-中国_中债国债到期收益率_1年!G420+中国_中债国债到期收益率_1年!G419</f>
        <v>1.9600000000000062E-2</v>
      </c>
    </row>
    <row r="422" spans="1:7" x14ac:dyDescent="0.25">
      <c r="A422" s="6">
        <v>45322</v>
      </c>
      <c r="B422">
        <f>-中国_中债国债到期收益率_1年!B421+中国_中债国债到期收益率_1年!B420</f>
        <v>6.4999999999999947E-2</v>
      </c>
      <c r="C422">
        <f>-中国_中债国债到期收益率_1年!C421+中国_中债国债到期收益率_1年!C420</f>
        <v>3.7300000000000111E-2</v>
      </c>
      <c r="D422">
        <f>-中国_中债国债到期收益率_1年!D421+中国_中债国债到期收益率_1年!D420</f>
        <v>3.8300000000000001E-2</v>
      </c>
      <c r="E422">
        <f>-中国_中债国债到期收益率_1年!E421+中国_中债国债到期收益率_1年!E420</f>
        <v>4.4099999999999806E-2</v>
      </c>
      <c r="F422">
        <f>-中国_中债国债到期收益率_1年!F421+中国_中债国债到期收益率_1年!F420</f>
        <v>5.2699999999999969E-2</v>
      </c>
      <c r="G422">
        <f>-中国_中债国债到期收益率_1年!G421+中国_中债国债到期收益率_1年!G420</f>
        <v>5.7399999999999896E-2</v>
      </c>
    </row>
    <row r="423" spans="1:7" x14ac:dyDescent="0.25">
      <c r="A423" s="6">
        <v>45323</v>
      </c>
      <c r="B423">
        <f>-中国_中债国债到期收益率_1年!B422+中国_中债国债到期收益率_1年!B421</f>
        <v>-5.1000000000001044E-3</v>
      </c>
      <c r="C423">
        <f>-中国_中债国债到期收益率_1年!C422+中国_中债国债到期收益率_1年!C421</f>
        <v>-2.2999999999999687E-3</v>
      </c>
      <c r="D423">
        <f>-中国_中债国债到期收益率_1年!D422+中国_中债国债到期收益率_1年!D421</f>
        <v>2.2700000000000387E-2</v>
      </c>
      <c r="E423">
        <f>-中国_中债国债到期收益率_1年!E422+中国_中债国债到期收益率_1年!E421</f>
        <v>3.4899999999999931E-2</v>
      </c>
      <c r="F423">
        <f>-中国_中债国债到期收益率_1年!F422+中国_中债国债到期收益率_1年!F421</f>
        <v>-2.7600000000000069E-2</v>
      </c>
      <c r="G423">
        <f>-中国_中债国债到期收益率_1年!G422+中国_中债国债到期收益率_1年!G421</f>
        <v>5.1000000000001044E-3</v>
      </c>
    </row>
    <row r="424" spans="1:7" x14ac:dyDescent="0.25">
      <c r="A424" s="6">
        <v>45324</v>
      </c>
      <c r="B424">
        <f>-中国_中债国债到期收益率_1年!B423+中国_中债国债到期收益率_1年!B422</f>
        <v>0</v>
      </c>
      <c r="C424">
        <f>-中国_中债国债到期收益率_1年!C423+中国_中债国债到期收益率_1年!C422</f>
        <v>-1.7600000000000282E-2</v>
      </c>
      <c r="D424">
        <f>-中国_中债国债到期收益率_1年!D423+中国_中债国债到期收益率_1年!D422</f>
        <v>-2.4000000000001798E-3</v>
      </c>
      <c r="E424">
        <f>-中国_中债国债到期收益率_1年!E423+中国_中债国债到期收益率_1年!E422</f>
        <v>9.9999999999988987E-4</v>
      </c>
      <c r="F424">
        <f>-中国_中债国债到期收益率_1年!F423+中国_中债国债到期收益率_1年!F422</f>
        <v>-3.5000000000000586E-3</v>
      </c>
      <c r="G424">
        <f>-中国_中债国债到期收益率_1年!G423+中国_中债国债到期收益率_1年!G422</f>
        <v>-1.0199999999999765E-2</v>
      </c>
    </row>
    <row r="425" spans="1:7" x14ac:dyDescent="0.25">
      <c r="A425" s="6">
        <v>45326</v>
      </c>
      <c r="B425">
        <f>-中国_中债国债到期收益率_1年!B424+中国_中债国债到期收益率_1年!B423</f>
        <v>-1.0099999999999998E-2</v>
      </c>
      <c r="C425">
        <f>-中国_中债国债到期收益率_1年!C424+中国_中债国债到期收益率_1年!C423</f>
        <v>2.4900000000000144E-2</v>
      </c>
      <c r="D425">
        <f>-中国_中债国债到期收益率_1年!D424+中国_中债国债到期收益率_1年!D423</f>
        <v>1.1000000000000121E-2</v>
      </c>
      <c r="E425">
        <f>-中国_中债国债到期收益率_1年!E424+中国_中债国债到期收益率_1年!E423</f>
        <v>1.1900000000000244E-2</v>
      </c>
      <c r="F425">
        <f>-中国_中债国债到期收益率_1年!F424+中国_中债国债到期收益率_1年!F423</f>
        <v>3.1000000000001027E-3</v>
      </c>
      <c r="G425">
        <f>-中国_中债国债到期收益率_1年!G424+中国_中债国债到期收益率_1年!G423</f>
        <v>-3.5000000000002807E-3</v>
      </c>
    </row>
    <row r="426" spans="1:7" x14ac:dyDescent="0.25">
      <c r="A426" s="6">
        <v>45327</v>
      </c>
      <c r="B426">
        <f>-中国_中债国债到期收益率_1年!B425+中国_中债国债到期收益率_1年!B424</f>
        <v>1.0000000000000009E-2</v>
      </c>
      <c r="C426">
        <f>-中国_中债国债到期收益率_1年!C425+中国_中债国债到期收益率_1年!C424</f>
        <v>7.0999999999998842E-3</v>
      </c>
      <c r="D426">
        <f>-中国_中债国债到期收益率_1年!D425+中国_中债国债到期收益率_1年!D424</f>
        <v>1.9099999999999895E-2</v>
      </c>
      <c r="E426">
        <f>-中国_中债国债到期收益率_1年!E425+中国_中债国债到期收益率_1年!E424</f>
        <v>2.7699999999999836E-2</v>
      </c>
      <c r="F426">
        <f>-中国_中债国债到期收益率_1年!F425+中国_中债国债到期收益率_1年!F424</f>
        <v>1.4599999999999946E-2</v>
      </c>
      <c r="G426">
        <f>-中国_中债国债到期收益率_1年!G425+中国_中债国债到期收益率_1年!G424</f>
        <v>1.5600000000000058E-2</v>
      </c>
    </row>
    <row r="427" spans="1:7" x14ac:dyDescent="0.25">
      <c r="A427" s="6">
        <v>45328</v>
      </c>
      <c r="B427">
        <f>-中国_中债国债到期收益率_1年!B426+中国_中债国债到期收益率_1年!B425</f>
        <v>-2.5999999999999357E-3</v>
      </c>
      <c r="C427">
        <f>-中国_中债国债到期收益率_1年!C426+中国_中债国债到期收益率_1年!C425</f>
        <v>-2.2999999999999687E-3</v>
      </c>
      <c r="D427">
        <f>-中国_中债国债到期收益率_1年!D426+中国_中债国债到期收益率_1年!D425</f>
        <v>5.1000000000001044E-3</v>
      </c>
      <c r="E427">
        <f>-中国_中债国债到期收益率_1年!E426+中国_中债国债到期收益率_1年!E425</f>
        <v>1.0200000000000209E-2</v>
      </c>
      <c r="F427">
        <f>-中国_中债国债到期收益率_1年!F426+中国_中债国债到期收益率_1年!F425</f>
        <v>-1.0399999999999965E-2</v>
      </c>
      <c r="G427">
        <f>-中国_中债国债到期收益率_1年!G426+中国_中债国债到期收益率_1年!G425</f>
        <v>-2.2999999999999687E-3</v>
      </c>
    </row>
    <row r="428" spans="1:7" x14ac:dyDescent="0.25">
      <c r="A428" s="6">
        <v>45329</v>
      </c>
      <c r="B428">
        <f>-中国_中债国债到期收益率_1年!B427+中国_中债国债到期收益率_1年!B426</f>
        <v>-4.4000000000000039E-2</v>
      </c>
      <c r="C428">
        <f>-中国_中债国债到期收益率_1年!C427+中国_中债国债到期收益率_1年!C426</f>
        <v>-5.7799999999999851E-2</v>
      </c>
      <c r="D428">
        <f>-中国_中债国债到期收益率_1年!D427+中国_中债国债到期收益率_1年!D426</f>
        <v>-5.2300000000000235E-2</v>
      </c>
      <c r="E428">
        <f>-中国_中债国债到期收益率_1年!E427+中国_中债国债到期收益率_1年!E426</f>
        <v>-6.050000000000022E-2</v>
      </c>
      <c r="F428">
        <f>-中国_中债国债到期收益率_1年!F427+中国_中债国债到期收益率_1年!F426</f>
        <v>-1.3800000000000034E-2</v>
      </c>
      <c r="G428">
        <f>-中国_中债国债到期收益率_1年!G427+中国_中债国债到期收益率_1年!G426</f>
        <v>-3.0899999999999928E-2</v>
      </c>
    </row>
    <row r="429" spans="1:7" x14ac:dyDescent="0.25">
      <c r="A429" s="6">
        <v>45330</v>
      </c>
      <c r="B429">
        <f>-中国_中债国债到期收益率_1年!B428+中国_中债国债到期收益率_1年!B427</f>
        <v>-1.8000000000000238E-3</v>
      </c>
      <c r="C429">
        <f>-中国_中债国债到期收益率_1年!C428+中国_中债国债到期收益率_1年!C427</f>
        <v>3.4399999999999764E-2</v>
      </c>
      <c r="D429">
        <f>-中国_中债国债到期收益率_1年!D428+中国_中债国债到期收益率_1年!D427</f>
        <v>3.7200000000000344E-2</v>
      </c>
      <c r="E429">
        <f>-中国_中债国债到期收益率_1年!E428+中国_中债国债到期收益率_1年!E427</f>
        <v>3.6500000000000199E-2</v>
      </c>
      <c r="F429">
        <f>-中国_中债国债到期收益率_1年!F428+中国_中债国债到期收益率_1年!F427</f>
        <v>9.300000000000086E-3</v>
      </c>
      <c r="G429">
        <f>-中国_中债国债到期收益率_1年!G428+中国_中债国债到期收益率_1年!G427</f>
        <v>-7.0000000000014495E-4</v>
      </c>
    </row>
    <row r="430" spans="1:7" x14ac:dyDescent="0.25">
      <c r="A430" s="6">
        <v>45331</v>
      </c>
      <c r="B430">
        <f>-中国_中债国债到期收益率_1年!B429+中国_中债国债到期收益率_1年!B428</f>
        <v>2.1999999999999797E-3</v>
      </c>
      <c r="C430">
        <f>-中国_中债国债到期收益率_1年!C429+中国_中债国债到期收益率_1年!C428</f>
        <v>1.0000000000000231E-2</v>
      </c>
      <c r="D430">
        <f>-中国_中债国债到期收益率_1年!D429+中国_中债国债到期收益率_1年!D428</f>
        <v>-2.2600000000000176E-2</v>
      </c>
      <c r="E430">
        <f>-中国_中债国债到期收益率_1年!E429+中国_中债国债到期收益率_1年!E428</f>
        <v>-2.9100000000000126E-2</v>
      </c>
      <c r="F430">
        <f>-中国_中债国债到期收益率_1年!F429+中国_中债国债到期收益率_1年!F428</f>
        <v>2.5199999999999889E-2</v>
      </c>
      <c r="G430">
        <f>-中国_中债国债到期收益率_1年!G429+中国_中债国债到期收益率_1年!G428</f>
        <v>1.6300000000000203E-2</v>
      </c>
    </row>
    <row r="431" spans="1:7" x14ac:dyDescent="0.25">
      <c r="A431" s="6">
        <v>45340</v>
      </c>
      <c r="B431">
        <f>-中国_中债国债到期收益率_1年!B430+中国_中债国债到期收益率_1年!B429</f>
        <v>0</v>
      </c>
      <c r="C431">
        <f>-中国_中债国债到期收益率_1年!C430+中国_中债国债到期收益率_1年!C429</f>
        <v>0</v>
      </c>
      <c r="D431">
        <f>-中国_中债国债到期收益率_1年!D430+中国_中债国债到期收益率_1年!D429</f>
        <v>7.6999999999998181E-3</v>
      </c>
      <c r="E431">
        <f>-中国_中债国债到期收益率_1年!E430+中国_中债国债到期收益率_1年!E429</f>
        <v>0</v>
      </c>
      <c r="F431">
        <f>-中国_中债国债到期收益率_1年!F430+中国_中债国债到期收益率_1年!F429</f>
        <v>1.9469000000000001</v>
      </c>
      <c r="G431">
        <f>-中国_中债国债到期收益率_1年!G430+中国_中债国债到期收益率_1年!G429</f>
        <v>-1.7900000000000027E-2</v>
      </c>
    </row>
    <row r="432" spans="1:7" x14ac:dyDescent="0.25">
      <c r="A432" s="6">
        <v>45341</v>
      </c>
      <c r="B432">
        <f>-中国_中债国债到期收益率_1年!B431+中国_中债国债到期收益率_1年!B430</f>
        <v>-2.6999999999999247E-3</v>
      </c>
      <c r="C432">
        <f>-中国_中债国债到期收益率_1年!C431+中国_中债国债到期收益率_1年!C430</f>
        <v>-8.7000000000001521E-3</v>
      </c>
      <c r="D432">
        <f>-中国_中债国债到期收益率_1年!D431+中国_中债国债到期收益率_1年!D430</f>
        <v>-9.0999999999996639E-3</v>
      </c>
      <c r="E432">
        <f>-中国_中债国债到期收益率_1年!E431+中国_中债国债到期收益率_1年!E430</f>
        <v>7.5000000000002842E-3</v>
      </c>
      <c r="F432">
        <f>-中国_中债国债到期收益率_1年!F431+中国_中债国债到期收益率_1年!F430</f>
        <v>-1.9608000000000001</v>
      </c>
      <c r="G432">
        <f>-中国_中债国债到期收益率_1年!G431+中国_中债国债到期收益率_1年!G430</f>
        <v>7.9999999999991189E-4</v>
      </c>
    </row>
    <row r="433" spans="1:7" x14ac:dyDescent="0.25">
      <c r="A433" s="6">
        <v>45342</v>
      </c>
      <c r="B433">
        <f>-中国_中债国债到期收益率_1年!B432+中国_中债国债到期收益率_1年!B431</f>
        <v>1.3500000000000068E-2</v>
      </c>
      <c r="C433">
        <f>-中国_中债国债到期收益率_1年!C432+中国_中债国债到期收益率_1年!C431</f>
        <v>-8.599999999999941E-3</v>
      </c>
      <c r="D433">
        <f>-中国_中债国债到期收益率_1年!D432+中国_中债国债到期收益率_1年!D431</f>
        <v>4.8999999999996824E-3</v>
      </c>
      <c r="E433">
        <f>-中国_中债国债到期收益率_1年!E432+中国_中债国债到期收益率_1年!E431</f>
        <v>1.6000000000000014E-2</v>
      </c>
      <c r="F433">
        <f>-中国_中债国债到期收益率_1年!F432+中国_中债国债到期收益率_1年!F431</f>
        <v>-1.3599999999999834E-2</v>
      </c>
      <c r="G433">
        <f>-中国_中债国债到期收益率_1年!G432+中国_中债国债到期收益率_1年!G431</f>
        <v>-5.7000000000000384E-3</v>
      </c>
    </row>
    <row r="434" spans="1:7" x14ac:dyDescent="0.25">
      <c r="A434" s="6">
        <v>45343</v>
      </c>
      <c r="B434">
        <f>-中国_中债国债到期收益率_1年!B433+中国_中债国债到期收益率_1年!B432</f>
        <v>5.0799999999999956E-2</v>
      </c>
      <c r="C434">
        <f>-中国_中债国债到期收益率_1年!C433+中国_中债国债到期收益率_1年!C432</f>
        <v>2.9900000000000038E-2</v>
      </c>
      <c r="D434">
        <f>-中国_中债国债到期收益率_1年!D433+中国_中债国债到期收益率_1年!D432</f>
        <v>2.0999999999999908E-2</v>
      </c>
      <c r="E434">
        <f>-中国_中债国债到期收益率_1年!E433+中国_中债国债到期收益率_1年!E432</f>
        <v>2.6599999999999735E-2</v>
      </c>
      <c r="F434">
        <f>-中国_中债国债到期收益率_1年!F433+中国_中债国债到期收益率_1年!F432</f>
        <v>1.5099999999999891E-2</v>
      </c>
      <c r="G434">
        <f>-中国_中债国债到期收益率_1年!G433+中国_中债国债到期收益率_1年!G432</f>
        <v>2.0500000000000185E-2</v>
      </c>
    </row>
    <row r="435" spans="1:7" x14ac:dyDescent="0.25">
      <c r="A435" s="6">
        <v>45344</v>
      </c>
      <c r="B435">
        <f>-中国_中债国债到期收益率_1年!B434+中国_中债国债到期收益率_1年!B433</f>
        <v>5.0000000000000044E-2</v>
      </c>
      <c r="C435">
        <f>-中国_中债国债到期收益率_1年!C434+中国_中债国债到期收益率_1年!C433</f>
        <v>7.6000000000000512E-3</v>
      </c>
      <c r="D435">
        <f>-中国_中债国债到期收益率_1年!D434+中国_中债国债到期收益率_1年!D433</f>
        <v>1.5000000000000568E-3</v>
      </c>
      <c r="E435">
        <f>-中国_中债国债到期收益率_1年!E434+中国_中债国债到期收益率_1年!E433</f>
        <v>-5.9999999999993392E-4</v>
      </c>
      <c r="F435">
        <f>-中国_中债国债到期收益率_1年!F434+中国_中债国债到期收益率_1年!F433</f>
        <v>8.7000000000001521E-3</v>
      </c>
      <c r="G435">
        <f>-中国_中债国债到期收益率_1年!G434+中国_中债国债到期收益率_1年!G433</f>
        <v>1.1000000000000121E-2</v>
      </c>
    </row>
    <row r="436" spans="1:7" x14ac:dyDescent="0.25">
      <c r="A436" s="6">
        <v>45345</v>
      </c>
      <c r="B436">
        <f>-中国_中债国债到期收益率_1年!B435+中国_中债国债到期收益率_1年!B434</f>
        <v>4.1800000000000059E-2</v>
      </c>
      <c r="C436">
        <f>-中国_中债国债到期收益率_1年!C435+中国_中债国债到期收益率_1年!C434</f>
        <v>2.4399999999999977E-2</v>
      </c>
      <c r="D436">
        <f>-中国_中债国债到期收益率_1年!D435+中国_中债国债到期收益率_1年!D434</f>
        <v>8.599999999999941E-3</v>
      </c>
      <c r="E436">
        <f>-中国_中债国债到期收益率_1年!E435+中国_中债国债到期收益率_1年!E434</f>
        <v>9.9999999999997868E-3</v>
      </c>
      <c r="F436">
        <f>-中国_中债国债到期收益率_1年!F435+中国_中债国债到期收益率_1年!F434</f>
        <v>9.5999999999998309E-3</v>
      </c>
      <c r="G436">
        <f>-中国_中债国债到期收益率_1年!G435+中国_中债国债到期收益率_1年!G434</f>
        <v>1.1599999999999611E-2</v>
      </c>
    </row>
    <row r="437" spans="1:7" x14ac:dyDescent="0.25">
      <c r="A437" s="6">
        <v>45348</v>
      </c>
      <c r="B437">
        <f>-中国_中债国债到期收益率_1年!B436+中国_中债国债到期收益率_1年!B435</f>
        <v>3.1999999999998696E-3</v>
      </c>
      <c r="C437">
        <f>-中国_中债国债到期收益率_1年!C436+中国_中债国债到期收益率_1年!C435</f>
        <v>-5.5999999999998273E-3</v>
      </c>
      <c r="D437">
        <f>-中国_中债国债到期收益率_1年!D436+中国_中债国债到期收益率_1年!D435</f>
        <v>2.4000000000001798E-3</v>
      </c>
      <c r="E437">
        <f>-中国_中债国债到期收益率_1年!E436+中国_中债国债到期收益率_1年!E435</f>
        <v>1.0099999999999998E-2</v>
      </c>
      <c r="F437">
        <f>-中国_中债国债到期收益率_1年!F436+中国_中债国债到期收益率_1年!F435</f>
        <v>1.9100000000000117E-2</v>
      </c>
      <c r="G437">
        <f>-中国_中债国债到期收益率_1年!G436+中国_中债国债到期收益率_1年!G435</f>
        <v>2.9500000000000082E-2</v>
      </c>
    </row>
    <row r="438" spans="1:7" x14ac:dyDescent="0.25">
      <c r="A438" s="6">
        <v>45349</v>
      </c>
      <c r="B438">
        <f>-中国_中债国债到期收益率_1年!B437+中国_中债国债到期收益率_1年!B436</f>
        <v>2.9000000000001247E-3</v>
      </c>
      <c r="C438">
        <f>-中国_中债国债到期收益率_1年!C437+中国_中债国债到期收益率_1年!C436</f>
        <v>2.5099999999999678E-2</v>
      </c>
      <c r="D438">
        <f>-中国_中债国债到期收益率_1年!D437+中国_中债国债到期收益率_1年!D436</f>
        <v>2.2000000000000242E-2</v>
      </c>
      <c r="E438">
        <f>-中国_中债国债到期收益率_1年!E437+中国_中债国债到期收益率_1年!E436</f>
        <v>4.0900000000000158E-2</v>
      </c>
      <c r="F438">
        <f>-中国_中债国债到期收益率_1年!F437+中国_中债国债到期收益率_1年!F436</f>
        <v>-1.7200000000000104E-2</v>
      </c>
      <c r="G438">
        <f>-中国_中债国债到期收益率_1年!G437+中国_中债国债到期收益率_1年!G436</f>
        <v>-4.4999999999997264E-3</v>
      </c>
    </row>
    <row r="439" spans="1:7" x14ac:dyDescent="0.25">
      <c r="A439" s="6">
        <v>45350</v>
      </c>
      <c r="B439">
        <f>-中国_中债国债到期收益率_1年!B438+中国_中债国债到期收益率_1年!B437</f>
        <v>-6.9000000000001283E-3</v>
      </c>
      <c r="C439">
        <f>-中国_中债国债到期收益率_1年!C438+中国_中债国债到期收益率_1年!C437</f>
        <v>-1.7499999999999627E-2</v>
      </c>
      <c r="D439">
        <f>-中国_中债国债到期收益率_1年!D438+中国_中债国债到期收益率_1年!D437</f>
        <v>-2.0000000000002238E-3</v>
      </c>
      <c r="E439">
        <f>-中国_中债国债到期收益率_1年!E438+中国_中债国债到期收益率_1年!E437</f>
        <v>1.7599999999999838E-2</v>
      </c>
      <c r="F439">
        <f>-中国_中债国债到期收益率_1年!F438+中国_中债国债到期收益率_1年!F437</f>
        <v>-5.6000000000000494E-3</v>
      </c>
      <c r="G439">
        <f>-中国_中债国债到期收益率_1年!G438+中国_中债国债到期收益率_1年!G437</f>
        <v>3.4999999999998366E-3</v>
      </c>
    </row>
    <row r="440" spans="1:7" x14ac:dyDescent="0.25">
      <c r="A440" s="6">
        <v>45351</v>
      </c>
      <c r="B440">
        <f>-中国_中债国债到期收益率_1年!B439+中国_中债国债到期收益率_1年!B438</f>
        <v>-1.2399999999999967E-2</v>
      </c>
      <c r="C440">
        <f>-中国_中债国债到期收益率_1年!C439+中国_中债国债到期收益率_1年!C438</f>
        <v>1.9599999999999618E-2</v>
      </c>
      <c r="D440">
        <f>-中国_中债国债到期收益率_1年!D439+中国_中债国债到期收益率_1年!D438</f>
        <v>4.3299999999999894E-2</v>
      </c>
      <c r="E440">
        <f>-中国_中债国债到期收益率_1年!E439+中国_中债国债到期收益率_1年!E438</f>
        <v>3.5600000000000076E-2</v>
      </c>
      <c r="F440">
        <f>-中国_中债国债到期收益率_1年!F439+中国_中债国债到期收益率_1年!F438</f>
        <v>7.0000000000014495E-4</v>
      </c>
      <c r="G440">
        <f>-中国_中债国债到期收益率_1年!G439+中国_中债国债到期收益率_1年!G438</f>
        <v>-4.1000000000002146E-3</v>
      </c>
    </row>
    <row r="441" spans="1:7" x14ac:dyDescent="0.25">
      <c r="A441" s="6">
        <v>45352</v>
      </c>
      <c r="B441">
        <f>-中国_中债国债到期收益率_1年!B440+中国_中债国债到期收益率_1年!B439</f>
        <v>-7.9999999999991189E-4</v>
      </c>
      <c r="C441">
        <f>-中国_中债国债到期收益率_1年!C440+中国_中债国债到期收益率_1年!C439</f>
        <v>4.5000000000001705E-3</v>
      </c>
      <c r="D441">
        <f>-中国_中债国债到期收益率_1年!D440+中国_中债国债到期收益率_1年!D439</f>
        <v>1.0000000000021103E-4</v>
      </c>
      <c r="E441">
        <f>-中国_中债国债到期收益率_1年!E440+中国_中债国债到期收益率_1年!E439</f>
        <v>2.5200000000000333E-2</v>
      </c>
      <c r="F441">
        <f>-中国_中债国债到期收益率_1年!F440+中国_中债国债到期收益率_1年!F439</f>
        <v>1.7299999999999871E-2</v>
      </c>
      <c r="G441">
        <f>-中国_中债国债到期收益率_1年!G440+中国_中债国债到期收益率_1年!G439</f>
        <v>9.600000000000275E-3</v>
      </c>
    </row>
    <row r="442" spans="1:7" x14ac:dyDescent="0.25">
      <c r="A442" s="6">
        <v>45355</v>
      </c>
      <c r="B442">
        <f>-中国_中债国债到期收益率_1年!B441+中国_中债国债到期收益率_1年!B440</f>
        <v>3.7999999999998035E-3</v>
      </c>
      <c r="C442">
        <f>-中国_中债国债到期收益率_1年!C441+中国_中债国债到期收益率_1年!C440</f>
        <v>-4.5399999999999885E-2</v>
      </c>
      <c r="D442">
        <f>-中国_中债国债到期收益率_1年!D441+中国_中债国债到期收益率_1年!D440</f>
        <v>-3.0000000000000249E-2</v>
      </c>
      <c r="E442">
        <f>-中国_中债国债到期收益率_1年!E441+中国_中债国债到期收益率_1年!E440</f>
        <v>-2.9900000000000038E-2</v>
      </c>
      <c r="F442">
        <f>-中国_中债国债到期收益率_1年!F441+中国_中债国债到期收益率_1年!F440</f>
        <v>-1.8399999999999972E-2</v>
      </c>
      <c r="G442">
        <f>-中国_中债国债到期收益率_1年!G441+中国_中债国债到期收益率_1年!G440</f>
        <v>-3.4400000000000208E-2</v>
      </c>
    </row>
    <row r="443" spans="1:7" x14ac:dyDescent="0.25">
      <c r="A443" s="6">
        <v>45356</v>
      </c>
      <c r="B443">
        <f>-中国_中债国债到期收益率_1年!B442+中国_中债国债到期收益率_1年!B441</f>
        <v>2.2100000000000009E-2</v>
      </c>
      <c r="C443">
        <f>-中国_中债国债到期收益率_1年!C442+中国_中债国债到期收益率_1年!C441</f>
        <v>1.4299999999999979E-2</v>
      </c>
      <c r="D443">
        <f>-中国_中债国债到期收益率_1年!D442+中国_中债国债到期收益率_1年!D441</f>
        <v>2.0000000000000018E-2</v>
      </c>
      <c r="E443">
        <f>-中国_中债国债到期收益率_1年!E442+中国_中债国债到期收益率_1年!E441</f>
        <v>1.7699999999999605E-2</v>
      </c>
      <c r="F443">
        <f>-中国_中债国债到期收益率_1年!F442+中国_中债国债到期收益率_1年!F441</f>
        <v>-2.4999999999999467E-3</v>
      </c>
      <c r="G443">
        <f>-中国_中债国债到期收益率_1年!G442+中国_中债国债到期收益率_1年!G441</f>
        <v>8.3999999999999631E-3</v>
      </c>
    </row>
    <row r="444" spans="1:7" x14ac:dyDescent="0.25">
      <c r="A444" s="6">
        <v>45357</v>
      </c>
      <c r="B444">
        <f>-中国_中债国债到期收益率_1年!B443+中国_中债国债到期收益率_1年!B442</f>
        <v>-1.2000000000000011E-2</v>
      </c>
      <c r="C444">
        <f>-中国_中债国债到期收益率_1年!C443+中国_中债国债到期收益率_1年!C442</f>
        <v>2.0399999999999974E-2</v>
      </c>
      <c r="D444">
        <f>-中国_中债国债到期收益率_1年!D443+中国_中债国债到期收益率_1年!D442</f>
        <v>3.0600000000000183E-2</v>
      </c>
      <c r="E444">
        <f>-中国_中债国债到期收益率_1年!E443+中国_中债国债到期收益率_1年!E442</f>
        <v>-5.5999999999998273E-3</v>
      </c>
      <c r="F444">
        <f>-中国_中债国债到期收益率_1年!F443+中国_中债国债到期收益率_1年!F442</f>
        <v>-8.0999999999999961E-3</v>
      </c>
      <c r="G444">
        <f>-中国_中债国债到期收益率_1年!G443+中国_中债国债到期收益率_1年!G442</f>
        <v>4.7000000000001485E-3</v>
      </c>
    </row>
    <row r="445" spans="1:7" x14ac:dyDescent="0.25">
      <c r="A445" s="6">
        <v>45358</v>
      </c>
      <c r="B445">
        <f>-中国_中债国债到期收益率_1年!B444+中国_中债国债到期收益率_1年!B443</f>
        <v>1.5800000000000036E-2</v>
      </c>
      <c r="C445">
        <f>-中国_中债国债到期收益率_1年!C444+中国_中债国债到期收益率_1年!C443</f>
        <v>6.0999999999999943E-2</v>
      </c>
      <c r="D445">
        <f>-中国_中债国债到期收益率_1年!D444+中国_中债国债到期收益率_1年!D443</f>
        <v>5.1899999999999835E-2</v>
      </c>
      <c r="E445">
        <f>-中国_中债国债到期收益率_1年!E444+中国_中债国债到期收益率_1年!E443</f>
        <v>5.2000000000000046E-2</v>
      </c>
      <c r="F445">
        <f>-中国_中债国债到期收益率_1年!F444+中国_中债国债到期收益率_1年!F443</f>
        <v>9.7000000000000419E-3</v>
      </c>
      <c r="G445">
        <f>-中国_中债国债到期收益率_1年!G444+中国_中债国债到期收益率_1年!G443</f>
        <v>2.729999999999988E-2</v>
      </c>
    </row>
    <row r="446" spans="1:7" x14ac:dyDescent="0.25">
      <c r="A446" s="6">
        <v>45359</v>
      </c>
      <c r="B446">
        <f>-中国_中债国债到期收益率_1年!B445+中国_中债国债到期收益率_1年!B444</f>
        <v>-3.9999999999995595E-4</v>
      </c>
      <c r="C446">
        <f>-中国_中债国债到期收益率_1年!C445+中国_中债国债到期收益率_1年!C444</f>
        <v>-2.8399999999999981E-2</v>
      </c>
      <c r="D446">
        <f>-中国_中债国债到期收益率_1年!D445+中国_中债国债到期收益率_1年!D444</f>
        <v>-1.2599999999999945E-2</v>
      </c>
      <c r="E446">
        <f>-中国_中债国债到期收益率_1年!E445+中国_中债国债到期收益率_1年!E444</f>
        <v>-3.6000000000000476E-3</v>
      </c>
      <c r="F446">
        <f>-中国_中债国债到期收益率_1年!F445+中国_中债国债到期收益率_1年!F444</f>
        <v>1.4799999999999924E-2</v>
      </c>
      <c r="G446">
        <f>-中国_中债国债到期收益率_1年!G445+中国_中债国债到期收益率_1年!G444</f>
        <v>1.7900000000000027E-2</v>
      </c>
    </row>
    <row r="447" spans="1:7" x14ac:dyDescent="0.25">
      <c r="A447" s="6">
        <v>45362</v>
      </c>
      <c r="B447">
        <f>-中国_中债国债到期收益率_1年!B446+中国_中债国债到期收益率_1年!B445</f>
        <v>5.3000000000000824E-3</v>
      </c>
      <c r="C447">
        <f>-中国_中债国债到期收益率_1年!C446+中国_中债国债到期收益率_1年!C445</f>
        <v>-1.2999999999999901E-2</v>
      </c>
      <c r="D447">
        <f>-中国_中债国债到期收益率_1年!D446+中国_中债国债到期收益率_1年!D445</f>
        <v>-4.9000000000001265E-3</v>
      </c>
      <c r="E447">
        <f>-中国_中债国债到期收益率_1年!E446+中国_中债国债到期收益率_1年!E445</f>
        <v>-2.4999999999999467E-3</v>
      </c>
      <c r="F447">
        <f>-中国_中债国债到期收益率_1年!F446+中国_中债国债到期收益率_1年!F445</f>
        <v>-6.1999999999999833E-3</v>
      </c>
      <c r="G447">
        <f>-中国_中债国债到期收益率_1年!G446+中国_中债国债到期收益率_1年!G445</f>
        <v>-1.6999999999999904E-2</v>
      </c>
    </row>
    <row r="448" spans="1:7" x14ac:dyDescent="0.25">
      <c r="A448" s="6">
        <v>45363</v>
      </c>
      <c r="B448">
        <f>-中国_中债国债到期收益率_1年!B447+中国_中债国债到期收益率_1年!B446</f>
        <v>-5.0000000000001155E-3</v>
      </c>
      <c r="C448">
        <f>-中国_中债国债到期收益率_1年!C447+中国_中债国债到期收益率_1年!C446</f>
        <v>-2.3100000000000342E-2</v>
      </c>
      <c r="D448">
        <f>-中国_中债国债到期收益率_1年!D447+中国_中债国债到期收益率_1年!D446</f>
        <v>-2.2499999999999964E-2</v>
      </c>
      <c r="E448">
        <f>-中国_中债国债到期收益率_1年!E447+中国_中债国债到期收益率_1年!E446</f>
        <v>-4.3099999999999916E-2</v>
      </c>
      <c r="F448">
        <f>-中国_中债国债到期收益率_1年!F447+中国_中债国债到期收益率_1年!F446</f>
        <v>-1.309999999999989E-2</v>
      </c>
      <c r="G448">
        <f>-中国_中债国债到期收益率_1年!G447+中国_中债国债到期收益率_1年!G446</f>
        <v>-8.5000000000001741E-3</v>
      </c>
    </row>
    <row r="449" spans="1:7" x14ac:dyDescent="0.25">
      <c r="A449" s="6">
        <v>45364</v>
      </c>
      <c r="B449">
        <f>-中国_中债国债到期收益率_1年!B448+中国_中债国债到期收益率_1年!B447</f>
        <v>-4.0000000000000036E-2</v>
      </c>
      <c r="C449">
        <f>-中国_中债国债到期收益率_1年!C448+中国_中债国债到期收益率_1年!C447</f>
        <v>-3.9599999999999635E-2</v>
      </c>
      <c r="D449">
        <f>-中国_中债国债到期收益率_1年!D448+中国_中债国债到期收益率_1年!D447</f>
        <v>-4.2599999999999749E-2</v>
      </c>
      <c r="E449">
        <f>-中国_中债国债到期收益率_1年!E448+中国_中债国债到期收益率_1年!E447</f>
        <v>-6.490000000000018E-2</v>
      </c>
      <c r="F449">
        <f>-中国_中债国债到期收益率_1年!F448+中国_中债国债到期收益率_1年!F447</f>
        <v>-1.110000000000011E-2</v>
      </c>
      <c r="G449">
        <f>-中国_中债国债到期收益率_1年!G448+中国_中债国债到期收益率_1年!G447</f>
        <v>-2.4799999999999933E-2</v>
      </c>
    </row>
    <row r="450" spans="1:7" x14ac:dyDescent="0.25">
      <c r="A450" s="6">
        <v>45365</v>
      </c>
      <c r="B450">
        <f>-中国_中债国债到期收益率_1年!B449+中国_中债国债到期收益率_1年!B448</f>
        <v>-1.9999999999999796E-2</v>
      </c>
      <c r="C450">
        <f>-中国_中债国债到期收益率_1年!C449+中国_中债国债到期收益率_1年!C448</f>
        <v>1.2899999999999689E-2</v>
      </c>
      <c r="D450">
        <f>-中国_中债国债到期收益率_1年!D449+中国_中债国债到期收益率_1年!D448</f>
        <v>1.5000000000000124E-2</v>
      </c>
      <c r="E450">
        <f>-中国_中债国债到期收益率_1年!E449+中国_中债国债到期收益率_1年!E448</f>
        <v>1.0200000000000209E-2</v>
      </c>
      <c r="F450">
        <f>-中国_中债国债到期收益率_1年!F449+中国_中债国债到期收益率_1年!F448</f>
        <v>-7.9000000000000181E-3</v>
      </c>
      <c r="G450">
        <f>-中国_中债国债到期收益率_1年!G449+中国_中债国债到期收益率_1年!G448</f>
        <v>-6.7999999999996952E-3</v>
      </c>
    </row>
    <row r="451" spans="1:7" x14ac:dyDescent="0.25">
      <c r="A451" s="6">
        <v>45366</v>
      </c>
      <c r="B451">
        <f>-中国_中债国债到期收益率_1年!B450+中国_中债国债到期收益率_1年!B449</f>
        <v>-3.0000000000000027E-2</v>
      </c>
      <c r="C451">
        <f>-中国_中债国债到期收益率_1年!C450+中国_中债国债到期收益率_1年!C449</f>
        <v>-7.9999999999991189E-4</v>
      </c>
      <c r="D451">
        <f>-中国_中债国债到期收益率_1年!D450+中国_中债国债到期收益率_1年!D449</f>
        <v>-9.9000000000000199E-3</v>
      </c>
      <c r="E451">
        <f>-中国_中债国债到期收益率_1年!E450+中国_中债国债到期收益率_1年!E449</f>
        <v>-3.0000000000001137E-3</v>
      </c>
      <c r="F451">
        <f>-中国_中债国债到期收益率_1年!F450+中国_中债国债到期收益率_1年!F449</f>
        <v>-4.0000000000000036E-3</v>
      </c>
      <c r="G451">
        <f>-中国_中债国债到期收益率_1年!G450+中国_中债国债到期收益率_1年!G449</f>
        <v>2.6999999999999247E-3</v>
      </c>
    </row>
    <row r="452" spans="1:7" x14ac:dyDescent="0.25">
      <c r="A452" s="6">
        <v>45369</v>
      </c>
      <c r="B452">
        <f>-中国_中债国债到期收益率_1年!B451+中国_中债国债到期收益率_1年!B450</f>
        <v>1.4999999999999902E-2</v>
      </c>
      <c r="C452">
        <f>-中国_中债国债到期收益率_1年!C451+中国_中债国债到期收益率_1年!C450</f>
        <v>1.6700000000000159E-2</v>
      </c>
      <c r="D452">
        <f>-中国_中债国债到期收益率_1年!D451+中国_中债国债到期收益率_1年!D450</f>
        <v>2.2499999999999964E-2</v>
      </c>
      <c r="E452">
        <f>-中国_中债国债到期收益率_1年!E451+中国_中债国债到期收益率_1年!E450</f>
        <v>2.4900000000000144E-2</v>
      </c>
      <c r="F452">
        <f>-中国_中债国债到期收益率_1年!F451+中国_中债国债到期收益率_1年!F450</f>
        <v>2.4999999999999467E-3</v>
      </c>
      <c r="G452">
        <f>-中国_中债国债到期收益率_1年!G451+中国_中债国债到期收益率_1年!G450</f>
        <v>5.1000000000001044E-3</v>
      </c>
    </row>
    <row r="453" spans="1:7" x14ac:dyDescent="0.25">
      <c r="A453" s="6">
        <v>45370</v>
      </c>
      <c r="B453">
        <f>-中国_中债国债到期收益率_1年!B452+中国_中债国债到期收益率_1年!B451</f>
        <v>5.0000000000000044E-2</v>
      </c>
      <c r="C453">
        <f>-中国_中债国债到期收益率_1年!C452+中国_中债国债到期收益率_1年!C451</f>
        <v>2.5999999999999801E-2</v>
      </c>
      <c r="D453">
        <f>-中国_中债国债到期收益率_1年!D452+中国_中债国债到期收益率_1年!D451</f>
        <v>2.7399999999999647E-2</v>
      </c>
      <c r="E453">
        <f>-中国_中债国债到期收益率_1年!E452+中国_中债国债到期收益率_1年!E451</f>
        <v>2.3699999999999832E-2</v>
      </c>
      <c r="F453">
        <f>-中国_中债国债到期收益率_1年!F452+中国_中债国债到期收益率_1年!F451</f>
        <v>4.7000000000001485E-3</v>
      </c>
      <c r="G453">
        <f>-中国_中债国债到期收益率_1年!G452+中国_中债国债到期收益率_1年!G451</f>
        <v>8.8999999999996859E-3</v>
      </c>
    </row>
    <row r="454" spans="1:7" x14ac:dyDescent="0.25">
      <c r="A454" s="6">
        <v>45371</v>
      </c>
      <c r="B454">
        <f>-中国_中债国债到期收益率_1年!B453+中国_中债国债到期收益率_1年!B452</f>
        <v>1.0000000000000009E-2</v>
      </c>
      <c r="C454">
        <f>-中国_中债国债到期收益率_1年!C453+中国_中债国债到期收益率_1年!C452</f>
        <v>9.400000000000297E-3</v>
      </c>
      <c r="D454">
        <f>-中国_中债国债到期收益率_1年!D453+中国_中债国债到期收益率_1年!D452</f>
        <v>1.2500000000000178E-2</v>
      </c>
      <c r="E454">
        <f>-中国_中债国债到期收益率_1年!E453+中国_中债国债到期收益率_1年!E452</f>
        <v>3.71999999999999E-2</v>
      </c>
      <c r="F454">
        <f>-中国_中债国债到期收益率_1年!F453+中国_中债国债到期收益率_1年!F452</f>
        <v>1.4999999999998348E-3</v>
      </c>
      <c r="G454">
        <f>-中国_中债国债到期收益率_1年!G453+中国_中债国债到期收益率_1年!G452</f>
        <v>1.0499999999999954E-2</v>
      </c>
    </row>
    <row r="455" spans="1:7" x14ac:dyDescent="0.25">
      <c r="A455" s="6">
        <v>45372</v>
      </c>
      <c r="B455">
        <f>-中国_中债国债到期收益率_1年!B454+中国_中债国债到期收益率_1年!B453</f>
        <v>0</v>
      </c>
      <c r="C455">
        <f>-中国_中债国债到期收益率_1年!C454+中国_中债国债到期收益率_1年!C453</f>
        <v>-1.5900000000000247E-2</v>
      </c>
      <c r="D455">
        <f>-中国_中债国债到期收益率_1年!D454+中国_中债国债到期收益率_1年!D453</f>
        <v>-1.5000000000000124E-2</v>
      </c>
      <c r="E455">
        <f>-中国_中债国债到期收益率_1年!E454+中国_中债国债到期收益率_1年!E453</f>
        <v>-1.7500000000000071E-2</v>
      </c>
      <c r="F455">
        <f>-中国_中债国债到期收益率_1年!F454+中国_中债国债到期收益率_1年!F453</f>
        <v>-1.4799999999999924E-2</v>
      </c>
      <c r="G455">
        <f>-中国_中债国债到期收益率_1年!G454+中国_中债国债到期收益率_1年!G453</f>
        <v>-2.0499999999999741E-2</v>
      </c>
    </row>
    <row r="456" spans="1:7" x14ac:dyDescent="0.25">
      <c r="A456" s="6">
        <v>45373</v>
      </c>
      <c r="B456">
        <f>-中国_中债国债到期收益率_1年!B455+中国_中债国债到期收益率_1年!B454</f>
        <v>1.0000000000000009E-2</v>
      </c>
      <c r="C456">
        <f>-中国_中债国债到期收益率_1年!C455+中国_中债国债到期收益率_1年!C454</f>
        <v>1.9700000000000273E-2</v>
      </c>
      <c r="D456">
        <f>-中国_中债国债到期收益率_1年!D455+中国_中债国债到期收益率_1年!D454</f>
        <v>1.0000000000000231E-2</v>
      </c>
      <c r="E456">
        <f>-中国_中债国债到期收益率_1年!E455+中国_中债国债到期收益率_1年!E454</f>
        <v>4.5000000000001705E-3</v>
      </c>
      <c r="F456">
        <f>-中国_中债国债到期收益率_1年!F455+中国_中债国债到期收益率_1年!F454</f>
        <v>1.0499999999999954E-2</v>
      </c>
      <c r="G456">
        <f>-中国_中债国债到期收益率_1年!G455+中国_中债国债到期收益率_1年!G454</f>
        <v>8.599999999999941E-3</v>
      </c>
    </row>
    <row r="457" spans="1:7" x14ac:dyDescent="0.25">
      <c r="A457" s="6">
        <v>45376</v>
      </c>
      <c r="B457">
        <f>-中国_中债国债到期收益率_1年!B456+中国_中债国债到期收益率_1年!B455</f>
        <v>0</v>
      </c>
      <c r="C457">
        <f>-中国_中债国债到期收益率_1年!C456+中国_中债国债到期收益率_1年!C455</f>
        <v>-1.0700000000000376E-2</v>
      </c>
      <c r="D457">
        <f>-中国_中债国债到期收益率_1年!D456+中国_中债国债到期收益率_1年!D455</f>
        <v>-2.0000000000000018E-2</v>
      </c>
      <c r="E457">
        <f>-中国_中债国债到期收益率_1年!E456+中国_中债国债到期收益率_1年!E455</f>
        <v>-2.1700000000000053E-2</v>
      </c>
      <c r="F457">
        <f>-中国_中债国债到期收益率_1年!F456+中国_中债国债到期收益率_1年!F455</f>
        <v>-3.9000000000000146E-3</v>
      </c>
      <c r="G457">
        <f>-中国_中债国债到期收益率_1年!G456+中国_中债国债到期收益率_1年!G455</f>
        <v>-3.4999999999998366E-3</v>
      </c>
    </row>
    <row r="458" spans="1:7" x14ac:dyDescent="0.25">
      <c r="A458" s="6">
        <v>45377</v>
      </c>
      <c r="B458">
        <f>-中国_中债国债到期收益率_1年!B457+中国_中债国债到期收益率_1年!B456</f>
        <v>-2.5000000000000133E-2</v>
      </c>
      <c r="C458">
        <f>-中国_中债国债到期收益率_1年!C457+中国_中债国债到期收益率_1年!C456</f>
        <v>-1.3799999999999812E-2</v>
      </c>
      <c r="D458">
        <f>-中国_中债国债到期收益率_1年!D457+中国_中债国债到期收益率_1年!D456</f>
        <v>-1.0000000000000231E-2</v>
      </c>
      <c r="E458">
        <f>-中国_中债国债到期收益率_1年!E457+中国_中债国债到期收益率_1年!E456</f>
        <v>-1.2999999999999901E-2</v>
      </c>
      <c r="F458">
        <f>-中国_中债国债到期收益率_1年!F457+中国_中债国债到期收益率_1年!F456</f>
        <v>-1.7499999999999849E-2</v>
      </c>
      <c r="G458">
        <f>-中国_中债国债到期收益率_1年!G457+中国_中债国债到期收益率_1年!G456</f>
        <v>-1.2400000000000411E-2</v>
      </c>
    </row>
    <row r="459" spans="1:7" x14ac:dyDescent="0.25">
      <c r="A459" s="6">
        <v>45378</v>
      </c>
      <c r="B459">
        <f>-中国_中债国债到期收益率_1年!B458+中国_中债国债到期收益率_1年!B457</f>
        <v>-2.4999999999999467E-3</v>
      </c>
      <c r="C459">
        <f>-中国_中债国债到期收益率_1年!C458+中国_中债国债到期收益率_1年!C457</f>
        <v>1.9999999999997797E-4</v>
      </c>
      <c r="D459">
        <f>-中国_中债国债到期收益率_1年!D458+中国_中债国债到期收益率_1年!D457</f>
        <v>-2.3999999999997357E-3</v>
      </c>
      <c r="E459">
        <f>-中国_中债国债到期收益率_1年!E458+中国_中债国债到期收益率_1年!E457</f>
        <v>-2.0000000000002238E-3</v>
      </c>
      <c r="F459">
        <f>-中国_中债国债到期收益率_1年!F458+中国_中债国债到期收益率_1年!F457</f>
        <v>-1.1400000000000077E-2</v>
      </c>
      <c r="G459">
        <f>-中国_中债国债到期收益率_1年!G458+中国_中债国债到期收益率_1年!G457</f>
        <v>-9.9000000000000199E-3</v>
      </c>
    </row>
    <row r="460" spans="1:7" x14ac:dyDescent="0.25">
      <c r="A460" s="6">
        <v>45379</v>
      </c>
      <c r="B460">
        <f>-中国_中债国债到期收益率_1年!B459+中国_中债国债到期收益率_1年!B458</f>
        <v>3.7500000000000089E-2</v>
      </c>
      <c r="C460">
        <f>-中国_中债国债到期收益率_1年!C459+中国_中债国债到期收益率_1年!C458</f>
        <v>3.3100000000000129E-2</v>
      </c>
      <c r="D460">
        <f>-中国_中债国债到期收益率_1年!D459+中国_中债国债到期收益率_1年!D458</f>
        <v>2.9900000000000038E-2</v>
      </c>
      <c r="E460">
        <f>-中国_中债国债到期收益率_1年!E459+中国_中债国债到期收益率_1年!E458</f>
        <v>3.4600000000000186E-2</v>
      </c>
      <c r="F460">
        <f>-中国_中债国债到期收益率_1年!F459+中国_中债国债到期收益率_1年!F458</f>
        <v>9.300000000000086E-3</v>
      </c>
      <c r="G460">
        <f>-中国_中债国债到期收益率_1年!G459+中国_中债国债到期收益率_1年!G458</f>
        <v>8.4000000000004071E-3</v>
      </c>
    </row>
    <row r="461" spans="1:7" x14ac:dyDescent="0.25">
      <c r="A461" s="6">
        <v>45380</v>
      </c>
      <c r="B461">
        <f>-中国_中债国债到期收益率_1年!B460+中国_中债国债到期收益率_1年!B459</f>
        <v>0</v>
      </c>
      <c r="C461">
        <f>-中国_中债国债到期收益率_1年!C460+中国_中债国债到期收益率_1年!C459</f>
        <v>-1.639999999999997E-2</v>
      </c>
      <c r="D461">
        <f>-中国_中债国债到期收益率_1年!D460+中国_中债国债到期收益率_1年!D459</f>
        <v>-1.5000000000000124E-2</v>
      </c>
      <c r="E461">
        <f>-中国_中债国债到期收益率_1年!E460+中国_中债国债到期收益率_1年!E459</f>
        <v>-2.8000000000001357E-3</v>
      </c>
      <c r="F461">
        <f>-中国_中债国债到期收益率_1年!F460+中国_中债国债到期收益率_1年!F459</f>
        <v>1.1800000000000033E-2</v>
      </c>
      <c r="G461">
        <f>-中国_中债国债到期收益率_1年!G460+中国_中债国债到期收益率_1年!G459</f>
        <v>1.1699999999999822E-2</v>
      </c>
    </row>
    <row r="462" spans="1:7" x14ac:dyDescent="0.25">
      <c r="A462" s="6">
        <v>45383</v>
      </c>
      <c r="B462">
        <f>-中国_中债国债到期收益率_1年!B461+中国_中债国债到期收益率_1年!B460</f>
        <v>3.0000000000000027E-2</v>
      </c>
      <c r="C462">
        <f>-中国_中债国债到期收益率_1年!C461+中国_中债国债到期收益率_1年!C460</f>
        <v>1.3799999999999812E-2</v>
      </c>
      <c r="D462">
        <f>-中国_中债国债到期收益率_1年!D461+中国_中债国债到期收益率_1年!D460</f>
        <v>1.2500000000000178E-2</v>
      </c>
      <c r="E462">
        <f>-中国_中债国债到期收益率_1年!E461+中国_中债国债到期收益率_1年!E460</f>
        <v>7.0000000000001172E-3</v>
      </c>
      <c r="F462">
        <f>-中国_中债国债到期收益率_1年!F461+中国_中债国债到期收益率_1年!F460</f>
        <v>2.4399999999999977E-2</v>
      </c>
      <c r="G462">
        <f>-中国_中债国债到期收益率_1年!G461+中国_中债国债到期收益率_1年!G460</f>
        <v>1.5899999999999803E-2</v>
      </c>
    </row>
    <row r="463" spans="1:7" x14ac:dyDescent="0.25">
      <c r="A463" s="6">
        <v>45384</v>
      </c>
      <c r="B463">
        <f>-中国_中债国债到期收益率_1年!B462+中国_中债国债到期收益率_1年!B461</f>
        <v>-2.0000000000000018E-2</v>
      </c>
      <c r="C463">
        <f>-中国_中债国债到期收益率_1年!C462+中国_中债国债到期收益率_1年!C461</f>
        <v>-1.980000000000004E-2</v>
      </c>
      <c r="D463">
        <f>-中国_中债国债到期收益率_1年!D462+中国_中债国债到期收益率_1年!D461</f>
        <v>-1.8100000000000005E-2</v>
      </c>
      <c r="E463">
        <f>-中国_中债国债到期收益率_1年!E462+中国_中债国债到期收益率_1年!E461</f>
        <v>-2.5399999999999867E-2</v>
      </c>
      <c r="F463">
        <f>-中国_中债国债到期收益率_1年!F462+中国_中债国债到期收益率_1年!F461</f>
        <v>-6.8000000000001393E-3</v>
      </c>
      <c r="G463">
        <f>-中国_中债国债到期收益率_1年!G462+中国_中债国债到期收益率_1年!G461</f>
        <v>-7.8999999999997961E-3</v>
      </c>
    </row>
    <row r="464" spans="1:7" x14ac:dyDescent="0.25">
      <c r="A464" s="6">
        <v>45385</v>
      </c>
      <c r="B464">
        <f>-中国_中债国债到期收益率_1年!B463+中国_中债国债到期收益率_1年!B462</f>
        <v>1.4999999999999902E-2</v>
      </c>
      <c r="C464">
        <f>-中国_中债国债到期收益率_1年!C463+中国_中债国债到期收益率_1年!C462</f>
        <v>2.0500000000000185E-2</v>
      </c>
      <c r="D464">
        <f>-中国_中债国债到期收益率_1年!D463+中国_中债国债到期收益率_1年!D462</f>
        <v>1.5499999999999847E-2</v>
      </c>
      <c r="E464">
        <f>-中国_中债国债到期收益率_1年!E463+中国_中债国债到期收益率_1年!E462</f>
        <v>9.7999999999998089E-3</v>
      </c>
      <c r="F464">
        <f>-中国_中债国债到期收益率_1年!F463+中国_中债国债到期收益率_1年!F462</f>
        <v>-8.499999999999952E-3</v>
      </c>
      <c r="G464">
        <f>-中国_中债国债到期收益率_1年!G463+中国_中债国债到期收益率_1年!G462</f>
        <v>4.3000000000001926E-3</v>
      </c>
    </row>
    <row r="465" spans="1:7" x14ac:dyDescent="0.25">
      <c r="A465" s="6">
        <v>45389</v>
      </c>
      <c r="B465">
        <f>-中国_中债国债到期收益率_1年!B464+中国_中债国债到期收益率_1年!B463</f>
        <v>5.0000000000001155E-3</v>
      </c>
      <c r="C465">
        <f>-中国_中债国债到期收益率_1年!C464+中国_中债国债到期收益率_1年!C463</f>
        <v>6.9999999999996732E-3</v>
      </c>
      <c r="D465">
        <f>-中国_中债国债到期收益率_1年!D464+中国_中债国债到期收益率_1年!D463</f>
        <v>8.999999999999897E-3</v>
      </c>
      <c r="E465">
        <f>-中国_中债国债到期收益率_1年!E464+中国_中债国债到期收益率_1年!E463</f>
        <v>1.1500000000000288E-2</v>
      </c>
      <c r="F465">
        <f>-中国_中债国债到期收益率_1年!F464+中国_中债国债到期收益率_1年!F463</f>
        <v>6.7999999999999172E-3</v>
      </c>
      <c r="G465">
        <f>-中国_中债国债到期收益率_1年!G464+中国_中债国债到期收益率_1年!G463</f>
        <v>1.2399999999999967E-2</v>
      </c>
    </row>
    <row r="466" spans="1:7" x14ac:dyDescent="0.25">
      <c r="A466" s="6">
        <v>45390</v>
      </c>
      <c r="B466">
        <f>-中国_中债国债到期收益率_1年!B465+中国_中债国债到期收益率_1年!B464</f>
        <v>0</v>
      </c>
      <c r="C466">
        <f>-中国_中债国债到期收益率_1年!C465+中国_中债国债到期收益率_1年!C464</f>
        <v>-4.8999999999996824E-3</v>
      </c>
      <c r="D466">
        <f>-中国_中债国债到期收益率_1年!D465+中国_中债国债到期收益率_1年!D464</f>
        <v>-9.9999999999997868E-3</v>
      </c>
      <c r="E466">
        <f>-中国_中债国债到期收益率_1年!E465+中国_中债国债到期收益率_1年!E464</f>
        <v>-1.4100000000000001E-2</v>
      </c>
      <c r="F466">
        <f>-中国_中债国债到期收益率_1年!F465+中国_中债国债到期收益率_1年!F464</f>
        <v>1.9649000000000001</v>
      </c>
      <c r="G466">
        <f>-中国_中债国债到期收益率_1年!G465+中国_中债国债到期收益率_1年!G464</f>
        <v>2.1366999999999998</v>
      </c>
    </row>
    <row r="467" spans="1:7" x14ac:dyDescent="0.25">
      <c r="A467" s="6">
        <v>45391</v>
      </c>
      <c r="B467">
        <f>-中国_中债国债到期收益率_1年!B466+中国_中债国债到期收益率_1年!B465</f>
        <v>2.0000000000000018E-2</v>
      </c>
      <c r="C467">
        <f>-中国_中债国债到期收益率_1年!C466+中国_中债国债到期收益率_1年!C465</f>
        <v>2.5599999999999845E-2</v>
      </c>
      <c r="D467">
        <f>-中国_中债国债到期收益率_1年!D466+中国_中债国债到期收益率_1年!D465</f>
        <v>1.1499999999999844E-2</v>
      </c>
      <c r="E467">
        <f>-中国_中债国债到期收益率_1年!E466+中国_中债国债到期收益率_1年!E465</f>
        <v>1.2000000000000011E-2</v>
      </c>
      <c r="F467">
        <f>-中国_中债国债到期收益率_1年!F466+中国_中债国债到期收益率_1年!F465</f>
        <v>-1.9582999999999999</v>
      </c>
      <c r="G467">
        <f>-中国_中债国债到期收益率_1年!G466+中国_中债国债到期收益率_1年!G465</f>
        <v>-2.1318000000000001</v>
      </c>
    </row>
    <row r="468" spans="1:7" x14ac:dyDescent="0.25">
      <c r="A468" s="6">
        <v>45392</v>
      </c>
      <c r="B468">
        <f>-中国_中债国债到期收益率_1年!B467+中国_中债国债到期收益率_1年!B466</f>
        <v>1.0000000000000009E-2</v>
      </c>
      <c r="C468">
        <f>-中国_中债国债到期收益率_1年!C467+中国_中债国债到期收益率_1年!C466</f>
        <v>1.5699999999999825E-2</v>
      </c>
      <c r="D468">
        <f>-中国_中债国债到期收益率_1年!D467+中国_中债国债到期收益率_1年!D466</f>
        <v>2.0000000000002238E-3</v>
      </c>
      <c r="E468">
        <f>-中国_中债国债到期收益率_1年!E467+中国_中债国债到期收益率_1年!E466</f>
        <v>1.9000000000000128E-3</v>
      </c>
      <c r="F468">
        <f>-中国_中债国债到期收益率_1年!F467+中国_中债国债到期收益率_1年!F466</f>
        <v>3.2999999999998586E-3</v>
      </c>
      <c r="G468">
        <f>-中国_中债国债到期收益率_1年!G467+中国_中债国债到期收益率_1年!G466</f>
        <v>3.7000000000002586E-3</v>
      </c>
    </row>
    <row r="469" spans="1:7" x14ac:dyDescent="0.25">
      <c r="A469" s="6">
        <v>45393</v>
      </c>
      <c r="B469">
        <f>-中国_中债国债到期收益率_1年!B468+中国_中债国债到期收益率_1年!B467</f>
        <v>-1.0800000000000143E-2</v>
      </c>
      <c r="C469">
        <f>-中国_中债国债到期收益率_1年!C468+中国_中债国债到期收益率_1年!C467</f>
        <v>-5.7999999999998053E-3</v>
      </c>
      <c r="D469">
        <f>-中国_中债国债到期收益率_1年!D468+中国_中债国债到期收益率_1年!D467</f>
        <v>-1.7000000000000348E-2</v>
      </c>
      <c r="E469">
        <f>-中国_中债国债到期收益率_1年!E468+中国_中债国债到期收益率_1年!E467</f>
        <v>-2.5400000000000311E-2</v>
      </c>
      <c r="F469">
        <f>-中国_中债国债到期收益率_1年!F468+中国_中债国债到期收益率_1年!F467</f>
        <v>1.2299999999999978E-2</v>
      </c>
      <c r="G469">
        <f>-中国_中债国债到期收益率_1年!G468+中国_中债国债到期收益率_1年!G467</f>
        <v>-1.1000000000001009E-3</v>
      </c>
    </row>
    <row r="470" spans="1:7" x14ac:dyDescent="0.25">
      <c r="A470" s="6">
        <v>45394</v>
      </c>
      <c r="B470">
        <f>-中国_中债国债到期收益率_1年!B469+中国_中债国债到期收益率_1年!B468</f>
        <v>0</v>
      </c>
      <c r="C470">
        <f>-中国_中债国债到期收益率_1年!C469+中国_中债国债到期收益率_1年!C468</f>
        <v>2.1300000000000097E-2</v>
      </c>
      <c r="D470">
        <f>-中国_中债国债到期收益率_1年!D469+中国_中债国债到期收益率_1年!D468</f>
        <v>4.3999999999999595E-3</v>
      </c>
      <c r="E470">
        <f>-中国_中债国债到期收益率_1年!E469+中国_中债国债到期收益率_1年!E468</f>
        <v>-3.6999999999998145E-3</v>
      </c>
      <c r="F470">
        <f>-中国_中债国债到期收益率_1年!F469+中国_中债国债到期收益率_1年!F468</f>
        <v>1.0099999999999998E-2</v>
      </c>
      <c r="G470">
        <f>-中国_中债国债到期收益率_1年!G469+中国_中债国债到期收益率_1年!G468</f>
        <v>4.9999999999998934E-3</v>
      </c>
    </row>
    <row r="471" spans="1:7" x14ac:dyDescent="0.25">
      <c r="A471" s="6">
        <v>45397</v>
      </c>
      <c r="B471">
        <f>-中国_中债国债到期收益率_1年!B470+中国_中债国债到期收益率_1年!B469</f>
        <v>7.5000000000000622E-3</v>
      </c>
      <c r="C471">
        <f>-中国_中债国债到期收益率_1年!C470+中国_中债国债到期收益率_1年!C469</f>
        <v>2.5900000000000034E-2</v>
      </c>
      <c r="D471">
        <f>-中国_中债国债到期收益率_1年!D470+中国_中债国债到期收益率_1年!D469</f>
        <v>9.100000000000108E-3</v>
      </c>
      <c r="E471">
        <f>-中国_中债国债到期收益率_1年!E470+中国_中债国债到期收益率_1年!E469</f>
        <v>5.7999999999998053E-3</v>
      </c>
      <c r="F471">
        <f>-中国_中债国债到期收益率_1年!F470+中国_中债国债到期收益率_1年!F469</f>
        <v>1.8500000000000183E-2</v>
      </c>
      <c r="G471">
        <f>-中国_中债国债到期收益率_1年!G470+中国_中债国债到期收益率_1年!G469</f>
        <v>2.0300000000000207E-2</v>
      </c>
    </row>
    <row r="472" spans="1:7" x14ac:dyDescent="0.25">
      <c r="A472" s="6">
        <v>45398</v>
      </c>
      <c r="B472">
        <f>-中国_中债国债到期收益率_1年!B471+中国_中债国债到期收益率_1年!B470</f>
        <v>-7.5000000000000622E-3</v>
      </c>
      <c r="C472">
        <f>-中国_中债国债到期收益率_1年!C471+中国_中债国债到期收益率_1年!C470</f>
        <v>-1.440000000000019E-2</v>
      </c>
      <c r="D472">
        <f>-中国_中债国债到期收益率_1年!D471+中国_中债国债到期收益率_1年!D470</f>
        <v>3.9000000000002366E-3</v>
      </c>
      <c r="E472">
        <f>-中国_中债国债到期收益率_1年!E471+中国_中债国债到期收益率_1年!E470</f>
        <v>7.0000000000014495E-4</v>
      </c>
      <c r="F472">
        <f>-中国_中债国债到期收益率_1年!F471+中国_中债国债到期收益率_1年!F470</f>
        <v>-8.6000000000001631E-3</v>
      </c>
      <c r="G472">
        <f>-中国_中债国债到期收益率_1年!G471+中国_中债国债到期收益率_1年!G470</f>
        <v>-3.9999999999995595E-4</v>
      </c>
    </row>
    <row r="473" spans="1:7" x14ac:dyDescent="0.25">
      <c r="A473" s="6">
        <v>45399</v>
      </c>
      <c r="B473">
        <f>-中国_中债国债到期收益率_1年!B472+中国_中债国债到期收益率_1年!B471</f>
        <v>-2.0000000000000018E-2</v>
      </c>
      <c r="C473">
        <f>-中国_中债国债到期收益率_1年!C472+中国_中债国债到期收益率_1年!C471</f>
        <v>-2.4999999999999467E-3</v>
      </c>
      <c r="D473">
        <f>-中国_中债国债到期收益率_1年!D472+中国_中债国债到期收益率_1年!D471</f>
        <v>7.4999999999998401E-3</v>
      </c>
      <c r="E473">
        <f>-中国_中债国债到期收益率_1年!E472+中国_中债国债到期收益率_1年!E471</f>
        <v>1.4600000000000168E-2</v>
      </c>
      <c r="F473">
        <f>-中国_中债国债到期收益率_1年!F472+中国_中债国债到期收益率_1年!F471</f>
        <v>-9.8000000000000309E-3</v>
      </c>
      <c r="G473">
        <f>-中国_中债国债到期收益率_1年!G472+中国_中债国债到期收益率_1年!G471</f>
        <v>-5.1000000000001044E-3</v>
      </c>
    </row>
    <row r="474" spans="1:7" x14ac:dyDescent="0.25">
      <c r="A474" s="6">
        <v>45400</v>
      </c>
      <c r="B474">
        <f>-中国_中债国债到期收益率_1年!B473+中国_中债国债到期收益率_1年!B472</f>
        <v>1.0000000000000009E-2</v>
      </c>
      <c r="C474">
        <f>-中国_中债国债到期收益率_1年!C473+中国_中债国债到期收益率_1年!C472</f>
        <v>2.3499999999999854E-2</v>
      </c>
      <c r="D474">
        <f>-中国_中债国债到期收益率_1年!D473+中国_中债国债到期收益率_1年!D472</f>
        <v>1.1499999999999844E-2</v>
      </c>
      <c r="E474">
        <f>-中国_中债国债到期收益率_1年!E473+中国_中债国债到期收益率_1年!E472</f>
        <v>1.6099999999999781E-2</v>
      </c>
      <c r="F474">
        <f>-中国_中债国债到期收益率_1年!F473+中国_中债国债到期收益率_1年!F472</f>
        <v>-6.7999999999999172E-3</v>
      </c>
      <c r="G474">
        <f>-中国_中债国债到期收益率_1年!G473+中国_中债国债到期收益率_1年!G472</f>
        <v>1.7000000000000348E-3</v>
      </c>
    </row>
    <row r="475" spans="1:7" x14ac:dyDescent="0.25">
      <c r="A475" s="6">
        <v>45401</v>
      </c>
      <c r="B475">
        <f>-中国_中债国债到期收益率_1年!B474+中国_中债国债到期收益率_1年!B473</f>
        <v>1.5000000000000124E-2</v>
      </c>
      <c r="C475">
        <f>-中国_中债国债到期收益率_1年!C474+中国_中债国债到期收益率_1年!C473</f>
        <v>2.4900000000000144E-2</v>
      </c>
      <c r="D475">
        <f>-中国_中债国债到期收益率_1年!D474+中国_中债国债到期收益率_1年!D473</f>
        <v>7.1000000000003283E-3</v>
      </c>
      <c r="E475">
        <f>-中国_中债国债到期收益率_1年!E474+中国_中债国债到期收益率_1年!E473</f>
        <v>8.999999999999897E-3</v>
      </c>
      <c r="F475">
        <f>-中国_中债国债到期收益率_1年!F474+中国_中债国债到期收益率_1年!F473</f>
        <v>6.4999999999999503E-3</v>
      </c>
      <c r="G475">
        <f>-中国_中债国债到期收益率_1年!G474+中国_中债国债到期收益率_1年!G473</f>
        <v>1.3900000000000023E-2</v>
      </c>
    </row>
    <row r="476" spans="1:7" x14ac:dyDescent="0.25">
      <c r="A476" s="6">
        <v>45404</v>
      </c>
      <c r="B476">
        <f>-中国_中债国债到期收益率_1年!B475+中国_中债国债到期收益率_1年!B474</f>
        <v>4.9999999999998934E-3</v>
      </c>
      <c r="C476">
        <f>-中国_中债国债到期收益率_1年!C475+中国_中债国债到期收益率_1年!C474</f>
        <v>4.9000000000001265E-3</v>
      </c>
      <c r="D476">
        <f>-中国_中债国债到期收益率_1年!D475+中国_中债国债到期收益率_1年!D474</f>
        <v>-3.00000000000189E-4</v>
      </c>
      <c r="E476">
        <f>-中国_中债国债到期收益率_1年!E475+中国_中债国债到期收益率_1年!E474</f>
        <v>5.5000000000000604E-3</v>
      </c>
      <c r="F476">
        <f>-中国_中债国债到期收益率_1年!F475+中国_中债国债到期收益率_1年!F474</f>
        <v>3.1000000000001027E-3</v>
      </c>
      <c r="G476">
        <f>-中国_中债国债到期收益率_1年!G475+中国_中债国债到期收益率_1年!G474</f>
        <v>6.8999999999999062E-3</v>
      </c>
    </row>
    <row r="477" spans="1:7" x14ac:dyDescent="0.25">
      <c r="A477" s="6">
        <v>45405</v>
      </c>
      <c r="B477">
        <f>-中国_中债国债到期收益率_1年!B476+中国_中债国债到期收益率_1年!B475</f>
        <v>1.0000000000000009E-2</v>
      </c>
      <c r="C477">
        <f>-中国_中债国债到期收益率_1年!C476+中国_中债国债到期收益率_1年!C475</f>
        <v>1.9999999999997797E-3</v>
      </c>
      <c r="D477">
        <f>-中国_中债国债到期收益率_1年!D476+中国_中债国债到期收益率_1年!D475</f>
        <v>1.0499999999999954E-2</v>
      </c>
      <c r="E477">
        <f>-中国_中债国债到期收益率_1年!E476+中国_中债国债到期收益率_1年!E475</f>
        <v>7.0000000000001172E-3</v>
      </c>
      <c r="F477">
        <f>-中国_中债国债到期收益率_1年!F476+中国_中债国债到期收益率_1年!F475</f>
        <v>1.0999999999998789E-3</v>
      </c>
      <c r="G477">
        <f>-中国_中债国债到期收益率_1年!G476+中国_中债国债到期收益率_1年!G475</f>
        <v>2.2999999999999687E-3</v>
      </c>
    </row>
    <row r="478" spans="1:7" x14ac:dyDescent="0.25">
      <c r="A478" s="6">
        <v>45406</v>
      </c>
      <c r="B478">
        <f>-中国_中债国债到期收益率_1年!B477+中国_中债国债到期收益率_1年!B476</f>
        <v>2.0000000000000018E-2</v>
      </c>
      <c r="C478">
        <f>-中国_中债国债到期收益率_1年!C477+中国_中债国债到期收益率_1年!C476</f>
        <v>1.7200000000000326E-2</v>
      </c>
      <c r="D478">
        <f>-中国_中债国债到期收益率_1年!D477+中国_中债国债到期收益率_1年!D476</f>
        <v>1.7500000000000071E-2</v>
      </c>
      <c r="E478">
        <f>-中国_中债国债到期收益率_1年!E477+中国_中债国债到期收益率_1年!E476</f>
        <v>1.2999999999999901E-2</v>
      </c>
      <c r="F478">
        <f>-中国_中债国债到期收益率_1年!F477+中国_中债国债到期收益率_1年!F476</f>
        <v>6.5000000000001723E-3</v>
      </c>
      <c r="G478">
        <f>-中国_中债国债到期收益率_1年!G477+中国_中债国债到期收益率_1年!G476</f>
        <v>1.0600000000000165E-2</v>
      </c>
    </row>
    <row r="479" spans="1:7" x14ac:dyDescent="0.25">
      <c r="A479" s="6">
        <v>45407</v>
      </c>
      <c r="B479">
        <f>-中国_中债国债到期收益率_1年!B478+中国_中债国债到期收益率_1年!B477</f>
        <v>-6.2999999999999723E-3</v>
      </c>
      <c r="C479">
        <f>-中国_中债国债到期收益率_1年!C478+中国_中债国债到期收益率_1年!C477</f>
        <v>-4.0200000000000014E-2</v>
      </c>
      <c r="D479">
        <f>-中国_中债国债到期收益率_1年!D478+中国_中债国债到期收益率_1年!D477</f>
        <v>-4.6699999999999964E-2</v>
      </c>
      <c r="E479">
        <f>-中国_中债国债到期收益率_1年!E478+中国_中债国债到期收益率_1年!E477</f>
        <v>-5.7999999999999829E-2</v>
      </c>
      <c r="F479">
        <f>-中国_中债国债到期收益率_1年!F478+中国_中债国债到期收益率_1年!F477</f>
        <v>-7.0000000000001172E-3</v>
      </c>
      <c r="G479">
        <f>-中国_中债国债到期收益率_1年!G478+中国_中债国债到期收益率_1年!G477</f>
        <v>-1.6599999999999948E-2</v>
      </c>
    </row>
    <row r="480" spans="1:7" x14ac:dyDescent="0.25">
      <c r="A480" s="6">
        <v>45408</v>
      </c>
      <c r="B480">
        <f>-中国_中债国债到期收益率_1年!B479+中国_中债国债到期收益率_1年!B478</f>
        <v>6.4999999999999947E-2</v>
      </c>
      <c r="C480">
        <f>-中国_中债国债到期收益率_1年!C479+中国_中债国债到期收益率_1年!C478</f>
        <v>2.9699999999999616E-2</v>
      </c>
      <c r="D480">
        <f>-中国_中债国债到期收益率_1年!D479+中国_中债国债到期收益率_1年!D478</f>
        <v>1.1499999999999844E-2</v>
      </c>
      <c r="E480">
        <f>-中国_中债国债到期收益率_1年!E479+中国_中债国债到期收益率_1年!E478</f>
        <v>-5.0000000000003375E-3</v>
      </c>
      <c r="F480">
        <f>-中国_中债国债到期收益率_1年!F479+中国_中债国债到期收益率_1年!F478</f>
        <v>-6.9999999999998952E-3</v>
      </c>
      <c r="G480">
        <f>-中国_中债国债到期收益率_1年!G479+中国_中债国债到期收益率_1年!G478</f>
        <v>-6.0999999999999943E-3</v>
      </c>
    </row>
    <row r="481" spans="1:7" x14ac:dyDescent="0.25">
      <c r="A481" s="6">
        <v>45410</v>
      </c>
      <c r="B481">
        <f>-中国_中债国债到期收益率_1年!B480+中国_中债国债到期收益率_1年!B479</f>
        <v>-6.0000000000000053E-2</v>
      </c>
      <c r="C481">
        <f>-中国_中债国债到期收益率_1年!C480+中国_中债国债到期收益率_1年!C479</f>
        <v>-5.769999999999964E-2</v>
      </c>
      <c r="D481">
        <f>-中国_中债国债到期收益率_1年!D480+中国_中债国债到期收益率_1年!D479</f>
        <v>-4.7199999999999687E-2</v>
      </c>
      <c r="E481">
        <f>-中国_中债国债到期收益率_1年!E480+中国_中债国债到期收益率_1年!E479</f>
        <v>-4.1599999999999859E-2</v>
      </c>
      <c r="F481">
        <f>-中国_中债国债到期收益率_1年!F480+中国_中债国债到期收益率_1年!F479</f>
        <v>-1.7800000000000038E-2</v>
      </c>
      <c r="G481">
        <f>-中国_中债国债到期收益率_1年!G480+中国_中债国债到期收益率_1年!G479</f>
        <v>-3.110000000000035E-2</v>
      </c>
    </row>
    <row r="482" spans="1:7" x14ac:dyDescent="0.25">
      <c r="A482" s="6">
        <v>45411</v>
      </c>
      <c r="B482">
        <f>-中国_中债国债到期收益率_1年!B481+中国_中债国债到期收益率_1年!B480</f>
        <v>-2.8599999999999959E-2</v>
      </c>
      <c r="C482">
        <f>-中国_中债国债到期收益率_1年!C481+中国_中债国债到期收益率_1年!C480</f>
        <v>-3.3000000000000362E-2</v>
      </c>
      <c r="D482">
        <f>-中国_中债国债到期收益率_1年!D481+中国_中债国债到期收益率_1年!D480</f>
        <v>-1.6000000000000014E-2</v>
      </c>
      <c r="E482">
        <f>-中国_中债国债到期收益率_1年!E481+中国_中债国债到期收益率_1年!E480</f>
        <v>-2.3600000000000065E-2</v>
      </c>
      <c r="F482">
        <f>-中国_中债国债到期收益率_1年!F481+中国_中债国债到期收益率_1年!F480</f>
        <v>1.9539</v>
      </c>
      <c r="G482">
        <f>-中国_中债国债到期收益率_1年!G481+中国_中债国债到期收益率_1年!G480</f>
        <v>-2.970000000000006E-2</v>
      </c>
    </row>
    <row r="483" spans="1:7" x14ac:dyDescent="0.25">
      <c r="A483" s="6">
        <v>45412</v>
      </c>
      <c r="B483">
        <f>-中国_中债国债到期收益率_1年!B482+中国_中债国债到期收益率_1年!B481</f>
        <v>-8.9899999999999869E-2</v>
      </c>
      <c r="C483">
        <f>-中国_中债国债到期收益率_1年!C482+中国_中债国债到期收益率_1年!C481</f>
        <v>-3.0100000000000016E-2</v>
      </c>
      <c r="D483">
        <f>-中国_中债国债到期收益率_1年!D482+中国_中债国债到期收益率_1年!D481</f>
        <v>-2.8600000000000403E-2</v>
      </c>
      <c r="E483">
        <f>-中国_中债国债到期收益率_1年!E482+中国_中债国债到期收益率_1年!E481</f>
        <v>-3.3999999999999808E-2</v>
      </c>
      <c r="F483">
        <f>-中国_中债国债到期收益率_1年!F482+中国_中债国债到期收益率_1年!F481</f>
        <v>-2.0312999999999999</v>
      </c>
      <c r="G483">
        <f>-中国_中债国债到期收益率_1年!G482+中国_中债国债到期收益率_1年!G481</f>
        <v>-4.809999999999981E-2</v>
      </c>
    </row>
    <row r="484" spans="1:7" x14ac:dyDescent="0.25">
      <c r="A484" s="6">
        <v>45418</v>
      </c>
      <c r="B484">
        <f>-中国_中债国债到期收益率_1年!B483+中国_中债国债到期收益率_1年!B482</f>
        <v>9.0299999999999825E-2</v>
      </c>
      <c r="C484">
        <f>-中国_中债国债到期收益率_1年!C483+中国_中债国债到期收益率_1年!C482</f>
        <v>3.9200000000000124E-2</v>
      </c>
      <c r="D484">
        <f>-中国_中债国债到期收益率_1年!D483+中国_中债国债到期收益率_1年!D482</f>
        <v>5.0200000000000244E-2</v>
      </c>
      <c r="E484">
        <f>-中国_中债国债到期收益率_1年!E483+中国_中债国债到期收益率_1年!E482</f>
        <v>4.510000000000014E-2</v>
      </c>
      <c r="F484">
        <f>-中国_中债国债到期收益率_1年!F483+中国_中债国债到期收益率_1年!F482</f>
        <v>2.8399999999999981E-2</v>
      </c>
      <c r="G484">
        <f>-中国_中债国债到期收益率_1年!G483+中国_中债国债到期收益率_1年!G482</f>
        <v>2.7499999999999858E-2</v>
      </c>
    </row>
    <row r="485" spans="1:7" x14ac:dyDescent="0.25">
      <c r="A485" s="6">
        <v>45419</v>
      </c>
      <c r="B485">
        <f>-中国_中债国债到期收益率_1年!B484+中国_中债国债到期收益率_1年!B483</f>
        <v>-9.3999999999998529E-3</v>
      </c>
      <c r="C485">
        <f>-中国_中债国债到期收益率_1年!C484+中国_中债国债到期收益率_1年!C483</f>
        <v>2.1600000000000286E-2</v>
      </c>
      <c r="D485">
        <f>-中国_中债国债到期收益率_1年!D484+中国_中债国债到期收益率_1年!D483</f>
        <v>-5.3000000000000824E-3</v>
      </c>
      <c r="E485">
        <f>-中国_中债国债到期收益率_1年!E484+中国_中债国债到期收益率_1年!E483</f>
        <v>-2.0500000000000185E-2</v>
      </c>
      <c r="F485">
        <f>-中国_中债国债到期收益率_1年!F484+中国_中债国债到期收益率_1年!F483</f>
        <v>3.6399999999999988E-2</v>
      </c>
      <c r="G485">
        <f>-中国_中债国债到期收益率_1年!G484+中国_中债国债到期收益率_1年!G483</f>
        <v>1.8100000000000005E-2</v>
      </c>
    </row>
    <row r="486" spans="1:7" x14ac:dyDescent="0.25">
      <c r="A486" s="6">
        <v>45420</v>
      </c>
      <c r="B486">
        <f>-中国_中债国债到期收益率_1年!B485+中国_中债国债到期收益率_1年!B484</f>
        <v>-6.0000000000015596E-4</v>
      </c>
      <c r="C486">
        <f>-中国_中债国债到期收益率_1年!C485+中国_中债国债到期收益率_1年!C484</f>
        <v>2.7399999999999647E-2</v>
      </c>
      <c r="D486">
        <f>-中国_中债国债到期收益率_1年!D485+中国_中债国债到期收益率_1年!D484</f>
        <v>1.8499999999999961E-2</v>
      </c>
      <c r="E486">
        <f>-中国_中债国债到期收益率_1年!E485+中国_中债国债到期收益率_1年!E484</f>
        <v>1.739999999999986E-2</v>
      </c>
      <c r="F486">
        <f>-中国_中债国债到期收益率_1年!F485+中国_中债国债到期收益率_1年!F484</f>
        <v>3.1799999999999828E-2</v>
      </c>
      <c r="G486">
        <f>-中国_中债国债到期收益率_1年!G485+中国_中债国债到期收益率_1年!G484</f>
        <v>2.8799999999999937E-2</v>
      </c>
    </row>
    <row r="487" spans="1:7" x14ac:dyDescent="0.25">
      <c r="A487" s="6">
        <v>45421</v>
      </c>
      <c r="B487">
        <f>-中国_中债国债到期收益率_1年!B486+中国_中债国债到期收益率_1年!B485</f>
        <v>-4.2999999999999705E-3</v>
      </c>
      <c r="C487">
        <f>-中国_中债国债到期收益率_1年!C486+中国_中债国债到期收益率_1年!C485</f>
        <v>-7.3999999999996291E-3</v>
      </c>
      <c r="D487">
        <f>-中国_中债国债到期收益率_1年!D486+中国_中债国债到期收益率_1年!D485</f>
        <v>-5.9000000000000163E-3</v>
      </c>
      <c r="E487">
        <f>-中国_中债国债到期收益率_1年!E486+中国_中债国债到期收益率_1年!E485</f>
        <v>-8.699999999999708E-3</v>
      </c>
      <c r="F487">
        <f>-中国_中债国债到期收益率_1年!F486+中国_中债国债到期收益率_1年!F485</f>
        <v>7.5000000000000622E-3</v>
      </c>
      <c r="G487">
        <f>-中国_中债国债到期收益率_1年!G486+中国_中债国债到期收益率_1年!G485</f>
        <v>9.9000000000000199E-3</v>
      </c>
    </row>
    <row r="488" spans="1:7" x14ac:dyDescent="0.25">
      <c r="A488" s="6">
        <v>45422</v>
      </c>
      <c r="B488">
        <f>-中国_中债国债到期收益率_1年!B487+中国_中债国债到期收益率_1年!B486</f>
        <v>-1.3399999999999856E-2</v>
      </c>
      <c r="C488">
        <f>-中国_中债国债到期收益率_1年!C487+中国_中债国债到期收益率_1年!C486</f>
        <v>-2.2700000000000387E-2</v>
      </c>
      <c r="D488">
        <f>-中国_中债国债到期收益率_1年!D487+中国_中债国债到期收益率_1年!D486</f>
        <v>-2.3099999999999898E-2</v>
      </c>
      <c r="E488">
        <f>-中国_中债国债到期收益率_1年!E487+中国_中债国债到期收益率_1年!E486</f>
        <v>-2.2600000000000176E-2</v>
      </c>
      <c r="F488">
        <f>-中国_中债国债到期收益率_1年!F487+中国_中债国债到期收益率_1年!F486</f>
        <v>-1.1199999999999877E-2</v>
      </c>
      <c r="G488">
        <f>-中国_中债国债到期收益率_1年!G487+中国_中债国债到期收益率_1年!G486</f>
        <v>-1.6999999999999904E-2</v>
      </c>
    </row>
    <row r="489" spans="1:7" x14ac:dyDescent="0.25">
      <c r="A489" s="6">
        <v>45423</v>
      </c>
      <c r="B489">
        <f>-中国_中债国债到期收益率_1年!B488+中国_中债国债到期收益率_1年!B487</f>
        <v>1.6100000000000003E-2</v>
      </c>
      <c r="C489">
        <f>-中国_中债国债到期收益率_1年!C488+中国_中债国债到期收益率_1年!C487</f>
        <v>-5.9999999999993392E-4</v>
      </c>
      <c r="D489">
        <f>-中国_中债国债到期收益率_1年!D488+中国_中债国债到期收益率_1年!D487</f>
        <v>6.4000000000001833E-3</v>
      </c>
      <c r="E489">
        <f>-中国_中债国债到期收益率_1年!E488+中国_中债国债到期收益率_1年!E487</f>
        <v>-9.9999999999997868E-3</v>
      </c>
      <c r="F489">
        <f>-中国_中债国债到期收益率_1年!F488+中国_中债国债到期收益率_1年!F487</f>
        <v>7.1999999999998732E-3</v>
      </c>
      <c r="G489">
        <f>-中国_中债国债到期收益率_1年!G488+中国_中债国债到期收益率_1年!G487</f>
        <v>-7.2000000000000952E-3</v>
      </c>
    </row>
    <row r="490" spans="1:7" x14ac:dyDescent="0.25">
      <c r="A490" s="6">
        <v>45425</v>
      </c>
      <c r="B490">
        <f>-中国_中债国债到期收益率_1年!B489+中国_中债国债到期收益率_1年!B488</f>
        <v>-4.8000000000001375E-3</v>
      </c>
      <c r="C490">
        <f>-中国_中债国债到期收益率_1年!C489+中国_中债国债到期收益率_1年!C488</f>
        <v>-2.5500000000000078E-2</v>
      </c>
      <c r="D490">
        <f>-中国_中债国债到期收益率_1年!D489+中国_中债国债到期收益率_1年!D488</f>
        <v>-2.3900000000000254E-2</v>
      </c>
      <c r="E490">
        <f>-中国_中债国债到期收益率_1年!E489+中国_中债国债到期收益率_1年!E488</f>
        <v>-3.0000000000000249E-2</v>
      </c>
      <c r="F490">
        <f>-中国_中债国债到期收益率_1年!F489+中国_中债国债到期收益率_1年!F488</f>
        <v>-8.799999999999919E-3</v>
      </c>
      <c r="G490">
        <f>-中国_中债国债到期收益率_1年!G489+中国_中债国债到期收益率_1年!G488</f>
        <v>-2.3099999999999898E-2</v>
      </c>
    </row>
    <row r="491" spans="1:7" x14ac:dyDescent="0.25">
      <c r="A491" s="6">
        <v>45426</v>
      </c>
      <c r="B491">
        <f>-中国_中债国债到期收益率_1年!B490+中国_中债国债到期收益率_1年!B489</f>
        <v>6.7500000000000115E-2</v>
      </c>
      <c r="C491">
        <f>-中国_中债国债到期收益率_1年!C490+中国_中债国债到期收益率_1年!C489</f>
        <v>5.9600000000000097E-2</v>
      </c>
      <c r="D491">
        <f>-中国_中债国债到期收益率_1年!D490+中国_中债国债到期收益率_1年!D489</f>
        <v>4.610000000000003E-2</v>
      </c>
      <c r="E491">
        <f>-中国_中债国债到期收益率_1年!E490+中国_中债国债到期收益率_1年!E489</f>
        <v>4.6499999999999986E-2</v>
      </c>
      <c r="F491">
        <f>-中国_中债国债到期收益率_1年!F490+中国_中债国债到期收益率_1年!F489</f>
        <v>5.4000000000000048E-2</v>
      </c>
      <c r="G491">
        <f>-中国_中债国债到期收益率_1年!G490+中国_中债国债到期收益率_1年!G489</f>
        <v>5.9200000000000141E-2</v>
      </c>
    </row>
    <row r="492" spans="1:7" x14ac:dyDescent="0.25">
      <c r="A492" s="6">
        <v>45427</v>
      </c>
      <c r="B492">
        <f>-中国_中债国债到期收益率_1年!B491+中国_中债国债到期收益率_1年!B490</f>
        <v>2.849999999999997E-2</v>
      </c>
      <c r="C492">
        <f>-中国_中债国债到期收益率_1年!C491+中国_中债国债到期收益率_1年!C490</f>
        <v>1.0000000000000231E-2</v>
      </c>
      <c r="D492">
        <f>-中国_中债国债到期收益率_1年!D491+中国_中债国债到期收益率_1年!D490</f>
        <v>-3.8000000000000256E-3</v>
      </c>
      <c r="E492">
        <f>-中国_中债国债到期收益率_1年!E491+中国_中债国债到期收益率_1年!E490</f>
        <v>3.0000000000001137E-3</v>
      </c>
      <c r="F492">
        <f>-中国_中债国债到期收益率_1年!F491+中国_中债国债到期收益率_1年!F490</f>
        <v>1.8699999999999939E-2</v>
      </c>
      <c r="G492">
        <f>-中国_中债国债到期收益率_1年!G491+中国_中债国债到期收益率_1年!G490</f>
        <v>3.9699999999999847E-2</v>
      </c>
    </row>
    <row r="493" spans="1:7" x14ac:dyDescent="0.25">
      <c r="A493" s="6">
        <v>45428</v>
      </c>
      <c r="B493">
        <f>-中国_中债国债到期收益率_1年!B492+中国_中债国债到期收益率_1年!B491</f>
        <v>-1.9999999999997797E-4</v>
      </c>
      <c r="C493">
        <f>-中国_中债国债到期收益率_1年!C492+中国_中债国债到期收益率_1年!C491</f>
        <v>-5.6000000000002714E-3</v>
      </c>
      <c r="D493">
        <f>-中国_中债国债到期收益率_1年!D492+中国_中债国债到期收益率_1年!D491</f>
        <v>-8.1999999999999851E-3</v>
      </c>
      <c r="E493">
        <f>-中国_中债国债到期收益率_1年!E492+中国_中债国债到期收益率_1年!E491</f>
        <v>-4.9999999999998934E-3</v>
      </c>
      <c r="F493">
        <f>-中国_中债国债到期收益率_1年!F492+中国_中债国债到期收益率_1年!F491</f>
        <v>-1.4000000000000012E-2</v>
      </c>
      <c r="G493">
        <f>-中国_中债国债到期收益率_1年!G492+中国_中债国债到期收益率_1年!G491</f>
        <v>-1.399999999999979E-2</v>
      </c>
    </row>
    <row r="494" spans="1:7" x14ac:dyDescent="0.25">
      <c r="A494" s="6">
        <v>45429</v>
      </c>
      <c r="B494">
        <f>-中国_中债国债到期收益率_1年!B493+中国_中债国债到期收益率_1年!B492</f>
        <v>-1.4599999999999946E-2</v>
      </c>
      <c r="C494">
        <f>-中国_中债国债到期收益率_1年!C493+中国_中债国债到期收益率_1年!C492</f>
        <v>-1.18999999999998E-2</v>
      </c>
      <c r="D494">
        <f>-中国_中债国债到期收益率_1年!D493+中国_中债国债到期收益率_1年!D492</f>
        <v>-1.2700000000000156E-2</v>
      </c>
      <c r="E494">
        <f>-中国_中债国债到期收益率_1年!E493+中国_中债国债到期收益率_1年!E492</f>
        <v>-1.3000000000000345E-2</v>
      </c>
      <c r="F494">
        <f>-中国_中债国债到期收益率_1年!F493+中国_中债国债到期收益率_1年!F492</f>
        <v>-2.8000000000001357E-3</v>
      </c>
      <c r="G494">
        <f>-中国_中债国债到期收益率_1年!G493+中国_中债国债到期收益率_1年!G492</f>
        <v>-2.0100000000000229E-2</v>
      </c>
    </row>
    <row r="495" spans="1:7" x14ac:dyDescent="0.25">
      <c r="A495" s="6">
        <v>45432</v>
      </c>
      <c r="B495">
        <f>-中国_中债国债到期收益率_1年!B494+中国_中债国债到期收益率_1年!B493</f>
        <v>2.0699999999999941E-2</v>
      </c>
      <c r="C495">
        <f>-中国_中债国债到期收益率_1年!C494+中国_中债国债到期收益率_1年!C493</f>
        <v>1.0699999999999932E-2</v>
      </c>
      <c r="D495">
        <f>-中国_中债国债到期收益率_1年!D494+中国_中债国债到期收益率_1年!D493</f>
        <v>7.0000000000001172E-3</v>
      </c>
      <c r="E495">
        <f>-中国_中债国债到期收益率_1年!E494+中国_中债国债到期收益率_1年!E493</f>
        <v>-5.5999999999998273E-3</v>
      </c>
      <c r="F495">
        <f>-中国_中债国债到期收益率_1年!F494+中国_中债国债到期收益率_1年!F493</f>
        <v>1.4800000000000146E-2</v>
      </c>
      <c r="G495">
        <f>-中国_中债国债到期收益率_1年!G494+中国_中债国债到期收益率_1年!G493</f>
        <v>-4.0000000000000036E-3</v>
      </c>
    </row>
    <row r="496" spans="1:7" x14ac:dyDescent="0.25">
      <c r="A496" s="6">
        <v>45433</v>
      </c>
      <c r="B496">
        <f>-中国_中债国债到期收益率_1年!B495+中国_中债国债到期收益率_1年!B494</f>
        <v>-6.2999999999999723E-3</v>
      </c>
      <c r="C496">
        <f>-中国_中债国债到期收益率_1年!C495+中国_中债国债到期收益率_1年!C494</f>
        <v>-5.5000000000000604E-3</v>
      </c>
      <c r="D496">
        <f>-中国_中债国债到期收益率_1年!D495+中国_中债国债到期收益率_1年!D494</f>
        <v>-2.8000000000001357E-3</v>
      </c>
      <c r="E496">
        <f>-中国_中债国债到期收益率_1年!E495+中国_中债国债到期收益率_1年!E494</f>
        <v>-4.9999999999998934E-3</v>
      </c>
      <c r="F496">
        <f>-中国_中债国债到期收益率_1年!F495+中国_中债国债到期收益率_1年!F494</f>
        <v>1.7299999999999871E-2</v>
      </c>
      <c r="G496">
        <f>-中国_中债国债到期收益率_1年!G495+中国_中债国债到期收益率_1年!G494</f>
        <v>3.1600000000000072E-2</v>
      </c>
    </row>
    <row r="497" spans="1:7" x14ac:dyDescent="0.25">
      <c r="A497" s="6">
        <v>45434</v>
      </c>
      <c r="B497">
        <f>-中国_中债国债到期收益率_1年!B496+中国_中债国债到期收益率_1年!B495</f>
        <v>6.9999999999992291E-4</v>
      </c>
      <c r="C497">
        <f>-中国_中债国债到期收益率_1年!C496+中国_中债国债到期收益率_1年!C495</f>
        <v>-4.4999999999997264E-3</v>
      </c>
      <c r="D497">
        <f>-中国_中债国债到期收益率_1年!D496+中国_中债国债到期收益率_1年!D495</f>
        <v>-3.5999999999996035E-3</v>
      </c>
      <c r="E497">
        <f>-中国_中债国债到期收益率_1年!E496+中国_中债国债到期收益率_1年!E495</f>
        <v>-9.9999999999988987E-4</v>
      </c>
      <c r="F497">
        <f>-中国_中债国债到期收益率_1年!F496+中国_中债国债到期收益率_1年!F495</f>
        <v>-1.6699999999999937E-2</v>
      </c>
      <c r="G497">
        <f>-中国_中债国债到期收益率_1年!G496+中国_中债国债到期收益率_1年!G495</f>
        <v>-8.3999999999999631E-3</v>
      </c>
    </row>
    <row r="498" spans="1:7" x14ac:dyDescent="0.25">
      <c r="A498" s="6">
        <v>45435</v>
      </c>
      <c r="B498">
        <f>-中国_中债国债到期收益率_1年!B497+中国_中债国债到期收益率_1年!B496</f>
        <v>7.7000000000000401E-3</v>
      </c>
      <c r="C498">
        <f>-中国_中债国债到期收益率_1年!C497+中国_中债国债到期收益率_1年!C496</f>
        <v>6.8999999999999062E-3</v>
      </c>
      <c r="D498">
        <f>-中国_中债国债到期收益率_1年!D497+中国_中债国债到期收益率_1年!D496</f>
        <v>1.7999999999998018E-3</v>
      </c>
      <c r="E498">
        <f>-中国_中债国债到期收益率_1年!E497+中国_中债国债到期收益率_1年!E496</f>
        <v>2.2699999999999942E-2</v>
      </c>
      <c r="F498">
        <f>-中国_中债国债到期收益率_1年!F497+中国_中债国债到期收益率_1年!F496</f>
        <v>6.2999999999999723E-3</v>
      </c>
      <c r="G498">
        <f>-中国_中债国债到期收益率_1年!G497+中国_中债国债到期收益率_1年!G496</f>
        <v>1.540000000000008E-2</v>
      </c>
    </row>
    <row r="499" spans="1:7" x14ac:dyDescent="0.25">
      <c r="A499" s="6">
        <v>45436</v>
      </c>
      <c r="B499">
        <f>-中国_中债国债到期收益率_1年!B498+中国_中债国债到期收益率_1年!B497</f>
        <v>-3.3000000000000806E-3</v>
      </c>
      <c r="C499">
        <f>-中国_中债国债到期收益率_1年!C498+中国_中债国债到期收益率_1年!C497</f>
        <v>7.4999999999998401E-3</v>
      </c>
      <c r="D499">
        <f>-中国_中债国债到期收益率_1年!D498+中国_中债国债到期收益率_1年!D497</f>
        <v>6.0000000000002274E-3</v>
      </c>
      <c r="E499">
        <f>-中国_中债国债到期收益率_1年!E498+中国_中债国债到期收益率_1年!E497</f>
        <v>2.48999999999997E-2</v>
      </c>
      <c r="F499">
        <f>-中国_中债国债到期收益率_1年!F498+中国_中债国债到期收益率_1年!F497</f>
        <v>4.0999999999999925E-3</v>
      </c>
      <c r="G499">
        <f>-中国_中债国债到期收益率_1年!G498+中国_中债国债到期收益率_1年!G497</f>
        <v>7.4000000000000732E-3</v>
      </c>
    </row>
    <row r="500" spans="1:7" x14ac:dyDescent="0.25">
      <c r="A500" s="6">
        <v>45439</v>
      </c>
      <c r="B500">
        <f>-中国_中债国债到期收益率_1年!B499+中国_中债国债到期收益率_1年!B498</f>
        <v>-2.8999999999999915E-2</v>
      </c>
      <c r="C500">
        <f>-中国_中债国债到期收益率_1年!C499+中国_中债国债到期收益率_1年!C498</f>
        <v>-7.6000000000000512E-3</v>
      </c>
      <c r="D500">
        <f>-中国_中债国债到期收益率_1年!D499+中国_中债国债到期收益率_1年!D498</f>
        <v>-7.1000000000003283E-3</v>
      </c>
      <c r="E500">
        <f>-中国_中债国债到期收益率_1年!E499+中国_中债国债到期收益率_1年!E498</f>
        <v>-6.3999999999997392E-3</v>
      </c>
      <c r="F500">
        <f>-中国_中债国债到期收益率_1年!F499+中国_中债国债到期收益率_1年!F498</f>
        <v>-2.1999999999999797E-3</v>
      </c>
      <c r="G500">
        <f>-中国_中债国债到期收益率_1年!G499+中国_中债国债到期收益率_1年!G498</f>
        <v>-5.6000000000002714E-3</v>
      </c>
    </row>
    <row r="501" spans="1:7" x14ac:dyDescent="0.25">
      <c r="A501" s="6">
        <v>45440</v>
      </c>
      <c r="B501">
        <f>-中国_中债国债到期收益率_1年!B500+中国_中债国债到期收益率_1年!B499</f>
        <v>-2.3700000000000054E-2</v>
      </c>
      <c r="C501">
        <f>-中国_中债国债到期收益率_1年!C500+中国_中债国债到期收益率_1年!C499</f>
        <v>-9.9999999999766942E-5</v>
      </c>
      <c r="D501">
        <f>-中国_中债国债到期收益率_1年!D500+中国_中债国债到期收益率_1年!D499</f>
        <v>5.0000000000003375E-3</v>
      </c>
      <c r="E501">
        <f>-中国_中债国债到期收益率_1年!E500+中国_中债国债到期收益率_1年!E499</f>
        <v>6.2999999999999723E-3</v>
      </c>
      <c r="F501">
        <f>-中国_中债国债到期收益率_1年!F500+中国_中债国债到期收益率_1年!F499</f>
        <v>-1.5499999999999847E-2</v>
      </c>
      <c r="G501">
        <f>-中国_中债国债到期收益率_1年!G500+中国_中债国债到期收益率_1年!G499</f>
        <v>-6.9999999999996732E-3</v>
      </c>
    </row>
    <row r="502" spans="1:7" x14ac:dyDescent="0.25">
      <c r="A502" s="6">
        <v>45441</v>
      </c>
      <c r="B502">
        <f>-中国_中债国债到期收益率_1年!B501+中国_中债国债到期收益率_1年!B500</f>
        <v>6.0000000000000053E-3</v>
      </c>
      <c r="C502">
        <f>-中国_中债国债到期收益率_1年!C501+中国_中债国债到期收益率_1年!C500</f>
        <v>8.999999999999897E-3</v>
      </c>
      <c r="D502">
        <f>-中国_中债国债到期收益率_1年!D501+中国_中债国债到期收益率_1年!D500</f>
        <v>8.999999999999897E-3</v>
      </c>
      <c r="E502">
        <f>-中国_中债国债到期收益率_1年!E501+中国_中债国债到期收益率_1年!E500</f>
        <v>1.5000000000000124E-2</v>
      </c>
      <c r="F502">
        <f>-中国_中债国债到期收益率_1年!F501+中国_中债国债到期收益率_1年!F500</f>
        <v>1.2899999999999912E-2</v>
      </c>
      <c r="G502">
        <f>-中国_中债国债到期收益率_1年!G501+中国_中债国债到期收益率_1年!G500</f>
        <v>1.7799999999999816E-2</v>
      </c>
    </row>
    <row r="503" spans="1:7" x14ac:dyDescent="0.25">
      <c r="A503" s="6">
        <v>45442</v>
      </c>
      <c r="B503">
        <f>-中国_中债国债到期收益率_1年!B502+中国_中债国债到期收益率_1年!B501</f>
        <v>-1.5000000000000568E-3</v>
      </c>
      <c r="C503">
        <f>-中国_中债国债到期收益率_1年!C502+中国_中债国债到期收益率_1年!C501</f>
        <v>2.2999999999999687E-3</v>
      </c>
      <c r="D503">
        <f>-中国_中债国债到期收益率_1年!D502+中国_中债国债到期收益率_1年!D501</f>
        <v>2.179999999999982E-2</v>
      </c>
      <c r="E503">
        <f>-中国_中债国债到期收益率_1年!E502+中国_中债国债到期收益率_1年!E501</f>
        <v>5.9999999999997833E-3</v>
      </c>
      <c r="F503">
        <f>-中国_中债国债到期收益率_1年!F502+中国_中债国债到期收益率_1年!F501</f>
        <v>8.899999999999908E-3</v>
      </c>
      <c r="G503">
        <f>-中国_中债国债到期收益率_1年!G502+中国_中债国债到期收益率_1年!G501</f>
        <v>1.8400000000000194E-2</v>
      </c>
    </row>
    <row r="504" spans="1:7" x14ac:dyDescent="0.25">
      <c r="A504" s="6">
        <v>45443</v>
      </c>
      <c r="B504">
        <f>-中国_中债国债到期收益率_1年!B503+中国_中债国债到期收益率_1年!B502</f>
        <v>3.6000000000000476E-3</v>
      </c>
      <c r="C504">
        <f>-中国_中债国债到期收益率_1年!C503+中国_中债国债到期收益率_1年!C502</f>
        <v>-1.3999999999998458E-3</v>
      </c>
      <c r="D504">
        <f>-中国_中债国债到期收益率_1年!D503+中国_中债国债到期收益率_1年!D502</f>
        <v>-4.9999999999998934E-3</v>
      </c>
      <c r="E504">
        <f>-中国_中债国债到期收益率_1年!E503+中国_中债国债到期收益率_1年!E502</f>
        <v>-8.5000000000001741E-3</v>
      </c>
      <c r="F504">
        <f>-中国_中债国债到期收益率_1年!F503+中国_中债国债到期收益率_1年!F502</f>
        <v>6.0000000000000053E-3</v>
      </c>
      <c r="G504">
        <f>-中国_中债国债到期收益率_1年!G503+中国_中债国债到期收益率_1年!G502</f>
        <v>-6.9000000000003503E-3</v>
      </c>
    </row>
    <row r="505" spans="1:7" x14ac:dyDescent="0.25">
      <c r="A505" s="6">
        <v>45446</v>
      </c>
      <c r="B505">
        <f>-中国_中债国债到期收益率_1年!B504+中国_中债国债到期收益率_1年!B503</f>
        <v>8.69999999999993E-3</v>
      </c>
      <c r="C505">
        <f>-中国_中债国债到期收益率_1年!C504+中国_中债国债到期收益率_1年!C503</f>
        <v>1.1999999999998678E-3</v>
      </c>
      <c r="D505">
        <f>-中国_中债国债到期收益率_1年!D504+中国_中债国债到期收益率_1年!D503</f>
        <v>-1.0000000000000231E-2</v>
      </c>
      <c r="E505">
        <f>-中国_中债国债到期收益率_1年!E504+中国_中债国债到期收益率_1年!E503</f>
        <v>-2.2499999999999964E-2</v>
      </c>
      <c r="F505">
        <f>-中国_中债国债到期收益率_1年!F504+中国_中债国债到期收益率_1年!F503</f>
        <v>4.5000000000001705E-3</v>
      </c>
      <c r="G505">
        <f>-中国_中债国债到期收益率_1年!G504+中国_中债国债到期收益率_1年!G503</f>
        <v>-5.9000000000000163E-3</v>
      </c>
    </row>
    <row r="506" spans="1:7" x14ac:dyDescent="0.25">
      <c r="A506" s="6">
        <v>45447</v>
      </c>
      <c r="B506">
        <f>-中国_中债国债到期收益率_1年!B505+中国_中债国债到期收益率_1年!B504</f>
        <v>-1.2999999999998568E-3</v>
      </c>
      <c r="C506">
        <f>-中国_中债国债到期收益率_1年!C505+中国_中债国债到期收益率_1年!C504</f>
        <v>1.5099999999999891E-2</v>
      </c>
      <c r="D506">
        <f>-中国_中债国债到期收益率_1年!D505+中国_中债国债到期收益率_1年!D504</f>
        <v>7.3000000000003062E-3</v>
      </c>
      <c r="E506">
        <f>-中国_中债国债到期收益率_1年!E505+中国_中债国债到期收益率_1年!E504</f>
        <v>7.9000000000002402E-3</v>
      </c>
      <c r="F506">
        <f>-中国_中债国债到期收益率_1年!F505+中国_中债国债到期收益率_1年!F504</f>
        <v>7.8999999999997961E-3</v>
      </c>
      <c r="G506">
        <f>-中国_中债国债到期收益率_1年!G505+中国_中债国债到期收益率_1年!G504</f>
        <v>5.5000000000000604E-3</v>
      </c>
    </row>
    <row r="507" spans="1:7" x14ac:dyDescent="0.25">
      <c r="A507" s="6">
        <v>45448</v>
      </c>
      <c r="B507">
        <f>-中国_中债国债到期收益率_1年!B506+中国_中债国债到期收益率_1年!B505</f>
        <v>-3.9999999999995595E-4</v>
      </c>
      <c r="C507">
        <f>-中国_中债国债到期收益率_1年!C506+中国_中债国债到期收益率_1年!C505</f>
        <v>-9.0000000000012292E-4</v>
      </c>
      <c r="D507">
        <f>-中国_中债国债到期收益率_1年!D506+中国_中债国债到期收益率_1年!D505</f>
        <v>-1.0000000000021103E-4</v>
      </c>
      <c r="E507">
        <f>-中国_中债国债到期收益率_1年!E506+中国_中债国债到期收益率_1年!E505</f>
        <v>1.9999999999997797E-3</v>
      </c>
      <c r="F507">
        <f>-中国_中债国债到期收益率_1年!F506+中国_中债国债到期收益率_1年!F505</f>
        <v>-1.7999999999998018E-3</v>
      </c>
      <c r="G507">
        <f>-中国_中债国债到期收益率_1年!G506+中国_中债国债到期收益率_1年!G505</f>
        <v>5.8000000000002494E-3</v>
      </c>
    </row>
    <row r="508" spans="1:7" x14ac:dyDescent="0.25">
      <c r="A508" s="6">
        <v>45449</v>
      </c>
      <c r="B508">
        <f>-中国_中债国债到期收益率_1年!B507+中国_中债国债到期收益率_1年!B506</f>
        <v>1.419999999999999E-2</v>
      </c>
      <c r="C508">
        <f>-中国_中债国债到期收益率_1年!C507+中国_中债国债到期收益率_1年!C506</f>
        <v>1.3500000000000068E-2</v>
      </c>
      <c r="D508">
        <f>-中国_中债国债到期收益率_1年!D507+中国_中债国债到期收益率_1年!D506</f>
        <v>4.5999999999999375E-3</v>
      </c>
      <c r="E508">
        <f>-中国_中债国债到期收益率_1年!E507+中国_中债国债到期收益率_1年!E506</f>
        <v>7.5000000000002842E-3</v>
      </c>
      <c r="F508">
        <f>-中国_中债国债到期收益率_1年!F507+中国_中债国债到期收益率_1年!F506</f>
        <v>7.6999999999998181E-3</v>
      </c>
      <c r="G508">
        <f>-中国_中债国债到期收益率_1年!G507+中国_中债国债到期收益率_1年!G506</f>
        <v>1.4299999999999979E-2</v>
      </c>
    </row>
    <row r="509" spans="1:7" x14ac:dyDescent="0.25">
      <c r="A509" s="6">
        <v>45450</v>
      </c>
      <c r="B509">
        <f>-中国_中债国债到期收益率_1年!B508+中国_中债国债到期收益率_1年!B507</f>
        <v>2.1399999999999864E-2</v>
      </c>
      <c r="C509">
        <f>-中国_中债国债到期收益率_1年!C508+中国_中债国债到期收益率_1年!C507</f>
        <v>-2.1999999999997577E-3</v>
      </c>
      <c r="D509">
        <f>-中国_中债国债到期收益率_1年!D508+中国_中债国债到期收益率_1年!D507</f>
        <v>-1.9999999999997797E-3</v>
      </c>
      <c r="E509">
        <f>-中国_中债国债到期收益率_1年!E508+中国_中债国债到期收益率_1年!E507</f>
        <v>0</v>
      </c>
      <c r="F509">
        <f>-中国_中债国债到期收益率_1年!F508+中国_中债国债到期收益率_1年!F507</f>
        <v>1.9000000000000128E-3</v>
      </c>
      <c r="G509">
        <f>-中国_中债国债到期收益率_1年!G508+中国_中债国债到期收益率_1年!G507</f>
        <v>3.8000000000000256E-3</v>
      </c>
    </row>
    <row r="510" spans="1:7" x14ac:dyDescent="0.25">
      <c r="A510" s="6">
        <v>45454</v>
      </c>
      <c r="B510">
        <f>-中国_中债国债到期收益率_1年!B509+中国_中债国债到期收益率_1年!B508</f>
        <v>6.4999999999999503E-3</v>
      </c>
      <c r="C510">
        <f>-中国_中债国债到期收益率_1年!C509+中国_中债国债到期收益率_1年!C508</f>
        <v>-3.00000000000189E-4</v>
      </c>
      <c r="D510">
        <f>-中国_中债国债到期收益率_1年!D509+中国_中债国债到期收益率_1年!D508</f>
        <v>-5.0000000000016698E-4</v>
      </c>
      <c r="E510">
        <f>-中国_中债国债到期收益率_1年!E509+中国_中债国债到期收益率_1年!E508</f>
        <v>7.4999999999998401E-3</v>
      </c>
      <c r="F510">
        <f>-中国_中债国债到期收益率_1年!F509+中国_中债国债到期收益率_1年!F508</f>
        <v>1.3000000000000789E-3</v>
      </c>
      <c r="G510">
        <f>-中国_中债国债到期收益率_1年!G509+中国_中债国债到期收益率_1年!G508</f>
        <v>5.1999999999998714E-3</v>
      </c>
    </row>
    <row r="511" spans="1:7" x14ac:dyDescent="0.25">
      <c r="A511" s="6">
        <v>45455</v>
      </c>
      <c r="B511">
        <f>-中国_中债国债到期收益率_1年!B510+中国_中债国债到期收益率_1年!B509</f>
        <v>5.0000000000001155E-3</v>
      </c>
      <c r="C511">
        <f>-中国_中债国债到期收益率_1年!C510+中国_中债国债到期收益率_1年!C509</f>
        <v>4.3000000000001926E-3</v>
      </c>
      <c r="D511">
        <f>-中国_中债国债到期收益率_1年!D510+中国_中债国债到期收益率_1年!D509</f>
        <v>4.1999999999999815E-3</v>
      </c>
      <c r="E511">
        <f>-中国_中债国债到期收益率_1年!E510+中国_中债国债到期收益率_1年!E509</f>
        <v>1.0800000000000143E-2</v>
      </c>
      <c r="F511">
        <f>-中国_中债国债到期收益率_1年!F510+中国_中债国债到期收益率_1年!F509</f>
        <v>1.2000000000000899E-3</v>
      </c>
      <c r="G511">
        <f>-中国_中债国债到期收益率_1年!G510+中国_中债国债到期收益率_1年!G509</f>
        <v>1.1499999999999844E-2</v>
      </c>
    </row>
    <row r="512" spans="1:7" x14ac:dyDescent="0.25">
      <c r="A512" s="8">
        <v>45456</v>
      </c>
      <c r="B512">
        <f>-中国_中债国债到期收益率_1年!B511+中国_中债国债到期收益率_1年!B510</f>
        <v>0</v>
      </c>
      <c r="C512">
        <f>-中国_中债国债到期收益率_1年!C511+中国_中债国债到期收益率_1年!C510</f>
        <v>-7.9000000000002402E-3</v>
      </c>
      <c r="D512">
        <f>-中国_中债国债到期收益率_1年!D511+中国_中债国债到期收益率_1年!D510</f>
        <v>3.1000000000003247E-3</v>
      </c>
      <c r="E512">
        <f>-中国_中债国债到期收益率_1年!E511+中国_中债国债到期收益率_1年!E510</f>
        <v>-4.0000000000000036E-3</v>
      </c>
      <c r="F512">
        <f>-中国_中债国债到期收益率_1年!F511+中国_中债国债到期收益率_1年!F510</f>
        <v>-5.8000000000000274E-3</v>
      </c>
      <c r="G512">
        <f>-中国_中债国债到期收益率_1年!G511+中国_中债国债到期收益率_1年!G510</f>
        <v>-6.5999999999997172E-3</v>
      </c>
    </row>
    <row r="513" spans="1:7" ht="14.5" x14ac:dyDescent="0.35">
      <c r="A513" s="9">
        <v>45457</v>
      </c>
      <c r="B513">
        <f>-中国_中债国债到期收益率_1年!B512+中国_中债国债到期收益率_1年!B511</f>
        <v>2.0000000000000018E-3</v>
      </c>
      <c r="C513">
        <f>-中国_中债国债到期收益率_1年!C512+中国_中债国债到期收益率_1年!C511</f>
        <v>-2.0999999999999908E-3</v>
      </c>
      <c r="D513">
        <f>-中国_中债国债到期收益率_1年!D512+中国_中债国债到期收益率_1年!D511</f>
        <v>8.1999999999999851E-3</v>
      </c>
      <c r="E513">
        <f>-中国_中债国债到期收益率_1年!E512+中国_中债国债到期收益率_1年!E511</f>
        <v>5.9999999999997833E-3</v>
      </c>
      <c r="F513">
        <f>-中国_中债国债到期收益率_1年!F512+中国_中债国债到期收益率_1年!F511</f>
        <v>-1.2600000000000167E-2</v>
      </c>
      <c r="G513">
        <f>-中国_中债国债到期收益率_1年!G512+中国_中债国债到期收益率_1年!G511</f>
        <v>-8.3999999999999631E-3</v>
      </c>
    </row>
    <row r="514" spans="1:7" x14ac:dyDescent="0.25">
      <c r="A514" s="8">
        <v>45460</v>
      </c>
      <c r="B514">
        <f>-中国_中债国债到期收益率_1年!B513+中国_中债国债到期收益率_1年!B512</f>
        <v>2.9999999999998916E-3</v>
      </c>
      <c r="C514">
        <f>-中国_中债国债到期收益率_1年!C513+中国_中债国债到期收益率_1年!C512</f>
        <v>6.6999999999999282E-3</v>
      </c>
      <c r="D514">
        <f>-中国_中债国债到期收益率_1年!D513+中国_中债国债到期收益率_1年!D512</f>
        <v>1.2000000000000011E-2</v>
      </c>
      <c r="E514">
        <f>-中国_中债国债到期收益率_1年!E513+中国_中债国债到期收益率_1年!E512</f>
        <v>1.8499999999999961E-2</v>
      </c>
      <c r="F514">
        <f>-中国_中债国债到期收益率_1年!F513+中国_中债国债到期收益率_1年!F512</f>
        <v>1.6000000000000458E-3</v>
      </c>
      <c r="G514">
        <f>-中国_中债国债到期收益率_1年!G513+中国_中债国债到期收益率_1年!G512</f>
        <v>1.0999999999996568E-3</v>
      </c>
    </row>
    <row r="515" spans="1:7" x14ac:dyDescent="0.25">
      <c r="A515" s="8">
        <v>45461</v>
      </c>
      <c r="B515">
        <f>-中国_中债国债到期收益率_1年!B514+中国_中债国债到期收益率_1年!B513</f>
        <v>-1.0000000000000009E-2</v>
      </c>
      <c r="C515">
        <f>-中国_中债国债到期收益率_1年!C514+中国_中债国债到期收益率_1年!C513</f>
        <v>-7.0999999999998842E-3</v>
      </c>
      <c r="D515">
        <f>-中国_中债国债到期收益率_1年!D514+中国_中债国债到期收益率_1年!D513</f>
        <v>-5.1000000000001044E-3</v>
      </c>
      <c r="E515">
        <f>-中国_中债国债到期收益率_1年!E514+中国_中债国债到期收益率_1年!E513</f>
        <v>-6.6999999999999282E-3</v>
      </c>
      <c r="F515">
        <f>-中国_中债国债到期收益率_1年!F514+中国_中债国债到期收益率_1年!F513</f>
        <v>-1.0699999999999932E-2</v>
      </c>
      <c r="G515">
        <f>-中国_中债国债到期收益率_1年!G514+中国_中债国债到期收益率_1年!G513</f>
        <v>-6.3999999999997392E-3</v>
      </c>
    </row>
    <row r="516" spans="1:7" x14ac:dyDescent="0.25">
      <c r="A516" s="8">
        <v>45462</v>
      </c>
      <c r="B516">
        <f>-中国_中债国债到期收益率_1年!B515+中国_中债国债到期收益率_1年!B514</f>
        <v>0</v>
      </c>
      <c r="C516">
        <f>-中国_中债国债到期收益率_1年!C515+中国_中债国债到期收益率_1年!C514</f>
        <v>9.100000000000108E-3</v>
      </c>
      <c r="D516">
        <f>-中国_中债国债到期收益率_1年!D515+中国_中债国债到期收益率_1年!D514</f>
        <v>7.2000000000000952E-3</v>
      </c>
      <c r="E516">
        <f>-中国_中债国债到期收益率_1年!E515+中国_中债国债到期收益率_1年!E514</f>
        <v>1.6999999999999904E-2</v>
      </c>
      <c r="F516">
        <f>-中国_中债国债到期收益率_1年!F515+中国_中债国债到期收益率_1年!F514</f>
        <v>-1.4000000000000679E-3</v>
      </c>
      <c r="G516">
        <f>-中国_中债国债到期收益率_1年!G515+中国_中债国债到期收益率_1年!G514</f>
        <v>4.5999999999999375E-3</v>
      </c>
    </row>
    <row r="517" spans="1:7" x14ac:dyDescent="0.25">
      <c r="A517" s="8">
        <v>45463</v>
      </c>
      <c r="B517">
        <f>-中国_中债国债到期收益率_1年!B516+中国_中债国债到期收益率_1年!B515</f>
        <v>5.0000000000001155E-3</v>
      </c>
      <c r="C517">
        <f>-中国_中债国债到期收益率_1年!C516+中国_中债国债到期收益率_1年!C515</f>
        <v>3.3199999999999896E-2</v>
      </c>
      <c r="D517">
        <f>-中国_中债国债到期收益率_1年!D516+中国_中债国债到期收益率_1年!D515</f>
        <v>1.0799999999999699E-2</v>
      </c>
      <c r="E517">
        <f>-中国_中债国债到期收益率_1年!E516+中国_中债国债到期收益率_1年!E515</f>
        <v>9.0000000000003411E-3</v>
      </c>
      <c r="F517">
        <f>-中国_中债国债到期收益率_1年!F516+中国_中债国债到期收益率_1年!F515</f>
        <v>4.4999999999999485E-3</v>
      </c>
      <c r="G517">
        <f>-中国_中债国债到期收益率_1年!G516+中国_中债国债到期收益率_1年!G515</f>
        <v>9.7000000000000419E-3</v>
      </c>
    </row>
    <row r="518" spans="1:7" x14ac:dyDescent="0.25">
      <c r="A518" s="8">
        <v>45464</v>
      </c>
      <c r="B518">
        <f>-中国_中债国债到期收益率_1年!B517+中国_中债国债到期收益率_1年!B516</f>
        <v>0</v>
      </c>
      <c r="C518">
        <f>-中国_中债国债到期收益率_1年!C517+中国_中债国债到期收益率_1年!C516</f>
        <v>-5.3000000000000824E-3</v>
      </c>
      <c r="D518">
        <f>-中国_中债国债到期收益率_1年!D517+中国_中债国债到期收益率_1年!D516</f>
        <v>-1.5999999999998238E-3</v>
      </c>
      <c r="E518">
        <f>-中国_中债国债到期收益率_1年!E517+中国_中债国债到期收益率_1年!E516</f>
        <v>8.8999999999996859E-3</v>
      </c>
      <c r="F518">
        <f>-中国_中债国债到期收益率_1年!F517+中国_中债国债到期收益率_1年!F516</f>
        <v>1.0400000000000187E-2</v>
      </c>
      <c r="G518">
        <f>-中国_中债国债到期收益率_1年!G517+中国_中债国债到期收益率_1年!G516</f>
        <v>9.9999999999997868E-3</v>
      </c>
    </row>
    <row r="519" spans="1:7" x14ac:dyDescent="0.25">
      <c r="A519" s="8">
        <v>45467</v>
      </c>
      <c r="B519">
        <f>-中国_中债国债到期收益率_1年!B518+中国_中债国债到期收益率_1年!B517</f>
        <v>7.5000000000000622E-3</v>
      </c>
      <c r="C519">
        <f>-中国_中债国债到期收益率_1年!C518+中国_中债国债到期收益率_1年!C517</f>
        <v>-1.0099999999999998E-2</v>
      </c>
      <c r="D519">
        <f>-中国_中债国债到期收益率_1年!D518+中国_中债国债到期收益率_1年!D517</f>
        <v>-1.2599999999999945E-2</v>
      </c>
      <c r="E519">
        <f>-中国_中债国债到期收益率_1年!E518+中国_中债国债到期收益率_1年!E517</f>
        <v>-8.8999999999996859E-3</v>
      </c>
      <c r="F519">
        <f>-中国_中债国债到期收益率_1年!F518+中国_中债国债到期收益率_1年!F517</f>
        <v>-1.8400000000000194E-2</v>
      </c>
      <c r="G519">
        <f>-中国_中债国债到期收益率_1年!G518+中国_中债国债到期收益率_1年!G517</f>
        <v>-1.0999999999999677E-2</v>
      </c>
    </row>
    <row r="520" spans="1:7" x14ac:dyDescent="0.25">
      <c r="A520" s="8">
        <v>45468</v>
      </c>
      <c r="B520">
        <f>-中国_中债国债到期收益率_1年!B519+中国_中债国债到期收益率_1年!B518</f>
        <v>0</v>
      </c>
      <c r="C520">
        <f>-中国_中债国债到期收益率_1年!C519+中国_中债国债到期收益率_1年!C518</f>
        <v>1.3500000000000068E-2</v>
      </c>
      <c r="D520">
        <f>-中国_中债国债到期收益率_1年!D519+中国_中债国债到期收益率_1年!D518</f>
        <v>1.2000000000000011E-2</v>
      </c>
      <c r="E520">
        <f>-中国_中债国债到期收益率_1年!E519+中国_中债国债到期收益率_1年!E518</f>
        <v>1.8999999999999684E-2</v>
      </c>
      <c r="F520">
        <f>-中国_中债国债到期收益率_1年!F519+中国_中债国债到期收益率_1年!F518</f>
        <v>-3.0999999999998806E-3</v>
      </c>
      <c r="G520">
        <f>-中国_中债国债到期收益率_1年!G519+中国_中债国债到期收益率_1年!G518</f>
        <v>5.9999999999997833E-3</v>
      </c>
    </row>
    <row r="521" spans="1:7" x14ac:dyDescent="0.25">
      <c r="A521" s="8">
        <v>45469</v>
      </c>
      <c r="B521">
        <f>-中国_中债国债到期收益率_1年!B520+中国_中债国债到期收益率_1年!B519</f>
        <v>2.9999999999999805E-2</v>
      </c>
      <c r="C521">
        <f>-中国_中债国债到期收益率_1年!C520+中国_中债国债到期收益率_1年!C519</f>
        <v>9.600000000000275E-3</v>
      </c>
      <c r="D521">
        <f>-中国_中债国债到期收益率_1年!D520+中国_中债国债到期收益率_1年!D519</f>
        <v>1.0099999999999998E-2</v>
      </c>
      <c r="E521">
        <f>-中国_中债国债到期收益率_1年!E520+中国_中债国债到期收益率_1年!E519</f>
        <v>1.2999999999999901E-2</v>
      </c>
      <c r="F521">
        <f>-中国_中债国债到期收益率_1年!F520+中国_中债国债到期收益率_1年!F519</f>
        <v>1.7700000000000049E-2</v>
      </c>
      <c r="G521">
        <f>-中国_中债国债到期收益率_1年!G520+中国_中债国债到期收益率_1年!G519</f>
        <v>2.3500000000000076E-2</v>
      </c>
    </row>
    <row r="522" spans="1:7" x14ac:dyDescent="0.25">
      <c r="A522" s="8">
        <v>45470</v>
      </c>
      <c r="B522">
        <f>-中国_中债国债到期收益率_1年!B521+中国_中债国债到期收益率_1年!B520</f>
        <v>1.7500000000000071E-2</v>
      </c>
      <c r="C522">
        <f>-中国_中债国债到期收益率_1年!C521+中国_中债国债到期收益率_1年!C520</f>
        <v>1.7199999999999882E-2</v>
      </c>
      <c r="D522">
        <f>-中国_中债国债到期收益率_1年!D521+中国_中债国债到期收益率_1年!D520</f>
        <v>1.2499999999999734E-2</v>
      </c>
      <c r="E522">
        <f>-中国_中债国债到期收益率_1年!E521+中国_中债国债到期收益率_1年!E520</f>
        <v>3.5000000000002807E-3</v>
      </c>
      <c r="F522">
        <f>-中国_中债国债到期收益率_1年!F521+中国_中债国债到期收益率_1年!F520</f>
        <v>-4.0999999999999925E-3</v>
      </c>
      <c r="G522">
        <f>-中国_中债国债到期收益率_1年!G521+中国_中债国债到期收益率_1年!G520</f>
        <v>8.9999999999990088E-4</v>
      </c>
    </row>
    <row r="523" spans="1:7" x14ac:dyDescent="0.25">
      <c r="A523" s="8">
        <v>45471</v>
      </c>
      <c r="B523">
        <f>-中国_中债国债到期收益率_1年!B522+中国_中债国债到期收益率_1年!B521</f>
        <v>-4.9999999999998934E-3</v>
      </c>
      <c r="C523">
        <f>-中国_中债国债到期收益率_1年!C522+中国_中债国债到期收益率_1年!C521</f>
        <v>2.179999999999982E-2</v>
      </c>
      <c r="D523">
        <f>-中国_中债国债到期收益率_1年!D522+中国_中债国债到期收益率_1年!D521</f>
        <v>1.440000000000019E-2</v>
      </c>
      <c r="E523">
        <f>-中国_中债国债到期收益率_1年!E522+中国_中债国债到期收益率_1年!E521</f>
        <v>1.6000000000000014E-2</v>
      </c>
      <c r="F523">
        <f>-中国_中债国债到期收益率_1年!F522+中国_中债国债到期收益率_1年!F521</f>
        <v>1.6799999999999926E-2</v>
      </c>
      <c r="G523">
        <f>-中国_中债国债到期收益率_1年!G522+中国_中债国债到期收益率_1年!G521</f>
        <v>1.8100000000000005E-2</v>
      </c>
    </row>
    <row r="524" spans="1:7" x14ac:dyDescent="0.25">
      <c r="A524" s="8">
        <v>45474</v>
      </c>
      <c r="B524">
        <f>-中国_中债国债到期收益率_1年!B523+中国_中债国债到期收益率_1年!B522</f>
        <v>1.0000000000000009E-2</v>
      </c>
      <c r="C524">
        <f>-中国_中债国债到期收益率_1年!C523+中国_中债国债到期收益率_1年!C522</f>
        <v>-1.2999999999998568E-3</v>
      </c>
      <c r="D524">
        <f>-中国_中债国债到期收益率_1年!D523+中国_中债国债到期收益率_1年!D522</f>
        <v>2.2999999999999687E-3</v>
      </c>
      <c r="E524">
        <f>-中国_中债国债到期收益率_1年!E523+中国_中债国债到期收益率_1年!E522</f>
        <v>0</v>
      </c>
      <c r="F524">
        <f>-中国_中债国债到期收益率_1年!F523+中国_中债国债到期收益率_1年!F522</f>
        <v>-3.4000000000000696E-3</v>
      </c>
      <c r="G524">
        <f>-中国_中债国债到期收益率_1年!G523+中国_中债国债到期收益率_1年!G522</f>
        <v>-1.6000000000000458E-3</v>
      </c>
    </row>
    <row r="525" spans="1:7" x14ac:dyDescent="0.25">
      <c r="A525" s="8">
        <v>45475</v>
      </c>
      <c r="B525">
        <f>-中国_中债国债到期收益率_1年!B524+中国_中债国债到期收益率_1年!B523</f>
        <v>-1.7500000000000071E-2</v>
      </c>
      <c r="C525">
        <f>-中国_中债国债到期收益率_1年!C524+中国_中债国债到期收益率_1年!C523</f>
        <v>-4.1800000000000059E-2</v>
      </c>
      <c r="D525">
        <f>-中国_中债国债到期收益率_1年!D524+中国_中债国债到期收益率_1年!D523</f>
        <v>-4.2800000000000171E-2</v>
      </c>
      <c r="E525">
        <f>-中国_中债国债到期收益率_1年!E524+中国_中债国债到期收益率_1年!E523</f>
        <v>-5.0000000000000266E-2</v>
      </c>
      <c r="F525">
        <f>-中国_中债国债到期收益率_1年!F524+中国_中债国债到期收益率_1年!F523</f>
        <v>-1.0799999999999921E-2</v>
      </c>
      <c r="G525">
        <f>-中国_中债国债到期收益率_1年!G524+中国_中债国债到期收益率_1年!G523</f>
        <v>-2.6000000000000023E-2</v>
      </c>
    </row>
    <row r="526" spans="1:7" x14ac:dyDescent="0.25">
      <c r="A526" s="8">
        <v>45476</v>
      </c>
      <c r="B526">
        <f>-中国_中债国债到期收益率_1年!B525+中国_中债国债到期收益率_1年!B524</f>
        <v>2.0000000000000018E-2</v>
      </c>
      <c r="C526">
        <f>-中国_中债国债到期收益率_1年!C525+中国_中债国债到期收益率_1年!C524</f>
        <v>3.2499999999999973E-2</v>
      </c>
      <c r="D526">
        <f>-中国_中债国债到期收益率_1年!D525+中国_中债国债到期收益率_1年!D524</f>
        <v>1.1700000000000266E-2</v>
      </c>
      <c r="E526">
        <f>-中国_中债国债到期收益率_1年!E525+中国_中债国债到期收益率_1年!E524</f>
        <v>9.0000000000003411E-3</v>
      </c>
      <c r="F526">
        <f>-中国_中债国债到期收益率_1年!F525+中国_中债国债到期收益率_1年!F524</f>
        <v>-5.5000000000000604E-3</v>
      </c>
      <c r="G526">
        <f>-中国_中债国债到期收益率_1年!G525+中国_中债国债到期收益率_1年!G524</f>
        <v>-2.3999999999999577E-3</v>
      </c>
    </row>
    <row r="527" spans="1:7" x14ac:dyDescent="0.25">
      <c r="A527" s="8">
        <v>45477</v>
      </c>
      <c r="B527">
        <f>-中国_中债国债到期收益率_1年!B526+中国_中债国债到期收益率_1年!B525</f>
        <v>1.2499999999999956E-2</v>
      </c>
      <c r="C527">
        <f>-中国_中债国债到期收益率_1年!C526+中国_中债国债到期收益率_1年!C525</f>
        <v>2.8599999999999959E-2</v>
      </c>
      <c r="D527">
        <f>-中国_中债国债到期收益率_1年!D526+中国_中债国债到期收益率_1年!D525</f>
        <v>-5.7000000000000384E-3</v>
      </c>
      <c r="E527">
        <f>-中国_中债国债到期收益率_1年!E526+中国_中债国债到期收益率_1年!E525</f>
        <v>-4.6000000000003816E-3</v>
      </c>
      <c r="F527">
        <f>-中国_中债国债到期收益率_1年!F526+中国_中债国债到期收益率_1年!F525</f>
        <v>-8.9999999999990088E-4</v>
      </c>
      <c r="G527">
        <f>-中国_中债国债到期收益率_1年!G526+中国_中债国债到期收益率_1年!G525</f>
        <v>1.5000000000000124E-2</v>
      </c>
    </row>
    <row r="528" spans="1:7" x14ac:dyDescent="0.25">
      <c r="A528" s="8">
        <v>45478</v>
      </c>
      <c r="B528">
        <f>-中国_中债国债到期收益率_1年!B527+中国_中债国债到期收益率_1年!B526</f>
        <v>-4.9999999999998934E-3</v>
      </c>
      <c r="C528">
        <f>-中国_中债国债到期收益率_1年!C527+中国_中债国债到期收益率_1年!C526</f>
        <v>-1.2199999999999989E-2</v>
      </c>
      <c r="D528">
        <f>-中国_中债国债到期收益率_1年!D527+中国_中债国债到期收益率_1年!D526</f>
        <v>-7.6000000000000512E-3</v>
      </c>
      <c r="E528">
        <f>-中国_中债国债到期收益率_1年!E527+中国_中债国债到期收益率_1年!E526</f>
        <v>-5.9999999999997833E-3</v>
      </c>
      <c r="F528">
        <f>-中国_中债国债到期收益率_1年!F527+中国_中债国债到期收益率_1年!F526</f>
        <v>-5.9999999999993392E-4</v>
      </c>
      <c r="G528">
        <f>-中国_中债国债到期收益率_1年!G527+中国_中债国债到期收益率_1年!G526</f>
        <v>-1.0299999999999976E-2</v>
      </c>
    </row>
    <row r="529" spans="1:7" x14ac:dyDescent="0.25">
      <c r="A529" s="8">
        <v>45481</v>
      </c>
      <c r="B529">
        <f>-中国_中债国债到期收益率_1年!B528+中国_中债国债到期收益率_1年!B527</f>
        <v>0</v>
      </c>
      <c r="C529">
        <f>-中国_中债国债到期收益率_1年!C528+中国_中债国债到期收益率_1年!C527</f>
        <v>-2.8399999999999981E-2</v>
      </c>
      <c r="D529">
        <f>-中国_中债国债到期收益率_1年!D528+中国_中债国债到期收益率_1年!D527</f>
        <v>-2.5199999999999889E-2</v>
      </c>
      <c r="E529">
        <f>-中国_中债国债到期收益率_1年!E528+中国_中债国债到期收益率_1年!E527</f>
        <v>-3.3199999999999896E-2</v>
      </c>
      <c r="F529">
        <f>-中国_中债国债到期收益率_1年!F528+中国_中债国债到期收益率_1年!F527</f>
        <v>-1.4500000000000179E-2</v>
      </c>
      <c r="G529">
        <f>-中国_中债国债到期收益率_1年!G528+中国_中债国债到期收益率_1年!G527</f>
        <v>-2.0499999999999963E-2</v>
      </c>
    </row>
    <row r="530" spans="1:7" x14ac:dyDescent="0.25">
      <c r="A530" s="8">
        <v>45482</v>
      </c>
      <c r="B530">
        <f>-中国_中债国债到期收益率_1年!B529+中国_中债国债到期收益率_1年!B528</f>
        <v>-5.0000000000000044E-2</v>
      </c>
      <c r="C530">
        <f>-中国_中债国债到期收益率_1年!C529+中国_中债国债到期收益率_1年!C528</f>
        <v>-3.5199999999999898E-2</v>
      </c>
      <c r="D530">
        <f>-中国_中债国债到期收益率_1年!D529+中国_中债国债到期收益率_1年!D528</f>
        <v>-1.5000000000000124E-2</v>
      </c>
      <c r="E530">
        <f>-中国_中债国债到期收益率_1年!E529+中国_中债国债到期收益率_1年!E528</f>
        <v>-7.5000000000002842E-3</v>
      </c>
      <c r="F530">
        <f>-中国_中债国债到期收益率_1年!F529+中国_中债国债到期收益率_1年!F528</f>
        <v>-2.5299999999999878E-2</v>
      </c>
      <c r="G530">
        <f>-中国_中债国债到期收益率_1年!G529+中国_中债国债到期收益率_1年!G528</f>
        <v>-3.8800000000000168E-2</v>
      </c>
    </row>
    <row r="531" spans="1:7" x14ac:dyDescent="0.25">
      <c r="A531" s="8">
        <v>45483</v>
      </c>
      <c r="B531">
        <f>-中国_中债国债到期收益率_1年!B530+中国_中债国债到期收益率_1年!B529</f>
        <v>2.4999999999999911E-2</v>
      </c>
      <c r="C531">
        <f>-中国_中债国债到期收益率_1年!C530+中国_中债国债到期收益率_1年!C529</f>
        <v>2.729999999999988E-2</v>
      </c>
      <c r="D531">
        <f>-中国_中债国债到期收益率_1年!D530+中国_中债国债到期收益率_1年!D529</f>
        <v>2.0599999999999952E-2</v>
      </c>
      <c r="E531">
        <f>-中国_中债国债到期收益率_1年!E530+中国_中债国债到期收益率_1年!E529</f>
        <v>1.880000000000015E-2</v>
      </c>
      <c r="F531">
        <f>-中国_中债国债到期收益率_1年!F530+中国_中债国债到期收益率_1年!F529</f>
        <v>1.8999999999999906E-2</v>
      </c>
      <c r="G531">
        <f>-中国_中债国债到期收益率_1年!G530+中国_中债国债到期收益率_1年!G529</f>
        <v>3.1299999999999883E-2</v>
      </c>
    </row>
    <row r="532" spans="1:7" x14ac:dyDescent="0.25">
      <c r="A532" s="8">
        <v>45484</v>
      </c>
      <c r="B532">
        <f>-中国_中债国债到期收益率_1年!B531+中国_中债国债到期收益率_1年!B530</f>
        <v>2.4999999999999467E-3</v>
      </c>
      <c r="C532">
        <f>-中国_中债国债到期收益率_1年!C531+中国_中债国债到期收益率_1年!C530</f>
        <v>-5.7000000000000384E-3</v>
      </c>
      <c r="D532">
        <f>-中国_中债国债到期收益率_1年!D531+中国_中债国债到期收益率_1年!D530</f>
        <v>-9.0000000000012292E-4</v>
      </c>
      <c r="E532">
        <f>-中国_中债国债到期收益率_1年!E531+中国_中债国债到期收益率_1年!E530</f>
        <v>-5.1000000000001044E-3</v>
      </c>
      <c r="F532">
        <f>-中国_中债国债到期收益率_1年!F531+中国_中债国债到期收益率_1年!F530</f>
        <v>9.000000000000119E-3</v>
      </c>
      <c r="G532">
        <f>-中国_中债国债到期收益率_1年!G531+中国_中债国债到期收益率_1年!G530</f>
        <v>1.0000000000000231E-2</v>
      </c>
    </row>
    <row r="533" spans="1:7" x14ac:dyDescent="0.25">
      <c r="A533" s="8">
        <v>45485</v>
      </c>
      <c r="B533">
        <f>-中国_中债国债到期收益率_1年!B532+中国_中债国债到期收益率_1年!B531</f>
        <v>1.2500000000000178E-2</v>
      </c>
      <c r="C533">
        <f>-中国_中债国债到期收益率_1年!C532+中国_中债国债到期收益率_1年!C531</f>
        <v>6.6999999999999282E-3</v>
      </c>
      <c r="D533">
        <f>-中国_中债国债到期收益率_1年!D532+中国_中债国债到期收益率_1年!D531</f>
        <v>5.9000000000000163E-3</v>
      </c>
      <c r="E533">
        <f>-中国_中债国债到期收益率_1年!E532+中国_中债国债到期收益率_1年!E531</f>
        <v>4.3000000000001926E-3</v>
      </c>
      <c r="F533">
        <f>-中国_中债国债到期收益率_1年!F532+中国_中债国债到期收益率_1年!F531</f>
        <v>1.0399999999999965E-2</v>
      </c>
      <c r="G533">
        <f>-中国_中债国债到期收益率_1年!G532+中国_中债国债到期收益率_1年!G531</f>
        <v>1.21E-2</v>
      </c>
    </row>
    <row r="534" spans="1:7" x14ac:dyDescent="0.25">
      <c r="A534" s="8">
        <v>45488</v>
      </c>
      <c r="B534">
        <f>-中国_中债国债到期收益率_1年!B533+中国_中债国债到期收益率_1年!B532</f>
        <v>0</v>
      </c>
      <c r="C534">
        <f>-中国_中债国债到期收益率_1年!C533+中国_中债国债到期收益率_1年!C532</f>
        <v>4.8000000000003595E-3</v>
      </c>
      <c r="D534">
        <f>-中国_中债国债到期收益率_1年!D533+中国_中债国债到期收益率_1年!D532</f>
        <v>4.3999999999999595E-3</v>
      </c>
      <c r="E534">
        <f>-中国_中债国债到期收益率_1年!E533+中国_中债国债到期收益率_1年!E532</f>
        <v>1.0399999999999743E-2</v>
      </c>
      <c r="F534">
        <f>-中国_中债国债到期收益率_1年!F533+中国_中债国债到期收益率_1年!F532</f>
        <v>1.1099999999999888E-2</v>
      </c>
      <c r="G534">
        <f>-中国_中债国债到期收益率_1年!G533+中国_中债国债到期收益率_1年!G532</f>
        <v>1.6699999999999937E-2</v>
      </c>
    </row>
    <row r="535" spans="1:7" x14ac:dyDescent="0.25">
      <c r="A535" s="8">
        <v>45489</v>
      </c>
      <c r="B535">
        <f>-中国_中债国债到期收益率_1年!B534+中国_中债国债到期收益率_1年!B533</f>
        <v>2.4999999999999467E-3</v>
      </c>
      <c r="C535">
        <f>-中国_中债国债到期收益率_1年!C534+中国_中债国债到期收益率_1年!C533</f>
        <v>1.2499999999999734E-2</v>
      </c>
      <c r="D535">
        <f>-中国_中债国债到期收益率_1年!D534+中国_中债国债到期收益率_1年!D533</f>
        <v>6.2999999999999723E-3</v>
      </c>
      <c r="E535">
        <f>-中国_中债国债到期收益率_1年!E534+中国_中债国债到期收益率_1年!E533</f>
        <v>1.4900000000000357E-2</v>
      </c>
      <c r="F535">
        <f>-中国_中债国债到期收益率_1年!F534+中国_中债国债到期收益率_1年!F533</f>
        <v>-4.8999999999999044E-3</v>
      </c>
      <c r="G535">
        <f>-中国_中债国债到期收益率_1年!G534+中国_中债国债到期收益率_1年!G533</f>
        <v>2.1999999999999797E-3</v>
      </c>
    </row>
    <row r="536" spans="1:7" x14ac:dyDescent="0.25">
      <c r="A536" s="8">
        <v>45490</v>
      </c>
      <c r="B536">
        <f>-中国_中债国债到期收益率_1年!B535+中国_中债国债到期收益率_1年!B534</f>
        <v>7.5000000000000622E-3</v>
      </c>
      <c r="C536">
        <f>-中国_中债国债到期收益率_1年!C535+中国_中债国债到期收益率_1年!C534</f>
        <v>5.0000000000001155E-3</v>
      </c>
      <c r="D536">
        <f>-中国_中债国债到期收益率_1年!D535+中国_中债国债到期收益率_1年!D534</f>
        <v>-7.1999999999996511E-3</v>
      </c>
      <c r="E536">
        <f>-中国_中债国债到期收益率_1年!E535+中国_中债国债到期收益率_1年!E534</f>
        <v>-2.9000000000003467E-3</v>
      </c>
      <c r="F536">
        <f>-中国_中债国债到期收益率_1年!F535+中国_中债国债到期收益率_1年!F534</f>
        <v>-3.9000000000000146E-3</v>
      </c>
      <c r="G536">
        <f>-中国_中债国债到期收益率_1年!G535+中国_中债国债到期收益率_1年!G534</f>
        <v>-8.899999999999908E-3</v>
      </c>
    </row>
    <row r="537" spans="1:7" x14ac:dyDescent="0.25">
      <c r="A537" s="8">
        <v>45491</v>
      </c>
      <c r="B537">
        <f>-中国_中债国债到期收益率_1年!B536+中国_中债国债到期收益率_1年!B535</f>
        <v>4.9999999999998934E-3</v>
      </c>
      <c r="C537">
        <f>-中国_中债国债到期收益率_1年!C536+中国_中债国债到期收益率_1年!C535</f>
        <v>2.6200000000000001E-2</v>
      </c>
      <c r="D537">
        <f>-中国_中债国债到期收益率_1年!D536+中国_中债国债到期收益率_1年!D535</f>
        <v>1.5000000000000568E-3</v>
      </c>
      <c r="E537">
        <f>-中国_中债国债到期收益率_1年!E536+中国_中债国债到期收益率_1年!E535</f>
        <v>-1.0999999999996568E-3</v>
      </c>
      <c r="F537">
        <f>-中国_中债国债到期收益率_1年!F536+中国_中债国债到期收益率_1年!F535</f>
        <v>1.9000000000000128E-3</v>
      </c>
      <c r="G537">
        <f>-中国_中债国债到期收益率_1年!G536+中国_中债国债到期收益率_1年!G535</f>
        <v>4.9999999999998934E-3</v>
      </c>
    </row>
    <row r="538" spans="1:7" x14ac:dyDescent="0.25">
      <c r="A538" s="8">
        <v>45492</v>
      </c>
      <c r="B538">
        <f>-中国_中债国债到期收益率_1年!B537+中国_中债国债到期收益率_1年!B536</f>
        <v>-7.5000000000000622E-3</v>
      </c>
      <c r="C538">
        <f>-中国_中债国债到期收益率_1年!C537+中国_中债国债到期收益率_1年!C536</f>
        <v>-2.8000000000001357E-3</v>
      </c>
      <c r="D538">
        <f>-中国_中债国债到期收益率_1年!D537+中国_中债国债到期收益率_1年!D536</f>
        <v>-7.5000000000002842E-3</v>
      </c>
      <c r="E538">
        <f>-中国_中债国债到期收益率_1年!E537+中国_中债国债到期收益率_1年!E536</f>
        <v>-8.90000000000013E-3</v>
      </c>
      <c r="F538">
        <f>-中国_中债国债到期收益率_1年!F537+中国_中债国债到期收益率_1年!F536</f>
        <v>3.4000000000000696E-3</v>
      </c>
      <c r="G538">
        <f>-中国_中债国债到期收益率_1年!G537+中国_中债国债到期收益率_1年!G536</f>
        <v>-2.0000000000000018E-3</v>
      </c>
    </row>
    <row r="539" spans="1:7" x14ac:dyDescent="0.25">
      <c r="A539" s="8">
        <v>45495</v>
      </c>
      <c r="B539">
        <f>-中国_中债国债到期收益率_1年!B538+中国_中债国债到期收益率_1年!B537</f>
        <v>5.0000000000001155E-3</v>
      </c>
      <c r="C539">
        <f>-中国_中债国债到期收益率_1年!C538+中国_中债国债到期收益率_1年!C537</f>
        <v>7.3000000000000842E-3</v>
      </c>
      <c r="D539">
        <f>-中国_中债国债到期收益率_1年!D538+中国_中债国债到期收益率_1年!D537</f>
        <v>5.9000000000000163E-3</v>
      </c>
      <c r="E539">
        <f>-中国_中债国债到期收益率_1年!E538+中国_中债国债到期收益率_1年!E537</f>
        <v>5.9000000000000163E-3</v>
      </c>
      <c r="F539">
        <f>-中国_中债国债到期收益率_1年!F538+中国_中债国债到期收益率_1年!F537</f>
        <v>9.099999999999886E-3</v>
      </c>
      <c r="G539">
        <f>-中国_中债国债到期收益率_1年!G538+中国_中债国债到期收益率_1年!G537</f>
        <v>1.3100000000000112E-2</v>
      </c>
    </row>
    <row r="540" spans="1:7" x14ac:dyDescent="0.25">
      <c r="A540" s="8">
        <v>45496</v>
      </c>
      <c r="B540">
        <f>-中国_中债国债到期收益率_1年!B539+中国_中债国债到期收益率_1年!B538</f>
        <v>3.8499999999999979E-2</v>
      </c>
      <c r="C540">
        <f>-中国_中债国债到期收益率_1年!C539+中国_中债国债到期收益率_1年!C538</f>
        <v>3.9300000000000113E-2</v>
      </c>
      <c r="D540">
        <f>-中国_中债国债到期收益率_1年!D539+中国_中债国债到期收益率_1年!D538</f>
        <v>1.5299999999999869E-2</v>
      </c>
      <c r="E540">
        <f>-中国_中债国债到期收益率_1年!E539+中国_中债国债到期收益率_1年!E538</f>
        <v>1.2999999999999901E-2</v>
      </c>
      <c r="F540">
        <f>-中国_中债国债到期收益率_1年!F539+中国_中债国债到期收益率_1年!F538</f>
        <v>6.4400000000000013E-2</v>
      </c>
      <c r="G540">
        <f>-中国_中债国债到期收益率_1年!G539+中国_中债国债到期收益率_1年!G538</f>
        <v>5.0499999999999989E-2</v>
      </c>
    </row>
    <row r="541" spans="1:7" x14ac:dyDescent="0.25">
      <c r="A541" s="8">
        <v>45497</v>
      </c>
      <c r="B541">
        <f>-中国_中债国债到期收益率_1年!B540+中国_中债国债到期收益率_1年!B539</f>
        <v>1.7500000000000071E-2</v>
      </c>
      <c r="C541">
        <f>-中国_中债国债到期收益率_1年!C540+中国_中债国债到期收益率_1年!C539</f>
        <v>2.2299999999999986E-2</v>
      </c>
      <c r="D541">
        <f>-中国_中债国债到期收益率_1年!D540+中国_中债国债到期收益率_1年!D539</f>
        <v>1.3900000000000023E-2</v>
      </c>
      <c r="E541">
        <f>-中国_中债国债到期收益率_1年!E540+中国_中债国债到期收益率_1年!E539</f>
        <v>2.0999999999999908E-3</v>
      </c>
      <c r="F541">
        <f>-中国_中债国债到期收益率_1年!F540+中国_中债国债到期收益率_1年!F539</f>
        <v>1.0299999999999976E-2</v>
      </c>
      <c r="G541">
        <f>-中国_中债国债到期收益率_1年!G540+中国_中债国债到期收益率_1年!G539</f>
        <v>2.0000000000000018E-2</v>
      </c>
    </row>
    <row r="542" spans="1:7" x14ac:dyDescent="0.25">
      <c r="A542" s="8">
        <v>45498</v>
      </c>
      <c r="B542">
        <f>-中国_中债国债到期收益率_1年!B541+中国_中债国债到期收益率_1年!B540</f>
        <v>4.9999999999998934E-3</v>
      </c>
      <c r="C542">
        <f>-中国_中债国债到期收益率_1年!C541+中国_中债国债到期收益率_1年!C540</f>
        <v>-5.4000000000000714E-3</v>
      </c>
      <c r="D542">
        <f>-中国_中债国债到期收益率_1年!D541+中国_中债国债到期收益率_1年!D540</f>
        <v>-5.9000000000000163E-3</v>
      </c>
      <c r="E542">
        <f>-中国_中债国债到期收益率_1年!E541+中国_中债国债到期收益率_1年!E540</f>
        <v>1.5000000000000568E-3</v>
      </c>
      <c r="F542">
        <f>-中国_中债国债到期收益率_1年!F541+中国_中债国债到期收益率_1年!F540</f>
        <v>4.1999999999999815E-3</v>
      </c>
      <c r="G542">
        <f>-中国_中债国债到期收益率_1年!G541+中国_中债国债到期收益率_1年!G540</f>
        <v>7.7999999999998071E-3</v>
      </c>
    </row>
    <row r="543" spans="1:7" x14ac:dyDescent="0.25">
      <c r="A543" s="8">
        <v>45499</v>
      </c>
      <c r="B543">
        <f>-中国_中债国债到期收益率_1年!B542+中国_中债国债到期收益率_1年!B541</f>
        <v>4.9999999999994493E-4</v>
      </c>
      <c r="C543">
        <f>-中国_中债国债到期收益率_1年!C542+中国_中债国债到期收益率_1年!C541</f>
        <v>4.8999999999999044E-3</v>
      </c>
      <c r="D543">
        <f>-中国_中债国债到期收益率_1年!D542+中国_中债国债到期收益率_1年!D541</f>
        <v>2.1300000000000097E-2</v>
      </c>
      <c r="E543">
        <f>-中国_中债国债到期收益率_1年!E542+中国_中债国债到期收益率_1年!E541</f>
        <v>3.1899999999999817E-2</v>
      </c>
      <c r="F543">
        <f>-中国_中债国债到期收益率_1年!F542+中国_中债国债到期收益率_1年!F541</f>
        <v>4.8000000000001375E-3</v>
      </c>
      <c r="G543">
        <f>-中国_中债国债到期收益率_1年!G542+中国_中债国债到期收益率_1年!G541</f>
        <v>2.1300000000000097E-2</v>
      </c>
    </row>
    <row r="544" spans="1:7" x14ac:dyDescent="0.25">
      <c r="A544" s="8">
        <v>45502</v>
      </c>
      <c r="B544">
        <f>-中国_中债国债到期收益率_1年!B543+中国_中债国债到期收益率_1年!B542</f>
        <v>-1.1900000000000022E-2</v>
      </c>
      <c r="C544">
        <f>-中国_中债国债到期收益率_1年!C543+中国_中债国债到期收益率_1年!C542</f>
        <v>-5.2999999999998604E-3</v>
      </c>
      <c r="D544">
        <f>-中国_中债国债到期收益率_1年!D543+中国_中债国债到期收益率_1年!D542</f>
        <v>2.2400000000000198E-2</v>
      </c>
      <c r="E544">
        <f>-中国_中债国债到期收益率_1年!E543+中国_中债国债到期收益率_1年!E542</f>
        <v>1.3100000000000112E-2</v>
      </c>
      <c r="F544">
        <f>-中国_中债国债到期收益率_1年!F543+中国_中债国债到期收益率_1年!F542</f>
        <v>1.8000000000000238E-3</v>
      </c>
      <c r="G544">
        <f>-中国_中债国债到期收益率_1年!G543+中国_中债国债到期收益率_1年!G542</f>
        <v>1.9999999999997797E-4</v>
      </c>
    </row>
    <row r="545" spans="1:7" x14ac:dyDescent="0.25">
      <c r="A545" s="8">
        <v>45503</v>
      </c>
      <c r="B545">
        <f>-中国_中债国债到期收益率_1年!B544+中国_中债国债到期收益率_1年!B543</f>
        <v>2.6900000000000146E-2</v>
      </c>
      <c r="C545">
        <f>-中国_中债国债到期收益率_1年!C544+中国_中债国债到期收益率_1年!C543</f>
        <v>4.2999999999999705E-3</v>
      </c>
      <c r="D545">
        <f>-中国_中债国债到期收益率_1年!D544+中国_中债国债到期收益率_1年!D543</f>
        <v>3.6999999999999922E-2</v>
      </c>
      <c r="E545">
        <f>-中国_中债国债到期收益率_1年!E544+中国_中债国债到期收益率_1年!E543</f>
        <v>3.2599999999999962E-2</v>
      </c>
      <c r="F545">
        <f>-中国_中债国债到期收益率_1年!F544+中国_中债国债到期收益率_1年!F543</f>
        <v>7.9999999999991189E-4</v>
      </c>
      <c r="G545">
        <f>-中国_中债国债到期收益率_1年!G544+中国_中债国债到期收益率_1年!G543</f>
        <v>2.5999999999999357E-3</v>
      </c>
    </row>
    <row r="546" spans="1:7" x14ac:dyDescent="0.25">
      <c r="A546" s="8">
        <v>45504</v>
      </c>
      <c r="B546">
        <f>-中国_中债国债到期收益率_1年!B545+中国_中债国债到期收益率_1年!B544</f>
        <v>2.0000000000000018E-2</v>
      </c>
      <c r="C546">
        <f>-中国_中债国债到期收益率_1年!C545+中国_中债国债到期收益率_1年!C544</f>
        <v>9.7000000000000419E-3</v>
      </c>
      <c r="D546">
        <f>-中国_中债国债到期收益率_1年!D545+中国_中债国债到期收益率_1年!D544</f>
        <v>9.3999999999998529E-3</v>
      </c>
      <c r="E546">
        <f>-中国_中债国债到期收益率_1年!E545+中国_中债国债到期收益率_1年!E544</f>
        <v>1.3500000000000068E-2</v>
      </c>
      <c r="F546">
        <f>-中国_中债国债到期收益率_1年!F545+中国_中债国债到期收益率_1年!F544</f>
        <v>1.0299999999999976E-2</v>
      </c>
      <c r="G546">
        <f>-中国_中债国债到期收益率_1年!G545+中国_中债国债到期收益率_1年!G544</f>
        <v>7.5000000000000622E-3</v>
      </c>
    </row>
    <row r="547" spans="1:7" x14ac:dyDescent="0.25">
      <c r="A547" s="8">
        <v>45505</v>
      </c>
      <c r="B547">
        <f>-中国_中债国债到期收益率_1年!B546+中国_中债国债到期收益率_1年!B545</f>
        <v>9.9000000000000199E-3</v>
      </c>
      <c r="C547">
        <f>-中国_中债国债到期收益率_1年!C546+中国_中债国债到期收益率_1年!C545</f>
        <v>3.4599999999999964E-2</v>
      </c>
      <c r="D547">
        <f>-中国_中债国债到期收益率_1年!D546+中国_中债国债到期收益率_1年!D545</f>
        <v>-1.3999999999998458E-3</v>
      </c>
      <c r="E547">
        <f>-中国_中债国债到期收益率_1年!E546+中国_中债国债到期收益率_1年!E545</f>
        <v>-5.9999999999997833E-3</v>
      </c>
      <c r="F547">
        <f>-中国_中债国债到期收益率_1年!F546+中国_中债国债到期收益率_1年!F545</f>
        <v>2.1400000000000086E-2</v>
      </c>
      <c r="G547">
        <f>-中国_中债国债到期收益率_1年!G546+中国_中债国债到期收益率_1年!G545</f>
        <v>2.1600000000000064E-2</v>
      </c>
    </row>
    <row r="548" spans="1:7" x14ac:dyDescent="0.25">
      <c r="A548" s="8">
        <v>45506</v>
      </c>
      <c r="B548">
        <f>-中国_中债国债到期收益率_1年!B547+中国_中债国债到期收益率_1年!B546</f>
        <v>1.0000000000000009E-2</v>
      </c>
      <c r="C548">
        <f>-中国_中债国债到期收益率_1年!C547+中国_中债国债到期收益率_1年!C546</f>
        <v>2.2799999999999931E-2</v>
      </c>
      <c r="D548">
        <f>-中国_中债国债到期收益率_1年!D547+中国_中债国债到期收益率_1年!D546</f>
        <v>1.9699999999999829E-2</v>
      </c>
      <c r="E548">
        <f>-中国_中债国债到期收益率_1年!E547+中国_中债国债到期收益率_1年!E546</f>
        <v>1.739999999999986E-2</v>
      </c>
      <c r="F548">
        <f>-中国_中债国债到期收益率_1年!F547+中国_中债国债到期收益率_1年!F546</f>
        <v>-3.00000000000189E-4</v>
      </c>
      <c r="G548">
        <f>-中国_中债国债到期收益率_1年!G547+中国_中债国债到期收益率_1年!G546</f>
        <v>8.799999999999919E-3</v>
      </c>
    </row>
    <row r="549" spans="1:7" x14ac:dyDescent="0.25">
      <c r="A549" s="8">
        <v>45509</v>
      </c>
      <c r="B549">
        <f>-中国_中债国债到期收益率_1年!B548+中国_中债国债到期收益率_1年!B547</f>
        <v>2.0000000000000018E-2</v>
      </c>
      <c r="C549">
        <f>-中国_中债国债到期收益率_1年!C548+中国_中债国债到期收益率_1年!C547</f>
        <v>7.4000000000000732E-3</v>
      </c>
      <c r="D549">
        <f>-中国_中债国债到期收益率_1年!D548+中国_中债国债到期收益率_1年!D547</f>
        <v>2.0000000000002238E-3</v>
      </c>
      <c r="E549">
        <f>-中国_中债国债到期收益率_1年!E548+中国_中债国债到期收益率_1年!E547</f>
        <v>1.8600000000000172E-2</v>
      </c>
      <c r="F549">
        <f>-中国_中债国债到期收益率_1年!F548+中国_中债国债到期收益率_1年!F547</f>
        <v>5.3000000000000824E-3</v>
      </c>
      <c r="G549">
        <f>-中国_中债国债到期收益率_1年!G548+中国_中债国债到期收益率_1年!G547</f>
        <v>8.90000000000013E-3</v>
      </c>
    </row>
    <row r="550" spans="1:7" x14ac:dyDescent="0.25">
      <c r="A550" s="8">
        <v>45510</v>
      </c>
      <c r="B550">
        <f>-中国_中债国债到期收益率_1年!B549+中国_中债国债到期收益率_1年!B548</f>
        <v>-1.0000000000021103E-4</v>
      </c>
      <c r="C550">
        <f>-中国_中债国债到期收益率_1年!C549+中国_中债国债到期收益率_1年!C548</f>
        <v>4.3999999999999595E-3</v>
      </c>
      <c r="D550">
        <f>-中国_中债国债到期收益率_1年!D549+中国_中债国债到期收益率_1年!D548</f>
        <v>-9.9000000000000199E-3</v>
      </c>
      <c r="E550">
        <f>-中国_中债国债到期收益率_1年!E549+中国_中债国债到期收益率_1年!E548</f>
        <v>8.999999999999897E-3</v>
      </c>
      <c r="F550">
        <f>-中国_中债国债到期收益率_1年!F549+中国_中债国债到期收益率_1年!F548</f>
        <v>1.3000000000000789E-3</v>
      </c>
      <c r="G550">
        <f>-中国_中债国债到期收益率_1年!G549+中国_中债国债到期收益率_1年!G548</f>
        <v>1.1599999999999833E-2</v>
      </c>
    </row>
    <row r="551" spans="1:7" x14ac:dyDescent="0.25">
      <c r="A551" s="8">
        <v>45511</v>
      </c>
      <c r="B551">
        <f>-中国_中债国债到期收益率_1年!B550+中国_中债国债到期收益率_1年!B549</f>
        <v>-2.0100000000000007E-2</v>
      </c>
      <c r="C551">
        <f>-中国_中债国债到期收益率_1年!C550+中国_中债国债到期收益率_1年!C549</f>
        <v>-2.5999999999999357E-3</v>
      </c>
      <c r="D551">
        <f>-中国_中债国债到期收益率_1年!D550+中国_中债国债到期收益率_1年!D549</f>
        <v>-1.1499999999999844E-2</v>
      </c>
      <c r="E551">
        <f>-中国_中债国债到期收益率_1年!E550+中国_中债国债到期收益率_1年!E549</f>
        <v>-1.7500000000000071E-2</v>
      </c>
      <c r="F551">
        <f>-中国_中债国债到期收益率_1年!F550+中国_中债国债到期收益率_1年!F549</f>
        <v>-1.4299999999999979E-2</v>
      </c>
      <c r="G551">
        <f>-中国_中债国债到期收益率_1年!G550+中国_中债国债到期收益率_1年!G549</f>
        <v>-2.729999999999988E-2</v>
      </c>
    </row>
    <row r="552" spans="1:7" x14ac:dyDescent="0.25">
      <c r="A552" s="8">
        <v>45512</v>
      </c>
      <c r="B552">
        <f>-中国_中债国债到期收益率_1年!B551+中国_中债国债到期收益率_1年!B550</f>
        <v>3.8000000000000256E-3</v>
      </c>
      <c r="C552">
        <f>-中国_中债国债到期收益率_1年!C551+中国_中债国债到期收益率_1年!C550</f>
        <v>1.7499999999999849E-2</v>
      </c>
      <c r="D552">
        <f>-中国_中债国债到期收益率_1年!D551+中国_中债国债到期收益率_1年!D550</f>
        <v>7.6999999999998181E-3</v>
      </c>
      <c r="E552">
        <f>-中国_中债国债到期收益率_1年!E551+中国_中债国债到期收益率_1年!E550</f>
        <v>2.0000000000000018E-2</v>
      </c>
      <c r="F552">
        <f>-中国_中债国债到期收益率_1年!F551+中国_中债国债到期收益率_1年!F550</f>
        <v>2.2999999999999687E-3</v>
      </c>
      <c r="G552">
        <f>-中国_中债国债到期收益率_1年!G551+中国_中债国债到期收益率_1年!G550</f>
        <v>1.2899999999999912E-2</v>
      </c>
    </row>
    <row r="553" spans="1:7" x14ac:dyDescent="0.25">
      <c r="A553" s="8">
        <v>45513</v>
      </c>
      <c r="B553">
        <f>-中国_中债国债到期收益率_1年!B552+中国_中债国债到期收益率_1年!B551</f>
        <v>-2.0299999999999985E-2</v>
      </c>
      <c r="C553">
        <f>-中国_中债国债到期收益率_1年!C552+中国_中债国债到期收益率_1年!C551</f>
        <v>-3.5399999999999876E-2</v>
      </c>
      <c r="D553">
        <f>-中国_中债国债到期收益率_1年!D552+中国_中债国债到期收益率_1年!D551</f>
        <v>-3.960000000000008E-2</v>
      </c>
      <c r="E553">
        <f>-中国_中债国债到期收益率_1年!E552+中国_中债国债到期收益率_1年!E551</f>
        <v>-3.5000000000000142E-2</v>
      </c>
      <c r="F553">
        <f>-中国_中债国债到期收益率_1年!F552+中国_中债国债到期收益率_1年!F551</f>
        <v>-1.880000000000015E-2</v>
      </c>
      <c r="G553">
        <f>-中国_中债国债到期收益率_1年!G552+中国_中债国债到期收益率_1年!G551</f>
        <v>-2.5900000000000034E-2</v>
      </c>
    </row>
    <row r="554" spans="1:7" x14ac:dyDescent="0.25">
      <c r="A554" s="8">
        <v>45516</v>
      </c>
      <c r="B554">
        <f>-中国_中债国债到期收益率_1年!B553+中国_中债国债到期收益率_1年!B552</f>
        <v>-2.9399999999999871E-2</v>
      </c>
      <c r="C554">
        <f>-中国_中债国债到期收益率_1年!C553+中国_中债国债到期收益率_1年!C552</f>
        <v>-3.5700000000000065E-2</v>
      </c>
      <c r="D554">
        <f>-中国_中债国债到期收益率_1年!D553+中国_中债国债到期收益率_1年!D552</f>
        <v>-1.7599999999999838E-2</v>
      </c>
      <c r="E554">
        <f>-中国_中债国债到期收益率_1年!E553+中国_中债国债到期收益率_1年!E552</f>
        <v>-9.9999999999997868E-3</v>
      </c>
      <c r="F554">
        <f>-中国_中债国债到期收益率_1年!F553+中国_中债国债到期收益率_1年!F552</f>
        <v>-1.4399999999999968E-2</v>
      </c>
      <c r="G554">
        <f>-中国_中债国债到期收益率_1年!G553+中国_中债国债到期收益率_1年!G552</f>
        <v>-1.959999999999984E-2</v>
      </c>
    </row>
    <row r="555" spans="1:7" x14ac:dyDescent="0.25">
      <c r="A555" s="8">
        <v>45517</v>
      </c>
      <c r="B555">
        <f>-中国_中债国债到期收益率_1年!B554+中国_中债国债到期收益率_1年!B553</f>
        <v>-7.2100000000000053E-2</v>
      </c>
      <c r="C555">
        <f>-中国_中债国债到期收益率_1年!C554+中国_中债国债到期收益率_1年!C553</f>
        <v>-6.5199999999999925E-2</v>
      </c>
      <c r="D555">
        <f>-中国_中债国债到期收益率_1年!D554+中国_中债国债到期收益率_1年!D553</f>
        <v>-5.2200000000000024E-2</v>
      </c>
      <c r="E555">
        <f>-中国_中债国债到期收益率_1年!E554+中国_中债国债到期收益率_1年!E553</f>
        <v>-5.500000000000016E-2</v>
      </c>
      <c r="F555">
        <f>-中国_中债国债到期收益率_1年!F554+中国_中债国债到期收益率_1年!F553</f>
        <v>-3.3699999999999841E-2</v>
      </c>
      <c r="G555">
        <f>-中国_中债国债到期收益率_1年!G554+中国_中债国债到期收益率_1年!G553</f>
        <v>-3.3300000000000107E-2</v>
      </c>
    </row>
    <row r="556" spans="1:7" x14ac:dyDescent="0.25">
      <c r="A556" s="8">
        <v>45518</v>
      </c>
      <c r="B556">
        <f>-中国_中债国债到期收益率_1年!B555+中国_中债国债到期收益率_1年!B554</f>
        <v>2.750000000000008E-2</v>
      </c>
      <c r="C556">
        <f>-中国_中债国债到期收益率_1年!C555+中国_中债国债到期收益率_1年!C554</f>
        <v>3.4699999999999953E-2</v>
      </c>
      <c r="D556">
        <f>-中国_中债国债到期收益率_1年!D555+中国_中债国债到期收益率_1年!D554</f>
        <v>2.53000000000001E-2</v>
      </c>
      <c r="E556">
        <f>-中国_中债国债到期收益率_1年!E555+中国_中债国债到期收益率_1年!E554</f>
        <v>2.7499999999999858E-2</v>
      </c>
      <c r="F556">
        <f>-中国_中债国债到期收益率_1年!F555+中国_中债国债到期收益率_1年!F554</f>
        <v>2.3299999999999876E-2</v>
      </c>
      <c r="G556">
        <f>-中国_中债国债到期收益率_1年!G555+中国_中债国债到期收益率_1年!G554</f>
        <v>3.4899999999999931E-2</v>
      </c>
    </row>
    <row r="557" spans="1:7" x14ac:dyDescent="0.25">
      <c r="A557" s="8">
        <v>45519</v>
      </c>
      <c r="B557">
        <f>-中国_中债国债到期收益率_1年!B556+中国_中债国债到期收益率_1年!B555</f>
        <v>-5.1000000000001044E-3</v>
      </c>
      <c r="C557">
        <f>-中国_中债国债到期收益率_1年!C556+中国_中债国债到期收益率_1年!C555</f>
        <v>1.5300000000000091E-2</v>
      </c>
      <c r="D557">
        <f>-中国_中债国债到期收益率_1年!D556+中国_中债国债到期收益率_1年!D555</f>
        <v>2.8899999999999704E-2</v>
      </c>
      <c r="E557">
        <f>-中国_中债国债到期收益率_1年!E556+中国_中债国债到期收益率_1年!E555</f>
        <v>3.2399999999999984E-2</v>
      </c>
      <c r="F557">
        <f>-中国_中债国债到期收益率_1年!F556+中国_中债国债到期收益率_1年!F555</f>
        <v>2.8900000000000148E-2</v>
      </c>
      <c r="G557">
        <f>-中国_中债国债到期收益率_1年!G556+中国_中债国债到期收益率_1年!G555</f>
        <v>3.5600000000000076E-2</v>
      </c>
    </row>
    <row r="558" spans="1:7" x14ac:dyDescent="0.25">
      <c r="A558" s="8">
        <v>45520</v>
      </c>
      <c r="B558">
        <f>-中国_中债国债到期收益率_1年!B557+中国_中债国债到期收益率_1年!B556</f>
        <v>-1.519999999999988E-2</v>
      </c>
      <c r="C558">
        <f>-中国_中债国债到期收益率_1年!C557+中国_中债国债到期收益率_1年!C556</f>
        <v>-2.0000000000000018E-2</v>
      </c>
      <c r="D558">
        <f>-中国_中债国债到期收益率_1年!D557+中国_中债国债到期收益率_1年!D556</f>
        <v>-8.3999999999999631E-3</v>
      </c>
      <c r="E558">
        <f>-中国_中债国债到期收益率_1年!E557+中国_中债国债到期收益率_1年!E556</f>
        <v>-1.4899999999999913E-2</v>
      </c>
      <c r="F558">
        <f>-中国_中债国债到期收益率_1年!F557+中国_中债国债到期收益率_1年!F556</f>
        <v>-1.3500000000000068E-2</v>
      </c>
      <c r="G558">
        <f>-中国_中债国债到期收益率_1年!G557+中国_中债国债到期收益率_1年!G556</f>
        <v>-8.899999999999908E-3</v>
      </c>
    </row>
    <row r="559" spans="1:7" x14ac:dyDescent="0.25">
      <c r="A559" s="8">
        <v>45523</v>
      </c>
      <c r="B559">
        <f>-中国_中债国债到期收益率_1年!B558+中国_中债国债到期收益率_1年!B557</f>
        <v>-1.3000000000000123E-2</v>
      </c>
      <c r="C559">
        <f>-中国_中债国债到期收益率_1年!C558+中国_中债国债到期收益率_1年!C557</f>
        <v>1.5700000000000047E-2</v>
      </c>
      <c r="D559">
        <f>-中国_中债国债到期收益率_1年!D558+中国_中债国债到期收益率_1年!D557</f>
        <v>7.2000000000000952E-3</v>
      </c>
      <c r="E559">
        <f>-中国_中债国债到期收益率_1年!E558+中国_中债国债到期收益率_1年!E557</f>
        <v>0</v>
      </c>
      <c r="F559">
        <f>-中国_中债国债到期收益率_1年!F558+中国_中债国债到期收益率_1年!F557</f>
        <v>2.3999999999999577E-3</v>
      </c>
      <c r="G559">
        <f>-中国_中债国债到期收益率_1年!G558+中国_中债国债到期收益率_1年!G557</f>
        <v>4.0000000000000036E-3</v>
      </c>
    </row>
    <row r="560" spans="1:7" x14ac:dyDescent="0.25">
      <c r="A560" s="8">
        <v>45524</v>
      </c>
      <c r="B560">
        <f>-中国_中债国债到期收益率_1年!B559+中国_中债国债到期收益率_1年!B558</f>
        <v>-6.4999999999999503E-3</v>
      </c>
      <c r="C560">
        <f>-中国_中债国债到期收益率_1年!C559+中国_中债国债到期收益率_1年!C558</f>
        <v>6.6999999999999282E-3</v>
      </c>
      <c r="D560">
        <f>-中国_中债国债到期收益率_1年!D559+中国_中债国债到期收益率_1年!D558</f>
        <v>1.6199999999999992E-2</v>
      </c>
      <c r="E560">
        <f>-中国_中债国债到期收益率_1年!E559+中国_中债国债到期收益率_1年!E558</f>
        <v>2.2499999999999964E-2</v>
      </c>
      <c r="F560">
        <f>-中国_中债国债到期收益率_1年!F559+中国_中债国债到期收益率_1年!F558</f>
        <v>-5.9999999999993392E-4</v>
      </c>
      <c r="G560">
        <f>-中国_中债国债到期收益率_1年!G559+中国_中债国债到期收益率_1年!G558</f>
        <v>3.8000000000000256E-3</v>
      </c>
    </row>
    <row r="561" spans="1:7" x14ac:dyDescent="0.25">
      <c r="A561" s="8">
        <v>45525</v>
      </c>
      <c r="B561">
        <f>-中国_中债国债到期收益率_1年!B560+中国_中债国债到期收益率_1年!B559</f>
        <v>-1.2900000000000134E-2</v>
      </c>
      <c r="C561">
        <f>-中国_中债国债到期收益率_1年!C560+中国_中债国债到期收益率_1年!C559</f>
        <v>-2.4999999999999467E-3</v>
      </c>
      <c r="D561">
        <f>-中国_中债国债到期收益率_1年!D560+中国_中债国债到期收益率_1年!D559</f>
        <v>1.0600000000000165E-2</v>
      </c>
      <c r="E561">
        <f>-中国_中债国债到期收益率_1年!E560+中国_中债国债到期收益率_1年!E559</f>
        <v>7.5000000000002842E-3</v>
      </c>
      <c r="F561">
        <f>-中国_中债国债到期收益率_1年!F560+中国_中债国债到期收益率_1年!F559</f>
        <v>-5.5000000000000604E-3</v>
      </c>
      <c r="G561">
        <f>-中国_中债国债到期收益率_1年!G560+中国_中债国债到期收益率_1年!G559</f>
        <v>6.1999999999999833E-3</v>
      </c>
    </row>
    <row r="562" spans="1:7" x14ac:dyDescent="0.25">
      <c r="A562" s="8">
        <v>45526</v>
      </c>
      <c r="B562">
        <f>-中国_中债国债到期收益率_1年!B561+中国_中债国债到期收益率_1年!B560</f>
        <v>9.200000000000097E-3</v>
      </c>
      <c r="C562">
        <f>-中国_中债国债到期收益率_1年!C561+中国_中债国债到期收益率_1年!C560</f>
        <v>9.7999999999998089E-3</v>
      </c>
      <c r="D562">
        <f>-中国_中债国债到期收益率_1年!D561+中国_中债国债到期收益率_1年!D560</f>
        <v>4.0000000000000036E-3</v>
      </c>
      <c r="E562">
        <f>-中国_中债国债到期收益率_1年!E561+中国_中债国债到期收益率_1年!E560</f>
        <v>4.8999999999996824E-3</v>
      </c>
      <c r="F562">
        <f>-中国_中债国债到期收益率_1年!F561+中国_中债国债到期收益率_1年!F560</f>
        <v>-2.6499999999999968E-2</v>
      </c>
      <c r="G562">
        <f>-中国_中债国债到期收益率_1年!G561+中国_中债国债到期收益率_1年!G560</f>
        <v>-2.0000000000000018E-2</v>
      </c>
    </row>
    <row r="563" spans="1:7" x14ac:dyDescent="0.25">
      <c r="A563" s="8">
        <v>45527</v>
      </c>
      <c r="B563">
        <f>-中国_中债国债到期收益率_1年!B562+中国_中债国债到期收益率_1年!B561</f>
        <v>2.3200000000000109E-2</v>
      </c>
      <c r="C563">
        <f>-中国_中债国债到期收益率_1年!C562+中国_中债国债到期收益率_1年!C561</f>
        <v>3.5000000000000586E-3</v>
      </c>
      <c r="D563">
        <f>-中国_中债国债到期收益率_1年!D562+中国_中债国债到期收益率_1年!D561</f>
        <v>8.799999999999919E-3</v>
      </c>
      <c r="E563">
        <f>-中国_中债国债到期收益率_1年!E562+中国_中债国债到期收益率_1年!E561</f>
        <v>7.5000000000002842E-3</v>
      </c>
      <c r="F563">
        <f>-中国_中债国债到期收益率_1年!F562+中国_中债国债到期收益率_1年!F561</f>
        <v>9.9999999999988987E-4</v>
      </c>
      <c r="G563">
        <f>-中国_中债国债到期收益率_1年!G562+中国_中债国债到期收益率_1年!G561</f>
        <v>1.5099999999999891E-2</v>
      </c>
    </row>
    <row r="564" spans="1:7" x14ac:dyDescent="0.25">
      <c r="A564" s="8">
        <v>45530</v>
      </c>
      <c r="B564">
        <f>-中国_中债国债到期收益率_1年!B563+中国_中债国债到期收益率_1年!B562</f>
        <v>2.3799999999999821E-2</v>
      </c>
      <c r="C564">
        <f>-中国_中债国债到期收益率_1年!C563+中国_中债国债到期收益率_1年!C562</f>
        <v>2.3900000000000032E-2</v>
      </c>
      <c r="D564">
        <f>-中国_中债国债到期收益率_1年!D563+中国_中债国债到期收益率_1年!D562</f>
        <v>3.4999999999998366E-3</v>
      </c>
      <c r="E564">
        <f>-中国_中债国债到期收益率_1年!E563+中国_中债国债到期收益率_1年!E562</f>
        <v>7.4999999999998401E-3</v>
      </c>
      <c r="F564">
        <f>-中国_中债国债到期收益率_1年!F563+中国_中债国债到期收益率_1年!F562</f>
        <v>-2.3999999999999577E-3</v>
      </c>
      <c r="G564">
        <f>-中国_中债国债到期收益率_1年!G563+中国_中债国债到期收益率_1年!G562</f>
        <v>-8.1999999999999851E-3</v>
      </c>
    </row>
    <row r="565" spans="1:7" x14ac:dyDescent="0.25">
      <c r="A565" s="8">
        <v>45531</v>
      </c>
      <c r="B565">
        <f>-中国_中债国债到期收益率_1年!B564+中国_中债国债到期收益率_1年!B563</f>
        <v>-6.8999999999999062E-3</v>
      </c>
      <c r="C565">
        <f>-中国_中债国债到期收益率_1年!C564+中国_中债国债到期收益率_1年!C563</f>
        <v>4.0000000000000036E-3</v>
      </c>
      <c r="D565">
        <f>-中国_中债国债到期收益率_1年!D564+中国_中债国债到期收益率_1年!D563</f>
        <v>-8.099999999999774E-3</v>
      </c>
      <c r="E565">
        <f>-中国_中债国债到期收益率_1年!E564+中国_中债国债到期收益率_1年!E563</f>
        <v>-7.4000000000000732E-3</v>
      </c>
      <c r="F565">
        <f>-中国_中债国债到期收益率_1年!F564+中国_中债国债到期收益率_1年!F563</f>
        <v>2.5600000000000067E-2</v>
      </c>
      <c r="G565">
        <f>-中国_中债国债到期收益率_1年!G564+中国_中债国债到期收益率_1年!G563</f>
        <v>9.5000000000000639E-3</v>
      </c>
    </row>
    <row r="566" spans="1:7" x14ac:dyDescent="0.25">
      <c r="A566" s="8">
        <v>45532</v>
      </c>
      <c r="B566">
        <f>-中国_中债国债到期收益率_1年!B565+中国_中债国债到期收益率_1年!B564</f>
        <v>-3.1000000000001027E-3</v>
      </c>
      <c r="C566">
        <f>-中国_中债国债到期收益率_1年!C565+中国_中债国债到期收益率_1年!C564</f>
        <v>-2.1099999999999897E-2</v>
      </c>
      <c r="D566">
        <f>-中国_中债国债到期收益率_1年!D565+中国_中债国债到期收益率_1年!D564</f>
        <v>-2.7500000000000302E-2</v>
      </c>
      <c r="E566">
        <f>-中国_中债国债到期收益率_1年!E565+中国_中债国债到期收益率_1年!E564</f>
        <v>-3.4999999999999698E-2</v>
      </c>
      <c r="F566">
        <f>-中国_中债国债到期收益率_1年!F565+中国_中债国债到期收益率_1年!F564</f>
        <v>-9.200000000000097E-3</v>
      </c>
      <c r="G566">
        <f>-中国_中债国债到期收益率_1年!G565+中国_中债国债到期收益率_1年!G564</f>
        <v>-2.0000000000000018E-2</v>
      </c>
    </row>
    <row r="567" spans="1:7" x14ac:dyDescent="0.25">
      <c r="A567" s="8">
        <v>45533</v>
      </c>
      <c r="B567">
        <f>-中国_中债国债到期收益率_1年!B566+中国_中债国债到期收益率_1年!B565</f>
        <v>1.1000000000000121E-2</v>
      </c>
      <c r="C567">
        <f>-中国_中债国债到期收益率_1年!C566+中国_中债国债到期收益率_1年!C565</f>
        <v>1.0599999999999943E-2</v>
      </c>
      <c r="D567">
        <f>-中国_中债国债到期收益率_1年!D566+中国_中债国债到期收益率_1年!D565</f>
        <v>2.3000000000000131E-2</v>
      </c>
      <c r="E567">
        <f>-中国_中债国债到期收益率_1年!E566+中国_中债国债到期收益率_1年!E565</f>
        <v>2.7499999999999858E-2</v>
      </c>
      <c r="F567">
        <f>-中国_中债国债到期收益率_1年!F566+中国_中债国债到期收益率_1年!F565</f>
        <v>4.6000000000001595E-3</v>
      </c>
      <c r="G567">
        <f>-中国_中债国债到期收益率_1年!G566+中国_中债国债到期收益率_1年!G565</f>
        <v>2.2999999999999687E-3</v>
      </c>
    </row>
    <row r="568" spans="1:7" x14ac:dyDescent="0.25">
      <c r="A568" s="8">
        <v>45534</v>
      </c>
      <c r="B568">
        <f>-中国_中债国债到期收益率_1年!B567+中国_中债国债到期收益率_1年!B566</f>
        <v>5.0999999999998824E-3</v>
      </c>
      <c r="C568">
        <f>-中国_中债国债到期收益率_1年!C567+中国_中债国债到期收益率_1年!C566</f>
        <v>-1.1900000000000022E-2</v>
      </c>
      <c r="D568">
        <f>-中国_中债国债到期收益率_1年!D567+中国_中债国债到期收益率_1年!D566</f>
        <v>-3.0000000000001137E-3</v>
      </c>
      <c r="E568">
        <f>-中国_中债国债到期收益率_1年!E567+中国_中债国债到期收益率_1年!E566</f>
        <v>-1.0000000000000231E-2</v>
      </c>
      <c r="F568">
        <f>-中国_中债国债到期收益率_1年!F567+中国_中债国债到期收益率_1年!F566</f>
        <v>6.8999999999999062E-3</v>
      </c>
      <c r="G568">
        <f>-中国_中债国债到期收益率_1年!G567+中国_中债国债到期收益率_1年!G566</f>
        <v>6.7999999999999172E-3</v>
      </c>
    </row>
    <row r="569" spans="1:7" x14ac:dyDescent="0.25">
      <c r="A569" s="8">
        <v>45537</v>
      </c>
      <c r="B569">
        <f>-中国_中债国债到期收益率_1年!B568+中国_中债国债到期收益率_1年!B567</f>
        <v>1.2000000000000899E-3</v>
      </c>
      <c r="C569">
        <f>-中国_中债国债到期收益率_1年!C568+中国_中债国债到期收益率_1年!C567</f>
        <v>1.4899999999999913E-2</v>
      </c>
      <c r="D569">
        <f>-中国_中债国债到期收益率_1年!D568+中国_中债国债到期收益率_1年!D567</f>
        <v>-9.9999999999766942E-5</v>
      </c>
      <c r="E569">
        <f>-中国_中债国债到期收益率_1年!E568+中国_中债国债到期收益率_1年!E567</f>
        <v>-9.9999999999766942E-5</v>
      </c>
      <c r="F569">
        <f>-中国_中债国债到期收益率_1年!F568+中国_中债国债到期收益率_1年!F567</f>
        <v>2.2999999999999687E-3</v>
      </c>
      <c r="G569">
        <f>-中国_中债国债到期收益率_1年!G568+中国_中债国债到期收益率_1年!G567</f>
        <v>-1.4999999999999902E-2</v>
      </c>
    </row>
    <row r="570" spans="1:7" x14ac:dyDescent="0.25">
      <c r="A570" s="8">
        <v>45538</v>
      </c>
      <c r="B570">
        <f>-中国_中债国债到期收益率_1年!B569+中国_中债国债到期收益率_1年!B568</f>
        <v>2.4999999999999911E-2</v>
      </c>
      <c r="C570">
        <f>-中国_中债国债到期收益率_1年!C569+中国_中债国债到期收益率_1年!C568</f>
        <v>4.3700000000000072E-2</v>
      </c>
      <c r="D570">
        <f>-中国_中债国债到期收益率_1年!D569+中国_中债国债到期收益率_1年!D568</f>
        <v>2.4699999999999722E-2</v>
      </c>
      <c r="E570">
        <f>-中国_中债国债到期收益率_1年!E569+中国_中债国债到期收益率_1年!E568</f>
        <v>2.2600000000000176E-2</v>
      </c>
      <c r="F570">
        <f>-中国_中债国债到期收益率_1年!F569+中国_中债国债到期收益率_1年!F568</f>
        <v>3.6100000000000021E-2</v>
      </c>
      <c r="G570">
        <f>-中国_中债国债到期收益率_1年!G569+中国_中债国债到期收益率_1年!G568</f>
        <v>4.6000000000000041E-2</v>
      </c>
    </row>
    <row r="571" spans="1:7" x14ac:dyDescent="0.25">
      <c r="A571" s="8">
        <v>45539</v>
      </c>
      <c r="B571">
        <f>-中国_中债国债到期收益率_1年!B570+中国_中债国债到期收益率_1年!B569</f>
        <v>3.5000000000000142E-2</v>
      </c>
      <c r="C571">
        <f>-中国_中债国债到期收益率_1年!C570+中国_中债国债到期收益率_1年!C569</f>
        <v>2.3199999999999887E-2</v>
      </c>
      <c r="D571">
        <f>-中国_中债国债到期收益率_1年!D570+中国_中债国债到期收益率_1年!D569</f>
        <v>2.4999999999999467E-3</v>
      </c>
      <c r="E571">
        <f>-中国_中债国债到期收益率_1年!E570+中国_中债国债到期收益率_1年!E569</f>
        <v>3.4999999999998366E-3</v>
      </c>
      <c r="F571">
        <f>-中国_中债国债到期收益率_1年!F570+中国_中债国债到期收益率_1年!F569</f>
        <v>6.9999999999998952E-3</v>
      </c>
      <c r="G571">
        <f>-中国_中债国债到期收益率_1年!G570+中国_中债国债到期收益率_1年!G569</f>
        <v>2.0199999999999996E-2</v>
      </c>
    </row>
    <row r="572" spans="1:7" x14ac:dyDescent="0.25">
      <c r="A572" s="8">
        <v>45540</v>
      </c>
      <c r="B572">
        <f>-中国_中债国债到期收益率_1年!B571+中国_中债国债到期收益率_1年!B570</f>
        <v>-2.5000000000000133E-2</v>
      </c>
      <c r="C572">
        <f>-中国_中债国债到期收益率_1年!C571+中国_中债国债到期收益率_1年!C570</f>
        <v>1.0300000000000198E-2</v>
      </c>
      <c r="D572">
        <f>-中国_中债国债到期收益率_1年!D571+中国_中债国债到期收益率_1年!D570</f>
        <v>9.600000000000275E-3</v>
      </c>
      <c r="E572">
        <f>-中国_中债国债到期收益率_1年!E571+中国_中债国债到期收益率_1年!E570</f>
        <v>1.6500000000000181E-2</v>
      </c>
      <c r="F572">
        <f>-中国_中债国债到期收益率_1年!F571+中国_中债国债到期收益率_1年!F570</f>
        <v>3.5000000000000586E-3</v>
      </c>
      <c r="G572">
        <f>-中国_中债国债到期收益率_1年!G571+中国_中债国债到期收益率_1年!G570</f>
        <v>2.2299999999999986E-2</v>
      </c>
    </row>
    <row r="573" spans="1:7" x14ac:dyDescent="0.25">
      <c r="A573" s="8">
        <v>45541</v>
      </c>
      <c r="B573">
        <f>-中国_中债国债到期收益率_1年!B572+中国_中债国债到期收益率_1年!B571</f>
        <v>7.5000000000000622E-3</v>
      </c>
      <c r="C573">
        <f>-中国_中债国债到期收益率_1年!C572+中国_中债国债到期收益率_1年!C571</f>
        <v>-1.1000000000001009E-3</v>
      </c>
      <c r="D573">
        <f>-中国_中债国债到期收益率_1年!D572+中国_中债国债到期收益率_1年!D571</f>
        <v>-1.9999999999997797E-4</v>
      </c>
      <c r="E573">
        <f>-中国_中债国债到期收益率_1年!E572+中国_中债国债到期收益率_1年!E571</f>
        <v>9.9999999999997868E-3</v>
      </c>
      <c r="F573">
        <f>-中国_中债国债到期收益率_1年!F572+中国_中债国债到期收益率_1年!F571</f>
        <v>8.0000000000000071E-3</v>
      </c>
      <c r="G573">
        <f>-中国_中债国债到期收益率_1年!G572+中国_中债国债到期收益率_1年!G571</f>
        <v>1.8999999999999906E-2</v>
      </c>
    </row>
    <row r="574" spans="1:7" x14ac:dyDescent="0.25">
      <c r="A574" s="8">
        <v>45544</v>
      </c>
      <c r="B574">
        <f>-中国_中债国债到期收益率_1年!B573+中国_中债国债到期收益率_1年!B572</f>
        <v>1.2299999999999978E-2</v>
      </c>
      <c r="C574">
        <f>-中国_中债国债到期收益率_1年!C573+中国_中债国债到期收益率_1年!C572</f>
        <v>-2.8999999999999027E-3</v>
      </c>
      <c r="D574">
        <f>-中国_中债国债到期收益率_1年!D573+中国_中债国债到期收益率_1年!D572</f>
        <v>-4.9999999999998934E-3</v>
      </c>
      <c r="E574">
        <f>-中国_中债国债到期收益率_1年!E573+中国_中债国债到期收益率_1年!E572</f>
        <v>3.4999999999998366E-3</v>
      </c>
      <c r="F574">
        <f>-中国_中债国债到期收益率_1年!F573+中国_中债国债到期收益率_1年!F572</f>
        <v>3.4000000000000696E-3</v>
      </c>
      <c r="G574">
        <f>-中国_中债国债到期收益率_1年!G573+中国_中债国债到期收益率_1年!G572</f>
        <v>-4.5999999999999375E-3</v>
      </c>
    </row>
    <row r="575" spans="1:7" x14ac:dyDescent="0.25">
      <c r="A575" s="8">
        <v>45545</v>
      </c>
      <c r="B575">
        <f>-中国_中债国债到期收益率_1年!B574+中国_中债国债到期收益率_1年!B573</f>
        <v>2.0000000000000018E-2</v>
      </c>
      <c r="C575">
        <f>-中国_中债国债到期收益率_1年!C574+中国_中债国债到期收益率_1年!C573</f>
        <v>8.999999999999897E-3</v>
      </c>
      <c r="D575">
        <f>-中国_中债国债到期收益率_1年!D574+中国_中债国债到期收益率_1年!D573</f>
        <v>1.2099999999999778E-2</v>
      </c>
      <c r="E575">
        <f>-中国_中债国债到期收益率_1年!E574+中国_中债国债到期收益率_1年!E573</f>
        <v>1.9000000000000128E-2</v>
      </c>
      <c r="F575">
        <f>-中国_中债国债到期收益率_1年!F574+中国_中债国债到期收益率_1年!F573</f>
        <v>-6.3999999999999613E-3</v>
      </c>
      <c r="G575">
        <f>-中国_中债国债到期收益率_1年!G574+中国_中债国债到期收益率_1年!G573</f>
        <v>1.110000000000011E-2</v>
      </c>
    </row>
    <row r="576" spans="1:7" x14ac:dyDescent="0.25">
      <c r="A576" s="8">
        <v>45546</v>
      </c>
      <c r="B576">
        <f>-中国_中债国债到期收益率_1年!B575+中国_中债国债到期收益率_1年!B574</f>
        <v>6.0000000000000053E-2</v>
      </c>
      <c r="C576">
        <f>-中国_中债国债到期收益率_1年!C575+中国_中债国债到期收益率_1年!C574</f>
        <v>2.0299999999999985E-2</v>
      </c>
      <c r="D576">
        <f>-中国_中债国债到期收益率_1年!D575+中国_中债国债到期收益率_1年!D574</f>
        <v>1.2399999999999967E-2</v>
      </c>
      <c r="E576">
        <f>-中国_中债国债到期收益率_1年!E575+中国_中债国债到期收益率_1年!E574</f>
        <v>2.3000000000000131E-2</v>
      </c>
      <c r="F576">
        <f>-中国_中债国债到期收益率_1年!F575+中国_中债国债到期收益率_1年!F574</f>
        <v>5.2999999999998604E-3</v>
      </c>
      <c r="G576">
        <f>-中国_中债国债到期收益率_1年!G575+中国_中债国债到期收益率_1年!G574</f>
        <v>2.1699999999999831E-2</v>
      </c>
    </row>
    <row r="577" spans="1:7" x14ac:dyDescent="0.25">
      <c r="A577" s="8">
        <v>45547</v>
      </c>
      <c r="B577">
        <f>-中国_中债国债到期收益率_1年!B576+中国_中债国债到期收益率_1年!B575</f>
        <v>2.6699999999999946E-2</v>
      </c>
      <c r="C577">
        <f>-中国_中债国债到期收益率_1年!C576+中国_中债国债到期收益率_1年!C575</f>
        <v>3.2200000000000006E-2</v>
      </c>
      <c r="D577">
        <f>-中国_中债国债到期收益率_1年!D576+中国_中债国债到期收益率_1年!D575</f>
        <v>9.9000000000000199E-3</v>
      </c>
      <c r="E577">
        <f>-中国_中债国债到期收益率_1年!E576+中国_中债国债到期收益率_1年!E575</f>
        <v>4.0000000000000036E-3</v>
      </c>
      <c r="F577">
        <f>-中国_中债国债到期收益率_1年!F576+中国_中债国债到期收益率_1年!F575</f>
        <v>-1.8000000000000238E-3</v>
      </c>
      <c r="G577">
        <f>-中国_中债国债到期收益率_1年!G576+中国_中债国债到期收益率_1年!G575</f>
        <v>9.000000000000119E-3</v>
      </c>
    </row>
    <row r="578" spans="1:7" x14ac:dyDescent="0.25">
      <c r="A578" s="8">
        <v>45548</v>
      </c>
      <c r="B578">
        <f>-中国_中债国债到期收益率_1年!B577+中国_中债国债到期收益率_1年!B576</f>
        <v>2.4999999999999467E-3</v>
      </c>
      <c r="C578">
        <f>-中国_中债国债到期收益率_1年!C577+中国_中债国债到期收益率_1年!C576</f>
        <v>-5.7000000000000384E-3</v>
      </c>
      <c r="D578">
        <f>-中国_中债国债到期收益率_1年!D577+中国_中债国债到期收益率_1年!D576</f>
        <v>4.5999999999999375E-3</v>
      </c>
      <c r="E578">
        <f>-中国_中债国债到期收益率_1年!E577+中国_中债国债到期收益率_1年!E576</f>
        <v>1.5899999999999803E-2</v>
      </c>
      <c r="F578">
        <f>-中国_中债国债到期收益率_1年!F577+中国_中债国债到期收益率_1年!F576</f>
        <v>-9.8999999999997979E-3</v>
      </c>
      <c r="G578">
        <f>-中国_中债国债到期收益率_1年!G577+中国_中债国债到期收益率_1年!G576</f>
        <v>-1.1700000000000044E-2</v>
      </c>
    </row>
    <row r="579" spans="1:7" x14ac:dyDescent="0.25">
      <c r="A579" s="8">
        <v>45549</v>
      </c>
      <c r="B579">
        <f>-中国_中债国债到期收益率_1年!B578+中国_中债国债到期收益率_1年!B577</f>
        <v>0</v>
      </c>
      <c r="C579">
        <f>-中国_中债国债到期收益率_1年!C578+中国_中债国债到期收益率_1年!C577</f>
        <v>2.7000000000001467E-3</v>
      </c>
      <c r="D579">
        <f>-中国_中债国债到期收益率_1年!D578+中国_中债国债到期收益率_1年!D577</f>
        <v>2.7400000000000091E-2</v>
      </c>
      <c r="E579">
        <f>-中国_中债国债到期收益率_1年!E578+中国_中债国债到期收益率_1年!E577</f>
        <v>2.9500000000000082E-2</v>
      </c>
      <c r="F579">
        <f>-中国_中债国债到期收益率_1年!F578+中国_中债国债到期收益率_1年!F577</f>
        <v>-8.5000000000001741E-3</v>
      </c>
      <c r="G579">
        <f>-中国_中债国债到期收益率_1年!G578+中国_中债国债到期收益率_1年!G577</f>
        <v>4.3999999999999595E-3</v>
      </c>
    </row>
    <row r="580" spans="1:7" x14ac:dyDescent="0.25">
      <c r="A580" s="8">
        <v>45553</v>
      </c>
      <c r="B580">
        <f>-中国_中债国债到期收益率_1年!B579+中国_中债国债到期收益率_1年!B578</f>
        <v>-4.9999999999998934E-3</v>
      </c>
      <c r="C580">
        <f>-中国_中债国债到期收益率_1年!C579+中国_中债国债到期收益率_1年!C578</f>
        <v>1.959999999999984E-2</v>
      </c>
      <c r="D580">
        <f>-中国_中债国债到期收益率_1年!D579+中国_中债国债到期收益率_1年!D578</f>
        <v>2.9900000000000038E-2</v>
      </c>
      <c r="E580">
        <f>-中国_中债国债到期收益率_1年!E579+中国_中债国债到期收益率_1年!E578</f>
        <v>3.4600000000000186E-2</v>
      </c>
      <c r="F580">
        <f>-中国_中债国债到期收益率_1年!F579+中国_中债国债到期收益率_1年!F578</f>
        <v>7.1000000000001062E-3</v>
      </c>
      <c r="G580">
        <f>-中国_中债国债到期收益率_1年!G579+中国_中债国债到期收益率_1年!G578</f>
        <v>1.7174</v>
      </c>
    </row>
    <row r="581" spans="1:7" x14ac:dyDescent="0.25">
      <c r="A581" s="8">
        <v>45554</v>
      </c>
      <c r="B581">
        <f>-中国_中债国债到期收益率_1年!B580+中国_中债国债到期收益率_1年!B579</f>
        <v>-3.5000000000000142E-2</v>
      </c>
      <c r="C581">
        <f>-中国_中债国债到期收益率_1年!C580+中国_中债国债到期收益率_1年!C579</f>
        <v>-2.079999999999993E-2</v>
      </c>
      <c r="D581">
        <f>-中国_中债国债到期收益率_1年!D580+中国_中债国债到期收益率_1年!D579</f>
        <v>2.2000000000002018E-3</v>
      </c>
      <c r="E581">
        <f>-中国_中债国债到期收益率_1年!E580+中国_中债国债到期收益率_1年!E579</f>
        <v>1.7999999999999794E-2</v>
      </c>
      <c r="F581">
        <f>-中国_中债国债到期收益率_1年!F580+中国_中债国债到期收益率_1年!F579</f>
        <v>-7.0000000000014495E-4</v>
      </c>
      <c r="G581">
        <f>-中国_中债国债到期收益率_1年!G580+中国_中债国债到期收益率_1年!G579</f>
        <v>-1.6962999999999999</v>
      </c>
    </row>
    <row r="582" spans="1:7" x14ac:dyDescent="0.25">
      <c r="A582" s="8">
        <v>45555</v>
      </c>
      <c r="B582">
        <f>-中国_中债国债到期收益率_1年!B581+中国_中债国债到期收益率_1年!B580</f>
        <v>-2.4999999999999911E-2</v>
      </c>
      <c r="C582">
        <f>-中国_中债国债到期收益率_1年!C581+中国_中债国债到期收益率_1年!C580</f>
        <v>-1.9400000000000084E-2</v>
      </c>
      <c r="D582">
        <f>-中国_中债国债到期收益率_1年!D581+中国_中债国债到期收益率_1年!D580</f>
        <v>-4.7000000000001485E-3</v>
      </c>
      <c r="E582">
        <f>-中国_中债国债到期收益率_1年!E581+中国_中债国债到期收益率_1年!E580</f>
        <v>-4.9999999999998934E-3</v>
      </c>
      <c r="F582">
        <f>-中国_中债国债到期收益率_1年!F581+中国_中债国债到期收益率_1年!F580</f>
        <v>-9.3999999999998529E-3</v>
      </c>
      <c r="G582">
        <f>-中国_中债国债到期收益率_1年!G581+中国_中债国债到期收益率_1年!G580</f>
        <v>-9.200000000000097E-3</v>
      </c>
    </row>
    <row r="583" spans="1:7" x14ac:dyDescent="0.25">
      <c r="A583" s="8">
        <v>45558</v>
      </c>
      <c r="B583">
        <f>-中国_中债国债到期收益率_1年!B582+中国_中债国债到期收益率_1年!B581</f>
        <v>0</v>
      </c>
      <c r="C583">
        <f>-中国_中债国债到期收益率_1年!C582+中国_中债国债到期收益率_1年!C581</f>
        <v>1.3000000000000123E-2</v>
      </c>
      <c r="D583">
        <f>-中国_中债国债到期收益率_1年!D582+中国_中债国债到期收益率_1年!D581</f>
        <v>1.9000000000000128E-3</v>
      </c>
      <c r="E583">
        <f>-中国_中债国债到期收益率_1年!E582+中国_中债国债到期收益率_1年!E581</f>
        <v>2.0000000000000018E-2</v>
      </c>
      <c r="F583">
        <f>-中国_中债国债到期收益率_1年!F582+中国_中债国债到期收益率_1年!F581</f>
        <v>0</v>
      </c>
      <c r="G583">
        <f>-中国_中债国债到期收益率_1年!G582+中国_中债国债到期收益率_1年!G581</f>
        <v>3.5000000000000586E-3</v>
      </c>
    </row>
    <row r="584" spans="1:7" x14ac:dyDescent="0.25">
      <c r="A584" s="8">
        <v>45559</v>
      </c>
      <c r="B584">
        <f>-中国_中债国债到期收益率_1年!B583+中国_中债国债到期收益率_1年!B582</f>
        <v>3.1000000000001027E-3</v>
      </c>
      <c r="C584">
        <f>-中国_中债国债到期收益率_1年!C583+中国_中债国债到期收益率_1年!C582</f>
        <v>-3.3000000000000806E-3</v>
      </c>
      <c r="D584">
        <f>-中国_中债国债到期收益率_1年!D583+中国_中债国债到期收益率_1年!D582</f>
        <v>4.9999999999998934E-3</v>
      </c>
      <c r="E584">
        <f>-中国_中债国债到期收益率_1年!E583+中国_中债国债到期收益率_1年!E582</f>
        <v>9.9999999999997868E-3</v>
      </c>
      <c r="F584">
        <f>-中国_中债国债到期收益率_1年!F583+中国_中债国债到期收益率_1年!F582</f>
        <v>-7.2000000000000952E-3</v>
      </c>
      <c r="G584">
        <f>-中国_中债国债到期收益率_1年!G583+中国_中债国债到期收益率_1年!G582</f>
        <v>-7.0000000000014495E-4</v>
      </c>
    </row>
    <row r="585" spans="1:7" x14ac:dyDescent="0.25">
      <c r="A585" s="8">
        <v>45560</v>
      </c>
      <c r="B585">
        <f>-中国_中债国债到期收益率_1年!B584+中国_中债国债到期收益率_1年!B583</f>
        <v>-3.0000000000000027E-2</v>
      </c>
      <c r="C585">
        <f>-中国_中债国债到期收益率_1年!C584+中国_中债国债到期收益率_1年!C583</f>
        <v>-2.0699999999999941E-2</v>
      </c>
      <c r="D585">
        <f>-中国_中债国债到期收益率_1年!D584+中国_中债国债到期收益率_1年!D583</f>
        <v>-3.4699999999999953E-2</v>
      </c>
      <c r="E585">
        <f>-中国_中债国债到期收益率_1年!E584+中国_中债国债到期收益率_1年!E583</f>
        <v>-4.9999999999999822E-2</v>
      </c>
      <c r="F585">
        <f>-中国_中债国债到期收益率_1年!F584+中国_中债国债到期收益率_1年!F583</f>
        <v>5.9800000000000075E-2</v>
      </c>
      <c r="G585">
        <f>-中国_中债国债到期收益率_1年!G584+中国_中债国债到期收益率_1年!G583</f>
        <v>9.9000000000000199E-3</v>
      </c>
    </row>
    <row r="586" spans="1:7" x14ac:dyDescent="0.25">
      <c r="A586" s="8">
        <v>45561</v>
      </c>
      <c r="B586">
        <f>-中国_中债国债到期收益率_1年!B585+中国_中债国债到期收益率_1年!B584</f>
        <v>3.0000000000000027E-2</v>
      </c>
      <c r="C586">
        <f>-中国_中债国债到期收益率_1年!C585+中国_中债国债到期收益率_1年!C584</f>
        <v>5.259999999999998E-2</v>
      </c>
      <c r="D586">
        <f>-中国_中债国债到期收益率_1年!D585+中国_中债国债到期收益率_1年!D584</f>
        <v>2.9100000000000126E-2</v>
      </c>
      <c r="E586">
        <f>-中国_中债国债到期收益率_1年!E585+中国_中债国债到期收益率_1年!E584</f>
        <v>3.5000000000000142E-2</v>
      </c>
      <c r="F586">
        <f>-中国_中债国债到期收益率_1年!F585+中国_中债国债到期收益率_1年!F584</f>
        <v>4.2000000000000037E-2</v>
      </c>
      <c r="G586">
        <f>-中国_中债国债到期收益率_1年!G585+中国_中债国债到期收益率_1年!G584</f>
        <v>9.8000000000000309E-3</v>
      </c>
    </row>
    <row r="587" spans="1:7" x14ac:dyDescent="0.25">
      <c r="A587" s="8">
        <v>45562</v>
      </c>
      <c r="B587">
        <f>-中国_中债国债到期收益率_1年!B586+中国_中债国债到期收益率_1年!B585</f>
        <v>-1.5000000000000124E-2</v>
      </c>
      <c r="C587">
        <f>-中国_中债国债到期收益率_1年!C586+中国_中债国债到期收益率_1年!C585</f>
        <v>-3.2100000000000017E-2</v>
      </c>
      <c r="D587">
        <f>-中国_中债国债到期收益率_1年!D586+中国_中债国债到期收益率_1年!D585</f>
        <v>-3.5000000000000142E-2</v>
      </c>
      <c r="E587">
        <f>-中国_中债国债到期收益率_1年!E586+中国_中债国债到期收益率_1年!E585</f>
        <v>-6.5000000000000391E-2</v>
      </c>
      <c r="F587">
        <f>-中国_中债国债到期收益率_1年!F586+中国_中债国债到期收益率_1年!F585</f>
        <v>1.3199999999999878E-2</v>
      </c>
      <c r="G587">
        <f>-中国_中债国债到期收益率_1年!G586+中国_中债国债到期收益率_1年!G585</f>
        <v>6.6000000000001613E-3</v>
      </c>
    </row>
    <row r="588" spans="1:7" x14ac:dyDescent="0.25">
      <c r="A588" s="8">
        <v>45564</v>
      </c>
      <c r="B588">
        <f>-中国_中债国债到期收益率_1年!B587+中国_中债国债到期收益率_1年!B586</f>
        <v>-3.499999999999992E-2</v>
      </c>
      <c r="C588">
        <f>-中国_中债国债到期收益率_1年!C587+中国_中债国债到期收益率_1年!C586</f>
        <v>-9.9599999999999911E-2</v>
      </c>
      <c r="D588">
        <f>-中国_中债国债到期收益率_1年!D587+中国_中债国债到期收益率_1年!D586</f>
        <v>-9.2700000000000227E-2</v>
      </c>
      <c r="E588">
        <f>-中国_中债国债到期收益率_1年!E587+中国_中债国债到期收益率_1年!E586</f>
        <v>-0.12749999999999995</v>
      </c>
      <c r="F588">
        <f>-中国_中债国债到期收益率_1年!F587+中国_中债国债到期收益率_1年!F586</f>
        <v>-7.9999999999991189E-4</v>
      </c>
      <c r="G588">
        <f>-中国_中债国债到期收益率_1年!G587+中国_中债国债到期收益率_1年!G586</f>
        <v>-8.5900000000000087E-2</v>
      </c>
    </row>
    <row r="589" spans="1:7" x14ac:dyDescent="0.25">
      <c r="A589" s="8">
        <v>45565</v>
      </c>
      <c r="B589">
        <f>-中国_中债国债到期收益率_1年!B588+中国_中债国债到期收益率_1年!B587</f>
        <v>0</v>
      </c>
      <c r="C589">
        <f>-中国_中债国债到期收益率_1年!C588+中国_中债国债到期收益率_1年!C587</f>
        <v>-0.10000000000000009</v>
      </c>
      <c r="D589">
        <f>-中国_中债国债到期收益率_1年!D588+中国_中债国债到期收益率_1年!D587</f>
        <v>-8.1999999999999851E-2</v>
      </c>
      <c r="E589">
        <f>-中国_中债国债到期收益率_1年!E588+中国_中债国债到期收益率_1年!E587</f>
        <v>-8.7499999999999911E-2</v>
      </c>
      <c r="F589">
        <f>-中国_中债国债到期收益率_1年!F588+中国_中债国债到期收益率_1年!F587</f>
        <v>-4.8100000000000032E-2</v>
      </c>
      <c r="G589">
        <f>-中国_中债国债到期收益率_1年!G588+中国_中债国债到期收益率_1年!G587</f>
        <v>-0.127</v>
      </c>
    </row>
    <row r="590" spans="1:7" x14ac:dyDescent="0.25">
      <c r="A590" s="8">
        <v>45573</v>
      </c>
      <c r="B590">
        <f>-中国_中债国债到期收益率_1年!B589+中国_中债国债到期收益率_1年!B588</f>
        <v>7.0000000000000062E-2</v>
      </c>
      <c r="C590">
        <f>-中国_中债国债到期收益率_1年!C589+中国_中债国债到期收益率_1年!C588</f>
        <v>9.2400000000000038E-2</v>
      </c>
      <c r="D590">
        <f>-中国_中债国债到期收益率_1年!D589+中国_中债国债到期收益率_1年!D588</f>
        <v>0.10159999999999991</v>
      </c>
      <c r="E590">
        <f>-中国_中债国债到期收益率_1年!E589+中国_中债国债到期收益率_1年!E588</f>
        <v>8.0000000000000071E-2</v>
      </c>
      <c r="F590">
        <f>-中国_中债国债到期收益率_1年!F589+中国_中债国债到期收益率_1年!F588</f>
        <v>1.8100000000000005E-2</v>
      </c>
      <c r="G590">
        <f>-中国_中债国债到期收益率_1年!G589+中国_中债国债到期收益率_1年!G588</f>
        <v>4.9900000000000055E-2</v>
      </c>
    </row>
    <row r="591" spans="1:7" x14ac:dyDescent="0.25">
      <c r="A591" s="8">
        <v>45574</v>
      </c>
      <c r="B591">
        <f>-中国_中债国债到期收益率_1年!B590+中国_中债国债到期收益率_1年!B589</f>
        <v>-5.0000000000001155E-3</v>
      </c>
      <c r="C591">
        <f>-中国_中债国债到期收益率_1年!C590+中国_中债国债到期收益率_1年!C589</f>
        <v>-7.1800000000000086E-2</v>
      </c>
      <c r="D591">
        <f>-中国_中债国债到期收益率_1年!D590+中国_中债国债到期收益率_1年!D589</f>
        <v>-4.0999999999999925E-2</v>
      </c>
      <c r="E591">
        <f>-中国_中债国债到期收益率_1年!E590+中国_中债国债到期收益率_1年!E589</f>
        <v>-2.4999999999999911E-2</v>
      </c>
      <c r="F591">
        <f>-中国_中债国债到期收益率_1年!F590+中国_中债国债到期收益率_1年!F589</f>
        <v>-2.2399999999999975E-2</v>
      </c>
      <c r="G591">
        <f>-中国_中债国债到期收益率_1年!G590+中国_中债国债到期收益率_1年!G589</f>
        <v>-1.9999999999997797E-4</v>
      </c>
    </row>
    <row r="592" spans="1:7" x14ac:dyDescent="0.25">
      <c r="A592" s="8">
        <v>45575</v>
      </c>
      <c r="B592">
        <f>-中国_中债国债到期收益率_1年!B591+中国_中债国债到期收益率_1年!B590</f>
        <v>-5.4999999999999938E-2</v>
      </c>
      <c r="C592">
        <f>-中国_中债国债到期收益率_1年!C591+中国_中债国债到期收益率_1年!C590</f>
        <v>2.200000000000002E-2</v>
      </c>
      <c r="D592">
        <f>-中国_中债国债到期收益率_1年!D591+中国_中债国债到期收益率_1年!D590</f>
        <v>1.6799999999999926E-2</v>
      </c>
      <c r="E592">
        <f>-中国_中债国债到期收益率_1年!E591+中国_中债国债到期收益率_1年!E590</f>
        <v>2.2399999999999753E-2</v>
      </c>
      <c r="F592">
        <f>-中国_中债国债到期收益率_1年!F591+中国_中债国债到期收益率_1年!F590</f>
        <v>-4.709999999999992E-2</v>
      </c>
      <c r="G592">
        <f>-中国_中债国债到期收益率_1年!G591+中国_中债国债到期收益率_1年!G590</f>
        <v>-5.8000000000000274E-3</v>
      </c>
    </row>
    <row r="593" spans="1:7" x14ac:dyDescent="0.25">
      <c r="A593" s="8">
        <v>45576</v>
      </c>
      <c r="B593">
        <f>-中国_中债国债到期收益率_1年!B592+中国_中债国债到期收益率_1年!B591</f>
        <v>-1.0000000000000009E-2</v>
      </c>
      <c r="C593">
        <f>-中国_中债国债到期收益率_1年!C592+中国_中债国债到期收益率_1年!C591</f>
        <v>5.600000000000005E-2</v>
      </c>
      <c r="D593">
        <f>-中国_中债国债到期收益率_1年!D592+中国_中债国债到期收益率_1年!D591</f>
        <v>3.1900000000000261E-2</v>
      </c>
      <c r="E593">
        <f>-中国_中债国债到期收益率_1年!E592+中国_中债国债到期收益率_1年!E591</f>
        <v>6.7600000000000104E-2</v>
      </c>
      <c r="F593">
        <f>-中国_中债国债到期收益率_1年!F592+中国_中债国债到期收益率_1年!F591</f>
        <v>2.410000000000001E-2</v>
      </c>
      <c r="G593">
        <f>-中国_中债国债到期收益率_1年!G592+中国_中债国债到期收益率_1年!G591</f>
        <v>5.139999999999989E-2</v>
      </c>
    </row>
    <row r="594" spans="1:7" x14ac:dyDescent="0.25">
      <c r="A594" s="8">
        <v>45577</v>
      </c>
      <c r="B594">
        <f>-中国_中债国债到期收益率_1年!B593+中国_中债国债到期收益率_1年!B592</f>
        <v>-5.0000000000001155E-3</v>
      </c>
      <c r="C594">
        <f>-中国_中债国债到期收益率_1年!C593+中国_中债国债到期收益率_1年!C592</f>
        <v>1.5500000000000069E-2</v>
      </c>
      <c r="D594">
        <f>-中国_中债国债到期收益率_1年!D593+中国_中债国债到期收益率_1年!D592</f>
        <v>4.8999999999996824E-3</v>
      </c>
      <c r="E594">
        <f>-中国_中债国债到期收益率_1年!E593+中国_中债国债到期收益率_1年!E592</f>
        <v>-9.9999999999997868E-3</v>
      </c>
      <c r="F594">
        <f>-中国_中债国债到期收益率_1年!F593+中国_中债国债到期收益率_1年!F592</f>
        <v>3.3599999999999852E-2</v>
      </c>
      <c r="G594">
        <f>-中国_中债国债到期收益率_1年!G593+中国_中债国债到期收益率_1年!G592</f>
        <v>2.7100000000000124E-2</v>
      </c>
    </row>
    <row r="595" spans="1:7" x14ac:dyDescent="0.25">
      <c r="A595" s="8">
        <v>45579</v>
      </c>
      <c r="B595">
        <f>-中国_中债国债到期收益率_1年!B594+中国_中债国债到期收益率_1年!B593</f>
        <v>2.5000000000000133E-2</v>
      </c>
      <c r="C595">
        <f>-中国_中债国债到期收益率_1年!C594+中国_中债国债到期收益率_1年!C593</f>
        <v>4.8999999999999044E-3</v>
      </c>
      <c r="D595">
        <f>-中国_中债国债到期收益率_1年!D594+中国_中债国债到期收益率_1年!D593</f>
        <v>-4.8999999999996824E-3</v>
      </c>
      <c r="E595">
        <f>-中国_中债国债到期收益率_1年!E594+中国_中债国债到期收益率_1年!E593</f>
        <v>0</v>
      </c>
      <c r="F595">
        <f>-中国_中债国债到期收益率_1年!F594+中国_中债国债到期收益率_1年!F593</f>
        <v>-8.799999999999919E-3</v>
      </c>
      <c r="G595">
        <f>-中国_中债国债到期收益率_1年!G594+中国_中债国债到期收益率_1年!G593</f>
        <v>-1.2900000000000134E-2</v>
      </c>
    </row>
    <row r="596" spans="1:7" x14ac:dyDescent="0.25">
      <c r="A596" s="8">
        <v>45580</v>
      </c>
      <c r="B596">
        <f>-中国_中债国债到期收益率_1年!B595+中国_中债国债到期收益率_1年!B594</f>
        <v>-3.0000000000000027E-2</v>
      </c>
      <c r="C596">
        <f>-中国_中债国债到期收益率_1年!C595+中国_中债国债到期收益率_1年!C594</f>
        <v>-6.7999999999999172E-3</v>
      </c>
      <c r="D596">
        <f>-中国_中债国债到期收益率_1年!D595+中国_中债国债到期收益率_1年!D594</f>
        <v>7.2999999999998622E-3</v>
      </c>
      <c r="E596">
        <f>-中国_中债国债到期收益率_1年!E595+中国_中债国债到期收益率_1年!E594</f>
        <v>-1.2600000000000389E-2</v>
      </c>
      <c r="F596">
        <f>-中国_中债国债到期收益率_1年!F595+中国_中债国债到期收益率_1年!F594</f>
        <v>7.6000000000000512E-3</v>
      </c>
      <c r="G596">
        <f>-中国_中债国债到期收益率_1年!G595+中国_中债国债到期收益率_1年!G594</f>
        <v>1.110000000000011E-2</v>
      </c>
    </row>
    <row r="597" spans="1:7" x14ac:dyDescent="0.25">
      <c r="A597" s="8">
        <v>45581</v>
      </c>
      <c r="B597">
        <f>-中国_中债国债到期收益率_1年!B596+中国_中债国债到期收益率_1年!B595</f>
        <v>-2.4999999999999467E-3</v>
      </c>
      <c r="C597">
        <f>-中国_中债国债到期收益率_1年!C596+中国_中债国债到期收益率_1年!C595</f>
        <v>1.2499999999999956E-2</v>
      </c>
      <c r="D597">
        <f>-中国_中债国债到期收益率_1年!D596+中国_中债国债到期收益率_1年!D595</f>
        <v>1.1400000000000077E-2</v>
      </c>
      <c r="E597">
        <f>-中国_中债国债到期收益率_1年!E596+中国_中债国债到期收益率_1年!E595</f>
        <v>1.0000000000021103E-4</v>
      </c>
      <c r="F597">
        <f>-中国_中债国债到期收益率_1年!F596+中国_中债国债到期收益率_1年!F595</f>
        <v>-1.0500000000000176E-2</v>
      </c>
      <c r="G597">
        <f>-中国_中债国债到期收益率_1年!G596+中国_中债国债到期收益率_1年!G595</f>
        <v>7.0999999999998842E-3</v>
      </c>
    </row>
    <row r="598" spans="1:7" x14ac:dyDescent="0.25">
      <c r="A598" s="8">
        <v>45582</v>
      </c>
      <c r="B598">
        <f>-中国_中债国债到期收益率_1年!B597+中国_中债国债到期收益率_1年!B596</f>
        <v>0</v>
      </c>
      <c r="C598">
        <f>-中国_中债国债到期收益率_1年!C597+中国_中债国债到期收益率_1年!C596</f>
        <v>-1.4999999999999902E-2</v>
      </c>
      <c r="D598">
        <f>-中国_中债国债到期收益率_1年!D597+中国_中债国债到期收益率_1年!D596</f>
        <v>-7.7000000000002622E-3</v>
      </c>
      <c r="E598">
        <f>-中国_中债国债到期收益率_1年!E597+中国_中债国债到期收益率_1年!E596</f>
        <v>-1.5499999999999847E-2</v>
      </c>
      <c r="F598">
        <f>-中国_中债国债到期收益率_1年!F597+中国_中债国债到期收益率_1年!F596</f>
        <v>-1.3499999999999845E-2</v>
      </c>
      <c r="G598">
        <f>-中国_中债国债到期收益率_1年!G597+中国_中债国债到期收益率_1年!G596</f>
        <v>1.1300000000000088E-2</v>
      </c>
    </row>
    <row r="599" spans="1:7" x14ac:dyDescent="0.25">
      <c r="A599" s="8">
        <v>45583</v>
      </c>
      <c r="B599">
        <f>-中国_中债国债到期收益率_1年!B598+中国_中债国债到期收益率_1年!B597</f>
        <v>2.2499999999999964E-2</v>
      </c>
      <c r="C599">
        <f>-中国_中债国债到期收益率_1年!C598+中国_中债国债到期收益率_1年!C597</f>
        <v>4.0999999999999925E-2</v>
      </c>
      <c r="D599">
        <f>-中国_中债国债到期收益率_1年!D598+中国_中债国债到期收益率_1年!D597</f>
        <v>2.4700000000000166E-2</v>
      </c>
      <c r="E599">
        <f>-中国_中债国债到期收益率_1年!E598+中国_中债国债到期收益率_1年!E597</f>
        <v>3.2999999999999918E-2</v>
      </c>
      <c r="F599">
        <f>-中国_中债国债到期收益率_1年!F598+中国_中债国债到期收益率_1年!F597</f>
        <v>-9.000000000000119E-3</v>
      </c>
      <c r="G599">
        <f>-中国_中债国债到期收益率_1年!G598+中国_中债国债到期收益率_1年!G597</f>
        <v>1.419999999999999E-2</v>
      </c>
    </row>
    <row r="600" spans="1:7" x14ac:dyDescent="0.25">
      <c r="A600" s="8">
        <v>45586</v>
      </c>
      <c r="B600">
        <f>-中国_中债国债到期收益率_1年!B599+中国_中债国债到期收益率_1年!B598</f>
        <v>-5.0000000000001155E-3</v>
      </c>
      <c r="C600">
        <f>-中国_中债国债到期收益率_1年!C599+中国_中债国债到期收益率_1年!C598</f>
        <v>-7.7000000000000401E-3</v>
      </c>
      <c r="D600">
        <f>-中国_中债国债到期收益率_1年!D599+中国_中债国债到期收益率_1年!D598</f>
        <v>-1.2499999999999734E-2</v>
      </c>
      <c r="E600">
        <f>-中国_中债国债到期收益率_1年!E599+中国_中债国债到期收益率_1年!E598</f>
        <v>-1.0000000000000231E-2</v>
      </c>
      <c r="F600">
        <f>-中国_中债国债到期收益率_1年!F599+中国_中债国债到期收益率_1年!F598</f>
        <v>-8.9999999999990088E-4</v>
      </c>
      <c r="G600">
        <f>-中国_中债国债到期收益率_1年!G599+中国_中债国债到期收益率_1年!G598</f>
        <v>-2.0999999999999908E-3</v>
      </c>
    </row>
    <row r="601" spans="1:7" x14ac:dyDescent="0.25">
      <c r="A601" s="8">
        <v>45587</v>
      </c>
      <c r="B601">
        <f>-中国_中债国债到期收益率_1年!B600+中国_中债国债到期收益率_1年!B599</f>
        <v>-2.4999999999999467E-3</v>
      </c>
      <c r="C601">
        <f>-中国_中债国债到期收益率_1年!C600+中国_中债国债到期收益率_1年!C599</f>
        <v>-5.6000000000000494E-3</v>
      </c>
      <c r="D601">
        <f>-中国_中债国债到期收益率_1年!D600+中国_中债国债到期收益率_1年!D599</f>
        <v>-2.0000000000042206E-4</v>
      </c>
      <c r="E601">
        <f>-中国_中债国债到期收益率_1年!E600+中国_中债国债到期收益率_1年!E599</f>
        <v>-2.4999999999999467E-3</v>
      </c>
      <c r="F601">
        <f>-中国_中债国债到期收益率_1年!F600+中国_中债国债到期收益率_1年!F599</f>
        <v>-6.0000000000000053E-3</v>
      </c>
      <c r="G601">
        <f>-中国_中债国债到期收益率_1年!G600+中国_中债国债到期收益率_1年!G599</f>
        <v>-1.7500000000000071E-2</v>
      </c>
    </row>
    <row r="602" spans="1:7" x14ac:dyDescent="0.25">
      <c r="A602" s="8">
        <v>45588</v>
      </c>
      <c r="B602">
        <f>-中国_中债国债到期收益率_1年!B601+中国_中债国债到期收益率_1年!B600</f>
        <v>4.9999999999994493E-4</v>
      </c>
      <c r="C602">
        <f>-中国_中债国债到期收益率_1年!C601+中国_中债国债到期收益率_1年!C600</f>
        <v>-3.7799999999999834E-2</v>
      </c>
      <c r="D602">
        <f>-中国_中债国债到期收益率_1年!D601+中国_中债国债到期收益率_1年!D600</f>
        <v>-2.4699999999999722E-2</v>
      </c>
      <c r="E602">
        <f>-中国_中债国债到期收益率_1年!E601+中国_中债国债到期收益率_1年!E600</f>
        <v>-3.2499999999999751E-2</v>
      </c>
      <c r="F602">
        <f>-中国_中债国债到期收益率_1年!F601+中国_中债国债到期收益率_1年!F600</f>
        <v>-2.310000000000012E-2</v>
      </c>
      <c r="G602">
        <f>-中国_中债国债到期收益率_1年!G601+中国_中债国债到期收益率_1年!G600</f>
        <v>-2.2100000000000009E-2</v>
      </c>
    </row>
    <row r="603" spans="1:7" x14ac:dyDescent="0.25">
      <c r="A603" s="8">
        <v>45589</v>
      </c>
      <c r="B603">
        <f>-中国_中债国债到期收益率_1年!B602+中国_中债国债到期收益率_1年!B601</f>
        <v>9.5000000000000639E-3</v>
      </c>
      <c r="C603">
        <f>-中国_中债国债到期收益率_1年!C602+中国_中债国债到期收益率_1年!C601</f>
        <v>-1.2700000000000156E-2</v>
      </c>
      <c r="D603">
        <f>-中国_中债国债到期收益率_1年!D602+中国_中债国债到期收益率_1年!D601</f>
        <v>-1.0099999999999998E-2</v>
      </c>
      <c r="E603">
        <f>-中国_中债国债到期收益率_1年!E602+中国_中债国债到期收益率_1年!E601</f>
        <v>-1.5000000000000124E-2</v>
      </c>
      <c r="F603">
        <f>-中国_中债国债到期收益率_1年!F602+中国_中债国债到期收益率_1年!F601</f>
        <v>-1.7900000000000027E-2</v>
      </c>
      <c r="G603">
        <f>-中国_中债国债到期收益率_1年!G602+中国_中债国债到期收益率_1年!G601</f>
        <v>-3.2699999999999951E-2</v>
      </c>
    </row>
    <row r="604" spans="1:7" x14ac:dyDescent="0.25">
      <c r="A604" s="8">
        <v>45590</v>
      </c>
      <c r="B604">
        <f>-中国_中债国债到期收益率_1年!B603+中国_中债国债到期收益率_1年!B602</f>
        <v>-4.7999999999999154E-3</v>
      </c>
      <c r="C604">
        <f>-中国_中债国债到期收益率_1年!C603+中国_中债国债到期收益率_1年!C602</f>
        <v>-7.8000000000000291E-3</v>
      </c>
      <c r="D604">
        <f>-中国_中债国债到期收益率_1年!D603+中国_中债国债到期收益率_1年!D602</f>
        <v>-1.0200000000000209E-2</v>
      </c>
      <c r="E604">
        <f>-中国_中债国债到期收益率_1年!E603+中国_中债国债到期收益率_1年!E602</f>
        <v>0</v>
      </c>
      <c r="F604">
        <f>-中国_中债国债到期收益率_1年!F603+中国_中债国债到期收益率_1年!F602</f>
        <v>7.3000000000000842E-3</v>
      </c>
      <c r="G604">
        <f>-中国_中债国债到期收益率_1年!G603+中国_中债国债到期收益率_1年!G602</f>
        <v>-1.5000000000000568E-3</v>
      </c>
    </row>
    <row r="605" spans="1:7" x14ac:dyDescent="0.25">
      <c r="A605" s="8">
        <v>45593</v>
      </c>
      <c r="B605">
        <f>-中国_中债国债到期收益率_1年!B604+中国_中债国债到期收益率_1年!B603</f>
        <v>1.3299999999999867E-2</v>
      </c>
      <c r="C605">
        <f>-中国_中债国债到期收益率_1年!C604+中国_中债国债到期收益率_1年!C603</f>
        <v>9.300000000000086E-3</v>
      </c>
      <c r="D605">
        <f>-中国_中债国债到期收益率_1年!D604+中国_中债国债到期收益率_1年!D603</f>
        <v>1.2199999999999989E-2</v>
      </c>
      <c r="E605">
        <f>-中国_中债国债到期收益率_1年!E604+中国_中债国债到期收益率_1年!E603</f>
        <v>-4.9999999999998934E-3</v>
      </c>
      <c r="F605">
        <f>-中国_中债国债到期收益率_1年!F604+中国_中债国债到期收益率_1年!F603</f>
        <v>-1.8000000000000238E-3</v>
      </c>
      <c r="G605">
        <f>-中国_中债国债到期收益率_1年!G604+中国_中债国债到期收益率_1年!G603</f>
        <v>-9.7000000000000419E-3</v>
      </c>
    </row>
    <row r="606" spans="1:7" x14ac:dyDescent="0.25">
      <c r="A606" s="8">
        <v>45594</v>
      </c>
      <c r="B606">
        <f>-中国_中债国债到期收益率_1年!B605+中国_中债国债到期收益率_1年!B604</f>
        <v>9.9000000000000199E-3</v>
      </c>
      <c r="C606">
        <f>-中国_中债国债到期收益率_1年!C605+中国_中债国债到期收益率_1年!C604</f>
        <v>9.200000000000097E-3</v>
      </c>
      <c r="D606">
        <f>-中国_中债国债到期收益率_1年!D605+中国_中债国债到期收益率_1年!D604</f>
        <v>-7.8000000000000291E-3</v>
      </c>
      <c r="E606">
        <f>-中国_中债国债到期收益率_1年!E605+中国_中债国债到期收益率_1年!E604</f>
        <v>-2.0000000000000018E-2</v>
      </c>
      <c r="F606">
        <f>-中国_中债国债到期收益率_1年!F605+中国_中债国债到期收益率_1年!F604</f>
        <v>1.7300000000000093E-2</v>
      </c>
      <c r="G606">
        <f>-中国_中债国债到期收益率_1年!G605+中国_中债国债到期收益率_1年!G604</f>
        <v>1.0300000000000198E-2</v>
      </c>
    </row>
    <row r="607" spans="1:7" x14ac:dyDescent="0.25">
      <c r="A607" s="8">
        <v>45595</v>
      </c>
      <c r="B607">
        <f>-中国_中债国债到期收益率_1年!B606+中国_中债国债到期收益率_1年!B605</f>
        <v>-2.970000000000006E-2</v>
      </c>
      <c r="C607">
        <f>-中国_中债国债到期收益率_1年!C606+中国_中债国债到期收益率_1年!C605</f>
        <v>4.4999999999999485E-3</v>
      </c>
      <c r="D607">
        <f>-中国_中债国债到期收益率_1年!D606+中国_中债国债到期收益率_1年!D605</f>
        <v>1.9000000000000128E-3</v>
      </c>
      <c r="E607">
        <f>-中国_中债国债到期收益率_1年!E606+中国_中债国债到期收益率_1年!E605</f>
        <v>1.399999999999979E-2</v>
      </c>
      <c r="F607">
        <f>-中国_中债国债到期收益率_1年!F606+中国_中债国债到期收益率_1年!F605</f>
        <v>7.8000000000000291E-3</v>
      </c>
      <c r="G607">
        <f>-中国_中债国债到期收益率_1年!G606+中国_中债国债到期收益率_1年!G605</f>
        <v>1.2899999999999912E-2</v>
      </c>
    </row>
    <row r="608" spans="1:7" x14ac:dyDescent="0.25">
      <c r="A608" s="8">
        <v>45596</v>
      </c>
      <c r="B608">
        <f>-中国_中债国债到期收益率_1年!B607+中国_中债国债到期收益率_1年!B606</f>
        <v>-9.3999999999998529E-3</v>
      </c>
      <c r="C608">
        <f>-中国_中债国债到期收益率_1年!C607+中国_中债国债到期收益率_1年!C606</f>
        <v>7.0999999999998842E-3</v>
      </c>
      <c r="D608">
        <f>-中国_中债国债到期收益率_1年!D607+中国_中债国债到期收益率_1年!D606</f>
        <v>1.0000000000021103E-4</v>
      </c>
      <c r="E608">
        <f>-中国_中债国债到期收益率_1年!E607+中国_中债国债到期收益率_1年!E606</f>
        <v>6.0000000000002274E-3</v>
      </c>
      <c r="F608">
        <f>-中国_中债国债到期收益率_1年!F607+中国_中债国债到期收益率_1年!F606</f>
        <v>-5.1000000000001044E-3</v>
      </c>
      <c r="G608">
        <f>-中国_中债国债到期收益率_1年!G607+中国_中债国债到期收益率_1年!G606</f>
        <v>3.3000000000000806E-3</v>
      </c>
    </row>
    <row r="609" spans="1:7" x14ac:dyDescent="0.25">
      <c r="A609" s="8">
        <v>45597</v>
      </c>
      <c r="B609">
        <f>-中国_中债国债到期收益率_1年!B608+中国_中债国债到期收益率_1年!B607</f>
        <v>2.0100000000000007E-2</v>
      </c>
      <c r="C609">
        <f>-中国_中债国债到期收益率_1年!C608+中国_中债国债到期收益率_1年!C607</f>
        <v>2.7300000000000102E-2</v>
      </c>
      <c r="D609">
        <f>-中国_中债国债到期收益率_1年!D608+中国_中债国债到期收益率_1年!D607</f>
        <v>1.2099999999999778E-2</v>
      </c>
      <c r="E609">
        <f>-中国_中债国债到期收益率_1年!E608+中国_中债国债到期收益率_1年!E607</f>
        <v>2.4999999999999911E-2</v>
      </c>
      <c r="F609">
        <f>-中国_中债国债到期收益率_1年!F608+中国_中债国债到期收益率_1年!F607</f>
        <v>-4.0999999999999925E-3</v>
      </c>
      <c r="G609">
        <f>-中国_中债国债到期收益率_1年!G608+中国_中债国债到期收益率_1年!G607</f>
        <v>-4.6000000000001595E-3</v>
      </c>
    </row>
    <row r="610" spans="1:7" x14ac:dyDescent="0.25">
      <c r="A610" s="8">
        <v>45600</v>
      </c>
      <c r="B610">
        <f>-中国_中债国债到期收益率_1年!B609+中国_中债国债到期收益率_1年!B608</f>
        <v>1.9499999999999851E-2</v>
      </c>
      <c r="C610">
        <f>-中国_中债国债到期收益率_1年!C609+中国_中债国债到期收益率_1年!C608</f>
        <v>2.729999999999988E-2</v>
      </c>
      <c r="D610">
        <f>-中国_中债国债到期收益率_1年!D609+中国_中债国债到期收益率_1年!D608</f>
        <v>7.0000000000001172E-3</v>
      </c>
      <c r="E610">
        <f>-中国_中债国债到期收益率_1年!E609+中国_中债国债到期收益率_1年!E608</f>
        <v>1.7500000000000071E-2</v>
      </c>
      <c r="F610">
        <f>-中国_中债国债到期收益率_1年!F609+中国_中债国债到期收益率_1年!F608</f>
        <v>3.1500000000000083E-2</v>
      </c>
      <c r="G610">
        <f>-中国_中债国债到期收益率_1年!G609+中国_中债国债到期收益率_1年!G608</f>
        <v>1.7900000000000027E-2</v>
      </c>
    </row>
    <row r="611" spans="1:7" x14ac:dyDescent="0.25">
      <c r="A611" s="8">
        <v>45601</v>
      </c>
      <c r="B611">
        <f>-中国_中债国债到期收益率_1年!B610+中国_中债国债到期收益率_1年!B609</f>
        <v>2.0999999999999908E-3</v>
      </c>
      <c r="C611">
        <f>-中国_中债国债到期收益率_1年!C610+中国_中债国债到期收益率_1年!C609</f>
        <v>-1.1199999999999877E-2</v>
      </c>
      <c r="D611">
        <f>-中国_中债国债到期收益率_1年!D610+中国_中债国债到期收益率_1年!D609</f>
        <v>1.3100000000000112E-2</v>
      </c>
      <c r="E611">
        <f>-中国_中债国债到期收益率_1年!E610+中国_中债国债到期收益率_1年!E609</f>
        <v>1.2499999999999734E-2</v>
      </c>
      <c r="F611">
        <f>-中国_中债国债到期收益率_1年!F610+中国_中债国债到期收益率_1年!F609</f>
        <v>1.1299999999999866E-2</v>
      </c>
      <c r="G611">
        <f>-中国_中债国债到期收益率_1年!G610+中国_中债国债到期收益率_1年!G609</f>
        <v>8.0000000000000071E-3</v>
      </c>
    </row>
    <row r="612" spans="1:7" x14ac:dyDescent="0.25">
      <c r="A612" s="8">
        <v>45602</v>
      </c>
      <c r="B612">
        <f>-中国_中债国债到期收益率_1年!B611+中国_中债国债到期收益率_1年!B610</f>
        <v>-3.2999999999998586E-3</v>
      </c>
      <c r="C612">
        <f>-中国_中债国债到期收益率_1年!C611+中国_中债国债到期收益率_1年!C610</f>
        <v>9.5000000000000639E-3</v>
      </c>
      <c r="D612">
        <f>-中国_中债国债到期收益率_1年!D611+中国_中债国债到期收益率_1年!D610</f>
        <v>1.6900000000000137E-2</v>
      </c>
      <c r="E612">
        <f>-中国_中债国债到期收益率_1年!E611+中国_中债国债到期收益率_1年!E610</f>
        <v>2.2499999999999964E-2</v>
      </c>
      <c r="F612">
        <f>-中国_中债国债到期收益率_1年!F611+中国_中债国债到期收益率_1年!F610</f>
        <v>2.9999999999996696E-4</v>
      </c>
      <c r="G612">
        <f>-中国_中债国债到期收益率_1年!G611+中国_中债国债到期收益率_1年!G610</f>
        <v>3.9000000000000146E-3</v>
      </c>
    </row>
    <row r="613" spans="1:7" x14ac:dyDescent="0.25">
      <c r="A613" s="8">
        <v>45603</v>
      </c>
      <c r="B613">
        <f>-中国_中债国债到期收益率_1年!B612+中国_中债国债到期收益率_1年!B611</f>
        <v>-2.6000000000001577E-3</v>
      </c>
      <c r="C613">
        <f>-中国_中债国债到期收益率_1年!C612+中国_中债国债到期收益率_1年!C611</f>
        <v>-5.7000000000000384E-3</v>
      </c>
      <c r="D613">
        <f>-中国_中债国债到期收益率_1年!D612+中国_中债国债到期收益率_1年!D611</f>
        <v>-1.2800000000000367E-2</v>
      </c>
      <c r="E613">
        <f>-中国_中债国债到期收益率_1年!E612+中国_中债国债到期收益率_1年!E611</f>
        <v>-7.4999999999998401E-3</v>
      </c>
      <c r="F613">
        <f>-中国_中债国债到期收益率_1年!F612+中国_中债国债到期收益率_1年!F611</f>
        <v>3.5000000000000586E-3</v>
      </c>
      <c r="G613">
        <f>-中国_中债国债到期收益率_1年!G612+中国_中债国债到期收益率_1年!G611</f>
        <v>1.9600000000000062E-2</v>
      </c>
    </row>
    <row r="614" spans="1:7" x14ac:dyDescent="0.25">
      <c r="A614" s="8">
        <v>45604</v>
      </c>
      <c r="B614">
        <f>-中国_中债国债到期收益率_1年!B613+中国_中债国债到期收益率_1年!B612</f>
        <v>8.1000000000002181E-3</v>
      </c>
      <c r="C614">
        <f>-中国_中债国债到期收益率_1年!C613+中国_中债国债到期收益率_1年!C612</f>
        <v>1.959999999999984E-2</v>
      </c>
      <c r="D614">
        <f>-中国_中债国债到期收益率_1年!D613+中国_中债国债到期收益率_1年!D612</f>
        <v>1.1900000000000244E-2</v>
      </c>
      <c r="E614">
        <f>-中国_中债国债到期收益率_1年!E613+中国_中债国债到期收益率_1年!E612</f>
        <v>1.0000000000000231E-2</v>
      </c>
      <c r="F614">
        <f>-中国_中债国债到期收益率_1年!F613+中国_中债国债到期收益率_1年!F612</f>
        <v>2.1900000000000031E-2</v>
      </c>
      <c r="G614">
        <f>-中国_中债国债到期收益率_1年!G613+中国_中债国债到期收益率_1年!G612</f>
        <v>1.4999999999999902E-2</v>
      </c>
    </row>
    <row r="615" spans="1:7" x14ac:dyDescent="0.25">
      <c r="A615" s="8">
        <v>45607</v>
      </c>
      <c r="B615">
        <f>-中国_中债国债到期收益率_1年!B614+中国_中债国债到期收益率_1年!B613</f>
        <v>-4.0000000000000036E-3</v>
      </c>
      <c r="C615">
        <f>-中国_中债国债到期收益率_1年!C614+中国_中债国债到期收益率_1年!C613</f>
        <v>1.2500000000000178E-2</v>
      </c>
      <c r="D615">
        <f>-中国_中债国债到期收益率_1年!D614+中国_中债国债到期收益率_1年!D613</f>
        <v>4.7999999999999154E-3</v>
      </c>
      <c r="E615">
        <f>-中国_中债国债到期收益率_1年!E614+中国_中债国债到期收益率_1年!E613</f>
        <v>2.4999999999999467E-3</v>
      </c>
      <c r="F615">
        <f>-中国_中债国债到期收益率_1年!F614+中国_中债国债到期收益率_1年!F613</f>
        <v>-3.9000000000000146E-3</v>
      </c>
      <c r="G615">
        <f>-中国_中债国债到期收益率_1年!G614+中国_中债国债到期收益率_1年!G613</f>
        <v>1.1000000000000121E-2</v>
      </c>
    </row>
    <row r="616" spans="1:7" x14ac:dyDescent="0.25">
      <c r="A616" s="8">
        <v>45608</v>
      </c>
      <c r="B616">
        <f>-中国_中债国债到期收益率_1年!B615+中国_中债国债到期收益率_1年!B614</f>
        <v>2.9999999999998916E-3</v>
      </c>
      <c r="C616">
        <f>-中国_中债国债到期收益率_1年!C615+中国_中债国债到期收益率_1年!C614</f>
        <v>1.8000000000000238E-3</v>
      </c>
      <c r="D616">
        <f>-中国_中债国债到期收益率_1年!D615+中国_中债国债到期收益率_1年!D614</f>
        <v>1.4699999999999935E-2</v>
      </c>
      <c r="E616">
        <f>-中国_中债国债到期收益率_1年!E615+中国_中债国债到期收益率_1年!E614</f>
        <v>2.0000000000000018E-2</v>
      </c>
      <c r="F616">
        <f>-中国_中债国债到期收益率_1年!F615+中国_中债国债到期收益率_1年!F614</f>
        <v>-1.0699999999999932E-2</v>
      </c>
      <c r="G616">
        <f>-中国_中债国债到期收益率_1年!G615+中国_中债国债到期收益率_1年!G614</f>
        <v>8.0000000000000071E-3</v>
      </c>
    </row>
    <row r="617" spans="1:7" x14ac:dyDescent="0.25">
      <c r="A617" s="8">
        <v>45609</v>
      </c>
      <c r="B617">
        <f>-中国_中债国债到期收益率_1年!B616+中国_中债国债到期收益率_1年!B615</f>
        <v>2.3999999999999577E-3</v>
      </c>
      <c r="C617">
        <f>-中国_中债国债到期收益率_1年!C616+中国_中债国债到期收益率_1年!C615</f>
        <v>2.7899999999999814E-2</v>
      </c>
      <c r="D617">
        <f>-中国_中债国债到期收益率_1年!D616+中国_中债国债到期收益率_1年!D615</f>
        <v>1.9099999999999895E-2</v>
      </c>
      <c r="E617">
        <f>-中国_中债国债到期收益率_1年!E616+中国_中债国债到期收益率_1年!E615</f>
        <v>2.1499999999999631E-2</v>
      </c>
      <c r="F617">
        <f>-中国_中债国债到期收益率_1年!F616+中国_中债国债到期收益率_1年!F615</f>
        <v>1.1500000000000066E-2</v>
      </c>
      <c r="G617">
        <f>-中国_中债国债到期收益率_1年!G616+中国_中债国债到期收益率_1年!G615</f>
        <v>2.4899999999999922E-2</v>
      </c>
    </row>
    <row r="618" spans="1:7" x14ac:dyDescent="0.25">
      <c r="A618" s="8">
        <v>45610</v>
      </c>
      <c r="B618">
        <f>-中国_中债国债到期收益率_1年!B617+中国_中债国债到期收益率_1年!B616</f>
        <v>-2.0000000000000018E-3</v>
      </c>
      <c r="C618">
        <f>-中国_中债国债到期收益率_1年!C617+中国_中债国债到期收益率_1年!C616</f>
        <v>-5.5999999999998273E-3</v>
      </c>
      <c r="D618">
        <f>-中国_中债国债到期收益率_1年!D617+中国_中债国债到期收益率_1年!D616</f>
        <v>-1.4699999999999935E-2</v>
      </c>
      <c r="E618">
        <f>-中国_中债国债到期收益率_1年!E617+中国_中债国债到期收益率_1年!E616</f>
        <v>-2.3999999999999577E-2</v>
      </c>
      <c r="F618">
        <f>-中国_中债国债到期收益率_1年!F617+中国_中债国债到期收益率_1年!F616</f>
        <v>-6.1000000000002164E-3</v>
      </c>
      <c r="G618">
        <f>-中国_中债国债到期收益率_1年!G617+中国_中债国债到期收益率_1年!G616</f>
        <v>-1.9000000000000128E-3</v>
      </c>
    </row>
    <row r="619" spans="1:7" x14ac:dyDescent="0.25">
      <c r="A619" s="8">
        <v>45611</v>
      </c>
      <c r="B619">
        <f>-中国_中债国债到期收益率_1年!B618+中国_中债国债到期收益率_1年!B617</f>
        <v>1.1800000000000033E-2</v>
      </c>
      <c r="C619">
        <f>-中国_中债国债到期收益率_1年!C618+中国_中债国债到期收益率_1年!C617</f>
        <v>1.21E-2</v>
      </c>
      <c r="D619">
        <f>-中国_中债国债到期收益率_1年!D618+中国_中债国债到期收益率_1年!D617</f>
        <v>6.8000000000001393E-3</v>
      </c>
      <c r="E619">
        <f>-中国_中债国债到期收益率_1年!E618+中国_中债国债到期收益率_1年!E617</f>
        <v>-1.000000000000334E-3</v>
      </c>
      <c r="F619">
        <f>-中国_中债国债到期收益率_1年!F618+中国_中债国债到期收益率_1年!F617</f>
        <v>4.8000000000001375E-3</v>
      </c>
      <c r="G619">
        <f>-中国_中债国债到期收益率_1年!G618+中国_中债国债到期收益率_1年!G617</f>
        <v>-2.3999999999999577E-3</v>
      </c>
    </row>
    <row r="620" spans="1:7" x14ac:dyDescent="0.25">
      <c r="A620" s="8">
        <v>45614</v>
      </c>
      <c r="B620">
        <f>-中国_中债国债到期收益率_1年!B619+中国_中债国债到期收益率_1年!B618</f>
        <v>3.5000000000000586E-3</v>
      </c>
      <c r="C620">
        <f>-中国_中债国债到期收益率_1年!C619+中国_中债国债到期收益率_1年!C618</f>
        <v>-3.4000000000000696E-3</v>
      </c>
      <c r="D620">
        <f>-中国_中债国债到期收益率_1年!D619+中国_中债国债到期收益率_1年!D618</f>
        <v>-1.4000000000000234E-2</v>
      </c>
      <c r="E620">
        <f>-中国_中债国债到期收益率_1年!E619+中国_中债国债到期收益率_1年!E618</f>
        <v>-2.1500000000000075E-2</v>
      </c>
      <c r="F620">
        <f>-中国_中债国债到期收益率_1年!F619+中国_中债国债到期收益率_1年!F618</f>
        <v>5.4000000000000714E-3</v>
      </c>
      <c r="G620">
        <f>-中国_中债国债到期收益率_1年!G619+中国_中债国债到期收益率_1年!G618</f>
        <v>9.9000000000000199E-3</v>
      </c>
    </row>
    <row r="621" spans="1:7" x14ac:dyDescent="0.25">
      <c r="A621" s="8">
        <v>45615</v>
      </c>
      <c r="B621">
        <f>-中国_中债国债到期收益率_1年!B620+中国_中债国债到期收益率_1年!B619</f>
        <v>1.7199999999999882E-2</v>
      </c>
      <c r="C621">
        <f>-中国_中债国债到期收益率_1年!C620+中国_中债国债到期收益率_1年!C619</f>
        <v>-1.4100000000000001E-2</v>
      </c>
      <c r="D621">
        <f>-中国_中债国债到期收益率_1年!D620+中国_中债国债到期收益率_1年!D619</f>
        <v>-1.6899999999999693E-2</v>
      </c>
      <c r="E621">
        <f>-中国_中债国债到期收益率_1年!E620+中国_中债国债到期收益率_1年!E619</f>
        <v>-3.4999999999999698E-2</v>
      </c>
      <c r="F621">
        <f>-中国_中债国债到期收益率_1年!F620+中国_中债国债到期收益率_1年!F619</f>
        <v>-2.8400000000000203E-2</v>
      </c>
      <c r="G621">
        <f>-中国_中债国债到期收益率_1年!G620+中国_中债国债到期收益率_1年!G619</f>
        <v>-3.0100000000000016E-2</v>
      </c>
    </row>
    <row r="622" spans="1:7" x14ac:dyDescent="0.25">
      <c r="A622" s="8">
        <v>45616</v>
      </c>
      <c r="B622">
        <f>-中国_中债国债到期收益率_1年!B621+中国_中债国债到期收益率_1年!B620</f>
        <v>1.2399999999999967E-2</v>
      </c>
      <c r="C622">
        <f>-中国_中债国债到期收益率_1年!C621+中国_中债国债到期收益率_1年!C620</f>
        <v>1.1800000000000033E-2</v>
      </c>
      <c r="D622">
        <f>-中国_中债国债到期收益率_1年!D621+中国_中债国债到期收益率_1年!D620</f>
        <v>1.6999999999999904E-2</v>
      </c>
      <c r="E622">
        <f>-中国_中债国债到期收益率_1年!E621+中国_中债国债到期收益率_1年!E620</f>
        <v>3.1499999999999861E-2</v>
      </c>
      <c r="F622">
        <f>-中国_中债国债到期收益率_1年!F621+中国_中债国债到期收益率_1年!F620</f>
        <v>3.5000000000000586E-3</v>
      </c>
      <c r="G622">
        <f>-中国_中债国债到期收益率_1年!G621+中国_中债国债到期收益率_1年!G620</f>
        <v>3.7000000000000366E-3</v>
      </c>
    </row>
    <row r="623" spans="1:7" x14ac:dyDescent="0.25">
      <c r="A623" s="8">
        <v>45617</v>
      </c>
      <c r="B623">
        <f>-中国_中债国债到期收益率_1年!B622+中国_中债国债到期收益率_1年!B621</f>
        <v>9.9000000000000199E-3</v>
      </c>
      <c r="C623">
        <f>-中国_中债国债到期收益率_1年!C622+中国_中债国债到期收益率_1年!C621</f>
        <v>4.7999999999999154E-3</v>
      </c>
      <c r="D623">
        <f>-中国_中债国债到期收益率_1年!D622+中国_中债国债到期收益率_1年!D621</f>
        <v>-7.8000000000000291E-3</v>
      </c>
      <c r="E623">
        <f>-中国_中债国债到期收益率_1年!E622+中国_中债国债到期收益率_1年!E621</f>
        <v>-1.9000000000000128E-2</v>
      </c>
      <c r="F623">
        <f>-中国_中债国债到期收益率_1年!F622+中国_中债国债到期收益率_1年!F621</f>
        <v>4.9000000000001265E-3</v>
      </c>
      <c r="G623">
        <f>-中国_中债国债到期收益率_1年!G622+中国_中债国债到期收益率_1年!G621</f>
        <v>7.9000000000000181E-3</v>
      </c>
    </row>
    <row r="624" spans="1:7" x14ac:dyDescent="0.25">
      <c r="A624" s="8">
        <v>45618</v>
      </c>
      <c r="B624">
        <f>-中国_中债国债到期收益率_1年!B623+中国_中债国债到期收益率_1年!B622</f>
        <v>9.9999999999988987E-5</v>
      </c>
      <c r="C624">
        <f>-中国_中债国债到期收益率_1年!C623+中国_中债国债到期收益率_1年!C622</f>
        <v>9.7000000000000419E-3</v>
      </c>
      <c r="D624">
        <f>-中国_中债国债到期收益率_1年!D623+中国_中债国债到期收益率_1年!D622</f>
        <v>1.8200000000000216E-2</v>
      </c>
      <c r="E624">
        <f>-中国_中债国债到期收益率_1年!E623+中国_中债国债到期收益率_1年!E622</f>
        <v>2.9900000000000038E-2</v>
      </c>
      <c r="F624">
        <f>-中国_中债国债到期收益率_1年!F623+中国_中债国债到期收益率_1年!F622</f>
        <v>8.2999999999999741E-3</v>
      </c>
      <c r="G624">
        <f>-中国_中债国债到期收益率_1年!G623+中国_中债国债到期收益率_1年!G622</f>
        <v>1.2399999999999967E-2</v>
      </c>
    </row>
    <row r="625" spans="1:7" x14ac:dyDescent="0.25">
      <c r="A625" s="8">
        <v>45621</v>
      </c>
      <c r="B625">
        <f>-中国_中债国债到期收益率_1年!B624+中国_中债国债到期收益率_1年!B623</f>
        <v>-2.4999999999999467E-3</v>
      </c>
      <c r="C625">
        <f>-中国_中债国债到期收益率_1年!C624+中国_中债国债到期收益率_1年!C623</f>
        <v>-5.4000000000000714E-3</v>
      </c>
      <c r="D625">
        <f>-中国_中债国债到期收益率_1年!D624+中国_中债国债到期收益率_1年!D623</f>
        <v>1.0999999999996568E-3</v>
      </c>
      <c r="E625">
        <f>-中国_中债国债到期收益率_1年!E624+中国_中债国债到期收益率_1年!E623</f>
        <v>1.0099999999999998E-2</v>
      </c>
      <c r="F625">
        <f>-中国_中债国债到期收益率_1年!F624+中国_中债国债到期收益率_1年!F623</f>
        <v>1.0999999999998789E-3</v>
      </c>
      <c r="G625">
        <f>-中国_中债国债到期收益率_1年!G624+中国_中债国债到期收益率_1年!G623</f>
        <v>5.9000000000000163E-3</v>
      </c>
    </row>
    <row r="626" spans="1:7" x14ac:dyDescent="0.25">
      <c r="A626" s="8">
        <v>45622</v>
      </c>
      <c r="B626">
        <f>-中国_中债国债到期收益率_1年!B625+中国_中债国债到期收益率_1年!B624</f>
        <v>-9.9000000000000199E-3</v>
      </c>
      <c r="C626">
        <f>-中国_中债国债到期收益率_1年!C625+中国_中债国债到期收益率_1年!C624</f>
        <v>9.5000000000000639E-3</v>
      </c>
      <c r="D626">
        <f>-中国_中债国债到期收益率_1年!D625+中国_中债国债到期收益率_1年!D624</f>
        <v>1.5000000000000124E-2</v>
      </c>
      <c r="E626">
        <f>-中国_中债国债到期收益率_1年!E625+中国_中债国债到期收益率_1年!E624</f>
        <v>2.4000000000000021E-2</v>
      </c>
      <c r="F626">
        <f>-中国_中债国债到期收益率_1年!F625+中国_中债国债到期收益率_1年!F624</f>
        <v>1.9400000000000084E-2</v>
      </c>
      <c r="G626">
        <f>-中国_中债国债到期收益率_1年!G625+中国_中债国债到期收益率_1年!G624</f>
        <v>1.9900000000000029E-2</v>
      </c>
    </row>
    <row r="627" spans="1:7" x14ac:dyDescent="0.25">
      <c r="A627" s="8">
        <v>45623</v>
      </c>
      <c r="B627">
        <f>-中国_中债国债到期收益率_1年!B626+中国_中债国债到期收益率_1年!B625</f>
        <v>-2.5299999999999878E-2</v>
      </c>
      <c r="C627">
        <f>-中国_中债国债到期收益率_1年!C626+中国_中债国债到期收益率_1年!C625</f>
        <v>-5.2000000000000934E-3</v>
      </c>
      <c r="D627">
        <f>-中国_中债国债到期收益率_1年!D626+中国_中债国债到期收益率_1年!D625</f>
        <v>2.4999999999999467E-3</v>
      </c>
      <c r="E627">
        <f>-中国_中债国债到期收益率_1年!E626+中国_中债国债到期收益率_1年!E625</f>
        <v>-4.0000000000000036E-3</v>
      </c>
      <c r="F627">
        <f>-中国_中债国债到期收益率_1年!F626+中国_中债国债到期收益率_1年!F625</f>
        <v>5.5000000000000604E-3</v>
      </c>
      <c r="G627">
        <f>-中国_中债国债到期收益率_1年!G626+中国_中债国债到期收益率_1年!G625</f>
        <v>6.8999999999999062E-3</v>
      </c>
    </row>
    <row r="628" spans="1:7" x14ac:dyDescent="0.25">
      <c r="A628" s="8">
        <v>45624</v>
      </c>
      <c r="B628">
        <f>-中国_中债国债到期收益率_1年!B627+中国_中债国债到期收益率_1年!B626</f>
        <v>1.0999999999998789E-3</v>
      </c>
      <c r="C628">
        <f>-中国_中债国债到期收益率_1年!C627+中国_中债国债到期收益率_1年!C626</f>
        <v>-3.2999999999998586E-3</v>
      </c>
      <c r="D628">
        <f>-中国_中债国债到期收益率_1年!D627+中国_中债国债到期收益率_1年!D626</f>
        <v>1.0400000000000187E-2</v>
      </c>
      <c r="E628">
        <f>-中国_中债国债到期收益率_1年!E627+中国_中债国债到期收益率_1年!E626</f>
        <v>-4.9999999999998934E-3</v>
      </c>
      <c r="F628">
        <f>-中国_中债国债到期收益率_1年!F627+中国_中债国债到期收益率_1年!F626</f>
        <v>1.2999999999998568E-3</v>
      </c>
      <c r="G628">
        <f>-中国_中债国债到期收益率_1年!G627+中国_中债国债到期收益率_1年!G626</f>
        <v>-1.6000000000000458E-3</v>
      </c>
    </row>
    <row r="629" spans="1:7" x14ac:dyDescent="0.25">
      <c r="A629" s="8">
        <v>45625</v>
      </c>
      <c r="B629">
        <f>-中国_中债国债到期收益率_1年!B628+中国_中债国债到期收益率_1年!B627</f>
        <v>6.8000000000001393E-3</v>
      </c>
      <c r="C629">
        <f>-中国_中债国债到期收益率_1年!C628+中国_中债国债到期收益率_1年!C627</f>
        <v>1.7900000000000027E-2</v>
      </c>
      <c r="D629">
        <f>-中国_中债国债到期收益率_1年!D628+中国_中债国债到期收益率_1年!D627</f>
        <v>2.48999999999997E-2</v>
      </c>
      <c r="E629">
        <f>-中国_中债国债到期收益率_1年!E628+中国_中债国债到期收益率_1年!E627</f>
        <v>3.2000000000000028E-2</v>
      </c>
      <c r="F629">
        <f>-中国_中债国债到期收益率_1年!F628+中国_中债国债到期收益率_1年!F627</f>
        <v>-2.2999999999999687E-3</v>
      </c>
      <c r="G629">
        <f>-中国_中债国债到期收益率_1年!G628+中国_中债国债到期收益率_1年!G627</f>
        <v>1.9999999999997797E-4</v>
      </c>
    </row>
    <row r="630" spans="1:7" x14ac:dyDescent="0.25">
      <c r="A630" s="8">
        <v>45628</v>
      </c>
      <c r="B630">
        <f>-中国_中债国债到期收益率_1年!B629+中国_中债国债到期收益率_1年!B628</f>
        <v>7.9000000000000181E-3</v>
      </c>
      <c r="C630">
        <f>-中国_中债国债到期收益率_1年!C629+中国_中债国债到期收益率_1年!C628</f>
        <v>2.4399999999999977E-2</v>
      </c>
      <c r="D630">
        <f>-中国_中债国债到期收益率_1年!D629+中国_中债国债到期收益率_1年!D628</f>
        <v>9.800000000000253E-3</v>
      </c>
      <c r="E630">
        <f>-中国_中债国债到期收益率_1年!E629+中国_中债国债到期收益率_1年!E628</f>
        <v>1.5499999999999847E-2</v>
      </c>
      <c r="F630">
        <f>-中国_中债国债到期收益率_1年!F629+中国_中债国债到期收益率_1年!F628</f>
        <v>3.0399999999999983E-2</v>
      </c>
      <c r="G630">
        <f>-中国_中债国债到期收益率_1年!G629+中国_中债国债到期收益率_1年!G628</f>
        <v>2.3500000000000076E-2</v>
      </c>
    </row>
    <row r="631" spans="1:7" x14ac:dyDescent="0.25">
      <c r="A631" s="8">
        <v>45629</v>
      </c>
      <c r="B631">
        <f>-中国_中债国债到期收益率_1年!B630+中国_中债国债到期收益率_1年!B629</f>
        <v>1.9799999999999818E-2</v>
      </c>
      <c r="C631">
        <f>-中国_中债国债到期收益率_1年!C630+中国_中债国债到期收益率_1年!C629</f>
        <v>4.4799999999999951E-2</v>
      </c>
      <c r="D631">
        <f>-中国_中债国债到期收益率_1年!D630+中国_中债国债到期收益率_1年!D629</f>
        <v>3.9599999999999858E-2</v>
      </c>
      <c r="E631">
        <f>-中国_中债国债到期收益率_1年!E630+中国_中债国债到期收益率_1年!E629</f>
        <v>3.2500000000000195E-2</v>
      </c>
      <c r="F631">
        <f>-中国_中债国债到期收益率_1年!F630+中国_中债国债到期收益率_1年!F629</f>
        <v>6.4999999999999947E-2</v>
      </c>
      <c r="G631">
        <f>-中国_中债国债到期收益率_1年!G630+中国_中债国债到期收益率_1年!G629</f>
        <v>4.7700000000000076E-2</v>
      </c>
    </row>
    <row r="632" spans="1:7" x14ac:dyDescent="0.25">
      <c r="A632" s="8">
        <v>45630</v>
      </c>
      <c r="B632">
        <f>-中国_中债国债到期收益率_1年!B631+中国_中债国债到期收益率_1年!B630</f>
        <v>9.0000000000012292E-4</v>
      </c>
      <c r="C632">
        <f>-中国_中债国债到期收益率_1年!C631+中国_中债国债到期收益率_1年!C630</f>
        <v>-1.0699999999999932E-2</v>
      </c>
      <c r="D632">
        <f>-中国_中债国债到期收益率_1年!D631+中国_中债国债到期收益率_1年!D630</f>
        <v>-7.5999999999998291E-3</v>
      </c>
      <c r="E632">
        <f>-中国_中债国债到期收益率_1年!E631+中国_中债国债到期收益率_1年!E630</f>
        <v>2.4999999999999467E-3</v>
      </c>
      <c r="F632">
        <f>-中国_中债国债到期收益率_1年!F631+中国_中债国债到期收益率_1年!F630</f>
        <v>-6.6999999999999282E-3</v>
      </c>
      <c r="G632">
        <f>-中国_中债国债到期收益率_1年!G631+中国_中债国债到期收益率_1年!G630</f>
        <v>-7.8000000000000291E-3</v>
      </c>
    </row>
    <row r="633" spans="1:7" x14ac:dyDescent="0.25">
      <c r="A633" s="8">
        <v>45631</v>
      </c>
      <c r="B633">
        <f>-中国_中债国债到期收益率_1年!B632+中国_中债国债到期收益率_1年!B631</f>
        <v>5.9000000000000163E-3</v>
      </c>
      <c r="C633">
        <f>-中国_中债国债到期收益率_1年!C632+中国_中债国债到期收益率_1年!C631</f>
        <v>2.3099999999999898E-2</v>
      </c>
      <c r="D633">
        <f>-中国_中债国债到期收益率_1年!D632+中国_中债国债到期收益率_1年!D631</f>
        <v>2.7399999999999869E-2</v>
      </c>
      <c r="E633">
        <f>-中国_中债国债到期收益率_1年!E632+中国_中债国债到期收益率_1年!E631</f>
        <v>2.9999999999999805E-2</v>
      </c>
      <c r="F633">
        <f>-中国_中债国债到期收益率_1年!F632+中国_中债国债到期收益率_1年!F631</f>
        <v>-6.0000000000000053E-3</v>
      </c>
      <c r="G633">
        <f>-中国_中债国债到期收益率_1年!G632+中国_中债国债到期收益率_1年!G631</f>
        <v>1.1499999999999844E-2</v>
      </c>
    </row>
    <row r="634" spans="1:7" x14ac:dyDescent="0.25">
      <c r="A634" s="8">
        <v>45632</v>
      </c>
      <c r="B634">
        <f>-中国_中债国债到期收益率_1年!B633+中国_中债国债到期收益率_1年!B632</f>
        <v>-4.7000000000001485E-3</v>
      </c>
      <c r="C634">
        <f>-中国_中债国债到期收益率_1年!C633+中国_中债国债到期收益率_1年!C632</f>
        <v>-6.0000000000000053E-3</v>
      </c>
      <c r="D634">
        <f>-中国_中债国债到期收益率_1年!D633+中国_中债国债到期收益率_1年!D632</f>
        <v>1.5000000000000124E-2</v>
      </c>
      <c r="E634">
        <f>-中国_中债国债到期收益率_1年!E633+中国_中债国债到期收益率_1年!E632</f>
        <v>-4.9999999999998934E-3</v>
      </c>
      <c r="F634">
        <f>-中国_中债国债到期收益率_1年!F633+中国_中债国债到期收益率_1年!F632</f>
        <v>-1.8299999999999983E-2</v>
      </c>
      <c r="G634">
        <f>-中国_中债国债到期收益率_1年!G633+中国_中债国债到期收益率_1年!G632</f>
        <v>-7.3999999999998511E-3</v>
      </c>
    </row>
    <row r="635" spans="1:7" x14ac:dyDescent="0.25">
      <c r="A635" s="8">
        <v>45635</v>
      </c>
      <c r="B635">
        <f>-中国_中债国债到期收益率_1年!B634+中国_中债国债到期收益率_1年!B633</f>
        <v>-5.9999999999993392E-4</v>
      </c>
      <c r="C635">
        <f>-中国_中债国债到期收益率_1年!C634+中国_中债国债到期收益率_1年!C633</f>
        <v>-2.4999999999999467E-3</v>
      </c>
      <c r="D635">
        <f>-中国_中债国债到期收益率_1年!D634+中国_中债国债到期收益率_1年!D633</f>
        <v>-7.7000000000000401E-3</v>
      </c>
      <c r="E635">
        <f>-中国_中债国债到期收益率_1年!E634+中国_中债国债到期收益率_1年!E633</f>
        <v>-1.6000000000000014E-2</v>
      </c>
      <c r="F635">
        <f>-中国_中债国债到期收益率_1年!F634+中国_中债国债到期收益率_1年!F633</f>
        <v>-8.599999999999941E-3</v>
      </c>
      <c r="G635">
        <f>-中国_中债国债到期收益率_1年!G634+中国_中债国债到期收益率_1年!G633</f>
        <v>-7.0000000000001172E-3</v>
      </c>
    </row>
    <row r="636" spans="1:7" x14ac:dyDescent="0.25">
      <c r="A636" s="8">
        <v>45636</v>
      </c>
      <c r="B636">
        <f>-中国_中债国债到期收益率_1年!B635+中国_中债国债到期收益率_1年!B634</f>
        <v>2.9999999999996696E-4</v>
      </c>
      <c r="C636">
        <f>-中国_中债国债到期收益率_1年!C635+中国_中债国债到期收益率_1年!C634</f>
        <v>2.6100000000000012E-2</v>
      </c>
      <c r="D636">
        <f>-中国_中债国债到期收益率_1年!D635+中国_中债国债到期收益率_1年!D634</f>
        <v>3.7099999999999911E-2</v>
      </c>
      <c r="E636">
        <f>-中国_中债国债到期收益率_1年!E635+中国_中债国债到期收益率_1年!E634</f>
        <v>4.3400000000000105E-2</v>
      </c>
      <c r="F636">
        <f>-中国_中债国债到期收益率_1年!F635+中国_中债国债到期收益率_1年!F634</f>
        <v>1.639999999999997E-2</v>
      </c>
      <c r="G636">
        <f>-中国_中债国债到期收益率_1年!G635+中国_中债国债到期收益率_1年!G634</f>
        <v>1.0399999999999965E-2</v>
      </c>
    </row>
    <row r="637" spans="1:7" x14ac:dyDescent="0.25">
      <c r="A637" s="8">
        <v>45637</v>
      </c>
      <c r="B637">
        <f>-中国_中债国债到期收益率_1年!B636+中国_中债国债到期收益率_1年!B635</f>
        <v>3.9500000000000091E-2</v>
      </c>
      <c r="C637">
        <f>-中国_中债国债到期收益率_1年!C636+中国_中债国债到期收益率_1年!C635</f>
        <v>3.9599999999999858E-2</v>
      </c>
      <c r="D637">
        <f>-中国_中债国债到期收益率_1年!D636+中国_中债国债到期收益率_1年!D635</f>
        <v>7.0000000000000062E-2</v>
      </c>
      <c r="E637">
        <f>-中国_中债国债到期收益率_1年!E636+中国_中债国债到期收益率_1年!E635</f>
        <v>6.0000000000000053E-2</v>
      </c>
      <c r="F637">
        <f>-中国_中债国债到期收益率_1年!F636+中国_中债国债到期收益率_1年!F635</f>
        <v>6.1800000000000077E-2</v>
      </c>
      <c r="G637">
        <f>-中国_中债国债到期收益率_1年!G636+中国_中债国债到期收益率_1年!G635</f>
        <v>6.0200000000000031E-2</v>
      </c>
    </row>
    <row r="638" spans="1:7" x14ac:dyDescent="0.25">
      <c r="A638" s="8">
        <v>45638</v>
      </c>
      <c r="B638">
        <f>-中国_中债国债到期收益率_1年!B637+中国_中债国债到期收益率_1年!B636</f>
        <v>3.0499999999999972E-2</v>
      </c>
      <c r="C638">
        <f>-中国_中债国债到期收益率_1年!C637+中国_中债国债到期收益率_1年!C636</f>
        <v>1.540000000000008E-2</v>
      </c>
      <c r="D638">
        <f>-中国_中债国债到期收益率_1年!D637+中国_中债国债到期收益率_1年!D636</f>
        <v>2.4999999999999911E-2</v>
      </c>
      <c r="E638">
        <f>-中国_中债国债到期收益率_1年!E637+中国_中债国债到期收益率_1年!E636</f>
        <v>1.5000000000000124E-2</v>
      </c>
      <c r="F638">
        <f>-中国_中债国债到期收益率_1年!F637+中国_中债国债到期收益率_1年!F636</f>
        <v>-1.440000000000019E-2</v>
      </c>
      <c r="G638">
        <f>-中国_中债国债到期收益率_1年!G637+中国_中债国债到期收益率_1年!G636</f>
        <v>-1.0799999999999921E-2</v>
      </c>
    </row>
    <row r="639" spans="1:7" x14ac:dyDescent="0.25">
      <c r="A639" s="8">
        <v>45639</v>
      </c>
      <c r="B639">
        <f>-中国_中债国债到期收益率_1年!B638+中国_中债国债到期收益率_1年!B637</f>
        <v>6.4000000000000057E-2</v>
      </c>
      <c r="C639">
        <f>-中国_中债国债到期收益率_1年!C638+中国_中债国债到期收益率_1年!C637</f>
        <v>4.5600000000000085E-2</v>
      </c>
      <c r="D639">
        <f>-中国_中债国债到期收益率_1年!D638+中国_中债国债到期收益率_1年!D637</f>
        <v>4.6000000000001595E-3</v>
      </c>
      <c r="E639">
        <f>-中国_中债国债到期收益率_1年!E638+中国_中债国债到期收益率_1年!E637</f>
        <v>-2.9000000000003467E-3</v>
      </c>
      <c r="F639">
        <f>-中国_中债国债到期收益率_1年!F638+中国_中债国债到期收益率_1年!F637</f>
        <v>1.0900000000000132E-2</v>
      </c>
      <c r="G639">
        <f>-中国_中债国债到期收益率_1年!G638+中国_中债国债到期收益率_1年!G637</f>
        <v>1.6799999999999926E-2</v>
      </c>
    </row>
    <row r="640" spans="1:7" x14ac:dyDescent="0.25">
      <c r="A640" s="8">
        <v>45642</v>
      </c>
      <c r="B640">
        <f>-中国_中债国债到期收益率_1年!B639+中国_中债国债到期收益率_1年!B638</f>
        <v>5.600000000000005E-2</v>
      </c>
      <c r="C640">
        <f>-中国_中债国债到期收益率_1年!C639+中国_中债国债到期收益率_1年!C638</f>
        <v>4.9099999999999921E-2</v>
      </c>
      <c r="D640">
        <f>-中国_中债国债到期收益率_1年!D639+中国_中债国债到期收益率_1年!D638</f>
        <v>4.0100000000000025E-2</v>
      </c>
      <c r="E640">
        <f>-中国_中债国债到期收益率_1年!E639+中国_中债国债到期收益率_1年!E638</f>
        <v>3.8000000000000256E-2</v>
      </c>
      <c r="F640">
        <f>-中国_中债国债到期收益率_1年!F639+中国_中债国债到期收益率_1年!F638</f>
        <v>4.8899999999999944E-2</v>
      </c>
      <c r="G640">
        <f>-中国_中债国债到期收益率_1年!G639+中国_中债国债到期收益率_1年!G638</f>
        <v>5.1200000000000134E-2</v>
      </c>
    </row>
    <row r="641" spans="1:7" x14ac:dyDescent="0.25">
      <c r="A641" s="8">
        <v>45643</v>
      </c>
      <c r="B641">
        <f>-中国_中债国债到期收益率_1年!B640+中国_中债国债到期收益率_1年!B639</f>
        <v>3.9999999999999813E-2</v>
      </c>
      <c r="C641">
        <f>-中国_中债国债到期收益率_1年!C640+中国_中债国债到期收益率_1年!C639</f>
        <v>1.7700000000000049E-2</v>
      </c>
      <c r="D641">
        <f>-中国_中债国债到期收益率_1年!D640+中国_中债国债到期收益率_1年!D639</f>
        <v>5.5599999999999872E-2</v>
      </c>
      <c r="E641">
        <f>-中国_中债国债到期收益率_1年!E640+中国_中债国债到期收益率_1年!E639</f>
        <v>5.2400000000000002E-2</v>
      </c>
      <c r="F641">
        <f>-中国_中债国债到期收益率_1年!F640+中国_中债国债到期收益率_1年!F639</f>
        <v>-2.0199999999999996E-2</v>
      </c>
      <c r="G641">
        <f>-中国_中债国债到期收益率_1年!G640+中国_中债国债到期收益率_1年!G639</f>
        <v>2.9999999999998916E-3</v>
      </c>
    </row>
    <row r="642" spans="1:7" x14ac:dyDescent="0.25">
      <c r="A642" s="8">
        <v>45644</v>
      </c>
      <c r="B642">
        <f>-中国_中债国债到期收益率_1年!B641+中国_中债国债到期收益率_1年!B640</f>
        <v>1.0099999999999998E-2</v>
      </c>
      <c r="C642">
        <f>-中国_中债国债到期收益率_1年!C641+中国_中债国债到期收益率_1年!C640</f>
        <v>-2.410000000000001E-2</v>
      </c>
      <c r="D642">
        <f>-中国_中债国债到期收益率_1年!D641+中国_中债国债到期收益率_1年!D640</f>
        <v>-2.1999999999999797E-3</v>
      </c>
      <c r="E642">
        <f>-中国_中债国债到期收益率_1年!E641+中国_中债国债到期收益率_1年!E640</f>
        <v>-6.5000000000001723E-3</v>
      </c>
      <c r="F642">
        <f>-中国_中债国债到期收益率_1年!F641+中国_中债国债到期收益率_1年!F640</f>
        <v>-3.1700000000000061E-2</v>
      </c>
      <c r="G642">
        <f>-中国_中债国债到期收益率_1年!G641+中国_中债国债到期收益率_1年!G640</f>
        <v>-2.4299999999999988E-2</v>
      </c>
    </row>
    <row r="643" spans="1:7" x14ac:dyDescent="0.25">
      <c r="A643" s="8">
        <v>45645</v>
      </c>
      <c r="B643">
        <f>-中国_中债国债到期收益率_1年!B642+中国_中债国债到期收益率_1年!B641</f>
        <v>2.9900000000000038E-2</v>
      </c>
      <c r="C643">
        <f>-中国_中债国债到期收益率_1年!C642+中国_中债国债到期收益率_1年!C641</f>
        <v>-9.8000000000000309E-3</v>
      </c>
      <c r="D643">
        <f>-中国_中债国债到期收益率_1年!D642+中国_中债国债到期收益率_1年!D641</f>
        <v>-3.2699999999999951E-2</v>
      </c>
      <c r="E643">
        <f>-中国_中债国债到期收益率_1年!E642+中国_中债国债到期收益率_1年!E641</f>
        <v>-3.6999999999999922E-2</v>
      </c>
      <c r="F643">
        <f>-中国_中债国债到期收益率_1年!F642+中国_中债国债到期收益率_1年!F641</f>
        <v>1.7400000000000082E-2</v>
      </c>
      <c r="G643">
        <f>-中国_中债国债到期收益率_1年!G642+中国_中债国债到期收益率_1年!G641</f>
        <v>1.1600000000000055E-2</v>
      </c>
    </row>
    <row r="644" spans="1:7" x14ac:dyDescent="0.25">
      <c r="A644" s="8">
        <v>45646</v>
      </c>
      <c r="B644">
        <f>-中国_中债国债到期收益率_1年!B643+中国_中债国债到期收益率_1年!B642</f>
        <v>3.5000000000000142E-2</v>
      </c>
      <c r="C644">
        <f>-中国_中债国债到期收益率_1年!C643+中国_中债国债到期收益率_1年!C642</f>
        <v>3.5400000000000098E-2</v>
      </c>
      <c r="D644">
        <f>-中国_中债国债到期收益率_1年!D643+中国_中债国债到期收益率_1年!D642</f>
        <v>1.4699999999999935E-2</v>
      </c>
      <c r="E644">
        <f>-中国_中债国债到期收益率_1年!E643+中国_中债国债到期收益率_1年!E642</f>
        <v>3.5000000000000586E-3</v>
      </c>
      <c r="F644">
        <f>-中国_中债国债到期收益率_1年!F643+中国_中债国债到期收益率_1年!F642</f>
        <v>1.7000000000000348E-3</v>
      </c>
      <c r="G644">
        <f>-中国_中债国债到期收益率_1年!G643+中国_中债国债到期收益率_1年!G642</f>
        <v>-7.9000000000000181E-3</v>
      </c>
    </row>
    <row r="645" spans="1:7" x14ac:dyDescent="0.25">
      <c r="A645" s="8">
        <v>45649</v>
      </c>
      <c r="B645">
        <f>-中国_中债国债到期收益率_1年!B644+中国_中债国债到期收益率_1年!B643</f>
        <v>6.2499999999999889E-2</v>
      </c>
      <c r="C645">
        <f>-中国_中债国债到期收益率_1年!C644+中国_中债国债到期收益率_1年!C643</f>
        <v>4.3399999999999883E-2</v>
      </c>
      <c r="D645">
        <f>-中国_中债国债到期收益率_1年!D644+中国_中债国债到期收益率_1年!D643</f>
        <v>3.9900000000000047E-2</v>
      </c>
      <c r="E645">
        <f>-中国_中债国债到期收益率_1年!E644+中国_中债国债到期收益率_1年!E643</f>
        <v>4.0000000000000036E-2</v>
      </c>
      <c r="F645">
        <f>-中国_中债国债到期收益率_1年!F644+中国_中债国债到期收益率_1年!F643</f>
        <v>4.3399999999999883E-2</v>
      </c>
      <c r="G645">
        <f>-中国_中债国债到期收益率_1年!G644+中国_中债国债到期收益率_1年!G643</f>
        <v>5.3199999999999914E-2</v>
      </c>
    </row>
    <row r="646" spans="1:7" x14ac:dyDescent="0.25">
      <c r="A646" s="8">
        <v>45650</v>
      </c>
      <c r="B646">
        <f>-中国_中债国债到期收益率_1年!B645+中国_中债国债到期收益率_1年!B644</f>
        <v>5.0000000000000044E-2</v>
      </c>
      <c r="C646">
        <f>-中国_中债国债到期收益率_1年!C645+中国_中债国债到期收益率_1年!C644</f>
        <v>-1.8799999999999928E-2</v>
      </c>
      <c r="D646">
        <f>-中国_中债国债到期收益率_1年!D645+中国_中债国债到期收益率_1年!D644</f>
        <v>-9.9999999999988987E-5</v>
      </c>
      <c r="E646">
        <f>-中国_中债国债到期收益率_1年!E645+中国_中债国债到期收益率_1年!E644</f>
        <v>0</v>
      </c>
      <c r="F646">
        <f>-中国_中债国债到期收益率_1年!F645+中国_中债国债到期收益率_1年!F644</f>
        <v>1.9400000000000084E-2</v>
      </c>
      <c r="G646">
        <f>-中国_中债国债到期收益率_1年!G645+中国_中债国债到期收益率_1年!G644</f>
        <v>1.7400000000000082E-2</v>
      </c>
    </row>
    <row r="647" spans="1:7" x14ac:dyDescent="0.25">
      <c r="A647" s="8">
        <v>45651</v>
      </c>
      <c r="B647">
        <f>-中国_中债国债到期收益率_1年!B646+中国_中债国债到期收益率_1年!B645</f>
        <v>0</v>
      </c>
      <c r="C647">
        <f>-中国_中债国债到期收益率_1年!C646+中国_中债国债到期收益率_1年!C645</f>
        <v>-2.8399999999999981E-2</v>
      </c>
      <c r="D647">
        <f>-中国_中债国债到期收益率_1年!D646+中国_中债国债到期收益率_1年!D645</f>
        <v>-1.4699999999999935E-2</v>
      </c>
      <c r="E647">
        <f>-中国_中债国债到期收益率_1年!E646+中国_中债国债到期收益率_1年!E645</f>
        <v>-4.0000000000000036E-2</v>
      </c>
      <c r="F647">
        <f>-中国_中债国债到期收益率_1年!F646+中国_中债国债到期收益率_1年!F645</f>
        <v>-6.1999999999999833E-3</v>
      </c>
      <c r="G647">
        <f>-中国_中债国债到期收益率_1年!G646+中国_中债国债到期收益率_1年!G645</f>
        <v>-1.2000000000000011E-2</v>
      </c>
    </row>
    <row r="648" spans="1:7" x14ac:dyDescent="0.25">
      <c r="A648" s="8">
        <v>45652</v>
      </c>
      <c r="B648">
        <f>-中国_中债国债到期收益率_1年!B647+中国_中债国债到期收益率_1年!B646</f>
        <v>-6.0000000000000053E-2</v>
      </c>
      <c r="C648">
        <f>-中国_中债国债到期收益率_1年!C647+中国_中债国债到期收益率_1年!C646</f>
        <v>-3.9200000000000124E-2</v>
      </c>
      <c r="D648">
        <f>-中国_中债国债到期收益率_1年!D647+中国_中债国债到期收益率_1年!D646</f>
        <v>-1.9900000000000029E-2</v>
      </c>
      <c r="E648">
        <f>-中国_中债国债到期收益率_1年!E647+中国_中债国债到期收益率_1年!E646</f>
        <v>-1.440000000000019E-2</v>
      </c>
      <c r="F648">
        <f>-中国_中债国债到期收益率_1年!F647+中国_中债国债到期收益率_1年!F646</f>
        <v>-2.5900000000000034E-2</v>
      </c>
      <c r="G648">
        <f>-中国_中债国债到期收益率_1年!G647+中国_中债国债到期收益率_1年!G646</f>
        <v>-2.7400000000000091E-2</v>
      </c>
    </row>
    <row r="649" spans="1:7" x14ac:dyDescent="0.25">
      <c r="A649" s="8">
        <v>45653</v>
      </c>
      <c r="B649">
        <f>-中国_中债国债到期收益率_1年!B648+中国_中债国债到期收益率_1年!B647</f>
        <v>-2.5000000000000022E-2</v>
      </c>
      <c r="C649">
        <f>-中国_中债国债到期收益率_1年!C648+中国_中债国债到期收益率_1年!C647</f>
        <v>2.2100000000000009E-2</v>
      </c>
      <c r="D649">
        <f>-中国_中债国债到期收益率_1年!D648+中国_中债国债到期收益率_1年!D647</f>
        <v>2.4299999999999988E-2</v>
      </c>
      <c r="E649">
        <f>-中国_中债国债到期收益率_1年!E648+中国_中债国债到期收益率_1年!E647</f>
        <v>3.6900000000000155E-2</v>
      </c>
      <c r="F649">
        <f>-中国_中债国债到期收益率_1年!F648+中国_中债国债到期收益率_1年!F647</f>
        <v>-1.5000000000000568E-3</v>
      </c>
      <c r="G649">
        <f>-中国_中债国债到期收益率_1年!G648+中国_中债国债到期收益率_1年!G647</f>
        <v>1.0000000000001119E-3</v>
      </c>
    </row>
    <row r="650" spans="1:7" x14ac:dyDescent="0.25">
      <c r="A650" s="8">
        <v>45656</v>
      </c>
      <c r="B650">
        <f>-中国_中债国债到期收益率_1年!B649+中国_中债国债到期收益率_1年!B648</f>
        <v>-2.3599999999999843E-2</v>
      </c>
      <c r="C650">
        <f>-中国_中债国债到期收益率_1年!C649+中国_中债国债到期收益率_1年!C648</f>
        <v>3.1100000000000128E-2</v>
      </c>
      <c r="D650">
        <f>-中国_中债国债到期收益率_1年!D649+中国_中债国债到期收益率_1年!D648</f>
        <v>1.9299999999999873E-2</v>
      </c>
      <c r="E650">
        <f>-中国_中债国债到期收益率_1年!E649+中国_中债国债到期收益率_1年!E648</f>
        <v>2.2499999999999964E-2</v>
      </c>
      <c r="F650">
        <f>-中国_中债国债到期收益率_1年!F649+中国_中债国债到期收益率_1年!F648</f>
        <v>1.0199999999999987E-2</v>
      </c>
      <c r="G650">
        <f>-中国_中债国债到期收益率_1年!G649+中国_中债国债到期收益率_1年!G648</f>
        <v>2.2199999999999998E-2</v>
      </c>
    </row>
    <row r="651" spans="1:7" x14ac:dyDescent="0.25">
      <c r="A651" s="8">
        <v>45657</v>
      </c>
      <c r="B651">
        <f>-中国_中债国债到期收益率_1年!B650+中国_中债国债到期收益率_1年!B649</f>
        <v>-7.0000000000000062E-2</v>
      </c>
      <c r="C651">
        <f>-中国_中债国债到期收益率_1年!C650+中国_中债国债到期收益率_1年!C649</f>
        <v>-3.5400000000000098E-2</v>
      </c>
      <c r="D651">
        <f>-中国_中债国债到期收益率_1年!D650+中国_中债国债到期收益率_1年!D649</f>
        <v>-1.9900000000000029E-2</v>
      </c>
      <c r="E651">
        <f>-中国_中债国债到期收益率_1年!E650+中国_中债国债到期收益率_1年!E649</f>
        <v>0</v>
      </c>
      <c r="F651">
        <f>-中国_中债国债到期收益率_1年!F650+中国_中债国债到期收益率_1年!F649</f>
        <v>-2.2699999999999942E-2</v>
      </c>
      <c r="G651">
        <f>-中国_中债国债到期收益率_1年!G650+中国_中债国债到期收益率_1年!G649</f>
        <v>-1.8000000000000016E-2</v>
      </c>
    </row>
    <row r="652" spans="1:7" x14ac:dyDescent="0.25">
      <c r="A652" s="8">
        <v>45659</v>
      </c>
      <c r="B652">
        <f>-中国_中债国债到期收益率_1年!B651+中国_中债国债到期收益率_1年!B650</f>
        <v>2.4999999999999911E-2</v>
      </c>
      <c r="C652">
        <f>-中国_中债国债到期收益率_1年!C651+中国_中债国债到期收益率_1年!C650</f>
        <v>2.6100000000000012E-2</v>
      </c>
      <c r="D652">
        <f>-中国_中债国债到期收益率_1年!D651+中国_中债国债到期收益率_1年!D650</f>
        <v>3.7600000000000078E-2</v>
      </c>
      <c r="E652">
        <f>-中国_中债国债到期收益率_1年!E651+中国_中债国债到期收益率_1年!E650</f>
        <v>3.5500000000000087E-2</v>
      </c>
      <c r="F652">
        <f>-中国_中债国债到期收益率_1年!F651+中国_中债国债到期收益率_1年!F650</f>
        <v>8.3999999999999631E-3</v>
      </c>
      <c r="G652">
        <f>-中国_中债国债到期收益率_1年!G651+中国_中债国债到期收益率_1年!G650</f>
        <v>1.760000000000006E-2</v>
      </c>
    </row>
    <row r="653" spans="1:7" x14ac:dyDescent="0.25">
      <c r="A653" s="8">
        <v>45660</v>
      </c>
      <c r="B653">
        <f>-中国_中债国债到期收益率_1年!B652+中国_中债国债到期收益率_1年!B651</f>
        <v>1.5000000000000124E-2</v>
      </c>
      <c r="C653">
        <f>-中国_中债国债到期收益率_1年!C652+中国_中债国债到期收益率_1年!C651</f>
        <v>1.760000000000006E-2</v>
      </c>
      <c r="D653">
        <f>-中国_中债国债到期收益率_1年!D652+中国_中债国债到期收益率_1年!D651</f>
        <v>6.7500000000000115E-2</v>
      </c>
      <c r="E653">
        <f>-中国_中债国债到期收益率_1年!E652+中国_中债国债到期收益率_1年!E651</f>
        <v>7.240000000000002E-2</v>
      </c>
      <c r="F653">
        <f>-中国_中债国债到期收益率_1年!F652+中国_中债国债到期收益率_1年!F651</f>
        <v>-4.7999999999999154E-3</v>
      </c>
      <c r="G653">
        <f>-中国_中债国债到期收益率_1年!G652+中国_中债国债到期收益率_1年!G651</f>
        <v>2.6599999999999957E-2</v>
      </c>
    </row>
    <row r="654" spans="1:7" x14ac:dyDescent="0.25">
      <c r="A654" s="8">
        <v>45663</v>
      </c>
    </row>
    <row r="655" spans="1:7" x14ac:dyDescent="0.25">
      <c r="A655" s="8">
        <v>45664</v>
      </c>
    </row>
    <row r="656" spans="1:7" x14ac:dyDescent="0.25">
      <c r="A656" s="8">
        <v>45665</v>
      </c>
    </row>
    <row r="657" spans="1:1" x14ac:dyDescent="0.25">
      <c r="A657" s="8">
        <v>45666</v>
      </c>
    </row>
    <row r="658" spans="1:1" x14ac:dyDescent="0.25">
      <c r="A658" s="8">
        <v>45667</v>
      </c>
    </row>
    <row r="659" spans="1:1" x14ac:dyDescent="0.25">
      <c r="A659" s="8">
        <v>45670</v>
      </c>
    </row>
    <row r="660" spans="1:1" x14ac:dyDescent="0.25">
      <c r="A660" s="8">
        <v>45671</v>
      </c>
    </row>
    <row r="661" spans="1:1" x14ac:dyDescent="0.25">
      <c r="A661" s="8">
        <v>45672</v>
      </c>
    </row>
    <row r="662" spans="1:1" x14ac:dyDescent="0.25">
      <c r="A662" s="8">
        <v>45673</v>
      </c>
    </row>
    <row r="663" spans="1:1" x14ac:dyDescent="0.25">
      <c r="A663" s="8">
        <v>45674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63"/>
  <sheetViews>
    <sheetView workbookViewId="0">
      <pane xSplit="1" ySplit="1" topLeftCell="M390" activePane="bottomRight" state="frozen"/>
      <selection pane="topRight"/>
      <selection pane="bottomLeft"/>
      <selection pane="bottomRight" activeCell="A400" sqref="A399:XFD400"/>
    </sheetView>
  </sheetViews>
  <sheetFormatPr defaultColWidth="8.7265625" defaultRowHeight="14" outlineLevelCol="1" x14ac:dyDescent="0.25"/>
  <cols>
    <col min="1" max="1" width="15" customWidth="1"/>
    <col min="2" max="2" width="7.453125" customWidth="1" outlineLevel="1"/>
    <col min="3" max="30" width="8.7265625" customWidth="1" outlineLevel="1"/>
    <col min="31" max="31" width="14"/>
    <col min="33" max="33" width="11.36328125" style="4" customWidth="1"/>
    <col min="34" max="34" width="9.26953125" customWidth="1"/>
  </cols>
  <sheetData>
    <row r="1" spans="1:35" x14ac:dyDescent="0.25">
      <c r="A1" s="5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9</v>
      </c>
      <c r="N1" t="s">
        <v>10</v>
      </c>
      <c r="O1" t="s">
        <v>11</v>
      </c>
      <c r="P1" t="s">
        <v>12</v>
      </c>
      <c r="Q1" t="s">
        <v>14</v>
      </c>
      <c r="R1" t="s">
        <v>15</v>
      </c>
      <c r="S1" t="s">
        <v>9</v>
      </c>
      <c r="T1" t="s">
        <v>10</v>
      </c>
      <c r="U1" t="s">
        <v>11</v>
      </c>
      <c r="V1" t="s">
        <v>12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  <c r="AD1" t="s">
        <v>23</v>
      </c>
      <c r="AE1" t="s">
        <v>24</v>
      </c>
      <c r="AF1" t="s">
        <v>25</v>
      </c>
      <c r="AG1" s="4" t="s">
        <v>26</v>
      </c>
      <c r="AH1" t="s">
        <v>27</v>
      </c>
      <c r="AI1">
        <v>500000</v>
      </c>
    </row>
    <row r="2" spans="1:35" x14ac:dyDescent="0.25">
      <c r="A2" s="6">
        <v>44713</v>
      </c>
      <c r="B2">
        <v>10</v>
      </c>
      <c r="F2">
        <f>SUM(B2:E2)</f>
        <v>10</v>
      </c>
      <c r="G2">
        <f>B2</f>
        <v>10</v>
      </c>
      <c r="H2">
        <f>5*C2</f>
        <v>0</v>
      </c>
      <c r="I2">
        <f>9*D2</f>
        <v>0</v>
      </c>
      <c r="J2">
        <f>16*E2</f>
        <v>0</v>
      </c>
      <c r="K2">
        <f>SUM(G2:J2)</f>
        <v>10</v>
      </c>
    </row>
    <row r="3" spans="1:35" x14ac:dyDescent="0.25">
      <c r="A3" s="6">
        <v>44714</v>
      </c>
      <c r="B3">
        <v>10</v>
      </c>
      <c r="F3">
        <f t="shared" ref="F3:F66" si="0">SUM(B3:E3)</f>
        <v>10</v>
      </c>
      <c r="G3">
        <f t="shared" ref="G3:G34" si="1">B3</f>
        <v>10</v>
      </c>
      <c r="H3">
        <f t="shared" ref="H3:H34" si="2">5*C3</f>
        <v>0</v>
      </c>
      <c r="I3">
        <f t="shared" ref="I3:I34" si="3">9*D3</f>
        <v>0</v>
      </c>
      <c r="J3">
        <f t="shared" ref="J3:J34" si="4">16*E3</f>
        <v>0</v>
      </c>
      <c r="K3">
        <f t="shared" ref="K3:K66" si="5">SUM(G3:J3)</f>
        <v>10</v>
      </c>
      <c r="L3">
        <f>G3*Return!B3*100</f>
        <v>0</v>
      </c>
      <c r="M3">
        <f>H3*Return!C3*100</f>
        <v>0</v>
      </c>
      <c r="N3">
        <f>I3*Return!D3*100</f>
        <v>0</v>
      </c>
      <c r="O3">
        <f>J3*Return!E3*100</f>
        <v>0</v>
      </c>
      <c r="P3">
        <f>SUM(L3:O3)</f>
        <v>0</v>
      </c>
      <c r="Q3">
        <f>SUM($P$3:P3)</f>
        <v>0</v>
      </c>
      <c r="R3" t="e">
        <f>B3*中国_中债国债到期收益率_1年!B2/365*100</f>
        <v>#VALUE!</v>
      </c>
      <c r="S3">
        <f>C3*中国_中债国债到期收益率_1年!C2/365*100</f>
        <v>0</v>
      </c>
      <c r="T3">
        <f>D3*中国_中债国债到期收益率_1年!D2/365*100</f>
        <v>0</v>
      </c>
      <c r="U3">
        <f>E3*中国_中债国债到期收益率_1年!E2/365*100</f>
        <v>0</v>
      </c>
      <c r="V3" t="e">
        <f>SUM(R3:U3)</f>
        <v>#VALUE!</v>
      </c>
      <c r="W3" t="e">
        <f>SUM($V$3:V3)</f>
        <v>#VALUE!</v>
      </c>
      <c r="X3">
        <f>MAX(F3-50,0)*中国_中债国债到期收益率_1年!H3*100/365</f>
        <v>0</v>
      </c>
      <c r="Y3">
        <f>SUM($X$3:X3)</f>
        <v>0</v>
      </c>
      <c r="AA3">
        <v>-20</v>
      </c>
      <c r="AB3">
        <f>Z3*Return!F3*100</f>
        <v>0</v>
      </c>
      <c r="AD3">
        <f>SUM($AB$3:AB3)+SUM($AC$3:AC3)</f>
        <v>0</v>
      </c>
      <c r="AE3" t="e">
        <f>Q3+W3+AD3-Y3</f>
        <v>#VALUE!</v>
      </c>
      <c r="AF3" t="e">
        <f>AE3/$AI$1+1</f>
        <v>#VALUE!</v>
      </c>
    </row>
    <row r="4" spans="1:35" x14ac:dyDescent="0.25">
      <c r="A4" s="6">
        <v>44718</v>
      </c>
      <c r="B4">
        <v>10</v>
      </c>
      <c r="F4">
        <f t="shared" si="0"/>
        <v>10</v>
      </c>
      <c r="G4">
        <f t="shared" si="1"/>
        <v>10</v>
      </c>
      <c r="H4">
        <f t="shared" si="2"/>
        <v>0</v>
      </c>
      <c r="J4">
        <f t="shared" si="4"/>
        <v>0</v>
      </c>
      <c r="K4">
        <f t="shared" si="5"/>
        <v>10</v>
      </c>
      <c r="L4" t="e">
        <f>G4*Return!B4*100</f>
        <v>#VALUE!</v>
      </c>
      <c r="M4">
        <f>H4*Return!C4*100</f>
        <v>0</v>
      </c>
      <c r="N4">
        <f>I4*Return!D4*100</f>
        <v>0</v>
      </c>
      <c r="O4">
        <f>J4*Return!E4*100</f>
        <v>0</v>
      </c>
      <c r="P4" t="e">
        <f t="shared" ref="P4:P35" si="6">SUM(L4:O4)</f>
        <v>#VALUE!</v>
      </c>
      <c r="Q4" t="e">
        <f>SUM($P$3:P4)</f>
        <v>#VALUE!</v>
      </c>
      <c r="R4">
        <f>B4*中国_中债国债到期收益率_1年!B3/365*100</f>
        <v>5.36</v>
      </c>
      <c r="S4">
        <f>C4*中国_中债国债到期收益率_1年!C3/365*100</f>
        <v>0</v>
      </c>
      <c r="T4">
        <f>D4*中国_中债国债到期收益率_1年!D3/365*100</f>
        <v>0</v>
      </c>
      <c r="U4">
        <f>E4*中国_中债国债到期收益率_1年!E3/365*100</f>
        <v>0</v>
      </c>
      <c r="V4">
        <f t="shared" ref="V4:V35" si="7">SUM(R4:U4)</f>
        <v>5.36</v>
      </c>
      <c r="W4" t="e">
        <f>SUM($V$3:V4)</f>
        <v>#VALUE!</v>
      </c>
      <c r="X4">
        <f>MAX(F4-50,0)*中国_中债国债到期收益率_1年!H4*100/365</f>
        <v>0</v>
      </c>
      <c r="Y4">
        <f>SUM($X$3:X4)</f>
        <v>0</v>
      </c>
      <c r="AA4">
        <v>-20</v>
      </c>
      <c r="AB4">
        <f>Z4*Return!F4*100</f>
        <v>0</v>
      </c>
      <c r="AC4">
        <f>AA4*Return!G4*100</f>
        <v>28.599999999999959</v>
      </c>
      <c r="AD4">
        <f>SUM($AB$3:AB4)+SUM($AC$3:AC4)</f>
        <v>28.599999999999959</v>
      </c>
      <c r="AE4" t="e">
        <f t="shared" ref="AE4:AE67" si="8">Q4+W4+AD4-Y4</f>
        <v>#VALUE!</v>
      </c>
      <c r="AF4" t="e">
        <f t="shared" ref="AF4:AF67" si="9">AE4/$AI$1+1</f>
        <v>#VALUE!</v>
      </c>
      <c r="AG4" s="4" t="e">
        <f>(AF4/AF3-1)-中国_中债国债到期收益率_1年!H4%/252</f>
        <v>#VALUE!</v>
      </c>
      <c r="AH4" s="4" t="e">
        <f>MIN((AF4-MAX($AF$3:AF4))/MAX($AF$3:AF4),0)</f>
        <v>#VALUE!</v>
      </c>
      <c r="AI4" s="7"/>
    </row>
    <row r="5" spans="1:35" x14ac:dyDescent="0.25">
      <c r="A5" s="6">
        <v>44719</v>
      </c>
      <c r="B5">
        <v>10</v>
      </c>
      <c r="F5">
        <f t="shared" si="0"/>
        <v>10</v>
      </c>
      <c r="G5">
        <f t="shared" si="1"/>
        <v>10</v>
      </c>
      <c r="H5">
        <f t="shared" si="2"/>
        <v>0</v>
      </c>
      <c r="J5">
        <f t="shared" si="4"/>
        <v>0</v>
      </c>
      <c r="K5">
        <f t="shared" si="5"/>
        <v>10</v>
      </c>
      <c r="L5">
        <f>G5*Return!B5*100</f>
        <v>-63.499999999999886</v>
      </c>
      <c r="M5">
        <f>H5*Return!C5*100</f>
        <v>0</v>
      </c>
      <c r="N5">
        <f>I5*Return!D5*100</f>
        <v>0</v>
      </c>
      <c r="O5">
        <f>J5*Return!E5*100</f>
        <v>0</v>
      </c>
      <c r="P5">
        <f t="shared" si="6"/>
        <v>-63.499999999999886</v>
      </c>
      <c r="Q5" t="e">
        <f>SUM($P$3:P5)</f>
        <v>#VALUE!</v>
      </c>
      <c r="R5">
        <f>B5*中国_中债国债到期收益率_1年!B4/365*100</f>
        <v>5.533972602739726</v>
      </c>
      <c r="S5">
        <f>C5*中国_中债国债到期收益率_1年!C4/365*100</f>
        <v>0</v>
      </c>
      <c r="T5">
        <f>D5*中国_中债国债到期收益率_1年!D4/365*100</f>
        <v>0</v>
      </c>
      <c r="U5">
        <f>E5*中国_中债国债到期收益率_1年!E4/365*100</f>
        <v>0</v>
      </c>
      <c r="V5">
        <f t="shared" si="7"/>
        <v>5.533972602739726</v>
      </c>
      <c r="W5" t="e">
        <f>SUM($V$3:V5)</f>
        <v>#VALUE!</v>
      </c>
      <c r="X5">
        <f>MAX(F5-50,0)*中国_中债国债到期收益率_1年!H5*100/365</f>
        <v>0</v>
      </c>
      <c r="Y5">
        <f>SUM($X$3:X5)</f>
        <v>0</v>
      </c>
      <c r="AA5">
        <v>-50</v>
      </c>
      <c r="AB5">
        <f>Z5*Return!F5*100</f>
        <v>0</v>
      </c>
      <c r="AC5">
        <f>AA5*Return!G5*100</f>
        <v>93.000000000000853</v>
      </c>
      <c r="AD5">
        <f>SUM($AB$3:AB5)+SUM($AC$3:AC5)</f>
        <v>121.60000000000082</v>
      </c>
      <c r="AE5" t="e">
        <f t="shared" si="8"/>
        <v>#VALUE!</v>
      </c>
      <c r="AF5" t="e">
        <f t="shared" si="9"/>
        <v>#VALUE!</v>
      </c>
      <c r="AG5" s="4" t="e">
        <f>(AF5/AF4-1)-中国_中债国债到期收益率_1年!H5%/252</f>
        <v>#VALUE!</v>
      </c>
      <c r="AH5" s="4" t="e">
        <f>MIN((AF5-MAX($AF$3:AF5))/MAX($AF$3:AF5),0)</f>
        <v>#VALUE!</v>
      </c>
      <c r="AI5" s="7"/>
    </row>
    <row r="6" spans="1:35" x14ac:dyDescent="0.25">
      <c r="A6" s="6">
        <v>44720</v>
      </c>
      <c r="B6">
        <v>10</v>
      </c>
      <c r="F6">
        <f t="shared" si="0"/>
        <v>10</v>
      </c>
      <c r="G6">
        <f t="shared" si="1"/>
        <v>10</v>
      </c>
      <c r="H6">
        <f t="shared" si="2"/>
        <v>0</v>
      </c>
      <c r="J6">
        <f t="shared" si="4"/>
        <v>0</v>
      </c>
      <c r="K6">
        <f t="shared" si="5"/>
        <v>10</v>
      </c>
      <c r="L6">
        <f>G6*Return!B6*100</f>
        <v>1.9000000000000128</v>
      </c>
      <c r="M6">
        <f>H6*Return!C6*100</f>
        <v>0</v>
      </c>
      <c r="N6">
        <f>I6*Return!D6*100</f>
        <v>0</v>
      </c>
      <c r="O6">
        <f>J6*Return!E6*100</f>
        <v>0</v>
      </c>
      <c r="P6">
        <f t="shared" si="6"/>
        <v>1.9000000000000128</v>
      </c>
      <c r="Q6" t="e">
        <f>SUM($P$3:P6)</f>
        <v>#VALUE!</v>
      </c>
      <c r="R6">
        <f>B6*中国_中债国债到期收益率_1年!B5/365*100</f>
        <v>5.5287671232876718</v>
      </c>
      <c r="S6">
        <f>C6*中国_中债国债到期收益率_1年!C5/365*100</f>
        <v>0</v>
      </c>
      <c r="T6">
        <f>D6*中国_中债国债到期收益率_1年!D5/365*100</f>
        <v>0</v>
      </c>
      <c r="U6">
        <f>E6*中国_中债国债到期收益率_1年!E5/365*100</f>
        <v>0</v>
      </c>
      <c r="V6">
        <f t="shared" si="7"/>
        <v>5.5287671232876718</v>
      </c>
      <c r="W6" t="e">
        <f>SUM($V$3:V6)</f>
        <v>#VALUE!</v>
      </c>
      <c r="X6">
        <f>MAX(F6-50,0)*中国_中债国债到期收益率_1年!H6*100/365</f>
        <v>0</v>
      </c>
      <c r="Y6">
        <f>SUM($X$3:X6)</f>
        <v>0</v>
      </c>
      <c r="AA6">
        <v>-50</v>
      </c>
      <c r="AB6">
        <f>Z6*Return!F6*100</f>
        <v>0</v>
      </c>
      <c r="AC6">
        <f>AA6*Return!G6*100</f>
        <v>21.999999999999797</v>
      </c>
      <c r="AD6">
        <f>SUM($AB$3:AB6)+SUM($AC$3:AC6)</f>
        <v>143.60000000000062</v>
      </c>
      <c r="AE6" t="e">
        <f t="shared" si="8"/>
        <v>#VALUE!</v>
      </c>
      <c r="AF6" t="e">
        <f t="shared" si="9"/>
        <v>#VALUE!</v>
      </c>
      <c r="AG6" s="4" t="e">
        <f>(AF6/AF5-1)-中国_中债国债到期收益率_1年!H6%/252</f>
        <v>#VALUE!</v>
      </c>
      <c r="AH6" s="4" t="e">
        <f>MIN((AF6-MAX($AF$3:AF6))/MAX($AF$3:AF6),0)</f>
        <v>#VALUE!</v>
      </c>
    </row>
    <row r="7" spans="1:35" x14ac:dyDescent="0.25">
      <c r="A7" s="6">
        <v>44721</v>
      </c>
      <c r="B7">
        <v>10</v>
      </c>
      <c r="F7">
        <f t="shared" si="0"/>
        <v>10</v>
      </c>
      <c r="G7">
        <f t="shared" si="1"/>
        <v>10</v>
      </c>
      <c r="H7">
        <f t="shared" si="2"/>
        <v>0</v>
      </c>
      <c r="J7">
        <f t="shared" si="4"/>
        <v>0</v>
      </c>
      <c r="K7">
        <f t="shared" si="5"/>
        <v>10</v>
      </c>
      <c r="L7">
        <f>G7*Return!B7*100</f>
        <v>-10.200000000000209</v>
      </c>
      <c r="M7">
        <f>H7*Return!C7*100</f>
        <v>0</v>
      </c>
      <c r="N7">
        <f>I7*Return!D7*100</f>
        <v>0</v>
      </c>
      <c r="O7">
        <f>J7*Return!E7*100</f>
        <v>0</v>
      </c>
      <c r="P7">
        <f t="shared" si="6"/>
        <v>-10.200000000000209</v>
      </c>
      <c r="Q7" t="e">
        <f>SUM($P$3:P7)</f>
        <v>#VALUE!</v>
      </c>
      <c r="R7">
        <f>B7*中国_中债国债到期收益率_1年!B6/365*100</f>
        <v>5.556712328767123</v>
      </c>
      <c r="S7">
        <f>C7*中国_中债国债到期收益率_1年!C6/365*100</f>
        <v>0</v>
      </c>
      <c r="T7">
        <f>D7*中国_中债国债到期收益率_1年!D6/365*100</f>
        <v>0</v>
      </c>
      <c r="U7">
        <f>E7*中国_中债国债到期收益率_1年!E6/365*100</f>
        <v>0</v>
      </c>
      <c r="V7">
        <f t="shared" si="7"/>
        <v>5.556712328767123</v>
      </c>
      <c r="W7" t="e">
        <f>SUM($V$3:V7)</f>
        <v>#VALUE!</v>
      </c>
      <c r="X7">
        <f>MAX(F7-50,0)*中国_中债国债到期收益率_1年!H7*100/365</f>
        <v>0</v>
      </c>
      <c r="Y7">
        <f>SUM($X$3:X7)</f>
        <v>0</v>
      </c>
      <c r="AA7">
        <v>-50</v>
      </c>
      <c r="AB7">
        <f>Z7*Return!F7*100</f>
        <v>0</v>
      </c>
      <c r="AC7">
        <f>AA7*Return!G7*100</f>
        <v>-63.500000000000782</v>
      </c>
      <c r="AD7">
        <f>SUM($AB$3:AB7)+SUM($AC$3:AC7)</f>
        <v>80.099999999999838</v>
      </c>
      <c r="AE7" t="e">
        <f t="shared" si="8"/>
        <v>#VALUE!</v>
      </c>
      <c r="AF7" t="e">
        <f t="shared" si="9"/>
        <v>#VALUE!</v>
      </c>
      <c r="AG7" s="4" t="e">
        <f>(AF7/AF6-1)-中国_中债国债到期收益率_1年!H7%/252</f>
        <v>#VALUE!</v>
      </c>
      <c r="AH7" s="4" t="e">
        <f>MIN((AF7-MAX($AF$3:AF7))/MAX($AF$3:AF7),0)</f>
        <v>#VALUE!</v>
      </c>
    </row>
    <row r="8" spans="1:35" x14ac:dyDescent="0.25">
      <c r="A8" s="6">
        <v>44722</v>
      </c>
      <c r="B8">
        <v>10</v>
      </c>
      <c r="F8">
        <f t="shared" si="0"/>
        <v>10</v>
      </c>
      <c r="G8">
        <f t="shared" si="1"/>
        <v>10</v>
      </c>
      <c r="H8">
        <f t="shared" si="2"/>
        <v>0</v>
      </c>
      <c r="J8">
        <f t="shared" si="4"/>
        <v>0</v>
      </c>
      <c r="K8">
        <f t="shared" si="5"/>
        <v>10</v>
      </c>
      <c r="L8">
        <f>G8*Return!B8*100</f>
        <v>13.100000000000112</v>
      </c>
      <c r="M8">
        <f>H8*Return!C8*100</f>
        <v>0</v>
      </c>
      <c r="N8">
        <f>I8*Return!D8*100</f>
        <v>0</v>
      </c>
      <c r="O8">
        <f>J8*Return!E8*100</f>
        <v>0</v>
      </c>
      <c r="P8">
        <f t="shared" si="6"/>
        <v>13.100000000000112</v>
      </c>
      <c r="Q8" t="e">
        <f>SUM($P$3:P8)</f>
        <v>#VALUE!</v>
      </c>
      <c r="R8">
        <f>B8*中国_中债国债到期收益率_1年!B7/365*100</f>
        <v>5.5208219178082194</v>
      </c>
      <c r="S8">
        <f>C8*中国_中债国债到期收益率_1年!C7/365*100</f>
        <v>0</v>
      </c>
      <c r="T8">
        <f>D8*中国_中债国债到期收益率_1年!D7/365*100</f>
        <v>0</v>
      </c>
      <c r="U8">
        <f>E8*中国_中债国债到期收益率_1年!E7/365*100</f>
        <v>0</v>
      </c>
      <c r="V8">
        <f t="shared" si="7"/>
        <v>5.5208219178082194</v>
      </c>
      <c r="W8" t="e">
        <f>SUM($V$3:V8)</f>
        <v>#VALUE!</v>
      </c>
      <c r="X8">
        <f>MAX(F8-50,0)*中国_中债国债到期收益率_1年!H8*100/365</f>
        <v>0</v>
      </c>
      <c r="Y8">
        <f>SUM($X$3:X8)</f>
        <v>0</v>
      </c>
      <c r="AA8">
        <v>-50</v>
      </c>
      <c r="AB8">
        <f>Z8*Return!F8*100</f>
        <v>0</v>
      </c>
      <c r="AC8">
        <f>AA8*Return!G8*100</f>
        <v>-39.499999999998977</v>
      </c>
      <c r="AD8">
        <f>SUM($AB$3:AB8)+SUM($AC$3:AC8)</f>
        <v>40.600000000000861</v>
      </c>
      <c r="AE8" t="e">
        <f t="shared" si="8"/>
        <v>#VALUE!</v>
      </c>
      <c r="AF8" t="e">
        <f t="shared" si="9"/>
        <v>#VALUE!</v>
      </c>
      <c r="AG8" s="4" t="e">
        <f>(AF8/AF7-1)-中国_中债国债到期收益率_1年!H8%/252</f>
        <v>#VALUE!</v>
      </c>
      <c r="AH8" s="4" t="e">
        <f>MIN((AF8-MAX($AF$3:AF8))/MAX($AF$3:AF8),0)</f>
        <v>#VALUE!</v>
      </c>
    </row>
    <row r="9" spans="1:35" x14ac:dyDescent="0.25">
      <c r="A9" s="6">
        <v>44725</v>
      </c>
      <c r="B9">
        <v>10</v>
      </c>
      <c r="F9">
        <f t="shared" si="0"/>
        <v>10</v>
      </c>
      <c r="G9">
        <f t="shared" si="1"/>
        <v>10</v>
      </c>
      <c r="H9">
        <f t="shared" si="2"/>
        <v>0</v>
      </c>
      <c r="J9">
        <f t="shared" si="4"/>
        <v>0</v>
      </c>
      <c r="K9">
        <f t="shared" si="5"/>
        <v>10</v>
      </c>
      <c r="L9">
        <f>G9*Return!B9*100</f>
        <v>9.9999999999997868</v>
      </c>
      <c r="M9">
        <f>H9*Return!C9*100</f>
        <v>0</v>
      </c>
      <c r="N9">
        <f>I9*Return!D9*100</f>
        <v>0</v>
      </c>
      <c r="O9">
        <f>J9*Return!E9*100</f>
        <v>0</v>
      </c>
      <c r="P9">
        <f t="shared" si="6"/>
        <v>9.9999999999997868</v>
      </c>
      <c r="Q9" t="e">
        <f>SUM($P$3:P9)</f>
        <v>#VALUE!</v>
      </c>
      <c r="R9">
        <f>B9*中国_中债国债到期收益率_1年!B8/365*100</f>
        <v>5.4934246575342476</v>
      </c>
      <c r="S9">
        <f>C9*中国_中债国债到期收益率_1年!C8/365*100</f>
        <v>0</v>
      </c>
      <c r="T9">
        <f>D9*中国_中债国债到期收益率_1年!D8/365*100</f>
        <v>0</v>
      </c>
      <c r="U9">
        <f>E9*中国_中债国债到期收益率_1年!E8/365*100</f>
        <v>0</v>
      </c>
      <c r="V9">
        <f t="shared" si="7"/>
        <v>5.4934246575342476</v>
      </c>
      <c r="W9" t="e">
        <f>SUM($V$3:V9)</f>
        <v>#VALUE!</v>
      </c>
      <c r="X9">
        <f>MAX(F9-50,0)*中国_中债国债到期收益率_1年!H9*100/365</f>
        <v>0</v>
      </c>
      <c r="Y9">
        <f>SUM($X$3:X9)</f>
        <v>0</v>
      </c>
      <c r="AA9">
        <v>-50</v>
      </c>
      <c r="AB9">
        <f>Z9*Return!F9*100</f>
        <v>0</v>
      </c>
      <c r="AC9">
        <f>AA9*Return!G9*100</f>
        <v>-26.500000000000412</v>
      </c>
      <c r="AD9">
        <f>SUM($AB$3:AB9)+SUM($AC$3:AC9)</f>
        <v>14.100000000000449</v>
      </c>
      <c r="AE9" t="e">
        <f t="shared" si="8"/>
        <v>#VALUE!</v>
      </c>
      <c r="AF9" t="e">
        <f t="shared" si="9"/>
        <v>#VALUE!</v>
      </c>
      <c r="AG9" s="4" t="e">
        <f>(AF9/AF8-1)-中国_中债国债到期收益率_1年!H9%/252</f>
        <v>#VALUE!</v>
      </c>
      <c r="AH9" s="4" t="e">
        <f>MIN((AF9-MAX($AF$3:AF9))/MAX($AF$3:AF9),0)</f>
        <v>#VALUE!</v>
      </c>
    </row>
    <row r="10" spans="1:35" x14ac:dyDescent="0.25">
      <c r="A10" s="6">
        <v>44726</v>
      </c>
      <c r="B10">
        <v>10</v>
      </c>
      <c r="F10">
        <f t="shared" si="0"/>
        <v>10</v>
      </c>
      <c r="G10">
        <f t="shared" si="1"/>
        <v>10</v>
      </c>
      <c r="H10">
        <f t="shared" si="2"/>
        <v>0</v>
      </c>
      <c r="J10">
        <f t="shared" si="4"/>
        <v>0</v>
      </c>
      <c r="K10">
        <f t="shared" si="5"/>
        <v>10</v>
      </c>
      <c r="L10">
        <f>G10*Return!B10*100</f>
        <v>2.4999999999999467</v>
      </c>
      <c r="M10">
        <f>H10*Return!C10*100</f>
        <v>0</v>
      </c>
      <c r="N10">
        <f>I10*Return!D10*100</f>
        <v>0</v>
      </c>
      <c r="O10">
        <f>J10*Return!E10*100</f>
        <v>0</v>
      </c>
      <c r="P10">
        <f t="shared" si="6"/>
        <v>2.4999999999999467</v>
      </c>
      <c r="Q10" t="e">
        <f>SUM($P$3:P10)</f>
        <v>#VALUE!</v>
      </c>
      <c r="R10">
        <f>B10*中国_中债国债到期收益率_1年!B9/365*100</f>
        <v>5.4865753424657537</v>
      </c>
      <c r="S10">
        <f>C10*中国_中债国债到期收益率_1年!C9/365*100</f>
        <v>0</v>
      </c>
      <c r="T10">
        <f>D10*中国_中债国债到期收益率_1年!D9/365*100</f>
        <v>0</v>
      </c>
      <c r="U10">
        <f>E10*中国_中债国债到期收益率_1年!E9/365*100</f>
        <v>0</v>
      </c>
      <c r="V10">
        <f t="shared" si="7"/>
        <v>5.4865753424657537</v>
      </c>
      <c r="W10" t="e">
        <f>SUM($V$3:V10)</f>
        <v>#VALUE!</v>
      </c>
      <c r="X10">
        <f>MAX(F10-50,0)*中国_中债国债到期收益率_1年!H10*100/365</f>
        <v>0</v>
      </c>
      <c r="Y10">
        <f>SUM($X$3:X10)</f>
        <v>0</v>
      </c>
      <c r="AA10">
        <v>-50</v>
      </c>
      <c r="AB10">
        <f>Z10*Return!F10*100</f>
        <v>0</v>
      </c>
      <c r="AC10">
        <f>AA10*Return!G10*100</f>
        <v>69.500000000000114</v>
      </c>
      <c r="AD10">
        <f>SUM($AB$3:AB10)+SUM($AC$3:AC10)</f>
        <v>83.600000000000563</v>
      </c>
      <c r="AE10" t="e">
        <f t="shared" si="8"/>
        <v>#VALUE!</v>
      </c>
      <c r="AF10" t="e">
        <f t="shared" si="9"/>
        <v>#VALUE!</v>
      </c>
      <c r="AG10" s="4" t="e">
        <f>(AF10/AF9-1)-中国_中债国债到期收益率_1年!H10%/252</f>
        <v>#VALUE!</v>
      </c>
      <c r="AH10" s="4" t="e">
        <f>MIN((AF10-MAX($AF$3:AF10))/MAX($AF$3:AF10),0)</f>
        <v>#VALUE!</v>
      </c>
    </row>
    <row r="11" spans="1:35" x14ac:dyDescent="0.25">
      <c r="A11" s="6">
        <v>44727</v>
      </c>
      <c r="B11">
        <v>10</v>
      </c>
      <c r="F11">
        <f t="shared" si="0"/>
        <v>10</v>
      </c>
      <c r="G11">
        <f t="shared" si="1"/>
        <v>10</v>
      </c>
      <c r="H11">
        <f t="shared" si="2"/>
        <v>0</v>
      </c>
      <c r="J11">
        <f t="shared" si="4"/>
        <v>0</v>
      </c>
      <c r="K11">
        <f t="shared" si="5"/>
        <v>10</v>
      </c>
      <c r="L11">
        <f>G11*Return!B11*100</f>
        <v>-14.99999999999968</v>
      </c>
      <c r="M11">
        <f>H11*Return!C11*100</f>
        <v>0</v>
      </c>
      <c r="N11">
        <f>I11*Return!D11*100</f>
        <v>0</v>
      </c>
      <c r="O11">
        <f>J11*Return!E11*100</f>
        <v>0</v>
      </c>
      <c r="P11">
        <f t="shared" si="6"/>
        <v>-14.99999999999968</v>
      </c>
      <c r="Q11" t="e">
        <f>SUM($P$3:P11)</f>
        <v>#VALUE!</v>
      </c>
      <c r="R11">
        <f>B11*中国_中债国债到期收益率_1年!B10/365*100</f>
        <v>5.5276712328767115</v>
      </c>
      <c r="S11">
        <f>C11*中国_中债国债到期收益率_1年!C10/365*100</f>
        <v>0</v>
      </c>
      <c r="T11">
        <f>D11*中国_中债国债到期收益率_1年!D10/365*100</f>
        <v>0</v>
      </c>
      <c r="U11">
        <f>E11*中国_中债国债到期收益率_1年!E10/365*100</f>
        <v>0</v>
      </c>
      <c r="V11">
        <f t="shared" si="7"/>
        <v>5.5276712328767115</v>
      </c>
      <c r="W11" t="e">
        <f>SUM($V$3:V11)</f>
        <v>#VALUE!</v>
      </c>
      <c r="X11">
        <f>MAX(F11-50,0)*中国_中债国债到期收益率_1年!H11*100/365</f>
        <v>0</v>
      </c>
      <c r="Y11">
        <f>SUM($X$3:X11)</f>
        <v>0</v>
      </c>
      <c r="AA11">
        <v>-50</v>
      </c>
      <c r="AB11">
        <f>Z11*Return!F11*100</f>
        <v>0</v>
      </c>
      <c r="AC11">
        <f>AA11*Return!G11*100</f>
        <v>83.999999999999631</v>
      </c>
      <c r="AD11">
        <f>SUM($AB$3:AB11)+SUM($AC$3:AC11)</f>
        <v>167.60000000000019</v>
      </c>
      <c r="AE11" t="e">
        <f t="shared" si="8"/>
        <v>#VALUE!</v>
      </c>
      <c r="AF11" t="e">
        <f t="shared" si="9"/>
        <v>#VALUE!</v>
      </c>
      <c r="AG11" s="4" t="e">
        <f>(AF11/AF10-1)-中国_中债国债到期收益率_1年!H11%/252</f>
        <v>#VALUE!</v>
      </c>
      <c r="AH11" s="4" t="e">
        <f>MIN((AF11-MAX($AF$3:AF11))/MAX($AF$3:AF11),0)</f>
        <v>#VALUE!</v>
      </c>
    </row>
    <row r="12" spans="1:35" x14ac:dyDescent="0.25">
      <c r="A12" s="6">
        <v>44728</v>
      </c>
      <c r="B12">
        <v>10</v>
      </c>
      <c r="F12">
        <f t="shared" si="0"/>
        <v>10</v>
      </c>
      <c r="G12">
        <f t="shared" si="1"/>
        <v>10</v>
      </c>
      <c r="H12">
        <f t="shared" si="2"/>
        <v>0</v>
      </c>
      <c r="J12">
        <f t="shared" si="4"/>
        <v>0</v>
      </c>
      <c r="K12">
        <f t="shared" si="5"/>
        <v>10</v>
      </c>
      <c r="L12">
        <f>G12*Return!B12*100</f>
        <v>-18.400000000000194</v>
      </c>
      <c r="M12">
        <f>H12*Return!C12*100</f>
        <v>0</v>
      </c>
      <c r="N12">
        <f>I12*Return!D12*100</f>
        <v>0</v>
      </c>
      <c r="O12">
        <f>J12*Return!E12*100</f>
        <v>0</v>
      </c>
      <c r="P12">
        <f t="shared" si="6"/>
        <v>-18.400000000000194</v>
      </c>
      <c r="Q12" t="e">
        <f>SUM($P$3:P12)</f>
        <v>#VALUE!</v>
      </c>
      <c r="R12">
        <f>B12*中国_中债国债到期收益率_1年!B11/365*100</f>
        <v>5.5780821917808217</v>
      </c>
      <c r="S12">
        <f>C12*中国_中债国债到期收益率_1年!C11/365*100</f>
        <v>0</v>
      </c>
      <c r="T12">
        <f>D12*中国_中债国债到期收益率_1年!D11/365*100</f>
        <v>0</v>
      </c>
      <c r="U12">
        <f>E12*中国_中债国债到期收益率_1年!E11/365*100</f>
        <v>0</v>
      </c>
      <c r="V12">
        <f t="shared" si="7"/>
        <v>5.5780821917808217</v>
      </c>
      <c r="W12" t="e">
        <f>SUM($V$3:V12)</f>
        <v>#VALUE!</v>
      </c>
      <c r="X12">
        <f>MAX(F12-50,0)*中国_中债国债到期收益率_1年!H12*100/365</f>
        <v>0</v>
      </c>
      <c r="Y12">
        <f>SUM($X$3:X12)</f>
        <v>0</v>
      </c>
      <c r="AA12">
        <v>-50</v>
      </c>
      <c r="AB12">
        <f>Z12*Return!F12*100</f>
        <v>0</v>
      </c>
      <c r="AC12">
        <f>AA12*Return!G12*100</f>
        <v>40.000000000000036</v>
      </c>
      <c r="AD12">
        <f>SUM($AB$3:AB12)+SUM($AC$3:AC12)</f>
        <v>207.60000000000022</v>
      </c>
      <c r="AE12" t="e">
        <f t="shared" si="8"/>
        <v>#VALUE!</v>
      </c>
      <c r="AF12" t="e">
        <f t="shared" si="9"/>
        <v>#VALUE!</v>
      </c>
      <c r="AG12" s="4" t="e">
        <f>(AF12/AF11-1)-中国_中债国债到期收益率_1年!H12%/252</f>
        <v>#VALUE!</v>
      </c>
      <c r="AH12" s="4" t="e">
        <f>MIN((AF12-MAX($AF$3:AF12))/MAX($AF$3:AF12),0)</f>
        <v>#VALUE!</v>
      </c>
    </row>
    <row r="13" spans="1:35" x14ac:dyDescent="0.25">
      <c r="A13" s="6">
        <v>44729</v>
      </c>
      <c r="B13">
        <v>10</v>
      </c>
      <c r="C13">
        <v>10</v>
      </c>
      <c r="F13">
        <f t="shared" si="0"/>
        <v>20</v>
      </c>
      <c r="G13">
        <f t="shared" si="1"/>
        <v>10</v>
      </c>
      <c r="H13">
        <f t="shared" si="2"/>
        <v>50</v>
      </c>
      <c r="J13">
        <f t="shared" si="4"/>
        <v>0</v>
      </c>
      <c r="K13">
        <f t="shared" si="5"/>
        <v>60</v>
      </c>
      <c r="L13">
        <f>G13*Return!B13*100</f>
        <v>0.79999999999991189</v>
      </c>
      <c r="M13">
        <f>H13*Return!C13*100</f>
        <v>88.000000000001407</v>
      </c>
      <c r="N13">
        <f>I13*Return!D13*100</f>
        <v>0</v>
      </c>
      <c r="O13">
        <f>J13*Return!E13*100</f>
        <v>0</v>
      </c>
      <c r="P13">
        <f t="shared" si="6"/>
        <v>88.800000000001319</v>
      </c>
      <c r="Q13" t="e">
        <f>SUM($P$3:P13)</f>
        <v>#VALUE!</v>
      </c>
      <c r="R13">
        <f>B13*中国_中债国债到期收益率_1年!B12/365*100</f>
        <v>5.5758904109589045</v>
      </c>
      <c r="S13">
        <f>C13*中国_中债国债到期收益率_1年!C12/365*100</f>
        <v>7.1057534246575349</v>
      </c>
      <c r="T13">
        <f>D13*中国_中债国债到期收益率_1年!D12/365*100</f>
        <v>0</v>
      </c>
      <c r="U13">
        <f>E13*中国_中债国债到期收益率_1年!E12/365*100</f>
        <v>0</v>
      </c>
      <c r="V13">
        <f t="shared" si="7"/>
        <v>12.681643835616439</v>
      </c>
      <c r="W13" t="e">
        <f>SUM($V$3:V13)</f>
        <v>#VALUE!</v>
      </c>
      <c r="X13">
        <f>MAX(F13-50,0)*中国_中债国债到期收益率_1年!H13*100/365</f>
        <v>0</v>
      </c>
      <c r="Y13">
        <f>SUM($X$3:X13)</f>
        <v>0</v>
      </c>
      <c r="AA13">
        <v>-50</v>
      </c>
      <c r="AB13">
        <f>Z13*Return!F13*100</f>
        <v>0</v>
      </c>
      <c r="AC13">
        <f>AA13*Return!G13*100</f>
        <v>-28.500000000000192</v>
      </c>
      <c r="AD13">
        <f>SUM($AB$3:AB13)+SUM($AC$3:AC13)</f>
        <v>179.10000000000002</v>
      </c>
      <c r="AE13" t="e">
        <f t="shared" si="8"/>
        <v>#VALUE!</v>
      </c>
      <c r="AF13" t="e">
        <f t="shared" si="9"/>
        <v>#VALUE!</v>
      </c>
      <c r="AG13" s="4" t="e">
        <f>(AF13/AF12-1)-中国_中债国债到期收益率_1年!H13%/252</f>
        <v>#VALUE!</v>
      </c>
      <c r="AH13" s="4" t="e">
        <f>MIN((AF13-MAX($AF$3:AF13))/MAX($AF$3:AF13),0)</f>
        <v>#VALUE!</v>
      </c>
    </row>
    <row r="14" spans="1:35" x14ac:dyDescent="0.25">
      <c r="A14" s="6">
        <v>44732</v>
      </c>
      <c r="B14">
        <v>10</v>
      </c>
      <c r="C14">
        <v>10</v>
      </c>
      <c r="F14">
        <f t="shared" si="0"/>
        <v>20</v>
      </c>
      <c r="G14">
        <f t="shared" si="1"/>
        <v>10</v>
      </c>
      <c r="H14">
        <f t="shared" si="2"/>
        <v>50</v>
      </c>
      <c r="J14">
        <f t="shared" si="4"/>
        <v>0</v>
      </c>
      <c r="K14">
        <f t="shared" si="5"/>
        <v>60</v>
      </c>
      <c r="L14">
        <f>G14*Return!B14*100</f>
        <v>24.999999999999911</v>
      </c>
      <c r="M14">
        <f>H14*Return!C14*100</f>
        <v>-3.9999999999995595</v>
      </c>
      <c r="N14">
        <f>I14*Return!D14*100</f>
        <v>0</v>
      </c>
      <c r="O14">
        <f>J14*Return!E14*100</f>
        <v>0</v>
      </c>
      <c r="P14">
        <f t="shared" si="6"/>
        <v>21.000000000000352</v>
      </c>
      <c r="Q14" t="e">
        <f>SUM($P$3:P14)</f>
        <v>#VALUE!</v>
      </c>
      <c r="R14">
        <f>B14*中国_中债国债到期收益率_1年!B13/365*100</f>
        <v>5.507397260273974</v>
      </c>
      <c r="S14">
        <f>C14*中国_中债国债到期收益率_1年!C13/365*100</f>
        <v>7.1079452054794521</v>
      </c>
      <c r="T14">
        <f>D14*中国_中债国债到期收益率_1年!D13/365*100</f>
        <v>0</v>
      </c>
      <c r="U14">
        <f>E14*中国_中债国债到期收益率_1年!E13/365*100</f>
        <v>0</v>
      </c>
      <c r="V14">
        <f t="shared" si="7"/>
        <v>12.615342465753425</v>
      </c>
      <c r="W14" t="e">
        <f>SUM($V$3:V14)</f>
        <v>#VALUE!</v>
      </c>
      <c r="X14">
        <f>MAX(F14-50,0)*中国_中债国债到期收益率_1年!H14*100/365</f>
        <v>0</v>
      </c>
      <c r="Y14">
        <f>SUM($X$3:X14)</f>
        <v>0</v>
      </c>
      <c r="AA14">
        <v>-50</v>
      </c>
      <c r="AB14">
        <f>Z14*Return!F14*100</f>
        <v>0</v>
      </c>
      <c r="AC14">
        <f>AA14*Return!G14*100</f>
        <v>-51.999999999998714</v>
      </c>
      <c r="AD14">
        <f>SUM($AB$3:AB14)+SUM($AC$3:AC14)</f>
        <v>127.1000000000013</v>
      </c>
      <c r="AE14" t="e">
        <f t="shared" si="8"/>
        <v>#VALUE!</v>
      </c>
      <c r="AF14" t="e">
        <f t="shared" si="9"/>
        <v>#VALUE!</v>
      </c>
      <c r="AG14" s="4" t="e">
        <f>(AF14/AF13-1)-中国_中债国债到期收益率_1年!H14%/252</f>
        <v>#VALUE!</v>
      </c>
      <c r="AH14" s="4" t="e">
        <f>MIN((AF14-MAX($AF$3:AF14))/MAX($AF$3:AF14),0)</f>
        <v>#VALUE!</v>
      </c>
    </row>
    <row r="15" spans="1:35" x14ac:dyDescent="0.25">
      <c r="A15" s="6">
        <v>44733</v>
      </c>
      <c r="B15">
        <v>10</v>
      </c>
      <c r="C15">
        <v>10</v>
      </c>
      <c r="F15">
        <f t="shared" si="0"/>
        <v>20</v>
      </c>
      <c r="G15">
        <f t="shared" si="1"/>
        <v>10</v>
      </c>
      <c r="H15">
        <f t="shared" si="2"/>
        <v>50</v>
      </c>
      <c r="J15">
        <f t="shared" si="4"/>
        <v>0</v>
      </c>
      <c r="K15">
        <f t="shared" si="5"/>
        <v>60</v>
      </c>
      <c r="L15">
        <f>G15*Return!B15*100</f>
        <v>4.6000000000003816</v>
      </c>
      <c r="M15">
        <f>H15*Return!C15*100</f>
        <v>-109.50000000000016</v>
      </c>
      <c r="N15">
        <f>I15*Return!D15*100</f>
        <v>0</v>
      </c>
      <c r="O15">
        <f>J15*Return!E15*100</f>
        <v>0</v>
      </c>
      <c r="P15">
        <f t="shared" si="6"/>
        <v>-104.89999999999978</v>
      </c>
      <c r="Q15" t="e">
        <f>SUM($P$3:P15)</f>
        <v>#VALUE!</v>
      </c>
      <c r="R15">
        <f>B15*中国_中债国债到期收益率_1年!B14/365*100</f>
        <v>5.494794520547944</v>
      </c>
      <c r="S15">
        <f>C15*中国_中债国债到期收益率_1年!C14/365*100</f>
        <v>7.1679452054794508</v>
      </c>
      <c r="T15">
        <f>D15*中国_中债国债到期收益率_1年!D14/365*100</f>
        <v>0</v>
      </c>
      <c r="U15">
        <f>E15*中国_中债国债到期收益率_1年!E14/365*100</f>
        <v>0</v>
      </c>
      <c r="V15">
        <f t="shared" si="7"/>
        <v>12.662739726027395</v>
      </c>
      <c r="W15" t="e">
        <f>SUM($V$3:V15)</f>
        <v>#VALUE!</v>
      </c>
      <c r="X15">
        <f>MAX(F15-50,0)*中国_中债国债到期收益率_1年!H15*100/365</f>
        <v>0</v>
      </c>
      <c r="Y15">
        <f>SUM($X$3:X15)</f>
        <v>0</v>
      </c>
      <c r="AA15">
        <v>-50</v>
      </c>
      <c r="AB15">
        <f>Z15*Return!F15*100</f>
        <v>0</v>
      </c>
      <c r="AC15">
        <f>AA15*Return!G15*100</f>
        <v>117.49999999999928</v>
      </c>
      <c r="AD15">
        <f>SUM($AB$3:AB15)+SUM($AC$3:AC15)</f>
        <v>244.60000000000059</v>
      </c>
      <c r="AE15" t="e">
        <f t="shared" si="8"/>
        <v>#VALUE!</v>
      </c>
      <c r="AF15" t="e">
        <f t="shared" si="9"/>
        <v>#VALUE!</v>
      </c>
      <c r="AG15" s="4" t="e">
        <f>(AF15/AF14-1)-中国_中债国债到期收益率_1年!H15%/252</f>
        <v>#VALUE!</v>
      </c>
      <c r="AH15" s="4" t="e">
        <f>MIN((AF15-MAX($AF$3:AF15))/MAX($AF$3:AF15),0)</f>
        <v>#VALUE!</v>
      </c>
    </row>
    <row r="16" spans="1:35" x14ac:dyDescent="0.25">
      <c r="A16" s="6">
        <v>44734</v>
      </c>
      <c r="B16">
        <v>20</v>
      </c>
      <c r="C16">
        <v>10</v>
      </c>
      <c r="F16">
        <f t="shared" si="0"/>
        <v>30</v>
      </c>
      <c r="G16">
        <f t="shared" si="1"/>
        <v>20</v>
      </c>
      <c r="H16">
        <f t="shared" si="2"/>
        <v>50</v>
      </c>
      <c r="J16">
        <f t="shared" si="4"/>
        <v>0</v>
      </c>
      <c r="K16">
        <f t="shared" si="5"/>
        <v>70</v>
      </c>
      <c r="L16">
        <f>G16*Return!B16*100</f>
        <v>7.6000000000000512</v>
      </c>
      <c r="M16">
        <f>H16*Return!C16*100</f>
        <v>22.499999999998632</v>
      </c>
      <c r="N16">
        <f>I16*Return!D16*100</f>
        <v>0</v>
      </c>
      <c r="O16">
        <f>J16*Return!E16*100</f>
        <v>0</v>
      </c>
      <c r="P16">
        <f t="shared" si="6"/>
        <v>30.099999999998683</v>
      </c>
      <c r="Q16" t="e">
        <f>SUM($P$3:P16)</f>
        <v>#VALUE!</v>
      </c>
      <c r="R16">
        <f>B16*中国_中债国债到期收益率_1年!B15/365*100</f>
        <v>10.96876712328767</v>
      </c>
      <c r="S16">
        <f>C16*中国_中债国债到期收益率_1年!C15/365*100</f>
        <v>7.1556164383561649</v>
      </c>
      <c r="T16">
        <f>D16*中国_中债国债到期收益率_1年!D15/365*100</f>
        <v>0</v>
      </c>
      <c r="U16">
        <f>E16*中国_中债国债到期收益率_1年!E15/365*100</f>
        <v>0</v>
      </c>
      <c r="V16">
        <f t="shared" si="7"/>
        <v>18.124383561643835</v>
      </c>
      <c r="W16" t="e">
        <f>SUM($V$3:V16)</f>
        <v>#VALUE!</v>
      </c>
      <c r="X16">
        <f>MAX(F16-50,0)*中国_中债国债到期收益率_1年!H16*100/365</f>
        <v>0</v>
      </c>
      <c r="Y16">
        <f>SUM($X$3:X16)</f>
        <v>0</v>
      </c>
      <c r="AA16">
        <v>-50</v>
      </c>
      <c r="AB16">
        <f>Z16*Return!F16*100</f>
        <v>0</v>
      </c>
      <c r="AC16">
        <f>AA16*Return!G16*100</f>
        <v>39.000000000000142</v>
      </c>
      <c r="AD16">
        <f>SUM($AB$3:AB16)+SUM($AC$3:AC16)</f>
        <v>283.6000000000007</v>
      </c>
      <c r="AE16" t="e">
        <f t="shared" si="8"/>
        <v>#VALUE!</v>
      </c>
      <c r="AF16" t="e">
        <f t="shared" si="9"/>
        <v>#VALUE!</v>
      </c>
      <c r="AG16" s="4" t="e">
        <f>(AF16/AF15-1)-中国_中债国债到期收益率_1年!H16%/252</f>
        <v>#VALUE!</v>
      </c>
      <c r="AH16" s="4" t="e">
        <f>MIN((AF16-MAX($AF$3:AF16))/MAX($AF$3:AF16),0)</f>
        <v>#VALUE!</v>
      </c>
    </row>
    <row r="17" spans="1:34" x14ac:dyDescent="0.25">
      <c r="A17" s="6">
        <v>44735</v>
      </c>
      <c r="B17">
        <v>20</v>
      </c>
      <c r="C17">
        <v>10</v>
      </c>
      <c r="F17">
        <f t="shared" si="0"/>
        <v>30</v>
      </c>
      <c r="G17">
        <f t="shared" si="1"/>
        <v>20</v>
      </c>
      <c r="H17">
        <f t="shared" si="2"/>
        <v>50</v>
      </c>
      <c r="J17">
        <f t="shared" si="4"/>
        <v>0</v>
      </c>
      <c r="K17">
        <f t="shared" si="5"/>
        <v>70</v>
      </c>
      <c r="L17">
        <f>G17*Return!B17*100</f>
        <v>29.799999999999383</v>
      </c>
      <c r="M17">
        <f>H17*Return!C17*100</f>
        <v>36.500000000001535</v>
      </c>
      <c r="N17">
        <f>I17*Return!D17*100</f>
        <v>0</v>
      </c>
      <c r="O17">
        <f>J17*Return!E17*100</f>
        <v>0</v>
      </c>
      <c r="P17">
        <f t="shared" si="6"/>
        <v>66.300000000000921</v>
      </c>
      <c r="Q17" t="e">
        <f>SUM($P$3:P17)</f>
        <v>#VALUE!</v>
      </c>
      <c r="R17">
        <f>B17*中国_中债国债到期收益率_1年!B16/365*100</f>
        <v>10.887123287671233</v>
      </c>
      <c r="S17">
        <f>C17*中国_中债国债到期收益率_1年!C16/365*100</f>
        <v>7.1356164383561644</v>
      </c>
      <c r="T17">
        <f>D17*中国_中债国债到期收益率_1年!D16/365*100</f>
        <v>0</v>
      </c>
      <c r="U17">
        <f>E17*中国_中债国债到期收益率_1年!E16/365*100</f>
        <v>0</v>
      </c>
      <c r="V17">
        <f t="shared" si="7"/>
        <v>18.022739726027396</v>
      </c>
      <c r="W17" t="e">
        <f>SUM($V$3:V17)</f>
        <v>#VALUE!</v>
      </c>
      <c r="X17">
        <f>MAX(F17-50,0)*中国_中债国债到期收益率_1年!H17*100/365</f>
        <v>0</v>
      </c>
      <c r="Y17">
        <f>SUM($X$3:X17)</f>
        <v>0</v>
      </c>
      <c r="AA17">
        <v>-50</v>
      </c>
      <c r="AB17">
        <f>Z17*Return!F17*100</f>
        <v>0</v>
      </c>
      <c r="AC17">
        <f>AA17*Return!G17*100</f>
        <v>-53.499999999999659</v>
      </c>
      <c r="AD17">
        <f>SUM($AB$3:AB17)+SUM($AC$3:AC17)</f>
        <v>230.10000000000105</v>
      </c>
      <c r="AE17" t="e">
        <f t="shared" si="8"/>
        <v>#VALUE!</v>
      </c>
      <c r="AF17" t="e">
        <f t="shared" si="9"/>
        <v>#VALUE!</v>
      </c>
      <c r="AG17" s="4" t="e">
        <f>(AF17/AF16-1)-中国_中债国债到期收益率_1年!H17%/252</f>
        <v>#VALUE!</v>
      </c>
      <c r="AH17" s="4" t="e">
        <f>MIN((AF17-MAX($AF$3:AF17))/MAX($AF$3:AF17),0)</f>
        <v>#VALUE!</v>
      </c>
    </row>
    <row r="18" spans="1:34" x14ac:dyDescent="0.25">
      <c r="A18" s="6">
        <v>44736</v>
      </c>
      <c r="B18">
        <v>20</v>
      </c>
      <c r="C18">
        <v>10</v>
      </c>
      <c r="F18">
        <f t="shared" si="0"/>
        <v>30</v>
      </c>
      <c r="G18">
        <f t="shared" si="1"/>
        <v>20</v>
      </c>
      <c r="H18">
        <f t="shared" si="2"/>
        <v>50</v>
      </c>
      <c r="J18">
        <f t="shared" si="4"/>
        <v>0</v>
      </c>
      <c r="K18">
        <f t="shared" si="5"/>
        <v>70</v>
      </c>
      <c r="L18">
        <f>G18*Return!B18*100</f>
        <v>52.200000000000024</v>
      </c>
      <c r="M18">
        <f>H18*Return!C18*100</f>
        <v>-16.000000000000458</v>
      </c>
      <c r="N18">
        <f>I18*Return!D18*100</f>
        <v>0</v>
      </c>
      <c r="O18">
        <f>J18*Return!E18*100</f>
        <v>0</v>
      </c>
      <c r="P18">
        <f t="shared" si="6"/>
        <v>36.199999999999562</v>
      </c>
      <c r="Q18" t="e">
        <f>SUM($P$3:P18)</f>
        <v>#VALUE!</v>
      </c>
      <c r="R18">
        <f>B18*中国_中债国债到期收益率_1年!B17/365*100</f>
        <v>10.744109589041097</v>
      </c>
      <c r="S18">
        <f>C18*中国_中债国债到期收益率_1年!C17/365*100</f>
        <v>7.1443835616438358</v>
      </c>
      <c r="T18">
        <f>D18*中国_中债国债到期收益率_1年!D17/365*100</f>
        <v>0</v>
      </c>
      <c r="U18">
        <f>E18*中国_中债国债到期收益率_1年!E17/365*100</f>
        <v>0</v>
      </c>
      <c r="V18">
        <f t="shared" si="7"/>
        <v>17.888493150684933</v>
      </c>
      <c r="W18" t="e">
        <f>SUM($V$3:V18)</f>
        <v>#VALUE!</v>
      </c>
      <c r="X18">
        <f>MAX(F18-50,0)*中国_中债国债到期收益率_1年!H18*100/365</f>
        <v>0</v>
      </c>
      <c r="Y18">
        <f>SUM($X$3:X18)</f>
        <v>0</v>
      </c>
      <c r="AA18">
        <v>-50</v>
      </c>
      <c r="AB18">
        <f>Z18*Return!F18*100</f>
        <v>0</v>
      </c>
      <c r="AC18">
        <f>AA18*Return!G18*100</f>
        <v>-28.000000000001357</v>
      </c>
      <c r="AD18">
        <f>SUM($AB$3:AB18)+SUM($AC$3:AC18)</f>
        <v>202.09999999999968</v>
      </c>
      <c r="AE18" t="e">
        <f t="shared" si="8"/>
        <v>#VALUE!</v>
      </c>
      <c r="AF18" t="e">
        <f t="shared" si="9"/>
        <v>#VALUE!</v>
      </c>
      <c r="AG18" s="4" t="e">
        <f>(AF18/AF17-1)-中国_中债国债到期收益率_1年!H18%/252</f>
        <v>#VALUE!</v>
      </c>
      <c r="AH18" s="4" t="e">
        <f>MIN((AF18-MAX($AF$3:AF18))/MAX($AF$3:AF18),0)</f>
        <v>#VALUE!</v>
      </c>
    </row>
    <row r="19" spans="1:34" x14ac:dyDescent="0.25">
      <c r="A19" s="6">
        <v>44739</v>
      </c>
      <c r="B19">
        <v>20</v>
      </c>
      <c r="C19">
        <v>10</v>
      </c>
      <c r="F19">
        <f t="shared" si="0"/>
        <v>30</v>
      </c>
      <c r="G19">
        <f t="shared" si="1"/>
        <v>20</v>
      </c>
      <c r="H19">
        <f t="shared" si="2"/>
        <v>50</v>
      </c>
      <c r="I19">
        <f t="shared" si="3"/>
        <v>0</v>
      </c>
      <c r="J19">
        <f t="shared" si="4"/>
        <v>0</v>
      </c>
      <c r="K19">
        <f t="shared" si="5"/>
        <v>70</v>
      </c>
      <c r="L19">
        <f>G19*Return!B19*100</f>
        <v>-8.999999999999897</v>
      </c>
      <c r="M19">
        <f>H19*Return!C19*100</f>
        <v>-131.49999999999994</v>
      </c>
      <c r="N19">
        <f>I19*Return!D19*100</f>
        <v>0</v>
      </c>
      <c r="O19">
        <f>J19*Return!E19*100</f>
        <v>0</v>
      </c>
      <c r="P19">
        <f t="shared" si="6"/>
        <v>-140.49999999999983</v>
      </c>
      <c r="Q19" t="e">
        <f>SUM($P$3:P19)</f>
        <v>#VALUE!</v>
      </c>
      <c r="R19">
        <f>B19*中国_中债国债到期收益率_1年!B18/365*100</f>
        <v>10.76876712328767</v>
      </c>
      <c r="S19">
        <f>C19*中国_中债国债到期收益率_1年!C18/365*100</f>
        <v>7.2164383561643843</v>
      </c>
      <c r="T19">
        <f>D19*中国_中债国债到期收益率_1年!D18/365*100</f>
        <v>0</v>
      </c>
      <c r="U19">
        <f>E19*中国_中债国债到期收益率_1年!E18/365*100</f>
        <v>0</v>
      </c>
      <c r="V19">
        <f t="shared" si="7"/>
        <v>17.985205479452055</v>
      </c>
      <c r="W19" t="e">
        <f>SUM($V$3:V19)</f>
        <v>#VALUE!</v>
      </c>
      <c r="X19">
        <f>MAX(F19-50,0)*中国_中债国债到期收益率_1年!H19*100/365</f>
        <v>0</v>
      </c>
      <c r="Y19">
        <f>SUM($X$3:X19)</f>
        <v>0</v>
      </c>
      <c r="AA19">
        <v>-50</v>
      </c>
      <c r="AB19">
        <f>Z19*Return!F19*100</f>
        <v>0</v>
      </c>
      <c r="AC19">
        <f>AA19*Return!G19*100</f>
        <v>106.00000000000165</v>
      </c>
      <c r="AD19">
        <f>SUM($AB$3:AB19)+SUM($AC$3:AC19)</f>
        <v>308.10000000000133</v>
      </c>
      <c r="AE19" t="e">
        <f t="shared" si="8"/>
        <v>#VALUE!</v>
      </c>
      <c r="AF19" t="e">
        <f t="shared" si="9"/>
        <v>#VALUE!</v>
      </c>
      <c r="AG19" s="4" t="e">
        <f>(AF19/AF18-1)-中国_中债国债到期收益率_1年!H19%/252</f>
        <v>#VALUE!</v>
      </c>
      <c r="AH19" s="4" t="e">
        <f>MIN((AF19-MAX($AF$3:AF19))/MAX($AF$3:AF19),0)</f>
        <v>#VALUE!</v>
      </c>
    </row>
    <row r="20" spans="1:34" x14ac:dyDescent="0.25">
      <c r="A20" s="6">
        <v>44740</v>
      </c>
      <c r="B20">
        <v>20</v>
      </c>
      <c r="C20">
        <v>10</v>
      </c>
      <c r="F20">
        <f t="shared" si="0"/>
        <v>30</v>
      </c>
      <c r="G20">
        <f t="shared" si="1"/>
        <v>20</v>
      </c>
      <c r="H20">
        <f t="shared" si="2"/>
        <v>50</v>
      </c>
      <c r="I20">
        <f t="shared" si="3"/>
        <v>0</v>
      </c>
      <c r="J20">
        <f t="shared" si="4"/>
        <v>0</v>
      </c>
      <c r="K20">
        <f t="shared" si="5"/>
        <v>70</v>
      </c>
      <c r="L20">
        <f>G20*Return!B20*100</f>
        <v>-63.600000000000101</v>
      </c>
      <c r="M20">
        <f>H20*Return!C20*100</f>
        <v>-181.99999999999994</v>
      </c>
      <c r="N20">
        <f>I20*Return!D20*100</f>
        <v>0</v>
      </c>
      <c r="O20">
        <f>J20*Return!E20*100</f>
        <v>0</v>
      </c>
      <c r="P20">
        <f t="shared" si="6"/>
        <v>-245.60000000000005</v>
      </c>
      <c r="Q20" t="e">
        <f>SUM($P$3:P20)</f>
        <v>#VALUE!</v>
      </c>
      <c r="R20">
        <f>B20*中国_中债国债到期收益率_1年!B19/365*100</f>
        <v>10.943013698630137</v>
      </c>
      <c r="S20">
        <f>C20*中国_中债国债到期收益率_1年!C19/365*100</f>
        <v>7.3161643835616434</v>
      </c>
      <c r="T20">
        <f>D20*中国_中债国债到期收益率_1年!D19/365*100</f>
        <v>0</v>
      </c>
      <c r="U20">
        <f>E20*中国_中债国债到期收益率_1年!E19/365*100</f>
        <v>0</v>
      </c>
      <c r="V20">
        <f t="shared" si="7"/>
        <v>18.259178082191781</v>
      </c>
      <c r="W20" t="e">
        <f>SUM($V$3:V20)</f>
        <v>#VALUE!</v>
      </c>
      <c r="X20">
        <f>MAX(F20-50,0)*中国_中债国债到期收益率_1年!H20*100/365</f>
        <v>0</v>
      </c>
      <c r="Y20">
        <f>SUM($X$3:X20)</f>
        <v>0</v>
      </c>
      <c r="AA20">
        <v>-50</v>
      </c>
      <c r="AB20">
        <f>Z20*Return!F20*100</f>
        <v>0</v>
      </c>
      <c r="AC20">
        <f>AA20*Return!G20*100</f>
        <v>220.0000000000002</v>
      </c>
      <c r="AD20">
        <f>SUM($AB$3:AB20)+SUM($AC$3:AC20)</f>
        <v>528.1000000000015</v>
      </c>
      <c r="AE20" t="e">
        <f t="shared" si="8"/>
        <v>#VALUE!</v>
      </c>
      <c r="AF20" t="e">
        <f t="shared" si="9"/>
        <v>#VALUE!</v>
      </c>
      <c r="AG20" s="4" t="e">
        <f>(AF20/AF19-1)-中国_中债国债到期收益率_1年!H20%/252</f>
        <v>#VALUE!</v>
      </c>
      <c r="AH20" s="4" t="e">
        <f>MIN((AF20-MAX($AF$3:AF20))/MAX($AF$3:AF20),0)</f>
        <v>#VALUE!</v>
      </c>
    </row>
    <row r="21" spans="1:34" x14ac:dyDescent="0.25">
      <c r="A21" s="6">
        <v>44741</v>
      </c>
      <c r="B21">
        <v>20</v>
      </c>
      <c r="C21">
        <v>10</v>
      </c>
      <c r="F21">
        <f t="shared" si="0"/>
        <v>30</v>
      </c>
      <c r="G21">
        <f t="shared" si="1"/>
        <v>20</v>
      </c>
      <c r="H21">
        <f t="shared" si="2"/>
        <v>50</v>
      </c>
      <c r="I21">
        <f t="shared" si="3"/>
        <v>0</v>
      </c>
      <c r="J21">
        <f t="shared" si="4"/>
        <v>0</v>
      </c>
      <c r="K21">
        <f t="shared" si="5"/>
        <v>70</v>
      </c>
      <c r="L21">
        <f>G21*Return!B21*100</f>
        <v>-0.99999999999988987</v>
      </c>
      <c r="M21">
        <f>H21*Return!C21*100</f>
        <v>-60.500000000001108</v>
      </c>
      <c r="N21">
        <f>I21*Return!D21*100</f>
        <v>0</v>
      </c>
      <c r="O21">
        <f>J21*Return!E21*100</f>
        <v>0</v>
      </c>
      <c r="P21">
        <f t="shared" si="6"/>
        <v>-61.500000000000995</v>
      </c>
      <c r="Q21" t="e">
        <f>SUM($P$3:P21)</f>
        <v>#VALUE!</v>
      </c>
      <c r="R21">
        <f>B21*中国_中债国债到期收益率_1年!B20/365*100</f>
        <v>10.945753424657534</v>
      </c>
      <c r="S21">
        <f>C21*中国_中债国债到期收益率_1年!C20/365*100</f>
        <v>7.3493150684931523</v>
      </c>
      <c r="T21">
        <f>D21*中国_中债国债到期收益率_1年!D20/365*100</f>
        <v>0</v>
      </c>
      <c r="U21">
        <f>E21*中国_中债国债到期收益率_1年!E20/365*100</f>
        <v>0</v>
      </c>
      <c r="V21">
        <f t="shared" si="7"/>
        <v>18.295068493150687</v>
      </c>
      <c r="W21" t="e">
        <f>SUM($V$3:V21)</f>
        <v>#VALUE!</v>
      </c>
      <c r="X21">
        <f>MAX(F21-50,0)*中国_中债国债到期收益率_1年!H21*100/365</f>
        <v>0</v>
      </c>
      <c r="Y21">
        <f>SUM($X$3:X21)</f>
        <v>0</v>
      </c>
      <c r="AA21">
        <v>-50</v>
      </c>
      <c r="AB21">
        <f>Z21*Return!F21*100</f>
        <v>0</v>
      </c>
      <c r="AC21">
        <f>AA21*Return!G21*100</f>
        <v>55.999999999998273</v>
      </c>
      <c r="AD21">
        <f>SUM($AB$3:AB21)+SUM($AC$3:AC21)</f>
        <v>584.0999999999998</v>
      </c>
      <c r="AE21" t="e">
        <f t="shared" si="8"/>
        <v>#VALUE!</v>
      </c>
      <c r="AF21" t="e">
        <f t="shared" si="9"/>
        <v>#VALUE!</v>
      </c>
      <c r="AG21" s="4" t="e">
        <f>(AF21/AF20-1)-中国_中债国债到期收益率_1年!H21%/252</f>
        <v>#VALUE!</v>
      </c>
      <c r="AH21" s="4" t="e">
        <f>MIN((AF21-MAX($AF$3:AF21))/MAX($AF$3:AF21),0)</f>
        <v>#VALUE!</v>
      </c>
    </row>
    <row r="22" spans="1:34" x14ac:dyDescent="0.25">
      <c r="A22" s="6">
        <v>44742</v>
      </c>
      <c r="B22">
        <v>20</v>
      </c>
      <c r="C22">
        <v>10</v>
      </c>
      <c r="F22">
        <f t="shared" si="0"/>
        <v>30</v>
      </c>
      <c r="G22">
        <f t="shared" si="1"/>
        <v>20</v>
      </c>
      <c r="H22">
        <f t="shared" si="2"/>
        <v>50</v>
      </c>
      <c r="I22">
        <f t="shared" si="3"/>
        <v>0</v>
      </c>
      <c r="J22">
        <f t="shared" si="4"/>
        <v>0</v>
      </c>
      <c r="K22">
        <f t="shared" si="5"/>
        <v>70</v>
      </c>
      <c r="L22">
        <f>G22*Return!B22*100</f>
        <v>42.600000000000193</v>
      </c>
      <c r="M22">
        <f>H22*Return!C22*100</f>
        <v>46.500000000000426</v>
      </c>
      <c r="N22">
        <f>I22*Return!D22*100</f>
        <v>0</v>
      </c>
      <c r="O22">
        <f>J22*Return!E22*100</f>
        <v>0</v>
      </c>
      <c r="P22">
        <f t="shared" si="6"/>
        <v>89.10000000000062</v>
      </c>
      <c r="Q22" t="e">
        <f>SUM($P$3:P22)</f>
        <v>#VALUE!</v>
      </c>
      <c r="R22">
        <f>B22*中国_中债国债到期收益率_1年!B21/365*100</f>
        <v>10.82904109589041</v>
      </c>
      <c r="S22">
        <f>C22*中国_中债国债到期收益率_1年!C21/365*100</f>
        <v>7.3238356164383553</v>
      </c>
      <c r="T22">
        <f>D22*中国_中债国债到期收益率_1年!D21/365*100</f>
        <v>0</v>
      </c>
      <c r="U22">
        <f>E22*中国_中债国债到期收益率_1年!E21/365*100</f>
        <v>0</v>
      </c>
      <c r="V22">
        <f t="shared" si="7"/>
        <v>18.152876712328766</v>
      </c>
      <c r="W22" t="e">
        <f>SUM($V$3:V22)</f>
        <v>#VALUE!</v>
      </c>
      <c r="X22">
        <f>MAX(F22-50,0)*中国_中债国债到期收益率_1年!H22*100/365</f>
        <v>0</v>
      </c>
      <c r="Y22">
        <f>SUM($X$3:X22)</f>
        <v>0</v>
      </c>
      <c r="AA22">
        <v>-50</v>
      </c>
      <c r="AB22">
        <f>Z22*Return!F22*100</f>
        <v>0</v>
      </c>
      <c r="AC22">
        <f>AA22*Return!G22*100</f>
        <v>-14.999999999998348</v>
      </c>
      <c r="AD22">
        <f>SUM($AB$3:AB22)+SUM($AC$3:AC22)</f>
        <v>569.1000000000015</v>
      </c>
      <c r="AE22" t="e">
        <f t="shared" si="8"/>
        <v>#VALUE!</v>
      </c>
      <c r="AF22" t="e">
        <f t="shared" si="9"/>
        <v>#VALUE!</v>
      </c>
      <c r="AG22" s="4" t="e">
        <f>(AF22/AF21-1)-中国_中债国债到期收益率_1年!H22%/252</f>
        <v>#VALUE!</v>
      </c>
      <c r="AH22" s="4" t="e">
        <f>MIN((AF22-MAX($AF$3:AF22))/MAX($AF$3:AF22),0)</f>
        <v>#VALUE!</v>
      </c>
    </row>
    <row r="23" spans="1:34" x14ac:dyDescent="0.25">
      <c r="A23" s="6">
        <v>44743</v>
      </c>
      <c r="B23">
        <v>20</v>
      </c>
      <c r="C23">
        <v>10</v>
      </c>
      <c r="F23">
        <f t="shared" si="0"/>
        <v>30</v>
      </c>
      <c r="G23">
        <f t="shared" si="1"/>
        <v>20</v>
      </c>
      <c r="H23">
        <f t="shared" si="2"/>
        <v>50</v>
      </c>
      <c r="I23">
        <f t="shared" si="3"/>
        <v>0</v>
      </c>
      <c r="J23">
        <f t="shared" si="4"/>
        <v>0</v>
      </c>
      <c r="K23">
        <f t="shared" si="5"/>
        <v>70</v>
      </c>
      <c r="L23">
        <f>G23*Return!B23*100</f>
        <v>51.800000000000068</v>
      </c>
      <c r="M23">
        <f>H23*Return!C23*100</f>
        <v>101.50000000000104</v>
      </c>
      <c r="N23">
        <f>I23*Return!D23*100</f>
        <v>0</v>
      </c>
      <c r="O23">
        <f>J23*Return!E23*100</f>
        <v>0</v>
      </c>
      <c r="P23">
        <f t="shared" si="6"/>
        <v>153.30000000000109</v>
      </c>
      <c r="Q23" t="e">
        <f>SUM($P$3:P23)</f>
        <v>#VALUE!</v>
      </c>
      <c r="R23">
        <f>B23*中国_中债国债到期收益率_1年!B22/365*100</f>
        <v>10.687123287671231</v>
      </c>
      <c r="S23">
        <f>C23*中国_中债国债到期收益率_1年!C22/365*100</f>
        <v>7.268219178082191</v>
      </c>
      <c r="T23">
        <f>D23*中国_中债国债到期收益率_1年!D22/365*100</f>
        <v>0</v>
      </c>
      <c r="U23">
        <f>E23*中国_中债国债到期收益率_1年!E22/365*100</f>
        <v>0</v>
      </c>
      <c r="V23">
        <f t="shared" si="7"/>
        <v>17.955342465753422</v>
      </c>
      <c r="W23" t="e">
        <f>SUM($V$3:V23)</f>
        <v>#VALUE!</v>
      </c>
      <c r="X23">
        <f>MAX(F23-50,0)*中国_中债国债到期收益率_1年!H23*100/365</f>
        <v>0</v>
      </c>
      <c r="Y23">
        <f>SUM($X$3:X23)</f>
        <v>0</v>
      </c>
      <c r="AA23">
        <v>-50</v>
      </c>
      <c r="AB23">
        <f>Z23*Return!F23*100</f>
        <v>0</v>
      </c>
      <c r="AC23">
        <f>AA23*Return!G23*100</f>
        <v>-77.50000000000145</v>
      </c>
      <c r="AD23">
        <f>SUM($AB$3:AB23)+SUM($AC$3:AC23)</f>
        <v>491.6</v>
      </c>
      <c r="AE23" t="e">
        <f t="shared" si="8"/>
        <v>#VALUE!</v>
      </c>
      <c r="AF23" t="e">
        <f t="shared" si="9"/>
        <v>#VALUE!</v>
      </c>
      <c r="AG23" s="4" t="e">
        <f>(AF23/AF22-1)-中国_中债国债到期收益率_1年!H23%/252</f>
        <v>#VALUE!</v>
      </c>
      <c r="AH23" s="4" t="e">
        <f>MIN((AF23-MAX($AF$3:AF23))/MAX($AF$3:AF23),0)</f>
        <v>#VALUE!</v>
      </c>
    </row>
    <row r="24" spans="1:34" x14ac:dyDescent="0.25">
      <c r="A24" s="6">
        <v>44746</v>
      </c>
      <c r="B24">
        <v>20</v>
      </c>
      <c r="C24">
        <v>10</v>
      </c>
      <c r="F24">
        <f t="shared" si="0"/>
        <v>30</v>
      </c>
      <c r="G24">
        <f t="shared" si="1"/>
        <v>20</v>
      </c>
      <c r="H24">
        <f t="shared" si="2"/>
        <v>50</v>
      </c>
      <c r="I24">
        <f t="shared" si="3"/>
        <v>0</v>
      </c>
      <c r="J24">
        <f t="shared" si="4"/>
        <v>0</v>
      </c>
      <c r="K24">
        <f t="shared" si="5"/>
        <v>70</v>
      </c>
      <c r="L24">
        <f>G24*Return!B24*100</f>
        <v>36.000000000000028</v>
      </c>
      <c r="M24">
        <f>H24*Return!C24*100</f>
        <v>21.999999999999797</v>
      </c>
      <c r="N24">
        <f>I24*Return!D24*100</f>
        <v>0</v>
      </c>
      <c r="O24">
        <f>J24*Return!E24*100</f>
        <v>0</v>
      </c>
      <c r="P24">
        <f t="shared" si="6"/>
        <v>57.999999999999829</v>
      </c>
      <c r="Q24" t="e">
        <f>SUM($P$3:P24)</f>
        <v>#VALUE!</v>
      </c>
      <c r="R24">
        <f>B24*中国_中债国债到期收益率_1年!B23/365*100</f>
        <v>10.588493150684929</v>
      </c>
      <c r="S24">
        <f>C24*中国_中债国债到期收益率_1年!C23/365*100</f>
        <v>7.2561643835616429</v>
      </c>
      <c r="T24">
        <f>D24*中国_中债国债到期收益率_1年!D23/365*100</f>
        <v>0</v>
      </c>
      <c r="U24">
        <f>E24*中国_中债国债到期收益率_1年!E23/365*100</f>
        <v>0</v>
      </c>
      <c r="V24">
        <f t="shared" si="7"/>
        <v>17.844657534246572</v>
      </c>
      <c r="W24" t="e">
        <f>SUM($V$3:V24)</f>
        <v>#VALUE!</v>
      </c>
      <c r="X24">
        <f>MAX(F24-50,0)*中国_中债国债到期收益率_1年!H24*100/365</f>
        <v>0</v>
      </c>
      <c r="Y24">
        <f>SUM($X$3:X24)</f>
        <v>0</v>
      </c>
      <c r="AA24">
        <v>-50</v>
      </c>
      <c r="AB24">
        <f>Z24*Return!F24*100</f>
        <v>0</v>
      </c>
      <c r="AC24">
        <f>AA24*Return!G24*100</f>
        <v>-60.499999999998892</v>
      </c>
      <c r="AD24">
        <f>SUM($AB$3:AB24)+SUM($AC$3:AC24)</f>
        <v>431.10000000000116</v>
      </c>
      <c r="AE24" t="e">
        <f t="shared" si="8"/>
        <v>#VALUE!</v>
      </c>
      <c r="AF24" t="e">
        <f t="shared" si="9"/>
        <v>#VALUE!</v>
      </c>
      <c r="AG24" s="4" t="e">
        <f>(AF24/AF23-1)-中国_中债国债到期收益率_1年!H24%/252</f>
        <v>#VALUE!</v>
      </c>
      <c r="AH24" s="4" t="e">
        <f>MIN((AF24-MAX($AF$3:AF24))/MAX($AF$3:AF24),0)</f>
        <v>#VALUE!</v>
      </c>
    </row>
    <row r="25" spans="1:34" x14ac:dyDescent="0.25">
      <c r="A25" s="6">
        <v>44747</v>
      </c>
      <c r="B25">
        <v>20</v>
      </c>
      <c r="C25">
        <v>10</v>
      </c>
      <c r="F25">
        <f t="shared" si="0"/>
        <v>30</v>
      </c>
      <c r="G25">
        <f t="shared" si="1"/>
        <v>20</v>
      </c>
      <c r="H25">
        <f t="shared" si="2"/>
        <v>50</v>
      </c>
      <c r="I25">
        <f t="shared" si="3"/>
        <v>0</v>
      </c>
      <c r="J25">
        <f t="shared" si="4"/>
        <v>0</v>
      </c>
      <c r="K25">
        <f t="shared" si="5"/>
        <v>70</v>
      </c>
      <c r="L25">
        <f>G25*Return!B25*100</f>
        <v>-101.40000000000038</v>
      </c>
      <c r="M25">
        <f>H25*Return!C25*100</f>
        <v>-240.00000000000023</v>
      </c>
      <c r="N25">
        <f>I25*Return!D25*100</f>
        <v>0</v>
      </c>
      <c r="O25">
        <f>J25*Return!E25*100</f>
        <v>0</v>
      </c>
      <c r="P25">
        <f t="shared" si="6"/>
        <v>-341.4000000000006</v>
      </c>
      <c r="Q25" t="e">
        <f>SUM($P$3:P25)</f>
        <v>#VALUE!</v>
      </c>
      <c r="R25">
        <f>B25*中国_中债国债到期收益率_1年!B24/365*100</f>
        <v>10.866301369863013</v>
      </c>
      <c r="S25">
        <f>C25*中国_中债国债到期收益率_1年!C24/365*100</f>
        <v>7.3876712328767118</v>
      </c>
      <c r="T25">
        <f>D25*中国_中债国债到期收益率_1年!D24/365*100</f>
        <v>0</v>
      </c>
      <c r="U25">
        <f>E25*中国_中债国债到期收益率_1年!E24/365*100</f>
        <v>0</v>
      </c>
      <c r="V25">
        <f t="shared" si="7"/>
        <v>18.253972602739726</v>
      </c>
      <c r="W25" t="e">
        <f>SUM($V$3:V25)</f>
        <v>#VALUE!</v>
      </c>
      <c r="X25">
        <f>MAX(F25-50,0)*中国_中债国债到期收益率_1年!H25*100/365</f>
        <v>0</v>
      </c>
      <c r="Y25">
        <f>SUM($X$3:X25)</f>
        <v>0</v>
      </c>
      <c r="AA25">
        <v>-50</v>
      </c>
      <c r="AB25">
        <f>Z25*Return!F25*100</f>
        <v>0</v>
      </c>
      <c r="AC25">
        <f>AA25*Return!G25*100</f>
        <v>226.99999999999943</v>
      </c>
      <c r="AD25">
        <f>SUM($AB$3:AB25)+SUM($AC$3:AC25)</f>
        <v>658.10000000000059</v>
      </c>
      <c r="AE25" t="e">
        <f t="shared" si="8"/>
        <v>#VALUE!</v>
      </c>
      <c r="AF25" t="e">
        <f t="shared" si="9"/>
        <v>#VALUE!</v>
      </c>
      <c r="AG25" s="4" t="e">
        <f>(AF25/AF24-1)-中国_中债国债到期收益率_1年!H25%/252</f>
        <v>#VALUE!</v>
      </c>
      <c r="AH25" s="4" t="e">
        <f>MIN((AF25-MAX($AF$3:AF25))/MAX($AF$3:AF25),0)</f>
        <v>#VALUE!</v>
      </c>
    </row>
    <row r="26" spans="1:34" x14ac:dyDescent="0.25">
      <c r="A26" s="6">
        <v>44748</v>
      </c>
      <c r="B26">
        <v>10</v>
      </c>
      <c r="C26">
        <v>10</v>
      </c>
      <c r="F26">
        <f t="shared" si="0"/>
        <v>20</v>
      </c>
      <c r="G26">
        <f t="shared" si="1"/>
        <v>10</v>
      </c>
      <c r="H26">
        <f t="shared" si="2"/>
        <v>50</v>
      </c>
      <c r="I26">
        <f t="shared" si="3"/>
        <v>0</v>
      </c>
      <c r="J26">
        <f t="shared" si="4"/>
        <v>0</v>
      </c>
      <c r="K26">
        <f t="shared" si="5"/>
        <v>60</v>
      </c>
      <c r="L26">
        <f>G26*Return!B26*100</f>
        <v>-26.8999999999997</v>
      </c>
      <c r="M26">
        <f>H26*Return!C26*100</f>
        <v>17.499999999999183</v>
      </c>
      <c r="N26">
        <f>I26*Return!D26*100</f>
        <v>0</v>
      </c>
      <c r="O26">
        <f>J26*Return!E26*100</f>
        <v>0</v>
      </c>
      <c r="P26">
        <f t="shared" si="6"/>
        <v>-9.4000000000005173</v>
      </c>
      <c r="Q26" t="e">
        <f>SUM($P$3:P26)</f>
        <v>#VALUE!</v>
      </c>
      <c r="R26">
        <f>B26*中国_中债国债到期收益率_1年!B25/365*100</f>
        <v>5.506849315068493</v>
      </c>
      <c r="S26">
        <f>C26*中国_中债国债到期收益率_1年!C25/365*100</f>
        <v>7.3780821917808215</v>
      </c>
      <c r="T26">
        <f>D26*中国_中债国债到期收益率_1年!D25/365*100</f>
        <v>0</v>
      </c>
      <c r="U26">
        <f>E26*中国_中债国债到期收益率_1年!E25/365*100</f>
        <v>0</v>
      </c>
      <c r="V26">
        <f t="shared" si="7"/>
        <v>12.884931506849314</v>
      </c>
      <c r="W26" t="e">
        <f>SUM($V$3:V26)</f>
        <v>#VALUE!</v>
      </c>
      <c r="X26">
        <f>MAX(F26-50,0)*中国_中债国债到期收益率_1年!H26*100/365</f>
        <v>0</v>
      </c>
      <c r="Y26">
        <f>SUM($X$3:X26)</f>
        <v>0</v>
      </c>
      <c r="AA26">
        <v>-50</v>
      </c>
      <c r="AB26">
        <f>Z26*Return!F26*100</f>
        <v>0</v>
      </c>
      <c r="AC26">
        <f>AA26*Return!G26*100</f>
        <v>100.99999999999997</v>
      </c>
      <c r="AD26">
        <f>SUM($AB$3:AB26)+SUM($AC$3:AC26)</f>
        <v>759.10000000000059</v>
      </c>
      <c r="AE26" t="e">
        <f t="shared" si="8"/>
        <v>#VALUE!</v>
      </c>
      <c r="AF26" t="e">
        <f t="shared" si="9"/>
        <v>#VALUE!</v>
      </c>
      <c r="AG26" s="4" t="e">
        <f>(AF26/AF25-1)-中国_中债国债到期收益率_1年!H26%/252</f>
        <v>#VALUE!</v>
      </c>
      <c r="AH26" s="4" t="e">
        <f>MIN((AF26-MAX($AF$3:AF26))/MAX($AF$3:AF26),0)</f>
        <v>#VALUE!</v>
      </c>
    </row>
    <row r="27" spans="1:34" x14ac:dyDescent="0.25">
      <c r="A27" s="6">
        <v>44749</v>
      </c>
      <c r="B27">
        <v>10</v>
      </c>
      <c r="C27">
        <v>10</v>
      </c>
      <c r="D27">
        <v>10</v>
      </c>
      <c r="F27">
        <f t="shared" si="0"/>
        <v>30</v>
      </c>
      <c r="G27">
        <f t="shared" si="1"/>
        <v>10</v>
      </c>
      <c r="H27">
        <f t="shared" si="2"/>
        <v>50</v>
      </c>
      <c r="I27">
        <f t="shared" si="3"/>
        <v>90</v>
      </c>
      <c r="J27">
        <f t="shared" si="4"/>
        <v>0</v>
      </c>
      <c r="K27">
        <f t="shared" si="5"/>
        <v>150</v>
      </c>
      <c r="L27">
        <f>G27*Return!B27*100</f>
        <v>18.899999999999693</v>
      </c>
      <c r="M27">
        <f>H27*Return!C27*100</f>
        <v>14.000000000000679</v>
      </c>
      <c r="N27">
        <f>I27*Return!D27*100</f>
        <v>-20.699999999999719</v>
      </c>
      <c r="O27">
        <f>J27*Return!E27*100</f>
        <v>0</v>
      </c>
      <c r="P27">
        <f t="shared" si="6"/>
        <v>12.200000000000657</v>
      </c>
      <c r="Q27" t="e">
        <f>SUM($P$3:P27)</f>
        <v>#VALUE!</v>
      </c>
      <c r="R27">
        <f>B27*中国_中债国债到期收益率_1年!B26/365*100</f>
        <v>5.4550684931506854</v>
      </c>
      <c r="S27">
        <f>C27*中国_中债国债到期收益率_1年!C26/365*100</f>
        <v>7.3704109589041096</v>
      </c>
      <c r="T27">
        <f>D27*中国_中债国债到期收益率_1年!D26/365*100</f>
        <v>7.7687671232876703</v>
      </c>
      <c r="U27">
        <f>E27*中国_中债国债到期收益率_1年!E26/365*100</f>
        <v>0</v>
      </c>
      <c r="V27">
        <f t="shared" si="7"/>
        <v>20.594246575342467</v>
      </c>
      <c r="W27" t="e">
        <f>SUM($V$3:V27)</f>
        <v>#VALUE!</v>
      </c>
      <c r="X27">
        <f>MAX(F27-50,0)*中国_中债国债到期收益率_1年!H27*100/365</f>
        <v>0</v>
      </c>
      <c r="Y27">
        <f>SUM($X$3:X27)</f>
        <v>0</v>
      </c>
      <c r="AA27">
        <v>-50</v>
      </c>
      <c r="AB27">
        <f>Z27*Return!F27*100</f>
        <v>0</v>
      </c>
      <c r="AC27">
        <f>AA27*Return!G27*100</f>
        <v>-86.999999999999304</v>
      </c>
      <c r="AD27">
        <f>SUM($AB$3:AB27)+SUM($AC$3:AC27)</f>
        <v>672.10000000000127</v>
      </c>
      <c r="AE27" t="e">
        <f t="shared" si="8"/>
        <v>#VALUE!</v>
      </c>
      <c r="AF27" t="e">
        <f t="shared" si="9"/>
        <v>#VALUE!</v>
      </c>
      <c r="AG27" s="4" t="e">
        <f>(AF27/AF26-1)-中国_中债国债到期收益率_1年!H27%/252</f>
        <v>#VALUE!</v>
      </c>
      <c r="AH27" s="4" t="e">
        <f>MIN((AF27-MAX($AF$3:AF27))/MAX($AF$3:AF27),0)</f>
        <v>#VALUE!</v>
      </c>
    </row>
    <row r="28" spans="1:34" x14ac:dyDescent="0.25">
      <c r="A28" s="6">
        <v>44750</v>
      </c>
      <c r="B28">
        <v>10</v>
      </c>
      <c r="C28">
        <v>10</v>
      </c>
      <c r="D28">
        <v>10</v>
      </c>
      <c r="F28">
        <f t="shared" si="0"/>
        <v>30</v>
      </c>
      <c r="G28">
        <f t="shared" si="1"/>
        <v>10</v>
      </c>
      <c r="H28">
        <f t="shared" si="2"/>
        <v>50</v>
      </c>
      <c r="I28">
        <f t="shared" si="3"/>
        <v>90</v>
      </c>
      <c r="J28">
        <f t="shared" si="4"/>
        <v>0</v>
      </c>
      <c r="K28">
        <f t="shared" si="5"/>
        <v>150</v>
      </c>
      <c r="L28">
        <f>G28*Return!B28*100</f>
        <v>8.7000000000001521</v>
      </c>
      <c r="M28">
        <f>H28*Return!C28*100</f>
        <v>22.499999999998632</v>
      </c>
      <c r="N28">
        <f>I28*Return!D28*100</f>
        <v>0</v>
      </c>
      <c r="O28">
        <f>J28*Return!E28*100</f>
        <v>0</v>
      </c>
      <c r="P28">
        <f t="shared" si="6"/>
        <v>31.199999999998784</v>
      </c>
      <c r="Q28" t="e">
        <f>SUM($P$3:P28)</f>
        <v>#VALUE!</v>
      </c>
      <c r="R28">
        <f>B28*中国_中债国债到期收益率_1年!B27/365*100</f>
        <v>5.4312328767123281</v>
      </c>
      <c r="S28">
        <f>C28*中国_中债国债到期收益率_1年!C27/365*100</f>
        <v>7.3580821917808219</v>
      </c>
      <c r="T28">
        <f>D28*中国_中债国债到期收益率_1年!D27/365*100</f>
        <v>7.7687671232876703</v>
      </c>
      <c r="U28">
        <f>E28*中国_中债国债到期收益率_1年!E27/365*100</f>
        <v>0</v>
      </c>
      <c r="V28">
        <f t="shared" si="7"/>
        <v>20.558082191780819</v>
      </c>
      <c r="W28" t="e">
        <f>SUM($V$3:V28)</f>
        <v>#VALUE!</v>
      </c>
      <c r="X28">
        <f>MAX(F28-50,0)*中国_中债国债到期收益率_1年!H28*100/365</f>
        <v>0</v>
      </c>
      <c r="Y28">
        <f>SUM($X$3:X28)</f>
        <v>0</v>
      </c>
      <c r="AB28">
        <f>Z28*Return!F28*100</f>
        <v>0</v>
      </c>
      <c r="AC28">
        <f>AA28*Return!G28*100</f>
        <v>0</v>
      </c>
      <c r="AD28">
        <f>SUM($AB$3:AB28)+SUM($AC$3:AC28)</f>
        <v>672.10000000000127</v>
      </c>
      <c r="AE28" t="e">
        <f t="shared" si="8"/>
        <v>#VALUE!</v>
      </c>
      <c r="AF28" t="e">
        <f t="shared" si="9"/>
        <v>#VALUE!</v>
      </c>
      <c r="AG28" s="4" t="e">
        <f>(AF28/AF27-1)-中国_中债国债到期收益率_1年!H28%/252</f>
        <v>#VALUE!</v>
      </c>
      <c r="AH28" s="4" t="e">
        <f>MIN((AF28-MAX($AF$3:AF28))/MAX($AF$3:AF28),0)</f>
        <v>#VALUE!</v>
      </c>
    </row>
    <row r="29" spans="1:34" x14ac:dyDescent="0.25">
      <c r="A29" s="6">
        <v>44753</v>
      </c>
      <c r="B29">
        <v>10</v>
      </c>
      <c r="C29">
        <v>10</v>
      </c>
      <c r="D29">
        <v>10</v>
      </c>
      <c r="F29">
        <f t="shared" si="0"/>
        <v>30</v>
      </c>
      <c r="G29">
        <f t="shared" si="1"/>
        <v>10</v>
      </c>
      <c r="H29">
        <f t="shared" si="2"/>
        <v>50</v>
      </c>
      <c r="I29">
        <f t="shared" si="3"/>
        <v>90</v>
      </c>
      <c r="J29">
        <f t="shared" si="4"/>
        <v>0</v>
      </c>
      <c r="K29">
        <f t="shared" si="5"/>
        <v>150</v>
      </c>
      <c r="L29">
        <f>G29*Return!B29*100</f>
        <v>24.000000000000021</v>
      </c>
      <c r="M29">
        <f>H29*Return!C29*100</f>
        <v>36.000000000000476</v>
      </c>
      <c r="N29">
        <f>I29*Return!D29*100</f>
        <v>-25.200000000001221</v>
      </c>
      <c r="O29">
        <f>J29*Return!E29*100</f>
        <v>0</v>
      </c>
      <c r="P29">
        <f t="shared" si="6"/>
        <v>34.799999999999272</v>
      </c>
      <c r="Q29" t="e">
        <f>SUM($P$3:P29)</f>
        <v>#VALUE!</v>
      </c>
      <c r="R29">
        <f>B29*中国_中债国债到期收益率_1年!B28/365*100</f>
        <v>5.3654794520547942</v>
      </c>
      <c r="S29">
        <f>C29*中国_中债国债到期收益率_1年!C28/365*100</f>
        <v>7.338356164383562</v>
      </c>
      <c r="T29">
        <f>D29*中国_中债国债到期收益率_1年!D28/365*100</f>
        <v>7.7764383561643839</v>
      </c>
      <c r="U29">
        <f>E29*中国_中债国债到期收益率_1年!E28/365*100</f>
        <v>0</v>
      </c>
      <c r="V29">
        <f t="shared" si="7"/>
        <v>20.480273972602738</v>
      </c>
      <c r="W29" t="e">
        <f>SUM($V$3:V29)</f>
        <v>#VALUE!</v>
      </c>
      <c r="X29">
        <f>MAX(F29-50,0)*中国_中债国债到期收益率_1年!H29*100/365</f>
        <v>0</v>
      </c>
      <c r="Y29">
        <f>SUM($X$3:X29)</f>
        <v>0</v>
      </c>
      <c r="AB29">
        <f>Z29*Return!F29*100</f>
        <v>0</v>
      </c>
      <c r="AC29">
        <f>AA29*Return!G29*100</f>
        <v>0</v>
      </c>
      <c r="AD29">
        <f>SUM($AB$3:AB29)+SUM($AC$3:AC29)</f>
        <v>672.10000000000127</v>
      </c>
      <c r="AE29" t="e">
        <f t="shared" si="8"/>
        <v>#VALUE!</v>
      </c>
      <c r="AF29" t="e">
        <f t="shared" si="9"/>
        <v>#VALUE!</v>
      </c>
      <c r="AG29" s="4" t="e">
        <f>(AF29/AF28-1)-中国_中债国债到期收益率_1年!H29%/252</f>
        <v>#VALUE!</v>
      </c>
      <c r="AH29" s="4" t="e">
        <f>MIN((AF29-MAX($AF$3:AF29))/MAX($AF$3:AF29),0)</f>
        <v>#VALUE!</v>
      </c>
    </row>
    <row r="30" spans="1:34" x14ac:dyDescent="0.25">
      <c r="A30" s="6">
        <v>44754</v>
      </c>
      <c r="B30">
        <v>10</v>
      </c>
      <c r="C30">
        <v>10</v>
      </c>
      <c r="D30">
        <v>10</v>
      </c>
      <c r="F30">
        <f t="shared" si="0"/>
        <v>30</v>
      </c>
      <c r="G30">
        <f t="shared" si="1"/>
        <v>10</v>
      </c>
      <c r="H30">
        <f t="shared" si="2"/>
        <v>50</v>
      </c>
      <c r="I30">
        <f t="shared" si="3"/>
        <v>90</v>
      </c>
      <c r="J30">
        <f t="shared" si="4"/>
        <v>0</v>
      </c>
      <c r="K30">
        <f t="shared" si="5"/>
        <v>150</v>
      </c>
      <c r="L30">
        <f>G30*Return!B30*100</f>
        <v>16.699999999999939</v>
      </c>
      <c r="M30">
        <f>H30*Return!C30*100</f>
        <v>124.99999999999956</v>
      </c>
      <c r="N30">
        <f>I30*Return!D30*100</f>
        <v>106.2000000000003</v>
      </c>
      <c r="O30">
        <f>J30*Return!E30*100</f>
        <v>0</v>
      </c>
      <c r="P30">
        <f t="shared" si="6"/>
        <v>247.89999999999981</v>
      </c>
      <c r="Q30" t="e">
        <f>SUM($P$3:P30)</f>
        <v>#VALUE!</v>
      </c>
      <c r="R30">
        <f>B30*中国_中债国债到期收益率_1年!B29/365*100</f>
        <v>5.3197260273972606</v>
      </c>
      <c r="S30">
        <f>C30*中国_中债国债到期收益率_1年!C29/365*100</f>
        <v>7.2698630136986315</v>
      </c>
      <c r="T30">
        <f>D30*中国_中债国债到期收益率_1年!D29/365*100</f>
        <v>7.7441095890410958</v>
      </c>
      <c r="U30">
        <f>E30*中国_中债国债到期收益率_1年!E29/365*100</f>
        <v>0</v>
      </c>
      <c r="V30">
        <f t="shared" si="7"/>
        <v>20.333698630136986</v>
      </c>
      <c r="W30" t="e">
        <f>SUM($V$3:V30)</f>
        <v>#VALUE!</v>
      </c>
      <c r="X30">
        <f>MAX(F30-50,0)*中国_中债国债到期收益率_1年!H30*100/365</f>
        <v>0</v>
      </c>
      <c r="Y30">
        <f>SUM($X$3:X30)</f>
        <v>0</v>
      </c>
      <c r="AB30">
        <f>Z30*Return!F30*100</f>
        <v>0</v>
      </c>
      <c r="AC30">
        <f>AA30*Return!G30*100</f>
        <v>0</v>
      </c>
      <c r="AD30">
        <f>SUM($AB$3:AB30)+SUM($AC$3:AC30)</f>
        <v>672.10000000000127</v>
      </c>
      <c r="AE30" t="e">
        <f t="shared" si="8"/>
        <v>#VALUE!</v>
      </c>
      <c r="AF30" t="e">
        <f t="shared" si="9"/>
        <v>#VALUE!</v>
      </c>
      <c r="AG30" s="4" t="e">
        <f>(AF30/AF29-1)-中国_中债国债到期收益率_1年!H30%/252</f>
        <v>#VALUE!</v>
      </c>
      <c r="AH30" s="4" t="e">
        <f>MIN((AF30-MAX($AF$3:AF30))/MAX($AF$3:AF30),0)</f>
        <v>#VALUE!</v>
      </c>
    </row>
    <row r="31" spans="1:34" x14ac:dyDescent="0.25">
      <c r="A31" s="6">
        <v>44755</v>
      </c>
      <c r="B31">
        <v>10</v>
      </c>
      <c r="C31">
        <v>10</v>
      </c>
      <c r="D31">
        <v>10</v>
      </c>
      <c r="F31">
        <f t="shared" si="0"/>
        <v>30</v>
      </c>
      <c r="G31">
        <f t="shared" si="1"/>
        <v>10</v>
      </c>
      <c r="H31">
        <f t="shared" si="2"/>
        <v>50</v>
      </c>
      <c r="I31">
        <f t="shared" si="3"/>
        <v>90</v>
      </c>
      <c r="J31">
        <f t="shared" si="4"/>
        <v>0</v>
      </c>
      <c r="K31">
        <f t="shared" si="5"/>
        <v>150</v>
      </c>
      <c r="L31">
        <f>G31*Return!B31*100</f>
        <v>7.1999999999998732</v>
      </c>
      <c r="M31">
        <f>H31*Return!C31*100</f>
        <v>163.00000000000205</v>
      </c>
      <c r="N31">
        <f>I31*Return!D31*100</f>
        <v>134.09999999999923</v>
      </c>
      <c r="O31">
        <f>J31*Return!E31*100</f>
        <v>0</v>
      </c>
      <c r="P31">
        <f t="shared" si="6"/>
        <v>304.30000000000115</v>
      </c>
      <c r="Q31" t="e">
        <f>SUM($P$3:P31)</f>
        <v>#VALUE!</v>
      </c>
      <c r="R31">
        <f>B31*中国_中债国债到期收益率_1年!B30/365*100</f>
        <v>5.3000000000000007</v>
      </c>
      <c r="S31">
        <f>C31*中国_中债国债到期收益率_1年!C30/365*100</f>
        <v>7.180547945205479</v>
      </c>
      <c r="T31">
        <f>D31*中国_中债国债到期收益率_1年!D30/365*100</f>
        <v>7.7032876712328768</v>
      </c>
      <c r="U31">
        <f>E31*中国_中债国债到期收益率_1年!E30/365*100</f>
        <v>0</v>
      </c>
      <c r="V31">
        <f t="shared" si="7"/>
        <v>20.183835616438358</v>
      </c>
      <c r="W31" t="e">
        <f>SUM($V$3:V31)</f>
        <v>#VALUE!</v>
      </c>
      <c r="X31">
        <f>MAX(F31-50,0)*中国_中债国债到期收益率_1年!H31*100/365</f>
        <v>0</v>
      </c>
      <c r="Y31">
        <f>SUM($X$3:X31)</f>
        <v>0</v>
      </c>
      <c r="AB31">
        <f>Z31*Return!F31*100</f>
        <v>0</v>
      </c>
      <c r="AC31">
        <f>AA31*Return!G31*100</f>
        <v>0</v>
      </c>
      <c r="AD31">
        <f>SUM($AB$3:AB31)+SUM($AC$3:AC31)</f>
        <v>672.10000000000127</v>
      </c>
      <c r="AE31" t="e">
        <f t="shared" si="8"/>
        <v>#VALUE!</v>
      </c>
      <c r="AF31" t="e">
        <f t="shared" si="9"/>
        <v>#VALUE!</v>
      </c>
      <c r="AG31" s="4" t="e">
        <f>(AF31/AF30-1)-中国_中债国债到期收益率_1年!H31%/252</f>
        <v>#VALUE!</v>
      </c>
      <c r="AH31" s="4" t="e">
        <f>MIN((AF31-MAX($AF$3:AF31))/MAX($AF$3:AF31),0)</f>
        <v>#VALUE!</v>
      </c>
    </row>
    <row r="32" spans="1:34" x14ac:dyDescent="0.25">
      <c r="A32" s="6">
        <v>44756</v>
      </c>
      <c r="B32">
        <v>10</v>
      </c>
      <c r="C32">
        <v>10</v>
      </c>
      <c r="D32">
        <v>10</v>
      </c>
      <c r="F32">
        <f t="shared" si="0"/>
        <v>30</v>
      </c>
      <c r="G32">
        <f t="shared" si="1"/>
        <v>10</v>
      </c>
      <c r="H32">
        <f t="shared" si="2"/>
        <v>50</v>
      </c>
      <c r="I32">
        <f t="shared" si="3"/>
        <v>90</v>
      </c>
      <c r="J32">
        <f t="shared" si="4"/>
        <v>0</v>
      </c>
      <c r="K32">
        <f t="shared" si="5"/>
        <v>150</v>
      </c>
      <c r="L32">
        <f>G32*Return!B32*100</f>
        <v>-3.0999999999998806</v>
      </c>
      <c r="M32">
        <f>H32*Return!C32*100</f>
        <v>37.499999999999204</v>
      </c>
      <c r="N32">
        <f>I32*Return!D32*100</f>
        <v>44.999999999999041</v>
      </c>
      <c r="O32">
        <f>J32*Return!E32*100</f>
        <v>0</v>
      </c>
      <c r="P32">
        <f t="shared" si="6"/>
        <v>79.399999999998357</v>
      </c>
      <c r="Q32" t="e">
        <f>SUM($P$3:P32)</f>
        <v>#VALUE!</v>
      </c>
      <c r="R32">
        <f>B32*中国_中债国债到期收益率_1年!B31/365*100</f>
        <v>5.3084931506849324</v>
      </c>
      <c r="S32">
        <f>C32*中国_中债国债到期收益率_1年!C31/365*100</f>
        <v>7.16</v>
      </c>
      <c r="T32">
        <f>D32*中国_中债国债到期收益率_1年!D31/365*100</f>
        <v>7.68958904109589</v>
      </c>
      <c r="U32">
        <f>E32*中国_中债国债到期收益率_1年!E31/365*100</f>
        <v>0</v>
      </c>
      <c r="V32">
        <f t="shared" si="7"/>
        <v>20.158082191780821</v>
      </c>
      <c r="W32" t="e">
        <f>SUM($V$3:V32)</f>
        <v>#VALUE!</v>
      </c>
      <c r="X32">
        <f>MAX(F32-50,0)*中国_中债国债到期收益率_1年!H32*100/365</f>
        <v>0</v>
      </c>
      <c r="Y32">
        <f>SUM($X$3:X32)</f>
        <v>0</v>
      </c>
      <c r="AB32">
        <f>Z32*Return!F32*100</f>
        <v>0</v>
      </c>
      <c r="AC32">
        <f>AA32*Return!G32*100</f>
        <v>0</v>
      </c>
      <c r="AD32">
        <f>SUM($AB$3:AB32)+SUM($AC$3:AC32)</f>
        <v>672.10000000000127</v>
      </c>
      <c r="AE32" t="e">
        <f t="shared" si="8"/>
        <v>#VALUE!</v>
      </c>
      <c r="AF32" t="e">
        <f t="shared" si="9"/>
        <v>#VALUE!</v>
      </c>
      <c r="AG32" s="4" t="e">
        <f>(AF32/AF31-1)-中国_中债国债到期收益率_1年!H32%/252</f>
        <v>#VALUE!</v>
      </c>
      <c r="AH32" s="4" t="e">
        <f>MIN((AF32-MAX($AF$3:AF32))/MAX($AF$3:AF32),0)</f>
        <v>#VALUE!</v>
      </c>
    </row>
    <row r="33" spans="1:34" x14ac:dyDescent="0.25">
      <c r="A33" s="6">
        <v>44757</v>
      </c>
      <c r="B33">
        <v>10</v>
      </c>
      <c r="C33">
        <v>10</v>
      </c>
      <c r="D33">
        <v>10</v>
      </c>
      <c r="F33">
        <f t="shared" si="0"/>
        <v>30</v>
      </c>
      <c r="G33">
        <f t="shared" si="1"/>
        <v>10</v>
      </c>
      <c r="H33">
        <f t="shared" si="2"/>
        <v>50</v>
      </c>
      <c r="I33">
        <f t="shared" si="3"/>
        <v>90</v>
      </c>
      <c r="J33">
        <f t="shared" si="4"/>
        <v>0</v>
      </c>
      <c r="K33">
        <f t="shared" si="5"/>
        <v>150</v>
      </c>
      <c r="L33">
        <f>G33*Return!B33*100</f>
        <v>22.89999999999992</v>
      </c>
      <c r="M33">
        <f>H33*Return!C33*100</f>
        <v>131.99999999999878</v>
      </c>
      <c r="N33">
        <f>I33*Return!D33*100</f>
        <v>144.00000000000011</v>
      </c>
      <c r="O33">
        <f>J33*Return!E33*100</f>
        <v>0</v>
      </c>
      <c r="P33">
        <f t="shared" si="6"/>
        <v>298.89999999999884</v>
      </c>
      <c r="Q33" t="e">
        <f>SUM($P$3:P33)</f>
        <v>#VALUE!</v>
      </c>
      <c r="R33">
        <f>B33*中国_中债国债到期收益率_1年!B32/365*100</f>
        <v>5.2457534246575355</v>
      </c>
      <c r="S33">
        <f>C33*中国_中债国债到期收益率_1年!C32/365*100</f>
        <v>7.087671232876712</v>
      </c>
      <c r="T33">
        <f>D33*中国_中债国债到期收益率_1年!D32/365*100</f>
        <v>7.6457534246575349</v>
      </c>
      <c r="U33">
        <f>E33*中国_中债国债到期收益率_1年!E32/365*100</f>
        <v>0</v>
      </c>
      <c r="V33">
        <f t="shared" si="7"/>
        <v>19.979178082191783</v>
      </c>
      <c r="W33" t="e">
        <f>SUM($V$3:V33)</f>
        <v>#VALUE!</v>
      </c>
      <c r="X33">
        <f>MAX(F33-50,0)*中国_中债国债到期收益率_1年!H33*100/365</f>
        <v>0</v>
      </c>
      <c r="Y33">
        <f>SUM($X$3:X33)</f>
        <v>0</v>
      </c>
      <c r="AB33">
        <f>Z33*Return!F33*100</f>
        <v>0</v>
      </c>
      <c r="AC33">
        <f>AA33*Return!G33*100</f>
        <v>0</v>
      </c>
      <c r="AD33">
        <f>SUM($AB$3:AB33)+SUM($AC$3:AC33)</f>
        <v>672.10000000000127</v>
      </c>
      <c r="AE33" t="e">
        <f t="shared" si="8"/>
        <v>#VALUE!</v>
      </c>
      <c r="AF33" t="e">
        <f t="shared" si="9"/>
        <v>#VALUE!</v>
      </c>
      <c r="AG33" s="4" t="e">
        <f>(AF33/AF32-1)-中国_中债国债到期收益率_1年!H33%/252</f>
        <v>#VALUE!</v>
      </c>
      <c r="AH33" s="4" t="e">
        <f>MIN((AF33-MAX($AF$3:AF33))/MAX($AF$3:AF33),0)</f>
        <v>#VALUE!</v>
      </c>
    </row>
    <row r="34" spans="1:34" x14ac:dyDescent="0.25">
      <c r="A34" s="6">
        <v>44760</v>
      </c>
      <c r="B34">
        <v>10</v>
      </c>
      <c r="C34">
        <v>10</v>
      </c>
      <c r="D34">
        <v>10</v>
      </c>
      <c r="F34">
        <f t="shared" si="0"/>
        <v>30</v>
      </c>
      <c r="G34">
        <f t="shared" si="1"/>
        <v>10</v>
      </c>
      <c r="H34">
        <f t="shared" si="2"/>
        <v>50</v>
      </c>
      <c r="I34">
        <f t="shared" si="3"/>
        <v>90</v>
      </c>
      <c r="J34">
        <f t="shared" si="4"/>
        <v>0</v>
      </c>
      <c r="K34">
        <f t="shared" si="5"/>
        <v>150</v>
      </c>
      <c r="L34">
        <f>G34*Return!B34*100</f>
        <v>31.000000000000139</v>
      </c>
      <c r="M34">
        <f>H34*Return!C34*100</f>
        <v>11.000000000001009</v>
      </c>
      <c r="N34">
        <f>I34*Return!D34*100</f>
        <v>45.000000000003041</v>
      </c>
      <c r="O34">
        <f>J34*Return!E34*100</f>
        <v>0</v>
      </c>
      <c r="P34">
        <f t="shared" si="6"/>
        <v>87.000000000004192</v>
      </c>
      <c r="Q34" t="e">
        <f>SUM($P$3:P34)</f>
        <v>#VALUE!</v>
      </c>
      <c r="R34">
        <f>B34*中国_中债国债到期收益率_1年!B33/365*100</f>
        <v>5.1608219178082191</v>
      </c>
      <c r="S34">
        <f>C34*中国_中债国债到期收益率_1年!C33/365*100</f>
        <v>7.0816438356164388</v>
      </c>
      <c r="T34">
        <f>D34*中国_中债国债到期收益率_1年!D33/365*100</f>
        <v>7.6320547945205472</v>
      </c>
      <c r="U34">
        <f>E34*中国_中债国债到期收益率_1年!E33/365*100</f>
        <v>0</v>
      </c>
      <c r="V34">
        <f t="shared" si="7"/>
        <v>19.874520547945203</v>
      </c>
      <c r="W34" t="e">
        <f>SUM($V$3:V34)</f>
        <v>#VALUE!</v>
      </c>
      <c r="X34">
        <f>MAX(F34-50,0)*中国_中债国债到期收益率_1年!H34*100/365</f>
        <v>0</v>
      </c>
      <c r="Y34">
        <f>SUM($X$3:X34)</f>
        <v>0</v>
      </c>
      <c r="AB34">
        <f>Z34*Return!F34*100</f>
        <v>0</v>
      </c>
      <c r="AC34">
        <f>AA34*Return!G34*100</f>
        <v>0</v>
      </c>
      <c r="AD34">
        <f>SUM($AB$3:AB34)+SUM($AC$3:AC34)</f>
        <v>672.10000000000127</v>
      </c>
      <c r="AE34" t="e">
        <f t="shared" si="8"/>
        <v>#VALUE!</v>
      </c>
      <c r="AF34" t="e">
        <f t="shared" si="9"/>
        <v>#VALUE!</v>
      </c>
      <c r="AG34" s="4" t="e">
        <f>(AF34/AF33-1)-中国_中债国债到期收益率_1年!H34%/252</f>
        <v>#VALUE!</v>
      </c>
      <c r="AH34" s="4" t="e">
        <f>MIN((AF34-MAX($AF$3:AF34))/MAX($AF$3:AF34),0)</f>
        <v>#VALUE!</v>
      </c>
    </row>
    <row r="35" spans="1:34" x14ac:dyDescent="0.25">
      <c r="A35" s="6">
        <v>44761</v>
      </c>
      <c r="B35">
        <v>10</v>
      </c>
      <c r="C35">
        <v>10</v>
      </c>
      <c r="D35">
        <v>10</v>
      </c>
      <c r="F35">
        <f t="shared" si="0"/>
        <v>30</v>
      </c>
      <c r="G35">
        <f t="shared" ref="G35:G58" si="10">B35</f>
        <v>10</v>
      </c>
      <c r="H35">
        <f t="shared" ref="H35:H58" si="11">5*C35</f>
        <v>50</v>
      </c>
      <c r="I35">
        <f t="shared" ref="I35:I58" si="12">9*D35</f>
        <v>90</v>
      </c>
      <c r="J35">
        <f t="shared" ref="J35:J58" si="13">16*E35</f>
        <v>0</v>
      </c>
      <c r="K35">
        <f t="shared" si="5"/>
        <v>150</v>
      </c>
      <c r="L35">
        <f>G35*Return!B35*100</f>
        <v>34.899999999999935</v>
      </c>
      <c r="M35">
        <f>H35*Return!C35*100</f>
        <v>29.500000000000082</v>
      </c>
      <c r="N35">
        <f>I35*Return!D35*100</f>
        <v>17.999999999998018</v>
      </c>
      <c r="O35">
        <f>J35*Return!E35*100</f>
        <v>0</v>
      </c>
      <c r="P35">
        <f t="shared" si="6"/>
        <v>82.399999999998045</v>
      </c>
      <c r="Q35" t="e">
        <f>SUM($P$3:P35)</f>
        <v>#VALUE!</v>
      </c>
      <c r="R35">
        <f>B35*中国_中债国债到期收益率_1年!B34/365*100</f>
        <v>5.0652054794520547</v>
      </c>
      <c r="S35">
        <f>C35*中国_中债国债到期收益率_1年!C34/365*100</f>
        <v>7.0654794520547943</v>
      </c>
      <c r="T35">
        <f>D35*中国_中债国债到期收益率_1年!D34/365*100</f>
        <v>7.6265753424657534</v>
      </c>
      <c r="U35">
        <f>E35*中国_中债国债到期收益率_1年!E34/365*100</f>
        <v>0</v>
      </c>
      <c r="V35">
        <f t="shared" si="7"/>
        <v>19.757260273972602</v>
      </c>
      <c r="W35" t="e">
        <f>SUM($V$3:V35)</f>
        <v>#VALUE!</v>
      </c>
      <c r="X35">
        <f>MAX(F35-50,0)*中国_中债国债到期收益率_1年!H35*100/365</f>
        <v>0</v>
      </c>
      <c r="Y35">
        <f>SUM($X$3:X35)</f>
        <v>0</v>
      </c>
      <c r="AB35">
        <f>Z35*Return!F35*100</f>
        <v>0</v>
      </c>
      <c r="AC35">
        <f>AA35*Return!G35*100</f>
        <v>0</v>
      </c>
      <c r="AD35">
        <f>SUM($AB$3:AB35)+SUM($AC$3:AC35)</f>
        <v>672.10000000000127</v>
      </c>
      <c r="AE35" t="e">
        <f t="shared" si="8"/>
        <v>#VALUE!</v>
      </c>
      <c r="AF35" t="e">
        <f t="shared" si="9"/>
        <v>#VALUE!</v>
      </c>
      <c r="AG35" s="4" t="e">
        <f>(AF35/AF34-1)-中国_中债国债到期收益率_1年!H35%/252</f>
        <v>#VALUE!</v>
      </c>
      <c r="AH35" s="4" t="e">
        <f>MIN((AF35-MAX($AF$3:AF35))/MAX($AF$3:AF35),0)</f>
        <v>#VALUE!</v>
      </c>
    </row>
    <row r="36" spans="1:34" x14ac:dyDescent="0.25">
      <c r="A36" s="6">
        <v>44762</v>
      </c>
      <c r="B36">
        <v>10</v>
      </c>
      <c r="C36">
        <v>10</v>
      </c>
      <c r="D36">
        <v>10</v>
      </c>
      <c r="F36">
        <f t="shared" si="0"/>
        <v>30</v>
      </c>
      <c r="G36">
        <f t="shared" si="10"/>
        <v>10</v>
      </c>
      <c r="H36">
        <f t="shared" si="11"/>
        <v>50</v>
      </c>
      <c r="I36">
        <f t="shared" si="12"/>
        <v>90</v>
      </c>
      <c r="J36">
        <f t="shared" si="13"/>
        <v>0</v>
      </c>
      <c r="K36">
        <f t="shared" si="5"/>
        <v>150</v>
      </c>
      <c r="L36">
        <f>G36*Return!B36*100</f>
        <v>-0.29999999999996696</v>
      </c>
      <c r="M36">
        <f>H36*Return!C36*100</f>
        <v>-39.500000000001201</v>
      </c>
      <c r="N36">
        <f>I36*Return!D36*100</f>
        <v>-19.799999999997819</v>
      </c>
      <c r="O36">
        <f>J36*Return!E36*100</f>
        <v>0</v>
      </c>
      <c r="P36">
        <f t="shared" ref="P36:P62" si="14">SUM(L36:O36)</f>
        <v>-59.599999999998985</v>
      </c>
      <c r="Q36" t="e">
        <f>SUM($P$3:P36)</f>
        <v>#VALUE!</v>
      </c>
      <c r="R36">
        <f>B36*中国_中债国债到期收益率_1年!B35/365*100</f>
        <v>5.0660273972602736</v>
      </c>
      <c r="S36">
        <f>C36*中国_中债国债到期收益率_1年!C35/365*100</f>
        <v>7.0871232876712336</v>
      </c>
      <c r="T36">
        <f>D36*中国_中债国债到期收益率_1年!D35/365*100</f>
        <v>7.6326027397260274</v>
      </c>
      <c r="U36">
        <f>E36*中国_中债国债到期收益率_1年!E35/365*100</f>
        <v>0</v>
      </c>
      <c r="V36">
        <f t="shared" ref="V36:V62" si="15">SUM(R36:U36)</f>
        <v>19.785753424657536</v>
      </c>
      <c r="W36" t="e">
        <f>SUM($V$3:V36)</f>
        <v>#VALUE!</v>
      </c>
      <c r="X36">
        <f>MAX(F36-50,0)*中国_中债国债到期收益率_1年!H36*100/365</f>
        <v>0</v>
      </c>
      <c r="Y36">
        <f>SUM($X$3:X36)</f>
        <v>0</v>
      </c>
      <c r="AB36">
        <f>Z36*Return!F36*100</f>
        <v>0</v>
      </c>
      <c r="AC36">
        <f>AA36*Return!G36*100</f>
        <v>0</v>
      </c>
      <c r="AD36">
        <f>SUM($AB$3:AB36)+SUM($AC$3:AC36)</f>
        <v>672.10000000000127</v>
      </c>
      <c r="AE36" t="e">
        <f t="shared" si="8"/>
        <v>#VALUE!</v>
      </c>
      <c r="AF36" t="e">
        <f t="shared" si="9"/>
        <v>#VALUE!</v>
      </c>
      <c r="AG36" s="4" t="e">
        <f>(AF36/AF35-1)-中国_中债国债到期收益率_1年!H36%/252</f>
        <v>#VALUE!</v>
      </c>
      <c r="AH36" s="4" t="e">
        <f>MIN((AF36-MAX($AF$3:AF36))/MAX($AF$3:AF36),0)</f>
        <v>#VALUE!</v>
      </c>
    </row>
    <row r="37" spans="1:34" x14ac:dyDescent="0.25">
      <c r="A37" s="6">
        <v>44763</v>
      </c>
      <c r="B37">
        <v>10</v>
      </c>
      <c r="C37">
        <v>10</v>
      </c>
      <c r="D37">
        <v>10</v>
      </c>
      <c r="F37">
        <f t="shared" si="0"/>
        <v>30</v>
      </c>
      <c r="G37">
        <f t="shared" si="10"/>
        <v>10</v>
      </c>
      <c r="H37">
        <f t="shared" si="11"/>
        <v>50</v>
      </c>
      <c r="I37">
        <f t="shared" si="12"/>
        <v>90</v>
      </c>
      <c r="J37">
        <f t="shared" si="13"/>
        <v>0</v>
      </c>
      <c r="K37">
        <f t="shared" si="5"/>
        <v>150</v>
      </c>
      <c r="L37">
        <f>G37*Return!B37*100</f>
        <v>-22.100000000000009</v>
      </c>
      <c r="M37">
        <f>H37*Return!C37*100</f>
        <v>117.00000000000044</v>
      </c>
      <c r="N37">
        <f>I37*Return!D37*100</f>
        <v>134.09999999999923</v>
      </c>
      <c r="O37">
        <f>J37*Return!E37*100</f>
        <v>0</v>
      </c>
      <c r="P37">
        <f t="shared" si="14"/>
        <v>228.99999999999966</v>
      </c>
      <c r="Q37" t="e">
        <f>SUM($P$3:P37)</f>
        <v>#VALUE!</v>
      </c>
      <c r="R37">
        <f>B37*中国_中债国债到期收益率_1年!B36/365*100</f>
        <v>5.1265753424657534</v>
      </c>
      <c r="S37">
        <f>C37*中国_中债国债到期收益率_1年!C36/365*100</f>
        <v>7.0230136986301375</v>
      </c>
      <c r="T37">
        <f>D37*中国_中债国债到期收益率_1年!D36/365*100</f>
        <v>7.5917808219178085</v>
      </c>
      <c r="U37">
        <f>E37*中国_中债国债到期收益率_1年!E36/365*100</f>
        <v>0</v>
      </c>
      <c r="V37">
        <f t="shared" si="15"/>
        <v>19.741369863013698</v>
      </c>
      <c r="W37" t="e">
        <f>SUM($V$3:V37)</f>
        <v>#VALUE!</v>
      </c>
      <c r="X37">
        <f>MAX(F37-50,0)*中国_中债国债到期收益率_1年!H37*100/365</f>
        <v>0</v>
      </c>
      <c r="Y37">
        <f>SUM($X$3:X37)</f>
        <v>0</v>
      </c>
      <c r="AB37">
        <f>Z37*Return!F37*100</f>
        <v>0</v>
      </c>
      <c r="AC37">
        <f>AA37*Return!G37*100</f>
        <v>0</v>
      </c>
      <c r="AD37">
        <f>SUM($AB$3:AB37)+SUM($AC$3:AC37)</f>
        <v>672.10000000000127</v>
      </c>
      <c r="AE37" t="e">
        <f t="shared" si="8"/>
        <v>#VALUE!</v>
      </c>
      <c r="AF37" t="e">
        <f t="shared" si="9"/>
        <v>#VALUE!</v>
      </c>
      <c r="AG37" s="4" t="e">
        <f>(AF37/AF36-1)-中国_中债国债到期收益率_1年!H37%/252</f>
        <v>#VALUE!</v>
      </c>
      <c r="AH37" s="4" t="e">
        <f>MIN((AF37-MAX($AF$3:AF37))/MAX($AF$3:AF37),0)</f>
        <v>#VALUE!</v>
      </c>
    </row>
    <row r="38" spans="1:34" x14ac:dyDescent="0.25">
      <c r="A38" s="6">
        <v>44764</v>
      </c>
      <c r="B38">
        <v>10</v>
      </c>
      <c r="C38">
        <v>10</v>
      </c>
      <c r="D38">
        <v>10</v>
      </c>
      <c r="F38">
        <f t="shared" si="0"/>
        <v>30</v>
      </c>
      <c r="G38">
        <f t="shared" si="10"/>
        <v>10</v>
      </c>
      <c r="H38">
        <f t="shared" si="11"/>
        <v>50</v>
      </c>
      <c r="I38">
        <f t="shared" si="12"/>
        <v>90</v>
      </c>
      <c r="J38">
        <f t="shared" si="13"/>
        <v>0</v>
      </c>
      <c r="K38">
        <f t="shared" si="5"/>
        <v>150</v>
      </c>
      <c r="L38">
        <f>G38*Return!B38*100</f>
        <v>-0.49999999999994493</v>
      </c>
      <c r="M38">
        <f>H38*Return!C38*100</f>
        <v>59.000000000000163</v>
      </c>
      <c r="N38">
        <f>I38*Return!D38*100</f>
        <v>67.499999999998565</v>
      </c>
      <c r="O38">
        <f>J38*Return!E38*100</f>
        <v>0</v>
      </c>
      <c r="P38">
        <f t="shared" si="14"/>
        <v>125.99999999999878</v>
      </c>
      <c r="Q38" t="e">
        <f>SUM($P$3:P38)</f>
        <v>#VALUE!</v>
      </c>
      <c r="R38">
        <f>B38*中国_中债国债到期收益率_1年!B37/365*100</f>
        <v>5.1279452054794517</v>
      </c>
      <c r="S38">
        <f>C38*中国_中债国债到期收益率_1年!C37/365*100</f>
        <v>6.9906849315068493</v>
      </c>
      <c r="T38">
        <f>D38*中国_中债国债到期收益率_1年!D37/365*100</f>
        <v>7.5712328767123287</v>
      </c>
      <c r="U38">
        <f>E38*中国_中债国债到期收益率_1年!E37/365*100</f>
        <v>0</v>
      </c>
      <c r="V38">
        <f t="shared" si="15"/>
        <v>19.689863013698631</v>
      </c>
      <c r="W38" t="e">
        <f>SUM($V$3:V38)</f>
        <v>#VALUE!</v>
      </c>
      <c r="X38">
        <f>MAX(F38-50,0)*中国_中债国债到期收益率_1年!H38*100/365</f>
        <v>0</v>
      </c>
      <c r="Y38">
        <f>SUM($X$3:X38)</f>
        <v>0</v>
      </c>
      <c r="AB38">
        <f>Z38*Return!F38*100</f>
        <v>0</v>
      </c>
      <c r="AC38">
        <f>AA38*Return!G38*100</f>
        <v>0</v>
      </c>
      <c r="AD38">
        <f>SUM($AB$3:AB38)+SUM($AC$3:AC38)</f>
        <v>672.10000000000127</v>
      </c>
      <c r="AE38" t="e">
        <f t="shared" si="8"/>
        <v>#VALUE!</v>
      </c>
      <c r="AF38" t="e">
        <f t="shared" si="9"/>
        <v>#VALUE!</v>
      </c>
      <c r="AG38" s="4" t="e">
        <f>(AF38/AF37-1)-中国_中债国债到期收益率_1年!H38%/252</f>
        <v>#VALUE!</v>
      </c>
      <c r="AH38" s="4" t="e">
        <f>MIN((AF38-MAX($AF$3:AF38))/MAX($AF$3:AF38),0)</f>
        <v>#VALUE!</v>
      </c>
    </row>
    <row r="39" spans="1:34" x14ac:dyDescent="0.25">
      <c r="A39" s="6">
        <v>44767</v>
      </c>
      <c r="B39">
        <v>10</v>
      </c>
      <c r="C39">
        <v>10</v>
      </c>
      <c r="D39">
        <v>10</v>
      </c>
      <c r="F39">
        <f t="shared" si="0"/>
        <v>30</v>
      </c>
      <c r="G39">
        <f t="shared" si="10"/>
        <v>10</v>
      </c>
      <c r="H39">
        <f t="shared" si="11"/>
        <v>50</v>
      </c>
      <c r="I39">
        <f t="shared" si="12"/>
        <v>90</v>
      </c>
      <c r="J39">
        <f t="shared" si="13"/>
        <v>0</v>
      </c>
      <c r="K39">
        <f t="shared" si="5"/>
        <v>150</v>
      </c>
      <c r="L39">
        <f>G39*Return!B39*100</f>
        <v>-31.900000000000041</v>
      </c>
      <c r="M39">
        <f>H39*Return!C39*100</f>
        <v>-142.49999999999875</v>
      </c>
      <c r="N39">
        <f>I39*Return!D39*100</f>
        <v>-211.49999999999869</v>
      </c>
      <c r="O39">
        <f>J39*Return!E39*100</f>
        <v>0</v>
      </c>
      <c r="P39">
        <f t="shared" si="14"/>
        <v>-385.89999999999748</v>
      </c>
      <c r="Q39" t="e">
        <f>SUM($P$3:P39)</f>
        <v>#VALUE!</v>
      </c>
      <c r="R39">
        <f>B39*中国_中债国债到期收益率_1年!B38/365*100</f>
        <v>5.2153424657534249</v>
      </c>
      <c r="S39">
        <f>C39*中国_中债国债到期收益率_1年!C38/365*100</f>
        <v>7.068767123287671</v>
      </c>
      <c r="T39">
        <f>D39*中国_中债国债到期收益率_1年!D38/365*100</f>
        <v>7.6356164383561627</v>
      </c>
      <c r="U39">
        <f>E39*中国_中债国债到期收益率_1年!E38/365*100</f>
        <v>0</v>
      </c>
      <c r="V39">
        <f t="shared" si="15"/>
        <v>19.91972602739726</v>
      </c>
      <c r="W39" t="e">
        <f>SUM($V$3:V39)</f>
        <v>#VALUE!</v>
      </c>
      <c r="X39">
        <f>MAX(F39-50,0)*中国_中债国债到期收益率_1年!H39*100/365</f>
        <v>0</v>
      </c>
      <c r="Y39">
        <f>SUM($X$3:X39)</f>
        <v>0</v>
      </c>
      <c r="AB39">
        <f>Z39*Return!F39*100</f>
        <v>0</v>
      </c>
      <c r="AC39">
        <f>AA39*Return!G39*100</f>
        <v>0</v>
      </c>
      <c r="AD39">
        <f>SUM($AB$3:AB39)+SUM($AC$3:AC39)</f>
        <v>672.10000000000127</v>
      </c>
      <c r="AE39" t="e">
        <f t="shared" si="8"/>
        <v>#VALUE!</v>
      </c>
      <c r="AF39" t="e">
        <f t="shared" si="9"/>
        <v>#VALUE!</v>
      </c>
      <c r="AG39" s="4" t="e">
        <f>(AF39/AF38-1)-中国_中债国债到期收益率_1年!H39%/252</f>
        <v>#VALUE!</v>
      </c>
      <c r="AH39" s="4" t="e">
        <f>MIN((AF39-MAX($AF$3:AF39))/MAX($AF$3:AF39),0)</f>
        <v>#VALUE!</v>
      </c>
    </row>
    <row r="40" spans="1:34" x14ac:dyDescent="0.25">
      <c r="A40" s="6">
        <v>44768</v>
      </c>
      <c r="B40">
        <v>10</v>
      </c>
      <c r="C40">
        <v>10</v>
      </c>
      <c r="D40">
        <v>10</v>
      </c>
      <c r="F40">
        <f t="shared" si="0"/>
        <v>30</v>
      </c>
      <c r="G40">
        <f t="shared" si="10"/>
        <v>10</v>
      </c>
      <c r="H40">
        <f t="shared" si="11"/>
        <v>50</v>
      </c>
      <c r="I40">
        <f t="shared" si="12"/>
        <v>90</v>
      </c>
      <c r="J40">
        <f t="shared" si="13"/>
        <v>0</v>
      </c>
      <c r="K40">
        <f t="shared" si="5"/>
        <v>150</v>
      </c>
      <c r="L40">
        <f>G40*Return!B40*100</f>
        <v>2.8999999999999027</v>
      </c>
      <c r="M40">
        <f>H40*Return!C40*100</f>
        <v>122.99999999999977</v>
      </c>
      <c r="N40">
        <f>I40*Return!D40*100</f>
        <v>72.000000000000057</v>
      </c>
      <c r="O40">
        <f>J40*Return!E40*100</f>
        <v>0</v>
      </c>
      <c r="P40">
        <f t="shared" si="14"/>
        <v>197.89999999999975</v>
      </c>
      <c r="Q40" t="e">
        <f>SUM($P$3:P40)</f>
        <v>#VALUE!</v>
      </c>
      <c r="R40">
        <f>B40*中国_中债国债到期收益率_1年!B39/365*100</f>
        <v>5.2073972602739733</v>
      </c>
      <c r="S40">
        <f>C40*中国_中债国债到期收益率_1年!C39/365*100</f>
        <v>7.0013698630136982</v>
      </c>
      <c r="T40">
        <f>D40*中国_中债国债到期收益率_1年!D39/365*100</f>
        <v>7.6136986301369864</v>
      </c>
      <c r="U40">
        <f>E40*中国_中债国债到期收益率_1年!E39/365*100</f>
        <v>0</v>
      </c>
      <c r="V40">
        <f t="shared" si="15"/>
        <v>19.822465753424659</v>
      </c>
      <c r="W40" t="e">
        <f>SUM($V$3:V40)</f>
        <v>#VALUE!</v>
      </c>
      <c r="X40">
        <f>MAX(F40-50,0)*中国_中债国债到期收益率_1年!H40*100/365</f>
        <v>0</v>
      </c>
      <c r="Y40">
        <f>SUM($X$3:X40)</f>
        <v>0</v>
      </c>
      <c r="AB40">
        <f>Z40*Return!F40*100</f>
        <v>0</v>
      </c>
      <c r="AC40">
        <f>AA40*Return!G40*100</f>
        <v>0</v>
      </c>
      <c r="AD40">
        <f>SUM($AB$3:AB40)+SUM($AC$3:AC40)</f>
        <v>672.10000000000127</v>
      </c>
      <c r="AE40" t="e">
        <f t="shared" si="8"/>
        <v>#VALUE!</v>
      </c>
      <c r="AF40" t="e">
        <f t="shared" si="9"/>
        <v>#VALUE!</v>
      </c>
      <c r="AG40" s="4" t="e">
        <f>(AF40/AF39-1)-中国_中债国债到期收益率_1年!H40%/252</f>
        <v>#VALUE!</v>
      </c>
      <c r="AH40" s="4" t="e">
        <f>MIN((AF40-MAX($AF$3:AF40))/MAX($AF$3:AF40),0)</f>
        <v>#VALUE!</v>
      </c>
    </row>
    <row r="41" spans="1:34" x14ac:dyDescent="0.25">
      <c r="A41" s="6">
        <v>44769</v>
      </c>
      <c r="B41">
        <v>10</v>
      </c>
      <c r="C41">
        <v>10</v>
      </c>
      <c r="D41">
        <v>10</v>
      </c>
      <c r="F41">
        <f t="shared" si="0"/>
        <v>30</v>
      </c>
      <c r="G41">
        <f t="shared" si="10"/>
        <v>10</v>
      </c>
      <c r="H41">
        <f t="shared" si="11"/>
        <v>50</v>
      </c>
      <c r="I41">
        <f t="shared" si="12"/>
        <v>90</v>
      </c>
      <c r="J41">
        <f t="shared" si="13"/>
        <v>0</v>
      </c>
      <c r="K41">
        <f t="shared" si="5"/>
        <v>150</v>
      </c>
      <c r="L41">
        <f>G41*Return!B41*100</f>
        <v>19.700000000000053</v>
      </c>
      <c r="M41">
        <f>H41*Return!C41*100</f>
        <v>69.999999999998948</v>
      </c>
      <c r="N41">
        <f>I41*Return!D41*100</f>
        <v>80.999999999999076</v>
      </c>
      <c r="O41">
        <f>J41*Return!E41*100</f>
        <v>0</v>
      </c>
      <c r="P41">
        <f t="shared" si="14"/>
        <v>170.69999999999806</v>
      </c>
      <c r="Q41" t="e">
        <f>SUM($P$3:P41)</f>
        <v>#VALUE!</v>
      </c>
      <c r="R41">
        <f>B41*中国_中债国债到期收益率_1年!B40/365*100</f>
        <v>5.1534246575342459</v>
      </c>
      <c r="S41">
        <f>C41*中国_中债国债到期收益率_1年!C40/365*100</f>
        <v>6.963013698630137</v>
      </c>
      <c r="T41">
        <f>D41*中国_中债国债到期收益率_1年!D40/365*100</f>
        <v>7.5890410958904111</v>
      </c>
      <c r="U41">
        <f>E41*中国_中债国债到期收益率_1年!E40/365*100</f>
        <v>0</v>
      </c>
      <c r="V41">
        <f t="shared" si="15"/>
        <v>19.705479452054796</v>
      </c>
      <c r="W41" t="e">
        <f>SUM($V$3:V41)</f>
        <v>#VALUE!</v>
      </c>
      <c r="X41">
        <f>MAX(F41-50,0)*中国_中债国债到期收益率_1年!H41*100/365</f>
        <v>0</v>
      </c>
      <c r="Y41">
        <f>SUM($X$3:X41)</f>
        <v>0</v>
      </c>
      <c r="AB41">
        <f>Z41*Return!F41*100</f>
        <v>0</v>
      </c>
      <c r="AC41">
        <f>AA41*Return!G41*100</f>
        <v>0</v>
      </c>
      <c r="AD41">
        <f>SUM($AB$3:AB41)+SUM($AC$3:AC41)</f>
        <v>672.10000000000127</v>
      </c>
      <c r="AE41" t="e">
        <f t="shared" si="8"/>
        <v>#VALUE!</v>
      </c>
      <c r="AF41" t="e">
        <f t="shared" si="9"/>
        <v>#VALUE!</v>
      </c>
      <c r="AG41" s="4" t="e">
        <f>(AF41/AF40-1)-中国_中债国债到期收益率_1年!H41%/252</f>
        <v>#VALUE!</v>
      </c>
      <c r="AH41" s="4" t="e">
        <f>MIN((AF41-MAX($AF$3:AF41))/MAX($AF$3:AF41),0)</f>
        <v>#VALUE!</v>
      </c>
    </row>
    <row r="42" spans="1:34" x14ac:dyDescent="0.25">
      <c r="A42" s="6">
        <v>44770</v>
      </c>
      <c r="B42">
        <v>10</v>
      </c>
      <c r="C42">
        <v>10</v>
      </c>
      <c r="D42">
        <v>10</v>
      </c>
      <c r="F42">
        <f t="shared" si="0"/>
        <v>30</v>
      </c>
      <c r="G42">
        <f t="shared" si="10"/>
        <v>10</v>
      </c>
      <c r="H42">
        <f t="shared" si="11"/>
        <v>50</v>
      </c>
      <c r="I42">
        <f t="shared" si="12"/>
        <v>90</v>
      </c>
      <c r="J42">
        <f t="shared" si="13"/>
        <v>0</v>
      </c>
      <c r="K42">
        <f t="shared" si="5"/>
        <v>150</v>
      </c>
      <c r="L42">
        <f>G42*Return!B42*100</f>
        <v>3.8000000000000256</v>
      </c>
      <c r="M42">
        <f>H42*Return!C42*100</f>
        <v>104.99999999999955</v>
      </c>
      <c r="N42">
        <f>I42*Return!D42*100</f>
        <v>-0.89999999999790248</v>
      </c>
      <c r="O42">
        <f>J42*Return!E42*100</f>
        <v>0</v>
      </c>
      <c r="P42">
        <f t="shared" si="14"/>
        <v>107.90000000000167</v>
      </c>
      <c r="Q42" t="e">
        <f>SUM($P$3:P42)</f>
        <v>#VALUE!</v>
      </c>
      <c r="R42">
        <f>B42*中国_中债国债到期收益率_1年!B41/365*100</f>
        <v>5.1430136986301367</v>
      </c>
      <c r="S42">
        <f>C42*中国_中债国债到期收益率_1年!C41/365*100</f>
        <v>6.9054794520547951</v>
      </c>
      <c r="T42">
        <f>D42*中国_中债国债到期收益率_1年!D41/365*100</f>
        <v>7.589315068493149</v>
      </c>
      <c r="U42">
        <f>E42*中国_中债国债到期收益率_1年!E41/365*100</f>
        <v>0</v>
      </c>
      <c r="V42">
        <f t="shared" si="15"/>
        <v>19.63780821917808</v>
      </c>
      <c r="W42" t="e">
        <f>SUM($V$3:V42)</f>
        <v>#VALUE!</v>
      </c>
      <c r="X42">
        <f>MAX(F42-50,0)*中国_中债国债到期收益率_1年!H42*100/365</f>
        <v>0</v>
      </c>
      <c r="Y42">
        <f>SUM($X$3:X42)</f>
        <v>0</v>
      </c>
      <c r="AB42">
        <f>Z42*Return!F42*100</f>
        <v>0</v>
      </c>
      <c r="AC42">
        <f>AA42*Return!G42*100</f>
        <v>0</v>
      </c>
      <c r="AD42">
        <f>SUM($AB$3:AB42)+SUM($AC$3:AC42)</f>
        <v>672.10000000000127</v>
      </c>
      <c r="AE42" t="e">
        <f t="shared" si="8"/>
        <v>#VALUE!</v>
      </c>
      <c r="AF42" t="e">
        <f t="shared" si="9"/>
        <v>#VALUE!</v>
      </c>
      <c r="AG42" s="4" t="e">
        <f>(AF42/AF41-1)-中国_中债国债到期收益率_1年!H42%/252</f>
        <v>#VALUE!</v>
      </c>
      <c r="AH42" s="4" t="e">
        <f>MIN((AF42-MAX($AF$3:AF42))/MAX($AF$3:AF42),0)</f>
        <v>#VALUE!</v>
      </c>
    </row>
    <row r="43" spans="1:34" x14ac:dyDescent="0.25">
      <c r="A43" s="6">
        <v>44771</v>
      </c>
      <c r="B43">
        <v>10</v>
      </c>
      <c r="C43">
        <v>10</v>
      </c>
      <c r="D43">
        <v>10</v>
      </c>
      <c r="F43">
        <f t="shared" si="0"/>
        <v>30</v>
      </c>
      <c r="G43">
        <f t="shared" si="10"/>
        <v>10</v>
      </c>
      <c r="H43">
        <f t="shared" si="11"/>
        <v>50</v>
      </c>
      <c r="I43">
        <f t="shared" si="12"/>
        <v>90</v>
      </c>
      <c r="J43">
        <f t="shared" si="13"/>
        <v>0</v>
      </c>
      <c r="K43">
        <f t="shared" si="5"/>
        <v>150</v>
      </c>
      <c r="L43">
        <f>G43*Return!B43*100</f>
        <v>-13.30000000000009</v>
      </c>
      <c r="M43">
        <f>H43*Return!C43*100</f>
        <v>-138.99999999999801</v>
      </c>
      <c r="N43">
        <f>I43*Return!D43*100</f>
        <v>-134.10000000000321</v>
      </c>
      <c r="O43">
        <f>J43*Return!E43*100</f>
        <v>0</v>
      </c>
      <c r="P43">
        <f t="shared" si="14"/>
        <v>-286.40000000000134</v>
      </c>
      <c r="Q43" t="e">
        <f>SUM($P$3:P43)</f>
        <v>#VALUE!</v>
      </c>
      <c r="R43">
        <f>B43*中国_中债国债到期收益率_1年!B42/365*100</f>
        <v>5.1794520547945204</v>
      </c>
      <c r="S43">
        <f>C43*中国_中债国债到期收益率_1年!C42/365*100</f>
        <v>6.9816438356164374</v>
      </c>
      <c r="T43">
        <f>D43*中国_中债国债到期收益率_1年!D42/365*100</f>
        <v>7.6301369863013697</v>
      </c>
      <c r="U43">
        <f>E43*中国_中债国债到期收益率_1年!E42/365*100</f>
        <v>0</v>
      </c>
      <c r="V43">
        <f t="shared" si="15"/>
        <v>19.791232876712328</v>
      </c>
      <c r="W43" t="e">
        <f>SUM($V$3:V43)</f>
        <v>#VALUE!</v>
      </c>
      <c r="X43">
        <f>MAX(F43-50,0)*中国_中债国债到期收益率_1年!H43*100/365</f>
        <v>0</v>
      </c>
      <c r="Y43">
        <f>SUM($X$3:X43)</f>
        <v>0</v>
      </c>
      <c r="AB43">
        <f>Z43*Return!F43*100</f>
        <v>0</v>
      </c>
      <c r="AC43">
        <f>AA43*Return!G43*100</f>
        <v>0</v>
      </c>
      <c r="AD43">
        <f>SUM($AB$3:AB43)+SUM($AC$3:AC43)</f>
        <v>672.10000000000127</v>
      </c>
      <c r="AE43" t="e">
        <f t="shared" si="8"/>
        <v>#VALUE!</v>
      </c>
      <c r="AF43" t="e">
        <f t="shared" si="9"/>
        <v>#VALUE!</v>
      </c>
      <c r="AG43" s="4" t="e">
        <f>(AF43/AF42-1)-中国_中债国债到期收益率_1年!H43%/252</f>
        <v>#VALUE!</v>
      </c>
      <c r="AH43" s="4" t="e">
        <f>MIN((AF43-MAX($AF$3:AF43))/MAX($AF$3:AF43),0)</f>
        <v>#VALUE!</v>
      </c>
    </row>
    <row r="44" spans="1:34" x14ac:dyDescent="0.25">
      <c r="A44" s="6">
        <v>44774</v>
      </c>
      <c r="B44">
        <v>10</v>
      </c>
      <c r="C44">
        <v>10</v>
      </c>
      <c r="D44">
        <v>10</v>
      </c>
      <c r="F44">
        <f t="shared" si="0"/>
        <v>30</v>
      </c>
      <c r="G44">
        <f t="shared" si="10"/>
        <v>10</v>
      </c>
      <c r="H44">
        <f t="shared" si="11"/>
        <v>50</v>
      </c>
      <c r="I44">
        <f t="shared" si="12"/>
        <v>90</v>
      </c>
      <c r="J44">
        <f t="shared" si="13"/>
        <v>0</v>
      </c>
      <c r="K44">
        <f t="shared" si="5"/>
        <v>150</v>
      </c>
      <c r="L44">
        <f>G44*Return!B44*100</f>
        <v>28.200000000000003</v>
      </c>
      <c r="M44">
        <f>H44*Return!C44*100</f>
        <v>173.49999999999977</v>
      </c>
      <c r="N44">
        <f>I44*Return!D44*100</f>
        <v>261.00000000000324</v>
      </c>
      <c r="O44">
        <f>J44*Return!E44*100</f>
        <v>0</v>
      </c>
      <c r="P44">
        <f t="shared" si="14"/>
        <v>462.700000000003</v>
      </c>
      <c r="Q44" t="e">
        <f>SUM($P$3:P44)</f>
        <v>#VALUE!</v>
      </c>
      <c r="R44">
        <f>B44*中国_中债国债到期收益率_1年!B43/365*100</f>
        <v>5.1021917808219177</v>
      </c>
      <c r="S44">
        <f>C44*中国_中债国债到期收益率_1年!C43/365*100</f>
        <v>6.8865753424657532</v>
      </c>
      <c r="T44">
        <f>D44*中国_中债国债到期收益率_1年!D43/365*100</f>
        <v>7.5506849315068489</v>
      </c>
      <c r="U44">
        <f>E44*中国_中债国债到期收益率_1年!E43/365*100</f>
        <v>0</v>
      </c>
      <c r="V44">
        <f t="shared" si="15"/>
        <v>19.53945205479452</v>
      </c>
      <c r="W44" t="e">
        <f>SUM($V$3:V44)</f>
        <v>#VALUE!</v>
      </c>
      <c r="X44">
        <f>MAX(F44-50,0)*中国_中债国债到期收益率_1年!H44*100/365</f>
        <v>0</v>
      </c>
      <c r="Y44">
        <f>SUM($X$3:X44)</f>
        <v>0</v>
      </c>
      <c r="AB44">
        <f>Z44*Return!F44*100</f>
        <v>0</v>
      </c>
      <c r="AC44">
        <f>AA44*Return!G44*100</f>
        <v>0</v>
      </c>
      <c r="AD44">
        <f>SUM($AB$3:AB44)+SUM($AC$3:AC44)</f>
        <v>672.10000000000127</v>
      </c>
      <c r="AE44" t="e">
        <f t="shared" si="8"/>
        <v>#VALUE!</v>
      </c>
      <c r="AF44" t="e">
        <f t="shared" si="9"/>
        <v>#VALUE!</v>
      </c>
      <c r="AG44" s="4" t="e">
        <f>(AF44/AF43-1)-中国_中债国债到期收益率_1年!H44%/252</f>
        <v>#VALUE!</v>
      </c>
      <c r="AH44" s="4" t="e">
        <f>MIN((AF44-MAX($AF$3:AF44))/MAX($AF$3:AF44),0)</f>
        <v>#VALUE!</v>
      </c>
    </row>
    <row r="45" spans="1:34" x14ac:dyDescent="0.25">
      <c r="A45" s="6">
        <v>44775</v>
      </c>
      <c r="B45">
        <v>10</v>
      </c>
      <c r="C45">
        <v>10</v>
      </c>
      <c r="D45">
        <v>10</v>
      </c>
      <c r="F45">
        <f t="shared" si="0"/>
        <v>30</v>
      </c>
      <c r="G45">
        <f t="shared" si="10"/>
        <v>10</v>
      </c>
      <c r="H45">
        <f t="shared" si="11"/>
        <v>50</v>
      </c>
      <c r="I45">
        <f t="shared" si="12"/>
        <v>90</v>
      </c>
      <c r="J45">
        <f t="shared" si="13"/>
        <v>0</v>
      </c>
      <c r="K45">
        <f t="shared" si="5"/>
        <v>150</v>
      </c>
      <c r="L45">
        <f>G45*Return!B45*100</f>
        <v>35.400000000000098</v>
      </c>
      <c r="M45">
        <f>H45*Return!C45*100</f>
        <v>120.49999999999895</v>
      </c>
      <c r="N45">
        <f>I45*Return!D45*100</f>
        <v>241.19999999999743</v>
      </c>
      <c r="O45">
        <f>J45*Return!E45*100</f>
        <v>0</v>
      </c>
      <c r="P45">
        <f t="shared" si="14"/>
        <v>397.0999999999965</v>
      </c>
      <c r="Q45" t="e">
        <f>SUM($P$3:P45)</f>
        <v>#VALUE!</v>
      </c>
      <c r="R45">
        <f>B45*中国_中债国债到期收益率_1年!B44/365*100</f>
        <v>5.0052054794520542</v>
      </c>
      <c r="S45">
        <f>C45*中国_中债国债到期收益率_1年!C44/365*100</f>
        <v>6.8205479452054796</v>
      </c>
      <c r="T45">
        <f>D45*中国_中债国债到期收益率_1年!D44/365*100</f>
        <v>7.477260273972604</v>
      </c>
      <c r="U45">
        <f>E45*中国_中债国债到期收益率_1年!E44/365*100</f>
        <v>0</v>
      </c>
      <c r="V45">
        <f t="shared" si="15"/>
        <v>19.303013698630139</v>
      </c>
      <c r="W45" t="e">
        <f>SUM($V$3:V45)</f>
        <v>#VALUE!</v>
      </c>
      <c r="X45">
        <f>MAX(F45-50,0)*中国_中债国债到期收益率_1年!H45*100/365</f>
        <v>0</v>
      </c>
      <c r="Y45">
        <f>SUM($X$3:X45)</f>
        <v>0</v>
      </c>
      <c r="AB45">
        <f>Z45*Return!F45*100</f>
        <v>0</v>
      </c>
      <c r="AC45">
        <f>AA45*Return!G45*100</f>
        <v>0</v>
      </c>
      <c r="AD45">
        <f>SUM($AB$3:AB45)+SUM($AC$3:AC45)</f>
        <v>672.10000000000127</v>
      </c>
      <c r="AE45" t="e">
        <f t="shared" si="8"/>
        <v>#VALUE!</v>
      </c>
      <c r="AF45" t="e">
        <f t="shared" si="9"/>
        <v>#VALUE!</v>
      </c>
      <c r="AG45" s="4" t="e">
        <f>(AF45/AF44-1)-中国_中债国债到期收益率_1年!H45%/252</f>
        <v>#VALUE!</v>
      </c>
      <c r="AH45" s="4" t="e">
        <f>MIN((AF45-MAX($AF$3:AF45))/MAX($AF$3:AF45),0)</f>
        <v>#VALUE!</v>
      </c>
    </row>
    <row r="46" spans="1:34" x14ac:dyDescent="0.25">
      <c r="A46" s="6">
        <v>44776</v>
      </c>
      <c r="B46">
        <v>10</v>
      </c>
      <c r="C46">
        <v>10</v>
      </c>
      <c r="D46">
        <v>10</v>
      </c>
      <c r="F46">
        <f t="shared" si="0"/>
        <v>30</v>
      </c>
      <c r="G46">
        <f t="shared" si="10"/>
        <v>10</v>
      </c>
      <c r="H46">
        <f t="shared" si="11"/>
        <v>50</v>
      </c>
      <c r="I46">
        <f t="shared" si="12"/>
        <v>90</v>
      </c>
      <c r="J46">
        <f t="shared" si="13"/>
        <v>0</v>
      </c>
      <c r="K46">
        <f t="shared" si="5"/>
        <v>150</v>
      </c>
      <c r="L46">
        <f>G46*Return!B46*100</f>
        <v>56.400000000000006</v>
      </c>
      <c r="M46">
        <f>H46*Return!C46*100</f>
        <v>-1.9999999999997797</v>
      </c>
      <c r="N46">
        <f>I46*Return!D46*100</f>
        <v>-19.799999999997819</v>
      </c>
      <c r="O46">
        <f>J46*Return!E46*100</f>
        <v>0</v>
      </c>
      <c r="P46">
        <f t="shared" si="14"/>
        <v>34.60000000000241</v>
      </c>
      <c r="Q46" t="e">
        <f>SUM($P$3:P46)</f>
        <v>#VALUE!</v>
      </c>
      <c r="R46">
        <f>B46*中国_中债国债到期收益率_1年!B45/365*100</f>
        <v>4.8506849315068488</v>
      </c>
      <c r="S46">
        <f>C46*中国_中债国债到期收益率_1年!C45/365*100</f>
        <v>6.8216438356164382</v>
      </c>
      <c r="T46">
        <f>D46*中国_中债国债到期收益率_1年!D45/365*100</f>
        <v>7.4832876712328771</v>
      </c>
      <c r="U46">
        <f>E46*中国_中债国债到期收益率_1年!E45/365*100</f>
        <v>0</v>
      </c>
      <c r="V46">
        <f t="shared" si="15"/>
        <v>19.155616438356162</v>
      </c>
      <c r="W46" t="e">
        <f>SUM($V$3:V46)</f>
        <v>#VALUE!</v>
      </c>
      <c r="X46">
        <f>MAX(F46-50,0)*中国_中债国债到期收益率_1年!H46*100/365</f>
        <v>0</v>
      </c>
      <c r="Y46">
        <f>SUM($X$3:X46)</f>
        <v>0</v>
      </c>
      <c r="AB46">
        <f>Z46*Return!F46*100</f>
        <v>0</v>
      </c>
      <c r="AC46">
        <f>AA46*Return!G46*100</f>
        <v>0</v>
      </c>
      <c r="AD46">
        <f>SUM($AB$3:AB46)+SUM($AC$3:AC46)</f>
        <v>672.10000000000127</v>
      </c>
      <c r="AE46" t="e">
        <f t="shared" si="8"/>
        <v>#VALUE!</v>
      </c>
      <c r="AF46" t="e">
        <f t="shared" si="9"/>
        <v>#VALUE!</v>
      </c>
      <c r="AG46" s="4" t="e">
        <f>(AF46/AF45-1)-中国_中债国债到期收益率_1年!H46%/252</f>
        <v>#VALUE!</v>
      </c>
      <c r="AH46" s="4" t="e">
        <f>MIN((AF46-MAX($AF$3:AF46))/MAX($AF$3:AF46),0)</f>
        <v>#VALUE!</v>
      </c>
    </row>
    <row r="47" spans="1:34" x14ac:dyDescent="0.25">
      <c r="A47" s="6">
        <v>44777</v>
      </c>
      <c r="B47">
        <v>10</v>
      </c>
      <c r="C47">
        <v>10</v>
      </c>
      <c r="D47">
        <v>10</v>
      </c>
      <c r="F47">
        <f t="shared" si="0"/>
        <v>30</v>
      </c>
      <c r="G47">
        <f t="shared" si="10"/>
        <v>10</v>
      </c>
      <c r="H47">
        <f t="shared" si="11"/>
        <v>50</v>
      </c>
      <c r="I47">
        <f t="shared" si="12"/>
        <v>90</v>
      </c>
      <c r="J47">
        <f t="shared" si="13"/>
        <v>0</v>
      </c>
      <c r="K47">
        <f t="shared" si="5"/>
        <v>150</v>
      </c>
      <c r="L47">
        <f>G47*Return!B47*100</f>
        <v>17.700000000000049</v>
      </c>
      <c r="M47">
        <f>H47*Return!C47*100</f>
        <v>199.00000000000028</v>
      </c>
      <c r="N47">
        <f>I47*Return!D47*100</f>
        <v>86.399999999998471</v>
      </c>
      <c r="O47">
        <f>J47*Return!E47*100</f>
        <v>0</v>
      </c>
      <c r="P47">
        <f t="shared" si="14"/>
        <v>303.09999999999877</v>
      </c>
      <c r="Q47" t="e">
        <f>SUM($P$3:P47)</f>
        <v>#VALUE!</v>
      </c>
      <c r="R47">
        <f>B47*中国_中债国债到期收益率_1年!B46/365*100</f>
        <v>4.8021917808219179</v>
      </c>
      <c r="S47">
        <f>C47*中国_中债国债到期收益率_1年!C46/365*100</f>
        <v>6.7126027397260275</v>
      </c>
      <c r="T47">
        <f>D47*中国_中债国债到期收益率_1年!D46/365*100</f>
        <v>7.456986301369863</v>
      </c>
      <c r="U47">
        <f>E47*中国_中债国债到期收益率_1年!E46/365*100</f>
        <v>0</v>
      </c>
      <c r="V47">
        <f t="shared" si="15"/>
        <v>18.971780821917807</v>
      </c>
      <c r="W47" t="e">
        <f>SUM($V$3:V47)</f>
        <v>#VALUE!</v>
      </c>
      <c r="X47">
        <f>MAX(F47-50,0)*中国_中债国债到期收益率_1年!H47*100/365</f>
        <v>0</v>
      </c>
      <c r="Y47">
        <f>SUM($X$3:X47)</f>
        <v>0</v>
      </c>
      <c r="AB47">
        <f>Z47*Return!F47*100</f>
        <v>0</v>
      </c>
      <c r="AC47">
        <f>AA47*Return!G47*100</f>
        <v>0</v>
      </c>
      <c r="AD47">
        <f>SUM($AB$3:AB47)+SUM($AC$3:AC47)</f>
        <v>672.10000000000127</v>
      </c>
      <c r="AE47" t="e">
        <f t="shared" si="8"/>
        <v>#VALUE!</v>
      </c>
      <c r="AF47" t="e">
        <f t="shared" si="9"/>
        <v>#VALUE!</v>
      </c>
      <c r="AG47" s="4" t="e">
        <f>(AF47/AF46-1)-中国_中债国债到期收益率_1年!H47%/252</f>
        <v>#VALUE!</v>
      </c>
      <c r="AH47" s="4" t="e">
        <f>MIN((AF47-MAX($AF$3:AF47))/MAX($AF$3:AF47),0)</f>
        <v>#VALUE!</v>
      </c>
    </row>
    <row r="48" spans="1:34" x14ac:dyDescent="0.25">
      <c r="A48" s="6">
        <v>44778</v>
      </c>
      <c r="B48">
        <v>10</v>
      </c>
      <c r="C48">
        <v>10</v>
      </c>
      <c r="D48">
        <v>10</v>
      </c>
      <c r="F48">
        <f t="shared" si="0"/>
        <v>30</v>
      </c>
      <c r="G48">
        <f t="shared" si="10"/>
        <v>10</v>
      </c>
      <c r="H48">
        <f t="shared" si="11"/>
        <v>50</v>
      </c>
      <c r="I48">
        <f t="shared" si="12"/>
        <v>90</v>
      </c>
      <c r="J48">
        <f t="shared" si="13"/>
        <v>0</v>
      </c>
      <c r="K48">
        <f t="shared" si="5"/>
        <v>150</v>
      </c>
      <c r="L48">
        <f>G48*Return!B48*100</f>
        <v>62.099999999999824</v>
      </c>
      <c r="M48">
        <f>H48*Return!C48*100</f>
        <v>60.999999999999943</v>
      </c>
      <c r="N48">
        <f>I48*Return!D48*100</f>
        <v>23.40000000000142</v>
      </c>
      <c r="O48">
        <f>J48*Return!E48*100</f>
        <v>0</v>
      </c>
      <c r="P48">
        <f t="shared" si="14"/>
        <v>146.50000000000119</v>
      </c>
      <c r="Q48" t="e">
        <f>SUM($P$3:P48)</f>
        <v>#VALUE!</v>
      </c>
      <c r="R48">
        <f>B48*中国_中债国债到期收益率_1年!B47/365*100</f>
        <v>4.6320547945205481</v>
      </c>
      <c r="S48">
        <f>C48*中国_中债国债到期收益率_1年!C47/365*100</f>
        <v>6.6791780821917808</v>
      </c>
      <c r="T48">
        <f>D48*中国_中债国债到期收益率_1年!D47/365*100</f>
        <v>7.4498630136986304</v>
      </c>
      <c r="U48">
        <f>E48*中国_中债国债到期收益率_1年!E47/365*100</f>
        <v>0</v>
      </c>
      <c r="V48">
        <f t="shared" si="15"/>
        <v>18.761095890410957</v>
      </c>
      <c r="W48" t="e">
        <f>SUM($V$3:V48)</f>
        <v>#VALUE!</v>
      </c>
      <c r="X48">
        <f>MAX(F48-50,0)*中国_中债国债到期收益率_1年!H48*100/365</f>
        <v>0</v>
      </c>
      <c r="Y48">
        <f>SUM($X$3:X48)</f>
        <v>0</v>
      </c>
      <c r="AB48">
        <f>Z48*Return!F48*100</f>
        <v>0</v>
      </c>
      <c r="AC48">
        <f>AA48*Return!G48*100</f>
        <v>0</v>
      </c>
      <c r="AD48">
        <f>SUM($AB$3:AB48)+SUM($AC$3:AC48)</f>
        <v>672.10000000000127</v>
      </c>
      <c r="AE48" t="e">
        <f t="shared" si="8"/>
        <v>#VALUE!</v>
      </c>
      <c r="AF48" t="e">
        <f t="shared" si="9"/>
        <v>#VALUE!</v>
      </c>
      <c r="AG48" s="4" t="e">
        <f>(AF48/AF47-1)-中国_中债国债到期收益率_1年!H48%/252</f>
        <v>#VALUE!</v>
      </c>
      <c r="AH48" s="4" t="e">
        <f>MIN((AF48-MAX($AF$3:AF48))/MAX($AF$3:AF48),0)</f>
        <v>#VALUE!</v>
      </c>
    </row>
    <row r="49" spans="1:34" x14ac:dyDescent="0.25">
      <c r="A49" s="6">
        <v>44781</v>
      </c>
      <c r="B49">
        <v>10</v>
      </c>
      <c r="C49">
        <v>10</v>
      </c>
      <c r="D49">
        <v>10</v>
      </c>
      <c r="F49">
        <f t="shared" si="0"/>
        <v>30</v>
      </c>
      <c r="G49">
        <f t="shared" si="10"/>
        <v>10</v>
      </c>
      <c r="H49">
        <f t="shared" si="11"/>
        <v>50</v>
      </c>
      <c r="I49">
        <f t="shared" si="12"/>
        <v>90</v>
      </c>
      <c r="J49">
        <f t="shared" si="13"/>
        <v>0</v>
      </c>
      <c r="K49">
        <f t="shared" si="5"/>
        <v>150</v>
      </c>
      <c r="L49">
        <f>G49*Return!B49*100</f>
        <v>-20.89999999999992</v>
      </c>
      <c r="M49">
        <f>H49*Return!C49*100</f>
        <v>-139.00000000000023</v>
      </c>
      <c r="N49">
        <f>I49*Return!D49*100</f>
        <v>-132.30000000000342</v>
      </c>
      <c r="O49">
        <f>J49*Return!E49*100</f>
        <v>0</v>
      </c>
      <c r="P49">
        <f t="shared" si="14"/>
        <v>-292.20000000000357</v>
      </c>
      <c r="Q49" t="e">
        <f>SUM($P$3:P49)</f>
        <v>#VALUE!</v>
      </c>
      <c r="R49">
        <f>B49*中国_中债国债到期收益率_1年!B48/365*100</f>
        <v>4.6893150684931513</v>
      </c>
      <c r="S49">
        <f>C49*中国_中债国债到期收益率_1年!C48/365*100</f>
        <v>6.7553424657534249</v>
      </c>
      <c r="T49">
        <f>D49*中国_中债国债到期收益率_1年!D48/365*100</f>
        <v>7.4901369863013709</v>
      </c>
      <c r="U49">
        <f>E49*中国_中债国债到期收益率_1年!E48/365*100</f>
        <v>0</v>
      </c>
      <c r="V49">
        <f t="shared" si="15"/>
        <v>18.934794520547946</v>
      </c>
      <c r="W49" t="e">
        <f>SUM($V$3:V49)</f>
        <v>#VALUE!</v>
      </c>
      <c r="X49">
        <f>MAX(F49-50,0)*中国_中债国债到期收益率_1年!H49*100/365</f>
        <v>0</v>
      </c>
      <c r="Y49">
        <f>SUM($X$3:X49)</f>
        <v>0</v>
      </c>
      <c r="AB49">
        <f>Z49*Return!F49*100</f>
        <v>0</v>
      </c>
      <c r="AC49">
        <f>AA49*Return!G49*100</f>
        <v>0</v>
      </c>
      <c r="AD49">
        <f>SUM($AB$3:AB49)+SUM($AC$3:AC49)</f>
        <v>672.10000000000127</v>
      </c>
      <c r="AE49" t="e">
        <f t="shared" si="8"/>
        <v>#VALUE!</v>
      </c>
      <c r="AF49" t="e">
        <f t="shared" si="9"/>
        <v>#VALUE!</v>
      </c>
      <c r="AG49" s="4" t="e">
        <f>(AF49/AF48-1)-中国_中债国债到期收益率_1年!H49%/252</f>
        <v>#VALUE!</v>
      </c>
      <c r="AH49" s="4" t="e">
        <f>MIN((AF49-MAX($AF$3:AF49))/MAX($AF$3:AF49),0)</f>
        <v>#VALUE!</v>
      </c>
    </row>
    <row r="50" spans="1:34" x14ac:dyDescent="0.25">
      <c r="A50" s="6">
        <v>44782</v>
      </c>
      <c r="B50">
        <v>10</v>
      </c>
      <c r="C50">
        <v>10</v>
      </c>
      <c r="D50">
        <v>10</v>
      </c>
      <c r="F50">
        <f t="shared" si="0"/>
        <v>30</v>
      </c>
      <c r="G50">
        <f t="shared" si="10"/>
        <v>10</v>
      </c>
      <c r="H50">
        <f t="shared" si="11"/>
        <v>50</v>
      </c>
      <c r="I50">
        <f t="shared" si="12"/>
        <v>90</v>
      </c>
      <c r="J50">
        <f t="shared" si="13"/>
        <v>0</v>
      </c>
      <c r="K50">
        <f t="shared" si="5"/>
        <v>150</v>
      </c>
      <c r="L50">
        <f>G50*Return!B50*100</f>
        <v>-20.000000000000018</v>
      </c>
      <c r="M50">
        <f>H50*Return!C50*100</f>
        <v>-28.999999999999027</v>
      </c>
      <c r="N50">
        <f>I50*Return!D50*100</f>
        <v>-62.999999999997058</v>
      </c>
      <c r="O50">
        <f>J50*Return!E50*100</f>
        <v>0</v>
      </c>
      <c r="P50">
        <f t="shared" si="14"/>
        <v>-111.99999999999611</v>
      </c>
      <c r="Q50" t="e">
        <f>SUM($P$3:P50)</f>
        <v>#VALUE!</v>
      </c>
      <c r="R50">
        <f>B50*中国_中债国债到期收益率_1年!B49/365*100</f>
        <v>4.7441095890410958</v>
      </c>
      <c r="S50">
        <f>C50*中国_中债国债到期收益率_1年!C49/365*100</f>
        <v>6.771232876712328</v>
      </c>
      <c r="T50">
        <f>D50*中国_中债国债到期收益率_1年!D49/365*100</f>
        <v>7.5093150684931498</v>
      </c>
      <c r="U50">
        <f>E50*中国_中债国债到期收益率_1年!E49/365*100</f>
        <v>0</v>
      </c>
      <c r="V50">
        <f t="shared" si="15"/>
        <v>19.024657534246572</v>
      </c>
      <c r="W50" t="e">
        <f>SUM($V$3:V50)</f>
        <v>#VALUE!</v>
      </c>
      <c r="X50">
        <f>MAX(F50-50,0)*中国_中债国债到期收益率_1年!H50*100/365</f>
        <v>0</v>
      </c>
      <c r="Y50">
        <f>SUM($X$3:X50)</f>
        <v>0</v>
      </c>
      <c r="AB50">
        <f>Z50*Return!F50*100</f>
        <v>0</v>
      </c>
      <c r="AC50">
        <f>AA50*Return!G50*100</f>
        <v>0</v>
      </c>
      <c r="AD50">
        <f>SUM($AB$3:AB50)+SUM($AC$3:AC50)</f>
        <v>672.10000000000127</v>
      </c>
      <c r="AE50" t="e">
        <f t="shared" si="8"/>
        <v>#VALUE!</v>
      </c>
      <c r="AF50" t="e">
        <f t="shared" si="9"/>
        <v>#VALUE!</v>
      </c>
      <c r="AG50" s="4" t="e">
        <f>(AF50/AF49-1)-中国_中债国债到期收益率_1年!H50%/252</f>
        <v>#VALUE!</v>
      </c>
      <c r="AH50" s="4" t="e">
        <f>MIN((AF50-MAX($AF$3:AF50))/MAX($AF$3:AF50),0)</f>
        <v>#VALUE!</v>
      </c>
    </row>
    <row r="51" spans="1:34" x14ac:dyDescent="0.25">
      <c r="A51" s="6">
        <v>44783</v>
      </c>
      <c r="B51">
        <v>10</v>
      </c>
      <c r="C51">
        <v>10</v>
      </c>
      <c r="D51">
        <v>10</v>
      </c>
      <c r="F51">
        <f t="shared" si="0"/>
        <v>30</v>
      </c>
      <c r="G51">
        <f t="shared" si="10"/>
        <v>10</v>
      </c>
      <c r="H51">
        <f t="shared" si="11"/>
        <v>50</v>
      </c>
      <c r="I51">
        <f t="shared" si="12"/>
        <v>90</v>
      </c>
      <c r="J51">
        <f t="shared" si="13"/>
        <v>0</v>
      </c>
      <c r="K51">
        <f t="shared" si="5"/>
        <v>150</v>
      </c>
      <c r="L51">
        <f>G51*Return!B51*100</f>
        <v>-56.999999999999943</v>
      </c>
      <c r="M51">
        <f>H51*Return!C51*100</f>
        <v>-87.000000000001521</v>
      </c>
      <c r="N51">
        <f>I51*Return!D51*100</f>
        <v>8.0999999999971095</v>
      </c>
      <c r="O51">
        <f>J51*Return!E51*100</f>
        <v>0</v>
      </c>
      <c r="P51">
        <f t="shared" si="14"/>
        <v>-135.90000000000435</v>
      </c>
      <c r="Q51" t="e">
        <f>SUM($P$3:P51)</f>
        <v>#VALUE!</v>
      </c>
      <c r="R51">
        <f>B51*中国_中债国债到期收益率_1年!B50/365*100</f>
        <v>4.9002739726027391</v>
      </c>
      <c r="S51">
        <f>C51*中国_中债国债到期收益率_1年!C50/365*100</f>
        <v>6.8189041095890417</v>
      </c>
      <c r="T51">
        <f>D51*中国_中债国债到期收益率_1年!D50/365*100</f>
        <v>7.5068493150684938</v>
      </c>
      <c r="U51">
        <f>E51*中国_中债国债到期收益率_1年!E50/365*100</f>
        <v>0</v>
      </c>
      <c r="V51">
        <f t="shared" si="15"/>
        <v>19.226027397260275</v>
      </c>
      <c r="W51" t="e">
        <f>SUM($V$3:V51)</f>
        <v>#VALUE!</v>
      </c>
      <c r="X51">
        <f>MAX(F51-50,0)*中国_中债国债到期收益率_1年!H51*100/365</f>
        <v>0</v>
      </c>
      <c r="Y51">
        <f>SUM($X$3:X51)</f>
        <v>0</v>
      </c>
      <c r="AB51">
        <f>Z51*Return!F51*100</f>
        <v>0</v>
      </c>
      <c r="AC51">
        <f>AA51*Return!G51*100</f>
        <v>0</v>
      </c>
      <c r="AD51">
        <f>SUM($AB$3:AB51)+SUM($AC$3:AC51)</f>
        <v>672.10000000000127</v>
      </c>
      <c r="AE51" t="e">
        <f t="shared" si="8"/>
        <v>#VALUE!</v>
      </c>
      <c r="AF51" t="e">
        <f t="shared" si="9"/>
        <v>#VALUE!</v>
      </c>
      <c r="AG51" s="4" t="e">
        <f>(AF51/AF50-1)-中国_中债国债到期收益率_1年!H51%/252</f>
        <v>#VALUE!</v>
      </c>
      <c r="AH51" s="4" t="e">
        <f>MIN((AF51-MAX($AF$3:AF51))/MAX($AF$3:AF51),0)</f>
        <v>#VALUE!</v>
      </c>
    </row>
    <row r="52" spans="1:34" x14ac:dyDescent="0.25">
      <c r="A52" s="6">
        <v>44784</v>
      </c>
      <c r="B52">
        <v>10</v>
      </c>
      <c r="C52">
        <v>10</v>
      </c>
      <c r="D52">
        <v>10</v>
      </c>
      <c r="F52">
        <f t="shared" si="0"/>
        <v>30</v>
      </c>
      <c r="G52">
        <f t="shared" si="10"/>
        <v>10</v>
      </c>
      <c r="H52">
        <f t="shared" si="11"/>
        <v>50</v>
      </c>
      <c r="I52">
        <f t="shared" si="12"/>
        <v>90</v>
      </c>
      <c r="J52">
        <f t="shared" si="13"/>
        <v>0</v>
      </c>
      <c r="K52">
        <f t="shared" si="5"/>
        <v>150</v>
      </c>
      <c r="L52">
        <f>G52*Return!B52*100</f>
        <v>-25.000000000000135</v>
      </c>
      <c r="M52">
        <f>H52*Return!C52*100</f>
        <v>-12.499999999999734</v>
      </c>
      <c r="N52">
        <f>I52*Return!D52*100</f>
        <v>30.600000000000627</v>
      </c>
      <c r="O52">
        <f>J52*Return!E52*100</f>
        <v>0</v>
      </c>
      <c r="P52">
        <f t="shared" si="14"/>
        <v>-6.8999999999992454</v>
      </c>
      <c r="Q52" t="e">
        <f>SUM($P$3:P52)</f>
        <v>#VALUE!</v>
      </c>
      <c r="R52">
        <f>B52*中国_中债国债到期收益率_1年!B51/365*100</f>
        <v>4.9687671232876722</v>
      </c>
      <c r="S52">
        <f>C52*中国_中债国债到期收益率_1年!C51/365*100</f>
        <v>6.8257534246575355</v>
      </c>
      <c r="T52">
        <f>D52*中国_中债国债到期收益率_1年!D51/365*100</f>
        <v>7.4975342465753423</v>
      </c>
      <c r="U52">
        <f>E52*中国_中债国债到期收益率_1年!E51/365*100</f>
        <v>0</v>
      </c>
      <c r="V52">
        <f t="shared" si="15"/>
        <v>19.292054794520549</v>
      </c>
      <c r="W52" t="e">
        <f>SUM($V$3:V52)</f>
        <v>#VALUE!</v>
      </c>
      <c r="X52">
        <f>MAX(F52-50,0)*中国_中债国债到期收益率_1年!H52*100/365</f>
        <v>0</v>
      </c>
      <c r="Y52">
        <f>SUM($X$3:X52)</f>
        <v>0</v>
      </c>
      <c r="AB52">
        <f>Z52*Return!F52*100</f>
        <v>0</v>
      </c>
      <c r="AC52">
        <f>AA52*Return!G52*100</f>
        <v>0</v>
      </c>
      <c r="AD52">
        <f>SUM($AB$3:AB52)+SUM($AC$3:AC52)</f>
        <v>672.10000000000127</v>
      </c>
      <c r="AE52" t="e">
        <f t="shared" si="8"/>
        <v>#VALUE!</v>
      </c>
      <c r="AF52" t="e">
        <f t="shared" si="9"/>
        <v>#VALUE!</v>
      </c>
      <c r="AG52" s="4" t="e">
        <f>(AF52/AF51-1)-中国_中债国债到期收益率_1年!H52%/252</f>
        <v>#VALUE!</v>
      </c>
      <c r="AH52" s="4" t="e">
        <f>MIN((AF52-MAX($AF$3:AF52))/MAX($AF$3:AF52),0)</f>
        <v>#VALUE!</v>
      </c>
    </row>
    <row r="53" spans="1:34" x14ac:dyDescent="0.25">
      <c r="A53" s="6">
        <v>44785</v>
      </c>
      <c r="B53">
        <v>10</v>
      </c>
      <c r="C53">
        <v>10</v>
      </c>
      <c r="D53">
        <v>10</v>
      </c>
      <c r="F53">
        <f t="shared" si="0"/>
        <v>30</v>
      </c>
      <c r="G53">
        <f t="shared" si="10"/>
        <v>10</v>
      </c>
      <c r="H53">
        <f t="shared" si="11"/>
        <v>50</v>
      </c>
      <c r="I53">
        <f t="shared" si="12"/>
        <v>90</v>
      </c>
      <c r="J53">
        <f t="shared" si="13"/>
        <v>0</v>
      </c>
      <c r="K53">
        <f t="shared" si="5"/>
        <v>150</v>
      </c>
      <c r="L53">
        <f>G53*Return!B53*100</f>
        <v>-2.4999999999999467</v>
      </c>
      <c r="M53">
        <f>H53*Return!C53*100</f>
        <v>37.499999999999204</v>
      </c>
      <c r="N53">
        <f>I53*Return!D53*100</f>
        <v>44.100000000001138</v>
      </c>
      <c r="O53">
        <f>J53*Return!E53*100</f>
        <v>0</v>
      </c>
      <c r="P53">
        <f t="shared" si="14"/>
        <v>79.100000000000392</v>
      </c>
      <c r="Q53" t="e">
        <f>SUM($P$3:P53)</f>
        <v>#VALUE!</v>
      </c>
      <c r="R53">
        <f>B53*中国_中债国债到期收益率_1年!B52/365*100</f>
        <v>4.9756164383561643</v>
      </c>
      <c r="S53">
        <f>C53*中国_中债国债到期收益率_1年!C52/365*100</f>
        <v>6.8052054794520549</v>
      </c>
      <c r="T53">
        <f>D53*中国_中债国债到期收益率_1年!D52/365*100</f>
        <v>7.484109589041096</v>
      </c>
      <c r="U53">
        <f>E53*中国_中债国债到期收益率_1年!E52/365*100</f>
        <v>0</v>
      </c>
      <c r="V53">
        <f t="shared" si="15"/>
        <v>19.264931506849315</v>
      </c>
      <c r="W53" t="e">
        <f>SUM($V$3:V53)</f>
        <v>#VALUE!</v>
      </c>
      <c r="X53">
        <f>MAX(F53-50,0)*中国_中债国债到期收益率_1年!H53*100/365</f>
        <v>0</v>
      </c>
      <c r="Y53">
        <f>SUM($X$3:X53)</f>
        <v>0</v>
      </c>
      <c r="AB53">
        <f>Z53*Return!F53*100</f>
        <v>0</v>
      </c>
      <c r="AC53">
        <f>AA53*Return!G53*100</f>
        <v>0</v>
      </c>
      <c r="AD53">
        <f>SUM($AB$3:AB53)+SUM($AC$3:AC53)</f>
        <v>672.10000000000127</v>
      </c>
      <c r="AE53" t="e">
        <f t="shared" si="8"/>
        <v>#VALUE!</v>
      </c>
      <c r="AF53" t="e">
        <f t="shared" si="9"/>
        <v>#VALUE!</v>
      </c>
      <c r="AG53" s="4" t="e">
        <f>(AF53/AF52-1)-中国_中债国债到期收益率_1年!H53%/252</f>
        <v>#VALUE!</v>
      </c>
      <c r="AH53" s="4" t="e">
        <f>MIN((AF53-MAX($AF$3:AF53))/MAX($AF$3:AF53),0)</f>
        <v>#VALUE!</v>
      </c>
    </row>
    <row r="54" spans="1:34" x14ac:dyDescent="0.25">
      <c r="A54" s="6">
        <v>44788</v>
      </c>
      <c r="B54">
        <v>10</v>
      </c>
      <c r="C54">
        <v>10</v>
      </c>
      <c r="D54">
        <v>5</v>
      </c>
      <c r="F54">
        <f t="shared" si="0"/>
        <v>25</v>
      </c>
      <c r="G54">
        <f t="shared" si="10"/>
        <v>10</v>
      </c>
      <c r="H54">
        <f t="shared" si="11"/>
        <v>50</v>
      </c>
      <c r="I54">
        <f t="shared" si="12"/>
        <v>45</v>
      </c>
      <c r="J54">
        <f t="shared" si="13"/>
        <v>0</v>
      </c>
      <c r="K54">
        <f t="shared" si="5"/>
        <v>105</v>
      </c>
      <c r="L54">
        <f>G54*Return!B54*100</f>
        <v>4.5999999999999375</v>
      </c>
      <c r="M54">
        <f>H54*Return!C54*100</f>
        <v>-26.499999999998192</v>
      </c>
      <c r="N54">
        <f>I54*Return!D54*100</f>
        <v>-13.500000000000512</v>
      </c>
      <c r="O54">
        <f>J54*Return!E54*100</f>
        <v>0</v>
      </c>
      <c r="P54">
        <f t="shared" si="14"/>
        <v>-35.399999999998769</v>
      </c>
      <c r="Q54" t="e">
        <f>SUM($P$3:P54)</f>
        <v>#VALUE!</v>
      </c>
      <c r="R54">
        <f>B54*中国_中债国债到期收益率_1年!B53/365*100</f>
        <v>4.963013698630137</v>
      </c>
      <c r="S54">
        <f>C54*中国_中债国债到期收益率_1年!C53/365*100</f>
        <v>6.8197260273972606</v>
      </c>
      <c r="T54">
        <f>E55*中国_中债国债到期收益率_1年!D53/365*100</f>
        <v>0</v>
      </c>
      <c r="U54">
        <f>E54*中国_中债国债到期收益率_1年!E53/365*100</f>
        <v>0</v>
      </c>
      <c r="V54">
        <f t="shared" si="15"/>
        <v>11.782739726027398</v>
      </c>
      <c r="W54" t="e">
        <f>SUM($V$3:V54)</f>
        <v>#VALUE!</v>
      </c>
      <c r="X54">
        <f>MAX(F54-50,0)*中国_中债国债到期收益率_1年!H54*100/365</f>
        <v>0</v>
      </c>
      <c r="Y54">
        <f>SUM($X$3:X54)</f>
        <v>0</v>
      </c>
      <c r="AB54">
        <f>Z54*Return!F54*100</f>
        <v>0</v>
      </c>
      <c r="AC54">
        <f>AA54*Return!G54*100</f>
        <v>0</v>
      </c>
      <c r="AD54">
        <f>SUM($AB$3:AB54)+SUM($AC$3:AC54)</f>
        <v>672.10000000000127</v>
      </c>
      <c r="AE54" t="e">
        <f t="shared" si="8"/>
        <v>#VALUE!</v>
      </c>
      <c r="AF54" t="e">
        <f t="shared" si="9"/>
        <v>#VALUE!</v>
      </c>
      <c r="AG54" s="4" t="e">
        <f>(AF54/AF53-1)-中国_中债国债到期收益率_1年!H54%/252</f>
        <v>#VALUE!</v>
      </c>
      <c r="AH54" s="4" t="e">
        <f>MIN((AF54-MAX($AF$3:AF54))/MAX($AF$3:AF54),0)</f>
        <v>#VALUE!</v>
      </c>
    </row>
    <row r="55" spans="1:34" x14ac:dyDescent="0.25">
      <c r="A55" s="6">
        <v>44789</v>
      </c>
      <c r="B55">
        <v>10</v>
      </c>
      <c r="C55">
        <v>10</v>
      </c>
      <c r="D55">
        <v>5</v>
      </c>
      <c r="F55">
        <f>SUM(B55:E55)</f>
        <v>25</v>
      </c>
      <c r="G55">
        <f t="shared" si="10"/>
        <v>10</v>
      </c>
      <c r="H55">
        <f t="shared" si="11"/>
        <v>50</v>
      </c>
      <c r="I55">
        <f t="shared" si="12"/>
        <v>45</v>
      </c>
      <c r="J55">
        <f t="shared" ref="J55" si="16">16*E55</f>
        <v>0</v>
      </c>
      <c r="K55">
        <f t="shared" ref="K55" si="17">SUM(G55:J55)</f>
        <v>105</v>
      </c>
      <c r="L55">
        <f>G55*Return!B55*100</f>
        <v>94.80000000000021</v>
      </c>
      <c r="M55">
        <f>H55*Return!C55*100</f>
        <v>470.9999999999992</v>
      </c>
      <c r="N55">
        <f>I55*Return!D55*100</f>
        <v>344.25000000000108</v>
      </c>
      <c r="O55">
        <f>J55*Return!E55*100</f>
        <v>0</v>
      </c>
      <c r="P55">
        <f t="shared" si="14"/>
        <v>910.05000000000041</v>
      </c>
      <c r="Q55" t="e">
        <f>SUM($P$3:P55)</f>
        <v>#VALUE!</v>
      </c>
      <c r="R55">
        <f>B55*中国_中债国债到期收益率_1年!B54/365*100</f>
        <v>4.7032876712328759</v>
      </c>
      <c r="S55">
        <f>C55*中国_中债国债到期收益率_1年!C54/365*100</f>
        <v>6.5616438356164375</v>
      </c>
      <c r="T55">
        <f>D55*中国_中债国债到期收益率_1年!D54/365*100</f>
        <v>3.6413698630136984</v>
      </c>
      <c r="U55">
        <f>E55*中国_中债国债到期收益率_1年!E54/365*100</f>
        <v>0</v>
      </c>
      <c r="V55">
        <f t="shared" ref="V55" si="18">SUM(R55:U55)</f>
        <v>14.906301369863012</v>
      </c>
      <c r="W55" t="e">
        <f>SUM($V$3:V55)</f>
        <v>#VALUE!</v>
      </c>
      <c r="X55">
        <f>MAX(F55-50,0)*中国_中债国债到期收益率_1年!H55*100/365</f>
        <v>0</v>
      </c>
      <c r="Y55">
        <f>SUM($X$3:X55)</f>
        <v>0</v>
      </c>
      <c r="AB55">
        <f>Z55*Return!F55*100</f>
        <v>0</v>
      </c>
      <c r="AC55">
        <f>AA55*Return!G55*100</f>
        <v>0</v>
      </c>
      <c r="AD55">
        <f>SUM($AB$3:AB55)+SUM($AC$3:AC55)</f>
        <v>672.10000000000127</v>
      </c>
      <c r="AE55" t="e">
        <f t="shared" si="8"/>
        <v>#VALUE!</v>
      </c>
      <c r="AF55" t="e">
        <f t="shared" si="9"/>
        <v>#VALUE!</v>
      </c>
      <c r="AG55" s="4" t="e">
        <f>(AF55/AF54-1)-中国_中债国债到期收益率_1年!H55%/252</f>
        <v>#VALUE!</v>
      </c>
      <c r="AH55" s="4" t="e">
        <f>MIN((AF55-MAX($AF$3:AF55))/MAX($AF$3:AF55),0)</f>
        <v>#VALUE!</v>
      </c>
    </row>
    <row r="56" spans="1:34" x14ac:dyDescent="0.25">
      <c r="A56" s="6">
        <v>44790</v>
      </c>
      <c r="B56">
        <v>10</v>
      </c>
      <c r="C56">
        <v>10</v>
      </c>
      <c r="D56">
        <v>5</v>
      </c>
      <c r="F56">
        <f t="shared" si="0"/>
        <v>25</v>
      </c>
      <c r="G56">
        <f t="shared" si="10"/>
        <v>10</v>
      </c>
      <c r="H56">
        <f t="shared" si="11"/>
        <v>50</v>
      </c>
      <c r="I56">
        <f t="shared" si="12"/>
        <v>45</v>
      </c>
      <c r="J56">
        <f t="shared" si="13"/>
        <v>0</v>
      </c>
      <c r="K56">
        <f t="shared" si="5"/>
        <v>105</v>
      </c>
      <c r="L56">
        <f>G56*Return!B56*100</f>
        <v>-3.2000000000000917</v>
      </c>
      <c r="M56">
        <f>H56*Return!C56*100</f>
        <v>60.999999999999943</v>
      </c>
      <c r="N56">
        <f>I56*Return!D56*100</f>
        <v>106.2000000000003</v>
      </c>
      <c r="O56">
        <f>J56*Return!E56*100</f>
        <v>0</v>
      </c>
      <c r="P56">
        <f t="shared" si="14"/>
        <v>164.00000000000017</v>
      </c>
      <c r="Q56" t="e">
        <f>SUM($P$3:P56)</f>
        <v>#VALUE!</v>
      </c>
      <c r="R56">
        <f>B56*中国_中债国债到期收益率_1年!B55/365*100</f>
        <v>4.7120547945205473</v>
      </c>
      <c r="S56">
        <f>C56*中国_中债国债到期收益率_1年!C55/365*100</f>
        <v>6.5282191780821908</v>
      </c>
      <c r="T56">
        <f>D56*中国_中债国债到期收益率_1年!D55/365*100</f>
        <v>3.6090410958904107</v>
      </c>
      <c r="U56">
        <f>E56*中国_中债国债到期收益率_1年!E55/365*100</f>
        <v>0</v>
      </c>
      <c r="V56">
        <f t="shared" si="15"/>
        <v>14.849315068493148</v>
      </c>
      <c r="W56" t="e">
        <f>SUM($V$3:V56)</f>
        <v>#VALUE!</v>
      </c>
      <c r="X56">
        <f>MAX(F56-50,0)*中国_中债国债到期收益率_1年!H56*100/365</f>
        <v>0</v>
      </c>
      <c r="Y56">
        <f>SUM($X$3:X56)</f>
        <v>0</v>
      </c>
      <c r="AB56">
        <f>Z56*Return!F56*100</f>
        <v>0</v>
      </c>
      <c r="AC56">
        <f>AA56*Return!G56*100</f>
        <v>0</v>
      </c>
      <c r="AD56">
        <f>SUM($AB$3:AB56)+SUM($AC$3:AC56)</f>
        <v>672.10000000000127</v>
      </c>
      <c r="AE56" t="e">
        <f t="shared" si="8"/>
        <v>#VALUE!</v>
      </c>
      <c r="AF56" t="e">
        <f t="shared" si="9"/>
        <v>#VALUE!</v>
      </c>
      <c r="AG56" s="4" t="e">
        <f>(AF56/AF55-1)-中国_中债国债到期收益率_1年!H56%/252</f>
        <v>#VALUE!</v>
      </c>
      <c r="AH56" s="4" t="e">
        <f>MIN((AF56-MAX($AF$3:AF56))/MAX($AF$3:AF56),0)</f>
        <v>#VALUE!</v>
      </c>
    </row>
    <row r="57" spans="1:34" x14ac:dyDescent="0.25">
      <c r="A57" s="6">
        <v>44791</v>
      </c>
      <c r="B57">
        <v>10</v>
      </c>
      <c r="C57">
        <v>10</v>
      </c>
      <c r="D57">
        <v>5</v>
      </c>
      <c r="F57">
        <f t="shared" si="0"/>
        <v>25</v>
      </c>
      <c r="G57">
        <f t="shared" si="10"/>
        <v>10</v>
      </c>
      <c r="H57">
        <f t="shared" si="11"/>
        <v>50</v>
      </c>
      <c r="I57">
        <f t="shared" si="12"/>
        <v>45</v>
      </c>
      <c r="J57">
        <f t="shared" si="13"/>
        <v>0</v>
      </c>
      <c r="K57">
        <f t="shared" si="5"/>
        <v>105</v>
      </c>
      <c r="L57">
        <f>G57*Return!B57*100</f>
        <v>0.89999999999990088</v>
      </c>
      <c r="M57">
        <f>H57*Return!C57*100</f>
        <v>13.499999999999623</v>
      </c>
      <c r="N57">
        <f>I57*Return!D57*100</f>
        <v>99.899999999998983</v>
      </c>
      <c r="O57">
        <f>J57*Return!E57*100</f>
        <v>0</v>
      </c>
      <c r="P57">
        <f t="shared" si="14"/>
        <v>114.29999999999851</v>
      </c>
      <c r="Q57" t="e">
        <f>SUM($P$3:P57)</f>
        <v>#VALUE!</v>
      </c>
      <c r="R57">
        <f>B57*中国_中债国债到期收益率_1年!B56/365*100</f>
        <v>4.7095890410958905</v>
      </c>
      <c r="S57">
        <f>C57*中国_中债国债到期收益率_1年!C56/365*100</f>
        <v>6.5208219178082203</v>
      </c>
      <c r="T57">
        <f>D57*中国_中债国债到期收益率_1年!D56/365*100</f>
        <v>3.5786301369863014</v>
      </c>
      <c r="U57">
        <f>E57*中国_中债国债到期收益率_1年!E56/365*100</f>
        <v>0</v>
      </c>
      <c r="V57">
        <f t="shared" si="15"/>
        <v>14.809041095890413</v>
      </c>
      <c r="W57" t="e">
        <f>SUM($V$3:V57)</f>
        <v>#VALUE!</v>
      </c>
      <c r="X57">
        <f>MAX(F57-50,0)*中国_中债国债到期收益率_1年!H57*100/365</f>
        <v>0</v>
      </c>
      <c r="Y57">
        <f>SUM($X$3:X57)</f>
        <v>0</v>
      </c>
      <c r="AB57">
        <f>Z57*Return!F57*100</f>
        <v>0</v>
      </c>
      <c r="AC57">
        <f>AA57*Return!G57*100</f>
        <v>0</v>
      </c>
      <c r="AD57">
        <f>SUM($AB$3:AB57)+SUM($AC$3:AC57)</f>
        <v>672.10000000000127</v>
      </c>
      <c r="AE57" t="e">
        <f t="shared" si="8"/>
        <v>#VALUE!</v>
      </c>
      <c r="AF57" t="e">
        <f t="shared" si="9"/>
        <v>#VALUE!</v>
      </c>
      <c r="AG57" s="4" t="e">
        <f>(AF57/AF56-1)-中国_中债国债到期收益率_1年!H57%/252</f>
        <v>#VALUE!</v>
      </c>
      <c r="AH57" s="4" t="e">
        <f>MIN((AF57-MAX($AF$3:AF57))/MAX($AF$3:AF57),0)</f>
        <v>#VALUE!</v>
      </c>
    </row>
    <row r="58" spans="1:34" x14ac:dyDescent="0.25">
      <c r="A58" s="6">
        <v>44792</v>
      </c>
      <c r="B58">
        <v>10</v>
      </c>
      <c r="C58">
        <v>10</v>
      </c>
      <c r="D58">
        <v>5</v>
      </c>
      <c r="F58">
        <f t="shared" si="0"/>
        <v>25</v>
      </c>
      <c r="G58">
        <f t="shared" si="10"/>
        <v>10</v>
      </c>
      <c r="H58">
        <f t="shared" si="11"/>
        <v>50</v>
      </c>
      <c r="I58">
        <f t="shared" si="12"/>
        <v>45</v>
      </c>
      <c r="J58">
        <f t="shared" si="13"/>
        <v>0</v>
      </c>
      <c r="K58">
        <f t="shared" si="5"/>
        <v>105</v>
      </c>
      <c r="L58">
        <f>G58*Return!B58*100</f>
        <v>18.600000000000172</v>
      </c>
      <c r="M58">
        <f>H58*Return!C58*100</f>
        <v>111.49999999999993</v>
      </c>
      <c r="N58">
        <f>I58*Return!D58*100</f>
        <v>145.79999999999993</v>
      </c>
      <c r="O58">
        <f>J58*Return!E58*100</f>
        <v>0</v>
      </c>
      <c r="P58">
        <f t="shared" si="14"/>
        <v>275.90000000000003</v>
      </c>
      <c r="Q58" t="e">
        <f>SUM($P$3:P58)</f>
        <v>#VALUE!</v>
      </c>
      <c r="R58">
        <f>B58*中国_中债国债到期收益率_1年!B57/365*100</f>
        <v>4.6586301369863001</v>
      </c>
      <c r="S58">
        <f>C58*中国_中债国债到期收益率_1年!C57/365*100</f>
        <v>6.4597260273972612</v>
      </c>
      <c r="T58">
        <f>D58*中国_中债国债到期收益率_1年!D57/365*100</f>
        <v>3.5342465753424661</v>
      </c>
      <c r="U58">
        <f>E58*中国_中债国债到期收益率_1年!E57/365*100</f>
        <v>0</v>
      </c>
      <c r="V58">
        <f t="shared" si="15"/>
        <v>14.652602739726028</v>
      </c>
      <c r="W58" t="e">
        <f>SUM($V$3:V58)</f>
        <v>#VALUE!</v>
      </c>
      <c r="X58">
        <f>MAX(F58-50,0)*中国_中债国债到期收益率_1年!H58*100/365</f>
        <v>0</v>
      </c>
      <c r="Y58">
        <f>SUM($X$3:X58)</f>
        <v>0</v>
      </c>
      <c r="AB58">
        <f>Z58*Return!F58*100</f>
        <v>0</v>
      </c>
      <c r="AC58">
        <f>AA58*Return!G58*100</f>
        <v>0</v>
      </c>
      <c r="AD58">
        <f>SUM($AB$3:AB58)+SUM($AC$3:AC58)</f>
        <v>672.10000000000127</v>
      </c>
      <c r="AE58" t="e">
        <f t="shared" si="8"/>
        <v>#VALUE!</v>
      </c>
      <c r="AF58" t="e">
        <f t="shared" si="9"/>
        <v>#VALUE!</v>
      </c>
      <c r="AG58" s="4" t="e">
        <f>(AF58/AF57-1)-中国_中债国债到期收益率_1年!H58%/252</f>
        <v>#VALUE!</v>
      </c>
      <c r="AH58" s="4" t="e">
        <f>MIN((AF58-MAX($AF$3:AF58))/MAX($AF$3:AF58),0)</f>
        <v>#VALUE!</v>
      </c>
    </row>
    <row r="59" spans="1:34" x14ac:dyDescent="0.25">
      <c r="A59" s="6">
        <v>44795</v>
      </c>
      <c r="B59">
        <v>10</v>
      </c>
      <c r="C59">
        <v>10</v>
      </c>
      <c r="D59">
        <v>5</v>
      </c>
      <c r="F59">
        <f t="shared" si="0"/>
        <v>25</v>
      </c>
      <c r="G59">
        <f t="shared" ref="G59:G87" si="19">B59</f>
        <v>10</v>
      </c>
      <c r="H59">
        <f t="shared" ref="H59:H87" si="20">5*C59</f>
        <v>50</v>
      </c>
      <c r="I59">
        <f t="shared" ref="I59:I87" si="21">9*D59</f>
        <v>45</v>
      </c>
      <c r="J59">
        <f t="shared" ref="J59:J87" si="22">16*E59</f>
        <v>0</v>
      </c>
      <c r="K59">
        <f t="shared" si="5"/>
        <v>105</v>
      </c>
      <c r="L59">
        <f>G59*Return!B59*100</f>
        <v>-24.400000000000198</v>
      </c>
      <c r="M59">
        <f>H59*Return!C59*100</f>
        <v>-64.999999999999503</v>
      </c>
      <c r="N59">
        <f>I59*Return!D59*100</f>
        <v>-33.749999999999282</v>
      </c>
      <c r="O59">
        <f>J59*Return!E59*100</f>
        <v>0</v>
      </c>
      <c r="P59">
        <f t="shared" si="14"/>
        <v>-123.14999999999898</v>
      </c>
      <c r="Q59" t="e">
        <f>SUM($P$3:P59)</f>
        <v>#VALUE!</v>
      </c>
      <c r="R59">
        <f>B59*中国_中债国债到期收益率_1年!B58/365*100</f>
        <v>4.7254794520547945</v>
      </c>
      <c r="S59">
        <f>C59*中国_中债国债到期收益率_1年!C58/365*100</f>
        <v>6.4953424657534242</v>
      </c>
      <c r="T59">
        <f>D59*中国_中债国债到期收益率_1年!D58/365*100</f>
        <v>3.5445205479452055</v>
      </c>
      <c r="U59">
        <f>E59*中国_中债国债到期收益率_1年!E58/365*100</f>
        <v>0</v>
      </c>
      <c r="V59">
        <f t="shared" si="15"/>
        <v>14.765342465753426</v>
      </c>
      <c r="W59" t="e">
        <f>SUM($V$3:V59)</f>
        <v>#VALUE!</v>
      </c>
      <c r="X59">
        <f>MAX(F59-50,0)*中国_中债国债到期收益率_1年!H59*100/365</f>
        <v>0</v>
      </c>
      <c r="Y59">
        <f>SUM($X$3:X59)</f>
        <v>0</v>
      </c>
      <c r="AA59">
        <v>-20</v>
      </c>
      <c r="AB59">
        <f>Z59*Return!F59*100</f>
        <v>0</v>
      </c>
      <c r="AC59">
        <f>AA59*Return!G59*100</f>
        <v>3.5999999999996035</v>
      </c>
      <c r="AD59">
        <f>SUM($AB$3:AB59)+SUM($AC$3:AC59)</f>
        <v>675.70000000000084</v>
      </c>
      <c r="AE59" t="e">
        <f t="shared" si="8"/>
        <v>#VALUE!</v>
      </c>
      <c r="AF59" t="e">
        <f t="shared" si="9"/>
        <v>#VALUE!</v>
      </c>
      <c r="AG59" s="4" t="e">
        <f>(AF59/AF58-1)-中国_中债国债到期收益率_1年!H59%/252</f>
        <v>#VALUE!</v>
      </c>
      <c r="AH59" s="4" t="e">
        <f>MIN((AF59-MAX($AF$3:AF59))/MAX($AF$3:AF59),0)</f>
        <v>#VALUE!</v>
      </c>
    </row>
    <row r="60" spans="1:34" x14ac:dyDescent="0.25">
      <c r="A60" s="6">
        <v>44796</v>
      </c>
      <c r="B60">
        <v>10</v>
      </c>
      <c r="C60">
        <v>10</v>
      </c>
      <c r="D60">
        <v>5</v>
      </c>
      <c r="F60">
        <f t="shared" si="0"/>
        <v>25</v>
      </c>
      <c r="G60">
        <f t="shared" si="19"/>
        <v>10</v>
      </c>
      <c r="H60">
        <f t="shared" si="20"/>
        <v>50</v>
      </c>
      <c r="I60">
        <f t="shared" si="21"/>
        <v>45</v>
      </c>
      <c r="J60">
        <f t="shared" si="22"/>
        <v>0</v>
      </c>
      <c r="K60">
        <f t="shared" si="5"/>
        <v>105</v>
      </c>
      <c r="L60">
        <f>G60*Return!B60*100</f>
        <v>-32.199999999999783</v>
      </c>
      <c r="M60">
        <f>H60*Return!C60*100</f>
        <v>-129.50000000000017</v>
      </c>
      <c r="N60">
        <f>I60*Return!D60*100</f>
        <v>-22.49999999999952</v>
      </c>
      <c r="O60">
        <f>J60*Return!E60*100</f>
        <v>0</v>
      </c>
      <c r="P60">
        <f t="shared" si="14"/>
        <v>-184.19999999999948</v>
      </c>
      <c r="Q60" t="e">
        <f>SUM($P$3:P60)</f>
        <v>#VALUE!</v>
      </c>
      <c r="R60">
        <f>B60*中国_中债国债到期收益率_1年!B59/365*100</f>
        <v>4.8136986301369866</v>
      </c>
      <c r="S60">
        <f>C60*中国_中债国债到期收益率_1年!C59/365*100</f>
        <v>6.5663013698630133</v>
      </c>
      <c r="T60">
        <f>D60*中国_中债国债到期收益率_1年!D59/365*100</f>
        <v>3.5513698630136981</v>
      </c>
      <c r="U60">
        <f>E60*中国_中债国债到期收益率_1年!E59/365*100</f>
        <v>0</v>
      </c>
      <c r="V60">
        <f t="shared" si="15"/>
        <v>14.931369863013696</v>
      </c>
      <c r="W60" t="e">
        <f>SUM($V$3:V60)</f>
        <v>#VALUE!</v>
      </c>
      <c r="X60">
        <f>MAX(F60-50,0)*中国_中债国债到期收益率_1年!H60*100/365</f>
        <v>0</v>
      </c>
      <c r="Y60">
        <f>SUM($X$3:X60)</f>
        <v>0</v>
      </c>
      <c r="AA60">
        <v>-20</v>
      </c>
      <c r="AB60">
        <f>Z60*Return!F60*100</f>
        <v>0</v>
      </c>
      <c r="AC60">
        <f>AA60*Return!G60*100</f>
        <v>10.799999999999699</v>
      </c>
      <c r="AD60">
        <f>SUM($AB$3:AB60)+SUM($AC$3:AC60)</f>
        <v>686.50000000000057</v>
      </c>
      <c r="AE60" t="e">
        <f t="shared" si="8"/>
        <v>#VALUE!</v>
      </c>
      <c r="AF60" t="e">
        <f t="shared" si="9"/>
        <v>#VALUE!</v>
      </c>
      <c r="AG60" s="4" t="e">
        <f>(AF60/AF59-1)-中国_中债国债到期收益率_1年!H60%/252</f>
        <v>#VALUE!</v>
      </c>
      <c r="AH60" s="4" t="e">
        <f>MIN((AF60-MAX($AF$3:AF60))/MAX($AF$3:AF60),0)</f>
        <v>#VALUE!</v>
      </c>
    </row>
    <row r="61" spans="1:34" x14ac:dyDescent="0.25">
      <c r="A61" s="6">
        <v>44797</v>
      </c>
      <c r="B61">
        <v>10</v>
      </c>
      <c r="C61">
        <v>10</v>
      </c>
      <c r="D61">
        <v>5</v>
      </c>
      <c r="F61">
        <f t="shared" si="0"/>
        <v>25</v>
      </c>
      <c r="G61">
        <f t="shared" si="19"/>
        <v>10</v>
      </c>
      <c r="H61">
        <f t="shared" si="20"/>
        <v>50</v>
      </c>
      <c r="I61">
        <f t="shared" si="21"/>
        <v>45</v>
      </c>
      <c r="J61">
        <f t="shared" si="22"/>
        <v>0</v>
      </c>
      <c r="K61">
        <f t="shared" si="5"/>
        <v>105</v>
      </c>
      <c r="L61">
        <f>G61*Return!B61*100</f>
        <v>-0.10000000000021103</v>
      </c>
      <c r="M61">
        <f>H61*Return!C61*100</f>
        <v>-61.999999999999829</v>
      </c>
      <c r="N61">
        <f>I61*Return!D61*100</f>
        <v>-67.500000000000554</v>
      </c>
      <c r="O61">
        <f>J61*Return!E61*100</f>
        <v>0</v>
      </c>
      <c r="P61">
        <f t="shared" si="14"/>
        <v>-129.60000000000059</v>
      </c>
      <c r="Q61" t="e">
        <f>SUM($P$3:P61)</f>
        <v>#VALUE!</v>
      </c>
      <c r="R61">
        <f>B61*中国_中债国债到期收益率_1年!B60/365*100</f>
        <v>4.8139726027397263</v>
      </c>
      <c r="S61">
        <f>C61*中国_中债国债到期收益率_1年!C60/365*100</f>
        <v>6.6002739726027393</v>
      </c>
      <c r="T61">
        <f>D61*中国_中债国债到期收益率_1年!D60/365*100</f>
        <v>3.5719178082191778</v>
      </c>
      <c r="U61">
        <f>E61*中国_中债国债到期收益率_1年!E60/365*100</f>
        <v>0</v>
      </c>
      <c r="V61">
        <f t="shared" si="15"/>
        <v>14.986164383561643</v>
      </c>
      <c r="W61" t="e">
        <f>SUM($V$3:V61)</f>
        <v>#VALUE!</v>
      </c>
      <c r="X61">
        <f>MAX(F61-50,0)*中国_中债国债到期收益率_1年!H61*100/365</f>
        <v>0</v>
      </c>
      <c r="Y61">
        <f>SUM($X$3:X61)</f>
        <v>0</v>
      </c>
      <c r="AA61">
        <v>-20</v>
      </c>
      <c r="AB61">
        <f>Z61*Return!F61*100</f>
        <v>0</v>
      </c>
      <c r="AC61">
        <f>AA61*Return!G61*100</f>
        <v>38.400000000000212</v>
      </c>
      <c r="AD61">
        <f>SUM($AB$3:AB61)+SUM($AC$3:AC61)</f>
        <v>724.90000000000077</v>
      </c>
      <c r="AE61" t="e">
        <f t="shared" si="8"/>
        <v>#VALUE!</v>
      </c>
      <c r="AF61" t="e">
        <f t="shared" si="9"/>
        <v>#VALUE!</v>
      </c>
      <c r="AG61" s="4" t="e">
        <f>(AF61/AF60-1)-中国_中债国债到期收益率_1年!H61%/252</f>
        <v>#VALUE!</v>
      </c>
      <c r="AH61" s="4" t="e">
        <f>MIN((AF61-MAX($AF$3:AF61))/MAX($AF$3:AF61),0)</f>
        <v>#VALUE!</v>
      </c>
    </row>
    <row r="62" spans="1:34" x14ac:dyDescent="0.25">
      <c r="A62" s="6">
        <v>44798</v>
      </c>
      <c r="B62">
        <v>10</v>
      </c>
      <c r="C62">
        <v>10</v>
      </c>
      <c r="D62">
        <v>5</v>
      </c>
      <c r="F62">
        <f t="shared" si="0"/>
        <v>25</v>
      </c>
      <c r="G62">
        <f t="shared" si="19"/>
        <v>10</v>
      </c>
      <c r="H62">
        <f t="shared" si="20"/>
        <v>50</v>
      </c>
      <c r="I62">
        <f t="shared" si="21"/>
        <v>45</v>
      </c>
      <c r="J62">
        <f t="shared" si="22"/>
        <v>0</v>
      </c>
      <c r="K62">
        <f t="shared" si="5"/>
        <v>105</v>
      </c>
      <c r="L62">
        <f>G62*Return!B62*100</f>
        <v>7.5000000000000622</v>
      </c>
      <c r="M62">
        <f>H62*Return!C62*100</f>
        <v>-15.499999999999403</v>
      </c>
      <c r="N62">
        <f>I62*Return!D62*100</f>
        <v>-11.24999999999976</v>
      </c>
      <c r="O62">
        <f>J62*Return!E62*100</f>
        <v>0</v>
      </c>
      <c r="P62">
        <f t="shared" si="14"/>
        <v>-19.249999999999101</v>
      </c>
      <c r="Q62" t="e">
        <f>SUM($P$3:P62)</f>
        <v>#VALUE!</v>
      </c>
      <c r="R62">
        <f>B62*中国_中债国债到期收益率_1年!B61/365*100</f>
        <v>4.7934246575342474</v>
      </c>
      <c r="S62">
        <f>C62*中国_中债国债到期收益率_1年!C61/365*100</f>
        <v>6.6087671232876719</v>
      </c>
      <c r="T62">
        <f>D62*中国_中债国债到期收益率_1年!D61/365*100</f>
        <v>3.5753424657534243</v>
      </c>
      <c r="U62">
        <f>E62*中国_中债国债到期收益率_1年!E61/365*100</f>
        <v>0</v>
      </c>
      <c r="V62">
        <f t="shared" si="15"/>
        <v>14.977534246575344</v>
      </c>
      <c r="W62" t="e">
        <f>SUM($V$3:V62)</f>
        <v>#VALUE!</v>
      </c>
      <c r="X62">
        <f>MAX(F62-50,0)*中国_中债国债到期收益率_1年!H62*100/365</f>
        <v>0</v>
      </c>
      <c r="Y62">
        <f>SUM($X$3:X62)</f>
        <v>0</v>
      </c>
      <c r="AA62">
        <v>-20</v>
      </c>
      <c r="AB62">
        <f>Z62*Return!F62*100</f>
        <v>0</v>
      </c>
      <c r="AC62">
        <f>AA62*Return!G62*100</f>
        <v>0.20000000000042206</v>
      </c>
      <c r="AD62">
        <f>SUM($AB$3:AB62)+SUM($AC$3:AC62)</f>
        <v>725.10000000000116</v>
      </c>
      <c r="AE62" t="e">
        <f t="shared" si="8"/>
        <v>#VALUE!</v>
      </c>
      <c r="AF62" t="e">
        <f t="shared" si="9"/>
        <v>#VALUE!</v>
      </c>
      <c r="AG62" s="4" t="e">
        <f>(AF62/AF61-1)-中国_中债国债到期收益率_1年!H62%/252</f>
        <v>#VALUE!</v>
      </c>
      <c r="AH62" s="4" t="e">
        <f>MIN((AF62-MAX($AF$3:AF62))/MAX($AF$3:AF62),0)</f>
        <v>#VALUE!</v>
      </c>
    </row>
    <row r="63" spans="1:34" x14ac:dyDescent="0.25">
      <c r="A63" s="6">
        <v>44799</v>
      </c>
      <c r="B63">
        <v>10</v>
      </c>
      <c r="C63">
        <v>10</v>
      </c>
      <c r="D63">
        <v>5</v>
      </c>
      <c r="F63">
        <f t="shared" si="0"/>
        <v>25</v>
      </c>
      <c r="G63">
        <f t="shared" si="19"/>
        <v>10</v>
      </c>
      <c r="H63">
        <f t="shared" si="20"/>
        <v>50</v>
      </c>
      <c r="I63">
        <f t="shared" si="21"/>
        <v>45</v>
      </c>
      <c r="J63">
        <f t="shared" si="22"/>
        <v>0</v>
      </c>
      <c r="K63">
        <f t="shared" si="5"/>
        <v>105</v>
      </c>
      <c r="L63">
        <f>G63*Return!B63*100</f>
        <v>-41.599999999999859</v>
      </c>
      <c r="M63">
        <f>H63*Return!C63*100</f>
        <v>-162.9999999999998</v>
      </c>
      <c r="N63">
        <f>I63*Return!D63*100</f>
        <v>-130.4999999999996</v>
      </c>
      <c r="O63">
        <f>J63*Return!E63*100</f>
        <v>0</v>
      </c>
      <c r="P63">
        <f t="shared" ref="P63:P126" si="23">SUM(L63:O63)</f>
        <v>-335.09999999999923</v>
      </c>
      <c r="Q63" t="e">
        <f>SUM($P$3:P63)</f>
        <v>#VALUE!</v>
      </c>
      <c r="R63">
        <f>B63*中国_中债国债到期收益率_1年!B62/365*100</f>
        <v>4.9073972602739726</v>
      </c>
      <c r="S63">
        <f>C63*中国_中债国债到期收益率_1年!C62/365*100</f>
        <v>6.6980821917808218</v>
      </c>
      <c r="T63">
        <f>D63*中国_中债国债到期收益率_1年!D62/365*100</f>
        <v>3.6150684931506847</v>
      </c>
      <c r="U63">
        <f>E63*中国_中债国债到期收益率_1年!E62/365*100</f>
        <v>0</v>
      </c>
      <c r="V63">
        <f t="shared" ref="V63:V126" si="24">SUM(R63:U63)</f>
        <v>15.220547945205478</v>
      </c>
      <c r="W63" t="e">
        <f>SUM($V$3:V63)</f>
        <v>#VALUE!</v>
      </c>
      <c r="X63">
        <f>MAX(F63-50,0)*中国_中债国债到期收益率_1年!H63*100/365</f>
        <v>0</v>
      </c>
      <c r="Y63">
        <f>SUM($X$3:X63)</f>
        <v>0</v>
      </c>
      <c r="AA63">
        <v>-20</v>
      </c>
      <c r="AB63">
        <f>Z63*Return!F63*100</f>
        <v>0</v>
      </c>
      <c r="AC63">
        <f>AA63*Return!G63*100</f>
        <v>44.200000000000017</v>
      </c>
      <c r="AD63">
        <f>SUM($AB$3:AB63)+SUM($AC$3:AC63)</f>
        <v>769.30000000000121</v>
      </c>
      <c r="AE63" t="e">
        <f t="shared" si="8"/>
        <v>#VALUE!</v>
      </c>
      <c r="AF63" t="e">
        <f t="shared" si="9"/>
        <v>#VALUE!</v>
      </c>
      <c r="AG63" s="4" t="e">
        <f>(AF63/AF62-1)-中国_中债国债到期收益率_1年!H63%/252</f>
        <v>#VALUE!</v>
      </c>
      <c r="AH63" s="4" t="e">
        <f>MIN((AF63-MAX($AF$3:AF63))/MAX($AF$3:AF63),0)</f>
        <v>#VALUE!</v>
      </c>
    </row>
    <row r="64" spans="1:34" x14ac:dyDescent="0.25">
      <c r="A64" s="6">
        <v>44802</v>
      </c>
      <c r="B64">
        <v>10</v>
      </c>
      <c r="C64">
        <v>10</v>
      </c>
      <c r="D64">
        <v>5</v>
      </c>
      <c r="F64">
        <f t="shared" si="0"/>
        <v>25</v>
      </c>
      <c r="G64">
        <f t="shared" si="19"/>
        <v>10</v>
      </c>
      <c r="H64">
        <f t="shared" si="20"/>
        <v>50</v>
      </c>
      <c r="I64">
        <f t="shared" si="21"/>
        <v>45</v>
      </c>
      <c r="J64">
        <f t="shared" si="22"/>
        <v>0</v>
      </c>
      <c r="K64">
        <f t="shared" si="5"/>
        <v>105</v>
      </c>
      <c r="L64">
        <f>G64*Return!B64*100</f>
        <v>-1.0000000000001119</v>
      </c>
      <c r="M64">
        <f>H64*Return!C64*100</f>
        <v>7.5000000000002842</v>
      </c>
      <c r="N64">
        <f>I64*Return!D64*100</f>
        <v>-18.000000000000014</v>
      </c>
      <c r="O64">
        <f>J64*Return!E64*100</f>
        <v>0</v>
      </c>
      <c r="P64">
        <f t="shared" si="23"/>
        <v>-11.499999999999842</v>
      </c>
      <c r="Q64" t="e">
        <f>SUM($P$3:P64)</f>
        <v>#VALUE!</v>
      </c>
      <c r="R64">
        <f>B64*中国_中债国债到期收益率_1年!B63/365*100</f>
        <v>4.91013698630137</v>
      </c>
      <c r="S64">
        <f>C64*中国_中债国债到期收益率_1年!C63/365*100</f>
        <v>6.6939726027397253</v>
      </c>
      <c r="T64">
        <f>D64*中国_中债国债到期收益率_1年!D63/365*100</f>
        <v>3.6205479452054794</v>
      </c>
      <c r="U64">
        <f>E64*中国_中债国债到期收益率_1年!E63/365*100</f>
        <v>0</v>
      </c>
      <c r="V64">
        <f t="shared" si="24"/>
        <v>15.224657534246575</v>
      </c>
      <c r="W64" t="e">
        <f>SUM($V$3:V64)</f>
        <v>#VALUE!</v>
      </c>
      <c r="X64">
        <f>MAX(F64-50,0)*中国_中债国债到期收益率_1年!H64*100/365</f>
        <v>0</v>
      </c>
      <c r="Y64">
        <f>SUM($X$3:X64)</f>
        <v>0</v>
      </c>
      <c r="AA64">
        <v>-50</v>
      </c>
      <c r="AB64">
        <f>Z64*Return!F64*100</f>
        <v>0</v>
      </c>
      <c r="AC64">
        <f>AA64*Return!G64*100</f>
        <v>46.499999999998209</v>
      </c>
      <c r="AD64">
        <f>SUM($AB$3:AB64)+SUM($AC$3:AC64)</f>
        <v>815.79999999999939</v>
      </c>
      <c r="AE64" t="e">
        <f t="shared" si="8"/>
        <v>#VALUE!</v>
      </c>
      <c r="AF64" t="e">
        <f t="shared" si="9"/>
        <v>#VALUE!</v>
      </c>
      <c r="AG64" s="4" t="e">
        <f>(AF64/AF63-1)-中国_中债国债到期收益率_1年!H64%/252</f>
        <v>#VALUE!</v>
      </c>
      <c r="AH64" s="4" t="e">
        <f>MIN((AF64-MAX($AF$3:AF64))/MAX($AF$3:AF64),0)</f>
        <v>#VALUE!</v>
      </c>
    </row>
    <row r="65" spans="1:34" x14ac:dyDescent="0.25">
      <c r="A65" s="6">
        <v>44803</v>
      </c>
      <c r="B65">
        <v>10</v>
      </c>
      <c r="C65">
        <v>10</v>
      </c>
      <c r="D65">
        <v>5</v>
      </c>
      <c r="F65">
        <f t="shared" si="0"/>
        <v>25</v>
      </c>
      <c r="G65">
        <f t="shared" si="19"/>
        <v>10</v>
      </c>
      <c r="H65">
        <f t="shared" si="20"/>
        <v>50</v>
      </c>
      <c r="I65">
        <f t="shared" si="21"/>
        <v>45</v>
      </c>
      <c r="J65">
        <f t="shared" si="22"/>
        <v>0</v>
      </c>
      <c r="K65">
        <f t="shared" si="5"/>
        <v>105</v>
      </c>
      <c r="L65">
        <f>G65*Return!B65*100</f>
        <v>36.100000000000023</v>
      </c>
      <c r="M65">
        <f>H65*Return!C65*100</f>
        <v>151.49999999999997</v>
      </c>
      <c r="N65">
        <f>I65*Return!D65*100</f>
        <v>92.249999999998835</v>
      </c>
      <c r="O65">
        <f>J65*Return!E65*100</f>
        <v>0</v>
      </c>
      <c r="P65">
        <f t="shared" si="23"/>
        <v>279.84999999999883</v>
      </c>
      <c r="Q65" t="e">
        <f>SUM($P$3:P65)</f>
        <v>#VALUE!</v>
      </c>
      <c r="R65">
        <f>B65*中国_中债国债到期收益率_1年!B64/365*100</f>
        <v>4.811232876712328</v>
      </c>
      <c r="S65">
        <f>C65*中国_中债国债到期收益率_1年!C64/365*100</f>
        <v>6.6109589041095891</v>
      </c>
      <c r="T65">
        <f>D65*中国_中债国债到期收益率_1年!D64/365*100</f>
        <v>3.5924657534246576</v>
      </c>
      <c r="U65">
        <f>E65*中国_中债国债到期收益率_1年!E64/365*100</f>
        <v>0</v>
      </c>
      <c r="V65">
        <f t="shared" si="24"/>
        <v>15.014657534246574</v>
      </c>
      <c r="W65" t="e">
        <f>SUM($V$3:V65)</f>
        <v>#VALUE!</v>
      </c>
      <c r="X65">
        <f>MAX(F65-50,0)*中国_中债国债到期收益率_1年!H65*100/365</f>
        <v>0</v>
      </c>
      <c r="Y65">
        <f>SUM($X$3:X65)</f>
        <v>0</v>
      </c>
      <c r="AA65">
        <v>-50</v>
      </c>
      <c r="AB65">
        <f>Z65*Return!F65*100</f>
        <v>0</v>
      </c>
      <c r="AC65">
        <f>AA65*Return!G65*100</f>
        <v>-49.999999999998934</v>
      </c>
      <c r="AD65">
        <f>SUM($AB$3:AB65)+SUM($AC$3:AC65)</f>
        <v>765.80000000000041</v>
      </c>
      <c r="AE65" t="e">
        <f t="shared" si="8"/>
        <v>#VALUE!</v>
      </c>
      <c r="AF65" t="e">
        <f t="shared" si="9"/>
        <v>#VALUE!</v>
      </c>
      <c r="AG65" s="4" t="e">
        <f>(AF65/AF64-1)-中国_中债国债到期收益率_1年!H65%/252</f>
        <v>#VALUE!</v>
      </c>
      <c r="AH65" s="4" t="e">
        <f>MIN((AF65-MAX($AF$3:AF65))/MAX($AF$3:AF65),0)</f>
        <v>#VALUE!</v>
      </c>
    </row>
    <row r="66" spans="1:34" x14ac:dyDescent="0.25">
      <c r="A66" s="6">
        <v>44804</v>
      </c>
      <c r="B66">
        <v>10</v>
      </c>
      <c r="C66">
        <v>10</v>
      </c>
      <c r="D66">
        <v>5</v>
      </c>
      <c r="F66">
        <f t="shared" si="0"/>
        <v>25</v>
      </c>
      <c r="G66">
        <f t="shared" si="19"/>
        <v>10</v>
      </c>
      <c r="H66">
        <f t="shared" si="20"/>
        <v>50</v>
      </c>
      <c r="I66">
        <f t="shared" si="21"/>
        <v>45</v>
      </c>
      <c r="J66">
        <f t="shared" si="22"/>
        <v>0</v>
      </c>
      <c r="K66">
        <f t="shared" si="5"/>
        <v>105</v>
      </c>
      <c r="L66">
        <f>G66*Return!B66*100</f>
        <v>15.500000000000069</v>
      </c>
      <c r="M66">
        <f>H66*Return!C66*100</f>
        <v>29.500000000000082</v>
      </c>
      <c r="N66">
        <f>I66*Return!D66*100</f>
        <v>42.750000000000284</v>
      </c>
      <c r="O66">
        <f>J66*Return!E66*100</f>
        <v>0</v>
      </c>
      <c r="P66">
        <f t="shared" si="23"/>
        <v>87.750000000000426</v>
      </c>
      <c r="Q66" t="e">
        <f>SUM($P$3:P66)</f>
        <v>#VALUE!</v>
      </c>
      <c r="R66">
        <f>B66*中国_中债国债到期收益率_1年!B65/365*100</f>
        <v>4.7687671232876712</v>
      </c>
      <c r="S66">
        <f>C66*中国_中债国债到期收益率_1年!C65/365*100</f>
        <v>6.5947945205479446</v>
      </c>
      <c r="T66">
        <f>D66*中国_中债国债到期收益率_1年!D65/365*100</f>
        <v>3.5794520547945208</v>
      </c>
      <c r="U66">
        <f>E66*中国_中债国债到期收益率_1年!E65/365*100</f>
        <v>0</v>
      </c>
      <c r="V66">
        <f t="shared" si="24"/>
        <v>14.943013698630137</v>
      </c>
      <c r="W66" t="e">
        <f>SUM($V$3:V66)</f>
        <v>#VALUE!</v>
      </c>
      <c r="X66">
        <f>MAX(F66-50,0)*中国_中债国债到期收益率_1年!H66*100/365</f>
        <v>0</v>
      </c>
      <c r="Y66">
        <f>SUM($X$3:X66)</f>
        <v>0</v>
      </c>
      <c r="AA66">
        <v>-50</v>
      </c>
      <c r="AB66">
        <f>Z66*Return!F66*100</f>
        <v>0</v>
      </c>
      <c r="AC66">
        <f>AA66*Return!G66*100</f>
        <v>-112.49999999999983</v>
      </c>
      <c r="AD66">
        <f>SUM($AB$3:AB66)+SUM($AC$3:AC66)</f>
        <v>653.30000000000064</v>
      </c>
      <c r="AE66" t="e">
        <f t="shared" si="8"/>
        <v>#VALUE!</v>
      </c>
      <c r="AF66" t="e">
        <f t="shared" si="9"/>
        <v>#VALUE!</v>
      </c>
      <c r="AG66" s="4" t="e">
        <f>(AF66/AF65-1)-中国_中债国债到期收益率_1年!H66%/252</f>
        <v>#VALUE!</v>
      </c>
      <c r="AH66" s="4" t="e">
        <f>MIN((AF66-MAX($AF$3:AF66))/MAX($AF$3:AF66),0)</f>
        <v>#VALUE!</v>
      </c>
    </row>
    <row r="67" spans="1:34" x14ac:dyDescent="0.25">
      <c r="A67" s="6">
        <v>44805</v>
      </c>
      <c r="B67">
        <v>10</v>
      </c>
      <c r="C67">
        <v>10</v>
      </c>
      <c r="D67">
        <v>5</v>
      </c>
      <c r="F67">
        <f t="shared" ref="F67:F130" si="25">SUM(B67:E67)</f>
        <v>25</v>
      </c>
      <c r="G67">
        <f t="shared" si="19"/>
        <v>10</v>
      </c>
      <c r="H67">
        <f t="shared" si="20"/>
        <v>50</v>
      </c>
      <c r="I67">
        <f t="shared" si="21"/>
        <v>45</v>
      </c>
      <c r="J67">
        <f t="shared" si="22"/>
        <v>0</v>
      </c>
      <c r="K67">
        <f t="shared" ref="K67:K130" si="26">SUM(G67:J67)</f>
        <v>105</v>
      </c>
      <c r="L67">
        <f>G67*Return!B67*100</f>
        <v>2.7999999999999137</v>
      </c>
      <c r="M67">
        <f>H67*Return!C67*100</f>
        <v>2.9999999999996696</v>
      </c>
      <c r="N67">
        <f>I67*Return!D67*100</f>
        <v>-42.750000000000284</v>
      </c>
      <c r="O67">
        <f>J67*Return!E67*100</f>
        <v>0</v>
      </c>
      <c r="P67">
        <f t="shared" si="23"/>
        <v>-36.950000000000699</v>
      </c>
      <c r="Q67" t="e">
        <f>SUM($P$3:P67)</f>
        <v>#VALUE!</v>
      </c>
      <c r="R67">
        <f>B67*中国_中债国债到期收益率_1年!B66/365*100</f>
        <v>4.7610958904109584</v>
      </c>
      <c r="S67">
        <f>C67*中国_中债国债到期收益率_1年!C66/365*100</f>
        <v>6.5931506849315067</v>
      </c>
      <c r="T67">
        <f>D67*中国_中债国债到期收益率_1年!D66/365*100</f>
        <v>3.5924657534246576</v>
      </c>
      <c r="U67">
        <f>E67*中国_中债国债到期收益率_1年!E66/365*100</f>
        <v>0</v>
      </c>
      <c r="V67">
        <f t="shared" si="24"/>
        <v>14.946712328767124</v>
      </c>
      <c r="W67" t="e">
        <f>SUM($V$3:V67)</f>
        <v>#VALUE!</v>
      </c>
      <c r="X67">
        <f>MAX(F67-50,0)*中国_中债国债到期收益率_1年!H67*100/365</f>
        <v>0</v>
      </c>
      <c r="Y67">
        <f>SUM($X$3:X67)</f>
        <v>0</v>
      </c>
      <c r="AA67">
        <v>-50</v>
      </c>
      <c r="AB67">
        <f>Z67*Return!F67*100</f>
        <v>0</v>
      </c>
      <c r="AC67">
        <f>AA67*Return!G67*100</f>
        <v>16.499999999999293</v>
      </c>
      <c r="AD67">
        <f>SUM($AB$3:AB67)+SUM($AC$3:AC67)</f>
        <v>669.8</v>
      </c>
      <c r="AE67" t="e">
        <f t="shared" si="8"/>
        <v>#VALUE!</v>
      </c>
      <c r="AF67" t="e">
        <f t="shared" si="9"/>
        <v>#VALUE!</v>
      </c>
      <c r="AG67" s="4" t="e">
        <f>(AF67/AF66-1)-中国_中债国债到期收益率_1年!H67%/252</f>
        <v>#VALUE!</v>
      </c>
      <c r="AH67" s="4" t="e">
        <f>MIN((AF67-MAX($AF$3:AF67))/MAX($AF$3:AF67),0)</f>
        <v>#VALUE!</v>
      </c>
    </row>
    <row r="68" spans="1:34" x14ac:dyDescent="0.25">
      <c r="A68" s="6">
        <v>44806</v>
      </c>
      <c r="B68">
        <v>10</v>
      </c>
      <c r="C68">
        <v>10</v>
      </c>
      <c r="D68">
        <v>5</v>
      </c>
      <c r="F68">
        <f t="shared" si="25"/>
        <v>25</v>
      </c>
      <c r="G68">
        <f t="shared" si="19"/>
        <v>10</v>
      </c>
      <c r="H68">
        <f t="shared" si="20"/>
        <v>50</v>
      </c>
      <c r="I68">
        <f t="shared" si="21"/>
        <v>45</v>
      </c>
      <c r="J68">
        <f t="shared" si="22"/>
        <v>0</v>
      </c>
      <c r="K68">
        <f t="shared" si="26"/>
        <v>105</v>
      </c>
      <c r="L68">
        <f>G68*Return!B68*100</f>
        <v>13.500000000000068</v>
      </c>
      <c r="M68">
        <f>H68*Return!C68*100</f>
        <v>49.999999999998934</v>
      </c>
      <c r="N68">
        <f>I68*Return!D68*100</f>
        <v>45.000000000001037</v>
      </c>
      <c r="O68">
        <f>J68*Return!E68*100</f>
        <v>0</v>
      </c>
      <c r="P68">
        <f t="shared" si="23"/>
        <v>108.50000000000004</v>
      </c>
      <c r="Q68" t="e">
        <f>SUM($P$3:P68)</f>
        <v>#VALUE!</v>
      </c>
      <c r="R68">
        <f>B68*中国_中债国债到期收益率_1年!B67/365*100</f>
        <v>4.7241095890410953</v>
      </c>
      <c r="S68">
        <f>C68*中国_中债国债到期收益率_1年!C67/365*100</f>
        <v>6.5657534246575349</v>
      </c>
      <c r="T68">
        <f>D68*中国_中债国债到期收益率_1年!D67/365*100</f>
        <v>3.5787671232876712</v>
      </c>
      <c r="U68">
        <f>E68*中国_中债国债到期收益率_1年!E67/365*100</f>
        <v>0</v>
      </c>
      <c r="V68">
        <f t="shared" si="24"/>
        <v>14.868630136986301</v>
      </c>
      <c r="W68" t="e">
        <f>SUM($V$3:V68)</f>
        <v>#VALUE!</v>
      </c>
      <c r="X68">
        <f>MAX(F68-50,0)*中国_中债国债到期收益率_1年!H68*100/365</f>
        <v>0</v>
      </c>
      <c r="Y68">
        <f>SUM($X$3:X68)</f>
        <v>0</v>
      </c>
      <c r="AA68">
        <v>-50</v>
      </c>
      <c r="AB68">
        <f>Z68*Return!F68*100</f>
        <v>0</v>
      </c>
      <c r="AC68">
        <f>AA68*Return!G68*100</f>
        <v>-46.999999999999261</v>
      </c>
      <c r="AD68">
        <f>SUM($AB$3:AB68)+SUM($AC$3:AC68)</f>
        <v>622.80000000000064</v>
      </c>
      <c r="AE68" t="e">
        <f t="shared" ref="AE68:AE131" si="27">Q68+W68+AD68-Y68</f>
        <v>#VALUE!</v>
      </c>
      <c r="AF68" t="e">
        <f t="shared" ref="AF68:AF131" si="28">AE68/$AI$1+1</f>
        <v>#VALUE!</v>
      </c>
      <c r="AG68" s="4" t="e">
        <f>(AF68/AF67-1)-中国_中债国债到期收益率_1年!H68%/252</f>
        <v>#VALUE!</v>
      </c>
      <c r="AH68" s="4" t="e">
        <f>MIN((AF68-MAX($AF$3:AF68))/MAX($AF$3:AF68),0)</f>
        <v>#VALUE!</v>
      </c>
    </row>
    <row r="69" spans="1:34" x14ac:dyDescent="0.25">
      <c r="A69" s="6">
        <v>44809</v>
      </c>
      <c r="B69">
        <v>10</v>
      </c>
      <c r="C69">
        <v>10</v>
      </c>
      <c r="F69">
        <f t="shared" si="25"/>
        <v>20</v>
      </c>
      <c r="G69">
        <f t="shared" si="19"/>
        <v>10</v>
      </c>
      <c r="H69">
        <f t="shared" si="20"/>
        <v>50</v>
      </c>
      <c r="I69">
        <f t="shared" si="21"/>
        <v>0</v>
      </c>
      <c r="J69">
        <f t="shared" si="22"/>
        <v>0</v>
      </c>
      <c r="K69">
        <f t="shared" si="26"/>
        <v>60</v>
      </c>
      <c r="L69">
        <f>G69*Return!B69*100</f>
        <v>4.9999999999998934</v>
      </c>
      <c r="M69">
        <f>H69*Return!C69*100</f>
        <v>-29.500000000000082</v>
      </c>
      <c r="N69">
        <f>I69*Return!D69*100</f>
        <v>0</v>
      </c>
      <c r="O69">
        <f>J69*Return!E69*100</f>
        <v>0</v>
      </c>
      <c r="P69">
        <f t="shared" si="23"/>
        <v>-24.500000000000188</v>
      </c>
      <c r="Q69" t="e">
        <f>SUM($P$3:P69)</f>
        <v>#VALUE!</v>
      </c>
      <c r="R69">
        <f>B69*中国_中债国债到期收益率_1年!B68/365*100</f>
        <v>4.7104109589041094</v>
      </c>
      <c r="S69">
        <f>C69*中国_中债国债到期收益率_1年!C68/365*100</f>
        <v>6.5819178082191785</v>
      </c>
      <c r="T69">
        <f>D69*中国_中债国债到期收益率_1年!D68/365*100</f>
        <v>0</v>
      </c>
      <c r="U69">
        <f>E69*中国_中债国债到期收益率_1年!E68/365*100</f>
        <v>0</v>
      </c>
      <c r="V69">
        <f t="shared" si="24"/>
        <v>11.292328767123287</v>
      </c>
      <c r="W69" t="e">
        <f>SUM($V$3:V69)</f>
        <v>#VALUE!</v>
      </c>
      <c r="X69">
        <f>MAX(F69-50,0)*中国_中债国债到期收益率_1年!H69*100/365</f>
        <v>0</v>
      </c>
      <c r="Y69">
        <f>SUM($X$3:X69)</f>
        <v>0</v>
      </c>
      <c r="AA69">
        <v>-50</v>
      </c>
      <c r="AB69">
        <f>Z69*Return!F69*100</f>
        <v>0</v>
      </c>
      <c r="AC69">
        <f>AA69*Return!G69*100</f>
        <v>-64.500000000000668</v>
      </c>
      <c r="AD69">
        <f>SUM($AB$3:AB69)+SUM($AC$3:AC69)</f>
        <v>558.29999999999995</v>
      </c>
      <c r="AE69" t="e">
        <f t="shared" si="27"/>
        <v>#VALUE!</v>
      </c>
      <c r="AF69" t="e">
        <f t="shared" si="28"/>
        <v>#VALUE!</v>
      </c>
      <c r="AG69" s="4" t="e">
        <f>(AF69/AF68-1)-中国_中债国债到期收益率_1年!H69%/252</f>
        <v>#VALUE!</v>
      </c>
      <c r="AH69" s="4" t="e">
        <f>MIN((AF69-MAX($AF$3:AF69))/MAX($AF$3:AF69),0)</f>
        <v>#VALUE!</v>
      </c>
    </row>
    <row r="70" spans="1:34" x14ac:dyDescent="0.25">
      <c r="A70" s="6">
        <v>44810</v>
      </c>
      <c r="B70">
        <v>10</v>
      </c>
      <c r="C70">
        <v>10</v>
      </c>
      <c r="F70">
        <f t="shared" si="25"/>
        <v>20</v>
      </c>
      <c r="G70">
        <f t="shared" si="19"/>
        <v>10</v>
      </c>
      <c r="H70">
        <f t="shared" si="20"/>
        <v>50</v>
      </c>
      <c r="I70">
        <f t="shared" si="21"/>
        <v>0</v>
      </c>
      <c r="J70">
        <f t="shared" si="22"/>
        <v>0</v>
      </c>
      <c r="K70">
        <f t="shared" si="26"/>
        <v>60</v>
      </c>
      <c r="L70">
        <f>G70*Return!B70*100</f>
        <v>6.0999999999999943</v>
      </c>
      <c r="M70">
        <f>H70*Return!C70*100</f>
        <v>71.000000000001066</v>
      </c>
      <c r="N70">
        <f>I70*Return!D70*100</f>
        <v>0</v>
      </c>
      <c r="O70">
        <f>J70*Return!E70*100</f>
        <v>0</v>
      </c>
      <c r="P70">
        <f t="shared" si="23"/>
        <v>77.10000000000106</v>
      </c>
      <c r="Q70" t="e">
        <f>SUM($P$3:P70)</f>
        <v>#VALUE!</v>
      </c>
      <c r="R70">
        <f>B70*中国_中债国债到期收益率_1年!B69/365*100</f>
        <v>4.6936986301369865</v>
      </c>
      <c r="S70">
        <f>C70*中国_中债国债到期收益率_1年!C69/365*100</f>
        <v>6.5430136986301362</v>
      </c>
      <c r="T70">
        <f>D70*中国_中债国债到期收益率_1年!D69/365*100</f>
        <v>0</v>
      </c>
      <c r="U70">
        <f>E70*中国_中债国债到期收益率_1年!E69/365*100</f>
        <v>0</v>
      </c>
      <c r="V70">
        <f t="shared" si="24"/>
        <v>11.236712328767123</v>
      </c>
      <c r="W70" t="e">
        <f>SUM($V$3:V70)</f>
        <v>#VALUE!</v>
      </c>
      <c r="X70">
        <f>MAX(F70-50,0)*中国_中债国债到期收益率_1年!H70*100/365</f>
        <v>0</v>
      </c>
      <c r="Y70">
        <f>SUM($X$3:X70)</f>
        <v>0</v>
      </c>
      <c r="AA70">
        <v>-50</v>
      </c>
      <c r="AB70">
        <f>Z70*Return!F70*100</f>
        <v>0</v>
      </c>
      <c r="AC70">
        <f>AA70*Return!G70*100</f>
        <v>-24.999999999999467</v>
      </c>
      <c r="AD70">
        <f>SUM($AB$3:AB70)+SUM($AC$3:AC70)</f>
        <v>533.30000000000052</v>
      </c>
      <c r="AE70" t="e">
        <f t="shared" si="27"/>
        <v>#VALUE!</v>
      </c>
      <c r="AF70" t="e">
        <f t="shared" si="28"/>
        <v>#VALUE!</v>
      </c>
      <c r="AG70" s="4" t="e">
        <f>(AF70/AF69-1)-中国_中债国债到期收益率_1年!H70%/252</f>
        <v>#VALUE!</v>
      </c>
      <c r="AH70" s="4" t="e">
        <f>MIN((AF70-MAX($AF$3:AF70))/MAX($AF$3:AF70),0)</f>
        <v>#VALUE!</v>
      </c>
    </row>
    <row r="71" spans="1:34" x14ac:dyDescent="0.25">
      <c r="A71" s="6">
        <v>44811</v>
      </c>
      <c r="B71">
        <v>10</v>
      </c>
      <c r="C71">
        <v>10</v>
      </c>
      <c r="F71">
        <f t="shared" si="25"/>
        <v>20</v>
      </c>
      <c r="G71">
        <f t="shared" si="19"/>
        <v>10</v>
      </c>
      <c r="H71">
        <f t="shared" si="20"/>
        <v>50</v>
      </c>
      <c r="I71">
        <f t="shared" si="21"/>
        <v>0</v>
      </c>
      <c r="J71">
        <f t="shared" si="22"/>
        <v>0</v>
      </c>
      <c r="K71">
        <f t="shared" si="26"/>
        <v>60</v>
      </c>
      <c r="L71">
        <f>G71*Return!B71*100</f>
        <v>0.50000000000016698</v>
      </c>
      <c r="M71">
        <f>H71*Return!C71*100</f>
        <v>23.499999999998522</v>
      </c>
      <c r="N71">
        <f>I71*Return!D71*100</f>
        <v>0</v>
      </c>
      <c r="O71">
        <f>J71*Return!E71*100</f>
        <v>0</v>
      </c>
      <c r="P71">
        <f t="shared" si="23"/>
        <v>23.999999999998689</v>
      </c>
      <c r="Q71" t="e">
        <f>SUM($P$3:P71)</f>
        <v>#VALUE!</v>
      </c>
      <c r="R71">
        <f>B71*中国_中债国债到期收益率_1年!B70/365*100</f>
        <v>4.6923287671232874</v>
      </c>
      <c r="S71">
        <f>C71*中国_中债国债到期收益率_1年!C70/365*100</f>
        <v>6.5301369863013701</v>
      </c>
      <c r="T71">
        <f>D71*中国_中债国债到期收益率_1年!D70/365*100</f>
        <v>0</v>
      </c>
      <c r="U71">
        <f>E71*中国_中债国债到期收益率_1年!E70/365*100</f>
        <v>0</v>
      </c>
      <c r="V71">
        <f t="shared" si="24"/>
        <v>11.222465753424657</v>
      </c>
      <c r="W71" t="e">
        <f>SUM($V$3:V71)</f>
        <v>#VALUE!</v>
      </c>
      <c r="X71">
        <f>MAX(F71-50,0)*中国_中债国债到期收益率_1年!H71*100/365</f>
        <v>0</v>
      </c>
      <c r="Y71">
        <f>SUM($X$3:X71)</f>
        <v>0</v>
      </c>
      <c r="AA71">
        <v>-50</v>
      </c>
      <c r="AB71">
        <f>Z71*Return!F71*100</f>
        <v>0</v>
      </c>
      <c r="AC71">
        <f>AA71*Return!G71*100</f>
        <v>-14.000000000000679</v>
      </c>
      <c r="AD71">
        <f>SUM($AB$3:AB71)+SUM($AC$3:AC71)</f>
        <v>519.29999999999984</v>
      </c>
      <c r="AE71" t="e">
        <f t="shared" si="27"/>
        <v>#VALUE!</v>
      </c>
      <c r="AF71" t="e">
        <f t="shared" si="28"/>
        <v>#VALUE!</v>
      </c>
      <c r="AG71" s="4" t="e">
        <f>(AF71/AF70-1)-中国_中债国债到期收益率_1年!H71%/252</f>
        <v>#VALUE!</v>
      </c>
      <c r="AH71" s="4" t="e">
        <f>MIN((AF71-MAX($AF$3:AF71))/MAX($AF$3:AF71),0)</f>
        <v>#VALUE!</v>
      </c>
    </row>
    <row r="72" spans="1:34" x14ac:dyDescent="0.25">
      <c r="A72" s="6">
        <v>44812</v>
      </c>
      <c r="B72">
        <v>10</v>
      </c>
      <c r="C72">
        <v>10</v>
      </c>
      <c r="F72">
        <f t="shared" si="25"/>
        <v>20</v>
      </c>
      <c r="G72">
        <f t="shared" si="19"/>
        <v>10</v>
      </c>
      <c r="H72">
        <f t="shared" si="20"/>
        <v>50</v>
      </c>
      <c r="I72">
        <f t="shared" si="21"/>
        <v>0</v>
      </c>
      <c r="J72">
        <f t="shared" si="22"/>
        <v>0</v>
      </c>
      <c r="K72">
        <f t="shared" si="26"/>
        <v>60</v>
      </c>
      <c r="L72">
        <f>G72*Return!B72*100</f>
        <v>-23.800000000000043</v>
      </c>
      <c r="M72">
        <f>H72*Return!C72*100</f>
        <v>-39.499999999998977</v>
      </c>
      <c r="N72">
        <f>I72*Return!D72*100</f>
        <v>0</v>
      </c>
      <c r="O72">
        <f>J72*Return!E72*100</f>
        <v>0</v>
      </c>
      <c r="P72">
        <f t="shared" si="23"/>
        <v>-63.299999999999017</v>
      </c>
      <c r="Q72" t="e">
        <f>SUM($P$3:P72)</f>
        <v>#VALUE!</v>
      </c>
      <c r="R72">
        <f>B72*中国_中债国债到期收益率_1年!B71/365*100</f>
        <v>4.7575342465753421</v>
      </c>
      <c r="S72">
        <f>C72*中国_中债国债到期收益率_1年!C71/365*100</f>
        <v>6.5517808219178093</v>
      </c>
      <c r="T72">
        <f>D72*中国_中债国债到期收益率_1年!D71/365*100</f>
        <v>0</v>
      </c>
      <c r="U72">
        <f>E72*中国_中债国债到期收益率_1年!E71/365*100</f>
        <v>0</v>
      </c>
      <c r="V72">
        <f t="shared" si="24"/>
        <v>11.309315068493152</v>
      </c>
      <c r="W72" t="e">
        <f>SUM($V$3:V72)</f>
        <v>#VALUE!</v>
      </c>
      <c r="X72">
        <f>MAX(F72-50,0)*中国_中债国债到期收益率_1年!H72*100/365</f>
        <v>0</v>
      </c>
      <c r="Y72">
        <f>SUM($X$3:X72)</f>
        <v>0</v>
      </c>
      <c r="AA72">
        <v>-50</v>
      </c>
      <c r="AB72">
        <f>Z72*Return!F72*100</f>
        <v>0</v>
      </c>
      <c r="AC72">
        <f>AA72*Return!G72*100</f>
        <v>22.500000000000853</v>
      </c>
      <c r="AD72">
        <f>SUM($AB$3:AB72)+SUM($AC$3:AC72)</f>
        <v>541.80000000000064</v>
      </c>
      <c r="AE72" t="e">
        <f t="shared" si="27"/>
        <v>#VALUE!</v>
      </c>
      <c r="AF72" t="e">
        <f t="shared" si="28"/>
        <v>#VALUE!</v>
      </c>
      <c r="AG72" s="4" t="e">
        <f>(AF72/AF71-1)-中国_中债国债到期收益率_1年!H72%/252</f>
        <v>#VALUE!</v>
      </c>
      <c r="AH72" s="4" t="e">
        <f>MIN((AF72-MAX($AF$3:AF72))/MAX($AF$3:AF72),0)</f>
        <v>#VALUE!</v>
      </c>
    </row>
    <row r="73" spans="1:34" x14ac:dyDescent="0.25">
      <c r="A73" s="6">
        <v>44813</v>
      </c>
      <c r="B73">
        <v>10</v>
      </c>
      <c r="C73">
        <v>10</v>
      </c>
      <c r="F73">
        <f t="shared" si="25"/>
        <v>20</v>
      </c>
      <c r="G73">
        <f t="shared" si="19"/>
        <v>10</v>
      </c>
      <c r="H73">
        <f t="shared" si="20"/>
        <v>50</v>
      </c>
      <c r="I73">
        <f t="shared" si="21"/>
        <v>0</v>
      </c>
      <c r="J73">
        <f t="shared" si="22"/>
        <v>0</v>
      </c>
      <c r="K73">
        <f t="shared" si="26"/>
        <v>60</v>
      </c>
      <c r="L73">
        <f>G73*Return!B73*100</f>
        <v>-12.500000000000178</v>
      </c>
      <c r="M73">
        <f>H73*Return!C73*100</f>
        <v>-36.000000000000476</v>
      </c>
      <c r="N73">
        <f>I73*Return!D73*100</f>
        <v>0</v>
      </c>
      <c r="O73">
        <f>J73*Return!E73*100</f>
        <v>0</v>
      </c>
      <c r="P73">
        <f t="shared" si="23"/>
        <v>-48.500000000000654</v>
      </c>
      <c r="Q73" t="e">
        <f>SUM($P$3:P73)</f>
        <v>#VALUE!</v>
      </c>
      <c r="R73">
        <f>B73*中国_中债国债到期收益率_1年!B72/365*100</f>
        <v>4.7917808219178086</v>
      </c>
      <c r="S73">
        <f>C73*中国_中债国债到期收益率_1年!C72/365*100</f>
        <v>6.5715068493150692</v>
      </c>
      <c r="T73">
        <f>D73*中国_中债国债到期收益率_1年!D72/365*100</f>
        <v>0</v>
      </c>
      <c r="U73">
        <f>E73*中国_中债国债到期收益率_1年!E72/365*100</f>
        <v>0</v>
      </c>
      <c r="V73">
        <f t="shared" si="24"/>
        <v>11.363287671232879</v>
      </c>
      <c r="W73" t="e">
        <f>SUM($V$3:V73)</f>
        <v>#VALUE!</v>
      </c>
      <c r="X73">
        <f>MAX(F73-50,0)*中国_中债国债到期收益率_1年!H73*100/365</f>
        <v>0</v>
      </c>
      <c r="Y73">
        <f>SUM($X$3:X73)</f>
        <v>0</v>
      </c>
      <c r="AA73">
        <v>-50</v>
      </c>
      <c r="AB73">
        <f>Z73*Return!F73*100</f>
        <v>0</v>
      </c>
      <c r="AC73">
        <f>AA73*Return!G73*100</f>
        <v>66.999999999999289</v>
      </c>
      <c r="AD73">
        <f>SUM($AB$3:AB73)+SUM($AC$3:AC73)</f>
        <v>608.79999999999995</v>
      </c>
      <c r="AE73" t="e">
        <f t="shared" si="27"/>
        <v>#VALUE!</v>
      </c>
      <c r="AF73" t="e">
        <f t="shared" si="28"/>
        <v>#VALUE!</v>
      </c>
      <c r="AG73" s="4" t="e">
        <f>(AF73/AF72-1)-中国_中债国债到期收益率_1年!H73%/252</f>
        <v>#VALUE!</v>
      </c>
      <c r="AH73" s="4" t="e">
        <f>MIN((AF73-MAX($AF$3:AF73))/MAX($AF$3:AF73),0)</f>
        <v>#VALUE!</v>
      </c>
    </row>
    <row r="74" spans="1:34" x14ac:dyDescent="0.25">
      <c r="A74" s="6">
        <v>44817</v>
      </c>
      <c r="B74">
        <v>10</v>
      </c>
      <c r="C74">
        <v>10</v>
      </c>
      <c r="F74">
        <f t="shared" si="25"/>
        <v>20</v>
      </c>
      <c r="G74">
        <f t="shared" si="19"/>
        <v>10</v>
      </c>
      <c r="H74">
        <f t="shared" si="20"/>
        <v>50</v>
      </c>
      <c r="I74">
        <f t="shared" si="21"/>
        <v>0</v>
      </c>
      <c r="J74">
        <f t="shared" si="22"/>
        <v>0</v>
      </c>
      <c r="K74">
        <f t="shared" si="26"/>
        <v>60</v>
      </c>
      <c r="L74">
        <f>G74*Return!B74*100</f>
        <v>-10.699999999999932</v>
      </c>
      <c r="M74">
        <f>H74*Return!C74*100</f>
        <v>-99.000000000000199</v>
      </c>
      <c r="N74">
        <f>I74*Return!D74*100</f>
        <v>0</v>
      </c>
      <c r="O74">
        <f>J74*Return!E74*100</f>
        <v>0</v>
      </c>
      <c r="P74">
        <f t="shared" si="23"/>
        <v>-109.70000000000013</v>
      </c>
      <c r="Q74" t="e">
        <f>SUM($P$3:P74)</f>
        <v>#VALUE!</v>
      </c>
      <c r="R74">
        <f>B74*中国_中债国债到期收益率_1年!B73/365*100</f>
        <v>4.8210958904109589</v>
      </c>
      <c r="S74">
        <f>C74*中国_中债国债到期收益率_1年!C73/365*100</f>
        <v>6.6257534246575354</v>
      </c>
      <c r="T74">
        <f>D74*中国_中债国债到期收益率_1年!D73/365*100</f>
        <v>0</v>
      </c>
      <c r="U74">
        <f>E74*中国_中债国债到期收益率_1年!E73/365*100</f>
        <v>0</v>
      </c>
      <c r="V74">
        <f t="shared" si="24"/>
        <v>11.446849315068494</v>
      </c>
      <c r="W74" t="e">
        <f>SUM($V$3:V74)</f>
        <v>#VALUE!</v>
      </c>
      <c r="X74">
        <f>MAX(F74-50,0)*中国_中债国债到期收益率_1年!H74*100/365</f>
        <v>0</v>
      </c>
      <c r="Y74">
        <f>SUM($X$3:X74)</f>
        <v>0</v>
      </c>
      <c r="AA74">
        <v>-50</v>
      </c>
      <c r="AB74">
        <f>Z74*Return!F74*100</f>
        <v>0</v>
      </c>
      <c r="AC74">
        <f>AA74*Return!G74*100</f>
        <v>40.000000000000036</v>
      </c>
      <c r="AD74">
        <f>SUM($AB$3:AB74)+SUM($AC$3:AC74)</f>
        <v>648.79999999999995</v>
      </c>
      <c r="AE74" t="e">
        <f t="shared" si="27"/>
        <v>#VALUE!</v>
      </c>
      <c r="AF74" t="e">
        <f t="shared" si="28"/>
        <v>#VALUE!</v>
      </c>
      <c r="AG74" s="4" t="e">
        <f>(AF74/AF73-1)-中国_中债国债到期收益率_1年!H74%/252</f>
        <v>#VALUE!</v>
      </c>
      <c r="AH74" s="4" t="e">
        <f>MIN((AF74-MAX($AF$3:AF74))/MAX($AF$3:AF74),0)</f>
        <v>#VALUE!</v>
      </c>
    </row>
    <row r="75" spans="1:34" x14ac:dyDescent="0.25">
      <c r="A75" s="6">
        <v>44818</v>
      </c>
      <c r="B75">
        <v>20</v>
      </c>
      <c r="C75">
        <v>10</v>
      </c>
      <c r="F75">
        <f t="shared" si="25"/>
        <v>30</v>
      </c>
      <c r="G75">
        <f t="shared" si="19"/>
        <v>20</v>
      </c>
      <c r="H75">
        <f t="shared" si="20"/>
        <v>50</v>
      </c>
      <c r="I75">
        <f t="shared" si="21"/>
        <v>0</v>
      </c>
      <c r="J75">
        <f t="shared" si="22"/>
        <v>0</v>
      </c>
      <c r="K75">
        <f t="shared" si="26"/>
        <v>70</v>
      </c>
      <c r="L75">
        <f>G75*Return!B75*100</f>
        <v>-20.000000000000018</v>
      </c>
      <c r="M75">
        <f>H75*Return!C75*100</f>
        <v>-59.499999999998998</v>
      </c>
      <c r="N75">
        <f>I75*Return!D75*100</f>
        <v>0</v>
      </c>
      <c r="O75">
        <f>J75*Return!E75*100</f>
        <v>0</v>
      </c>
      <c r="P75">
        <f t="shared" si="23"/>
        <v>-79.499999999999019</v>
      </c>
      <c r="Q75" t="e">
        <f>SUM($P$3:P75)</f>
        <v>#VALUE!</v>
      </c>
      <c r="R75">
        <f>B75*中国_中债国债到期收益率_1年!B74/365*100</f>
        <v>9.6969863013698632</v>
      </c>
      <c r="S75">
        <f>C75*中国_中债国债到期收益率_1年!C74/365*100</f>
        <v>6.6583561643835605</v>
      </c>
      <c r="T75">
        <f>D75*中国_中债国债到期收益率_1年!D74/365*100</f>
        <v>0</v>
      </c>
      <c r="U75">
        <f>E75*中国_中债国债到期收益率_1年!E74/365*100</f>
        <v>0</v>
      </c>
      <c r="V75">
        <f t="shared" si="24"/>
        <v>16.355342465753424</v>
      </c>
      <c r="W75" t="e">
        <f>SUM($V$3:V75)</f>
        <v>#VALUE!</v>
      </c>
      <c r="X75">
        <f>MAX(F75-50,0)*中国_中债国债到期收益率_1年!H75*100/365</f>
        <v>0</v>
      </c>
      <c r="Y75">
        <f>SUM($X$3:X75)</f>
        <v>0</v>
      </c>
      <c r="AA75">
        <v>-50</v>
      </c>
      <c r="AB75">
        <f>Z75*Return!F75*100</f>
        <v>0</v>
      </c>
      <c r="AC75">
        <f>AA75*Return!G75*100</f>
        <v>77.000000000000398</v>
      </c>
      <c r="AD75">
        <f>SUM($AB$3:AB75)+SUM($AC$3:AC75)</f>
        <v>725.80000000000041</v>
      </c>
      <c r="AE75" t="e">
        <f t="shared" si="27"/>
        <v>#VALUE!</v>
      </c>
      <c r="AF75" t="e">
        <f t="shared" si="28"/>
        <v>#VALUE!</v>
      </c>
      <c r="AG75" s="4" t="e">
        <f>(AF75/AF74-1)-中国_中债国债到期收益率_1年!H75%/252</f>
        <v>#VALUE!</v>
      </c>
      <c r="AH75" s="4" t="e">
        <f>MIN((AF75-MAX($AF$3:AF75))/MAX($AF$3:AF75),0)</f>
        <v>#VALUE!</v>
      </c>
    </row>
    <row r="76" spans="1:34" x14ac:dyDescent="0.25">
      <c r="A76" s="6">
        <v>44819</v>
      </c>
      <c r="B76">
        <v>20</v>
      </c>
      <c r="C76">
        <v>10</v>
      </c>
      <c r="F76">
        <f t="shared" si="25"/>
        <v>30</v>
      </c>
      <c r="G76">
        <f t="shared" si="19"/>
        <v>20</v>
      </c>
      <c r="H76">
        <f t="shared" si="20"/>
        <v>50</v>
      </c>
      <c r="I76">
        <f t="shared" si="21"/>
        <v>0</v>
      </c>
      <c r="J76">
        <f t="shared" si="22"/>
        <v>0</v>
      </c>
      <c r="K76">
        <f t="shared" si="26"/>
        <v>70</v>
      </c>
      <c r="L76">
        <f>G76*Return!B76*100</f>
        <v>-63.600000000000101</v>
      </c>
      <c r="M76">
        <f>H76*Return!C76*100</f>
        <v>-98.000000000000313</v>
      </c>
      <c r="N76">
        <f>I76*Return!D76*100</f>
        <v>0</v>
      </c>
      <c r="O76">
        <f>J76*Return!E76*100</f>
        <v>0</v>
      </c>
      <c r="P76">
        <f t="shared" si="23"/>
        <v>-161.60000000000042</v>
      </c>
      <c r="Q76" t="e">
        <f>SUM($P$3:P76)</f>
        <v>#VALUE!</v>
      </c>
      <c r="R76">
        <f>B76*中国_中债国债到期收益率_1年!B75/365*100</f>
        <v>9.8712328767123303</v>
      </c>
      <c r="S76">
        <f>C76*中国_中债国债到期收益率_1年!C75/365*100</f>
        <v>6.7120547945205473</v>
      </c>
      <c r="T76">
        <f>D76*中国_中债国债到期收益率_1年!D75/365*100</f>
        <v>0</v>
      </c>
      <c r="U76">
        <f>E76*中国_中债国债到期收益率_1年!E75/365*100</f>
        <v>0</v>
      </c>
      <c r="V76">
        <f t="shared" si="24"/>
        <v>16.583287671232878</v>
      </c>
      <c r="W76" t="e">
        <f>SUM($V$3:V76)</f>
        <v>#VALUE!</v>
      </c>
      <c r="X76">
        <f>MAX(F76-50,0)*中国_中债国债到期收益率_1年!H76*100/365</f>
        <v>0</v>
      </c>
      <c r="Y76">
        <f>SUM($X$3:X76)</f>
        <v>0</v>
      </c>
      <c r="AA76">
        <v>-50</v>
      </c>
      <c r="AB76">
        <f>Z76*Return!F76*100</f>
        <v>0</v>
      </c>
      <c r="AC76">
        <f>AA76*Return!G76*100</f>
        <v>71.000000000001066</v>
      </c>
      <c r="AD76">
        <f>SUM($AB$3:AB76)+SUM($AC$3:AC76)</f>
        <v>796.80000000000143</v>
      </c>
      <c r="AE76" t="e">
        <f t="shared" si="27"/>
        <v>#VALUE!</v>
      </c>
      <c r="AF76" t="e">
        <f t="shared" si="28"/>
        <v>#VALUE!</v>
      </c>
      <c r="AG76" s="4" t="e">
        <f>(AF76/AF75-1)-中国_中债国债到期收益率_1年!H76%/252</f>
        <v>#VALUE!</v>
      </c>
      <c r="AH76" s="4" t="e">
        <f>MIN((AF76-MAX($AF$3:AF76))/MAX($AF$3:AF76),0)</f>
        <v>#VALUE!</v>
      </c>
    </row>
    <row r="77" spans="1:34" x14ac:dyDescent="0.25">
      <c r="A77" s="6">
        <v>44820</v>
      </c>
      <c r="B77">
        <v>20</v>
      </c>
      <c r="C77">
        <v>10</v>
      </c>
      <c r="F77">
        <f t="shared" si="25"/>
        <v>30</v>
      </c>
      <c r="G77">
        <f t="shared" si="19"/>
        <v>20</v>
      </c>
      <c r="H77">
        <f t="shared" si="20"/>
        <v>50</v>
      </c>
      <c r="I77">
        <f t="shared" si="21"/>
        <v>0</v>
      </c>
      <c r="J77">
        <f t="shared" si="22"/>
        <v>0</v>
      </c>
      <c r="K77">
        <f t="shared" si="26"/>
        <v>70</v>
      </c>
      <c r="L77">
        <f>G77*Return!B77*100</f>
        <v>-8.599999999999941</v>
      </c>
      <c r="M77">
        <f>H77*Return!C77*100</f>
        <v>-23.500000000000743</v>
      </c>
      <c r="N77">
        <f>I77*Return!D77*100</f>
        <v>0</v>
      </c>
      <c r="O77">
        <f>J77*Return!E77*100</f>
        <v>0</v>
      </c>
      <c r="P77">
        <f t="shared" si="23"/>
        <v>-32.100000000000684</v>
      </c>
      <c r="Q77" t="e">
        <f>SUM($P$3:P77)</f>
        <v>#VALUE!</v>
      </c>
      <c r="R77">
        <f>B77*中国_中债国债到期收益率_1年!B76/365*100</f>
        <v>9.8947945205479453</v>
      </c>
      <c r="S77">
        <f>C77*中国_中债国债到期收益率_1年!C76/365*100</f>
        <v>6.7249315068493143</v>
      </c>
      <c r="T77">
        <f>D77*中国_中债国债到期收益率_1年!D76/365*100</f>
        <v>0</v>
      </c>
      <c r="U77">
        <f>E77*中国_中债国债到期收益率_1年!E76/365*100</f>
        <v>0</v>
      </c>
      <c r="V77">
        <f t="shared" si="24"/>
        <v>16.61972602739726</v>
      </c>
      <c r="W77" t="e">
        <f>SUM($V$3:V77)</f>
        <v>#VALUE!</v>
      </c>
      <c r="X77">
        <f>MAX(F77-50,0)*中国_中债国债到期收益率_1年!H77*100/365</f>
        <v>0</v>
      </c>
      <c r="Y77">
        <f>SUM($X$3:X77)</f>
        <v>0</v>
      </c>
      <c r="AA77">
        <v>-50</v>
      </c>
      <c r="AB77">
        <f>Z77*Return!F77*100</f>
        <v>0</v>
      </c>
      <c r="AC77">
        <f>AA77*Return!G77*100</f>
        <v>11.499999999999844</v>
      </c>
      <c r="AD77">
        <f>SUM($AB$3:AB77)+SUM($AC$3:AC77)</f>
        <v>808.30000000000132</v>
      </c>
      <c r="AE77" t="e">
        <f t="shared" si="27"/>
        <v>#VALUE!</v>
      </c>
      <c r="AF77" t="e">
        <f t="shared" si="28"/>
        <v>#VALUE!</v>
      </c>
      <c r="AG77" s="4" t="e">
        <f>(AF77/AF76-1)-中国_中债国债到期收益率_1年!H77%/252</f>
        <v>#VALUE!</v>
      </c>
      <c r="AH77" s="4" t="e">
        <f>MIN((AF77-MAX($AF$3:AF77))/MAX($AF$3:AF77),0)</f>
        <v>#VALUE!</v>
      </c>
    </row>
    <row r="78" spans="1:34" x14ac:dyDescent="0.25">
      <c r="A78" s="6">
        <v>44823</v>
      </c>
      <c r="B78">
        <v>20</v>
      </c>
      <c r="C78">
        <v>10</v>
      </c>
      <c r="F78">
        <f t="shared" si="25"/>
        <v>30</v>
      </c>
      <c r="G78">
        <f t="shared" si="19"/>
        <v>20</v>
      </c>
      <c r="H78">
        <f t="shared" si="20"/>
        <v>50</v>
      </c>
      <c r="I78">
        <f t="shared" si="21"/>
        <v>0</v>
      </c>
      <c r="J78">
        <f t="shared" si="22"/>
        <v>0</v>
      </c>
      <c r="K78">
        <f t="shared" si="26"/>
        <v>70</v>
      </c>
      <c r="L78">
        <f>G78*Return!B78*100</f>
        <v>-48.000000000000043</v>
      </c>
      <c r="M78">
        <f>H78*Return!C78*100</f>
        <v>-60.000000000000057</v>
      </c>
      <c r="N78">
        <f>I78*Return!D78*100</f>
        <v>0</v>
      </c>
      <c r="O78">
        <f>J78*Return!E78*100</f>
        <v>0</v>
      </c>
      <c r="P78">
        <f t="shared" si="23"/>
        <v>-108.0000000000001</v>
      </c>
      <c r="Q78" t="e">
        <f>SUM($P$3:P78)</f>
        <v>#VALUE!</v>
      </c>
      <c r="R78">
        <f>B78*中国_中债国债到期收益率_1年!B77/365*100</f>
        <v>10.026301369863015</v>
      </c>
      <c r="S78">
        <f>C78*中国_中债国债到期收益率_1年!C77/365*100</f>
        <v>6.7578082191780826</v>
      </c>
      <c r="T78">
        <f>D78*中国_中债国债到期收益率_1年!D77/365*100</f>
        <v>0</v>
      </c>
      <c r="U78">
        <f>E78*中国_中债国债到期收益率_1年!E77/365*100</f>
        <v>0</v>
      </c>
      <c r="V78">
        <f t="shared" si="24"/>
        <v>16.784109589041098</v>
      </c>
      <c r="W78" t="e">
        <f>SUM($V$3:V78)</f>
        <v>#VALUE!</v>
      </c>
      <c r="X78">
        <f>MAX(F78-50,0)*中国_中债国债到期收益率_1年!H78*100/365</f>
        <v>0</v>
      </c>
      <c r="Y78">
        <f>SUM($X$3:X78)</f>
        <v>0</v>
      </c>
      <c r="AA78">
        <v>-50</v>
      </c>
      <c r="AB78">
        <f>Z78*Return!F78*100</f>
        <v>0</v>
      </c>
      <c r="AC78">
        <f>AA78*Return!G78*100</f>
        <v>134.49999999999963</v>
      </c>
      <c r="AD78">
        <f>SUM($AB$3:AB78)+SUM($AC$3:AC78)</f>
        <v>942.80000000000098</v>
      </c>
      <c r="AE78" t="e">
        <f t="shared" si="27"/>
        <v>#VALUE!</v>
      </c>
      <c r="AF78" t="e">
        <f t="shared" si="28"/>
        <v>#VALUE!</v>
      </c>
      <c r="AG78" s="4" t="e">
        <f>(AF78/AF77-1)-中国_中债国债到期收益率_1年!H78%/252</f>
        <v>#VALUE!</v>
      </c>
      <c r="AH78" s="4" t="e">
        <f>MIN((AF78-MAX($AF$3:AF78))/MAX($AF$3:AF78),0)</f>
        <v>#VALUE!</v>
      </c>
    </row>
    <row r="79" spans="1:34" x14ac:dyDescent="0.25">
      <c r="A79" s="6">
        <v>44824</v>
      </c>
      <c r="B79">
        <v>20</v>
      </c>
      <c r="C79">
        <v>10</v>
      </c>
      <c r="F79">
        <f t="shared" si="25"/>
        <v>30</v>
      </c>
      <c r="G79">
        <f t="shared" si="19"/>
        <v>20</v>
      </c>
      <c r="H79">
        <f t="shared" si="20"/>
        <v>50</v>
      </c>
      <c r="I79">
        <f t="shared" si="21"/>
        <v>0</v>
      </c>
      <c r="J79">
        <f t="shared" si="22"/>
        <v>0</v>
      </c>
      <c r="K79">
        <f t="shared" si="26"/>
        <v>70</v>
      </c>
      <c r="L79">
        <f>G79*Return!B79*100</f>
        <v>-41.599999999999859</v>
      </c>
      <c r="M79">
        <f>H79*Return!C79*100</f>
        <v>38.000000000000256</v>
      </c>
      <c r="N79">
        <f>I79*Return!D79*100</f>
        <v>0</v>
      </c>
      <c r="O79">
        <f>J79*Return!E79*100</f>
        <v>0</v>
      </c>
      <c r="P79">
        <f t="shared" si="23"/>
        <v>-3.5999999999996035</v>
      </c>
      <c r="Q79" t="e">
        <f>SUM($P$3:P79)</f>
        <v>#VALUE!</v>
      </c>
      <c r="R79">
        <f>B79*中国_中债国债到期收益率_1年!B78/365*100</f>
        <v>10.14027397260274</v>
      </c>
      <c r="S79">
        <f>C79*中国_中债国债到期收益率_1年!C78/365*100</f>
        <v>6.7369863013698623</v>
      </c>
      <c r="T79">
        <f>D79*中国_中债国债到期收益率_1年!D78/365*100</f>
        <v>0</v>
      </c>
      <c r="U79">
        <f>E79*中国_中债国债到期收益率_1年!E78/365*100</f>
        <v>0</v>
      </c>
      <c r="V79">
        <f t="shared" si="24"/>
        <v>16.877260273972603</v>
      </c>
      <c r="W79" t="e">
        <f>SUM($V$3:V79)</f>
        <v>#VALUE!</v>
      </c>
      <c r="X79">
        <f>MAX(F79-50,0)*中国_中债国债到期收益率_1年!H79*100/365</f>
        <v>0</v>
      </c>
      <c r="Y79">
        <f>SUM($X$3:X79)</f>
        <v>0</v>
      </c>
      <c r="Z79">
        <v>50</v>
      </c>
      <c r="AA79">
        <v>-50</v>
      </c>
      <c r="AB79">
        <f>Z79*Return!F79*100</f>
        <v>35.000000000000583</v>
      </c>
      <c r="AC79">
        <f>AA79*Return!G79*100</f>
        <v>-52.499999999999773</v>
      </c>
      <c r="AD79">
        <f>SUM($AB$3:AB79)+SUM($AC$3:AC79)</f>
        <v>925.30000000000177</v>
      </c>
      <c r="AE79" t="e">
        <f t="shared" si="27"/>
        <v>#VALUE!</v>
      </c>
      <c r="AF79" t="e">
        <f t="shared" si="28"/>
        <v>#VALUE!</v>
      </c>
      <c r="AG79" s="4" t="e">
        <f>(AF79/AF78-1)-中国_中债国债到期收益率_1年!H79%/252</f>
        <v>#VALUE!</v>
      </c>
      <c r="AH79" s="4" t="e">
        <f>MIN((AF79-MAX($AF$3:AF79))/MAX($AF$3:AF79),0)</f>
        <v>#VALUE!</v>
      </c>
    </row>
    <row r="80" spans="1:34" x14ac:dyDescent="0.25">
      <c r="A80" s="6">
        <v>44825</v>
      </c>
      <c r="B80">
        <v>20</v>
      </c>
      <c r="C80">
        <v>10</v>
      </c>
      <c r="F80">
        <f t="shared" si="25"/>
        <v>30</v>
      </c>
      <c r="G80">
        <f t="shared" si="19"/>
        <v>20</v>
      </c>
      <c r="H80">
        <f t="shared" si="20"/>
        <v>50</v>
      </c>
      <c r="I80">
        <f t="shared" si="21"/>
        <v>0</v>
      </c>
      <c r="J80">
        <f t="shared" si="22"/>
        <v>0</v>
      </c>
      <c r="K80">
        <f t="shared" si="26"/>
        <v>70</v>
      </c>
      <c r="L80">
        <f>G80*Return!B80*100</f>
        <v>4.5999999999999375</v>
      </c>
      <c r="M80">
        <f>H80*Return!C80*100</f>
        <v>87.500000000000355</v>
      </c>
      <c r="N80">
        <f>I80*Return!D80*100</f>
        <v>0</v>
      </c>
      <c r="O80">
        <f>J80*Return!E80*100</f>
        <v>0</v>
      </c>
      <c r="P80">
        <f t="shared" si="23"/>
        <v>92.100000000000293</v>
      </c>
      <c r="Q80" t="e">
        <f>SUM($P$3:P80)</f>
        <v>#VALUE!</v>
      </c>
      <c r="R80">
        <f>B80*中国_中债国债到期收益率_1年!B79/365*100</f>
        <v>10.127671232876713</v>
      </c>
      <c r="S80">
        <f>C80*中国_中债国债到期收益率_1年!C79/365*100</f>
        <v>6.6890410958904107</v>
      </c>
      <c r="T80">
        <f>D80*中国_中债国债到期收益率_1年!D79/365*100</f>
        <v>0</v>
      </c>
      <c r="U80">
        <f>E80*中国_中债国债到期收益率_1年!E79/365*100</f>
        <v>0</v>
      </c>
      <c r="V80">
        <f t="shared" si="24"/>
        <v>16.816712328767125</v>
      </c>
      <c r="W80" t="e">
        <f>SUM($V$3:V80)</f>
        <v>#VALUE!</v>
      </c>
      <c r="X80">
        <f>MAX(F80-50,0)*中国_中债国债到期收益率_1年!H80*100/365</f>
        <v>0</v>
      </c>
      <c r="Y80">
        <f>SUM($X$3:X80)</f>
        <v>0</v>
      </c>
      <c r="Z80">
        <v>50</v>
      </c>
      <c r="AA80">
        <v>-50</v>
      </c>
      <c r="AB80">
        <f>Z80*Return!F80*100</f>
        <v>61.999999999999829</v>
      </c>
      <c r="AC80">
        <f>AA80*Return!G80*100</f>
        <v>-65.500000000000554</v>
      </c>
      <c r="AD80">
        <f>SUM($AB$3:AB80)+SUM($AC$3:AC80)</f>
        <v>921.80000000000109</v>
      </c>
      <c r="AE80" t="e">
        <f t="shared" si="27"/>
        <v>#VALUE!</v>
      </c>
      <c r="AF80" t="e">
        <f t="shared" si="28"/>
        <v>#VALUE!</v>
      </c>
      <c r="AG80" s="4" t="e">
        <f>(AF80/AF79-1)-中国_中债国债到期收益率_1年!H80%/252</f>
        <v>#VALUE!</v>
      </c>
      <c r="AH80" s="4" t="e">
        <f>MIN((AF80-MAX($AF$3:AF80))/MAX($AF$3:AF80),0)</f>
        <v>#VALUE!</v>
      </c>
    </row>
    <row r="81" spans="1:34" x14ac:dyDescent="0.25">
      <c r="A81" s="6">
        <v>44826</v>
      </c>
      <c r="B81">
        <v>20</v>
      </c>
      <c r="C81">
        <v>10</v>
      </c>
      <c r="F81">
        <f t="shared" si="25"/>
        <v>30</v>
      </c>
      <c r="G81">
        <f t="shared" si="19"/>
        <v>20</v>
      </c>
      <c r="H81">
        <f t="shared" si="20"/>
        <v>50</v>
      </c>
      <c r="I81">
        <f t="shared" si="21"/>
        <v>0</v>
      </c>
      <c r="J81">
        <f t="shared" si="22"/>
        <v>0</v>
      </c>
      <c r="K81">
        <f t="shared" si="26"/>
        <v>70</v>
      </c>
      <c r="L81">
        <f>G81*Return!B81*100</f>
        <v>40.200000000000017</v>
      </c>
      <c r="M81">
        <f>H81*Return!C81*100</f>
        <v>44.999999999999488</v>
      </c>
      <c r="N81">
        <f>I81*Return!D81*100</f>
        <v>0</v>
      </c>
      <c r="O81">
        <f>J81*Return!E81*100</f>
        <v>0</v>
      </c>
      <c r="P81">
        <f t="shared" si="23"/>
        <v>85.199999999999505</v>
      </c>
      <c r="Q81" t="e">
        <f>SUM($P$3:P81)</f>
        <v>#VALUE!</v>
      </c>
      <c r="R81">
        <f>B81*中国_中债国债到期收益率_1年!B80/365*100</f>
        <v>10.017534246575343</v>
      </c>
      <c r="S81">
        <f>C81*中国_中债国债到期收益率_1年!C80/365*100</f>
        <v>6.6643835616438354</v>
      </c>
      <c r="T81">
        <f>D81*中国_中债国债到期收益率_1年!D80/365*100</f>
        <v>0</v>
      </c>
      <c r="U81">
        <f>E81*中国_中债国债到期收益率_1年!E80/365*100</f>
        <v>0</v>
      </c>
      <c r="V81">
        <f t="shared" si="24"/>
        <v>16.681917808219179</v>
      </c>
      <c r="W81" t="e">
        <f>SUM($V$3:V81)</f>
        <v>#VALUE!</v>
      </c>
      <c r="X81">
        <f>MAX(F81-50,0)*中国_中债国债到期收益率_1年!H81*100/365</f>
        <v>0</v>
      </c>
      <c r="Y81">
        <f>SUM($X$3:X81)</f>
        <v>0</v>
      </c>
      <c r="Z81">
        <v>50</v>
      </c>
      <c r="AA81">
        <v>-50</v>
      </c>
      <c r="AB81">
        <f>Z81*Return!F81*100</f>
        <v>14.499999999999513</v>
      </c>
      <c r="AC81">
        <f>AA81*Return!G81*100</f>
        <v>-44.500000000000654</v>
      </c>
      <c r="AD81">
        <f>SUM($AB$3:AB81)+SUM($AC$3:AC81)</f>
        <v>891.79999999999984</v>
      </c>
      <c r="AE81" t="e">
        <f t="shared" si="27"/>
        <v>#VALUE!</v>
      </c>
      <c r="AF81" t="e">
        <f t="shared" si="28"/>
        <v>#VALUE!</v>
      </c>
      <c r="AG81" s="4" t="e">
        <f>(AF81/AF80-1)-中国_中债国债到期收益率_1年!H81%/252</f>
        <v>#VALUE!</v>
      </c>
      <c r="AH81" s="4" t="e">
        <f>MIN((AF81-MAX($AF$3:AF81))/MAX($AF$3:AF81),0)</f>
        <v>#VALUE!</v>
      </c>
    </row>
    <row r="82" spans="1:34" x14ac:dyDescent="0.25">
      <c r="A82" s="6">
        <v>44827</v>
      </c>
      <c r="B82">
        <v>20</v>
      </c>
      <c r="C82">
        <v>10</v>
      </c>
      <c r="F82">
        <f t="shared" si="25"/>
        <v>30</v>
      </c>
      <c r="G82">
        <f t="shared" si="19"/>
        <v>20</v>
      </c>
      <c r="H82">
        <f t="shared" si="20"/>
        <v>50</v>
      </c>
      <c r="I82">
        <f t="shared" si="21"/>
        <v>0</v>
      </c>
      <c r="J82">
        <f t="shared" si="22"/>
        <v>0</v>
      </c>
      <c r="K82">
        <f t="shared" si="26"/>
        <v>70</v>
      </c>
      <c r="L82">
        <f>G82*Return!B82*100</f>
        <v>10.000000000000231</v>
      </c>
      <c r="M82">
        <f>H82*Return!C82*100</f>
        <v>-51.999999999998714</v>
      </c>
      <c r="N82">
        <f>I82*Return!D82*100</f>
        <v>0</v>
      </c>
      <c r="O82">
        <f>J82*Return!E82*100</f>
        <v>0</v>
      </c>
      <c r="P82">
        <f t="shared" si="23"/>
        <v>-41.999999999998479</v>
      </c>
      <c r="Q82" t="e">
        <f>SUM($P$3:P82)</f>
        <v>#VALUE!</v>
      </c>
      <c r="R82">
        <f>B82*中国_中债国债到期收益率_1年!B81/365*100</f>
        <v>9.9901369863013691</v>
      </c>
      <c r="S82">
        <f>C82*中国_中债国债到期收益率_1年!C81/365*100</f>
        <v>6.6928767123287676</v>
      </c>
      <c r="T82">
        <f>D82*中国_中债国债到期收益率_1年!D81/365*100</f>
        <v>0</v>
      </c>
      <c r="U82">
        <f>E82*中国_中债国债到期收益率_1年!E81/365*100</f>
        <v>0</v>
      </c>
      <c r="V82">
        <f t="shared" si="24"/>
        <v>16.683013698630138</v>
      </c>
      <c r="W82" t="e">
        <f>SUM($V$3:V82)</f>
        <v>#VALUE!</v>
      </c>
      <c r="X82">
        <f>MAX(F82-50,0)*中国_中债国债到期收益率_1年!H82*100/365</f>
        <v>0</v>
      </c>
      <c r="Y82">
        <f>SUM($X$3:X82)</f>
        <v>0</v>
      </c>
      <c r="Z82">
        <v>50</v>
      </c>
      <c r="AA82">
        <v>-50</v>
      </c>
      <c r="AB82">
        <f>Z82*Return!F82*100</f>
        <v>-41.999999999999815</v>
      </c>
      <c r="AC82">
        <f>AA82*Return!G82*100</f>
        <v>22.500000000000853</v>
      </c>
      <c r="AD82">
        <f>SUM($AB$3:AB82)+SUM($AC$3:AC82)</f>
        <v>872.30000000000098</v>
      </c>
      <c r="AE82" t="e">
        <f t="shared" si="27"/>
        <v>#VALUE!</v>
      </c>
      <c r="AF82" t="e">
        <f t="shared" si="28"/>
        <v>#VALUE!</v>
      </c>
      <c r="AG82" s="4" t="e">
        <f>(AF82/AF81-1)-中国_中债国债到期收益率_1年!H82%/252</f>
        <v>#VALUE!</v>
      </c>
      <c r="AH82" s="4" t="e">
        <f>MIN((AF82-MAX($AF$3:AF82))/MAX($AF$3:AF82),0)</f>
        <v>#VALUE!</v>
      </c>
    </row>
    <row r="83" spans="1:34" x14ac:dyDescent="0.25">
      <c r="A83" s="6">
        <v>44830</v>
      </c>
      <c r="B83">
        <v>20</v>
      </c>
      <c r="C83">
        <v>10</v>
      </c>
      <c r="F83">
        <f t="shared" si="25"/>
        <v>30</v>
      </c>
      <c r="G83">
        <f t="shared" si="19"/>
        <v>20</v>
      </c>
      <c r="H83">
        <f t="shared" si="20"/>
        <v>50</v>
      </c>
      <c r="I83">
        <f t="shared" si="21"/>
        <v>0</v>
      </c>
      <c r="J83">
        <f t="shared" si="22"/>
        <v>0</v>
      </c>
      <c r="K83">
        <f t="shared" si="26"/>
        <v>70</v>
      </c>
      <c r="L83">
        <f>G83*Return!B83*100</f>
        <v>-9.600000000000275</v>
      </c>
      <c r="M83">
        <f>H83*Return!C83*100</f>
        <v>-129.50000000000017</v>
      </c>
      <c r="N83">
        <f>I83*Return!D83*100</f>
        <v>0</v>
      </c>
      <c r="O83">
        <f>J83*Return!E83*100</f>
        <v>0</v>
      </c>
      <c r="P83">
        <f t="shared" si="23"/>
        <v>-139.10000000000045</v>
      </c>
      <c r="Q83" t="e">
        <f>SUM($P$3:P83)</f>
        <v>#VALUE!</v>
      </c>
      <c r="R83">
        <f>B83*中国_中债国债到期收益率_1年!B82/365*100</f>
        <v>10.016438356164384</v>
      </c>
      <c r="S83">
        <f>C83*中国_中债国债到期收益率_1年!C82/365*100</f>
        <v>6.7638356164383557</v>
      </c>
      <c r="T83">
        <f>D83*中国_中债国债到期收益率_1年!D82/365*100</f>
        <v>0</v>
      </c>
      <c r="U83">
        <f>E83*中国_中债国债到期收益率_1年!E82/365*100</f>
        <v>0</v>
      </c>
      <c r="V83">
        <f t="shared" si="24"/>
        <v>16.780273972602739</v>
      </c>
      <c r="W83" t="e">
        <f>SUM($V$3:V83)</f>
        <v>#VALUE!</v>
      </c>
      <c r="X83">
        <f>MAX(F83-50,0)*中国_中债国债到期收益率_1年!H83*100/365</f>
        <v>0</v>
      </c>
      <c r="Y83">
        <f>SUM($X$3:X83)</f>
        <v>0</v>
      </c>
      <c r="Z83">
        <v>50</v>
      </c>
      <c r="AA83">
        <v>-50</v>
      </c>
      <c r="AB83">
        <f>Z83*Return!F83*100</f>
        <v>-34.999999999999474</v>
      </c>
      <c r="AC83">
        <f>AA83*Return!G83*100</f>
        <v>105.5000000000006</v>
      </c>
      <c r="AD83">
        <f>SUM($AB$3:AB83)+SUM($AC$3:AC83)</f>
        <v>942.80000000000211</v>
      </c>
      <c r="AE83" t="e">
        <f t="shared" si="27"/>
        <v>#VALUE!</v>
      </c>
      <c r="AF83" t="e">
        <f t="shared" si="28"/>
        <v>#VALUE!</v>
      </c>
      <c r="AG83" s="4" t="e">
        <f>(AF83/AF82-1)-中国_中债国债到期收益率_1年!H83%/252</f>
        <v>#VALUE!</v>
      </c>
      <c r="AH83" s="4" t="e">
        <f>MIN((AF83-MAX($AF$3:AF83))/MAX($AF$3:AF83),0)</f>
        <v>#VALUE!</v>
      </c>
    </row>
    <row r="84" spans="1:34" x14ac:dyDescent="0.25">
      <c r="A84" s="6">
        <v>44831</v>
      </c>
      <c r="B84">
        <v>20</v>
      </c>
      <c r="C84">
        <v>10</v>
      </c>
      <c r="F84">
        <f t="shared" si="25"/>
        <v>30</v>
      </c>
      <c r="G84">
        <f t="shared" si="19"/>
        <v>20</v>
      </c>
      <c r="H84">
        <f t="shared" si="20"/>
        <v>50</v>
      </c>
      <c r="I84">
        <f t="shared" si="21"/>
        <v>0</v>
      </c>
      <c r="J84">
        <f t="shared" si="22"/>
        <v>0</v>
      </c>
      <c r="K84">
        <f t="shared" si="26"/>
        <v>70</v>
      </c>
      <c r="L84">
        <f>G84*Return!B84*100</f>
        <v>-65.599999999999881</v>
      </c>
      <c r="M84">
        <f>H84*Return!C84*100</f>
        <v>-216.00000000000063</v>
      </c>
      <c r="N84">
        <f>I84*Return!D84*100</f>
        <v>0</v>
      </c>
      <c r="O84">
        <f>J84*Return!E84*100</f>
        <v>0</v>
      </c>
      <c r="P84">
        <f t="shared" si="23"/>
        <v>-281.60000000000048</v>
      </c>
      <c r="Q84" t="e">
        <f>SUM($P$3:P84)</f>
        <v>#VALUE!</v>
      </c>
      <c r="R84">
        <f>B84*中国_中债国债到期收益率_1年!B83/365*100</f>
        <v>10.196164383561644</v>
      </c>
      <c r="S84">
        <f>C84*中国_中债国债到期收益率_1年!C83/365*100</f>
        <v>6.882191780821918</v>
      </c>
      <c r="T84">
        <f>D84*中国_中债国债到期收益率_1年!D83/365*100</f>
        <v>0</v>
      </c>
      <c r="U84">
        <f>E84*中国_中债国债到期收益率_1年!E83/365*100</f>
        <v>0</v>
      </c>
      <c r="V84">
        <f t="shared" si="24"/>
        <v>17.078356164383564</v>
      </c>
      <c r="W84" t="e">
        <f>SUM($V$3:V84)</f>
        <v>#VALUE!</v>
      </c>
      <c r="X84">
        <f>MAX(F84-50,0)*中国_中债国债到期收益率_1年!H84*100/365</f>
        <v>0</v>
      </c>
      <c r="Y84">
        <f>SUM($X$3:X84)</f>
        <v>0</v>
      </c>
      <c r="Z84">
        <v>50</v>
      </c>
      <c r="AA84">
        <v>-50</v>
      </c>
      <c r="AB84">
        <f>Z84*Return!F84*100</f>
        <v>-204.00000000000085</v>
      </c>
      <c r="AC84">
        <f>AA84*Return!G84*100</f>
        <v>180.49999999999901</v>
      </c>
      <c r="AD84">
        <f>SUM($AB$3:AB84)+SUM($AC$3:AC84)</f>
        <v>919.30000000000018</v>
      </c>
      <c r="AE84" t="e">
        <f t="shared" si="27"/>
        <v>#VALUE!</v>
      </c>
      <c r="AF84" t="e">
        <f t="shared" si="28"/>
        <v>#VALUE!</v>
      </c>
      <c r="AG84" s="4" t="e">
        <f>(AF84/AF83-1)-中国_中债国债到期收益率_1年!H84%/252</f>
        <v>#VALUE!</v>
      </c>
      <c r="AH84" s="4" t="e">
        <f>MIN((AF84-MAX($AF$3:AF84))/MAX($AF$3:AF84),0)</f>
        <v>#VALUE!</v>
      </c>
    </row>
    <row r="85" spans="1:34" x14ac:dyDescent="0.25">
      <c r="A85" s="6">
        <v>44832</v>
      </c>
      <c r="B85">
        <v>20</v>
      </c>
      <c r="C85">
        <v>10</v>
      </c>
      <c r="F85">
        <f t="shared" si="25"/>
        <v>30</v>
      </c>
      <c r="G85">
        <f t="shared" si="19"/>
        <v>20</v>
      </c>
      <c r="H85">
        <f t="shared" si="20"/>
        <v>50</v>
      </c>
      <c r="I85">
        <f t="shared" si="21"/>
        <v>0</v>
      </c>
      <c r="J85">
        <f t="shared" si="22"/>
        <v>0</v>
      </c>
      <c r="K85">
        <f t="shared" si="26"/>
        <v>70</v>
      </c>
      <c r="L85">
        <f>G85*Return!B85*100</f>
        <v>-20.599999999999952</v>
      </c>
      <c r="M85">
        <f>H85*Return!C85*100</f>
        <v>46.999999999999261</v>
      </c>
      <c r="N85">
        <f>I85*Return!D85*100</f>
        <v>0</v>
      </c>
      <c r="O85">
        <f>J85*Return!E85*100</f>
        <v>0</v>
      </c>
      <c r="P85">
        <f t="shared" si="23"/>
        <v>26.399999999999309</v>
      </c>
      <c r="Q85" t="e">
        <f>SUM($P$3:P85)</f>
        <v>#VALUE!</v>
      </c>
      <c r="R85">
        <f>B85*中国_中债国债到期收益率_1年!B84/365*100</f>
        <v>10.252602739726028</v>
      </c>
      <c r="S85">
        <f>C85*中国_中债国债到期收益率_1年!C84/365*100</f>
        <v>6.8564383561643849</v>
      </c>
      <c r="T85">
        <f>D85*中国_中债国债到期收益率_1年!D84/365*100</f>
        <v>0</v>
      </c>
      <c r="U85">
        <f>E85*中国_中债国债到期收益率_1年!E84/365*100</f>
        <v>0</v>
      </c>
      <c r="V85">
        <f t="shared" si="24"/>
        <v>17.109041095890412</v>
      </c>
      <c r="W85" t="e">
        <f>SUM($V$3:V85)</f>
        <v>#VALUE!</v>
      </c>
      <c r="X85">
        <f>MAX(F85-50,0)*中国_中债国债到期收益率_1年!H85*100/365</f>
        <v>0</v>
      </c>
      <c r="Y85">
        <f>SUM($X$3:X85)</f>
        <v>0</v>
      </c>
      <c r="Z85">
        <v>50</v>
      </c>
      <c r="AA85">
        <v>-50</v>
      </c>
      <c r="AB85">
        <f>Z85*Return!F85*100</f>
        <v>60.5</v>
      </c>
      <c r="AC85">
        <f>AA85*Return!G85*100</f>
        <v>38.000000000000256</v>
      </c>
      <c r="AD85">
        <f>SUM($AB$3:AB85)+SUM($AC$3:AC85)</f>
        <v>1017.8000000000004</v>
      </c>
      <c r="AE85" t="e">
        <f t="shared" si="27"/>
        <v>#VALUE!</v>
      </c>
      <c r="AF85" t="e">
        <f t="shared" si="28"/>
        <v>#VALUE!</v>
      </c>
      <c r="AG85" s="4" t="e">
        <f>(AF85/AF84-1)-中国_中债国债到期收益率_1年!H85%/252</f>
        <v>#VALUE!</v>
      </c>
      <c r="AH85" s="4" t="e">
        <f>MIN((AF85-MAX($AF$3:AF85))/MAX($AF$3:AF85),0)</f>
        <v>#VALUE!</v>
      </c>
    </row>
    <row r="86" spans="1:34" x14ac:dyDescent="0.25">
      <c r="A86" s="6">
        <v>44833</v>
      </c>
      <c r="B86">
        <v>20</v>
      </c>
      <c r="C86">
        <v>10</v>
      </c>
      <c r="F86">
        <f t="shared" si="25"/>
        <v>30</v>
      </c>
      <c r="G86">
        <f t="shared" si="19"/>
        <v>20</v>
      </c>
      <c r="H86">
        <f t="shared" si="20"/>
        <v>50</v>
      </c>
      <c r="I86">
        <f t="shared" si="21"/>
        <v>0</v>
      </c>
      <c r="J86">
        <f t="shared" si="22"/>
        <v>0</v>
      </c>
      <c r="K86">
        <f t="shared" si="26"/>
        <v>70</v>
      </c>
      <c r="L86">
        <f>G86*Return!B86*100</f>
        <v>-62.600000000000207</v>
      </c>
      <c r="M86">
        <f>H86*Return!C86*100</f>
        <v>-144.49999999999852</v>
      </c>
      <c r="N86">
        <f>I86*Return!D86*100</f>
        <v>0</v>
      </c>
      <c r="O86">
        <f>J86*Return!E86*100</f>
        <v>0</v>
      </c>
      <c r="P86">
        <f t="shared" si="23"/>
        <v>-207.09999999999872</v>
      </c>
      <c r="Q86" t="e">
        <f>SUM($P$3:P86)</f>
        <v>#VALUE!</v>
      </c>
      <c r="R86">
        <f>B86*中国_中债国债到期收益率_1年!B85/365*100</f>
        <v>10.424109589041096</v>
      </c>
      <c r="S86">
        <f>C86*中国_中债国债到期收益率_1年!C85/365*100</f>
        <v>6.9356164383561643</v>
      </c>
      <c r="T86">
        <f>D86*中国_中债国债到期收益率_1年!D85/365*100</f>
        <v>0</v>
      </c>
      <c r="U86">
        <f>E86*中国_中债国债到期收益率_1年!E85/365*100</f>
        <v>0</v>
      </c>
      <c r="V86">
        <f t="shared" si="24"/>
        <v>17.359726027397262</v>
      </c>
      <c r="W86" t="e">
        <f>SUM($V$3:V86)</f>
        <v>#VALUE!</v>
      </c>
      <c r="X86">
        <f>MAX(F86-50,0)*中国_中债国债到期收益率_1年!H86*100/365</f>
        <v>0</v>
      </c>
      <c r="Y86">
        <f>SUM($X$3:X86)</f>
        <v>0</v>
      </c>
      <c r="Z86">
        <v>50</v>
      </c>
      <c r="AA86">
        <v>-50</v>
      </c>
      <c r="AB86">
        <f>Z86*Return!F86*100</f>
        <v>-8.5000000000001741</v>
      </c>
      <c r="AC86">
        <f>AA86*Return!G86*100</f>
        <v>72.499999999999787</v>
      </c>
      <c r="AD86">
        <f>SUM($AB$3:AB86)+SUM($AC$3:AC86)</f>
        <v>1081.8</v>
      </c>
      <c r="AE86" t="e">
        <f t="shared" si="27"/>
        <v>#VALUE!</v>
      </c>
      <c r="AF86" t="e">
        <f t="shared" si="28"/>
        <v>#VALUE!</v>
      </c>
      <c r="AG86" s="4" t="e">
        <f>(AF86/AF85-1)-中国_中债国债到期收益率_1年!H86%/252</f>
        <v>#VALUE!</v>
      </c>
      <c r="AH86" s="4" t="e">
        <f>MIN((AF86-MAX($AF$3:AF86))/MAX($AF$3:AF86),0)</f>
        <v>#VALUE!</v>
      </c>
    </row>
    <row r="87" spans="1:34" x14ac:dyDescent="0.25">
      <c r="A87" s="6">
        <v>44834</v>
      </c>
      <c r="B87">
        <v>20</v>
      </c>
      <c r="C87">
        <v>10</v>
      </c>
      <c r="F87">
        <f t="shared" si="25"/>
        <v>30</v>
      </c>
      <c r="G87">
        <f t="shared" si="19"/>
        <v>20</v>
      </c>
      <c r="H87">
        <f t="shared" si="20"/>
        <v>50</v>
      </c>
      <c r="I87">
        <f t="shared" si="21"/>
        <v>0</v>
      </c>
      <c r="J87">
        <f t="shared" si="22"/>
        <v>0</v>
      </c>
      <c r="K87">
        <f t="shared" si="26"/>
        <v>70</v>
      </c>
      <c r="L87">
        <f>G87*Return!B87*100</f>
        <v>18.80000000000015</v>
      </c>
      <c r="M87">
        <f>H87*Return!C87*100</f>
        <v>-150.50000000000009</v>
      </c>
      <c r="N87">
        <f>I87*Return!D87*100</f>
        <v>0</v>
      </c>
      <c r="O87">
        <f>J87*Return!E87*100</f>
        <v>0</v>
      </c>
      <c r="P87">
        <f t="shared" si="23"/>
        <v>-131.69999999999993</v>
      </c>
      <c r="Q87" t="e">
        <f>SUM($P$3:P87)</f>
        <v>#VALUE!</v>
      </c>
      <c r="R87">
        <f>B87*中国_中债国债到期收益率_1年!B86/365*100</f>
        <v>10.372602739726029</v>
      </c>
      <c r="S87">
        <f>C87*中国_中债国债到期收益率_1年!C86/365*100</f>
        <v>7.018082191780822</v>
      </c>
      <c r="T87">
        <f>D87*中国_中债国债到期收益率_1年!D86/365*100</f>
        <v>0</v>
      </c>
      <c r="U87">
        <f>E87*中国_中债国债到期收益率_1年!E86/365*100</f>
        <v>0</v>
      </c>
      <c r="V87">
        <f t="shared" si="24"/>
        <v>17.390684931506851</v>
      </c>
      <c r="W87" t="e">
        <f>SUM($V$3:V87)</f>
        <v>#VALUE!</v>
      </c>
      <c r="X87">
        <f>MAX(F87-50,0)*中国_中债国债到期收益率_1年!H87*100/365</f>
        <v>0</v>
      </c>
      <c r="Y87">
        <f>SUM($X$3:X87)</f>
        <v>0</v>
      </c>
      <c r="Z87">
        <v>50</v>
      </c>
      <c r="AA87">
        <v>-50</v>
      </c>
      <c r="AB87">
        <f>Z87*Return!F87*100</f>
        <v>-121.99999999999878</v>
      </c>
      <c r="AC87">
        <f>AA87*Return!G87*100</f>
        <v>79.000000000000185</v>
      </c>
      <c r="AD87">
        <f>SUM($AB$3:AB87)+SUM($AC$3:AC87)</f>
        <v>1038.8000000000015</v>
      </c>
      <c r="AE87" t="e">
        <f t="shared" si="27"/>
        <v>#VALUE!</v>
      </c>
      <c r="AF87" t="e">
        <f t="shared" si="28"/>
        <v>#VALUE!</v>
      </c>
      <c r="AG87" s="4" t="e">
        <f>(AF87/AF86-1)-中国_中债国债到期收益率_1年!H87%/252</f>
        <v>#VALUE!</v>
      </c>
      <c r="AH87" s="4" t="e">
        <f>MIN((AF87-MAX($AF$3:AF87))/MAX($AF$3:AF87),0)</f>
        <v>#VALUE!</v>
      </c>
    </row>
    <row r="88" spans="1:34" x14ac:dyDescent="0.25">
      <c r="A88" s="6">
        <v>44842</v>
      </c>
      <c r="B88">
        <v>20</v>
      </c>
      <c r="C88">
        <v>10</v>
      </c>
      <c r="F88">
        <f t="shared" si="25"/>
        <v>30</v>
      </c>
      <c r="G88">
        <f t="shared" ref="G88:G118" si="29">B88</f>
        <v>20</v>
      </c>
      <c r="H88">
        <f t="shared" ref="H88:H98" si="30">5*C88</f>
        <v>50</v>
      </c>
      <c r="I88">
        <f t="shared" ref="I88:I119" si="31">9*D88</f>
        <v>0</v>
      </c>
      <c r="J88">
        <f t="shared" ref="J88:J119" si="32">16*E88</f>
        <v>0</v>
      </c>
      <c r="K88">
        <f t="shared" si="26"/>
        <v>70</v>
      </c>
      <c r="L88">
        <f>G88*Return!B88*100</f>
        <v>79.000000000000185</v>
      </c>
      <c r="M88">
        <f>H88*Return!C88*100</f>
        <v>-110.00000000000121</v>
      </c>
      <c r="N88">
        <f>I88*Return!D88*100</f>
        <v>0</v>
      </c>
      <c r="O88">
        <f>J88*Return!E88*100</f>
        <v>0</v>
      </c>
      <c r="P88">
        <f t="shared" si="23"/>
        <v>-31.000000000001023</v>
      </c>
      <c r="Q88" t="e">
        <f>SUM($P$3:P88)</f>
        <v>#VALUE!</v>
      </c>
      <c r="R88">
        <f>B88*中国_中债国债到期收益率_1年!B87/365*100</f>
        <v>10.156164383561645</v>
      </c>
      <c r="S88">
        <f>C88*中国_中债国债到期收益率_1年!C87/365*100</f>
        <v>7.0783561643835622</v>
      </c>
      <c r="T88">
        <f>D88*中国_中债国债到期收益率_1年!D87/365*100</f>
        <v>0</v>
      </c>
      <c r="U88">
        <f>E88*中国_中债国债到期收益率_1年!E87/365*100</f>
        <v>0</v>
      </c>
      <c r="V88">
        <f t="shared" si="24"/>
        <v>17.234520547945209</v>
      </c>
      <c r="W88" t="e">
        <f>SUM($V$3:V88)</f>
        <v>#VALUE!</v>
      </c>
      <c r="X88">
        <f>MAX(F88-50,0)*中国_中债国债到期收益率_1年!H88*100/365</f>
        <v>0</v>
      </c>
      <c r="Y88">
        <f>SUM($X$3:X88)</f>
        <v>0</v>
      </c>
      <c r="Z88">
        <v>50</v>
      </c>
      <c r="AA88">
        <v>-50</v>
      </c>
      <c r="AB88">
        <f>Z88*Return!F88*100</f>
        <v>0</v>
      </c>
      <c r="AC88">
        <f>AA88*Return!G88*100</f>
        <v>122.99999999999977</v>
      </c>
      <c r="AD88">
        <f>SUM($AB$3:AB88)+SUM($AC$3:AC88)</f>
        <v>1161.8000000000013</v>
      </c>
      <c r="AE88" t="e">
        <f t="shared" si="27"/>
        <v>#VALUE!</v>
      </c>
      <c r="AF88" t="e">
        <f t="shared" si="28"/>
        <v>#VALUE!</v>
      </c>
      <c r="AG88" s="4" t="e">
        <f>(AF88/AF87-1)-中国_中债国债到期收益率_1年!H88%/252</f>
        <v>#VALUE!</v>
      </c>
      <c r="AH88" s="4" t="e">
        <f>MIN((AF88-MAX($AF$3:AF88))/MAX($AF$3:AF88),0)</f>
        <v>#VALUE!</v>
      </c>
    </row>
    <row r="89" spans="1:34" x14ac:dyDescent="0.25">
      <c r="A89" s="6">
        <v>44843</v>
      </c>
      <c r="B89">
        <v>20</v>
      </c>
      <c r="C89">
        <v>10</v>
      </c>
      <c r="F89">
        <f t="shared" si="25"/>
        <v>30</v>
      </c>
      <c r="G89">
        <f t="shared" si="29"/>
        <v>20</v>
      </c>
      <c r="H89">
        <f t="shared" si="30"/>
        <v>50</v>
      </c>
      <c r="I89">
        <f t="shared" si="31"/>
        <v>0</v>
      </c>
      <c r="J89">
        <f t="shared" si="32"/>
        <v>0</v>
      </c>
      <c r="K89">
        <f t="shared" si="26"/>
        <v>70</v>
      </c>
      <c r="L89">
        <f>G89*Return!B89*100</f>
        <v>42.399999999999771</v>
      </c>
      <c r="M89">
        <f>H89*Return!C89*100</f>
        <v>12.499999999999734</v>
      </c>
      <c r="N89">
        <f>I89*Return!D89*100</f>
        <v>0</v>
      </c>
      <c r="O89">
        <f>J89*Return!E89*100</f>
        <v>0</v>
      </c>
      <c r="P89">
        <f t="shared" si="23"/>
        <v>54.899999999999508</v>
      </c>
      <c r="Q89" t="e">
        <f>SUM($P$3:P89)</f>
        <v>#VALUE!</v>
      </c>
      <c r="R89">
        <f>B89*中国_中债国债到期收益率_1年!B88/365*100</f>
        <v>10.040000000000001</v>
      </c>
      <c r="S89">
        <f>C89*中国_中债国债到期收益率_1年!C88/365*100</f>
        <v>7.0715068493150675</v>
      </c>
      <c r="T89">
        <f>D89*中国_中债国债到期收益率_1年!D88/365*100</f>
        <v>0</v>
      </c>
      <c r="U89">
        <f>E89*中国_中债国债到期收益率_1年!E88/365*100</f>
        <v>0</v>
      </c>
      <c r="V89">
        <f t="shared" si="24"/>
        <v>17.11150684931507</v>
      </c>
      <c r="W89" t="e">
        <f>SUM($V$3:V89)</f>
        <v>#VALUE!</v>
      </c>
      <c r="X89">
        <f>MAX(F89-50,0)*中国_中债国债到期收益率_1年!H89*100/365</f>
        <v>0</v>
      </c>
      <c r="Y89">
        <f>SUM($X$3:X89)</f>
        <v>0</v>
      </c>
      <c r="Z89">
        <v>50</v>
      </c>
      <c r="AA89">
        <v>-50</v>
      </c>
      <c r="AB89">
        <f>Z89*Return!F89*100</f>
        <v>42.49999999999865</v>
      </c>
      <c r="AC89">
        <f>AA89*Return!G89*100</f>
        <v>-103.50000000000081</v>
      </c>
      <c r="AD89">
        <f>SUM($AB$3:AB89)+SUM($AC$3:AC89)</f>
        <v>1100.799999999999</v>
      </c>
      <c r="AE89" t="e">
        <f t="shared" si="27"/>
        <v>#VALUE!</v>
      </c>
      <c r="AF89" t="e">
        <f t="shared" si="28"/>
        <v>#VALUE!</v>
      </c>
      <c r="AG89" s="4" t="e">
        <f>(AF89/AF88-1)-中国_中债国债到期收益率_1年!H89%/252</f>
        <v>#VALUE!</v>
      </c>
      <c r="AH89" s="4" t="e">
        <f>MIN((AF89-MAX($AF$3:AF89))/MAX($AF$3:AF89),0)</f>
        <v>#VALUE!</v>
      </c>
    </row>
    <row r="90" spans="1:34" x14ac:dyDescent="0.25">
      <c r="A90" s="6">
        <v>44844</v>
      </c>
      <c r="B90">
        <v>20</v>
      </c>
      <c r="C90">
        <v>10</v>
      </c>
      <c r="F90">
        <f t="shared" si="25"/>
        <v>30</v>
      </c>
      <c r="G90">
        <f t="shared" si="29"/>
        <v>20</v>
      </c>
      <c r="H90">
        <f t="shared" si="30"/>
        <v>50</v>
      </c>
      <c r="I90">
        <f t="shared" si="31"/>
        <v>0</v>
      </c>
      <c r="J90">
        <f t="shared" si="32"/>
        <v>0</v>
      </c>
      <c r="K90">
        <f t="shared" si="26"/>
        <v>70</v>
      </c>
      <c r="L90">
        <f>G90*Return!B90*100</f>
        <v>6.6000000000001613</v>
      </c>
      <c r="M90">
        <f>H90*Return!C90*100</f>
        <v>162.50000000000097</v>
      </c>
      <c r="N90">
        <f>I90*Return!D90*100</f>
        <v>0</v>
      </c>
      <c r="O90">
        <f>J90*Return!E90*100</f>
        <v>0</v>
      </c>
      <c r="P90">
        <f t="shared" si="23"/>
        <v>169.10000000000113</v>
      </c>
      <c r="Q90" t="e">
        <f>SUM($P$3:P90)</f>
        <v>#VALUE!</v>
      </c>
      <c r="R90">
        <f>B90*中国_中债国债到期收益率_1年!B89/365*100</f>
        <v>10.021917808219177</v>
      </c>
      <c r="S90">
        <f>C90*中国_中债国债到期收益率_1年!C89/365*100</f>
        <v>6.9824657534246573</v>
      </c>
      <c r="T90">
        <f>D90*中国_中债国债到期收益率_1年!D89/365*100</f>
        <v>0</v>
      </c>
      <c r="U90">
        <f>E90*中国_中债国债到期收益率_1年!E89/365*100</f>
        <v>0</v>
      </c>
      <c r="V90">
        <f t="shared" si="24"/>
        <v>17.004383561643834</v>
      </c>
      <c r="W90" t="e">
        <f>SUM($V$3:V90)</f>
        <v>#VALUE!</v>
      </c>
      <c r="X90">
        <f>MAX(F90-50,0)*中国_中债国债到期收益率_1年!H90*100/365</f>
        <v>0</v>
      </c>
      <c r="Y90">
        <f>SUM($X$3:X90)</f>
        <v>0</v>
      </c>
      <c r="Z90">
        <v>50</v>
      </c>
      <c r="AA90">
        <v>-50</v>
      </c>
      <c r="AB90">
        <f>Z90*Return!F90*100</f>
        <v>58.500000000001329</v>
      </c>
      <c r="AC90">
        <f>AA90*Return!G90*100</f>
        <v>1.500000000000945</v>
      </c>
      <c r="AD90">
        <f>SUM($AB$3:AB90)+SUM($AC$3:AC90)</f>
        <v>1160.8000000000013</v>
      </c>
      <c r="AE90" t="e">
        <f t="shared" si="27"/>
        <v>#VALUE!</v>
      </c>
      <c r="AF90" t="e">
        <f t="shared" si="28"/>
        <v>#VALUE!</v>
      </c>
      <c r="AG90" s="4" t="e">
        <f>(AF90/AF89-1)-中国_中债国债到期收益率_1年!H90%/252</f>
        <v>#VALUE!</v>
      </c>
      <c r="AH90" s="4" t="e">
        <f>MIN((AF90-MAX($AF$3:AF90))/MAX($AF$3:AF90),0)</f>
        <v>#VALUE!</v>
      </c>
    </row>
    <row r="91" spans="1:34" x14ac:dyDescent="0.25">
      <c r="A91" s="6">
        <v>44845</v>
      </c>
      <c r="B91">
        <v>20</v>
      </c>
      <c r="C91">
        <v>10</v>
      </c>
      <c r="F91">
        <f t="shared" si="25"/>
        <v>30</v>
      </c>
      <c r="G91">
        <f t="shared" si="29"/>
        <v>20</v>
      </c>
      <c r="H91">
        <f t="shared" si="30"/>
        <v>50</v>
      </c>
      <c r="I91">
        <f t="shared" si="31"/>
        <v>0</v>
      </c>
      <c r="J91">
        <f t="shared" si="32"/>
        <v>0</v>
      </c>
      <c r="K91">
        <f t="shared" si="26"/>
        <v>70</v>
      </c>
      <c r="L91">
        <f>G91*Return!B91*100</f>
        <v>76.40000000000002</v>
      </c>
      <c r="M91">
        <f>H91*Return!C91*100</f>
        <v>89.999999999998977</v>
      </c>
      <c r="N91">
        <f>I91*Return!D91*100</f>
        <v>0</v>
      </c>
      <c r="O91">
        <f>J91*Return!E91*100</f>
        <v>0</v>
      </c>
      <c r="P91">
        <f t="shared" si="23"/>
        <v>166.39999999999901</v>
      </c>
      <c r="Q91" t="e">
        <f>SUM($P$3:P91)</f>
        <v>#VALUE!</v>
      </c>
      <c r="R91">
        <f>B91*中国_中债国债到期收益率_1年!B90/365*100</f>
        <v>9.812602739726028</v>
      </c>
      <c r="S91">
        <f>C91*中国_中债国债到期收益率_1年!C90/365*100</f>
        <v>6.9331506849315074</v>
      </c>
      <c r="T91">
        <f>D91*中国_中债国债到期收益率_1年!D90/365*100</f>
        <v>0</v>
      </c>
      <c r="U91">
        <f>E91*中国_中债国债到期收益率_1年!E90/365*100</f>
        <v>0</v>
      </c>
      <c r="V91">
        <f t="shared" si="24"/>
        <v>16.745753424657536</v>
      </c>
      <c r="W91" t="e">
        <f>SUM($V$3:V91)</f>
        <v>#VALUE!</v>
      </c>
      <c r="X91">
        <f>MAX(F91-50,0)*中国_中债国债到期收益率_1年!H91*100/365</f>
        <v>0</v>
      </c>
      <c r="Y91">
        <f>SUM($X$3:X91)</f>
        <v>0</v>
      </c>
      <c r="Z91">
        <v>50</v>
      </c>
      <c r="AA91">
        <v>-50</v>
      </c>
      <c r="AB91">
        <f>Z91*Return!F91*100</f>
        <v>137.99999999999923</v>
      </c>
      <c r="AC91">
        <f>AA91*Return!G91*100</f>
        <v>-64.500000000000668</v>
      </c>
      <c r="AD91">
        <f>SUM($AB$3:AB91)+SUM($AC$3:AC91)</f>
        <v>1234.2999999999997</v>
      </c>
      <c r="AE91" t="e">
        <f t="shared" si="27"/>
        <v>#VALUE!</v>
      </c>
      <c r="AF91" t="e">
        <f t="shared" si="28"/>
        <v>#VALUE!</v>
      </c>
      <c r="AG91" s="4" t="e">
        <f>(AF91/AF90-1)-中国_中债国债到期收益率_1年!H91%/252</f>
        <v>#VALUE!</v>
      </c>
      <c r="AH91" s="4" t="e">
        <f>MIN((AF91-MAX($AF$3:AF91))/MAX($AF$3:AF91),0)</f>
        <v>#VALUE!</v>
      </c>
    </row>
    <row r="92" spans="1:34" x14ac:dyDescent="0.25">
      <c r="A92" s="6">
        <v>44846</v>
      </c>
      <c r="B92">
        <v>10</v>
      </c>
      <c r="C92">
        <v>20</v>
      </c>
      <c r="F92">
        <f t="shared" si="25"/>
        <v>30</v>
      </c>
      <c r="G92">
        <f t="shared" si="29"/>
        <v>10</v>
      </c>
      <c r="H92">
        <f t="shared" si="30"/>
        <v>100</v>
      </c>
      <c r="I92">
        <f t="shared" si="31"/>
        <v>0</v>
      </c>
      <c r="J92">
        <f t="shared" si="32"/>
        <v>0</v>
      </c>
      <c r="K92">
        <f t="shared" si="26"/>
        <v>110</v>
      </c>
      <c r="L92">
        <f>G92*Return!B92*100</f>
        <v>4.0999999999999925</v>
      </c>
      <c r="M92">
        <f>H92*Return!C92*100</f>
        <v>-43.999999999999595</v>
      </c>
      <c r="N92">
        <f>I92*Return!D92*100</f>
        <v>0</v>
      </c>
      <c r="O92">
        <f>J92*Return!E92*100</f>
        <v>0</v>
      </c>
      <c r="P92">
        <f t="shared" si="23"/>
        <v>-39.899999999999601</v>
      </c>
      <c r="Q92" t="e">
        <f>SUM($P$3:P92)</f>
        <v>#VALUE!</v>
      </c>
      <c r="R92">
        <f>B92*中国_中债国债到期收益率_1年!B91/365*100</f>
        <v>4.8950684931506849</v>
      </c>
      <c r="S92">
        <f>C92*中国_中债国债到期收益率_1年!C91/365*100</f>
        <v>13.890410958904109</v>
      </c>
      <c r="T92">
        <f>D92*中国_中债国债到期收益率_1年!D91/365*100</f>
        <v>0</v>
      </c>
      <c r="U92">
        <f>E92*中国_中债国债到期收益率_1年!E91/365*100</f>
        <v>0</v>
      </c>
      <c r="V92">
        <f t="shared" si="24"/>
        <v>18.785479452054794</v>
      </c>
      <c r="W92" t="e">
        <f>SUM($V$3:V92)</f>
        <v>#VALUE!</v>
      </c>
      <c r="X92">
        <f>MAX(F92-50,0)*中国_中债国债到期收益率_1年!H92*100/365</f>
        <v>0</v>
      </c>
      <c r="Y92">
        <f>SUM($X$3:X92)</f>
        <v>0</v>
      </c>
      <c r="Z92">
        <v>50</v>
      </c>
      <c r="AA92">
        <v>-50</v>
      </c>
      <c r="AB92">
        <f>Z92*Return!F92*100</f>
        <v>17.000000000000348</v>
      </c>
      <c r="AC92">
        <f>AA92*Return!G92*100</f>
        <v>-44.49999999999843</v>
      </c>
      <c r="AD92">
        <f>SUM($AB$3:AB92)+SUM($AC$3:AC92)</f>
        <v>1206.8000000000018</v>
      </c>
      <c r="AE92" t="e">
        <f t="shared" si="27"/>
        <v>#VALUE!</v>
      </c>
      <c r="AF92" t="e">
        <f t="shared" si="28"/>
        <v>#VALUE!</v>
      </c>
      <c r="AG92" s="4" t="e">
        <f>(AF92/AF91-1)-中国_中债国债到期收益率_1年!H92%/252</f>
        <v>#VALUE!</v>
      </c>
      <c r="AH92" s="4" t="e">
        <f>MIN((AF92-MAX($AF$3:AF92))/MAX($AF$3:AF92),0)</f>
        <v>#VALUE!</v>
      </c>
    </row>
    <row r="93" spans="1:34" x14ac:dyDescent="0.25">
      <c r="A93" s="6">
        <v>44847</v>
      </c>
      <c r="B93">
        <v>10</v>
      </c>
      <c r="C93">
        <v>20</v>
      </c>
      <c r="F93">
        <f t="shared" si="25"/>
        <v>30</v>
      </c>
      <c r="G93">
        <f t="shared" si="29"/>
        <v>10</v>
      </c>
      <c r="H93">
        <f t="shared" si="30"/>
        <v>100</v>
      </c>
      <c r="I93">
        <f t="shared" si="31"/>
        <v>0</v>
      </c>
      <c r="J93">
        <f t="shared" si="32"/>
        <v>0</v>
      </c>
      <c r="K93">
        <f t="shared" si="26"/>
        <v>110</v>
      </c>
      <c r="L93">
        <f>G93*Return!B93*100</f>
        <v>-20.000000000000018</v>
      </c>
      <c r="M93">
        <f>H93*Return!C93*100</f>
        <v>131.00000000000111</v>
      </c>
      <c r="N93">
        <f>I93*Return!D93*100</f>
        <v>0</v>
      </c>
      <c r="O93">
        <f>J93*Return!E93*100</f>
        <v>0</v>
      </c>
      <c r="P93">
        <f t="shared" si="23"/>
        <v>111.00000000000109</v>
      </c>
      <c r="Q93" t="e">
        <f>SUM($P$3:P93)</f>
        <v>#VALUE!</v>
      </c>
      <c r="R93">
        <f>B93*中国_中债国债到期收益率_1年!B92/365*100</f>
        <v>4.9498630136986304</v>
      </c>
      <c r="S93">
        <f>C93*中国_中债国债到期收益率_1年!C92/365*100</f>
        <v>13.818630136986302</v>
      </c>
      <c r="T93">
        <f>D93*中国_中债国债到期收益率_1年!D92/365*100</f>
        <v>0</v>
      </c>
      <c r="U93">
        <f>E93*中国_中债国债到期收益率_1年!E92/365*100</f>
        <v>0</v>
      </c>
      <c r="V93">
        <f t="shared" si="24"/>
        <v>18.768493150684932</v>
      </c>
      <c r="W93" t="e">
        <f>SUM($V$3:V93)</f>
        <v>#VALUE!</v>
      </c>
      <c r="X93">
        <f>MAX(F93-50,0)*中国_中债国债到期收益率_1年!H93*100/365</f>
        <v>0</v>
      </c>
      <c r="Y93">
        <f>SUM($X$3:X93)</f>
        <v>0</v>
      </c>
      <c r="Z93">
        <v>50</v>
      </c>
      <c r="AA93">
        <v>-50</v>
      </c>
      <c r="AB93">
        <f>Z93*Return!F93*100</f>
        <v>3.4999999999996145</v>
      </c>
      <c r="AC93">
        <f>AA93*Return!G93*100</f>
        <v>8.4999999999979536</v>
      </c>
      <c r="AD93">
        <f>SUM($AB$3:AB93)+SUM($AC$3:AC93)</f>
        <v>1218.7999999999993</v>
      </c>
      <c r="AE93" t="e">
        <f t="shared" si="27"/>
        <v>#VALUE!</v>
      </c>
      <c r="AF93" t="e">
        <f t="shared" si="28"/>
        <v>#VALUE!</v>
      </c>
      <c r="AG93" s="4" t="e">
        <f>(AF93/AF92-1)-中国_中债国债到期收益率_1年!H93%/252</f>
        <v>#VALUE!</v>
      </c>
      <c r="AH93" s="4" t="e">
        <f>MIN((AF93-MAX($AF$3:AF93))/MAX($AF$3:AF93),0)</f>
        <v>#VALUE!</v>
      </c>
    </row>
    <row r="94" spans="1:34" x14ac:dyDescent="0.25">
      <c r="A94" s="6">
        <v>44848</v>
      </c>
      <c r="B94">
        <v>10</v>
      </c>
      <c r="C94">
        <v>20</v>
      </c>
      <c r="F94">
        <f t="shared" si="25"/>
        <v>30</v>
      </c>
      <c r="G94">
        <f t="shared" si="29"/>
        <v>10</v>
      </c>
      <c r="H94">
        <f t="shared" si="30"/>
        <v>100</v>
      </c>
      <c r="I94">
        <f t="shared" si="31"/>
        <v>0</v>
      </c>
      <c r="J94">
        <f t="shared" si="32"/>
        <v>0</v>
      </c>
      <c r="K94">
        <f t="shared" si="26"/>
        <v>110</v>
      </c>
      <c r="L94">
        <f>G94*Return!B94*100</f>
        <v>1.6000000000000458</v>
      </c>
      <c r="M94">
        <f>H94*Return!C94*100</f>
        <v>97.000000000000426</v>
      </c>
      <c r="N94">
        <f>I94*Return!D94*100</f>
        <v>0</v>
      </c>
      <c r="O94">
        <f>J94*Return!E94*100</f>
        <v>0</v>
      </c>
      <c r="P94">
        <f t="shared" si="23"/>
        <v>98.600000000000477</v>
      </c>
      <c r="Q94" t="e">
        <f>SUM($P$3:P94)</f>
        <v>#VALUE!</v>
      </c>
      <c r="R94">
        <f>B94*中国_中债国债到期收益率_1年!B93/365*100</f>
        <v>4.9454794520547942</v>
      </c>
      <c r="S94">
        <f>C94*中国_中债国债到期收益率_1年!C93/365*100</f>
        <v>13.765479452054793</v>
      </c>
      <c r="T94">
        <f>D94*中国_中债国债到期收益率_1年!D93/365*100</f>
        <v>0</v>
      </c>
      <c r="U94">
        <f>E94*中国_中债国债到期收益率_1年!E93/365*100</f>
        <v>0</v>
      </c>
      <c r="V94">
        <f t="shared" si="24"/>
        <v>18.710958904109589</v>
      </c>
      <c r="W94" t="e">
        <f>SUM($V$3:V94)</f>
        <v>#VALUE!</v>
      </c>
      <c r="X94">
        <f>MAX(F94-50,0)*中国_中债国债到期收益率_1年!H94*100/365</f>
        <v>0</v>
      </c>
      <c r="Y94">
        <f>SUM($X$3:X94)</f>
        <v>0</v>
      </c>
      <c r="Z94">
        <v>50</v>
      </c>
      <c r="AA94">
        <v>-50</v>
      </c>
      <c r="AB94">
        <f>Z94*Return!F94*100</f>
        <v>54.499999999999545</v>
      </c>
      <c r="AC94">
        <f>AA94*Return!G94*100</f>
        <v>-54.499999999999545</v>
      </c>
      <c r="AD94">
        <f>SUM($AB$3:AB94)+SUM($AC$3:AC94)</f>
        <v>1218.7999999999993</v>
      </c>
      <c r="AE94" t="e">
        <f t="shared" si="27"/>
        <v>#VALUE!</v>
      </c>
      <c r="AF94" t="e">
        <f t="shared" si="28"/>
        <v>#VALUE!</v>
      </c>
      <c r="AG94" s="4" t="e">
        <f>(AF94/AF93-1)-中国_中债国债到期收益率_1年!H94%/252</f>
        <v>#VALUE!</v>
      </c>
      <c r="AH94" s="4" t="e">
        <f>MIN((AF94-MAX($AF$3:AF94))/MAX($AF$3:AF94),0)</f>
        <v>#VALUE!</v>
      </c>
    </row>
    <row r="95" spans="1:34" x14ac:dyDescent="0.25">
      <c r="A95" s="6">
        <v>44851</v>
      </c>
      <c r="B95">
        <v>10</v>
      </c>
      <c r="C95">
        <v>20</v>
      </c>
      <c r="F95">
        <f t="shared" si="25"/>
        <v>30</v>
      </c>
      <c r="G95">
        <f t="shared" si="29"/>
        <v>10</v>
      </c>
      <c r="H95">
        <f t="shared" si="30"/>
        <v>100</v>
      </c>
      <c r="I95">
        <f t="shared" si="31"/>
        <v>0</v>
      </c>
      <c r="J95">
        <f t="shared" si="32"/>
        <v>0</v>
      </c>
      <c r="K95">
        <f t="shared" si="26"/>
        <v>110</v>
      </c>
      <c r="L95">
        <f>G95*Return!B95*100</f>
        <v>20.000000000000018</v>
      </c>
      <c r="M95">
        <f>H95*Return!C95*100</f>
        <v>217.00000000000051</v>
      </c>
      <c r="N95">
        <f>I95*Return!D95*100</f>
        <v>0</v>
      </c>
      <c r="O95">
        <f>J95*Return!E95*100</f>
        <v>0</v>
      </c>
      <c r="P95">
        <f t="shared" si="23"/>
        <v>237.00000000000054</v>
      </c>
      <c r="Q95" t="e">
        <f>SUM($P$3:P95)</f>
        <v>#VALUE!</v>
      </c>
      <c r="R95">
        <f>B95*中国_中债国债到期收益率_1年!B94/365*100</f>
        <v>4.8906849315068488</v>
      </c>
      <c r="S95">
        <f>C95*中国_中债国债到期收益率_1年!C94/365*100</f>
        <v>13.646575342465756</v>
      </c>
      <c r="T95">
        <f>D95*中国_中债国债到期收益率_1年!D94/365*100</f>
        <v>0</v>
      </c>
      <c r="U95">
        <f>E95*中国_中债国债到期收益率_1年!E94/365*100</f>
        <v>0</v>
      </c>
      <c r="V95">
        <f t="shared" si="24"/>
        <v>18.537260273972606</v>
      </c>
      <c r="W95" t="e">
        <f>SUM($V$3:V95)</f>
        <v>#VALUE!</v>
      </c>
      <c r="X95">
        <f>MAX(F95-50,0)*中国_中债国债到期收益率_1年!H95*100/365</f>
        <v>0</v>
      </c>
      <c r="Y95">
        <f>SUM($X$3:X95)</f>
        <v>0</v>
      </c>
      <c r="Z95">
        <v>50</v>
      </c>
      <c r="AA95">
        <v>-50</v>
      </c>
      <c r="AB95">
        <f>Z95*Return!F95*100</f>
        <v>26.000000000000469</v>
      </c>
      <c r="AC95">
        <f>AA95*Return!G95*100</f>
        <v>-39.000000000000142</v>
      </c>
      <c r="AD95">
        <f>SUM($AB$3:AB95)+SUM($AC$3:AC95)</f>
        <v>1205.7999999999995</v>
      </c>
      <c r="AE95" t="e">
        <f t="shared" si="27"/>
        <v>#VALUE!</v>
      </c>
      <c r="AF95" t="e">
        <f t="shared" si="28"/>
        <v>#VALUE!</v>
      </c>
      <c r="AG95" s="4" t="e">
        <f>(AF95/AF94-1)-中国_中债国债到期收益率_1年!H95%/252</f>
        <v>#VALUE!</v>
      </c>
      <c r="AH95" s="4" t="e">
        <f>MIN((AF95-MAX($AF$3:AF95))/MAX($AF$3:AF95),0)</f>
        <v>#VALUE!</v>
      </c>
    </row>
    <row r="96" spans="1:34" x14ac:dyDescent="0.25">
      <c r="A96" s="6">
        <v>44852</v>
      </c>
      <c r="B96">
        <v>10</v>
      </c>
      <c r="C96">
        <v>20</v>
      </c>
      <c r="F96">
        <f t="shared" si="25"/>
        <v>30</v>
      </c>
      <c r="G96">
        <f t="shared" si="29"/>
        <v>10</v>
      </c>
      <c r="H96">
        <f t="shared" si="30"/>
        <v>100</v>
      </c>
      <c r="I96">
        <f t="shared" si="31"/>
        <v>0</v>
      </c>
      <c r="J96">
        <f t="shared" si="32"/>
        <v>0</v>
      </c>
      <c r="K96">
        <f t="shared" si="26"/>
        <v>110</v>
      </c>
      <c r="L96">
        <f>G96*Return!B96*100</f>
        <v>-0.50000000000016698</v>
      </c>
      <c r="M96">
        <f>H96*Return!C96*100</f>
        <v>-26.000000000001577</v>
      </c>
      <c r="N96">
        <f>I96*Return!D96*100</f>
        <v>0</v>
      </c>
      <c r="O96">
        <f>J96*Return!E96*100</f>
        <v>0</v>
      </c>
      <c r="P96">
        <f t="shared" si="23"/>
        <v>-26.500000000001744</v>
      </c>
      <c r="Q96" t="e">
        <f>SUM($P$3:P96)</f>
        <v>#VALUE!</v>
      </c>
      <c r="R96">
        <f>B96*中国_中债国债到期收益率_1年!B95/365*100</f>
        <v>4.8920547945205488</v>
      </c>
      <c r="S96">
        <f>C96*中国_中债国债到期收益率_1年!C95/365*100</f>
        <v>13.660821917808219</v>
      </c>
      <c r="T96">
        <f>D96*中国_中债国债到期收益率_1年!D95/365*100</f>
        <v>0</v>
      </c>
      <c r="U96">
        <f>E96*中国_中债国债到期收益率_1年!E95/365*100</f>
        <v>0</v>
      </c>
      <c r="V96">
        <f t="shared" si="24"/>
        <v>18.552876712328768</v>
      </c>
      <c r="W96" t="e">
        <f>SUM($V$3:V96)</f>
        <v>#VALUE!</v>
      </c>
      <c r="X96">
        <f>MAX(F96-50,0)*中国_中债国债到期收益率_1年!H96*100/365</f>
        <v>0</v>
      </c>
      <c r="Y96">
        <f>SUM($X$3:X96)</f>
        <v>0</v>
      </c>
      <c r="Z96">
        <v>50</v>
      </c>
      <c r="AA96">
        <v>-50</v>
      </c>
      <c r="AB96">
        <f>Z96*Return!F96*100</f>
        <v>40.999999999999929</v>
      </c>
      <c r="AC96">
        <f>AA96*Return!G96*100</f>
        <v>-62.499999999998664</v>
      </c>
      <c r="AD96">
        <f>SUM($AB$3:AB96)+SUM($AC$3:AC96)</f>
        <v>1184.3000000000009</v>
      </c>
      <c r="AE96" t="e">
        <f t="shared" si="27"/>
        <v>#VALUE!</v>
      </c>
      <c r="AF96" t="e">
        <f t="shared" si="28"/>
        <v>#VALUE!</v>
      </c>
      <c r="AG96" s="4" t="e">
        <f>(AF96/AF95-1)-中国_中债国债到期收益率_1年!H96%/252</f>
        <v>#VALUE!</v>
      </c>
      <c r="AH96" s="4" t="e">
        <f>MIN((AF96-MAX($AF$3:AF96))/MAX($AF$3:AF96),0)</f>
        <v>#VALUE!</v>
      </c>
    </row>
    <row r="97" spans="1:34" x14ac:dyDescent="0.25">
      <c r="A97" s="6">
        <v>44853</v>
      </c>
      <c r="B97">
        <v>10</v>
      </c>
      <c r="C97">
        <v>20</v>
      </c>
      <c r="F97">
        <f t="shared" si="25"/>
        <v>30</v>
      </c>
      <c r="G97">
        <f t="shared" si="29"/>
        <v>10</v>
      </c>
      <c r="H97">
        <f t="shared" si="30"/>
        <v>100</v>
      </c>
      <c r="I97">
        <f t="shared" si="31"/>
        <v>0</v>
      </c>
      <c r="J97">
        <f t="shared" si="32"/>
        <v>0</v>
      </c>
      <c r="K97">
        <f t="shared" si="26"/>
        <v>110</v>
      </c>
      <c r="L97">
        <f>G97*Return!B97*100</f>
        <v>0</v>
      </c>
      <c r="M97">
        <f>H97*Return!C97*100</f>
        <v>20.000000000002238</v>
      </c>
      <c r="N97">
        <f>I97*Return!D97*100</f>
        <v>0</v>
      </c>
      <c r="O97">
        <f>J97*Return!E97*100</f>
        <v>0</v>
      </c>
      <c r="P97">
        <f t="shared" si="23"/>
        <v>20.000000000002238</v>
      </c>
      <c r="Q97" t="e">
        <f>SUM($P$3:P97)</f>
        <v>#VALUE!</v>
      </c>
      <c r="R97">
        <f>B97*中国_中债国债到期收益率_1年!B96/365*100</f>
        <v>4.8920547945205488</v>
      </c>
      <c r="S97">
        <f>C97*中国_中债国债到期收益率_1年!C96/365*100</f>
        <v>13.64986301369863</v>
      </c>
      <c r="T97">
        <f>D97*中国_中债国债到期收益率_1年!D96/365*100</f>
        <v>0</v>
      </c>
      <c r="U97">
        <f>E97*中国_中债国债到期收益率_1年!E96/365*100</f>
        <v>0</v>
      </c>
      <c r="V97">
        <f t="shared" si="24"/>
        <v>18.541917808219178</v>
      </c>
      <c r="W97" t="e">
        <f>SUM($V$3:V97)</f>
        <v>#VALUE!</v>
      </c>
      <c r="X97">
        <f>MAX(F97-50,0)*中国_中债国债到期收益率_1年!H97*100/365</f>
        <v>0</v>
      </c>
      <c r="Y97">
        <f>SUM($X$3:X97)</f>
        <v>0</v>
      </c>
      <c r="Z97">
        <v>50</v>
      </c>
      <c r="AA97">
        <v>-50</v>
      </c>
      <c r="AB97">
        <f>Z97*Return!F97*100</f>
        <v>3.4999999999996145</v>
      </c>
      <c r="AC97">
        <f>AA97*Return!G97*100</f>
        <v>13.999999999998458</v>
      </c>
      <c r="AD97">
        <f>SUM($AB$3:AB97)+SUM($AC$3:AC97)</f>
        <v>1201.7999999999988</v>
      </c>
      <c r="AE97" t="e">
        <f t="shared" si="27"/>
        <v>#VALUE!</v>
      </c>
      <c r="AF97" t="e">
        <f t="shared" si="28"/>
        <v>#VALUE!</v>
      </c>
      <c r="AG97" s="4" t="e">
        <f>(AF97/AF96-1)-中国_中债国债到期收益率_1年!H97%/252</f>
        <v>#VALUE!</v>
      </c>
      <c r="AH97" s="4" t="e">
        <f>MIN((AF97-MAX($AF$3:AF97))/MAX($AF$3:AF97),0)</f>
        <v>#VALUE!</v>
      </c>
    </row>
    <row r="98" spans="1:34" x14ac:dyDescent="0.25">
      <c r="A98" s="6">
        <v>44854</v>
      </c>
      <c r="C98">
        <v>20</v>
      </c>
      <c r="F98">
        <f t="shared" si="25"/>
        <v>20</v>
      </c>
      <c r="G98">
        <f t="shared" si="29"/>
        <v>0</v>
      </c>
      <c r="H98">
        <f t="shared" si="30"/>
        <v>100</v>
      </c>
      <c r="I98">
        <f t="shared" si="31"/>
        <v>0</v>
      </c>
      <c r="J98">
        <f t="shared" si="32"/>
        <v>0</v>
      </c>
      <c r="K98">
        <f t="shared" si="26"/>
        <v>100</v>
      </c>
      <c r="L98">
        <f>G98*Return!B98*100</f>
        <v>0</v>
      </c>
      <c r="M98">
        <f>H98*Return!C98*100</f>
        <v>148.99999999999915</v>
      </c>
      <c r="N98">
        <f>I98*Return!D98*100</f>
        <v>0</v>
      </c>
      <c r="O98">
        <f>J98*Return!E98*100</f>
        <v>0</v>
      </c>
      <c r="P98">
        <f t="shared" si="23"/>
        <v>148.99999999999915</v>
      </c>
      <c r="Q98" t="e">
        <f>SUM($P$3:P98)</f>
        <v>#VALUE!</v>
      </c>
      <c r="R98">
        <f>B98*中国_中债国债到期收益率_1年!B97/365*100</f>
        <v>0</v>
      </c>
      <c r="S98">
        <f>C98*中国_中债国债到期收益率_1年!C97/365*100</f>
        <v>13.568219178082192</v>
      </c>
      <c r="T98">
        <f>D98*中国_中债国债到期收益率_1年!D97/365*100</f>
        <v>0</v>
      </c>
      <c r="U98">
        <f>E98*中国_中债国债到期收益率_1年!E97/365*100</f>
        <v>0</v>
      </c>
      <c r="V98">
        <f t="shared" si="24"/>
        <v>13.568219178082192</v>
      </c>
      <c r="W98" t="e">
        <f>SUM($V$3:V98)</f>
        <v>#VALUE!</v>
      </c>
      <c r="X98">
        <f>MAX(F98-50,0)*中国_中债国债到期收益率_1年!H98*100/365</f>
        <v>0</v>
      </c>
      <c r="Y98">
        <f>SUM($X$3:X98)</f>
        <v>0</v>
      </c>
      <c r="Z98">
        <v>50</v>
      </c>
      <c r="AA98">
        <v>-50</v>
      </c>
      <c r="AB98">
        <f>Z98*Return!F98*100</f>
        <v>2.5000000000008349</v>
      </c>
      <c r="AC98">
        <f>AA98*Return!G98*100</f>
        <v>-7.9999999999991189</v>
      </c>
      <c r="AD98">
        <f>SUM($AB$3:AB98)+SUM($AC$3:AC98)</f>
        <v>1196.3000000000006</v>
      </c>
      <c r="AE98" t="e">
        <f t="shared" si="27"/>
        <v>#VALUE!</v>
      </c>
      <c r="AF98" t="e">
        <f t="shared" si="28"/>
        <v>#VALUE!</v>
      </c>
      <c r="AG98" s="4" t="e">
        <f>(AF98/AF97-1)-中国_中债国债到期收益率_1年!H98%/252</f>
        <v>#VALUE!</v>
      </c>
      <c r="AH98" s="4" t="e">
        <f>MIN((AF98-MAX($AF$3:AF98))/MAX($AF$3:AF98),0)</f>
        <v>#VALUE!</v>
      </c>
    </row>
    <row r="99" spans="1:34" x14ac:dyDescent="0.25">
      <c r="A99" s="6">
        <v>44855</v>
      </c>
      <c r="C99">
        <v>30</v>
      </c>
      <c r="D99">
        <v>0</v>
      </c>
      <c r="F99">
        <f t="shared" si="25"/>
        <v>30</v>
      </c>
      <c r="G99">
        <f t="shared" si="29"/>
        <v>0</v>
      </c>
      <c r="I99">
        <f t="shared" si="31"/>
        <v>0</v>
      </c>
      <c r="J99">
        <f t="shared" si="32"/>
        <v>0</v>
      </c>
      <c r="K99">
        <f t="shared" si="26"/>
        <v>0</v>
      </c>
      <c r="L99">
        <f>G99*Return!B99*100</f>
        <v>0</v>
      </c>
      <c r="M99">
        <f>H99*Return!C99*100</f>
        <v>0</v>
      </c>
      <c r="N99">
        <f>I99*Return!D99*100</f>
        <v>0</v>
      </c>
      <c r="O99">
        <f>J99*Return!E99*100</f>
        <v>0</v>
      </c>
      <c r="P99">
        <f t="shared" si="23"/>
        <v>0</v>
      </c>
      <c r="Q99" t="e">
        <f>SUM($P$3:P99)</f>
        <v>#VALUE!</v>
      </c>
      <c r="R99">
        <f>B99*中国_中债国债到期收益率_1年!B98/365*100</f>
        <v>0</v>
      </c>
      <c r="S99">
        <f>C99*中国_中债国债到期收益率_1年!C98/365*100</f>
        <v>20.417260273972605</v>
      </c>
      <c r="T99">
        <f>D99*中国_中债国债到期收益率_1年!D98/365*100</f>
        <v>0</v>
      </c>
      <c r="U99">
        <f>E99*中国_中债国债到期收益率_1年!E98/365*100</f>
        <v>0</v>
      </c>
      <c r="V99">
        <f t="shared" si="24"/>
        <v>20.417260273972605</v>
      </c>
      <c r="W99" t="e">
        <f>SUM($V$3:V99)</f>
        <v>#VALUE!</v>
      </c>
      <c r="X99">
        <f>MAX(F99-50,0)*中国_中债国债到期收益率_1年!H99*100/365</f>
        <v>0</v>
      </c>
      <c r="Y99">
        <f>SUM($X$3:X99)</f>
        <v>0</v>
      </c>
      <c r="Z99">
        <v>50</v>
      </c>
      <c r="AA99">
        <v>-50</v>
      </c>
      <c r="AB99">
        <f>Z99*Return!F99*100</f>
        <v>-53.500000000000767</v>
      </c>
      <c r="AC99">
        <f>AA99*Return!G99*100</f>
        <v>82.500000000000909</v>
      </c>
      <c r="AD99">
        <f>SUM($AB$3:AB99)+SUM($AC$3:AC99)</f>
        <v>1225.3000000000006</v>
      </c>
      <c r="AE99" t="e">
        <f t="shared" si="27"/>
        <v>#VALUE!</v>
      </c>
      <c r="AF99" t="e">
        <f t="shared" si="28"/>
        <v>#VALUE!</v>
      </c>
      <c r="AG99" s="4" t="e">
        <f>(AF99/AF98-1)-中国_中债国债到期收益率_1年!H99%/252</f>
        <v>#VALUE!</v>
      </c>
      <c r="AH99" s="4" t="e">
        <f>MIN((AF99-MAX($AF$3:AF99))/MAX($AF$3:AF99),0)</f>
        <v>#VALUE!</v>
      </c>
    </row>
    <row r="100" spans="1:34" x14ac:dyDescent="0.25">
      <c r="A100" s="6">
        <v>44858</v>
      </c>
      <c r="C100">
        <v>30</v>
      </c>
      <c r="D100">
        <v>0</v>
      </c>
      <c r="F100">
        <f t="shared" si="25"/>
        <v>30</v>
      </c>
      <c r="G100">
        <f t="shared" si="29"/>
        <v>0</v>
      </c>
      <c r="I100">
        <f t="shared" si="31"/>
        <v>0</v>
      </c>
      <c r="J100">
        <f t="shared" si="32"/>
        <v>0</v>
      </c>
      <c r="K100">
        <f t="shared" si="26"/>
        <v>0</v>
      </c>
      <c r="L100">
        <f>G100*Return!B100*100</f>
        <v>0</v>
      </c>
      <c r="M100">
        <f>H100*Return!C100*100</f>
        <v>0</v>
      </c>
      <c r="N100">
        <f>I100*Return!D100*100</f>
        <v>0</v>
      </c>
      <c r="O100">
        <f>J100*Return!E100*100</f>
        <v>0</v>
      </c>
      <c r="P100">
        <f t="shared" si="23"/>
        <v>0</v>
      </c>
      <c r="Q100" t="e">
        <f>SUM($P$3:P100)</f>
        <v>#VALUE!</v>
      </c>
      <c r="R100">
        <f>B100*中国_中债国债到期收益率_1年!B99/365*100</f>
        <v>0</v>
      </c>
      <c r="S100">
        <f>C100*中国_中债国债到期收益率_1年!C99/365*100</f>
        <v>20.48054794520548</v>
      </c>
      <c r="T100">
        <f>D100*中国_中债国债到期收益率_1年!D99/365*100</f>
        <v>0</v>
      </c>
      <c r="U100">
        <f>E100*中国_中债国债到期收益率_1年!E99/365*100</f>
        <v>0</v>
      </c>
      <c r="V100">
        <f t="shared" si="24"/>
        <v>20.48054794520548</v>
      </c>
      <c r="W100" t="e">
        <f>SUM($V$3:V100)</f>
        <v>#VALUE!</v>
      </c>
      <c r="X100">
        <f>MAX(F100-50,0)*中国_中债国债到期收益率_1年!H100*100/365</f>
        <v>0</v>
      </c>
      <c r="Y100">
        <f>SUM($X$3:X100)</f>
        <v>0</v>
      </c>
      <c r="AA100">
        <v>-50</v>
      </c>
      <c r="AB100">
        <f>Z100*Return!F100*100</f>
        <v>0</v>
      </c>
      <c r="AC100">
        <f>AA100*Return!G100*100</f>
        <v>41.999999999999815</v>
      </c>
      <c r="AD100">
        <f>SUM($AB$3:AB100)+SUM($AC$3:AC100)</f>
        <v>1267.3000000000004</v>
      </c>
      <c r="AE100" t="e">
        <f t="shared" si="27"/>
        <v>#VALUE!</v>
      </c>
      <c r="AF100" t="e">
        <f t="shared" si="28"/>
        <v>#VALUE!</v>
      </c>
      <c r="AG100" s="4" t="e">
        <f>(AF100/AF99-1)-中国_中债国债到期收益率_1年!H100%/252</f>
        <v>#VALUE!</v>
      </c>
      <c r="AH100" s="4" t="e">
        <f>MIN((AF100-MAX($AF$3:AF100))/MAX($AF$3:AF100),0)</f>
        <v>#VALUE!</v>
      </c>
    </row>
    <row r="101" spans="1:34" x14ac:dyDescent="0.25">
      <c r="A101" s="6">
        <v>44859</v>
      </c>
      <c r="C101">
        <v>30</v>
      </c>
      <c r="D101">
        <v>0</v>
      </c>
      <c r="F101">
        <f t="shared" si="25"/>
        <v>30</v>
      </c>
      <c r="G101">
        <f t="shared" si="29"/>
        <v>0</v>
      </c>
      <c r="I101">
        <f t="shared" si="31"/>
        <v>0</v>
      </c>
      <c r="J101">
        <f t="shared" si="32"/>
        <v>0</v>
      </c>
      <c r="K101">
        <f t="shared" si="26"/>
        <v>0</v>
      </c>
      <c r="L101">
        <f>G101*Return!B101*100</f>
        <v>0</v>
      </c>
      <c r="M101">
        <f>H101*Return!C101*100</f>
        <v>0</v>
      </c>
      <c r="N101">
        <f>I101*Return!D101*100</f>
        <v>0</v>
      </c>
      <c r="O101">
        <f>J101*Return!E101*100</f>
        <v>0</v>
      </c>
      <c r="P101">
        <f t="shared" si="23"/>
        <v>0</v>
      </c>
      <c r="Q101" t="e">
        <f>SUM($P$3:P101)</f>
        <v>#VALUE!</v>
      </c>
      <c r="R101">
        <f>B101*中国_中债国债到期收益率_1年!B100/365*100</f>
        <v>0</v>
      </c>
      <c r="S101">
        <f>C101*中国_中债国债到期收益率_1年!C100/365*100</f>
        <v>20.426301369863012</v>
      </c>
      <c r="T101">
        <f>D101*中国_中债国债到期收益率_1年!D100/365*100</f>
        <v>0</v>
      </c>
      <c r="U101">
        <f>E101*中国_中债国债到期收益率_1年!E100/365*100</f>
        <v>0</v>
      </c>
      <c r="V101">
        <f t="shared" si="24"/>
        <v>20.426301369863012</v>
      </c>
      <c r="W101" t="e">
        <f>SUM($V$3:V101)</f>
        <v>#VALUE!</v>
      </c>
      <c r="X101">
        <f>MAX(F101-50,0)*中国_中债国债到期收益率_1年!H101*100/365</f>
        <v>0</v>
      </c>
      <c r="Y101">
        <f>SUM($X$3:X101)</f>
        <v>0</v>
      </c>
      <c r="AA101">
        <v>-50</v>
      </c>
      <c r="AB101">
        <f>Z101*Return!F101*100</f>
        <v>0</v>
      </c>
      <c r="AC101">
        <f>AA101*Return!G101*100</f>
        <v>-26.500000000000412</v>
      </c>
      <c r="AD101">
        <f>SUM($AB$3:AB101)+SUM($AC$3:AC101)</f>
        <v>1240.8</v>
      </c>
      <c r="AE101" t="e">
        <f t="shared" si="27"/>
        <v>#VALUE!</v>
      </c>
      <c r="AF101" t="e">
        <f t="shared" si="28"/>
        <v>#VALUE!</v>
      </c>
      <c r="AG101" s="4" t="e">
        <f>(AF101/AF100-1)-中国_中债国债到期收益率_1年!H101%/252</f>
        <v>#VALUE!</v>
      </c>
      <c r="AH101" s="4" t="e">
        <f>MIN((AF101-MAX($AF$3:AF101))/MAX($AF$3:AF101),0)</f>
        <v>#VALUE!</v>
      </c>
    </row>
    <row r="102" spans="1:34" x14ac:dyDescent="0.25">
      <c r="A102" s="6">
        <v>44860</v>
      </c>
      <c r="C102">
        <v>30</v>
      </c>
      <c r="D102">
        <v>0</v>
      </c>
      <c r="F102">
        <f t="shared" si="25"/>
        <v>30</v>
      </c>
      <c r="G102">
        <f t="shared" si="29"/>
        <v>0</v>
      </c>
      <c r="I102">
        <f t="shared" si="31"/>
        <v>0</v>
      </c>
      <c r="J102">
        <f t="shared" si="32"/>
        <v>0</v>
      </c>
      <c r="K102">
        <f t="shared" si="26"/>
        <v>0</v>
      </c>
      <c r="L102">
        <f>G102*Return!B102*100</f>
        <v>0</v>
      </c>
      <c r="M102">
        <f>H102*Return!C102*100</f>
        <v>0</v>
      </c>
      <c r="N102">
        <f>I102*Return!D102*100</f>
        <v>0</v>
      </c>
      <c r="O102">
        <f>J102*Return!E102*100</f>
        <v>0</v>
      </c>
      <c r="P102">
        <f t="shared" si="23"/>
        <v>0</v>
      </c>
      <c r="Q102" t="e">
        <f>SUM($P$3:P102)</f>
        <v>#VALUE!</v>
      </c>
      <c r="R102">
        <f>B102*中国_中债国债到期收益率_1年!B101/365*100</f>
        <v>0</v>
      </c>
      <c r="S102">
        <f>C102*中国_中债国债到期收益率_1年!C101/365*100</f>
        <v>20.573424657534247</v>
      </c>
      <c r="T102">
        <f>D102*中国_中债国债到期收益率_1年!D101/365*100</f>
        <v>0</v>
      </c>
      <c r="U102">
        <f>E102*中国_中债国债到期收益率_1年!E101/365*100</f>
        <v>0</v>
      </c>
      <c r="V102">
        <f t="shared" si="24"/>
        <v>20.573424657534247</v>
      </c>
      <c r="W102" t="e">
        <f>SUM($V$3:V102)</f>
        <v>#VALUE!</v>
      </c>
      <c r="X102">
        <f>MAX(F102-50,0)*中国_中债国债到期收益率_1年!H102*100/365</f>
        <v>0</v>
      </c>
      <c r="Y102">
        <f>SUM($X$3:X102)</f>
        <v>0</v>
      </c>
      <c r="AA102">
        <v>-50</v>
      </c>
      <c r="AB102">
        <f>Z102*Return!F102*100</f>
        <v>0</v>
      </c>
      <c r="AC102">
        <f>AA102*Return!G102*100</f>
        <v>39.000000000000142</v>
      </c>
      <c r="AD102">
        <f>SUM($AB$3:AB102)+SUM($AC$3:AC102)</f>
        <v>1279.8000000000002</v>
      </c>
      <c r="AE102" t="e">
        <f t="shared" si="27"/>
        <v>#VALUE!</v>
      </c>
      <c r="AF102" t="e">
        <f t="shared" si="28"/>
        <v>#VALUE!</v>
      </c>
      <c r="AG102" s="4" t="e">
        <f>(AF102/AF101-1)-中国_中债国债到期收益率_1年!H102%/252</f>
        <v>#VALUE!</v>
      </c>
      <c r="AH102" s="4" t="e">
        <f>MIN((AF102-MAX($AF$3:AF102))/MAX($AF$3:AF102),0)</f>
        <v>#VALUE!</v>
      </c>
    </row>
    <row r="103" spans="1:34" x14ac:dyDescent="0.25">
      <c r="A103" s="6">
        <v>44861</v>
      </c>
      <c r="C103">
        <v>30</v>
      </c>
      <c r="D103">
        <v>0</v>
      </c>
      <c r="F103">
        <f t="shared" si="25"/>
        <v>30</v>
      </c>
      <c r="G103">
        <f t="shared" si="29"/>
        <v>0</v>
      </c>
      <c r="I103">
        <f t="shared" si="31"/>
        <v>0</v>
      </c>
      <c r="J103">
        <f t="shared" si="32"/>
        <v>0</v>
      </c>
      <c r="K103">
        <f t="shared" si="26"/>
        <v>0</v>
      </c>
      <c r="L103">
        <f>G103*Return!B103*100</f>
        <v>0</v>
      </c>
      <c r="M103">
        <f>H103*Return!C103*100</f>
        <v>0</v>
      </c>
      <c r="N103">
        <f>I103*Return!D103*100</f>
        <v>0</v>
      </c>
      <c r="O103">
        <f>J103*Return!E103*100</f>
        <v>0</v>
      </c>
      <c r="P103">
        <f t="shared" si="23"/>
        <v>0</v>
      </c>
      <c r="Q103" t="e">
        <f>SUM($P$3:P103)</f>
        <v>#VALUE!</v>
      </c>
      <c r="R103">
        <f>B103*中国_中债国债到期收益率_1年!B102/365*100</f>
        <v>0</v>
      </c>
      <c r="S103">
        <f>C103*中国_中债国债到期收益率_1年!C102/365*100</f>
        <v>20.412328767123284</v>
      </c>
      <c r="T103">
        <f>D103*中国_中债国债到期收益率_1年!D102/365*100</f>
        <v>0</v>
      </c>
      <c r="U103">
        <f>E103*中国_中债国债到期收益率_1年!E102/365*100</f>
        <v>0</v>
      </c>
      <c r="V103">
        <f t="shared" si="24"/>
        <v>20.412328767123284</v>
      </c>
      <c r="W103" t="e">
        <f>SUM($V$3:V103)</f>
        <v>#VALUE!</v>
      </c>
      <c r="X103">
        <f>MAX(F103-50,0)*中国_中债国债到期收益率_1年!H103*100/365</f>
        <v>0</v>
      </c>
      <c r="Y103">
        <f>SUM($X$3:X103)</f>
        <v>0</v>
      </c>
      <c r="AB103">
        <f>Z103*Return!F103*100</f>
        <v>0</v>
      </c>
      <c r="AC103">
        <f>AA103*Return!G103*100</f>
        <v>0</v>
      </c>
      <c r="AD103">
        <f>SUM($AB$3:AB103)+SUM($AC$3:AC103)</f>
        <v>1279.8000000000002</v>
      </c>
      <c r="AE103" t="e">
        <f t="shared" si="27"/>
        <v>#VALUE!</v>
      </c>
      <c r="AF103" t="e">
        <f t="shared" si="28"/>
        <v>#VALUE!</v>
      </c>
      <c r="AG103" s="4" t="e">
        <f>(AF103/AF102-1)-中国_中债国债到期收益率_1年!H103%/252</f>
        <v>#VALUE!</v>
      </c>
      <c r="AH103" s="4" t="e">
        <f>MIN((AF103-MAX($AF$3:AF103))/MAX($AF$3:AF103),0)</f>
        <v>#VALUE!</v>
      </c>
    </row>
    <row r="104" spans="1:34" x14ac:dyDescent="0.25">
      <c r="A104" s="6">
        <v>44862</v>
      </c>
      <c r="C104">
        <v>30</v>
      </c>
      <c r="D104">
        <v>0</v>
      </c>
      <c r="F104">
        <f t="shared" si="25"/>
        <v>30</v>
      </c>
      <c r="G104">
        <f t="shared" si="29"/>
        <v>0</v>
      </c>
      <c r="I104">
        <f t="shared" si="31"/>
        <v>0</v>
      </c>
      <c r="J104">
        <f t="shared" si="32"/>
        <v>0</v>
      </c>
      <c r="K104">
        <f t="shared" si="26"/>
        <v>0</v>
      </c>
      <c r="L104">
        <f>G104*Return!B104*100</f>
        <v>0</v>
      </c>
      <c r="M104">
        <f>H104*Return!C104*100</f>
        <v>0</v>
      </c>
      <c r="N104">
        <f>I104*Return!D104*100</f>
        <v>0</v>
      </c>
      <c r="O104">
        <f>J104*Return!E104*100</f>
        <v>0</v>
      </c>
      <c r="P104">
        <f t="shared" si="23"/>
        <v>0</v>
      </c>
      <c r="Q104" t="e">
        <f>SUM($P$3:P104)</f>
        <v>#VALUE!</v>
      </c>
      <c r="R104">
        <f>B104*中国_中债国债到期收益率_1年!B103/365*100</f>
        <v>0</v>
      </c>
      <c r="S104">
        <f>C104*中国_中债国债到期收益率_1年!C103/365*100</f>
        <v>20.248767123287674</v>
      </c>
      <c r="T104">
        <f>D104*中国_中债国债到期收益率_1年!D103/365*100</f>
        <v>0</v>
      </c>
      <c r="U104">
        <f>E104*中国_中债国债到期收益率_1年!E103/365*100</f>
        <v>0</v>
      </c>
      <c r="V104">
        <f t="shared" si="24"/>
        <v>20.248767123287674</v>
      </c>
      <c r="W104" t="e">
        <f>SUM($V$3:V104)</f>
        <v>#VALUE!</v>
      </c>
      <c r="X104">
        <f>MAX(F104-50,0)*中国_中债国债到期收益率_1年!H104*100/365</f>
        <v>0</v>
      </c>
      <c r="Y104">
        <f>SUM($X$3:X104)</f>
        <v>0</v>
      </c>
      <c r="AB104">
        <f>Z104*Return!F104*100</f>
        <v>0</v>
      </c>
      <c r="AC104">
        <f>AA104*Return!G104*100</f>
        <v>0</v>
      </c>
      <c r="AD104">
        <f>SUM($AB$3:AB104)+SUM($AC$3:AC104)</f>
        <v>1279.8000000000002</v>
      </c>
      <c r="AE104" t="e">
        <f t="shared" si="27"/>
        <v>#VALUE!</v>
      </c>
      <c r="AF104" t="e">
        <f t="shared" si="28"/>
        <v>#VALUE!</v>
      </c>
      <c r="AG104" s="4" t="e">
        <f>(AF104/AF103-1)-中国_中债国债到期收益率_1年!H104%/252</f>
        <v>#VALUE!</v>
      </c>
      <c r="AH104" s="4" t="e">
        <f>MIN((AF104-MAX($AF$3:AF104))/MAX($AF$3:AF104),0)</f>
        <v>#VALUE!</v>
      </c>
    </row>
    <row r="105" spans="1:34" x14ac:dyDescent="0.25">
      <c r="A105" s="6">
        <v>44865</v>
      </c>
      <c r="C105">
        <v>30</v>
      </c>
      <c r="D105">
        <v>0</v>
      </c>
      <c r="F105">
        <f t="shared" si="25"/>
        <v>30</v>
      </c>
      <c r="G105">
        <f t="shared" si="29"/>
        <v>0</v>
      </c>
      <c r="I105">
        <f t="shared" si="31"/>
        <v>0</v>
      </c>
      <c r="J105">
        <f t="shared" si="32"/>
        <v>0</v>
      </c>
      <c r="K105">
        <f t="shared" si="26"/>
        <v>0</v>
      </c>
      <c r="L105">
        <f>G105*Return!B105*100</f>
        <v>0</v>
      </c>
      <c r="M105">
        <f>H105*Return!C105*100</f>
        <v>0</v>
      </c>
      <c r="N105">
        <f>I105*Return!D105*100</f>
        <v>0</v>
      </c>
      <c r="O105">
        <f>J105*Return!E105*100</f>
        <v>0</v>
      </c>
      <c r="P105">
        <f t="shared" si="23"/>
        <v>0</v>
      </c>
      <c r="Q105" t="e">
        <f>SUM($P$3:P105)</f>
        <v>#VALUE!</v>
      </c>
      <c r="R105">
        <f>B105*中国_中债国债到期收益率_1年!B104/365*100</f>
        <v>0</v>
      </c>
      <c r="S105">
        <f>C105*中国_中债国债到期收益率_1年!C104/365*100</f>
        <v>20.003013698630138</v>
      </c>
      <c r="T105">
        <f>D105*中国_中债国债到期收益率_1年!D104/365*100</f>
        <v>0</v>
      </c>
      <c r="U105">
        <f>E105*中国_中债国债到期收益率_1年!E104/365*100</f>
        <v>0</v>
      </c>
      <c r="V105">
        <f t="shared" si="24"/>
        <v>20.003013698630138</v>
      </c>
      <c r="W105" t="e">
        <f>SUM($V$3:V105)</f>
        <v>#VALUE!</v>
      </c>
      <c r="X105">
        <f>MAX(F105-50,0)*中国_中债国债到期收益率_1年!H105*100/365</f>
        <v>0</v>
      </c>
      <c r="Y105">
        <f>SUM($X$3:X105)</f>
        <v>0</v>
      </c>
      <c r="AB105">
        <f>Z105*Return!F105*100</f>
        <v>0</v>
      </c>
      <c r="AC105">
        <f>AA105*Return!G105*100</f>
        <v>0</v>
      </c>
      <c r="AD105">
        <f>SUM($AB$3:AB105)+SUM($AC$3:AC105)</f>
        <v>1279.8000000000002</v>
      </c>
      <c r="AE105" t="e">
        <f t="shared" si="27"/>
        <v>#VALUE!</v>
      </c>
      <c r="AF105" t="e">
        <f t="shared" si="28"/>
        <v>#VALUE!</v>
      </c>
      <c r="AG105" s="4" t="e">
        <f>(AF105/AF104-1)-中国_中债国债到期收益率_1年!H105%/252</f>
        <v>#VALUE!</v>
      </c>
      <c r="AH105" s="4" t="e">
        <f>MIN((AF105-MAX($AF$3:AF105))/MAX($AF$3:AF105),0)</f>
        <v>#VALUE!</v>
      </c>
    </row>
    <row r="106" spans="1:34" x14ac:dyDescent="0.25">
      <c r="A106" s="6">
        <v>44866</v>
      </c>
      <c r="C106">
        <v>30</v>
      </c>
      <c r="D106">
        <v>0</v>
      </c>
      <c r="F106">
        <f t="shared" si="25"/>
        <v>30</v>
      </c>
      <c r="G106">
        <f t="shared" si="29"/>
        <v>0</v>
      </c>
      <c r="I106">
        <f t="shared" si="31"/>
        <v>0</v>
      </c>
      <c r="J106">
        <f t="shared" si="32"/>
        <v>0</v>
      </c>
      <c r="K106">
        <f t="shared" si="26"/>
        <v>0</v>
      </c>
      <c r="L106">
        <f>G106*Return!B106*100</f>
        <v>0</v>
      </c>
      <c r="M106">
        <f>H106*Return!C106*100</f>
        <v>0</v>
      </c>
      <c r="N106">
        <f>I106*Return!D106*100</f>
        <v>0</v>
      </c>
      <c r="O106">
        <f>J106*Return!E106*100</f>
        <v>0</v>
      </c>
      <c r="P106">
        <f t="shared" si="23"/>
        <v>0</v>
      </c>
      <c r="Q106" t="e">
        <f>SUM($P$3:P106)</f>
        <v>#VALUE!</v>
      </c>
      <c r="R106">
        <f>B106*中国_中债国债到期收益率_1年!B105/365*100</f>
        <v>0</v>
      </c>
      <c r="S106">
        <f>C106*中国_中债国债到期收益率_1年!C105/365*100</f>
        <v>19.949589041095891</v>
      </c>
      <c r="T106">
        <f>D106*中国_中债国债到期收益率_1年!D105/365*100</f>
        <v>0</v>
      </c>
      <c r="U106">
        <f>E106*中国_中债国债到期收益率_1年!E105/365*100</f>
        <v>0</v>
      </c>
      <c r="V106">
        <f t="shared" si="24"/>
        <v>19.949589041095891</v>
      </c>
      <c r="W106" t="e">
        <f>SUM($V$3:V106)</f>
        <v>#VALUE!</v>
      </c>
      <c r="X106">
        <f>MAX(F106-50,0)*中国_中债国债到期收益率_1年!H106*100/365</f>
        <v>0</v>
      </c>
      <c r="Y106">
        <f>SUM($X$3:X106)</f>
        <v>0</v>
      </c>
      <c r="AB106">
        <f>Z106*Return!F106*100</f>
        <v>0</v>
      </c>
      <c r="AC106">
        <f>AA106*Return!G106*100</f>
        <v>0</v>
      </c>
      <c r="AD106">
        <f>SUM($AB$3:AB106)+SUM($AC$3:AC106)</f>
        <v>1279.8000000000002</v>
      </c>
      <c r="AE106" t="e">
        <f t="shared" si="27"/>
        <v>#VALUE!</v>
      </c>
      <c r="AF106" t="e">
        <f t="shared" si="28"/>
        <v>#VALUE!</v>
      </c>
      <c r="AG106" s="4" t="e">
        <f>(AF106/AF105-1)-中国_中债国债到期收益率_1年!H106%/252</f>
        <v>#VALUE!</v>
      </c>
      <c r="AH106" s="4" t="e">
        <f>MIN((AF106-MAX($AF$3:AF106))/MAX($AF$3:AF106),0)</f>
        <v>#VALUE!</v>
      </c>
    </row>
    <row r="107" spans="1:34" x14ac:dyDescent="0.25">
      <c r="A107" s="6">
        <v>44867</v>
      </c>
      <c r="C107">
        <v>30</v>
      </c>
      <c r="D107">
        <v>0</v>
      </c>
      <c r="F107">
        <f t="shared" si="25"/>
        <v>30</v>
      </c>
      <c r="G107">
        <f t="shared" si="29"/>
        <v>0</v>
      </c>
      <c r="I107">
        <f t="shared" si="31"/>
        <v>0</v>
      </c>
      <c r="J107">
        <f t="shared" si="32"/>
        <v>0</v>
      </c>
      <c r="K107">
        <f t="shared" si="26"/>
        <v>0</v>
      </c>
      <c r="L107">
        <f>G107*Return!B107*100</f>
        <v>0</v>
      </c>
      <c r="M107">
        <f>H107*Return!C107*100</f>
        <v>0</v>
      </c>
      <c r="N107">
        <f>I107*Return!D107*100</f>
        <v>0</v>
      </c>
      <c r="O107">
        <f>J107*Return!E107*100</f>
        <v>0</v>
      </c>
      <c r="P107">
        <f t="shared" si="23"/>
        <v>0</v>
      </c>
      <c r="Q107" t="e">
        <f>SUM($P$3:P107)</f>
        <v>#VALUE!</v>
      </c>
      <c r="R107">
        <f>B107*中国_中债国债到期收益率_1年!B106/365*100</f>
        <v>0</v>
      </c>
      <c r="S107">
        <f>C107*中国_中债国债到期收益率_1年!C106/365*100</f>
        <v>20.117260273972601</v>
      </c>
      <c r="T107">
        <f>D107*中国_中债国债到期收益率_1年!D106/365*100</f>
        <v>0</v>
      </c>
      <c r="U107">
        <f>E107*中国_中债国债到期收益率_1年!E106/365*100</f>
        <v>0</v>
      </c>
      <c r="V107">
        <f t="shared" si="24"/>
        <v>20.117260273972601</v>
      </c>
      <c r="W107" t="e">
        <f>SUM($V$3:V107)</f>
        <v>#VALUE!</v>
      </c>
      <c r="X107">
        <f>MAX(F107-50,0)*中国_中债国债到期收益率_1年!H107*100/365</f>
        <v>0</v>
      </c>
      <c r="Y107">
        <f>SUM($X$3:X107)</f>
        <v>0</v>
      </c>
      <c r="AB107">
        <f>Z107*Return!F107*100</f>
        <v>0</v>
      </c>
      <c r="AC107">
        <f>AA107*Return!G107*100</f>
        <v>0</v>
      </c>
      <c r="AD107">
        <f>SUM($AB$3:AB107)+SUM($AC$3:AC107)</f>
        <v>1279.8000000000002</v>
      </c>
      <c r="AE107" t="e">
        <f t="shared" si="27"/>
        <v>#VALUE!</v>
      </c>
      <c r="AF107" t="e">
        <f t="shared" si="28"/>
        <v>#VALUE!</v>
      </c>
      <c r="AG107" s="4" t="e">
        <f>(AF107/AF106-1)-中国_中债国债到期收益率_1年!H107%/252</f>
        <v>#VALUE!</v>
      </c>
      <c r="AH107" s="4" t="e">
        <f>MIN((AF107-MAX($AF$3:AF107))/MAX($AF$3:AF107),0)</f>
        <v>#VALUE!</v>
      </c>
    </row>
    <row r="108" spans="1:34" x14ac:dyDescent="0.25">
      <c r="A108" s="6">
        <v>44868</v>
      </c>
      <c r="C108">
        <v>20</v>
      </c>
      <c r="D108">
        <v>0</v>
      </c>
      <c r="F108">
        <f t="shared" si="25"/>
        <v>20</v>
      </c>
      <c r="G108">
        <f t="shared" si="29"/>
        <v>0</v>
      </c>
      <c r="I108">
        <f t="shared" si="31"/>
        <v>0</v>
      </c>
      <c r="J108">
        <f t="shared" si="32"/>
        <v>0</v>
      </c>
      <c r="K108">
        <f t="shared" si="26"/>
        <v>0</v>
      </c>
      <c r="L108">
        <f>G108*Return!B108*100</f>
        <v>0</v>
      </c>
      <c r="M108">
        <f>H108*Return!C108*100</f>
        <v>0</v>
      </c>
      <c r="N108">
        <f>I108*Return!D108*100</f>
        <v>0</v>
      </c>
      <c r="O108">
        <f>J108*Return!E108*100</f>
        <v>0</v>
      </c>
      <c r="P108">
        <f t="shared" si="23"/>
        <v>0</v>
      </c>
      <c r="Q108" t="e">
        <f>SUM($P$3:P108)</f>
        <v>#VALUE!</v>
      </c>
      <c r="R108">
        <f>B108*中国_中债国债到期收益率_1年!B107/365*100</f>
        <v>0</v>
      </c>
      <c r="S108">
        <f>C108*中国_中债国债到期收益率_1年!C107/365*100</f>
        <v>13.495342465753424</v>
      </c>
      <c r="T108">
        <f>D108*中国_中债国债到期收益率_1年!D107/365*100</f>
        <v>0</v>
      </c>
      <c r="U108">
        <f>E108*中国_中债国债到期收益率_1年!E107/365*100</f>
        <v>0</v>
      </c>
      <c r="V108">
        <f t="shared" si="24"/>
        <v>13.495342465753424</v>
      </c>
      <c r="W108" t="e">
        <f>SUM($V$3:V108)</f>
        <v>#VALUE!</v>
      </c>
      <c r="X108">
        <f>MAX(F108-50,0)*中国_中债国债到期收益率_1年!H108*100/365</f>
        <v>0</v>
      </c>
      <c r="Y108">
        <f>SUM($X$3:X108)</f>
        <v>0</v>
      </c>
      <c r="AB108">
        <f>Z108*Return!F108*100</f>
        <v>0</v>
      </c>
      <c r="AC108">
        <f>AA108*Return!G108*100</f>
        <v>0</v>
      </c>
      <c r="AD108">
        <f>SUM($AB$3:AB108)+SUM($AC$3:AC108)</f>
        <v>1279.8000000000002</v>
      </c>
      <c r="AE108" t="e">
        <f t="shared" si="27"/>
        <v>#VALUE!</v>
      </c>
      <c r="AF108" t="e">
        <f t="shared" si="28"/>
        <v>#VALUE!</v>
      </c>
      <c r="AG108" s="4" t="e">
        <f>(AF108/AF107-1)-中国_中债国债到期收益率_1年!H108%/252</f>
        <v>#VALUE!</v>
      </c>
      <c r="AH108" s="4" t="e">
        <f>MIN((AF108-MAX($AF$3:AF108))/MAX($AF$3:AF108),0)</f>
        <v>#VALUE!</v>
      </c>
    </row>
    <row r="109" spans="1:34" x14ac:dyDescent="0.25">
      <c r="A109" s="6">
        <v>44869</v>
      </c>
      <c r="C109">
        <v>20</v>
      </c>
      <c r="D109">
        <v>0</v>
      </c>
      <c r="F109">
        <f t="shared" si="25"/>
        <v>20</v>
      </c>
      <c r="G109">
        <f t="shared" si="29"/>
        <v>0</v>
      </c>
      <c r="I109">
        <f t="shared" si="31"/>
        <v>0</v>
      </c>
      <c r="J109">
        <f t="shared" si="32"/>
        <v>0</v>
      </c>
      <c r="K109">
        <f t="shared" si="26"/>
        <v>0</v>
      </c>
      <c r="L109">
        <f>G109*Return!B109*100</f>
        <v>0</v>
      </c>
      <c r="M109">
        <f>H109*Return!C109*100</f>
        <v>0</v>
      </c>
      <c r="N109">
        <f>I109*Return!D109*100</f>
        <v>0</v>
      </c>
      <c r="O109">
        <f>J109*Return!E109*100</f>
        <v>0</v>
      </c>
      <c r="P109">
        <f t="shared" si="23"/>
        <v>0</v>
      </c>
      <c r="Q109" t="e">
        <f>SUM($P$3:P109)</f>
        <v>#VALUE!</v>
      </c>
      <c r="R109">
        <f>B109*中国_中债国债到期收益率_1年!B108/365*100</f>
        <v>0</v>
      </c>
      <c r="S109">
        <f>C109*中国_中债国债到期收益率_1年!C108/365*100</f>
        <v>13.496986301369866</v>
      </c>
      <c r="T109">
        <f>D109*中国_中债国债到期收益率_1年!D108/365*100</f>
        <v>0</v>
      </c>
      <c r="U109">
        <f>E109*中国_中债国债到期收益率_1年!E108/365*100</f>
        <v>0</v>
      </c>
      <c r="V109">
        <f t="shared" si="24"/>
        <v>13.496986301369866</v>
      </c>
      <c r="W109" t="e">
        <f>SUM($V$3:V109)</f>
        <v>#VALUE!</v>
      </c>
      <c r="X109">
        <f>MAX(F109-50,0)*中国_中债国债到期收益率_1年!H109*100/365</f>
        <v>0</v>
      </c>
      <c r="Y109">
        <f>SUM($X$3:X109)</f>
        <v>0</v>
      </c>
      <c r="AB109">
        <f>Z109*Return!F109*100</f>
        <v>0</v>
      </c>
      <c r="AC109">
        <f>AA109*Return!G109*100</f>
        <v>0</v>
      </c>
      <c r="AD109">
        <f>SUM($AB$3:AB109)+SUM($AC$3:AC109)</f>
        <v>1279.8000000000002</v>
      </c>
      <c r="AE109" t="e">
        <f t="shared" si="27"/>
        <v>#VALUE!</v>
      </c>
      <c r="AF109" t="e">
        <f t="shared" si="28"/>
        <v>#VALUE!</v>
      </c>
      <c r="AG109" s="4" t="e">
        <f>(AF109/AF108-1)-中国_中债国债到期收益率_1年!H109%/252</f>
        <v>#VALUE!</v>
      </c>
      <c r="AH109" s="4" t="e">
        <f>MIN((AF109-MAX($AF$3:AF109))/MAX($AF$3:AF109),0)</f>
        <v>#VALUE!</v>
      </c>
    </row>
    <row r="110" spans="1:34" x14ac:dyDescent="0.25">
      <c r="A110" s="6">
        <v>44872</v>
      </c>
      <c r="C110">
        <v>20</v>
      </c>
      <c r="D110">
        <v>0</v>
      </c>
      <c r="F110">
        <f t="shared" si="25"/>
        <v>20</v>
      </c>
      <c r="G110">
        <f t="shared" si="29"/>
        <v>0</v>
      </c>
      <c r="I110">
        <f t="shared" si="31"/>
        <v>0</v>
      </c>
      <c r="J110">
        <f t="shared" si="32"/>
        <v>0</v>
      </c>
      <c r="K110">
        <f t="shared" si="26"/>
        <v>0</v>
      </c>
      <c r="L110">
        <f>G110*Return!B110*100</f>
        <v>0</v>
      </c>
      <c r="M110">
        <f>H110*Return!C110*100</f>
        <v>0</v>
      </c>
      <c r="N110">
        <f>I110*Return!D110*100</f>
        <v>0</v>
      </c>
      <c r="O110">
        <f>J110*Return!E110*100</f>
        <v>0</v>
      </c>
      <c r="P110">
        <f t="shared" si="23"/>
        <v>0</v>
      </c>
      <c r="Q110" t="e">
        <f>SUM($P$3:P110)</f>
        <v>#VALUE!</v>
      </c>
      <c r="R110">
        <f>B110*中国_中债国债到期收益率_1年!B109/365*100</f>
        <v>0</v>
      </c>
      <c r="S110">
        <f>C110*中国_中债国债到期收益率_1年!C109/365*100</f>
        <v>13.636712328767123</v>
      </c>
      <c r="T110">
        <f>D110*中国_中债国债到期收益率_1年!D109/365*100</f>
        <v>0</v>
      </c>
      <c r="U110">
        <f>E110*中国_中债国债到期收益率_1年!E109/365*100</f>
        <v>0</v>
      </c>
      <c r="V110">
        <f t="shared" si="24"/>
        <v>13.636712328767123</v>
      </c>
      <c r="W110" t="e">
        <f>SUM($V$3:V110)</f>
        <v>#VALUE!</v>
      </c>
      <c r="X110">
        <f>MAX(F110-50,0)*中国_中债国债到期收益率_1年!H110*100/365</f>
        <v>0</v>
      </c>
      <c r="Y110">
        <f>SUM($X$3:X110)</f>
        <v>0</v>
      </c>
      <c r="AB110">
        <f>Z110*Return!F110*100</f>
        <v>0</v>
      </c>
      <c r="AC110">
        <f>AA110*Return!G110*100</f>
        <v>0</v>
      </c>
      <c r="AD110">
        <f>SUM($AB$3:AB110)+SUM($AC$3:AC110)</f>
        <v>1279.8000000000002</v>
      </c>
      <c r="AE110" t="e">
        <f t="shared" si="27"/>
        <v>#VALUE!</v>
      </c>
      <c r="AF110" t="e">
        <f t="shared" si="28"/>
        <v>#VALUE!</v>
      </c>
      <c r="AG110" s="4" t="e">
        <f>(AF110/AF109-1)-中国_中债国债到期收益率_1年!H110%/252</f>
        <v>#VALUE!</v>
      </c>
      <c r="AH110" s="4" t="e">
        <f>MIN((AF110-MAX($AF$3:AF110))/MAX($AF$3:AF110),0)</f>
        <v>#VALUE!</v>
      </c>
    </row>
    <row r="111" spans="1:34" x14ac:dyDescent="0.25">
      <c r="A111" s="6">
        <v>44873</v>
      </c>
      <c r="B111">
        <v>10</v>
      </c>
      <c r="C111">
        <v>20</v>
      </c>
      <c r="D111">
        <v>0</v>
      </c>
      <c r="F111">
        <f t="shared" si="25"/>
        <v>30</v>
      </c>
      <c r="G111">
        <f t="shared" si="29"/>
        <v>10</v>
      </c>
      <c r="I111">
        <f t="shared" si="31"/>
        <v>0</v>
      </c>
      <c r="J111">
        <f t="shared" si="32"/>
        <v>0</v>
      </c>
      <c r="K111">
        <f t="shared" si="26"/>
        <v>10</v>
      </c>
      <c r="L111">
        <f>G111*Return!B111*100</f>
        <v>11.199999999999877</v>
      </c>
      <c r="M111">
        <f>H111*Return!C111*100</f>
        <v>0</v>
      </c>
      <c r="N111">
        <f>I111*Return!D111*100</f>
        <v>0</v>
      </c>
      <c r="O111">
        <f>J111*Return!E111*100</f>
        <v>0</v>
      </c>
      <c r="P111">
        <f t="shared" si="23"/>
        <v>11.199999999999877</v>
      </c>
      <c r="Q111" t="e">
        <f>SUM($P$3:P111)</f>
        <v>#VALUE!</v>
      </c>
      <c r="R111">
        <f>B111*中国_中债国债到期收益率_1年!B110/365*100</f>
        <v>4.7989041095890421</v>
      </c>
      <c r="S111">
        <f>C111*中国_中债国债到期收益率_1年!C110/365*100</f>
        <v>13.668493150684933</v>
      </c>
      <c r="T111">
        <f>D111*中国_中债国债到期收益率_1年!D110/365*100</f>
        <v>0</v>
      </c>
      <c r="U111">
        <f>E111*中国_中债国债到期收益率_1年!E110/365*100</f>
        <v>0</v>
      </c>
      <c r="V111">
        <f t="shared" si="24"/>
        <v>18.467397260273977</v>
      </c>
      <c r="W111" t="e">
        <f>SUM($V$3:V111)</f>
        <v>#VALUE!</v>
      </c>
      <c r="X111">
        <f>MAX(F111-50,0)*中国_中债国债到期收益率_1年!H111*100/365</f>
        <v>0</v>
      </c>
      <c r="Y111">
        <f>SUM($X$3:X111)</f>
        <v>0</v>
      </c>
      <c r="AB111">
        <f>Z111*Return!F111*100</f>
        <v>0</v>
      </c>
      <c r="AC111">
        <f>AA111*Return!G111*100</f>
        <v>0</v>
      </c>
      <c r="AD111">
        <f>SUM($AB$3:AB111)+SUM($AC$3:AC111)</f>
        <v>1279.8000000000002</v>
      </c>
      <c r="AE111" t="e">
        <f t="shared" si="27"/>
        <v>#VALUE!</v>
      </c>
      <c r="AF111" t="e">
        <f t="shared" si="28"/>
        <v>#VALUE!</v>
      </c>
      <c r="AG111" s="4" t="e">
        <f>(AF111/AF110-1)-中国_中债国债到期收益率_1年!H111%/252</f>
        <v>#VALUE!</v>
      </c>
      <c r="AH111" s="4" t="e">
        <f>MIN((AF111-MAX($AF$3:AF111))/MAX($AF$3:AF111),0)</f>
        <v>#VALUE!</v>
      </c>
    </row>
    <row r="112" spans="1:34" x14ac:dyDescent="0.25">
      <c r="A112" s="6">
        <v>44874</v>
      </c>
      <c r="B112">
        <v>10</v>
      </c>
      <c r="C112">
        <v>10</v>
      </c>
      <c r="D112">
        <v>0</v>
      </c>
      <c r="F112">
        <f t="shared" si="25"/>
        <v>20</v>
      </c>
      <c r="G112">
        <f t="shared" si="29"/>
        <v>10</v>
      </c>
      <c r="I112">
        <f t="shared" si="31"/>
        <v>0</v>
      </c>
      <c r="J112">
        <f t="shared" si="32"/>
        <v>0</v>
      </c>
      <c r="K112">
        <f t="shared" si="26"/>
        <v>10</v>
      </c>
      <c r="L112">
        <f>G112*Return!B112*100</f>
        <v>-25.800000000000047</v>
      </c>
      <c r="M112">
        <f>H112*Return!C112*100</f>
        <v>0</v>
      </c>
      <c r="N112">
        <f>I112*Return!D112*100</f>
        <v>0</v>
      </c>
      <c r="O112">
        <f>J112*Return!E112*100</f>
        <v>0</v>
      </c>
      <c r="P112">
        <f t="shared" si="23"/>
        <v>-25.800000000000047</v>
      </c>
      <c r="Q112" t="e">
        <f>SUM($P$3:P112)</f>
        <v>#VALUE!</v>
      </c>
      <c r="R112">
        <f>B112*中国_中债国债到期收益率_1年!B111/365*100</f>
        <v>4.8695890410958906</v>
      </c>
      <c r="S112">
        <f>C112*中国_中债国债到期收益率_1年!C111/365*100</f>
        <v>6.8057534246575351</v>
      </c>
      <c r="T112">
        <f>D112*中国_中债国债到期收益率_1年!D111/365*100</f>
        <v>0</v>
      </c>
      <c r="U112">
        <f>E112*中国_中债国债到期收益率_1年!E111/365*100</f>
        <v>0</v>
      </c>
      <c r="V112">
        <f t="shared" si="24"/>
        <v>11.675342465753426</v>
      </c>
      <c r="W112" t="e">
        <f>SUM($V$3:V112)</f>
        <v>#VALUE!</v>
      </c>
      <c r="X112">
        <f>MAX(F112-50,0)*中国_中债国债到期收益率_1年!H112*100/365</f>
        <v>0</v>
      </c>
      <c r="Y112">
        <f>SUM($X$3:X112)</f>
        <v>0</v>
      </c>
      <c r="AB112">
        <f>Z112*Return!F112*100</f>
        <v>0</v>
      </c>
      <c r="AC112">
        <f>AA112*Return!G112*100</f>
        <v>0</v>
      </c>
      <c r="AD112">
        <f>SUM($AB$3:AB112)+SUM($AC$3:AC112)</f>
        <v>1279.8000000000002</v>
      </c>
      <c r="AE112" t="e">
        <f t="shared" si="27"/>
        <v>#VALUE!</v>
      </c>
      <c r="AF112" t="e">
        <f t="shared" si="28"/>
        <v>#VALUE!</v>
      </c>
      <c r="AG112" s="4" t="e">
        <f>(AF112/AF111-1)-中国_中债国债到期收益率_1年!H112%/252</f>
        <v>#VALUE!</v>
      </c>
      <c r="AH112" s="4" t="e">
        <f>MIN((AF112-MAX($AF$3:AF112))/MAX($AF$3:AF112),0)</f>
        <v>#VALUE!</v>
      </c>
    </row>
    <row r="113" spans="1:34" x14ac:dyDescent="0.25">
      <c r="A113" s="6">
        <v>44875</v>
      </c>
      <c r="B113">
        <v>10</v>
      </c>
      <c r="C113">
        <v>10</v>
      </c>
      <c r="D113">
        <v>0</v>
      </c>
      <c r="F113">
        <f t="shared" si="25"/>
        <v>20</v>
      </c>
      <c r="G113">
        <f t="shared" si="29"/>
        <v>10</v>
      </c>
      <c r="I113">
        <f t="shared" si="31"/>
        <v>0</v>
      </c>
      <c r="J113">
        <f t="shared" si="32"/>
        <v>0</v>
      </c>
      <c r="K113">
        <f t="shared" si="26"/>
        <v>10</v>
      </c>
      <c r="L113">
        <f>G113*Return!B113*100</f>
        <v>-38.20000000000001</v>
      </c>
      <c r="M113">
        <f>H113*Return!C113*100</f>
        <v>0</v>
      </c>
      <c r="N113">
        <f>I113*Return!D113*100</f>
        <v>0</v>
      </c>
      <c r="O113">
        <f>J113*Return!E113*100</f>
        <v>0</v>
      </c>
      <c r="P113">
        <f t="shared" si="23"/>
        <v>-38.20000000000001</v>
      </c>
      <c r="Q113" t="e">
        <f>SUM($P$3:P113)</f>
        <v>#VALUE!</v>
      </c>
      <c r="R113">
        <f>B113*中国_中债国债到期收益率_1年!B112/365*100</f>
        <v>4.9742465753424661</v>
      </c>
      <c r="S113">
        <f>C113*中国_中债国债到期收益率_1年!C112/365*100</f>
        <v>6.8405479452054792</v>
      </c>
      <c r="T113">
        <f>D113*中国_中债国债到期收益率_1年!D112/365*100</f>
        <v>0</v>
      </c>
      <c r="U113">
        <f>E113*中国_中债国债到期收益率_1年!E112/365*100</f>
        <v>0</v>
      </c>
      <c r="V113">
        <f t="shared" si="24"/>
        <v>11.814794520547945</v>
      </c>
      <c r="W113" t="e">
        <f>SUM($V$3:V113)</f>
        <v>#VALUE!</v>
      </c>
      <c r="X113">
        <f>MAX(F113-50,0)*中国_中债国债到期收益率_1年!H113*100/365</f>
        <v>0</v>
      </c>
      <c r="Y113">
        <f>SUM($X$3:X113)</f>
        <v>0</v>
      </c>
      <c r="AB113">
        <f>Z113*Return!F113*100</f>
        <v>0</v>
      </c>
      <c r="AC113">
        <f>AA113*Return!G113*100</f>
        <v>0</v>
      </c>
      <c r="AD113">
        <f>SUM($AB$3:AB113)+SUM($AC$3:AC113)</f>
        <v>1279.8000000000002</v>
      </c>
      <c r="AE113" t="e">
        <f t="shared" si="27"/>
        <v>#VALUE!</v>
      </c>
      <c r="AF113" t="e">
        <f t="shared" si="28"/>
        <v>#VALUE!</v>
      </c>
      <c r="AG113" s="4" t="e">
        <f>(AF113/AF112-1)-中国_中债国债到期收益率_1年!H113%/252</f>
        <v>#VALUE!</v>
      </c>
      <c r="AH113" s="4" t="e">
        <f>MIN((AF113-MAX($AF$3:AF113))/MAX($AF$3:AF113),0)</f>
        <v>#VALUE!</v>
      </c>
    </row>
    <row r="114" spans="1:34" x14ac:dyDescent="0.25">
      <c r="A114" s="6">
        <v>44876</v>
      </c>
      <c r="B114">
        <v>10</v>
      </c>
      <c r="C114">
        <v>10</v>
      </c>
      <c r="D114">
        <v>0</v>
      </c>
      <c r="F114">
        <f t="shared" si="25"/>
        <v>20</v>
      </c>
      <c r="G114">
        <f t="shared" si="29"/>
        <v>10</v>
      </c>
      <c r="I114">
        <f t="shared" si="31"/>
        <v>0</v>
      </c>
      <c r="J114">
        <f t="shared" si="32"/>
        <v>0</v>
      </c>
      <c r="K114">
        <f t="shared" si="26"/>
        <v>10</v>
      </c>
      <c r="L114">
        <f>G114*Return!B114*100</f>
        <v>-42.799999999999947</v>
      </c>
      <c r="M114">
        <f>H114*Return!C114*100</f>
        <v>0</v>
      </c>
      <c r="N114">
        <f>I114*Return!D114*100</f>
        <v>0</v>
      </c>
      <c r="O114">
        <f>J114*Return!E114*100</f>
        <v>0</v>
      </c>
      <c r="P114">
        <f t="shared" si="23"/>
        <v>-42.799999999999947</v>
      </c>
      <c r="Q114" t="e">
        <f>SUM($P$3:P114)</f>
        <v>#VALUE!</v>
      </c>
      <c r="R114">
        <f>B114*中国_中债国债到期收益率_1年!B113/365*100</f>
        <v>5.0915068493150679</v>
      </c>
      <c r="S114">
        <f>C114*中国_中债国债到期收益率_1年!C113/365*100</f>
        <v>6.8553424657534254</v>
      </c>
      <c r="T114">
        <f>D114*中国_中债国债到期收益率_1年!D113/365*100</f>
        <v>0</v>
      </c>
      <c r="U114">
        <f>E114*中国_中债国债到期收益率_1年!E113/365*100</f>
        <v>0</v>
      </c>
      <c r="V114">
        <f t="shared" si="24"/>
        <v>11.946849315068494</v>
      </c>
      <c r="W114" t="e">
        <f>SUM($V$3:V114)</f>
        <v>#VALUE!</v>
      </c>
      <c r="X114">
        <f>MAX(F114-50,0)*中国_中债国债到期收益率_1年!H114*100/365</f>
        <v>0</v>
      </c>
      <c r="Y114">
        <f>SUM($X$3:X114)</f>
        <v>0</v>
      </c>
      <c r="AB114">
        <f>Z114*Return!F114*100</f>
        <v>0</v>
      </c>
      <c r="AC114">
        <f>AA114*Return!G114*100</f>
        <v>0</v>
      </c>
      <c r="AD114">
        <f>SUM($AB$3:AB114)+SUM($AC$3:AC114)</f>
        <v>1279.8000000000002</v>
      </c>
      <c r="AE114" t="e">
        <f t="shared" si="27"/>
        <v>#VALUE!</v>
      </c>
      <c r="AF114" t="e">
        <f t="shared" si="28"/>
        <v>#VALUE!</v>
      </c>
      <c r="AG114" s="4" t="e">
        <f>(AF114/AF113-1)-中国_中债国债到期收益率_1年!H114%/252</f>
        <v>#VALUE!</v>
      </c>
      <c r="AH114" s="4" t="e">
        <f>MIN((AF114-MAX($AF$3:AF114))/MAX($AF$3:AF114),0)</f>
        <v>#VALUE!</v>
      </c>
    </row>
    <row r="115" spans="1:34" x14ac:dyDescent="0.25">
      <c r="A115" s="6">
        <v>44879</v>
      </c>
      <c r="B115">
        <v>10</v>
      </c>
      <c r="C115">
        <v>10</v>
      </c>
      <c r="D115">
        <v>0</v>
      </c>
      <c r="F115">
        <f t="shared" si="25"/>
        <v>20</v>
      </c>
      <c r="G115">
        <f t="shared" si="29"/>
        <v>10</v>
      </c>
      <c r="I115">
        <f t="shared" si="31"/>
        <v>0</v>
      </c>
      <c r="J115">
        <f t="shared" si="32"/>
        <v>0</v>
      </c>
      <c r="K115">
        <f t="shared" si="26"/>
        <v>10</v>
      </c>
      <c r="L115">
        <f>G115*Return!B115*100</f>
        <v>-102.99999999999999</v>
      </c>
      <c r="M115">
        <f>H115*Return!C115*100</f>
        <v>0</v>
      </c>
      <c r="N115">
        <f>I115*Return!D115*100</f>
        <v>0</v>
      </c>
      <c r="O115">
        <f>J115*Return!E115*100</f>
        <v>0</v>
      </c>
      <c r="P115">
        <f t="shared" si="23"/>
        <v>-102.99999999999999</v>
      </c>
      <c r="Q115" t="e">
        <f>SUM($P$3:P115)</f>
        <v>#VALUE!</v>
      </c>
      <c r="R115">
        <f>B115*中国_中债国债到期收益率_1年!B114/365*100</f>
        <v>5.3736986301369871</v>
      </c>
      <c r="S115">
        <f>C115*中国_中债国债到期收益率_1年!C114/365*100</f>
        <v>6.9446575342465762</v>
      </c>
      <c r="T115">
        <f>D115*中国_中债国债到期收益率_1年!D114/365*100</f>
        <v>0</v>
      </c>
      <c r="U115">
        <f>E115*中国_中债国债到期收益率_1年!E114/365*100</f>
        <v>0</v>
      </c>
      <c r="V115">
        <f t="shared" si="24"/>
        <v>12.318356164383562</v>
      </c>
      <c r="W115" t="e">
        <f>SUM($V$3:V115)</f>
        <v>#VALUE!</v>
      </c>
      <c r="X115">
        <f>MAX(F115-50,0)*中国_中债国债到期收益率_1年!H115*100/365</f>
        <v>0</v>
      </c>
      <c r="Y115">
        <f>SUM($X$3:X115)</f>
        <v>0</v>
      </c>
      <c r="AB115">
        <f>Z115*Return!F115*100</f>
        <v>0</v>
      </c>
      <c r="AC115">
        <f>AA115*Return!G115*100</f>
        <v>0</v>
      </c>
      <c r="AD115">
        <f>SUM($AB$3:AB115)+SUM($AC$3:AC115)</f>
        <v>1279.8000000000002</v>
      </c>
      <c r="AE115" t="e">
        <f t="shared" si="27"/>
        <v>#VALUE!</v>
      </c>
      <c r="AF115" t="e">
        <f t="shared" si="28"/>
        <v>#VALUE!</v>
      </c>
      <c r="AG115" s="4" t="e">
        <f>(AF115/AF114-1)-中国_中债国债到期收益率_1年!H115%/252</f>
        <v>#VALUE!</v>
      </c>
      <c r="AH115" s="4" t="e">
        <f>MIN((AF115-MAX($AF$3:AF115))/MAX($AF$3:AF115),0)</f>
        <v>#VALUE!</v>
      </c>
    </row>
    <row r="116" spans="1:34" x14ac:dyDescent="0.25">
      <c r="A116" s="6">
        <v>44880</v>
      </c>
      <c r="B116">
        <v>10</v>
      </c>
      <c r="C116">
        <v>10</v>
      </c>
      <c r="D116">
        <v>0</v>
      </c>
      <c r="F116">
        <f t="shared" si="25"/>
        <v>20</v>
      </c>
      <c r="G116">
        <f t="shared" si="29"/>
        <v>10</v>
      </c>
      <c r="I116">
        <f t="shared" si="31"/>
        <v>0</v>
      </c>
      <c r="J116">
        <f t="shared" si="32"/>
        <v>0</v>
      </c>
      <c r="K116">
        <f t="shared" si="26"/>
        <v>10</v>
      </c>
      <c r="L116">
        <f>G116*Return!B116*100</f>
        <v>-104.89999999999999</v>
      </c>
      <c r="M116">
        <f>H116*Return!C116*100</f>
        <v>0</v>
      </c>
      <c r="N116">
        <f>I116*Return!D116*100</f>
        <v>0</v>
      </c>
      <c r="O116">
        <f>J116*Return!E116*100</f>
        <v>0</v>
      </c>
      <c r="P116">
        <f t="shared" si="23"/>
        <v>-104.89999999999999</v>
      </c>
      <c r="Q116" t="e">
        <f>SUM($P$3:P116)</f>
        <v>#VALUE!</v>
      </c>
      <c r="R116">
        <f>B116*中国_中债国债到期收益率_1年!B115/365*100</f>
        <v>5.6610958904109587</v>
      </c>
      <c r="S116">
        <f>C116*中国_中债国债到期收益率_1年!C115/365*100</f>
        <v>7.2531506849315068</v>
      </c>
      <c r="T116">
        <f>D116*中国_中债国债到期收益率_1年!D115/365*100</f>
        <v>0</v>
      </c>
      <c r="U116">
        <f>E116*中国_中债国债到期收益率_1年!E115/365*100</f>
        <v>0</v>
      </c>
      <c r="V116">
        <f t="shared" si="24"/>
        <v>12.914246575342466</v>
      </c>
      <c r="W116" t="e">
        <f>SUM($V$3:V116)</f>
        <v>#VALUE!</v>
      </c>
      <c r="X116">
        <f>MAX(F116-50,0)*中国_中债国债到期收益率_1年!H116*100/365</f>
        <v>0</v>
      </c>
      <c r="Y116">
        <f>SUM($X$3:X116)</f>
        <v>0</v>
      </c>
      <c r="AB116">
        <f>Z116*Return!F116*100</f>
        <v>0</v>
      </c>
      <c r="AC116">
        <f>AA116*Return!G116*100</f>
        <v>0</v>
      </c>
      <c r="AD116">
        <f>SUM($AB$3:AB116)+SUM($AC$3:AC116)</f>
        <v>1279.8000000000002</v>
      </c>
      <c r="AE116" t="e">
        <f t="shared" si="27"/>
        <v>#VALUE!</v>
      </c>
      <c r="AF116" t="e">
        <f t="shared" si="28"/>
        <v>#VALUE!</v>
      </c>
      <c r="AG116" s="4" t="e">
        <f>(AF116/AF115-1)-中国_中债国债到期收益率_1年!H116%/252</f>
        <v>#VALUE!</v>
      </c>
      <c r="AH116" s="4" t="e">
        <f>MIN((AF116-MAX($AF$3:AF116))/MAX($AF$3:AF116),0)</f>
        <v>#VALUE!</v>
      </c>
    </row>
    <row r="117" spans="1:34" x14ac:dyDescent="0.25">
      <c r="A117" s="6">
        <v>44881</v>
      </c>
      <c r="B117">
        <v>10</v>
      </c>
      <c r="C117">
        <v>10</v>
      </c>
      <c r="D117">
        <v>0</v>
      </c>
      <c r="F117">
        <f t="shared" si="25"/>
        <v>20</v>
      </c>
      <c r="G117">
        <f t="shared" si="29"/>
        <v>10</v>
      </c>
      <c r="H117">
        <v>10</v>
      </c>
      <c r="I117">
        <f t="shared" si="31"/>
        <v>0</v>
      </c>
      <c r="J117">
        <f t="shared" si="32"/>
        <v>0</v>
      </c>
      <c r="K117">
        <f t="shared" si="26"/>
        <v>20</v>
      </c>
      <c r="L117">
        <f>G117*Return!B117*100</f>
        <v>-67.899999999999849</v>
      </c>
      <c r="M117">
        <f>H117*Return!C117*100</f>
        <v>-9.9999999999766942E-2</v>
      </c>
      <c r="N117">
        <f>I117*Return!D117*100</f>
        <v>0</v>
      </c>
      <c r="O117">
        <f>J117*Return!E117*100</f>
        <v>0</v>
      </c>
      <c r="P117">
        <f t="shared" si="23"/>
        <v>-67.999999999999616</v>
      </c>
      <c r="Q117" t="e">
        <f>SUM($P$3:P117)</f>
        <v>#VALUE!</v>
      </c>
      <c r="R117">
        <f>B117*中国_中债国债到期收益率_1年!B116/365*100</f>
        <v>5.8471232876712325</v>
      </c>
      <c r="S117">
        <f>C117*中国_中债国债到期收益率_1年!C116/365*100</f>
        <v>7.2534246575342465</v>
      </c>
      <c r="T117">
        <f>D117*中国_中债国债到期收益率_1年!D116/365*100</f>
        <v>0</v>
      </c>
      <c r="U117">
        <f>E117*中国_中债国债到期收益率_1年!E116/365*100</f>
        <v>0</v>
      </c>
      <c r="V117">
        <f t="shared" si="24"/>
        <v>13.100547945205479</v>
      </c>
      <c r="W117" t="e">
        <f>SUM($V$3:V117)</f>
        <v>#VALUE!</v>
      </c>
      <c r="X117">
        <f>MAX(F117-50,0)*中国_中债国债到期收益率_1年!H117*100/365</f>
        <v>0</v>
      </c>
      <c r="Y117">
        <f>SUM($X$3:X117)</f>
        <v>0</v>
      </c>
      <c r="AB117">
        <f>Z117*Return!F117*100</f>
        <v>0</v>
      </c>
      <c r="AC117">
        <f>AA117*Return!G117*100</f>
        <v>0</v>
      </c>
      <c r="AD117">
        <f>SUM($AB$3:AB117)+SUM($AC$3:AC117)</f>
        <v>1279.8000000000002</v>
      </c>
      <c r="AE117" t="e">
        <f t="shared" si="27"/>
        <v>#VALUE!</v>
      </c>
      <c r="AF117" t="e">
        <f t="shared" si="28"/>
        <v>#VALUE!</v>
      </c>
      <c r="AG117" s="4" t="e">
        <f>(AF117/AF116-1)-中国_中债国债到期收益率_1年!H117%/252</f>
        <v>#VALUE!</v>
      </c>
      <c r="AH117" s="4" t="e">
        <f>MIN((AF117-MAX($AF$3:AF117))/MAX($AF$3:AF117),0)</f>
        <v>#VALUE!</v>
      </c>
    </row>
    <row r="118" spans="1:34" x14ac:dyDescent="0.25">
      <c r="A118" s="6">
        <v>44882</v>
      </c>
      <c r="B118">
        <v>10</v>
      </c>
      <c r="C118">
        <v>10</v>
      </c>
      <c r="D118">
        <v>0</v>
      </c>
      <c r="F118">
        <f t="shared" si="25"/>
        <v>20</v>
      </c>
      <c r="G118">
        <f t="shared" si="29"/>
        <v>10</v>
      </c>
      <c r="H118">
        <v>10</v>
      </c>
      <c r="I118">
        <f t="shared" si="31"/>
        <v>0</v>
      </c>
      <c r="J118">
        <f t="shared" si="32"/>
        <v>0</v>
      </c>
      <c r="K118">
        <f t="shared" si="26"/>
        <v>20</v>
      </c>
      <c r="L118">
        <f>G118*Return!B118*100</f>
        <v>-67.200000000000145</v>
      </c>
      <c r="M118">
        <f>H118*Return!C118*100</f>
        <v>-34.899999999999935</v>
      </c>
      <c r="N118">
        <f>I118*Return!D118*100</f>
        <v>0</v>
      </c>
      <c r="O118">
        <f>J118*Return!E118*100</f>
        <v>0</v>
      </c>
      <c r="P118">
        <f t="shared" si="23"/>
        <v>-102.10000000000008</v>
      </c>
      <c r="Q118" t="e">
        <f>SUM($P$3:P118)</f>
        <v>#VALUE!</v>
      </c>
      <c r="R118">
        <f>B118*中国_中债国债到期收益率_1年!B117/365*100</f>
        <v>6.0312328767123287</v>
      </c>
      <c r="S118">
        <f>C118*中国_中债国债到期收益率_1年!C117/365*100</f>
        <v>7.34904109589041</v>
      </c>
      <c r="T118">
        <f>D118*中国_中债国债到期收益率_1年!D117/365*100</f>
        <v>0</v>
      </c>
      <c r="U118">
        <f>E118*中国_中债国债到期收益率_1年!E117/365*100</f>
        <v>0</v>
      </c>
      <c r="V118">
        <f t="shared" si="24"/>
        <v>13.380273972602739</v>
      </c>
      <c r="W118" t="e">
        <f>SUM($V$3:V118)</f>
        <v>#VALUE!</v>
      </c>
      <c r="X118">
        <f>MAX(F118-50,0)*中国_中债国债到期收益率_1年!H118*100/365</f>
        <v>0</v>
      </c>
      <c r="Y118">
        <f>SUM($X$3:X118)</f>
        <v>0</v>
      </c>
      <c r="AB118">
        <f>Z118*Return!F118*100</f>
        <v>0</v>
      </c>
      <c r="AC118">
        <f>AA118*Return!G118*100</f>
        <v>0</v>
      </c>
      <c r="AD118">
        <f>SUM($AB$3:AB118)+SUM($AC$3:AC118)</f>
        <v>1279.8000000000002</v>
      </c>
      <c r="AE118" t="e">
        <f t="shared" si="27"/>
        <v>#VALUE!</v>
      </c>
      <c r="AF118" t="e">
        <f t="shared" si="28"/>
        <v>#VALUE!</v>
      </c>
      <c r="AG118" s="4" t="e">
        <f>(AF118/AF117-1)-中国_中债国债到期收益率_1年!H118%/252</f>
        <v>#VALUE!</v>
      </c>
      <c r="AH118" s="4" t="e">
        <f>MIN((AF118-MAX($AF$3:AF118))/MAX($AF$3:AF118),0)</f>
        <v>#VALUE!</v>
      </c>
    </row>
    <row r="119" spans="1:34" x14ac:dyDescent="0.25">
      <c r="A119" s="6">
        <v>44883</v>
      </c>
      <c r="B119">
        <v>10</v>
      </c>
      <c r="C119">
        <v>10</v>
      </c>
      <c r="D119">
        <v>0</v>
      </c>
      <c r="F119">
        <f t="shared" si="25"/>
        <v>20</v>
      </c>
      <c r="G119">
        <v>20</v>
      </c>
      <c r="H119">
        <v>10</v>
      </c>
      <c r="I119">
        <f t="shared" si="31"/>
        <v>0</v>
      </c>
      <c r="J119">
        <f t="shared" si="32"/>
        <v>0</v>
      </c>
      <c r="K119">
        <f t="shared" si="26"/>
        <v>30</v>
      </c>
      <c r="L119">
        <f>G119*Return!B119*100</f>
        <v>59.800000000000075</v>
      </c>
      <c r="M119">
        <f>H119*Return!C119*100</f>
        <v>44.499999999999758</v>
      </c>
      <c r="N119">
        <f>I119*Return!D119*100</f>
        <v>0</v>
      </c>
      <c r="O119">
        <f>J119*Return!E119*100</f>
        <v>0</v>
      </c>
      <c r="P119">
        <f t="shared" si="23"/>
        <v>104.29999999999984</v>
      </c>
      <c r="Q119" t="e">
        <f>SUM($P$3:P119)</f>
        <v>#VALUE!</v>
      </c>
      <c r="R119">
        <f>B119*中国_中债国债到期收益率_1年!B118/365*100</f>
        <v>5.9493150684931511</v>
      </c>
      <c r="S119">
        <f>C119*中国_中债国债到期收益率_1年!C118/365*100</f>
        <v>7.2271232876712332</v>
      </c>
      <c r="T119">
        <f>D119*中国_中债国债到期收益率_1年!D118/365*100</f>
        <v>0</v>
      </c>
      <c r="U119">
        <f>E119*中国_中债国债到期收益率_1年!E118/365*100</f>
        <v>0</v>
      </c>
      <c r="V119">
        <f t="shared" si="24"/>
        <v>13.176438356164384</v>
      </c>
      <c r="W119" t="e">
        <f>SUM($V$3:V119)</f>
        <v>#VALUE!</v>
      </c>
      <c r="X119">
        <f>MAX(F119-50,0)*中国_中债国债到期收益率_1年!H119*100/365</f>
        <v>0</v>
      </c>
      <c r="Y119">
        <f>SUM($X$3:X119)</f>
        <v>0</v>
      </c>
      <c r="AB119">
        <f>Z119*Return!F119*100</f>
        <v>0</v>
      </c>
      <c r="AC119">
        <f>AA119*Return!G119*100</f>
        <v>0</v>
      </c>
      <c r="AD119">
        <f>SUM($AB$3:AB119)+SUM($AC$3:AC119)</f>
        <v>1279.8000000000002</v>
      </c>
      <c r="AE119" t="e">
        <f t="shared" si="27"/>
        <v>#VALUE!</v>
      </c>
      <c r="AF119" t="e">
        <f t="shared" si="28"/>
        <v>#VALUE!</v>
      </c>
      <c r="AG119" s="4" t="e">
        <f>(AF119/AF118-1)-中国_中债国债到期收益率_1年!H119%/252</f>
        <v>#VALUE!</v>
      </c>
      <c r="AH119" s="4" t="e">
        <f>MIN((AF119-MAX($AF$3:AF119))/MAX($AF$3:AF119),0)</f>
        <v>#VALUE!</v>
      </c>
    </row>
    <row r="120" spans="1:34" x14ac:dyDescent="0.25">
      <c r="A120" s="6">
        <v>44886</v>
      </c>
      <c r="B120">
        <v>10</v>
      </c>
      <c r="C120">
        <v>10</v>
      </c>
      <c r="D120">
        <v>0</v>
      </c>
      <c r="F120">
        <f t="shared" si="25"/>
        <v>20</v>
      </c>
      <c r="G120">
        <v>20</v>
      </c>
      <c r="H120">
        <v>10</v>
      </c>
      <c r="I120">
        <f t="shared" ref="I120:I147" si="33">9*D120</f>
        <v>0</v>
      </c>
      <c r="J120">
        <f t="shared" ref="J120:J147" si="34">16*E120</f>
        <v>0</v>
      </c>
      <c r="K120">
        <f t="shared" si="26"/>
        <v>30</v>
      </c>
      <c r="L120">
        <f>G120*Return!B120*100</f>
        <v>-0.60000000000037801</v>
      </c>
      <c r="M120">
        <f>H120*Return!C120*100</f>
        <v>9.800000000000253</v>
      </c>
      <c r="N120">
        <f>I120*Return!D120*100</f>
        <v>0</v>
      </c>
      <c r="O120">
        <f>J120*Return!E120*100</f>
        <v>0</v>
      </c>
      <c r="P120">
        <f t="shared" si="23"/>
        <v>9.1999999999998749</v>
      </c>
      <c r="Q120" t="e">
        <f>SUM($P$3:P120)</f>
        <v>#VALUE!</v>
      </c>
      <c r="R120">
        <f>B120*中国_中债国债到期收益率_1年!B119/365*100</f>
        <v>5.9501369863013709</v>
      </c>
      <c r="S120">
        <f>C120*中国_中债国债到期收益率_1年!C119/365*100</f>
        <v>7.2002739726027389</v>
      </c>
      <c r="T120">
        <f>D120*中国_中债国债到期收益率_1年!D119/365*100</f>
        <v>0</v>
      </c>
      <c r="U120">
        <f>E120*中国_中债国债到期收益率_1年!E119/365*100</f>
        <v>0</v>
      </c>
      <c r="V120">
        <f t="shared" si="24"/>
        <v>13.150410958904111</v>
      </c>
      <c r="W120" t="e">
        <f>SUM($V$3:V120)</f>
        <v>#VALUE!</v>
      </c>
      <c r="X120">
        <f>MAX(F120-50,0)*中国_中债国债到期收益率_1年!H120*100/365</f>
        <v>0</v>
      </c>
      <c r="Y120">
        <f>SUM($X$3:X120)</f>
        <v>0</v>
      </c>
      <c r="AB120">
        <f>Z120*Return!F120*100</f>
        <v>0</v>
      </c>
      <c r="AC120">
        <f>AA120*Return!G120*100</f>
        <v>0</v>
      </c>
      <c r="AD120">
        <f>SUM($AB$3:AB120)+SUM($AC$3:AC120)</f>
        <v>1279.8000000000002</v>
      </c>
      <c r="AE120" t="e">
        <f t="shared" si="27"/>
        <v>#VALUE!</v>
      </c>
      <c r="AF120" t="e">
        <f t="shared" si="28"/>
        <v>#VALUE!</v>
      </c>
      <c r="AG120" s="4" t="e">
        <f>(AF120/AF119-1)-中国_中债国债到期收益率_1年!H120%/252</f>
        <v>#VALUE!</v>
      </c>
      <c r="AH120" s="4" t="e">
        <f>MIN((AF120-MAX($AF$3:AF120))/MAX($AF$3:AF120),0)</f>
        <v>#VALUE!</v>
      </c>
    </row>
    <row r="121" spans="1:34" x14ac:dyDescent="0.25">
      <c r="A121" s="6">
        <v>44887</v>
      </c>
      <c r="B121">
        <v>10</v>
      </c>
      <c r="C121">
        <v>10</v>
      </c>
      <c r="D121">
        <v>0</v>
      </c>
      <c r="F121">
        <f t="shared" si="25"/>
        <v>20</v>
      </c>
      <c r="G121">
        <v>20</v>
      </c>
      <c r="H121">
        <v>10</v>
      </c>
      <c r="I121">
        <f t="shared" si="33"/>
        <v>0</v>
      </c>
      <c r="J121">
        <f t="shared" si="34"/>
        <v>0</v>
      </c>
      <c r="K121">
        <f t="shared" si="26"/>
        <v>30</v>
      </c>
      <c r="L121">
        <f>G121*Return!B121*100</f>
        <v>42.800000000000615</v>
      </c>
      <c r="M121">
        <f>H121*Return!C121*100</f>
        <v>8.599999999999941</v>
      </c>
      <c r="N121">
        <f>I121*Return!D121*100</f>
        <v>0</v>
      </c>
      <c r="O121">
        <f>J121*Return!E121*100</f>
        <v>0</v>
      </c>
      <c r="P121">
        <f t="shared" si="23"/>
        <v>51.40000000000056</v>
      </c>
      <c r="Q121" t="e">
        <f>SUM($P$3:P121)</f>
        <v>#VALUE!</v>
      </c>
      <c r="R121">
        <f>B121*中国_中债国债到期收益率_1年!B120/365*100</f>
        <v>5.8915068493150677</v>
      </c>
      <c r="S121">
        <f>C121*中国_中债国债到期收益率_1年!C120/365*100</f>
        <v>7.1767123287671239</v>
      </c>
      <c r="T121">
        <f>D121*中国_中债国债到期收益率_1年!D120/365*100</f>
        <v>0</v>
      </c>
      <c r="U121">
        <f>E121*中国_中债国债到期收益率_1年!E120/365*100</f>
        <v>0</v>
      </c>
      <c r="V121">
        <f t="shared" si="24"/>
        <v>13.068219178082192</v>
      </c>
      <c r="W121" t="e">
        <f>SUM($V$3:V121)</f>
        <v>#VALUE!</v>
      </c>
      <c r="X121">
        <f>MAX(F121-50,0)*中国_中债国债到期收益率_1年!H121*100/365</f>
        <v>0</v>
      </c>
      <c r="Y121">
        <f>SUM($X$3:X121)</f>
        <v>0</v>
      </c>
      <c r="AB121">
        <f>Z121*Return!F121*100</f>
        <v>0</v>
      </c>
      <c r="AC121">
        <f>AA121*Return!G121*100</f>
        <v>0</v>
      </c>
      <c r="AD121">
        <f>SUM($AB$3:AB121)+SUM($AC$3:AC121)</f>
        <v>1279.8000000000002</v>
      </c>
      <c r="AE121" t="e">
        <f t="shared" si="27"/>
        <v>#VALUE!</v>
      </c>
      <c r="AF121" t="e">
        <f t="shared" si="28"/>
        <v>#VALUE!</v>
      </c>
      <c r="AG121" s="4" t="e">
        <f>(AF121/AF120-1)-中国_中债国债到期收益率_1年!H121%/252</f>
        <v>#VALUE!</v>
      </c>
      <c r="AH121" s="4" t="e">
        <f>MIN((AF121-MAX($AF$3:AF121))/MAX($AF$3:AF121),0)</f>
        <v>#VALUE!</v>
      </c>
    </row>
    <row r="122" spans="1:34" x14ac:dyDescent="0.25">
      <c r="A122" s="6">
        <v>44888</v>
      </c>
      <c r="B122">
        <v>20</v>
      </c>
      <c r="C122">
        <v>10</v>
      </c>
      <c r="D122">
        <v>0</v>
      </c>
      <c r="F122">
        <f t="shared" si="25"/>
        <v>30</v>
      </c>
      <c r="G122">
        <v>20</v>
      </c>
      <c r="H122">
        <v>10</v>
      </c>
      <c r="I122">
        <f t="shared" si="33"/>
        <v>0</v>
      </c>
      <c r="J122">
        <f t="shared" si="34"/>
        <v>0</v>
      </c>
      <c r="K122">
        <f t="shared" si="26"/>
        <v>30</v>
      </c>
      <c r="L122">
        <f>G122*Return!B122*100</f>
        <v>14.599999999999724</v>
      </c>
      <c r="M122">
        <f>H122*Return!C122*100</f>
        <v>3.6999999999998145</v>
      </c>
      <c r="N122">
        <f>I122*Return!D122*100</f>
        <v>0</v>
      </c>
      <c r="O122">
        <f>J122*Return!E122*100</f>
        <v>0</v>
      </c>
      <c r="P122">
        <f t="shared" si="23"/>
        <v>18.299999999999539</v>
      </c>
      <c r="Q122" t="e">
        <f>SUM($P$3:P122)</f>
        <v>#VALUE!</v>
      </c>
      <c r="R122">
        <f>B122*中国_中债国债到期收益率_1年!B121/365*100</f>
        <v>11.743013698630138</v>
      </c>
      <c r="S122">
        <f>C122*中国_中债国债到期收益率_1年!C121/365*100</f>
        <v>7.1665753424657543</v>
      </c>
      <c r="T122">
        <f>D122*中国_中债国债到期收益率_1年!D121/365*100</f>
        <v>0</v>
      </c>
      <c r="U122">
        <f>E122*中国_中债国债到期收益率_1年!E121/365*100</f>
        <v>0</v>
      </c>
      <c r="V122">
        <f t="shared" si="24"/>
        <v>18.909589041095892</v>
      </c>
      <c r="W122" t="e">
        <f>SUM($V$3:V122)</f>
        <v>#VALUE!</v>
      </c>
      <c r="X122">
        <f>MAX(F122-50,0)*中国_中债国债到期收益率_1年!H122*100/365</f>
        <v>0</v>
      </c>
      <c r="Y122">
        <f>SUM($X$3:X122)</f>
        <v>0</v>
      </c>
      <c r="AB122">
        <f>Z122*Return!F122*100</f>
        <v>0</v>
      </c>
      <c r="AC122">
        <f>AA122*Return!G122*100</f>
        <v>0</v>
      </c>
      <c r="AD122">
        <f>SUM($AB$3:AB122)+SUM($AC$3:AC122)</f>
        <v>1279.8000000000002</v>
      </c>
      <c r="AE122" t="e">
        <f t="shared" si="27"/>
        <v>#VALUE!</v>
      </c>
      <c r="AF122" t="e">
        <f t="shared" si="28"/>
        <v>#VALUE!</v>
      </c>
      <c r="AG122" s="4" t="e">
        <f>(AF122/AF121-1)-中国_中债国债到期收益率_1年!H122%/252</f>
        <v>#VALUE!</v>
      </c>
      <c r="AH122" s="4" t="e">
        <f>MIN((AF122-MAX($AF$3:AF122))/MAX($AF$3:AF122),0)</f>
        <v>#VALUE!</v>
      </c>
    </row>
    <row r="123" spans="1:34" x14ac:dyDescent="0.25">
      <c r="A123" s="6">
        <v>44889</v>
      </c>
      <c r="B123">
        <v>20</v>
      </c>
      <c r="C123">
        <v>10</v>
      </c>
      <c r="D123">
        <v>0</v>
      </c>
      <c r="F123">
        <f t="shared" si="25"/>
        <v>30</v>
      </c>
      <c r="G123">
        <v>20</v>
      </c>
      <c r="H123">
        <v>10</v>
      </c>
      <c r="I123">
        <f t="shared" si="33"/>
        <v>0</v>
      </c>
      <c r="J123">
        <f t="shared" si="34"/>
        <v>0</v>
      </c>
      <c r="K123">
        <f t="shared" si="26"/>
        <v>30</v>
      </c>
      <c r="L123">
        <f>G123*Return!B123*100</f>
        <v>81.400000000000361</v>
      </c>
      <c r="M123">
        <f>H123*Return!C123*100</f>
        <v>34.499999999999972</v>
      </c>
      <c r="N123">
        <f>I123*Return!D123*100</f>
        <v>0</v>
      </c>
      <c r="O123">
        <f>J123*Return!E123*100</f>
        <v>0</v>
      </c>
      <c r="P123">
        <f t="shared" si="23"/>
        <v>115.90000000000033</v>
      </c>
      <c r="Q123" t="e">
        <f>SUM($P$3:P123)</f>
        <v>#VALUE!</v>
      </c>
      <c r="R123">
        <f>B123*中国_中债国债到期收益率_1年!B122/365*100</f>
        <v>11.519999999999998</v>
      </c>
      <c r="S123">
        <f>C123*中国_中债国债到期收益率_1年!C122/365*100</f>
        <v>7.0720547945205494</v>
      </c>
      <c r="T123">
        <f>D123*中国_中债国债到期收益率_1年!D122/365*100</f>
        <v>0</v>
      </c>
      <c r="U123">
        <f>E123*中国_中债国债到期收益率_1年!E122/365*100</f>
        <v>0</v>
      </c>
      <c r="V123">
        <f t="shared" si="24"/>
        <v>18.592054794520546</v>
      </c>
      <c r="W123" t="e">
        <f>SUM($V$3:V123)</f>
        <v>#VALUE!</v>
      </c>
      <c r="X123">
        <f>MAX(F123-50,0)*中国_中债国债到期收益率_1年!H123*100/365</f>
        <v>0</v>
      </c>
      <c r="Y123">
        <f>SUM($X$3:X123)</f>
        <v>0</v>
      </c>
      <c r="AB123">
        <f>Z123*Return!F123*100</f>
        <v>0</v>
      </c>
      <c r="AC123">
        <f>AA123*Return!G123*100</f>
        <v>0</v>
      </c>
      <c r="AD123">
        <f>SUM($AB$3:AB123)+SUM($AC$3:AC123)</f>
        <v>1279.8000000000002</v>
      </c>
      <c r="AE123" t="e">
        <f t="shared" si="27"/>
        <v>#VALUE!</v>
      </c>
      <c r="AF123" t="e">
        <f t="shared" si="28"/>
        <v>#VALUE!</v>
      </c>
      <c r="AG123" s="4" t="e">
        <f>(AF123/AF122-1)-中国_中债国债到期收益率_1年!H123%/252</f>
        <v>#VALUE!</v>
      </c>
      <c r="AH123" s="4" t="e">
        <f>MIN((AF123-MAX($AF$3:AF123))/MAX($AF$3:AF123),0)</f>
        <v>#VALUE!</v>
      </c>
    </row>
    <row r="124" spans="1:34" x14ac:dyDescent="0.25">
      <c r="A124" s="6">
        <v>44890</v>
      </c>
      <c r="B124">
        <v>20</v>
      </c>
      <c r="C124">
        <v>10</v>
      </c>
      <c r="D124">
        <v>0</v>
      </c>
      <c r="F124">
        <f t="shared" si="25"/>
        <v>30</v>
      </c>
      <c r="G124">
        <v>20</v>
      </c>
      <c r="I124">
        <f t="shared" si="33"/>
        <v>0</v>
      </c>
      <c r="J124">
        <f t="shared" si="34"/>
        <v>0</v>
      </c>
      <c r="K124">
        <f t="shared" si="26"/>
        <v>20</v>
      </c>
      <c r="L124">
        <f>G124*Return!B124*100</f>
        <v>88.599999999999568</v>
      </c>
      <c r="M124">
        <f>H124*Return!C124*100</f>
        <v>0</v>
      </c>
      <c r="N124">
        <f>I124*Return!D124*100</f>
        <v>0</v>
      </c>
      <c r="O124">
        <f>J124*Return!E124*100</f>
        <v>0</v>
      </c>
      <c r="P124">
        <f t="shared" si="23"/>
        <v>88.599999999999568</v>
      </c>
      <c r="Q124" t="e">
        <f>SUM($P$3:P124)</f>
        <v>#VALUE!</v>
      </c>
      <c r="R124">
        <f>B124*中国_中债国债到期收益率_1年!B123/365*100</f>
        <v>11.277260273972603</v>
      </c>
      <c r="S124">
        <f>C124*中国_中债国债到期收益率_1年!C123/365*100</f>
        <v>7.0473972602739732</v>
      </c>
      <c r="T124">
        <f>D124*中国_中债国债到期收益率_1年!D123/365*100</f>
        <v>0</v>
      </c>
      <c r="U124">
        <f>E124*中国_中债国债到期收益率_1年!E123/365*100</f>
        <v>0</v>
      </c>
      <c r="V124">
        <f t="shared" si="24"/>
        <v>18.324657534246576</v>
      </c>
      <c r="W124" t="e">
        <f>SUM($V$3:V124)</f>
        <v>#VALUE!</v>
      </c>
      <c r="X124">
        <f>MAX(F124-50,0)*中国_中债国债到期收益率_1年!H124*100/365</f>
        <v>0</v>
      </c>
      <c r="Y124">
        <f>SUM($X$3:X124)</f>
        <v>0</v>
      </c>
      <c r="AB124">
        <f>Z124*Return!F124*100</f>
        <v>0</v>
      </c>
      <c r="AC124">
        <f>AA124*Return!G124*100</f>
        <v>0</v>
      </c>
      <c r="AD124">
        <f>SUM($AB$3:AB124)+SUM($AC$3:AC124)</f>
        <v>1279.8000000000002</v>
      </c>
      <c r="AE124" t="e">
        <f t="shared" si="27"/>
        <v>#VALUE!</v>
      </c>
      <c r="AF124" t="e">
        <f t="shared" si="28"/>
        <v>#VALUE!</v>
      </c>
      <c r="AG124" s="4" t="e">
        <f>(AF124/AF123-1)-中国_中债国债到期收益率_1年!H124%/252</f>
        <v>#VALUE!</v>
      </c>
      <c r="AH124" s="4" t="e">
        <f>MIN((AF124-MAX($AF$3:AF124))/MAX($AF$3:AF124),0)</f>
        <v>#VALUE!</v>
      </c>
    </row>
    <row r="125" spans="1:34" x14ac:dyDescent="0.25">
      <c r="A125" s="6">
        <v>44893</v>
      </c>
      <c r="B125">
        <v>20</v>
      </c>
      <c r="D125">
        <v>0</v>
      </c>
      <c r="F125">
        <f t="shared" si="25"/>
        <v>20</v>
      </c>
      <c r="G125">
        <v>20</v>
      </c>
      <c r="I125">
        <f t="shared" si="33"/>
        <v>0</v>
      </c>
      <c r="J125">
        <f t="shared" si="34"/>
        <v>0</v>
      </c>
      <c r="K125">
        <f t="shared" si="26"/>
        <v>20</v>
      </c>
      <c r="L125">
        <f>G125*Return!B125*100</f>
        <v>-20.799999999999486</v>
      </c>
      <c r="M125">
        <f>H125*Return!C125*100</f>
        <v>0</v>
      </c>
      <c r="N125">
        <f>I125*Return!D125*100</f>
        <v>0</v>
      </c>
      <c r="O125">
        <f>J125*Return!E125*100</f>
        <v>0</v>
      </c>
      <c r="P125">
        <f t="shared" si="23"/>
        <v>-20.799999999999486</v>
      </c>
      <c r="Q125" t="e">
        <f>SUM($P$3:P125)</f>
        <v>#VALUE!</v>
      </c>
      <c r="R125">
        <f>B125*中国_中债国债到期收益率_1年!B124/365*100</f>
        <v>11.334246575342464</v>
      </c>
      <c r="S125">
        <f>C125*中国_中债国债到期收益率_1年!C124/365*100</f>
        <v>0</v>
      </c>
      <c r="T125">
        <f>D125*中国_中债国债到期收益率_1年!D124/365*100</f>
        <v>0</v>
      </c>
      <c r="U125">
        <f>E125*中国_中债国债到期收益率_1年!E124/365*100</f>
        <v>0</v>
      </c>
      <c r="V125">
        <f t="shared" si="24"/>
        <v>11.334246575342464</v>
      </c>
      <c r="W125" t="e">
        <f>SUM($V$3:V125)</f>
        <v>#VALUE!</v>
      </c>
      <c r="X125">
        <f>MAX(F125-50,0)*中国_中债国债到期收益率_1年!H125*100/365</f>
        <v>0</v>
      </c>
      <c r="Y125">
        <f>SUM($X$3:X125)</f>
        <v>0</v>
      </c>
      <c r="AB125">
        <f>Z125*Return!F125*100</f>
        <v>0</v>
      </c>
      <c r="AC125">
        <f>AA125*Return!G125*100</f>
        <v>0</v>
      </c>
      <c r="AD125">
        <f>SUM($AB$3:AB125)+SUM($AC$3:AC125)</f>
        <v>1279.8000000000002</v>
      </c>
      <c r="AE125" t="e">
        <f t="shared" si="27"/>
        <v>#VALUE!</v>
      </c>
      <c r="AF125" t="e">
        <f t="shared" si="28"/>
        <v>#VALUE!</v>
      </c>
      <c r="AG125" s="4" t="e">
        <f>(AF125/AF124-1)-中国_中债国债到期收益率_1年!H125%/252</f>
        <v>#VALUE!</v>
      </c>
      <c r="AH125" s="4" t="e">
        <f>MIN((AF125-MAX($AF$3:AF125))/MAX($AF$3:AF125),0)</f>
        <v>#VALUE!</v>
      </c>
    </row>
    <row r="126" spans="1:34" x14ac:dyDescent="0.25">
      <c r="A126" s="6">
        <v>44894</v>
      </c>
      <c r="B126">
        <v>20</v>
      </c>
      <c r="D126">
        <v>0</v>
      </c>
      <c r="F126">
        <f t="shared" si="25"/>
        <v>20</v>
      </c>
      <c r="G126">
        <v>20</v>
      </c>
      <c r="I126">
        <f t="shared" si="33"/>
        <v>0</v>
      </c>
      <c r="J126">
        <f t="shared" si="34"/>
        <v>0</v>
      </c>
      <c r="K126">
        <f t="shared" si="26"/>
        <v>20</v>
      </c>
      <c r="L126">
        <f>G126*Return!B126*100</f>
        <v>-2.8000000000005798</v>
      </c>
      <c r="M126">
        <f>H126*Return!C126*100</f>
        <v>0</v>
      </c>
      <c r="N126">
        <f>I126*Return!D126*100</f>
        <v>0</v>
      </c>
      <c r="O126">
        <f>J126*Return!E126*100</f>
        <v>0</v>
      </c>
      <c r="P126">
        <f t="shared" si="23"/>
        <v>-2.8000000000005798</v>
      </c>
      <c r="Q126" t="e">
        <f>SUM($P$3:P126)</f>
        <v>#VALUE!</v>
      </c>
      <c r="R126">
        <f>B126*中国_中债国债到期收益率_1年!B125/365*100</f>
        <v>11.341917808219179</v>
      </c>
      <c r="S126">
        <f>C126*中国_中债国债到期收益率_1年!C125/365*100</f>
        <v>0</v>
      </c>
      <c r="T126">
        <f>D126*中国_中债国债到期收益率_1年!D125/365*100</f>
        <v>0</v>
      </c>
      <c r="U126">
        <f>E126*中国_中债国债到期收益率_1年!E125/365*100</f>
        <v>0</v>
      </c>
      <c r="V126">
        <f t="shared" si="24"/>
        <v>11.341917808219179</v>
      </c>
      <c r="W126" t="e">
        <f>SUM($V$3:V126)</f>
        <v>#VALUE!</v>
      </c>
      <c r="X126">
        <f>MAX(F126-50,0)*中国_中债国债到期收益率_1年!H126*100/365</f>
        <v>0</v>
      </c>
      <c r="Y126">
        <f>SUM($X$3:X126)</f>
        <v>0</v>
      </c>
      <c r="AB126">
        <f>Z126*Return!F126*100</f>
        <v>0</v>
      </c>
      <c r="AC126">
        <f>AA126*Return!G126*100</f>
        <v>0</v>
      </c>
      <c r="AD126">
        <f>SUM($AB$3:AB126)+SUM($AC$3:AC126)</f>
        <v>1279.8000000000002</v>
      </c>
      <c r="AE126" t="e">
        <f t="shared" si="27"/>
        <v>#VALUE!</v>
      </c>
      <c r="AF126" t="e">
        <f t="shared" si="28"/>
        <v>#VALUE!</v>
      </c>
      <c r="AG126" s="4" t="e">
        <f>(AF126/AF125-1)-中国_中债国债到期收益率_1年!H126%/252</f>
        <v>#VALUE!</v>
      </c>
      <c r="AH126" s="4" t="e">
        <f>MIN((AF126-MAX($AF$3:AF126))/MAX($AF$3:AF126),0)</f>
        <v>#VALUE!</v>
      </c>
    </row>
    <row r="127" spans="1:34" x14ac:dyDescent="0.25">
      <c r="A127" s="6">
        <v>44895</v>
      </c>
      <c r="B127">
        <v>20</v>
      </c>
      <c r="D127">
        <v>0</v>
      </c>
      <c r="F127">
        <f t="shared" si="25"/>
        <v>20</v>
      </c>
      <c r="G127">
        <v>20</v>
      </c>
      <c r="I127">
        <f t="shared" si="33"/>
        <v>0</v>
      </c>
      <c r="J127">
        <f t="shared" si="34"/>
        <v>0</v>
      </c>
      <c r="K127">
        <f t="shared" si="26"/>
        <v>20</v>
      </c>
      <c r="L127">
        <f>G127*Return!B127*100</f>
        <v>-88.000000000000085</v>
      </c>
      <c r="M127">
        <f>H127*Return!C127*100</f>
        <v>0</v>
      </c>
      <c r="N127">
        <f>I127*Return!D127*100</f>
        <v>0</v>
      </c>
      <c r="O127">
        <f>J127*Return!E127*100</f>
        <v>0</v>
      </c>
      <c r="P127">
        <f t="shared" ref="P127:P147" si="35">SUM(L127:O127)</f>
        <v>-88.000000000000085</v>
      </c>
      <c r="Q127" t="e">
        <f>SUM($P$3:P127)</f>
        <v>#VALUE!</v>
      </c>
      <c r="R127">
        <f>B127*中国_中债国债到期收益率_1年!B126/365*100</f>
        <v>11.583013698630138</v>
      </c>
      <c r="S127">
        <f>C127*中国_中债国债到期收益率_1年!C126/365*100</f>
        <v>0</v>
      </c>
      <c r="T127">
        <f>D127*中国_中债国债到期收益率_1年!D126/365*100</f>
        <v>0</v>
      </c>
      <c r="U127">
        <f>E127*中国_中债国债到期收益率_1年!E126/365*100</f>
        <v>0</v>
      </c>
      <c r="V127">
        <f t="shared" ref="V127:V147" si="36">SUM(R127:U127)</f>
        <v>11.583013698630138</v>
      </c>
      <c r="W127" t="e">
        <f>SUM($V$3:V127)</f>
        <v>#VALUE!</v>
      </c>
      <c r="X127">
        <f>MAX(F127-50,0)*中国_中债国债到期收益率_1年!H127*100/365</f>
        <v>0</v>
      </c>
      <c r="Y127">
        <f>SUM($X$3:X127)</f>
        <v>0</v>
      </c>
      <c r="AB127">
        <f>Z127*Return!F127*100</f>
        <v>0</v>
      </c>
      <c r="AC127">
        <f>AA127*Return!G127*100</f>
        <v>0</v>
      </c>
      <c r="AD127">
        <f>SUM($AB$3:AB127)+SUM($AC$3:AC127)</f>
        <v>1279.8000000000002</v>
      </c>
      <c r="AE127" t="e">
        <f t="shared" si="27"/>
        <v>#VALUE!</v>
      </c>
      <c r="AF127" t="e">
        <f t="shared" si="28"/>
        <v>#VALUE!</v>
      </c>
      <c r="AG127" s="4" t="e">
        <f>(AF127/AF126-1)-中国_中债国债到期收益率_1年!H127%/252</f>
        <v>#VALUE!</v>
      </c>
      <c r="AH127" s="4" t="e">
        <f>MIN((AF127-MAX($AF$3:AF127))/MAX($AF$3:AF127),0)</f>
        <v>#VALUE!</v>
      </c>
    </row>
    <row r="128" spans="1:34" x14ac:dyDescent="0.25">
      <c r="A128" s="6">
        <v>44896</v>
      </c>
      <c r="B128">
        <v>20</v>
      </c>
      <c r="D128">
        <v>0</v>
      </c>
      <c r="F128">
        <f t="shared" si="25"/>
        <v>20</v>
      </c>
      <c r="G128">
        <v>20</v>
      </c>
      <c r="I128">
        <f t="shared" si="33"/>
        <v>0</v>
      </c>
      <c r="J128">
        <f t="shared" si="34"/>
        <v>0</v>
      </c>
      <c r="K128">
        <f t="shared" si="26"/>
        <v>20</v>
      </c>
      <c r="L128">
        <f>G128*Return!B128*100</f>
        <v>-40.399999999999991</v>
      </c>
      <c r="M128">
        <f>H128*Return!C128*100</f>
        <v>0</v>
      </c>
      <c r="N128">
        <f>I128*Return!D128*100</f>
        <v>0</v>
      </c>
      <c r="O128">
        <f>J128*Return!E128*100</f>
        <v>0</v>
      </c>
      <c r="P128">
        <f t="shared" si="35"/>
        <v>-40.399999999999991</v>
      </c>
      <c r="Q128" t="e">
        <f>SUM($P$3:P128)</f>
        <v>#VALUE!</v>
      </c>
      <c r="R128">
        <f>B128*中国_中债国债到期收益率_1年!B127/365*100</f>
        <v>11.693698630136987</v>
      </c>
      <c r="S128">
        <f>C128*中国_中债国债到期收益率_1年!C127/365*100</f>
        <v>0</v>
      </c>
      <c r="T128">
        <f>D128*中国_中债国债到期收益率_1年!D127/365*100</f>
        <v>0</v>
      </c>
      <c r="U128">
        <f>E128*中国_中债国债到期收益率_1年!E127/365*100</f>
        <v>0</v>
      </c>
      <c r="V128">
        <f t="shared" si="36"/>
        <v>11.693698630136987</v>
      </c>
      <c r="W128" t="e">
        <f>SUM($V$3:V128)</f>
        <v>#VALUE!</v>
      </c>
      <c r="X128">
        <f>MAX(F128-50,0)*中国_中债国债到期收益率_1年!H128*100/365</f>
        <v>0</v>
      </c>
      <c r="Y128">
        <f>SUM($X$3:X128)</f>
        <v>0</v>
      </c>
      <c r="AB128">
        <f>Z128*Return!F128*100</f>
        <v>0</v>
      </c>
      <c r="AC128">
        <f>AA128*Return!G128*100</f>
        <v>0</v>
      </c>
      <c r="AD128">
        <f>SUM($AB$3:AB128)+SUM($AC$3:AC128)</f>
        <v>1279.8000000000002</v>
      </c>
      <c r="AE128" t="e">
        <f t="shared" si="27"/>
        <v>#VALUE!</v>
      </c>
      <c r="AF128" t="e">
        <f t="shared" si="28"/>
        <v>#VALUE!</v>
      </c>
      <c r="AG128" s="4" t="e">
        <f>(AF128/AF127-1)-中国_中债国债到期收益率_1年!H128%/252</f>
        <v>#VALUE!</v>
      </c>
      <c r="AH128" s="4" t="e">
        <f>MIN((AF128-MAX($AF$3:AF128))/MAX($AF$3:AF128),0)</f>
        <v>#VALUE!</v>
      </c>
    </row>
    <row r="129" spans="1:34" x14ac:dyDescent="0.25">
      <c r="A129" s="6">
        <v>44897</v>
      </c>
      <c r="B129">
        <v>20</v>
      </c>
      <c r="D129">
        <v>0</v>
      </c>
      <c r="F129">
        <f t="shared" si="25"/>
        <v>20</v>
      </c>
      <c r="G129">
        <v>20</v>
      </c>
      <c r="I129">
        <f t="shared" si="33"/>
        <v>0</v>
      </c>
      <c r="J129">
        <f t="shared" si="34"/>
        <v>0</v>
      </c>
      <c r="K129">
        <f t="shared" si="26"/>
        <v>20</v>
      </c>
      <c r="L129">
        <f>G129*Return!B129*100</f>
        <v>-22.999999999999687</v>
      </c>
      <c r="M129">
        <f>H129*Return!C129*100</f>
        <v>0</v>
      </c>
      <c r="N129">
        <f>I129*Return!D129*100</f>
        <v>0</v>
      </c>
      <c r="O129">
        <f>J129*Return!E129*100</f>
        <v>0</v>
      </c>
      <c r="P129">
        <f t="shared" si="35"/>
        <v>-22.999999999999687</v>
      </c>
      <c r="Q129" t="e">
        <f>SUM($P$3:P129)</f>
        <v>#VALUE!</v>
      </c>
      <c r="R129">
        <f>B129*中国_中债国债到期收益率_1年!B128/365*100</f>
        <v>11.756712328767122</v>
      </c>
      <c r="S129">
        <f>C129*中国_中债国债到期收益率_1年!C128/365*100</f>
        <v>0</v>
      </c>
      <c r="T129">
        <f>D129*中国_中债国债到期收益率_1年!D128/365*100</f>
        <v>0</v>
      </c>
      <c r="U129">
        <f>E129*中国_中债国债到期收益率_1年!E128/365*100</f>
        <v>0</v>
      </c>
      <c r="V129">
        <f t="shared" si="36"/>
        <v>11.756712328767122</v>
      </c>
      <c r="W129" t="e">
        <f>SUM($V$3:V129)</f>
        <v>#VALUE!</v>
      </c>
      <c r="X129">
        <f>MAX(F129-50,0)*中国_中债国债到期收益率_1年!H129*100/365</f>
        <v>0</v>
      </c>
      <c r="Y129">
        <f>SUM($X$3:X129)</f>
        <v>0</v>
      </c>
      <c r="AB129">
        <f>Z129*Return!F129*100</f>
        <v>0</v>
      </c>
      <c r="AC129">
        <f>AA129*Return!G129*100</f>
        <v>0</v>
      </c>
      <c r="AD129">
        <f>SUM($AB$3:AB129)+SUM($AC$3:AC129)</f>
        <v>1279.8000000000002</v>
      </c>
      <c r="AE129" t="e">
        <f t="shared" si="27"/>
        <v>#VALUE!</v>
      </c>
      <c r="AF129" t="e">
        <f t="shared" si="28"/>
        <v>#VALUE!</v>
      </c>
      <c r="AG129" s="4" t="e">
        <f>(AF129/AF128-1)-中国_中债国债到期收益率_1年!H129%/252</f>
        <v>#VALUE!</v>
      </c>
      <c r="AH129" s="4" t="e">
        <f>MIN((AF129-MAX($AF$3:AF129))/MAX($AF$3:AF129),0)</f>
        <v>#VALUE!</v>
      </c>
    </row>
    <row r="130" spans="1:34" x14ac:dyDescent="0.25">
      <c r="A130" s="6">
        <v>44900</v>
      </c>
      <c r="B130">
        <v>20</v>
      </c>
      <c r="D130">
        <v>0</v>
      </c>
      <c r="F130">
        <f t="shared" si="25"/>
        <v>20</v>
      </c>
      <c r="G130">
        <v>20</v>
      </c>
      <c r="I130">
        <f t="shared" si="33"/>
        <v>0</v>
      </c>
      <c r="J130">
        <f t="shared" si="34"/>
        <v>0</v>
      </c>
      <c r="K130">
        <f t="shared" si="26"/>
        <v>20</v>
      </c>
      <c r="L130">
        <f>G130*Return!B130*100</f>
        <v>-19.600000000000506</v>
      </c>
      <c r="M130">
        <f>H130*Return!C130*100</f>
        <v>0</v>
      </c>
      <c r="N130">
        <f>I130*Return!D130*100</f>
        <v>0</v>
      </c>
      <c r="O130">
        <f>J130*Return!E130*100</f>
        <v>0</v>
      </c>
      <c r="P130">
        <f t="shared" si="35"/>
        <v>-19.600000000000506</v>
      </c>
      <c r="Q130" t="e">
        <f>SUM($P$3:P130)</f>
        <v>#VALUE!</v>
      </c>
      <c r="R130">
        <f>B130*中国_中债国债到期收益率_1年!B129/365*100</f>
        <v>11.810410958904111</v>
      </c>
      <c r="S130">
        <f>C130*中国_中债国债到期收益率_1年!C129/365*100</f>
        <v>0</v>
      </c>
      <c r="T130">
        <f>D130*中国_中债国债到期收益率_1年!D129/365*100</f>
        <v>0</v>
      </c>
      <c r="U130">
        <f>E130*中国_中债国债到期收益率_1年!E129/365*100</f>
        <v>0</v>
      </c>
      <c r="V130">
        <f t="shared" si="36"/>
        <v>11.810410958904111</v>
      </c>
      <c r="W130" t="e">
        <f>SUM($V$3:V130)</f>
        <v>#VALUE!</v>
      </c>
      <c r="X130">
        <f>MAX(F130-50,0)*中国_中债国债到期收益率_1年!H130*100/365</f>
        <v>0</v>
      </c>
      <c r="Y130">
        <f>SUM($X$3:X130)</f>
        <v>0</v>
      </c>
      <c r="AB130">
        <f>Z130*Return!F130*100</f>
        <v>0</v>
      </c>
      <c r="AC130">
        <f>AA130*Return!G130*100</f>
        <v>0</v>
      </c>
      <c r="AD130">
        <f>SUM($AB$3:AB130)+SUM($AC$3:AC130)</f>
        <v>1279.8000000000002</v>
      </c>
      <c r="AE130" t="e">
        <f t="shared" si="27"/>
        <v>#VALUE!</v>
      </c>
      <c r="AF130" t="e">
        <f t="shared" si="28"/>
        <v>#VALUE!</v>
      </c>
      <c r="AG130" s="4" t="e">
        <f>(AF130/AF129-1)-中国_中债国债到期收益率_1年!H130%/252</f>
        <v>#VALUE!</v>
      </c>
      <c r="AH130" s="4" t="e">
        <f>MIN((AF130-MAX($AF$3:AF130))/MAX($AF$3:AF130),0)</f>
        <v>#VALUE!</v>
      </c>
    </row>
    <row r="131" spans="1:34" x14ac:dyDescent="0.25">
      <c r="A131" s="6">
        <v>44901</v>
      </c>
      <c r="B131">
        <v>20</v>
      </c>
      <c r="D131">
        <v>0</v>
      </c>
      <c r="F131">
        <f t="shared" ref="F131:F194" si="37">SUM(B131:E131)</f>
        <v>20</v>
      </c>
      <c r="G131">
        <v>20</v>
      </c>
      <c r="I131">
        <f t="shared" si="33"/>
        <v>0</v>
      </c>
      <c r="J131">
        <f t="shared" si="34"/>
        <v>0</v>
      </c>
      <c r="K131">
        <f t="shared" ref="K131:K194" si="38">SUM(G131:J131)</f>
        <v>20</v>
      </c>
      <c r="L131">
        <f>G131*Return!B131*100</f>
        <v>18.400000000000638</v>
      </c>
      <c r="M131">
        <f>H131*Return!C131*100</f>
        <v>0</v>
      </c>
      <c r="N131">
        <f>I131*Return!D131*100</f>
        <v>0</v>
      </c>
      <c r="O131">
        <f>J131*Return!E131*100</f>
        <v>0</v>
      </c>
      <c r="P131">
        <f t="shared" si="35"/>
        <v>18.400000000000638</v>
      </c>
      <c r="Q131" t="e">
        <f>SUM($P$3:P131)</f>
        <v>#VALUE!</v>
      </c>
      <c r="R131">
        <f>B131*中国_中债国债到期收益率_1年!B130/365*100</f>
        <v>11.76</v>
      </c>
      <c r="S131">
        <f>C131*中国_中债国债到期收益率_1年!C130/365*100</f>
        <v>0</v>
      </c>
      <c r="T131">
        <f>D131*中国_中债国债到期收益率_1年!D130/365*100</f>
        <v>0</v>
      </c>
      <c r="U131">
        <f>E131*中国_中债国债到期收益率_1年!E130/365*100</f>
        <v>0</v>
      </c>
      <c r="V131">
        <f t="shared" si="36"/>
        <v>11.76</v>
      </c>
      <c r="W131" t="e">
        <f>SUM($V$3:V131)</f>
        <v>#VALUE!</v>
      </c>
      <c r="X131">
        <f>MAX(F131-50,0)*中国_中债国债到期收益率_1年!H131*100/365</f>
        <v>0</v>
      </c>
      <c r="Y131">
        <f>SUM($X$3:X131)</f>
        <v>0</v>
      </c>
      <c r="AB131">
        <f>Z131*Return!F131*100</f>
        <v>0</v>
      </c>
      <c r="AC131">
        <f>AA131*Return!G131*100</f>
        <v>0</v>
      </c>
      <c r="AD131">
        <f>SUM($AB$3:AB131)+SUM($AC$3:AC131)</f>
        <v>1279.8000000000002</v>
      </c>
      <c r="AE131" t="e">
        <f t="shared" si="27"/>
        <v>#VALUE!</v>
      </c>
      <c r="AF131" t="e">
        <f t="shared" si="28"/>
        <v>#VALUE!</v>
      </c>
      <c r="AG131" s="4" t="e">
        <f>(AF131/AF130-1)-中国_中债国债到期收益率_1年!H131%/252</f>
        <v>#VALUE!</v>
      </c>
      <c r="AH131" s="4" t="e">
        <f>MIN((AF131-MAX($AF$3:AF131))/MAX($AF$3:AF131),0)</f>
        <v>#VALUE!</v>
      </c>
    </row>
    <row r="132" spans="1:34" x14ac:dyDescent="0.25">
      <c r="A132" s="6">
        <v>44902</v>
      </c>
      <c r="B132">
        <v>20</v>
      </c>
      <c r="D132">
        <v>0</v>
      </c>
      <c r="F132">
        <f t="shared" si="37"/>
        <v>20</v>
      </c>
      <c r="G132">
        <v>20</v>
      </c>
      <c r="I132">
        <f t="shared" si="33"/>
        <v>0</v>
      </c>
      <c r="J132">
        <f t="shared" si="34"/>
        <v>0</v>
      </c>
      <c r="K132">
        <f t="shared" si="38"/>
        <v>20</v>
      </c>
      <c r="L132">
        <f>G132*Return!B132*100</f>
        <v>-20.800000000000374</v>
      </c>
      <c r="M132">
        <f>H132*Return!C132*100</f>
        <v>0</v>
      </c>
      <c r="N132">
        <f>I132*Return!D132*100</f>
        <v>0</v>
      </c>
      <c r="O132">
        <f>J132*Return!E132*100</f>
        <v>0</v>
      </c>
      <c r="P132">
        <f t="shared" si="35"/>
        <v>-20.800000000000374</v>
      </c>
      <c r="Q132" t="e">
        <f>SUM($P$3:P132)</f>
        <v>#VALUE!</v>
      </c>
      <c r="R132">
        <f>B132*中国_中债国债到期收益率_1年!B131/365*100</f>
        <v>11.816986301369864</v>
      </c>
      <c r="S132">
        <f>C132*中国_中债国债到期收益率_1年!C131/365*100</f>
        <v>0</v>
      </c>
      <c r="T132">
        <f>D132*中国_中债国债到期收益率_1年!D131/365*100</f>
        <v>0</v>
      </c>
      <c r="U132">
        <f>E132*中国_中债国债到期收益率_1年!E131/365*100</f>
        <v>0</v>
      </c>
      <c r="V132">
        <f t="shared" si="36"/>
        <v>11.816986301369864</v>
      </c>
      <c r="W132" t="e">
        <f>SUM($V$3:V132)</f>
        <v>#VALUE!</v>
      </c>
      <c r="X132">
        <f>MAX(F132-50,0)*中国_中债国债到期收益率_1年!H132*100/365</f>
        <v>0</v>
      </c>
      <c r="Y132">
        <f>SUM($X$3:X132)</f>
        <v>0</v>
      </c>
      <c r="AB132">
        <f>Z132*Return!F132*100</f>
        <v>0</v>
      </c>
      <c r="AC132">
        <f>AA132*Return!G132*100</f>
        <v>0</v>
      </c>
      <c r="AD132">
        <f>SUM($AB$3:AB132)+SUM($AC$3:AC132)</f>
        <v>1279.8000000000002</v>
      </c>
      <c r="AE132" t="e">
        <f t="shared" ref="AE132:AE195" si="39">Q132+W132+AD132-Y132</f>
        <v>#VALUE!</v>
      </c>
      <c r="AF132" t="e">
        <f t="shared" ref="AF132:AF195" si="40">AE132/$AI$1+1</f>
        <v>#VALUE!</v>
      </c>
      <c r="AG132" s="4" t="e">
        <f>(AF132/AF131-1)-中国_中债国债到期收益率_1年!H132%/252</f>
        <v>#VALUE!</v>
      </c>
      <c r="AH132" s="4" t="e">
        <f>MIN((AF132-MAX($AF$3:AF132))/MAX($AF$3:AF132),0)</f>
        <v>#VALUE!</v>
      </c>
    </row>
    <row r="133" spans="1:34" x14ac:dyDescent="0.25">
      <c r="A133" s="6">
        <v>44903</v>
      </c>
      <c r="B133">
        <v>20</v>
      </c>
      <c r="D133">
        <v>0</v>
      </c>
      <c r="F133">
        <f t="shared" si="37"/>
        <v>20</v>
      </c>
      <c r="G133">
        <v>20</v>
      </c>
      <c r="I133">
        <f t="shared" si="33"/>
        <v>0</v>
      </c>
      <c r="J133">
        <f t="shared" si="34"/>
        <v>0</v>
      </c>
      <c r="K133">
        <f t="shared" si="38"/>
        <v>20</v>
      </c>
      <c r="L133">
        <f>G133*Return!B133*100</f>
        <v>-185.79999999999953</v>
      </c>
      <c r="M133">
        <f>H133*Return!C133*100</f>
        <v>0</v>
      </c>
      <c r="N133">
        <f>I133*Return!D133*100</f>
        <v>0</v>
      </c>
      <c r="O133">
        <f>J133*Return!E133*100</f>
        <v>0</v>
      </c>
      <c r="P133">
        <f t="shared" si="35"/>
        <v>-185.79999999999953</v>
      </c>
      <c r="Q133" t="e">
        <f>SUM($P$3:P133)</f>
        <v>#VALUE!</v>
      </c>
      <c r="R133">
        <f>B133*中国_中债国债到期收益率_1年!B132/365*100</f>
        <v>12.326027397260273</v>
      </c>
      <c r="S133">
        <f>C133*中国_中债国债到期收益率_1年!C132/365*100</f>
        <v>0</v>
      </c>
      <c r="T133">
        <f>D133*中国_中债国债到期收益率_1年!D132/365*100</f>
        <v>0</v>
      </c>
      <c r="U133">
        <f>E133*中国_中债国债到期收益率_1年!E132/365*100</f>
        <v>0</v>
      </c>
      <c r="V133">
        <f t="shared" si="36"/>
        <v>12.326027397260273</v>
      </c>
      <c r="W133" t="e">
        <f>SUM($V$3:V133)</f>
        <v>#VALUE!</v>
      </c>
      <c r="X133">
        <f>MAX(F133-50,0)*中国_中债国债到期收益率_1年!H133*100/365</f>
        <v>0</v>
      </c>
      <c r="Y133">
        <f>SUM($X$3:X133)</f>
        <v>0</v>
      </c>
      <c r="AB133">
        <f>Z133*Return!F133*100</f>
        <v>0</v>
      </c>
      <c r="AC133">
        <f>AA133*Return!G133*100</f>
        <v>0</v>
      </c>
      <c r="AD133">
        <f>SUM($AB$3:AB133)+SUM($AC$3:AC133)</f>
        <v>1279.8000000000002</v>
      </c>
      <c r="AE133" t="e">
        <f t="shared" si="39"/>
        <v>#VALUE!</v>
      </c>
      <c r="AF133" t="e">
        <f t="shared" si="40"/>
        <v>#VALUE!</v>
      </c>
      <c r="AG133" s="4" t="e">
        <f>(AF133/AF132-1)-中国_中债国债到期收益率_1年!H133%/252</f>
        <v>#VALUE!</v>
      </c>
      <c r="AH133" s="4" t="e">
        <f>MIN((AF133-MAX($AF$3:AF133))/MAX($AF$3:AF133),0)</f>
        <v>#VALUE!</v>
      </c>
    </row>
    <row r="134" spans="1:34" x14ac:dyDescent="0.25">
      <c r="A134" s="6">
        <v>44904</v>
      </c>
      <c r="B134">
        <v>20</v>
      </c>
      <c r="D134">
        <v>0</v>
      </c>
      <c r="F134">
        <f t="shared" si="37"/>
        <v>20</v>
      </c>
      <c r="G134">
        <v>20</v>
      </c>
      <c r="I134">
        <f t="shared" si="33"/>
        <v>0</v>
      </c>
      <c r="J134">
        <f t="shared" si="34"/>
        <v>0</v>
      </c>
      <c r="K134">
        <f t="shared" si="38"/>
        <v>20</v>
      </c>
      <c r="L134">
        <f>G134*Return!B134*100</f>
        <v>7.6000000000000512</v>
      </c>
      <c r="M134">
        <f>H134*Return!C134*100</f>
        <v>0</v>
      </c>
      <c r="N134">
        <f>I134*Return!D134*100</f>
        <v>0</v>
      </c>
      <c r="O134">
        <f>J134*Return!E134*100</f>
        <v>0</v>
      </c>
      <c r="P134">
        <f t="shared" si="35"/>
        <v>7.6000000000000512</v>
      </c>
      <c r="Q134" t="e">
        <f>SUM($P$3:P134)</f>
        <v>#VALUE!</v>
      </c>
      <c r="R134">
        <f>B134*中国_中债国债到期收益率_1年!B133/365*100</f>
        <v>12.305205479452052</v>
      </c>
      <c r="S134">
        <f>C134*中国_中债国债到期收益率_1年!C133/365*100</f>
        <v>0</v>
      </c>
      <c r="T134">
        <f>D134*中国_中债国债到期收益率_1年!D133/365*100</f>
        <v>0</v>
      </c>
      <c r="U134">
        <f>E134*中国_中债国债到期收益率_1年!E133/365*100</f>
        <v>0</v>
      </c>
      <c r="V134">
        <f t="shared" si="36"/>
        <v>12.305205479452052</v>
      </c>
      <c r="W134" t="e">
        <f>SUM($V$3:V134)</f>
        <v>#VALUE!</v>
      </c>
      <c r="X134">
        <f>MAX(F134-50,0)*中国_中债国债到期收益率_1年!H134*100/365</f>
        <v>0</v>
      </c>
      <c r="Y134">
        <f>SUM($X$3:X134)</f>
        <v>0</v>
      </c>
      <c r="AB134">
        <f>Z134*Return!F134*100</f>
        <v>0</v>
      </c>
      <c r="AC134">
        <f>AA134*Return!G134*100</f>
        <v>0</v>
      </c>
      <c r="AD134">
        <f>SUM($AB$3:AB134)+SUM($AC$3:AC134)</f>
        <v>1279.8000000000002</v>
      </c>
      <c r="AE134" t="e">
        <f t="shared" si="39"/>
        <v>#VALUE!</v>
      </c>
      <c r="AF134" t="e">
        <f t="shared" si="40"/>
        <v>#VALUE!</v>
      </c>
      <c r="AG134" s="4" t="e">
        <f>(AF134/AF133-1)-中国_中债国债到期收益率_1年!H134%/252</f>
        <v>#VALUE!</v>
      </c>
      <c r="AH134" s="4" t="e">
        <f>MIN((AF134-MAX($AF$3:AF134))/MAX($AF$3:AF134),0)</f>
        <v>#VALUE!</v>
      </c>
    </row>
    <row r="135" spans="1:34" x14ac:dyDescent="0.25">
      <c r="A135" s="6">
        <v>44907</v>
      </c>
      <c r="B135">
        <v>20</v>
      </c>
      <c r="D135">
        <v>0</v>
      </c>
      <c r="F135">
        <f t="shared" si="37"/>
        <v>20</v>
      </c>
      <c r="G135">
        <v>20</v>
      </c>
      <c r="I135">
        <f t="shared" si="33"/>
        <v>0</v>
      </c>
      <c r="J135">
        <f t="shared" si="34"/>
        <v>0</v>
      </c>
      <c r="K135">
        <f t="shared" si="38"/>
        <v>20</v>
      </c>
      <c r="L135">
        <f>G135*Return!B135*100</f>
        <v>-82.400000000000688</v>
      </c>
      <c r="M135">
        <f>H135*Return!C135*100</f>
        <v>0</v>
      </c>
      <c r="N135">
        <f>I135*Return!D135*100</f>
        <v>0</v>
      </c>
      <c r="O135">
        <f>J135*Return!E135*100</f>
        <v>0</v>
      </c>
      <c r="P135">
        <f t="shared" si="35"/>
        <v>-82.400000000000688</v>
      </c>
      <c r="Q135" t="e">
        <f>SUM($P$3:P135)</f>
        <v>#VALUE!</v>
      </c>
      <c r="R135">
        <f>B135*中国_中债国债到期收益率_1年!B134/365*100</f>
        <v>12.530958904109587</v>
      </c>
      <c r="S135">
        <f>C135*中国_中债国债到期收益率_1年!C134/365*100</f>
        <v>0</v>
      </c>
      <c r="T135">
        <f>D135*中国_中债国债到期收益率_1年!D134/365*100</f>
        <v>0</v>
      </c>
      <c r="U135">
        <f>E135*中国_中债国债到期收益率_1年!E134/365*100</f>
        <v>0</v>
      </c>
      <c r="V135">
        <f t="shared" si="36"/>
        <v>12.530958904109587</v>
      </c>
      <c r="W135" t="e">
        <f>SUM($V$3:V135)</f>
        <v>#VALUE!</v>
      </c>
      <c r="X135">
        <f>MAX(F135-50,0)*中国_中债国债到期收益率_1年!H135*100/365</f>
        <v>0</v>
      </c>
      <c r="Y135">
        <f>SUM($X$3:X135)</f>
        <v>0</v>
      </c>
      <c r="AB135">
        <f>Z135*Return!F135*100</f>
        <v>0</v>
      </c>
      <c r="AC135">
        <f>AA135*Return!G135*100</f>
        <v>0</v>
      </c>
      <c r="AD135">
        <f>SUM($AB$3:AB135)+SUM($AC$3:AC135)</f>
        <v>1279.8000000000002</v>
      </c>
      <c r="AE135" t="e">
        <f t="shared" si="39"/>
        <v>#VALUE!</v>
      </c>
      <c r="AF135" t="e">
        <f t="shared" si="40"/>
        <v>#VALUE!</v>
      </c>
      <c r="AG135" s="4" t="e">
        <f>(AF135/AF134-1)-中国_中债国债到期收益率_1年!H135%/252</f>
        <v>#VALUE!</v>
      </c>
      <c r="AH135" s="4" t="e">
        <f>MIN((AF135-MAX($AF$3:AF135))/MAX($AF$3:AF135),0)</f>
        <v>#VALUE!</v>
      </c>
    </row>
    <row r="136" spans="1:34" x14ac:dyDescent="0.25">
      <c r="A136" s="6">
        <v>44908</v>
      </c>
      <c r="B136">
        <v>20</v>
      </c>
      <c r="D136">
        <v>0</v>
      </c>
      <c r="F136">
        <f t="shared" si="37"/>
        <v>20</v>
      </c>
      <c r="G136">
        <v>20</v>
      </c>
      <c r="I136">
        <f t="shared" si="33"/>
        <v>0</v>
      </c>
      <c r="J136">
        <f t="shared" si="34"/>
        <v>0</v>
      </c>
      <c r="K136">
        <f t="shared" si="38"/>
        <v>20</v>
      </c>
      <c r="L136">
        <f>G136*Return!B136*100</f>
        <v>-29.999999999999361</v>
      </c>
      <c r="M136">
        <f>H136*Return!C136*100</f>
        <v>0</v>
      </c>
      <c r="N136">
        <f>I136*Return!D136*100</f>
        <v>0</v>
      </c>
      <c r="O136">
        <f>J136*Return!E136*100</f>
        <v>0</v>
      </c>
      <c r="P136">
        <f t="shared" si="35"/>
        <v>-29.999999999999361</v>
      </c>
      <c r="Q136" t="e">
        <f>SUM($P$3:P136)</f>
        <v>#VALUE!</v>
      </c>
      <c r="R136">
        <f>B136*中国_中债国债到期收益率_1年!B135/365*100</f>
        <v>12.613150684931506</v>
      </c>
      <c r="S136">
        <f>C136*中国_中债国债到期收益率_1年!C135/365*100</f>
        <v>0</v>
      </c>
      <c r="T136">
        <f>D136*中国_中债国债到期收益率_1年!D135/365*100</f>
        <v>0</v>
      </c>
      <c r="U136">
        <f>E136*中国_中债国债到期收益率_1年!E135/365*100</f>
        <v>0</v>
      </c>
      <c r="V136">
        <f t="shared" si="36"/>
        <v>12.613150684931506</v>
      </c>
      <c r="W136" t="e">
        <f>SUM($V$3:V136)</f>
        <v>#VALUE!</v>
      </c>
      <c r="X136">
        <f>MAX(F136-50,0)*中国_中债国债到期收益率_1年!H136*100/365</f>
        <v>0</v>
      </c>
      <c r="Y136">
        <f>SUM($X$3:X136)</f>
        <v>0</v>
      </c>
      <c r="AB136">
        <f>Z136*Return!F136*100</f>
        <v>0</v>
      </c>
      <c r="AC136">
        <f>AA136*Return!G136*100</f>
        <v>0</v>
      </c>
      <c r="AD136">
        <f>SUM($AB$3:AB136)+SUM($AC$3:AC136)</f>
        <v>1279.8000000000002</v>
      </c>
      <c r="AE136" t="e">
        <f t="shared" si="39"/>
        <v>#VALUE!</v>
      </c>
      <c r="AF136" t="e">
        <f t="shared" si="40"/>
        <v>#VALUE!</v>
      </c>
      <c r="AG136" s="4" t="e">
        <f>(AF136/AF135-1)-中国_中债国债到期收益率_1年!H136%/252</f>
        <v>#VALUE!</v>
      </c>
      <c r="AH136" s="4" t="e">
        <f>MIN((AF136-MAX($AF$3:AF136))/MAX($AF$3:AF136),0)</f>
        <v>#VALUE!</v>
      </c>
    </row>
    <row r="137" spans="1:34" x14ac:dyDescent="0.25">
      <c r="A137" s="6">
        <v>44909</v>
      </c>
      <c r="B137">
        <v>20</v>
      </c>
      <c r="D137">
        <v>0</v>
      </c>
      <c r="F137">
        <f t="shared" si="37"/>
        <v>20</v>
      </c>
      <c r="G137">
        <v>20</v>
      </c>
      <c r="I137">
        <f t="shared" si="33"/>
        <v>0</v>
      </c>
      <c r="J137">
        <f t="shared" si="34"/>
        <v>0</v>
      </c>
      <c r="K137">
        <f t="shared" si="38"/>
        <v>20</v>
      </c>
      <c r="L137">
        <f>G137*Return!B137*100</f>
        <v>-70.000000000000284</v>
      </c>
      <c r="M137">
        <f>H137*Return!C137*100</f>
        <v>0</v>
      </c>
      <c r="N137">
        <f>I137*Return!D137*100</f>
        <v>0</v>
      </c>
      <c r="O137">
        <f>J137*Return!E137*100</f>
        <v>0</v>
      </c>
      <c r="P137">
        <f t="shared" si="35"/>
        <v>-70.000000000000284</v>
      </c>
      <c r="Q137" t="e">
        <f>SUM($P$3:P137)</f>
        <v>#VALUE!</v>
      </c>
      <c r="R137">
        <f>B137*中国_中债国债到期收益率_1年!B136/365*100</f>
        <v>12.804931506849314</v>
      </c>
      <c r="S137">
        <f>C137*中国_中债国债到期收益率_1年!C136/365*100</f>
        <v>0</v>
      </c>
      <c r="T137">
        <f>D137*中国_中债国债到期收益率_1年!D136/365*100</f>
        <v>0</v>
      </c>
      <c r="U137">
        <f>E137*中国_中债国债到期收益率_1年!E136/365*100</f>
        <v>0</v>
      </c>
      <c r="V137">
        <f t="shared" si="36"/>
        <v>12.804931506849314</v>
      </c>
      <c r="W137" t="e">
        <f>SUM($V$3:V137)</f>
        <v>#VALUE!</v>
      </c>
      <c r="X137">
        <f>MAX(F137-50,0)*中国_中债国债到期收益率_1年!H137*100/365</f>
        <v>0</v>
      </c>
      <c r="Y137">
        <f>SUM($X$3:X137)</f>
        <v>0</v>
      </c>
      <c r="AB137">
        <f>Z137*Return!F137*100</f>
        <v>0</v>
      </c>
      <c r="AC137">
        <f>AA137*Return!G137*100</f>
        <v>0</v>
      </c>
      <c r="AD137">
        <f>SUM($AB$3:AB137)+SUM($AC$3:AC137)</f>
        <v>1279.8000000000002</v>
      </c>
      <c r="AE137" t="e">
        <f t="shared" si="39"/>
        <v>#VALUE!</v>
      </c>
      <c r="AF137" t="e">
        <f t="shared" si="40"/>
        <v>#VALUE!</v>
      </c>
      <c r="AG137" s="4" t="e">
        <f>(AF137/AF136-1)-中国_中债国债到期收益率_1年!H137%/252</f>
        <v>#VALUE!</v>
      </c>
      <c r="AH137" s="4" t="e">
        <f>MIN((AF137-MAX($AF$3:AF137))/MAX($AF$3:AF137),0)</f>
        <v>#VALUE!</v>
      </c>
    </row>
    <row r="138" spans="1:34" x14ac:dyDescent="0.25">
      <c r="A138" s="6">
        <v>44910</v>
      </c>
      <c r="B138">
        <v>20</v>
      </c>
      <c r="D138">
        <v>0</v>
      </c>
      <c r="F138">
        <f t="shared" si="37"/>
        <v>20</v>
      </c>
      <c r="G138">
        <v>20</v>
      </c>
      <c r="I138">
        <f t="shared" si="33"/>
        <v>0</v>
      </c>
      <c r="J138">
        <f t="shared" si="34"/>
        <v>0</v>
      </c>
      <c r="K138">
        <f t="shared" si="38"/>
        <v>20</v>
      </c>
      <c r="L138">
        <f>G138*Return!B138*100</f>
        <v>70.000000000000284</v>
      </c>
      <c r="M138">
        <f>H138*Return!C138*100</f>
        <v>0</v>
      </c>
      <c r="N138">
        <f>I138*Return!D138*100</f>
        <v>0</v>
      </c>
      <c r="O138">
        <f>J138*Return!E138*100</f>
        <v>0</v>
      </c>
      <c r="P138">
        <f t="shared" si="35"/>
        <v>70.000000000000284</v>
      </c>
      <c r="Q138" t="e">
        <f>SUM($P$3:P138)</f>
        <v>#VALUE!</v>
      </c>
      <c r="R138">
        <f>B138*中国_中债国债到期收益率_1年!B137/365*100</f>
        <v>12.613150684931506</v>
      </c>
      <c r="S138">
        <f>C138*中国_中债国债到期收益率_1年!C137/365*100</f>
        <v>0</v>
      </c>
      <c r="T138">
        <f>D138*中国_中债国债到期收益率_1年!D137/365*100</f>
        <v>0</v>
      </c>
      <c r="U138">
        <f>E138*中国_中债国债到期收益率_1年!E137/365*100</f>
        <v>0</v>
      </c>
      <c r="V138">
        <f t="shared" si="36"/>
        <v>12.613150684931506</v>
      </c>
      <c r="W138" t="e">
        <f>SUM($V$3:V138)</f>
        <v>#VALUE!</v>
      </c>
      <c r="X138">
        <f>MAX(F138-50,0)*中国_中债国债到期收益率_1年!H138*100/365</f>
        <v>0</v>
      </c>
      <c r="Y138">
        <f>SUM($X$3:X138)</f>
        <v>0</v>
      </c>
      <c r="AB138">
        <f>Z138*Return!F138*100</f>
        <v>0</v>
      </c>
      <c r="AC138">
        <f>AA138*Return!G138*100</f>
        <v>0</v>
      </c>
      <c r="AD138">
        <f>SUM($AB$3:AB138)+SUM($AC$3:AC138)</f>
        <v>1279.8000000000002</v>
      </c>
      <c r="AE138" t="e">
        <f t="shared" si="39"/>
        <v>#VALUE!</v>
      </c>
      <c r="AF138" t="e">
        <f t="shared" si="40"/>
        <v>#VALUE!</v>
      </c>
      <c r="AG138" s="4" t="e">
        <f>(AF138/AF137-1)-中国_中债国债到期收益率_1年!H138%/252</f>
        <v>#VALUE!</v>
      </c>
      <c r="AH138" s="4" t="e">
        <f>MIN((AF138-MAX($AF$3:AF138))/MAX($AF$3:AF138),0)</f>
        <v>#VALUE!</v>
      </c>
    </row>
    <row r="139" spans="1:34" x14ac:dyDescent="0.25">
      <c r="A139" s="6">
        <v>44911</v>
      </c>
      <c r="B139">
        <v>20</v>
      </c>
      <c r="D139">
        <v>0</v>
      </c>
      <c r="F139">
        <f t="shared" si="37"/>
        <v>20</v>
      </c>
      <c r="G139">
        <v>20</v>
      </c>
      <c r="I139">
        <f t="shared" si="33"/>
        <v>0</v>
      </c>
      <c r="J139">
        <f t="shared" si="34"/>
        <v>0</v>
      </c>
      <c r="K139">
        <f t="shared" si="38"/>
        <v>20</v>
      </c>
      <c r="L139">
        <f>G139*Return!B139*100</f>
        <v>-30.000000000000249</v>
      </c>
      <c r="M139">
        <f>H139*Return!C139*100</f>
        <v>0</v>
      </c>
      <c r="N139">
        <f>I139*Return!D139*100</f>
        <v>0</v>
      </c>
      <c r="O139">
        <f>J139*Return!E139*100</f>
        <v>0</v>
      </c>
      <c r="P139">
        <f t="shared" si="35"/>
        <v>-30.000000000000249</v>
      </c>
      <c r="Q139" t="e">
        <f>SUM($P$3:P139)</f>
        <v>#VALUE!</v>
      </c>
      <c r="R139">
        <f>B139*中国_中债国债到期收益率_1年!B138/365*100</f>
        <v>12.695342465753425</v>
      </c>
      <c r="S139">
        <f>C139*中国_中债国债到期收益率_1年!C138/365*100</f>
        <v>0</v>
      </c>
      <c r="T139">
        <f>D139*中国_中债国债到期收益率_1年!D138/365*100</f>
        <v>0</v>
      </c>
      <c r="U139">
        <f>E139*中国_中债国债到期收益率_1年!E138/365*100</f>
        <v>0</v>
      </c>
      <c r="V139">
        <f t="shared" si="36"/>
        <v>12.695342465753425</v>
      </c>
      <c r="W139" t="e">
        <f>SUM($V$3:V139)</f>
        <v>#VALUE!</v>
      </c>
      <c r="X139">
        <f>MAX(F139-50,0)*中国_中债国债到期收益率_1年!H139*100/365</f>
        <v>0</v>
      </c>
      <c r="Y139">
        <f>SUM($X$3:X139)</f>
        <v>0</v>
      </c>
      <c r="AB139">
        <f>Z139*Return!F139*100</f>
        <v>0</v>
      </c>
      <c r="AC139">
        <f>AA139*Return!G139*100</f>
        <v>0</v>
      </c>
      <c r="AD139">
        <f>SUM($AB$3:AB139)+SUM($AC$3:AC139)</f>
        <v>1279.8000000000002</v>
      </c>
      <c r="AE139" t="e">
        <f t="shared" si="39"/>
        <v>#VALUE!</v>
      </c>
      <c r="AF139" t="e">
        <f t="shared" si="40"/>
        <v>#VALUE!</v>
      </c>
      <c r="AG139" s="4" t="e">
        <f>(AF139/AF138-1)-中国_中债国债到期收益率_1年!H139%/252</f>
        <v>#VALUE!</v>
      </c>
      <c r="AH139" s="4" t="e">
        <f>MIN((AF139-MAX($AF$3:AF139))/MAX($AF$3:AF139),0)</f>
        <v>#VALUE!</v>
      </c>
    </row>
    <row r="140" spans="1:34" x14ac:dyDescent="0.25">
      <c r="A140" s="6">
        <v>44914</v>
      </c>
      <c r="B140">
        <v>20</v>
      </c>
      <c r="D140">
        <v>0</v>
      </c>
      <c r="F140">
        <f t="shared" si="37"/>
        <v>20</v>
      </c>
      <c r="G140">
        <v>20</v>
      </c>
      <c r="I140">
        <f t="shared" si="33"/>
        <v>0</v>
      </c>
      <c r="J140">
        <f t="shared" si="34"/>
        <v>0</v>
      </c>
      <c r="K140">
        <f t="shared" si="38"/>
        <v>20</v>
      </c>
      <c r="L140">
        <f>G140*Return!B140*100</f>
        <v>0</v>
      </c>
      <c r="M140">
        <f>H140*Return!C140*100</f>
        <v>0</v>
      </c>
      <c r="N140">
        <f>I140*Return!D140*100</f>
        <v>0</v>
      </c>
      <c r="O140">
        <f>J140*Return!E140*100</f>
        <v>0</v>
      </c>
      <c r="P140">
        <f t="shared" si="35"/>
        <v>0</v>
      </c>
      <c r="Q140" t="e">
        <f>SUM($P$3:P140)</f>
        <v>#VALUE!</v>
      </c>
      <c r="R140">
        <f>B140*中国_中债国债到期收益率_1年!B139/365*100</f>
        <v>12.695342465753425</v>
      </c>
      <c r="S140">
        <f>C140*中国_中债国债到期收益率_1年!C139/365*100</f>
        <v>0</v>
      </c>
      <c r="T140">
        <f>D140*中国_中债国债到期收益率_1年!D139/365*100</f>
        <v>0</v>
      </c>
      <c r="U140">
        <f>E140*中国_中债国债到期收益率_1年!E139/365*100</f>
        <v>0</v>
      </c>
      <c r="V140">
        <f t="shared" si="36"/>
        <v>12.695342465753425</v>
      </c>
      <c r="W140" t="e">
        <f>SUM($V$3:V140)</f>
        <v>#VALUE!</v>
      </c>
      <c r="X140">
        <f>MAX(F140-50,0)*中国_中债国债到期收益率_1年!H140*100/365</f>
        <v>0</v>
      </c>
      <c r="Y140">
        <f>SUM($X$3:X140)</f>
        <v>0</v>
      </c>
      <c r="AB140">
        <f>Z140*Return!F140*100</f>
        <v>0</v>
      </c>
      <c r="AC140">
        <f>AA140*Return!G140*100</f>
        <v>0</v>
      </c>
      <c r="AD140">
        <f>SUM($AB$3:AB140)+SUM($AC$3:AC140)</f>
        <v>1279.8000000000002</v>
      </c>
      <c r="AE140" t="e">
        <f t="shared" si="39"/>
        <v>#VALUE!</v>
      </c>
      <c r="AF140" t="e">
        <f t="shared" si="40"/>
        <v>#VALUE!</v>
      </c>
      <c r="AG140" s="4" t="e">
        <f>(AF140/AF139-1)-中国_中债国债到期收益率_1年!H140%/252</f>
        <v>#VALUE!</v>
      </c>
      <c r="AH140" s="4" t="e">
        <f>MIN((AF140-MAX($AF$3:AF140))/MAX($AF$3:AF140),0)</f>
        <v>#VALUE!</v>
      </c>
    </row>
    <row r="141" spans="1:34" x14ac:dyDescent="0.25">
      <c r="A141" s="6">
        <v>44915</v>
      </c>
      <c r="B141">
        <v>20</v>
      </c>
      <c r="D141">
        <v>0</v>
      </c>
      <c r="F141">
        <f t="shared" si="37"/>
        <v>20</v>
      </c>
      <c r="G141">
        <v>20</v>
      </c>
      <c r="I141">
        <f t="shared" si="33"/>
        <v>0</v>
      </c>
      <c r="J141">
        <f t="shared" si="34"/>
        <v>0</v>
      </c>
      <c r="K141">
        <f t="shared" si="38"/>
        <v>20</v>
      </c>
      <c r="L141">
        <f>G141*Return!B141*100</f>
        <v>40.000000000000036</v>
      </c>
      <c r="M141">
        <f>H141*Return!C141*100</f>
        <v>0</v>
      </c>
      <c r="N141">
        <f>I141*Return!D141*100</f>
        <v>0</v>
      </c>
      <c r="O141">
        <f>J141*Return!E141*100</f>
        <v>0</v>
      </c>
      <c r="P141">
        <f t="shared" si="35"/>
        <v>40.000000000000036</v>
      </c>
      <c r="Q141" t="e">
        <f>SUM($P$3:P141)</f>
        <v>#VALUE!</v>
      </c>
      <c r="R141">
        <f>B141*中国_中债国债到期收益率_1年!B140/365*100</f>
        <v>12.585753424657534</v>
      </c>
      <c r="S141">
        <f>C141*中国_中债国债到期收益率_1年!C140/365*100</f>
        <v>0</v>
      </c>
      <c r="T141">
        <f>D141*中国_中债国债到期收益率_1年!D140/365*100</f>
        <v>0</v>
      </c>
      <c r="U141">
        <f>E141*中国_中债国债到期收益率_1年!E140/365*100</f>
        <v>0</v>
      </c>
      <c r="V141">
        <f t="shared" si="36"/>
        <v>12.585753424657534</v>
      </c>
      <c r="W141" t="e">
        <f>SUM($V$3:V141)</f>
        <v>#VALUE!</v>
      </c>
      <c r="X141">
        <f>MAX(F141-50,0)*中国_中债国债到期收益率_1年!H141*100/365</f>
        <v>0</v>
      </c>
      <c r="Y141">
        <f>SUM($X$3:X141)</f>
        <v>0</v>
      </c>
      <c r="AB141">
        <f>Z141*Return!F141*100</f>
        <v>0</v>
      </c>
      <c r="AC141">
        <f>AA141*Return!G141*100</f>
        <v>0</v>
      </c>
      <c r="AD141">
        <f>SUM($AB$3:AB141)+SUM($AC$3:AC141)</f>
        <v>1279.8000000000002</v>
      </c>
      <c r="AE141" t="e">
        <f t="shared" si="39"/>
        <v>#VALUE!</v>
      </c>
      <c r="AF141" t="e">
        <f t="shared" si="40"/>
        <v>#VALUE!</v>
      </c>
      <c r="AG141" s="4" t="e">
        <f>(AF141/AF140-1)-中国_中债国债到期收益率_1年!H141%/252</f>
        <v>#VALUE!</v>
      </c>
      <c r="AH141" s="4" t="e">
        <f>MIN((AF141-MAX($AF$3:AF141))/MAX($AF$3:AF141),0)</f>
        <v>#VALUE!</v>
      </c>
    </row>
    <row r="142" spans="1:34" x14ac:dyDescent="0.25">
      <c r="A142" s="6">
        <v>44916</v>
      </c>
      <c r="B142">
        <v>20</v>
      </c>
      <c r="D142">
        <v>0</v>
      </c>
      <c r="F142">
        <f t="shared" si="37"/>
        <v>20</v>
      </c>
      <c r="G142">
        <v>20</v>
      </c>
      <c r="I142">
        <f t="shared" si="33"/>
        <v>0</v>
      </c>
      <c r="J142">
        <f t="shared" si="34"/>
        <v>0</v>
      </c>
      <c r="K142">
        <f t="shared" si="38"/>
        <v>20</v>
      </c>
      <c r="L142">
        <f>G142*Return!B142*100</f>
        <v>0</v>
      </c>
      <c r="M142">
        <f>H142*Return!C142*100</f>
        <v>0</v>
      </c>
      <c r="N142">
        <f>I142*Return!D142*100</f>
        <v>0</v>
      </c>
      <c r="O142">
        <f>J142*Return!E142*100</f>
        <v>0</v>
      </c>
      <c r="P142">
        <f t="shared" si="35"/>
        <v>0</v>
      </c>
      <c r="Q142" t="e">
        <f>SUM($P$3:P142)</f>
        <v>#VALUE!</v>
      </c>
      <c r="R142">
        <f>B142*中国_中债国债到期收益率_1年!B141/365*100</f>
        <v>12.585753424657534</v>
      </c>
      <c r="S142">
        <f>C142*中国_中债国债到期收益率_1年!C141/365*100</f>
        <v>0</v>
      </c>
      <c r="T142">
        <f>D142*中国_中债国债到期收益率_1年!D141/365*100</f>
        <v>0</v>
      </c>
      <c r="U142">
        <f>E142*中国_中债国债到期收益率_1年!E141/365*100</f>
        <v>0</v>
      </c>
      <c r="V142">
        <f t="shared" si="36"/>
        <v>12.585753424657534</v>
      </c>
      <c r="W142" t="e">
        <f>SUM($V$3:V142)</f>
        <v>#VALUE!</v>
      </c>
      <c r="X142">
        <f>MAX(F142-50,0)*中国_中债国债到期收益率_1年!H142*100/365</f>
        <v>0</v>
      </c>
      <c r="Y142">
        <f>SUM($X$3:X142)</f>
        <v>0</v>
      </c>
      <c r="AB142">
        <f>Z142*Return!F142*100</f>
        <v>0</v>
      </c>
      <c r="AC142">
        <f>AA142*Return!G142*100</f>
        <v>0</v>
      </c>
      <c r="AD142">
        <f>SUM($AB$3:AB142)+SUM($AC$3:AC142)</f>
        <v>1279.8000000000002</v>
      </c>
      <c r="AE142" t="e">
        <f t="shared" si="39"/>
        <v>#VALUE!</v>
      </c>
      <c r="AF142" t="e">
        <f t="shared" si="40"/>
        <v>#VALUE!</v>
      </c>
      <c r="AG142" s="4" t="e">
        <f>(AF142/AF141-1)-中国_中债国债到期收益率_1年!H142%/252</f>
        <v>#VALUE!</v>
      </c>
      <c r="AH142" s="4" t="e">
        <f>MIN((AF142-MAX($AF$3:AF142))/MAX($AF$3:AF142),0)</f>
        <v>#VALUE!</v>
      </c>
    </row>
    <row r="143" spans="1:34" x14ac:dyDescent="0.25">
      <c r="A143" s="6">
        <v>44917</v>
      </c>
      <c r="B143">
        <v>20</v>
      </c>
      <c r="D143">
        <v>0</v>
      </c>
      <c r="F143">
        <f t="shared" si="37"/>
        <v>20</v>
      </c>
      <c r="G143">
        <v>20</v>
      </c>
      <c r="I143">
        <f t="shared" si="33"/>
        <v>0</v>
      </c>
      <c r="J143">
        <f t="shared" si="34"/>
        <v>0</v>
      </c>
      <c r="K143">
        <f t="shared" si="38"/>
        <v>20</v>
      </c>
      <c r="L143">
        <f>G143*Return!B143*100</f>
        <v>9.9999999999997868</v>
      </c>
      <c r="M143">
        <f>H143*Return!C143*100</f>
        <v>0</v>
      </c>
      <c r="N143">
        <f>I143*Return!D143*100</f>
        <v>0</v>
      </c>
      <c r="O143">
        <f>J143*Return!E143*100</f>
        <v>0</v>
      </c>
      <c r="P143">
        <f t="shared" si="35"/>
        <v>9.9999999999997868</v>
      </c>
      <c r="Q143" t="e">
        <f>SUM($P$3:P143)</f>
        <v>#VALUE!</v>
      </c>
      <c r="R143">
        <f>B143*中国_中债国债到期收益率_1年!B142/365*100</f>
        <v>12.558356164383561</v>
      </c>
      <c r="S143">
        <f>C143*中国_中债国债到期收益率_1年!C142/365*100</f>
        <v>0</v>
      </c>
      <c r="T143">
        <f>D143*中国_中债国债到期收益率_1年!D142/365*100</f>
        <v>0</v>
      </c>
      <c r="U143">
        <f>E143*中国_中债国债到期收益率_1年!E142/365*100</f>
        <v>0</v>
      </c>
      <c r="V143">
        <f t="shared" si="36"/>
        <v>12.558356164383561</v>
      </c>
      <c r="W143" t="e">
        <f>SUM($V$3:V143)</f>
        <v>#VALUE!</v>
      </c>
      <c r="X143">
        <f>MAX(F143-50,0)*中国_中债国债到期收益率_1年!H143*100/365</f>
        <v>0</v>
      </c>
      <c r="Y143">
        <f>SUM($X$3:X143)</f>
        <v>0</v>
      </c>
      <c r="AB143">
        <f>Z143*Return!F143*100</f>
        <v>0</v>
      </c>
      <c r="AC143">
        <f>AA143*Return!G143*100</f>
        <v>0</v>
      </c>
      <c r="AD143">
        <f>SUM($AB$3:AB143)+SUM($AC$3:AC143)</f>
        <v>1279.8000000000002</v>
      </c>
      <c r="AE143" t="e">
        <f t="shared" si="39"/>
        <v>#VALUE!</v>
      </c>
      <c r="AF143" t="e">
        <f t="shared" si="40"/>
        <v>#VALUE!</v>
      </c>
      <c r="AG143" s="4" t="e">
        <f>(AF143/AF142-1)-中国_中债国债到期收益率_1年!H143%/252</f>
        <v>#VALUE!</v>
      </c>
      <c r="AH143" s="4" t="e">
        <f>MIN((AF143-MAX($AF$3:AF143))/MAX($AF$3:AF143),0)</f>
        <v>#VALUE!</v>
      </c>
    </row>
    <row r="144" spans="1:34" x14ac:dyDescent="0.25">
      <c r="A144" s="6">
        <v>44918</v>
      </c>
      <c r="B144">
        <v>20</v>
      </c>
      <c r="D144">
        <v>0</v>
      </c>
      <c r="F144">
        <f t="shared" si="37"/>
        <v>20</v>
      </c>
      <c r="G144">
        <v>20</v>
      </c>
      <c r="I144">
        <f t="shared" si="33"/>
        <v>0</v>
      </c>
      <c r="J144">
        <f t="shared" si="34"/>
        <v>0</v>
      </c>
      <c r="K144">
        <f t="shared" si="38"/>
        <v>20</v>
      </c>
      <c r="L144">
        <f>G144*Return!B144*100</f>
        <v>49.999999999999822</v>
      </c>
      <c r="M144">
        <f>H144*Return!C144*100</f>
        <v>0</v>
      </c>
      <c r="N144">
        <f>I144*Return!D144*100</f>
        <v>0</v>
      </c>
      <c r="O144">
        <f>J144*Return!E144*100</f>
        <v>0</v>
      </c>
      <c r="P144">
        <f t="shared" si="35"/>
        <v>49.999999999999822</v>
      </c>
      <c r="Q144" t="e">
        <f>SUM($P$3:P144)</f>
        <v>#VALUE!</v>
      </c>
      <c r="R144">
        <f>B144*中国_中债国债到期收益率_1年!B143/365*100</f>
        <v>12.4213698630137</v>
      </c>
      <c r="S144">
        <f>C144*中国_中债国债到期收益率_1年!C143/365*100</f>
        <v>0</v>
      </c>
      <c r="T144">
        <f>D144*中国_中债国债到期收益率_1年!D143/365*100</f>
        <v>0</v>
      </c>
      <c r="U144">
        <f>E144*中国_中债国债到期收益率_1年!E143/365*100</f>
        <v>0</v>
      </c>
      <c r="V144">
        <f t="shared" si="36"/>
        <v>12.4213698630137</v>
      </c>
      <c r="W144" t="e">
        <f>SUM($V$3:V144)</f>
        <v>#VALUE!</v>
      </c>
      <c r="X144">
        <f>MAX(F144-50,0)*中国_中债国债到期收益率_1年!H144*100/365</f>
        <v>0</v>
      </c>
      <c r="Y144">
        <f>SUM($X$3:X144)</f>
        <v>0</v>
      </c>
      <c r="AB144">
        <f>Z144*Return!F144*100</f>
        <v>0</v>
      </c>
      <c r="AC144">
        <f>AA144*Return!G144*100</f>
        <v>0</v>
      </c>
      <c r="AD144">
        <f>SUM($AB$3:AB144)+SUM($AC$3:AC144)</f>
        <v>1279.8000000000002</v>
      </c>
      <c r="AE144" t="e">
        <f t="shared" si="39"/>
        <v>#VALUE!</v>
      </c>
      <c r="AF144" t="e">
        <f t="shared" si="40"/>
        <v>#VALUE!</v>
      </c>
      <c r="AG144" s="4" t="e">
        <f>(AF144/AF143-1)-中国_中债国债到期收益率_1年!H144%/252</f>
        <v>#VALUE!</v>
      </c>
      <c r="AH144" s="4" t="e">
        <f>MIN((AF144-MAX($AF$3:AF144))/MAX($AF$3:AF144),0)</f>
        <v>#VALUE!</v>
      </c>
    </row>
    <row r="145" spans="1:34" x14ac:dyDescent="0.25">
      <c r="A145" s="6">
        <v>44921</v>
      </c>
      <c r="B145">
        <v>20</v>
      </c>
      <c r="D145">
        <v>0</v>
      </c>
      <c r="F145">
        <f t="shared" si="37"/>
        <v>20</v>
      </c>
      <c r="G145">
        <v>20</v>
      </c>
      <c r="I145">
        <f t="shared" si="33"/>
        <v>0</v>
      </c>
      <c r="J145">
        <f t="shared" si="34"/>
        <v>0</v>
      </c>
      <c r="K145">
        <f t="shared" si="38"/>
        <v>20</v>
      </c>
      <c r="L145">
        <f>G145*Return!B145*100</f>
        <v>80.000000000000071</v>
      </c>
      <c r="M145">
        <f>H145*Return!C145*100</f>
        <v>0</v>
      </c>
      <c r="N145">
        <f>I145*Return!D145*100</f>
        <v>0</v>
      </c>
      <c r="O145">
        <f>J145*Return!E145*100</f>
        <v>0</v>
      </c>
      <c r="P145">
        <f t="shared" si="35"/>
        <v>80.000000000000071</v>
      </c>
      <c r="Q145" t="e">
        <f>SUM($P$3:P145)</f>
        <v>#VALUE!</v>
      </c>
      <c r="R145">
        <f>B145*中国_中债国债到期收益率_1年!B144/365*100</f>
        <v>12.20219178082192</v>
      </c>
      <c r="S145">
        <f>C145*中国_中债国债到期收益率_1年!C144/365*100</f>
        <v>0</v>
      </c>
      <c r="T145">
        <f>D145*中国_中债国债到期收益率_1年!D144/365*100</f>
        <v>0</v>
      </c>
      <c r="U145">
        <f>E145*中国_中债国债到期收益率_1年!E144/365*100</f>
        <v>0</v>
      </c>
      <c r="V145">
        <f t="shared" si="36"/>
        <v>12.20219178082192</v>
      </c>
      <c r="W145" t="e">
        <f>SUM($V$3:V145)</f>
        <v>#VALUE!</v>
      </c>
      <c r="X145">
        <f>MAX(F145-50,0)*中国_中债国债到期收益率_1年!H145*100/365</f>
        <v>0</v>
      </c>
      <c r="Y145">
        <f>SUM($X$3:X145)</f>
        <v>0</v>
      </c>
      <c r="AB145">
        <f>Z145*Return!F147*100</f>
        <v>0</v>
      </c>
      <c r="AC145">
        <f>AA145*Return!G147*100</f>
        <v>0</v>
      </c>
      <c r="AD145">
        <f>SUM($AB$3:AB145)+SUM($AC$3:AC145)</f>
        <v>1279.8000000000002</v>
      </c>
      <c r="AE145" t="e">
        <f t="shared" si="39"/>
        <v>#VALUE!</v>
      </c>
      <c r="AF145" t="e">
        <f t="shared" si="40"/>
        <v>#VALUE!</v>
      </c>
      <c r="AG145" s="4" t="e">
        <f>(AF145/AF144-1)-中国_中债国债到期收益率_1年!H145%/252</f>
        <v>#VALUE!</v>
      </c>
      <c r="AH145" s="4" t="e">
        <f>MIN((AF145-MAX($AF$3:AF145))/MAX($AF$3:AF145),0)</f>
        <v>#VALUE!</v>
      </c>
    </row>
    <row r="146" spans="1:34" x14ac:dyDescent="0.25">
      <c r="A146" s="6">
        <v>44922</v>
      </c>
      <c r="B146">
        <v>20</v>
      </c>
      <c r="D146">
        <v>0</v>
      </c>
      <c r="F146">
        <f t="shared" si="37"/>
        <v>20</v>
      </c>
      <c r="G146">
        <v>20</v>
      </c>
      <c r="I146">
        <f t="shared" si="33"/>
        <v>0</v>
      </c>
      <c r="J146">
        <f t="shared" si="34"/>
        <v>0</v>
      </c>
      <c r="K146">
        <f t="shared" si="38"/>
        <v>20</v>
      </c>
      <c r="L146">
        <f>G146*Return!B146*100</f>
        <v>-40.000000000000036</v>
      </c>
      <c r="M146">
        <f>H146*Return!C146*100</f>
        <v>0</v>
      </c>
      <c r="N146">
        <f>I146*Return!D146*100</f>
        <v>0</v>
      </c>
      <c r="O146">
        <f>J146*Return!E146*100</f>
        <v>0</v>
      </c>
      <c r="P146">
        <f t="shared" si="35"/>
        <v>-40.000000000000036</v>
      </c>
      <c r="Q146" t="e">
        <f>SUM($P$3:P146)</f>
        <v>#VALUE!</v>
      </c>
      <c r="R146">
        <f>B146*中国_中债国债到期收益率_1年!B145/365*100</f>
        <v>12.311780821917809</v>
      </c>
      <c r="S146">
        <f>C146*中国_中债国债到期收益率_1年!C145/365*100</f>
        <v>0</v>
      </c>
      <c r="T146">
        <f>D146*中国_中债国债到期收益率_1年!D145/365*100</f>
        <v>0</v>
      </c>
      <c r="U146">
        <f>E146*中国_中债国债到期收益率_1年!E145/365*100</f>
        <v>0</v>
      </c>
      <c r="V146">
        <f t="shared" si="36"/>
        <v>12.311780821917809</v>
      </c>
      <c r="W146" t="e">
        <f>SUM($V$3:V146)</f>
        <v>#VALUE!</v>
      </c>
      <c r="X146">
        <f>MAX(F146-50,0)*中国_中债国债到期收益率_1年!H146*100/365</f>
        <v>0</v>
      </c>
      <c r="Y146">
        <f>SUM($X$3:X146)</f>
        <v>0</v>
      </c>
      <c r="AB146">
        <f>Z146*Return!F148*100</f>
        <v>0</v>
      </c>
      <c r="AC146">
        <f>AA146*Return!G148*100</f>
        <v>0</v>
      </c>
      <c r="AD146">
        <f>SUM($AB$3:AB146)+SUM($AC$3:AC146)</f>
        <v>1279.8000000000002</v>
      </c>
      <c r="AE146" t="e">
        <f t="shared" si="39"/>
        <v>#VALUE!</v>
      </c>
      <c r="AF146" t="e">
        <f t="shared" si="40"/>
        <v>#VALUE!</v>
      </c>
      <c r="AG146" s="4" t="e">
        <f>(AF146/AF145-1)-中国_中债国债到期收益率_1年!H146%/252</f>
        <v>#VALUE!</v>
      </c>
      <c r="AH146" s="4" t="e">
        <f>MIN((AF146-MAX($AF$3:AF146))/MAX($AF$3:AF146),0)</f>
        <v>#VALUE!</v>
      </c>
    </row>
    <row r="147" spans="1:34" x14ac:dyDescent="0.25">
      <c r="A147" s="6">
        <v>44923</v>
      </c>
      <c r="B147">
        <v>20</v>
      </c>
      <c r="D147">
        <v>0</v>
      </c>
      <c r="F147">
        <f t="shared" si="37"/>
        <v>20</v>
      </c>
      <c r="G147">
        <v>20</v>
      </c>
      <c r="I147">
        <f t="shared" si="33"/>
        <v>0</v>
      </c>
      <c r="J147">
        <f t="shared" si="34"/>
        <v>0</v>
      </c>
      <c r="K147">
        <f t="shared" si="38"/>
        <v>20</v>
      </c>
      <c r="L147">
        <f>G147*Return!B147*100</f>
        <v>0</v>
      </c>
      <c r="M147">
        <f>H147*Return!C147*100</f>
        <v>0</v>
      </c>
      <c r="N147">
        <f>I147*Return!D147*100</f>
        <v>0</v>
      </c>
      <c r="O147">
        <f>J147*Return!E147*100</f>
        <v>0</v>
      </c>
      <c r="P147">
        <f t="shared" si="35"/>
        <v>0</v>
      </c>
      <c r="Q147" t="e">
        <f>SUM($P$3:P147)</f>
        <v>#VALUE!</v>
      </c>
      <c r="R147">
        <f>B147*中国_中债国债到期收益率_1年!B146/365*100</f>
        <v>12.311780821917809</v>
      </c>
      <c r="S147">
        <f>C147*中国_中债国债到期收益率_1年!C146/365*100</f>
        <v>0</v>
      </c>
      <c r="T147">
        <f>D147*中国_中债国债到期收益率_1年!D146/365*100</f>
        <v>0</v>
      </c>
      <c r="U147">
        <f>E147*中国_中债国债到期收益率_1年!E146/365*100</f>
        <v>0</v>
      </c>
      <c r="V147">
        <f t="shared" si="36"/>
        <v>12.311780821917809</v>
      </c>
      <c r="W147" t="e">
        <f>SUM($V$3:V147)</f>
        <v>#VALUE!</v>
      </c>
      <c r="X147">
        <f>MAX(F147-50,0)*中国_中债国债到期收益率_1年!H147*100/365</f>
        <v>0</v>
      </c>
      <c r="Y147">
        <f>SUM($X$3:X147)</f>
        <v>0</v>
      </c>
      <c r="AB147">
        <f>Z147*Return!F149*100</f>
        <v>0</v>
      </c>
      <c r="AC147">
        <f>AA147*Return!G149*100</f>
        <v>0</v>
      </c>
      <c r="AD147">
        <f>SUM($AB$3:AB147)+SUM($AC$3:AC147)</f>
        <v>1279.8000000000002</v>
      </c>
      <c r="AE147" t="e">
        <f t="shared" si="39"/>
        <v>#VALUE!</v>
      </c>
      <c r="AF147" t="e">
        <f t="shared" si="40"/>
        <v>#VALUE!</v>
      </c>
      <c r="AG147" s="4" t="e">
        <f>(AF147/AF146-1)-中国_中债国债到期收益率_1年!H147%/252</f>
        <v>#VALUE!</v>
      </c>
      <c r="AH147" s="4" t="e">
        <f>MIN((AF147-MAX($AF$3:AF147))/MAX($AF$3:AF147),0)</f>
        <v>#VALUE!</v>
      </c>
    </row>
    <row r="148" spans="1:34" x14ac:dyDescent="0.25">
      <c r="A148" s="6">
        <v>44924</v>
      </c>
      <c r="B148">
        <v>20</v>
      </c>
      <c r="D148">
        <v>0</v>
      </c>
      <c r="F148">
        <f t="shared" si="37"/>
        <v>20</v>
      </c>
      <c r="G148">
        <v>20</v>
      </c>
      <c r="I148">
        <f t="shared" ref="I148:I211" si="41">9*D148</f>
        <v>0</v>
      </c>
      <c r="J148">
        <f t="shared" ref="J148:J211" si="42">16*E148</f>
        <v>0</v>
      </c>
      <c r="K148">
        <f t="shared" si="38"/>
        <v>20</v>
      </c>
      <c r="L148">
        <f>G148*Return!B148*100</f>
        <v>20.000000000000462</v>
      </c>
      <c r="M148">
        <f>H148*Return!C148*100</f>
        <v>0</v>
      </c>
      <c r="N148">
        <f>I148*Return!D148*100</f>
        <v>0</v>
      </c>
      <c r="O148">
        <f>J148*Return!E148*100</f>
        <v>0</v>
      </c>
      <c r="P148">
        <f t="shared" ref="P148:P211" si="43">SUM(L148:O148)</f>
        <v>20.000000000000462</v>
      </c>
      <c r="Q148" t="e">
        <f>SUM($P$3:P148)</f>
        <v>#VALUE!</v>
      </c>
      <c r="R148">
        <f>B148*中国_中债国债到期收益率_1年!B147/365*100</f>
        <v>12.256986301369862</v>
      </c>
      <c r="S148">
        <f>C148*中国_中债国债到期收益率_1年!C147/365*100</f>
        <v>0</v>
      </c>
      <c r="T148">
        <f>D148*中国_中债国债到期收益率_1年!D147/365*100</f>
        <v>0</v>
      </c>
      <c r="U148">
        <f>E148*中国_中债国债到期收益率_1年!E147/365*100</f>
        <v>0</v>
      </c>
      <c r="V148">
        <f t="shared" ref="V148:V211" si="44">SUM(R148:U148)</f>
        <v>12.256986301369862</v>
      </c>
      <c r="W148" t="e">
        <f>SUM($V$3:V148)</f>
        <v>#VALUE!</v>
      </c>
      <c r="X148">
        <f>MAX(F148-50,0)*中国_中债国债到期收益率_1年!H148*100/365</f>
        <v>0</v>
      </c>
      <c r="Y148">
        <f>SUM($X$3:X148)</f>
        <v>0</v>
      </c>
      <c r="AB148">
        <f>Z148*Return!F152*100</f>
        <v>0</v>
      </c>
      <c r="AC148">
        <f>AA148*Return!G152*100</f>
        <v>0</v>
      </c>
      <c r="AD148">
        <f>SUM($AB$3:AB148)+SUM($AC$3:AC148)</f>
        <v>1279.8000000000002</v>
      </c>
      <c r="AE148" t="e">
        <f t="shared" si="39"/>
        <v>#VALUE!</v>
      </c>
      <c r="AF148" t="e">
        <f t="shared" si="40"/>
        <v>#VALUE!</v>
      </c>
      <c r="AG148" s="4" t="e">
        <f>(AF148/AF147-1)-中国_中债国债到期收益率_1年!H148%/252</f>
        <v>#VALUE!</v>
      </c>
      <c r="AH148" s="4" t="e">
        <f>MIN((AF148-MAX($AF$3:AF148))/MAX($AF$3:AF148),0)</f>
        <v>#VALUE!</v>
      </c>
    </row>
    <row r="149" spans="1:34" x14ac:dyDescent="0.25">
      <c r="A149" s="6">
        <v>44925</v>
      </c>
      <c r="B149">
        <v>20</v>
      </c>
      <c r="F149">
        <f t="shared" si="37"/>
        <v>20</v>
      </c>
      <c r="G149">
        <v>20</v>
      </c>
      <c r="I149">
        <f t="shared" si="41"/>
        <v>0</v>
      </c>
      <c r="J149">
        <f t="shared" si="42"/>
        <v>0</v>
      </c>
      <c r="K149">
        <f t="shared" si="38"/>
        <v>20</v>
      </c>
      <c r="L149">
        <f>G149*Return!B149*100</f>
        <v>139.99999999999969</v>
      </c>
      <c r="M149">
        <f>H149*Return!C149*100</f>
        <v>0</v>
      </c>
      <c r="N149">
        <f>I149*Return!D149*100</f>
        <v>0</v>
      </c>
      <c r="O149">
        <f>J149*Return!E149*100</f>
        <v>0</v>
      </c>
      <c r="P149">
        <f t="shared" si="43"/>
        <v>139.99999999999969</v>
      </c>
      <c r="Q149" t="e">
        <f>SUM($P$3:P149)</f>
        <v>#VALUE!</v>
      </c>
      <c r="R149">
        <f>B149*中国_中债国债到期收益率_1年!B148/365*100</f>
        <v>11.873424657534247</v>
      </c>
      <c r="S149">
        <f>C149*中国_中债国债到期收益率_1年!C148/365*100</f>
        <v>0</v>
      </c>
      <c r="T149">
        <f>D149*中国_中债国债到期收益率_1年!D148/365*100</f>
        <v>0</v>
      </c>
      <c r="U149">
        <f>E149*中国_中债国债到期收益率_1年!E148/365*100</f>
        <v>0</v>
      </c>
      <c r="V149">
        <f t="shared" si="44"/>
        <v>11.873424657534247</v>
      </c>
      <c r="W149" t="e">
        <f>SUM($V$3:V149)</f>
        <v>#VALUE!</v>
      </c>
      <c r="X149">
        <f>MAX(F149-50,0)*中国_中债国债到期收益率_1年!H149*100/365</f>
        <v>0</v>
      </c>
      <c r="Y149">
        <f>SUM($X$3:X149)</f>
        <v>0</v>
      </c>
      <c r="AB149">
        <f>Z149*Return!F153*100</f>
        <v>0</v>
      </c>
      <c r="AC149">
        <f>AA149*Return!G153*100</f>
        <v>0</v>
      </c>
      <c r="AD149">
        <f>SUM($AB$3:AB149)+SUM($AC$3:AC149)</f>
        <v>1279.8000000000002</v>
      </c>
      <c r="AE149" t="e">
        <f t="shared" si="39"/>
        <v>#VALUE!</v>
      </c>
      <c r="AF149" t="e">
        <f t="shared" si="40"/>
        <v>#VALUE!</v>
      </c>
      <c r="AG149" s="4" t="e">
        <f>(AF149/AF148-1)-中国_中债国债到期收益率_1年!H149%/252</f>
        <v>#VALUE!</v>
      </c>
      <c r="AH149" s="4" t="e">
        <f>MIN((AF149-MAX($AF$3:AF149))/MAX($AF$3:AF149),0)</f>
        <v>#VALUE!</v>
      </c>
    </row>
    <row r="150" spans="1:34" x14ac:dyDescent="0.25">
      <c r="A150" s="6">
        <v>44926</v>
      </c>
      <c r="B150">
        <v>20</v>
      </c>
      <c r="F150">
        <f t="shared" si="37"/>
        <v>20</v>
      </c>
      <c r="G150">
        <v>20</v>
      </c>
      <c r="I150">
        <f t="shared" si="41"/>
        <v>0</v>
      </c>
      <c r="J150">
        <f t="shared" si="42"/>
        <v>0</v>
      </c>
      <c r="K150">
        <f t="shared" si="38"/>
        <v>20</v>
      </c>
      <c r="L150">
        <f>G150*Return!B150*100</f>
        <v>139.99999999999969</v>
      </c>
      <c r="M150">
        <f>H150*Return!C150*100</f>
        <v>0</v>
      </c>
      <c r="N150">
        <f>I150*Return!D150*100</f>
        <v>0</v>
      </c>
      <c r="O150">
        <f>J150*Return!E150*100</f>
        <v>0</v>
      </c>
      <c r="P150">
        <f t="shared" si="43"/>
        <v>139.99999999999969</v>
      </c>
      <c r="Q150" t="e">
        <f>SUM($P$3:P150)</f>
        <v>#VALUE!</v>
      </c>
      <c r="R150">
        <f>B150*中国_中债国债到期收益率_1年!B149/365*100</f>
        <v>11.489863013698631</v>
      </c>
      <c r="S150">
        <f>C150*中国_中债国债到期收益率_1年!C149/365*100</f>
        <v>0</v>
      </c>
      <c r="T150">
        <f>D150*中国_中债国债到期收益率_1年!D149/365*100</f>
        <v>0</v>
      </c>
      <c r="U150">
        <f>E150*中国_中债国债到期收益率_1年!E149/365*100</f>
        <v>0</v>
      </c>
      <c r="V150">
        <f t="shared" si="44"/>
        <v>11.489863013698631</v>
      </c>
      <c r="W150" t="e">
        <f>SUM($V$3:V150)</f>
        <v>#VALUE!</v>
      </c>
      <c r="X150">
        <f>MAX(F150-50,0)*中国_中债国债到期收益率_1年!H150*100/365</f>
        <v>0</v>
      </c>
      <c r="Y150">
        <f>SUM($X$3:X150)</f>
        <v>0</v>
      </c>
      <c r="AB150">
        <f>Z150*Return!F154*100</f>
        <v>0</v>
      </c>
      <c r="AC150">
        <f>AA150*Return!G154*100</f>
        <v>0</v>
      </c>
      <c r="AD150">
        <f>SUM($AB$3:AB150)+SUM($AC$3:AC150)</f>
        <v>1279.8000000000002</v>
      </c>
      <c r="AE150" t="e">
        <f t="shared" si="39"/>
        <v>#VALUE!</v>
      </c>
      <c r="AF150" t="e">
        <f t="shared" si="40"/>
        <v>#VALUE!</v>
      </c>
      <c r="AG150" s="4" t="e">
        <f>(AF150/AF149-1)-中国_中债国债到期收益率_1年!H150%/252</f>
        <v>#VALUE!</v>
      </c>
      <c r="AH150" s="4" t="e">
        <f>MIN((AF150-MAX($AF$3:AF150))/MAX($AF$3:AF150),0)</f>
        <v>#VALUE!</v>
      </c>
    </row>
    <row r="151" spans="1:34" x14ac:dyDescent="0.25">
      <c r="A151" s="6">
        <v>44929</v>
      </c>
      <c r="B151">
        <v>30</v>
      </c>
      <c r="C151">
        <v>10</v>
      </c>
      <c r="F151">
        <f t="shared" si="37"/>
        <v>40</v>
      </c>
      <c r="G151">
        <f t="shared" ref="G151:G211" si="45">B151</f>
        <v>30</v>
      </c>
      <c r="H151">
        <f t="shared" ref="H151:H211" si="46">5*C151</f>
        <v>50</v>
      </c>
      <c r="I151">
        <f t="shared" si="41"/>
        <v>0</v>
      </c>
      <c r="J151">
        <f t="shared" si="42"/>
        <v>0</v>
      </c>
      <c r="K151">
        <f t="shared" si="38"/>
        <v>80</v>
      </c>
      <c r="L151">
        <f>G151*Return!B151*100</f>
        <v>0</v>
      </c>
      <c r="M151">
        <f>H151*Return!C151*100</f>
        <v>0</v>
      </c>
      <c r="N151">
        <f>I151*Return!D151*100</f>
        <v>0</v>
      </c>
      <c r="O151">
        <f>J151*Return!E151*100</f>
        <v>0</v>
      </c>
      <c r="P151">
        <f t="shared" si="43"/>
        <v>0</v>
      </c>
      <c r="Q151">
        <f>SUM($P$148:P151)</f>
        <v>299.99999999999983</v>
      </c>
      <c r="R151">
        <f>B151*中国_中债国债到期收益率_1年!B150/365*100</f>
        <v>17.234794520547947</v>
      </c>
      <c r="S151">
        <f>C151*中国_中债国债到期收益率_1年!C150/365*100</f>
        <v>7.2454794520547958</v>
      </c>
      <c r="T151">
        <f>D151*中国_中债国债到期收益率_1年!D150/365*100</f>
        <v>0</v>
      </c>
      <c r="U151">
        <f>E151*中国_中债国债到期收益率_1年!E150/365*100</f>
        <v>0</v>
      </c>
      <c r="V151">
        <f t="shared" si="44"/>
        <v>24.480273972602742</v>
      </c>
      <c r="W151">
        <f>SUM($V$148:V151)</f>
        <v>60.100547945205477</v>
      </c>
      <c r="X151">
        <f>MAX(F151-50,0)*中国_中债国债到期收益率_1年!H151*100/365</f>
        <v>0</v>
      </c>
      <c r="Y151">
        <f>SUM($X$148:X151)</f>
        <v>0</v>
      </c>
      <c r="AB151">
        <f>Z151*Return!F155*100</f>
        <v>0</v>
      </c>
      <c r="AC151">
        <f>AA151*Return!G155*100</f>
        <v>0</v>
      </c>
      <c r="AD151">
        <f>SUM($AB$148:AB151)+SUM($AC$148:AC151)</f>
        <v>0</v>
      </c>
      <c r="AE151">
        <f t="shared" si="39"/>
        <v>360.10054794520534</v>
      </c>
      <c r="AF151">
        <f>AE151/$AI$1+1</f>
        <v>1.0007202010958904</v>
      </c>
      <c r="AH151" s="4"/>
    </row>
    <row r="152" spans="1:34" x14ac:dyDescent="0.25">
      <c r="A152" s="6">
        <v>44930</v>
      </c>
      <c r="B152">
        <v>30</v>
      </c>
      <c r="C152">
        <v>10</v>
      </c>
      <c r="F152">
        <f t="shared" si="37"/>
        <v>40</v>
      </c>
      <c r="G152">
        <f t="shared" si="45"/>
        <v>30</v>
      </c>
      <c r="H152">
        <f t="shared" si="46"/>
        <v>50</v>
      </c>
      <c r="I152">
        <f t="shared" si="41"/>
        <v>0</v>
      </c>
      <c r="J152">
        <f t="shared" si="42"/>
        <v>0</v>
      </c>
      <c r="K152">
        <f t="shared" si="38"/>
        <v>80</v>
      </c>
      <c r="L152">
        <f>G152*Return!B152*100</f>
        <v>-45.29999999999967</v>
      </c>
      <c r="M152">
        <f>H152*Return!C152*100</f>
        <v>74.000000000000739</v>
      </c>
      <c r="N152">
        <f>I152*Return!D152*100</f>
        <v>0</v>
      </c>
      <c r="O152">
        <f>J152*Return!E152*100</f>
        <v>0</v>
      </c>
      <c r="P152">
        <f t="shared" si="43"/>
        <v>28.700000000001069</v>
      </c>
      <c r="Q152">
        <f>SUM($P$148:P152)</f>
        <v>328.7000000000009</v>
      </c>
      <c r="R152">
        <f>B152*中国_中债国债到期收益率_1年!B151/365*100</f>
        <v>17.358904109589041</v>
      </c>
      <c r="S152">
        <f>C152*中国_中债国债到期收益率_1年!C151/365*100</f>
        <v>7.2049315068493147</v>
      </c>
      <c r="T152">
        <f>D152*中国_中债国债到期收益率_1年!D151/365*100</f>
        <v>0</v>
      </c>
      <c r="U152">
        <f>E152*中国_中债国债到期收益率_1年!E151/365*100</f>
        <v>0</v>
      </c>
      <c r="V152">
        <f t="shared" si="44"/>
        <v>24.563835616438354</v>
      </c>
      <c r="W152">
        <f>SUM($V$148:V152)</f>
        <v>84.664383561643831</v>
      </c>
      <c r="X152">
        <f>MAX(F152-50,0)*中国_中债国债到期收益率_1年!H152*100/365</f>
        <v>0</v>
      </c>
      <c r="Y152">
        <f>SUM($X$148:X152)</f>
        <v>0</v>
      </c>
      <c r="AB152">
        <f>Z152*Return!F156*100</f>
        <v>0</v>
      </c>
      <c r="AC152">
        <f>AA152*Return!G156*100</f>
        <v>0</v>
      </c>
      <c r="AD152">
        <f>SUM($AB$148:AB152)+SUM($AC$148:AC152)</f>
        <v>0</v>
      </c>
      <c r="AE152">
        <f t="shared" si="39"/>
        <v>413.36438356164473</v>
      </c>
      <c r="AF152">
        <f t="shared" si="40"/>
        <v>1.0008267287671233</v>
      </c>
      <c r="AG152" s="4">
        <f>(AF152/AF151-1)-中国_中债国债到期收益率_1年!H152%/252</f>
        <v>3.8990687641997398E-5</v>
      </c>
      <c r="AH152" s="4">
        <f>MIN((AF152-MAX($AF$151:AF152))/MAX($AF$151:AF152),0)</f>
        <v>0</v>
      </c>
    </row>
    <row r="153" spans="1:34" x14ac:dyDescent="0.25">
      <c r="A153" s="6">
        <v>44931</v>
      </c>
      <c r="B153">
        <v>30</v>
      </c>
      <c r="C153">
        <v>10</v>
      </c>
      <c r="F153">
        <f t="shared" si="37"/>
        <v>40</v>
      </c>
      <c r="G153">
        <f t="shared" si="45"/>
        <v>30</v>
      </c>
      <c r="H153">
        <f t="shared" si="46"/>
        <v>50</v>
      </c>
      <c r="I153">
        <f t="shared" si="41"/>
        <v>0</v>
      </c>
      <c r="J153">
        <f t="shared" si="42"/>
        <v>0</v>
      </c>
      <c r="K153">
        <f t="shared" si="38"/>
        <v>80</v>
      </c>
      <c r="L153">
        <f>G153*Return!B153*100</f>
        <v>134.99999999999977</v>
      </c>
      <c r="M153">
        <f>H153*Return!C153*100</f>
        <v>113.49999999999972</v>
      </c>
      <c r="N153">
        <f>I153*Return!D153*100</f>
        <v>0</v>
      </c>
      <c r="O153">
        <f>J153*Return!E153*100</f>
        <v>0</v>
      </c>
      <c r="P153">
        <f t="shared" si="43"/>
        <v>248.49999999999949</v>
      </c>
      <c r="Q153">
        <f>SUM($P$148:P153)</f>
        <v>577.20000000000039</v>
      </c>
      <c r="R153">
        <f>B153*中国_中债国债到期收益率_1年!B152/365*100</f>
        <v>16.989041095890411</v>
      </c>
      <c r="S153">
        <f>C153*中国_中债国债到期收益率_1年!C152/365*100</f>
        <v>7.142739726027397</v>
      </c>
      <c r="T153">
        <f>D153*中国_中债国债到期收益率_1年!D152/365*100</f>
        <v>0</v>
      </c>
      <c r="U153">
        <f>E153*中国_中债国债到期收益率_1年!E152/365*100</f>
        <v>0</v>
      </c>
      <c r="V153">
        <f t="shared" si="44"/>
        <v>24.131780821917808</v>
      </c>
      <c r="W153">
        <f>SUM($V$148:V153)</f>
        <v>108.79616438356163</v>
      </c>
      <c r="X153">
        <f>MAX(F153-50,0)*中国_中债国债到期收益率_1年!H153*100/365</f>
        <v>0</v>
      </c>
      <c r="Y153">
        <f>SUM($X$148:X153)</f>
        <v>0</v>
      </c>
      <c r="AB153">
        <f>Z153*Return!F157*100</f>
        <v>0</v>
      </c>
      <c r="AC153">
        <f>AA153*Return!G157*100</f>
        <v>0</v>
      </c>
      <c r="AD153">
        <f>SUM($AB$148:AB153)+SUM($AC$148:AC153)</f>
        <v>0</v>
      </c>
      <c r="AE153">
        <f t="shared" si="39"/>
        <v>685.99616438356202</v>
      </c>
      <c r="AF153">
        <f t="shared" si="40"/>
        <v>1.0013719923287672</v>
      </c>
      <c r="AG153" s="4">
        <f>(AF153/AF152-1)-中国_中债国债到期收益率_1年!H153%/252</f>
        <v>4.7735283148063056E-4</v>
      </c>
      <c r="AH153" s="4">
        <f>MIN((AF153-MAX($AF$151:AF153))/MAX($AF$151:AF153),0)</f>
        <v>0</v>
      </c>
    </row>
    <row r="154" spans="1:34" x14ac:dyDescent="0.25">
      <c r="A154" s="6">
        <v>44932</v>
      </c>
      <c r="B154">
        <v>40</v>
      </c>
      <c r="C154">
        <v>10</v>
      </c>
      <c r="F154">
        <f t="shared" si="37"/>
        <v>50</v>
      </c>
      <c r="G154">
        <f t="shared" si="45"/>
        <v>40</v>
      </c>
      <c r="H154">
        <f t="shared" si="46"/>
        <v>50</v>
      </c>
      <c r="I154">
        <f t="shared" si="41"/>
        <v>0</v>
      </c>
      <c r="J154">
        <f t="shared" si="42"/>
        <v>0</v>
      </c>
      <c r="K154">
        <f t="shared" si="38"/>
        <v>90</v>
      </c>
      <c r="L154">
        <f>G154*Return!B154*100</f>
        <v>-59.999999999998721</v>
      </c>
      <c r="M154">
        <f>H154*Return!C154*100</f>
        <v>-89.500000000000142</v>
      </c>
      <c r="N154">
        <f>I154*Return!D154*100</f>
        <v>0</v>
      </c>
      <c r="O154">
        <f>J154*Return!E154*100</f>
        <v>0</v>
      </c>
      <c r="P154">
        <f t="shared" si="43"/>
        <v>-149.49999999999886</v>
      </c>
      <c r="Q154">
        <f>SUM($P$148:P154)</f>
        <v>427.70000000000152</v>
      </c>
      <c r="R154">
        <f>B154*中国_中债国债到期收益率_1年!B153/365*100</f>
        <v>22.816438356164383</v>
      </c>
      <c r="S154">
        <f>C154*中国_中债国债到期收益率_1年!C153/365*100</f>
        <v>7.1917808219178081</v>
      </c>
      <c r="T154">
        <f>D154*中国_中债国债到期收益率_1年!D153/365*100</f>
        <v>0</v>
      </c>
      <c r="U154">
        <f>E154*中国_中债国债到期收益率_1年!E153/365*100</f>
        <v>0</v>
      </c>
      <c r="V154">
        <f t="shared" si="44"/>
        <v>30.008219178082193</v>
      </c>
      <c r="W154">
        <f>SUM($V$148:V154)</f>
        <v>138.80438356164382</v>
      </c>
      <c r="X154">
        <f>MAX(F154-50,0)*中国_中债国债到期收益率_1年!H154*100/365</f>
        <v>0</v>
      </c>
      <c r="Y154">
        <f>SUM($X$148:X154)</f>
        <v>0</v>
      </c>
      <c r="AA154">
        <v>-20</v>
      </c>
      <c r="AB154">
        <f>Z154*Return!F158*100</f>
        <v>0</v>
      </c>
      <c r="AC154">
        <f>AA154*Return!G158*100</f>
        <v>29.599999999999405</v>
      </c>
      <c r="AD154">
        <f>SUM($AB$148:AB154)+SUM($AC$148:AC154)</f>
        <v>29.599999999999405</v>
      </c>
      <c r="AE154">
        <f t="shared" si="39"/>
        <v>596.1043835616448</v>
      </c>
      <c r="AF154">
        <f t="shared" si="40"/>
        <v>1.0011922087671232</v>
      </c>
      <c r="AG154" s="4">
        <f>(AF154/AF153-1)-中国_中债国债到期收益率_1年!H154%/252</f>
        <v>-2.4898168237518252E-4</v>
      </c>
      <c r="AH154" s="4">
        <f>MIN((AF154-MAX($AF$151:AF154))/MAX($AF$151:AF154),0)</f>
        <v>-1.7953723793077343E-4</v>
      </c>
    </row>
    <row r="155" spans="1:34" x14ac:dyDescent="0.25">
      <c r="A155" s="6">
        <v>44935</v>
      </c>
      <c r="B155">
        <v>40</v>
      </c>
      <c r="C155">
        <v>10</v>
      </c>
      <c r="F155">
        <f t="shared" si="37"/>
        <v>50</v>
      </c>
      <c r="G155">
        <f t="shared" si="45"/>
        <v>40</v>
      </c>
      <c r="H155">
        <f t="shared" si="46"/>
        <v>50</v>
      </c>
      <c r="I155">
        <f t="shared" si="41"/>
        <v>0</v>
      </c>
      <c r="J155">
        <f t="shared" si="42"/>
        <v>0</v>
      </c>
      <c r="K155">
        <f t="shared" si="38"/>
        <v>90</v>
      </c>
      <c r="L155">
        <f>G155*Return!B155*100</f>
        <v>-60.000000000000497</v>
      </c>
      <c r="M155">
        <f>H155*Return!C155*100</f>
        <v>-122.50000000000094</v>
      </c>
      <c r="N155">
        <f>I155*Return!D155*100</f>
        <v>0</v>
      </c>
      <c r="O155">
        <f>J155*Return!E155*100</f>
        <v>0</v>
      </c>
      <c r="P155">
        <f t="shared" si="43"/>
        <v>-182.50000000000142</v>
      </c>
      <c r="Q155">
        <f>SUM($P$148:P155)</f>
        <v>245.2000000000001</v>
      </c>
      <c r="R155">
        <f>B155*中国_中债国债到期收益率_1年!B154/365*100</f>
        <v>22.980821917808218</v>
      </c>
      <c r="S155">
        <f>C155*中国_中债国债到期收益率_1年!C154/365*100</f>
        <v>7.2589041095890412</v>
      </c>
      <c r="T155">
        <f>D155*中国_中债国债到期收益率_1年!D154/365*100</f>
        <v>0</v>
      </c>
      <c r="U155">
        <f>E155*中国_中债国债到期收益率_1年!E154/365*100</f>
        <v>0</v>
      </c>
      <c r="V155">
        <f t="shared" si="44"/>
        <v>30.239726027397261</v>
      </c>
      <c r="W155">
        <f>SUM($V$148:V155)</f>
        <v>169.04410958904108</v>
      </c>
      <c r="X155">
        <f>MAX(F155-50,0)*中国_中债国债到期收益率_1年!H155*100/365</f>
        <v>0</v>
      </c>
      <c r="Y155">
        <f>SUM($X$148:X155)</f>
        <v>0</v>
      </c>
      <c r="AA155">
        <v>-30</v>
      </c>
      <c r="AB155">
        <f>Z155*Return!F159*100</f>
        <v>0</v>
      </c>
      <c r="AC155">
        <f>AA155*Return!G159*100</f>
        <v>-34.499999999999531</v>
      </c>
      <c r="AD155">
        <f>SUM($AB$148:AB155)+SUM($AC$148:AC155)</f>
        <v>-4.9000000000001265</v>
      </c>
      <c r="AE155">
        <f t="shared" si="39"/>
        <v>409.34410958904101</v>
      </c>
      <c r="AF155">
        <f t="shared" si="40"/>
        <v>1.0008186882191781</v>
      </c>
      <c r="AG155" s="4">
        <f>(AF155/AF154-1)-中国_中债国债到期收益率_1年!H155%/252</f>
        <v>-4.4648846216148534E-4</v>
      </c>
      <c r="AH155" s="4">
        <f>MIN((AF155-MAX($AF$151:AF155))/MAX($AF$151:AF155),0)</f>
        <v>-5.5254602068741825E-4</v>
      </c>
    </row>
    <row r="156" spans="1:34" x14ac:dyDescent="0.25">
      <c r="A156" s="6">
        <v>44936</v>
      </c>
      <c r="B156">
        <v>40</v>
      </c>
      <c r="C156">
        <v>10</v>
      </c>
      <c r="F156">
        <f t="shared" si="37"/>
        <v>50</v>
      </c>
      <c r="G156">
        <f t="shared" si="45"/>
        <v>40</v>
      </c>
      <c r="H156">
        <f t="shared" si="46"/>
        <v>50</v>
      </c>
      <c r="I156">
        <f t="shared" si="41"/>
        <v>0</v>
      </c>
      <c r="J156">
        <f t="shared" si="42"/>
        <v>0</v>
      </c>
      <c r="K156">
        <f t="shared" si="38"/>
        <v>90</v>
      </c>
      <c r="L156">
        <f>G156*Return!B156*100</f>
        <v>-10.400000000000631</v>
      </c>
      <c r="M156">
        <f>H156*Return!C156*100</f>
        <v>-76.999999999998181</v>
      </c>
      <c r="N156">
        <f>I156*Return!D156*100</f>
        <v>0</v>
      </c>
      <c r="O156">
        <f>J156*Return!E156*100</f>
        <v>0</v>
      </c>
      <c r="P156">
        <f t="shared" si="43"/>
        <v>-87.399999999998812</v>
      </c>
      <c r="Q156">
        <f>SUM($P$148:P156)</f>
        <v>157.80000000000129</v>
      </c>
      <c r="R156">
        <f>B156*中国_中债国债到期收益率_1年!B155/365*100</f>
        <v>23.009315068493152</v>
      </c>
      <c r="S156">
        <f>C156*中国_中债国债到期收益率_1年!C155/365*100</f>
        <v>7.3010958904109575</v>
      </c>
      <c r="T156">
        <f>D156*中国_中债国债到期收益率_1年!D155/365*100</f>
        <v>0</v>
      </c>
      <c r="U156">
        <f>E156*中国_中债国债到期收益率_1年!E155/365*100</f>
        <v>0</v>
      </c>
      <c r="V156">
        <f t="shared" si="44"/>
        <v>30.310410958904107</v>
      </c>
      <c r="W156">
        <f>SUM($V$148:V156)</f>
        <v>199.35452054794519</v>
      </c>
      <c r="X156">
        <f>MAX(F156-50,0)*中国_中债国债到期收益率_1年!H156*100/365</f>
        <v>0</v>
      </c>
      <c r="Y156">
        <f>SUM($X$148:X156)</f>
        <v>0</v>
      </c>
      <c r="AA156">
        <v>-50</v>
      </c>
      <c r="AB156">
        <f>Z156*Return!F160*100</f>
        <v>0</v>
      </c>
      <c r="AC156">
        <f>AA156*Return!G160*100</f>
        <v>122.50000000000094</v>
      </c>
      <c r="AD156">
        <f>SUM($AB$148:AB156)+SUM($AC$148:AC156)</f>
        <v>117.60000000000082</v>
      </c>
      <c r="AE156">
        <f t="shared" si="39"/>
        <v>474.75452054794732</v>
      </c>
      <c r="AF156">
        <f t="shared" si="40"/>
        <v>1.0009495090410958</v>
      </c>
      <c r="AG156" s="4">
        <f>(AF156/AF155-1)-中国_中债国债到期收益率_1年!H156%/252</f>
        <v>5.2142379491636862E-5</v>
      </c>
      <c r="AH156" s="4">
        <f>MIN((AF156-MAX($AF$151:AF156))/MAX($AF$151:AF156),0)</f>
        <v>-4.2190443801892546E-4</v>
      </c>
    </row>
    <row r="157" spans="1:34" x14ac:dyDescent="0.25">
      <c r="A157" s="6">
        <v>44937</v>
      </c>
      <c r="B157">
        <v>40</v>
      </c>
      <c r="C157">
        <v>10</v>
      </c>
      <c r="F157">
        <f t="shared" si="37"/>
        <v>50</v>
      </c>
      <c r="G157">
        <f t="shared" si="45"/>
        <v>40</v>
      </c>
      <c r="H157">
        <f t="shared" si="46"/>
        <v>50</v>
      </c>
      <c r="I157">
        <f t="shared" si="41"/>
        <v>0</v>
      </c>
      <c r="J157">
        <f t="shared" si="42"/>
        <v>0</v>
      </c>
      <c r="K157">
        <f t="shared" si="38"/>
        <v>90</v>
      </c>
      <c r="L157">
        <f>G157*Return!B157*100</f>
        <v>-89.599999999999014</v>
      </c>
      <c r="M157">
        <f>H157*Return!C157*100</f>
        <v>-227.50000000000048</v>
      </c>
      <c r="N157">
        <f>I157*Return!D157*100</f>
        <v>0</v>
      </c>
      <c r="O157">
        <f>J157*Return!E157*100</f>
        <v>0</v>
      </c>
      <c r="P157">
        <f t="shared" si="43"/>
        <v>-317.09999999999951</v>
      </c>
      <c r="Q157">
        <f>SUM($P$148:P157)</f>
        <v>-159.29999999999822</v>
      </c>
      <c r="R157">
        <f>B157*中国_中债国债到期收益率_1年!B156/365*100</f>
        <v>23.254794520547943</v>
      </c>
      <c r="S157">
        <f>C157*中国_中债国债到期收益率_1年!C156/365*100</f>
        <v>7.4257534246575343</v>
      </c>
      <c r="T157">
        <f>D157*中国_中债国债到期收益率_1年!D156/365*100</f>
        <v>0</v>
      </c>
      <c r="U157">
        <f>E157*中国_中债国债到期收益率_1年!E156/365*100</f>
        <v>0</v>
      </c>
      <c r="V157">
        <f t="shared" si="44"/>
        <v>30.680547945205475</v>
      </c>
      <c r="W157">
        <f>SUM($V$148:V157)</f>
        <v>230.03506849315067</v>
      </c>
      <c r="X157">
        <f>MAX(F157-50,0)*中国_中债国债到期收益率_1年!H157*100/365</f>
        <v>0</v>
      </c>
      <c r="Y157">
        <f>SUM($X$148:X157)</f>
        <v>0</v>
      </c>
      <c r="AA157">
        <v>-50</v>
      </c>
      <c r="AB157">
        <f>Z157*Return!F161*100</f>
        <v>0</v>
      </c>
      <c r="AC157">
        <f>AA157*Return!G161*100</f>
        <v>279.00000000000034</v>
      </c>
      <c r="AD157">
        <f>SUM($AB$148:AB157)+SUM($AC$148:AC157)</f>
        <v>396.60000000000116</v>
      </c>
      <c r="AE157">
        <f t="shared" si="39"/>
        <v>467.33506849315359</v>
      </c>
      <c r="AF157">
        <f t="shared" si="40"/>
        <v>1.0009346701369863</v>
      </c>
      <c r="AG157" s="4">
        <f>(AF157/AF156-1)-中国_中债国债到期收益率_1年!H157%/252</f>
        <v>-1.0609466907130414E-4</v>
      </c>
      <c r="AH157" s="4">
        <f>MIN((AF157-MAX($AF$151:AF157))/MAX($AF$151:AF157),0)</f>
        <v>-4.3672301115972394E-4</v>
      </c>
    </row>
    <row r="158" spans="1:34" x14ac:dyDescent="0.25">
      <c r="A158" s="6">
        <v>44938</v>
      </c>
      <c r="B158">
        <v>40</v>
      </c>
      <c r="C158">
        <v>10</v>
      </c>
      <c r="F158">
        <f t="shared" si="37"/>
        <v>50</v>
      </c>
      <c r="G158">
        <f t="shared" si="45"/>
        <v>40</v>
      </c>
      <c r="H158">
        <f t="shared" si="46"/>
        <v>50</v>
      </c>
      <c r="I158">
        <f t="shared" si="41"/>
        <v>0</v>
      </c>
      <c r="J158">
        <f t="shared" si="42"/>
        <v>0</v>
      </c>
      <c r="K158">
        <f t="shared" si="38"/>
        <v>90</v>
      </c>
      <c r="L158">
        <f>G158*Return!B158*100</f>
        <v>-19.999999999999574</v>
      </c>
      <c r="M158">
        <f>H158*Return!C158*100</f>
        <v>57.499999999999218</v>
      </c>
      <c r="N158">
        <f>I158*Return!D158*100</f>
        <v>0</v>
      </c>
      <c r="O158">
        <f>J158*Return!E158*100</f>
        <v>0</v>
      </c>
      <c r="P158">
        <f t="shared" si="43"/>
        <v>37.499999999999645</v>
      </c>
      <c r="Q158">
        <f>SUM($P$148:P158)</f>
        <v>-121.79999999999858</v>
      </c>
      <c r="R158">
        <f>B158*中国_中债国债到期收益率_1年!B157/365*100</f>
        <v>23.309589041095887</v>
      </c>
      <c r="S158">
        <f>C158*中国_中债国债到期收益率_1年!C157/365*100</f>
        <v>7.3942465753424651</v>
      </c>
      <c r="T158">
        <f>D158*中国_中债国债到期收益率_1年!D157/365*100</f>
        <v>0</v>
      </c>
      <c r="U158">
        <f>E158*中国_中债国债到期收益率_1年!E157/365*100</f>
        <v>0</v>
      </c>
      <c r="V158">
        <f t="shared" si="44"/>
        <v>30.703835616438351</v>
      </c>
      <c r="W158">
        <f>SUM($V$148:V158)</f>
        <v>260.73890410958904</v>
      </c>
      <c r="X158">
        <f>MAX(F158-50,0)*中国_中债国债到期收益率_1年!H158*100/365</f>
        <v>0</v>
      </c>
      <c r="Y158">
        <f>SUM($X$148:X158)</f>
        <v>0</v>
      </c>
      <c r="AA158">
        <v>-50</v>
      </c>
      <c r="AB158">
        <f>Z158*Return!F162*100</f>
        <v>0</v>
      </c>
      <c r="AC158">
        <f>AA158*Return!G162*100</f>
        <v>-9.0000000000012292</v>
      </c>
      <c r="AD158">
        <f>SUM($AB$148:AB158)+SUM($AC$148:AC158)</f>
        <v>387.59999999999991</v>
      </c>
      <c r="AE158">
        <f t="shared" si="39"/>
        <v>526.53890410959036</v>
      </c>
      <c r="AF158">
        <f t="shared" si="40"/>
        <v>1.0010530778082192</v>
      </c>
      <c r="AG158" s="4">
        <f>(AF158/AF157-1)-中国_中债国债到期收益率_1年!H158%/252</f>
        <v>3.0995515162217339E-5</v>
      </c>
      <c r="AH158" s="4">
        <f>MIN((AF158-MAX($AF$151:AF158))/MAX($AF$151:AF158),0)</f>
        <v>-3.1847757176265432E-4</v>
      </c>
    </row>
    <row r="159" spans="1:34" x14ac:dyDescent="0.25">
      <c r="A159" s="6">
        <v>44939</v>
      </c>
      <c r="B159">
        <v>40</v>
      </c>
      <c r="C159">
        <v>10</v>
      </c>
      <c r="F159">
        <f t="shared" si="37"/>
        <v>50</v>
      </c>
      <c r="G159">
        <f t="shared" si="45"/>
        <v>40</v>
      </c>
      <c r="H159">
        <f t="shared" si="46"/>
        <v>50</v>
      </c>
      <c r="I159">
        <f t="shared" si="41"/>
        <v>0</v>
      </c>
      <c r="J159">
        <f t="shared" si="42"/>
        <v>0</v>
      </c>
      <c r="K159">
        <f t="shared" si="38"/>
        <v>90</v>
      </c>
      <c r="L159">
        <f>G159*Return!B159*100</f>
        <v>119.99999999999922</v>
      </c>
      <c r="M159">
        <f>H159*Return!C159*100</f>
        <v>7.5000000000002842</v>
      </c>
      <c r="N159">
        <f>I159*Return!D159*100</f>
        <v>0</v>
      </c>
      <c r="O159">
        <f>J159*Return!E159*100</f>
        <v>0</v>
      </c>
      <c r="P159">
        <f t="shared" si="43"/>
        <v>127.4999999999995</v>
      </c>
      <c r="Q159">
        <f>SUM($P$148:P159)</f>
        <v>5.7000000000009265</v>
      </c>
      <c r="R159">
        <f>B159*中国_中债国债到期收益率_1年!B158/365*100</f>
        <v>22.980821917808218</v>
      </c>
      <c r="S159">
        <f>C159*中国_中债国债到期收益率_1年!C158/365*100</f>
        <v>7.3901369863013695</v>
      </c>
      <c r="T159">
        <f>D159*中国_中债国债到期收益率_1年!D158/365*100</f>
        <v>0</v>
      </c>
      <c r="U159">
        <f>E159*中国_中债国债到期收益率_1年!E158/365*100</f>
        <v>0</v>
      </c>
      <c r="V159">
        <f t="shared" si="44"/>
        <v>30.370958904109585</v>
      </c>
      <c r="W159">
        <f>SUM($V$148:V159)</f>
        <v>291.1098630136986</v>
      </c>
      <c r="X159">
        <f>MAX(F159-50,0)*中国_中债国债到期收益率_1年!H159*100/365</f>
        <v>0</v>
      </c>
      <c r="Y159">
        <f>SUM($X$148:X159)</f>
        <v>0</v>
      </c>
      <c r="AA159">
        <v>-50</v>
      </c>
      <c r="AB159">
        <f>Z159*Return!F163*100</f>
        <v>0</v>
      </c>
      <c r="AC159">
        <f>AA159*Return!G163*100</f>
        <v>-40.000000000000036</v>
      </c>
      <c r="AD159">
        <f>SUM($AB$148:AB159)+SUM($AC$148:AC159)</f>
        <v>347.59999999999985</v>
      </c>
      <c r="AE159">
        <f t="shared" si="39"/>
        <v>644.40986301369935</v>
      </c>
      <c r="AF159">
        <f t="shared" si="40"/>
        <v>1.0012888197260275</v>
      </c>
      <c r="AG159" s="4">
        <f>(AF159/AF158-1)-中国_中债国债到期收益率_1年!H159%/252</f>
        <v>1.5811297200153814E-4</v>
      </c>
      <c r="AH159" s="4">
        <f>MIN((AF159-MAX($AF$151:AF159))/MAX($AF$151:AF159),0)</f>
        <v>-8.3058646913308881E-5</v>
      </c>
    </row>
    <row r="160" spans="1:34" x14ac:dyDescent="0.25">
      <c r="A160" s="6">
        <v>44942</v>
      </c>
      <c r="B160">
        <v>40</v>
      </c>
      <c r="C160">
        <v>10</v>
      </c>
      <c r="F160">
        <f t="shared" si="37"/>
        <v>50</v>
      </c>
      <c r="G160">
        <f t="shared" si="45"/>
        <v>40</v>
      </c>
      <c r="H160">
        <f t="shared" si="46"/>
        <v>50</v>
      </c>
      <c r="I160">
        <f t="shared" si="41"/>
        <v>0</v>
      </c>
      <c r="J160">
        <f t="shared" si="42"/>
        <v>0</v>
      </c>
      <c r="K160">
        <f t="shared" si="38"/>
        <v>90</v>
      </c>
      <c r="L160">
        <f>G160*Return!B160*100</f>
        <v>0</v>
      </c>
      <c r="M160">
        <f>H160*Return!C160*100</f>
        <v>-60.999999999999943</v>
      </c>
      <c r="N160">
        <f>I160*Return!D160*100</f>
        <v>0</v>
      </c>
      <c r="O160">
        <f>J160*Return!E160*100</f>
        <v>0</v>
      </c>
      <c r="P160">
        <f t="shared" si="43"/>
        <v>-60.999999999999943</v>
      </c>
      <c r="Q160">
        <f>SUM($P$148:P160)</f>
        <v>-55.299999999999017</v>
      </c>
      <c r="R160">
        <f>B160*中国_中债国债到期收益率_1年!B159/365*100</f>
        <v>22.980821917808218</v>
      </c>
      <c r="S160">
        <f>C160*中国_中债国债到期收益率_1年!C159/365*100</f>
        <v>7.4235616438356162</v>
      </c>
      <c r="T160">
        <f>D160*中国_中债国债到期收益率_1年!D159/365*100</f>
        <v>0</v>
      </c>
      <c r="U160">
        <f>E160*中国_中债国债到期收益率_1年!E159/365*100</f>
        <v>0</v>
      </c>
      <c r="V160">
        <f t="shared" si="44"/>
        <v>30.404383561643833</v>
      </c>
      <c r="W160">
        <f>SUM($V$148:V160)</f>
        <v>321.51424657534244</v>
      </c>
      <c r="X160">
        <f>MAX(F160-50,0)*中国_中债国债到期收益率_1年!H160*100/365</f>
        <v>0</v>
      </c>
      <c r="Y160">
        <f>SUM($X$148:X160)</f>
        <v>0</v>
      </c>
      <c r="AA160">
        <v>-20</v>
      </c>
      <c r="AB160">
        <f>Z160*Return!F164*100</f>
        <v>0</v>
      </c>
      <c r="AC160">
        <f>AA160*Return!G164*100</f>
        <v>49.800000000000288</v>
      </c>
      <c r="AD160">
        <f>SUM($AB$148:AB160)+SUM($AC$148:AC160)</f>
        <v>397.40000000000015</v>
      </c>
      <c r="AE160">
        <f t="shared" si="39"/>
        <v>663.61424657534349</v>
      </c>
      <c r="AF160">
        <f t="shared" si="40"/>
        <v>1.0013272284931507</v>
      </c>
      <c r="AG160" s="4">
        <f>(AF160/AF159-1)-中国_中债国债到期收益率_1年!H160%/252</f>
        <v>-4.6958131453924982E-5</v>
      </c>
      <c r="AH160" s="4">
        <f>MIN((AF160-MAX($AF$151:AF160))/MAX($AF$151:AF160),0)</f>
        <v>-4.4702504123733684E-5</v>
      </c>
    </row>
    <row r="161" spans="1:34" x14ac:dyDescent="0.25">
      <c r="A161" s="6">
        <v>44943</v>
      </c>
      <c r="B161">
        <v>40</v>
      </c>
      <c r="C161">
        <v>10</v>
      </c>
      <c r="F161">
        <f t="shared" si="37"/>
        <v>50</v>
      </c>
      <c r="G161">
        <f t="shared" si="45"/>
        <v>40</v>
      </c>
      <c r="H161">
        <f t="shared" si="46"/>
        <v>50</v>
      </c>
      <c r="I161">
        <f t="shared" si="41"/>
        <v>0</v>
      </c>
      <c r="J161">
        <f t="shared" si="42"/>
        <v>0</v>
      </c>
      <c r="K161">
        <f t="shared" si="38"/>
        <v>90</v>
      </c>
      <c r="L161">
        <f>G161*Return!B161*100</f>
        <v>-119.99999999999922</v>
      </c>
      <c r="M161">
        <f>H161*Return!C161*100</f>
        <v>-237.49999999999937</v>
      </c>
      <c r="N161">
        <f>I161*Return!D161*100</f>
        <v>0</v>
      </c>
      <c r="O161">
        <f>J161*Return!E161*100</f>
        <v>0</v>
      </c>
      <c r="P161">
        <f t="shared" si="43"/>
        <v>-357.49999999999858</v>
      </c>
      <c r="Q161">
        <f>SUM($P$148:P161)</f>
        <v>-412.79999999999757</v>
      </c>
      <c r="R161">
        <f>B161*中国_中债国债到期收益率_1年!B160/365*100</f>
        <v>23.309589041095887</v>
      </c>
      <c r="S161">
        <f>C161*中国_中债国债到期收益率_1年!C160/365*100</f>
        <v>7.5536986301369859</v>
      </c>
      <c r="T161">
        <f>D161*中国_中债国债到期收益率_1年!D160/365*100</f>
        <v>0</v>
      </c>
      <c r="U161">
        <f>E161*中国_中债国债到期收益率_1年!E160/365*100</f>
        <v>0</v>
      </c>
      <c r="V161">
        <f t="shared" si="44"/>
        <v>30.863287671232872</v>
      </c>
      <c r="W161">
        <f>SUM($V$148:V161)</f>
        <v>352.37753424657529</v>
      </c>
      <c r="X161">
        <f>MAX(F161-50,0)*中国_中债国债到期收益率_1年!H161*100/365</f>
        <v>0</v>
      </c>
      <c r="Y161">
        <f>SUM($X$148:X161)</f>
        <v>0</v>
      </c>
      <c r="AA161">
        <v>-20</v>
      </c>
      <c r="AB161">
        <f>Z161*Return!F165*100</f>
        <v>0</v>
      </c>
      <c r="AC161">
        <f>AA161*Return!G165*100</f>
        <v>-11.400000000000077</v>
      </c>
      <c r="AD161">
        <f>SUM($AB$148:AB161)+SUM($AC$148:AC161)</f>
        <v>386.00000000000006</v>
      </c>
      <c r="AE161">
        <f t="shared" si="39"/>
        <v>325.57753424657778</v>
      </c>
      <c r="AF161">
        <f t="shared" si="40"/>
        <v>1.0006511550684931</v>
      </c>
      <c r="AG161" s="4">
        <f>(AF161/AF160-1)-中国_中债国债到期收益率_1年!H161%/252</f>
        <v>-7.7835191326830293E-4</v>
      </c>
      <c r="AH161" s="4">
        <f>MIN((AF161-MAX($AF$151:AF161))/MAX($AF$151:AF161),0)</f>
        <v>-7.1984963210094586E-4</v>
      </c>
    </row>
    <row r="162" spans="1:34" x14ac:dyDescent="0.25">
      <c r="A162" s="6">
        <v>44944</v>
      </c>
      <c r="B162">
        <v>40</v>
      </c>
      <c r="C162">
        <v>10</v>
      </c>
      <c r="F162">
        <f t="shared" si="37"/>
        <v>50</v>
      </c>
      <c r="G162">
        <f t="shared" si="45"/>
        <v>40</v>
      </c>
      <c r="H162">
        <f t="shared" si="46"/>
        <v>50</v>
      </c>
      <c r="I162">
        <f t="shared" si="41"/>
        <v>0</v>
      </c>
      <c r="J162">
        <f t="shared" si="42"/>
        <v>0</v>
      </c>
      <c r="K162">
        <f t="shared" si="38"/>
        <v>90</v>
      </c>
      <c r="L162">
        <f>G162*Return!B162*100</f>
        <v>0</v>
      </c>
      <c r="M162">
        <f>H162*Return!C162*100</f>
        <v>112.49999999999983</v>
      </c>
      <c r="N162">
        <f>I162*Return!D162*100</f>
        <v>0</v>
      </c>
      <c r="O162">
        <f>J162*Return!E162*100</f>
        <v>0</v>
      </c>
      <c r="P162">
        <f t="shared" si="43"/>
        <v>112.49999999999983</v>
      </c>
      <c r="Q162">
        <f>SUM($P$148:P162)</f>
        <v>-300.29999999999774</v>
      </c>
      <c r="R162">
        <f>B162*中国_中债国债到期收益率_1年!B161/365*100</f>
        <v>23.309589041095887</v>
      </c>
      <c r="S162">
        <f>C162*中国_中债国债到期收益率_1年!C161/365*100</f>
        <v>7.4920547945205476</v>
      </c>
      <c r="T162">
        <f>D162*中国_中债国债到期收益率_1年!D161/365*100</f>
        <v>0</v>
      </c>
      <c r="U162">
        <f>E162*中国_中债国债到期收益率_1年!E161/365*100</f>
        <v>0</v>
      </c>
      <c r="V162">
        <f t="shared" si="44"/>
        <v>30.801643835616435</v>
      </c>
      <c r="W162">
        <f>SUM($V$148:V162)</f>
        <v>383.17917808219175</v>
      </c>
      <c r="X162">
        <f>MAX(F162-50,0)*中国_中债国债到期收益率_1年!H162*100/365</f>
        <v>0</v>
      </c>
      <c r="Y162">
        <f>SUM($X$148:X162)</f>
        <v>0</v>
      </c>
      <c r="AA162">
        <v>-20</v>
      </c>
      <c r="AB162">
        <f>Z162*Return!F166*100</f>
        <v>0</v>
      </c>
      <c r="AC162">
        <f>AA162*Return!G166*100</f>
        <v>73.599999999999881</v>
      </c>
      <c r="AD162">
        <f>SUM($AB$148:AB162)+SUM($AC$148:AC162)</f>
        <v>459.59999999999991</v>
      </c>
      <c r="AE162">
        <f t="shared" si="39"/>
        <v>542.47917808219393</v>
      </c>
      <c r="AF162">
        <f t="shared" si="40"/>
        <v>1.0010849583561643</v>
      </c>
      <c r="AG162" s="4">
        <f>(AF162/AF161-1)-中国_中债国债到期收益率_1年!H162%/252</f>
        <v>3.3034639510115722E-4</v>
      </c>
      <c r="AH162" s="4">
        <f>MIN((AF162-MAX($AF$151:AF162))/MAX($AF$151:AF162),0)</f>
        <v>-2.8664070375621325E-4</v>
      </c>
    </row>
    <row r="163" spans="1:34" x14ac:dyDescent="0.25">
      <c r="A163" s="6">
        <v>44945</v>
      </c>
      <c r="B163">
        <v>40</v>
      </c>
      <c r="C163">
        <v>10</v>
      </c>
      <c r="F163">
        <f t="shared" si="37"/>
        <v>50</v>
      </c>
      <c r="G163">
        <f t="shared" si="45"/>
        <v>40</v>
      </c>
      <c r="H163">
        <f t="shared" si="46"/>
        <v>50</v>
      </c>
      <c r="I163">
        <f t="shared" si="41"/>
        <v>0</v>
      </c>
      <c r="J163">
        <f t="shared" si="42"/>
        <v>0</v>
      </c>
      <c r="K163">
        <f t="shared" si="38"/>
        <v>90</v>
      </c>
      <c r="L163">
        <f>G163*Return!B163*100</f>
        <v>-138.00000000000168</v>
      </c>
      <c r="M163">
        <f>H163*Return!C163*100</f>
        <v>44.500000000000654</v>
      </c>
      <c r="N163">
        <f>I163*Return!D163*100</f>
        <v>0</v>
      </c>
      <c r="O163">
        <f>J163*Return!E163*100</f>
        <v>0</v>
      </c>
      <c r="P163">
        <f t="shared" si="43"/>
        <v>-93.500000000001023</v>
      </c>
      <c r="Q163">
        <f>SUM($P$148:P163)</f>
        <v>-393.79999999999876</v>
      </c>
      <c r="R163">
        <f>B163*中国_中债国债到期收益率_1年!B162/365*100</f>
        <v>23.687671232876713</v>
      </c>
      <c r="S163">
        <f>C163*中国_中债国债到期收益率_1年!C162/365*100</f>
        <v>7.4676712328767119</v>
      </c>
      <c r="T163">
        <f>D163*中国_中债国债到期收益率_1年!D162/365*100</f>
        <v>0</v>
      </c>
      <c r="U163">
        <f>E163*中国_中债国债到期收益率_1年!E162/365*100</f>
        <v>0</v>
      </c>
      <c r="V163">
        <f t="shared" si="44"/>
        <v>31.155342465753424</v>
      </c>
      <c r="W163">
        <f>SUM($V$148:V163)</f>
        <v>414.3345205479452</v>
      </c>
      <c r="X163">
        <f>MAX(F163-50,0)*中国_中债国债到期收益率_1年!H163*100/365</f>
        <v>0</v>
      </c>
      <c r="Y163">
        <f>SUM($X$148:X163)</f>
        <v>0</v>
      </c>
      <c r="AB163">
        <f>Z163*Return!F167*100</f>
        <v>0</v>
      </c>
      <c r="AC163">
        <f>AA163*Return!G167*100</f>
        <v>0</v>
      </c>
      <c r="AD163">
        <f>SUM($AB$148:AB163)+SUM($AC$148:AC163)</f>
        <v>459.59999999999991</v>
      </c>
      <c r="AE163">
        <f t="shared" si="39"/>
        <v>480.13452054794635</v>
      </c>
      <c r="AF163">
        <f t="shared" si="40"/>
        <v>1.0009602690410959</v>
      </c>
      <c r="AG163" s="4">
        <f>(AF163/AF162-1)-中国_中债国债到期收益率_1年!H163%/252</f>
        <v>-2.1979227420915436E-4</v>
      </c>
      <c r="AH163" s="4">
        <f>MIN((AF163-MAX($AF$151:AF163))/MAX($AF$151:AF163),0)</f>
        <v>-4.1115918042979879E-4</v>
      </c>
    </row>
    <row r="164" spans="1:34" x14ac:dyDescent="0.25">
      <c r="A164" s="6">
        <v>44946</v>
      </c>
      <c r="B164">
        <v>40</v>
      </c>
      <c r="C164">
        <v>10</v>
      </c>
      <c r="F164">
        <f t="shared" si="37"/>
        <v>50</v>
      </c>
      <c r="G164">
        <f t="shared" si="45"/>
        <v>40</v>
      </c>
      <c r="H164">
        <f t="shared" si="46"/>
        <v>50</v>
      </c>
      <c r="I164">
        <f t="shared" si="41"/>
        <v>0</v>
      </c>
      <c r="J164">
        <f t="shared" si="42"/>
        <v>0</v>
      </c>
      <c r="K164">
        <f t="shared" si="38"/>
        <v>90</v>
      </c>
      <c r="L164">
        <f>G164*Return!B164*100</f>
        <v>-24.799999999999045</v>
      </c>
      <c r="M164">
        <f>H164*Return!C164*100</f>
        <v>23.499999999998522</v>
      </c>
      <c r="N164">
        <f>I164*Return!D164*100</f>
        <v>0</v>
      </c>
      <c r="O164">
        <f>J164*Return!E164*100</f>
        <v>0</v>
      </c>
      <c r="P164">
        <f t="shared" si="43"/>
        <v>-1.300000000000523</v>
      </c>
      <c r="Q164">
        <f>SUM($P$148:P164)</f>
        <v>-395.09999999999928</v>
      </c>
      <c r="R164">
        <f>B164*中国_中债国债到期收益率_1年!B163/365*100</f>
        <v>23.755616438356164</v>
      </c>
      <c r="S164">
        <f>C164*中国_中债国债到期收益率_1年!C163/365*100</f>
        <v>7.4547945205479458</v>
      </c>
      <c r="T164">
        <f>D164*中国_中债国债到期收益率_1年!D163/365*100</f>
        <v>0</v>
      </c>
      <c r="U164">
        <f>E164*中国_中债国债到期收益率_1年!E163/365*100</f>
        <v>0</v>
      </c>
      <c r="V164">
        <f t="shared" si="44"/>
        <v>31.210410958904109</v>
      </c>
      <c r="W164">
        <f>SUM($V$148:V164)</f>
        <v>445.54493150684931</v>
      </c>
      <c r="X164">
        <f>MAX(F164-50,0)*中国_中债国债到期收益率_1年!H164*100/365</f>
        <v>0</v>
      </c>
      <c r="Y164">
        <f>SUM($X$148:X164)</f>
        <v>0</v>
      </c>
      <c r="Z164">
        <v>20</v>
      </c>
      <c r="AC164">
        <f>AA164*Return!G168*100</f>
        <v>0</v>
      </c>
      <c r="AD164">
        <f>SUM($AB$148:AB164)+SUM($AC$148:AC164)</f>
        <v>459.59999999999991</v>
      </c>
      <c r="AE164">
        <f t="shared" si="39"/>
        <v>510.04493150684993</v>
      </c>
      <c r="AF164">
        <f t="shared" si="40"/>
        <v>1.0010200898630137</v>
      </c>
      <c r="AG164" s="4">
        <f>(AF164/AF163-1)-中国_中债国债到期收益率_1年!H164%/252</f>
        <v>-1.9601646421741063E-5</v>
      </c>
      <c r="AH164" s="4">
        <f>MIN((AF164-MAX($AF$151:AF164))/MAX($AF$151:AF164),0)</f>
        <v>-3.5142031977055278E-4</v>
      </c>
    </row>
    <row r="165" spans="1:34" x14ac:dyDescent="0.25">
      <c r="A165" s="6">
        <v>44954</v>
      </c>
      <c r="B165">
        <v>40</v>
      </c>
      <c r="C165">
        <v>10</v>
      </c>
      <c r="F165">
        <f t="shared" si="37"/>
        <v>50</v>
      </c>
      <c r="G165">
        <f t="shared" si="45"/>
        <v>40</v>
      </c>
      <c r="H165">
        <f t="shared" si="46"/>
        <v>50</v>
      </c>
      <c r="I165">
        <f t="shared" si="41"/>
        <v>0</v>
      </c>
      <c r="J165">
        <f t="shared" si="42"/>
        <v>0</v>
      </c>
      <c r="K165">
        <f t="shared" si="38"/>
        <v>90</v>
      </c>
      <c r="L165">
        <f>G165*Return!B165*100</f>
        <v>11.599999999999611</v>
      </c>
      <c r="M165">
        <f>H165*Return!C165*100</f>
        <v>-39.000000000000142</v>
      </c>
      <c r="N165">
        <f>I165*Return!D165*100</f>
        <v>0</v>
      </c>
      <c r="O165">
        <f>J165*Return!E165*100</f>
        <v>0</v>
      </c>
      <c r="P165">
        <f t="shared" si="43"/>
        <v>-27.400000000000531</v>
      </c>
      <c r="Q165">
        <f>SUM($P$148:P165)</f>
        <v>-422.49999999999983</v>
      </c>
      <c r="R165">
        <f>B165*中国_中债国债到期收益率_1年!B164/365*100</f>
        <v>23.723835616438354</v>
      </c>
      <c r="S165">
        <f>C165*中国_中债国债到期收益率_1年!C164/365*100</f>
        <v>7.4761643835616436</v>
      </c>
      <c r="T165">
        <f>D165*中国_中债国债到期收益率_1年!D164/365*100</f>
        <v>0</v>
      </c>
      <c r="U165">
        <f>E165*中国_中债国债到期收益率_1年!E164/365*100</f>
        <v>0</v>
      </c>
      <c r="V165">
        <f t="shared" si="44"/>
        <v>31.199999999999996</v>
      </c>
      <c r="W165">
        <f>SUM($V$148:V165)</f>
        <v>476.7449315068493</v>
      </c>
      <c r="X165">
        <f>MAX(F165-50,0)*中国_中债国债到期收益率_1年!H165*100/365</f>
        <v>0</v>
      </c>
      <c r="Y165">
        <f>SUM($X$148:X165)</f>
        <v>0</v>
      </c>
      <c r="Z165">
        <v>20</v>
      </c>
      <c r="AA165">
        <v>0</v>
      </c>
      <c r="AB165">
        <f>Z165*Return!F169*100</f>
        <v>27.800000000000047</v>
      </c>
      <c r="AC165">
        <f>AA165*Return!G169*100</f>
        <v>0</v>
      </c>
      <c r="AD165">
        <f>SUM($AB$148:AB165)+SUM($AC$148:AC165)</f>
        <v>487.4</v>
      </c>
      <c r="AE165">
        <f t="shared" si="39"/>
        <v>541.64493150684939</v>
      </c>
      <c r="AF165">
        <f t="shared" si="40"/>
        <v>1.0010832898630138</v>
      </c>
      <c r="AG165" s="4">
        <f>(AF165/AF164-1)-中国_中债国债到期收益率_1年!H165%/252</f>
        <v>-1.4245356362392595E-5</v>
      </c>
      <c r="AH165" s="4">
        <f>MIN((AF165-MAX($AF$151:AF165))/MAX($AF$151:AF165),0)</f>
        <v>-2.8830691088334732E-4</v>
      </c>
    </row>
    <row r="166" spans="1:34" x14ac:dyDescent="0.25">
      <c r="A166" s="6">
        <v>44955</v>
      </c>
      <c r="B166">
        <v>40</v>
      </c>
      <c r="C166">
        <v>10</v>
      </c>
      <c r="F166">
        <f t="shared" si="37"/>
        <v>50</v>
      </c>
      <c r="G166">
        <f t="shared" si="45"/>
        <v>40</v>
      </c>
      <c r="H166">
        <f t="shared" si="46"/>
        <v>50</v>
      </c>
      <c r="I166">
        <f t="shared" si="41"/>
        <v>0</v>
      </c>
      <c r="J166">
        <f t="shared" si="42"/>
        <v>0</v>
      </c>
      <c r="K166">
        <f t="shared" si="38"/>
        <v>90</v>
      </c>
      <c r="L166">
        <f>G166*Return!B166*100</f>
        <v>60.800000000000409</v>
      </c>
      <c r="M166">
        <f>H166*Return!C166*100</f>
        <v>2.5000000000008349</v>
      </c>
      <c r="N166">
        <f>I166*Return!D166*100</f>
        <v>0</v>
      </c>
      <c r="O166">
        <f>J166*Return!E166*100</f>
        <v>0</v>
      </c>
      <c r="P166">
        <f t="shared" si="43"/>
        <v>63.300000000001248</v>
      </c>
      <c r="Q166">
        <f>SUM($P$148:P166)</f>
        <v>-359.19999999999857</v>
      </c>
      <c r="R166">
        <f>B166*中国_中债国债到期收益率_1年!B165/365*100</f>
        <v>23.557260273972602</v>
      </c>
      <c r="S166">
        <f>C166*中国_中债国债到期收益率_1年!C165/365*100</f>
        <v>7.4747945205479454</v>
      </c>
      <c r="T166">
        <f>D166*中国_中债国债到期收益率_1年!D165/365*100</f>
        <v>0</v>
      </c>
      <c r="U166">
        <f>E166*中国_中债国债到期收益率_1年!E165/365*100</f>
        <v>0</v>
      </c>
      <c r="V166">
        <f t="shared" si="44"/>
        <v>31.032054794520548</v>
      </c>
      <c r="W166">
        <f>SUM($V$148:V166)</f>
        <v>507.77698630136985</v>
      </c>
      <c r="X166">
        <f>MAX(F166-50,0)*中国_中债国债到期收益率_1年!H166*100/365</f>
        <v>0</v>
      </c>
      <c r="Y166">
        <f>SUM($X$148:X166)</f>
        <v>0</v>
      </c>
      <c r="Z166">
        <v>20</v>
      </c>
      <c r="AA166">
        <v>0</v>
      </c>
      <c r="AB166">
        <f>Z166*Return!F170*100</f>
        <v>10.799999999999699</v>
      </c>
      <c r="AC166">
        <f>AA166*Return!G170*100</f>
        <v>0</v>
      </c>
      <c r="AD166">
        <f>SUM($AB$148:AB166)+SUM($AC$148:AC166)</f>
        <v>498.19999999999965</v>
      </c>
      <c r="AE166">
        <f t="shared" si="39"/>
        <v>646.77698630137093</v>
      </c>
      <c r="AF166">
        <f t="shared" si="40"/>
        <v>1.0012935539726027</v>
      </c>
      <c r="AG166" s="4">
        <f>(AF166/AF165-1)-中国_中债国债到期收益率_1年!H166%/252</f>
        <v>1.3646515052059252E-4</v>
      </c>
      <c r="AH166" s="4">
        <f>MIN((AF166-MAX($AF$151:AF166))/MAX($AF$151:AF166),0)</f>
        <v>-7.833088678872114E-5</v>
      </c>
    </row>
    <row r="167" spans="1:34" x14ac:dyDescent="0.25">
      <c r="A167" s="6">
        <v>44956</v>
      </c>
      <c r="B167">
        <v>40</v>
      </c>
      <c r="C167">
        <v>10</v>
      </c>
      <c r="F167">
        <f t="shared" si="37"/>
        <v>50</v>
      </c>
      <c r="G167">
        <f t="shared" si="45"/>
        <v>40</v>
      </c>
      <c r="H167">
        <f t="shared" si="46"/>
        <v>50</v>
      </c>
      <c r="I167">
        <f t="shared" si="41"/>
        <v>0</v>
      </c>
      <c r="J167">
        <f t="shared" si="42"/>
        <v>0</v>
      </c>
      <c r="K167">
        <f t="shared" si="38"/>
        <v>90</v>
      </c>
      <c r="L167">
        <f>G167*Return!B167*100</f>
        <v>-9.1999999999998749</v>
      </c>
      <c r="M167">
        <f>H167*Return!C167*100</f>
        <v>28.999999999999027</v>
      </c>
      <c r="N167">
        <f>I167*Return!D167*100</f>
        <v>0</v>
      </c>
      <c r="O167">
        <f>J167*Return!E167*100</f>
        <v>0</v>
      </c>
      <c r="P167">
        <f t="shared" si="43"/>
        <v>19.799999999999152</v>
      </c>
      <c r="Q167">
        <f>SUM($P$148:P167)</f>
        <v>-339.39999999999941</v>
      </c>
      <c r="R167">
        <f>B167*中国_中债国债到期收益率_1年!B166/365*100</f>
        <v>23.582465753424657</v>
      </c>
      <c r="S167">
        <f>C167*中国_中债国债到期收益率_1年!C166/365*100</f>
        <v>7.4589041095890414</v>
      </c>
      <c r="T167">
        <f>D167*中国_中债国债到期收益率_1年!D166/365*100</f>
        <v>0</v>
      </c>
      <c r="U167">
        <f>E167*中国_中债国债到期收益率_1年!E166/365*100</f>
        <v>0</v>
      </c>
      <c r="V167">
        <f t="shared" si="44"/>
        <v>31.041369863013699</v>
      </c>
      <c r="W167">
        <f>SUM($V$148:V167)</f>
        <v>538.81835616438354</v>
      </c>
      <c r="X167">
        <f>MAX(F167-50,0)*中国_中债国债到期收益率_1年!H167*100/365</f>
        <v>0</v>
      </c>
      <c r="Y167">
        <f>SUM($X$148:X167)</f>
        <v>0</v>
      </c>
      <c r="Z167">
        <v>20</v>
      </c>
      <c r="AA167">
        <v>0</v>
      </c>
      <c r="AB167">
        <f>Z167*Return!F171*100</f>
        <v>30.800000000000161</v>
      </c>
      <c r="AC167">
        <f>AA167*Return!G171*100</f>
        <v>0</v>
      </c>
      <c r="AD167">
        <f>SUM($AB$148:AB167)+SUM($AC$148:AC167)</f>
        <v>528.99999999999977</v>
      </c>
      <c r="AE167">
        <f t="shared" si="39"/>
        <v>728.41835616438391</v>
      </c>
      <c r="AF167">
        <f t="shared" si="40"/>
        <v>1.0014568367123287</v>
      </c>
      <c r="AG167" s="4">
        <f>(AF167/AF166-1)-中国_中债国债到期收益率_1年!H167%/252</f>
        <v>7.8151162633846607E-5</v>
      </c>
      <c r="AH167" s="4">
        <f>MIN((AF167-MAX($AF$151:AF167))/MAX($AF$151:AF167),0)</f>
        <v>0</v>
      </c>
    </row>
    <row r="168" spans="1:34" x14ac:dyDescent="0.25">
      <c r="A168" s="6">
        <v>44957</v>
      </c>
      <c r="B168">
        <v>40</v>
      </c>
      <c r="C168">
        <v>10</v>
      </c>
      <c r="F168">
        <f t="shared" si="37"/>
        <v>50</v>
      </c>
      <c r="G168">
        <f t="shared" si="45"/>
        <v>40</v>
      </c>
      <c r="H168">
        <f t="shared" si="46"/>
        <v>50</v>
      </c>
      <c r="I168">
        <f t="shared" si="41"/>
        <v>0</v>
      </c>
      <c r="J168">
        <f t="shared" si="42"/>
        <v>0</v>
      </c>
      <c r="K168">
        <f t="shared" si="38"/>
        <v>90</v>
      </c>
      <c r="L168">
        <f>G168*Return!B168*100</f>
        <v>-96.400000000000929</v>
      </c>
      <c r="M168">
        <f>H168*Return!C168*100</f>
        <v>-6.5000000000003944</v>
      </c>
      <c r="N168">
        <f>I168*Return!D168*100</f>
        <v>0</v>
      </c>
      <c r="O168">
        <f>J168*Return!E168*100</f>
        <v>0</v>
      </c>
      <c r="P168">
        <f t="shared" si="43"/>
        <v>-102.90000000000133</v>
      </c>
      <c r="Q168">
        <f>SUM($P$148:P168)</f>
        <v>-442.30000000000075</v>
      </c>
      <c r="R168">
        <f>B168*中国_中债国债到期收益率_1年!B167/365*100</f>
        <v>23.846575342465755</v>
      </c>
      <c r="S168">
        <f>C168*中国_中债国债到期收益率_1年!C167/365*100</f>
        <v>7.4624657534246586</v>
      </c>
      <c r="T168">
        <f>D168*中国_中债国债到期收益率_1年!D167/365*100</f>
        <v>0</v>
      </c>
      <c r="U168">
        <f>E168*中国_中债国债到期收益率_1年!E167/365*100</f>
        <v>0</v>
      </c>
      <c r="V168">
        <f t="shared" si="44"/>
        <v>31.309041095890414</v>
      </c>
      <c r="W168">
        <f>SUM($V$148:V168)</f>
        <v>570.12739726027394</v>
      </c>
      <c r="X168">
        <f>MAX(F168-50,0)*中国_中债国债到期收益率_1年!H168*100/365</f>
        <v>0</v>
      </c>
      <c r="Y168">
        <f>SUM($X$148:X168)</f>
        <v>0</v>
      </c>
      <c r="Z168">
        <v>-20</v>
      </c>
      <c r="AA168">
        <v>0</v>
      </c>
      <c r="AB168">
        <f>Z168*Return!F172*100</f>
        <v>-27.000000000000135</v>
      </c>
      <c r="AC168">
        <f>AA168*Return!G172*100</f>
        <v>0</v>
      </c>
      <c r="AD168">
        <f>SUM($AB$148:AB168)+SUM($AC$148:AC168)</f>
        <v>501.99999999999966</v>
      </c>
      <c r="AE168">
        <f t="shared" si="39"/>
        <v>629.82739726027285</v>
      </c>
      <c r="AF168">
        <f t="shared" si="40"/>
        <v>1.0012596547945205</v>
      </c>
      <c r="AG168" s="4">
        <f>(AF168/AF167-1)-中国_中债国债到期收益率_1年!H168%/252</f>
        <v>-2.8419666113772146E-4</v>
      </c>
      <c r="AH168" s="4">
        <f>MIN((AF168-MAX($AF$151:AF168))/MAX($AF$151:AF168),0)</f>
        <v>-1.9689507383611243E-4</v>
      </c>
    </row>
    <row r="169" spans="1:34" x14ac:dyDescent="0.25">
      <c r="A169" s="6">
        <v>44958</v>
      </c>
      <c r="B169">
        <v>40</v>
      </c>
      <c r="C169">
        <v>40</v>
      </c>
      <c r="F169">
        <f t="shared" si="37"/>
        <v>80</v>
      </c>
      <c r="G169">
        <f t="shared" si="45"/>
        <v>40</v>
      </c>
      <c r="H169">
        <f t="shared" si="46"/>
        <v>200</v>
      </c>
      <c r="I169">
        <f t="shared" si="41"/>
        <v>0</v>
      </c>
      <c r="J169">
        <f t="shared" si="42"/>
        <v>0</v>
      </c>
      <c r="K169">
        <f t="shared" si="38"/>
        <v>240</v>
      </c>
      <c r="L169">
        <f>G169*Return!B169*100</f>
        <v>89.999999999999858</v>
      </c>
      <c r="M169">
        <f>H169*Return!C169*100</f>
        <v>398.000000000005</v>
      </c>
      <c r="N169">
        <f>I169*Return!D169*100</f>
        <v>0</v>
      </c>
      <c r="O169">
        <f>J169*Return!E169*100</f>
        <v>0</v>
      </c>
      <c r="P169">
        <f t="shared" si="43"/>
        <v>488.00000000000489</v>
      </c>
      <c r="Q169">
        <f>SUM($P$148:P169)</f>
        <v>45.700000000004138</v>
      </c>
      <c r="R169">
        <f>B169*中国_中债国债到期收益率_1年!B168/365*100</f>
        <v>23.600000000000005</v>
      </c>
      <c r="S169">
        <f>C169*中国_中债国债到期收益率_1年!C168/365*100</f>
        <v>29.631780821917808</v>
      </c>
      <c r="T169">
        <f>D169*中国_中债国债到期收益率_1年!D168/365*100</f>
        <v>0</v>
      </c>
      <c r="U169">
        <f>E169*中国_中债国债到期收益率_1年!E168/365*100</f>
        <v>0</v>
      </c>
      <c r="V169">
        <f t="shared" si="44"/>
        <v>53.231780821917809</v>
      </c>
      <c r="W169">
        <f>SUM($V$148:V169)</f>
        <v>623.35917808219176</v>
      </c>
      <c r="X169">
        <f>MAX(F169-50,0)*中国_中债国债到期收益率_1年!H169*100/365</f>
        <v>16.849315068493148</v>
      </c>
      <c r="Y169">
        <f>SUM($X$148:X169)</f>
        <v>16.849315068493148</v>
      </c>
      <c r="Z169">
        <v>-20</v>
      </c>
      <c r="AA169">
        <v>0</v>
      </c>
      <c r="AB169">
        <f>Z169*Return!F173*100</f>
        <v>25.599999999999845</v>
      </c>
      <c r="AC169">
        <f>AA169*Return!G173*100</f>
        <v>0</v>
      </c>
      <c r="AD169">
        <f>SUM($AB$148:AB169)+SUM($AC$148:AC169)</f>
        <v>527.59999999999957</v>
      </c>
      <c r="AE169">
        <f t="shared" si="39"/>
        <v>1179.8098630137024</v>
      </c>
      <c r="AF169">
        <f t="shared" si="40"/>
        <v>1.0023596197260274</v>
      </c>
      <c r="AG169" s="4">
        <f>(AF169/AF168-1)-中国_中债国债到期收益率_1年!H169%/252</f>
        <v>1.0172318922096644E-3</v>
      </c>
      <c r="AH169" s="4">
        <f>MIN((AF169-MAX($AF$151:AF169))/MAX($AF$151:AF169),0)</f>
        <v>0</v>
      </c>
    </row>
    <row r="170" spans="1:34" x14ac:dyDescent="0.25">
      <c r="A170" s="6">
        <v>44959</v>
      </c>
      <c r="B170">
        <v>40</v>
      </c>
      <c r="C170">
        <v>40</v>
      </c>
      <c r="F170">
        <f t="shared" si="37"/>
        <v>80</v>
      </c>
      <c r="G170">
        <f t="shared" si="45"/>
        <v>40</v>
      </c>
      <c r="H170">
        <f t="shared" si="46"/>
        <v>200</v>
      </c>
      <c r="I170">
        <f t="shared" si="41"/>
        <v>0</v>
      </c>
      <c r="J170">
        <f t="shared" si="42"/>
        <v>0</v>
      </c>
      <c r="K170">
        <f t="shared" si="38"/>
        <v>240</v>
      </c>
      <c r="L170">
        <f>G170*Return!B170*100</f>
        <v>-38.399999999999324</v>
      </c>
      <c r="M170">
        <f>H170*Return!C170*100</f>
        <v>-103.99999999999743</v>
      </c>
      <c r="N170">
        <f>I170*Return!D170*100</f>
        <v>0</v>
      </c>
      <c r="O170">
        <f>J170*Return!E170*100</f>
        <v>0</v>
      </c>
      <c r="P170">
        <f t="shared" si="43"/>
        <v>-142.39999999999674</v>
      </c>
      <c r="Q170">
        <f>SUM($P$148:P170)</f>
        <v>-96.699999999992599</v>
      </c>
      <c r="R170">
        <f>B170*中国_中债国债到期收益率_1年!B169/365*100</f>
        <v>23.705205479452054</v>
      </c>
      <c r="S170">
        <f>C170*中国_中债国债到期收益率_1年!C169/365*100</f>
        <v>29.688767123287668</v>
      </c>
      <c r="T170">
        <f>D170*中国_中债国债到期收益率_1年!D169/365*100</f>
        <v>0</v>
      </c>
      <c r="U170">
        <f>E170*中国_中债国债到期收益率_1年!E169/365*100</f>
        <v>0</v>
      </c>
      <c r="V170">
        <f t="shared" si="44"/>
        <v>53.393972602739723</v>
      </c>
      <c r="W170">
        <f>SUM($V$148:V170)</f>
        <v>676.75315068493148</v>
      </c>
      <c r="X170">
        <f>MAX(F170-50,0)*中国_中债国债到期收益率_1年!H170*100/365</f>
        <v>16.849315068493148</v>
      </c>
      <c r="Y170">
        <f>SUM($X$148:X170)</f>
        <v>33.698630136986296</v>
      </c>
      <c r="Z170">
        <v>-20</v>
      </c>
      <c r="AB170">
        <f>Z170*Return!F174*100</f>
        <v>48.200000000000465</v>
      </c>
      <c r="AC170">
        <f>AA170*Return!G174*100</f>
        <v>0</v>
      </c>
      <c r="AD170">
        <f>SUM($AB$148:AB170)+SUM($AC$148:AC170)</f>
        <v>575.79999999999995</v>
      </c>
      <c r="AE170">
        <f t="shared" si="39"/>
        <v>1122.1545205479524</v>
      </c>
      <c r="AF170">
        <f t="shared" si="40"/>
        <v>1.002244309041096</v>
      </c>
      <c r="AG170" s="4">
        <f>(AF170/AF169-1)-中国_中债国债到期收益率_1年!H170%/252</f>
        <v>-1.9638844242990034E-4</v>
      </c>
      <c r="AH170" s="4">
        <f>MIN((AF170-MAX($AF$151:AF170))/MAX($AF$151:AF170),0)</f>
        <v>-1.1503923608070134E-4</v>
      </c>
    </row>
    <row r="171" spans="1:34" x14ac:dyDescent="0.25">
      <c r="A171" s="6">
        <v>44960</v>
      </c>
      <c r="B171">
        <v>50</v>
      </c>
      <c r="C171">
        <v>40</v>
      </c>
      <c r="F171">
        <f t="shared" si="37"/>
        <v>90</v>
      </c>
      <c r="G171">
        <f t="shared" si="45"/>
        <v>50</v>
      </c>
      <c r="H171">
        <f t="shared" si="46"/>
        <v>200</v>
      </c>
      <c r="I171">
        <f t="shared" si="41"/>
        <v>0</v>
      </c>
      <c r="J171">
        <f t="shared" si="42"/>
        <v>0</v>
      </c>
      <c r="K171">
        <f t="shared" si="38"/>
        <v>250</v>
      </c>
      <c r="L171">
        <f>G171*Return!B171*100</f>
        <v>61.999999999999829</v>
      </c>
      <c r="M171">
        <f>H171*Return!C171*100</f>
        <v>291.99999999999449</v>
      </c>
      <c r="N171">
        <f>I171*Return!D171*100</f>
        <v>0</v>
      </c>
      <c r="O171">
        <f>J171*Return!E171*100</f>
        <v>0</v>
      </c>
      <c r="P171">
        <f t="shared" si="43"/>
        <v>353.99999999999432</v>
      </c>
      <c r="Q171">
        <f>SUM($P$148:P171)</f>
        <v>257.30000000000172</v>
      </c>
      <c r="R171">
        <f>B171*中国_中债国债到期收益率_1年!B170/365*100</f>
        <v>29.461643835616435</v>
      </c>
      <c r="S171">
        <f>C171*中国_中债国债到期收益率_1年!C170/365*100</f>
        <v>29.528767123287668</v>
      </c>
      <c r="T171">
        <f>D171*中国_中债国债到期收益率_1年!D170/365*100</f>
        <v>0</v>
      </c>
      <c r="U171">
        <f>E171*中国_中债国债到期收益率_1年!E170/365*100</f>
        <v>0</v>
      </c>
      <c r="V171">
        <f t="shared" si="44"/>
        <v>58.990410958904107</v>
      </c>
      <c r="W171">
        <f>SUM($V$148:V171)</f>
        <v>735.74356164383562</v>
      </c>
      <c r="X171">
        <f>MAX(F171-50,0)*中国_中债国债到期收益率_1年!H171*100/365</f>
        <v>20.82191780821918</v>
      </c>
      <c r="Y171">
        <f>SUM($X$148:X171)</f>
        <v>54.520547945205479</v>
      </c>
      <c r="Z171">
        <v>-20</v>
      </c>
      <c r="AB171">
        <f>Z171*Return!F175*100</f>
        <v>19.999999999999574</v>
      </c>
      <c r="AC171">
        <f>AA171*Return!G175*100</f>
        <v>0</v>
      </c>
      <c r="AD171">
        <f>SUM($AB$148:AB171)+SUM($AC$148:AC171)</f>
        <v>595.7999999999995</v>
      </c>
      <c r="AE171">
        <f t="shared" si="39"/>
        <v>1534.3230136986315</v>
      </c>
      <c r="AF171">
        <f t="shared" si="40"/>
        <v>1.0030686460273972</v>
      </c>
      <c r="AG171" s="4">
        <f>(AF171/AF170-1)-中国_中债国债到期收益率_1年!H171%/252</f>
        <v>7.4709423677731012E-4</v>
      </c>
      <c r="AH171" s="4">
        <f>MIN((AF171-MAX($AF$151:AF171))/MAX($AF$151:AF171),0)</f>
        <v>0</v>
      </c>
    </row>
    <row r="172" spans="1:34" x14ac:dyDescent="0.25">
      <c r="A172" s="6">
        <v>44963</v>
      </c>
      <c r="B172">
        <v>50</v>
      </c>
      <c r="C172">
        <v>40</v>
      </c>
      <c r="F172">
        <f t="shared" si="37"/>
        <v>90</v>
      </c>
      <c r="G172">
        <f t="shared" si="45"/>
        <v>50</v>
      </c>
      <c r="H172">
        <f t="shared" si="46"/>
        <v>200</v>
      </c>
      <c r="I172">
        <f t="shared" si="41"/>
        <v>0</v>
      </c>
      <c r="J172">
        <f t="shared" si="42"/>
        <v>0</v>
      </c>
      <c r="K172">
        <f t="shared" si="38"/>
        <v>250</v>
      </c>
      <c r="L172">
        <f>G172*Return!B172*100</f>
        <v>1.500000000000945</v>
      </c>
      <c r="M172">
        <f>H172*Return!C172*100</f>
        <v>48.000000000003595</v>
      </c>
      <c r="N172">
        <f>I172*Return!D172*100</f>
        <v>0</v>
      </c>
      <c r="O172">
        <f>J172*Return!E172*100</f>
        <v>0</v>
      </c>
      <c r="P172">
        <f t="shared" si="43"/>
        <v>49.50000000000454</v>
      </c>
      <c r="Q172">
        <f>SUM($P$148:P172)</f>
        <v>306.80000000000626</v>
      </c>
      <c r="R172">
        <f>B172*中国_中债国债到期收益率_1年!B171/365*100</f>
        <v>29.457534246575339</v>
      </c>
      <c r="S172">
        <f>C172*中国_中债国债到期收益率_1年!C171/365*100</f>
        <v>29.502465753424655</v>
      </c>
      <c r="T172">
        <f>D172*中国_中债国债到期收益率_1年!D171/365*100</f>
        <v>0</v>
      </c>
      <c r="U172">
        <f>E172*中国_中债国债到期收益率_1年!E171/365*100</f>
        <v>0</v>
      </c>
      <c r="V172">
        <f t="shared" si="44"/>
        <v>58.959999999999994</v>
      </c>
      <c r="W172">
        <f>SUM($V$148:V172)</f>
        <v>794.70356164383566</v>
      </c>
      <c r="X172">
        <f>MAX(F172-50,0)*中国_中债国债到期收益率_1年!H172*100/365</f>
        <v>22.24657534246575</v>
      </c>
      <c r="Y172">
        <f>SUM($X$148:X172)</f>
        <v>76.767123287671225</v>
      </c>
      <c r="Z172">
        <v>-20</v>
      </c>
      <c r="AB172">
        <f>Z172*Return!F176*100</f>
        <v>-9.1999999999998749</v>
      </c>
      <c r="AC172">
        <f>AA172*Return!G176*100</f>
        <v>0</v>
      </c>
      <c r="AD172">
        <f>SUM($AB$148:AB172)+SUM($AC$148:AC172)</f>
        <v>586.59999999999968</v>
      </c>
      <c r="AE172">
        <f t="shared" si="39"/>
        <v>1611.3364383561704</v>
      </c>
      <c r="AF172">
        <f t="shared" si="40"/>
        <v>1.0032226728767124</v>
      </c>
      <c r="AG172" s="4">
        <f>(AF172/AF171-1)-中国_中债国债到期收益率_1年!H172%/252</f>
        <v>7.30000858507333E-5</v>
      </c>
      <c r="AH172" s="4">
        <f>MIN((AF172-MAX($AF$151:AF172))/MAX($AF$151:AF172),0)</f>
        <v>0</v>
      </c>
    </row>
    <row r="173" spans="1:34" x14ac:dyDescent="0.25">
      <c r="A173" s="6">
        <v>44964</v>
      </c>
      <c r="B173">
        <v>50</v>
      </c>
      <c r="C173">
        <v>40</v>
      </c>
      <c r="F173">
        <f t="shared" si="37"/>
        <v>90</v>
      </c>
      <c r="G173">
        <f t="shared" si="45"/>
        <v>50</v>
      </c>
      <c r="H173">
        <f t="shared" si="46"/>
        <v>200</v>
      </c>
      <c r="I173">
        <f t="shared" si="41"/>
        <v>0</v>
      </c>
      <c r="J173">
        <f t="shared" si="42"/>
        <v>0</v>
      </c>
      <c r="K173">
        <f t="shared" si="38"/>
        <v>250</v>
      </c>
      <c r="L173">
        <f>G173*Return!B173*100</f>
        <v>-38.500000000001307</v>
      </c>
      <c r="M173">
        <f>H173*Return!C173*100</f>
        <v>-266.00000000000182</v>
      </c>
      <c r="N173">
        <f>I173*Return!D173*100</f>
        <v>0</v>
      </c>
      <c r="O173">
        <f>J173*Return!E173*100</f>
        <v>0</v>
      </c>
      <c r="P173">
        <f t="shared" si="43"/>
        <v>-304.50000000000313</v>
      </c>
      <c r="Q173">
        <f>SUM($P$148:P173)</f>
        <v>2.3000000000031378</v>
      </c>
      <c r="R173">
        <f>B173*中国_中债国债到期收益率_1年!B172/365*100</f>
        <v>29.563013698630137</v>
      </c>
      <c r="S173">
        <f>C173*中国_中债国债到期收益率_1年!C172/365*100</f>
        <v>29.64821917808219</v>
      </c>
      <c r="T173">
        <f>D173*中国_中债国债到期收益率_1年!D172/365*100</f>
        <v>0</v>
      </c>
      <c r="U173">
        <f>E173*中国_中债国债到期收益率_1年!E172/365*100</f>
        <v>0</v>
      </c>
      <c r="V173">
        <f t="shared" si="44"/>
        <v>59.21123287671233</v>
      </c>
      <c r="W173">
        <f>SUM($V$148:V173)</f>
        <v>853.91479452054796</v>
      </c>
      <c r="X173">
        <f>MAX(F173-50,0)*中国_中债国债到期收益率_1年!H173*100/365</f>
        <v>25.205479452054796</v>
      </c>
      <c r="Y173">
        <f>SUM($X$148:X173)</f>
        <v>101.97260273972603</v>
      </c>
      <c r="Z173">
        <v>-20</v>
      </c>
      <c r="AB173">
        <f>Z173*Return!F177*100</f>
        <v>-28.599999999999959</v>
      </c>
      <c r="AC173">
        <f>AA173*Return!G177*100</f>
        <v>0</v>
      </c>
      <c r="AD173">
        <f>SUM($AB$148:AB173)+SUM($AC$148:AC173)</f>
        <v>557.99999999999977</v>
      </c>
      <c r="AE173">
        <f t="shared" si="39"/>
        <v>1312.2421917808249</v>
      </c>
      <c r="AF173">
        <f t="shared" si="40"/>
        <v>1.0026244843835617</v>
      </c>
      <c r="AG173" s="4">
        <f>(AF173/AF172-1)-中国_中债国债到期收益率_1年!H173%/252</f>
        <v>-6.8753676119049289E-4</v>
      </c>
      <c r="AH173" s="4">
        <f>MIN((AF173-MAX($AF$151:AF173))/MAX($AF$151:AF173),0)</f>
        <v>-5.9626691992063286E-4</v>
      </c>
    </row>
    <row r="174" spans="1:34" x14ac:dyDescent="0.25">
      <c r="A174" s="6">
        <v>44965</v>
      </c>
      <c r="B174">
        <v>50</v>
      </c>
      <c r="C174">
        <v>40</v>
      </c>
      <c r="F174">
        <f t="shared" si="37"/>
        <v>90</v>
      </c>
      <c r="G174">
        <f t="shared" si="45"/>
        <v>50</v>
      </c>
      <c r="H174">
        <f t="shared" si="46"/>
        <v>200</v>
      </c>
      <c r="I174">
        <f t="shared" si="41"/>
        <v>0</v>
      </c>
      <c r="J174">
        <f t="shared" si="42"/>
        <v>0</v>
      </c>
      <c r="K174">
        <f t="shared" si="38"/>
        <v>250</v>
      </c>
      <c r="L174">
        <f>G174*Return!B174*100</f>
        <v>-24.499999999998412</v>
      </c>
      <c r="M174">
        <f>H174*Return!C174*100</f>
        <v>141.99999999999767</v>
      </c>
      <c r="N174">
        <f>I174*Return!D174*100</f>
        <v>0</v>
      </c>
      <c r="O174">
        <f>J174*Return!E174*100</f>
        <v>0</v>
      </c>
      <c r="P174">
        <f t="shared" si="43"/>
        <v>117.49999999999926</v>
      </c>
      <c r="Q174">
        <f>SUM($P$148:P174)</f>
        <v>119.8000000000024</v>
      </c>
      <c r="R174">
        <f>B174*中国_中债国债到期收益率_1年!B173/365*100</f>
        <v>29.63013698630137</v>
      </c>
      <c r="S174">
        <f>C174*中国_中债国债到期收益率_1年!C173/365*100</f>
        <v>29.570410958904109</v>
      </c>
      <c r="T174">
        <f>D174*中国_中债国债到期收益率_1年!D173/365*100</f>
        <v>0</v>
      </c>
      <c r="U174">
        <f>E174*中国_中债国债到期收益率_1年!E173/365*100</f>
        <v>0</v>
      </c>
      <c r="V174">
        <f t="shared" si="44"/>
        <v>59.200547945205479</v>
      </c>
      <c r="W174">
        <f>SUM($V$148:V174)</f>
        <v>913.11534246575343</v>
      </c>
      <c r="X174">
        <f>MAX(F174-50,0)*中国_中债国债到期收益率_1年!H174*100/365</f>
        <v>26.849315068493151</v>
      </c>
      <c r="Y174">
        <f>SUM($X$148:X174)</f>
        <v>128.82191780821918</v>
      </c>
      <c r="Z174">
        <v>-20</v>
      </c>
      <c r="AB174">
        <f>Z174*Return!F178*100</f>
        <v>-6.8000000000001393</v>
      </c>
      <c r="AC174">
        <f>AA174*Return!G178*100</f>
        <v>0</v>
      </c>
      <c r="AD174">
        <f>SUM($AB$148:AB174)+SUM($AC$148:AC174)</f>
        <v>551.19999999999959</v>
      </c>
      <c r="AE174">
        <f t="shared" si="39"/>
        <v>1455.2934246575362</v>
      </c>
      <c r="AF174">
        <f t="shared" si="40"/>
        <v>1.0029105868493151</v>
      </c>
      <c r="AG174" s="4">
        <f>(AF174/AF173-1)-中国_中债国债到期收益率_1年!H174%/252</f>
        <v>1.8813133756975651E-4</v>
      </c>
      <c r="AH174" s="4">
        <f>MIN((AF174-MAX($AF$151:AF174))/MAX($AF$151:AF174),0)</f>
        <v>-3.1108350701684011E-4</v>
      </c>
    </row>
    <row r="175" spans="1:34" x14ac:dyDescent="0.25">
      <c r="A175" s="6">
        <v>44966</v>
      </c>
      <c r="B175">
        <v>50</v>
      </c>
      <c r="C175">
        <v>40</v>
      </c>
      <c r="F175">
        <f t="shared" si="37"/>
        <v>90</v>
      </c>
      <c r="G175">
        <f t="shared" si="45"/>
        <v>50</v>
      </c>
      <c r="H175">
        <f t="shared" si="46"/>
        <v>200</v>
      </c>
      <c r="I175">
        <f t="shared" si="41"/>
        <v>0</v>
      </c>
      <c r="J175">
        <f t="shared" si="42"/>
        <v>0</v>
      </c>
      <c r="K175">
        <f t="shared" si="38"/>
        <v>250</v>
      </c>
      <c r="L175">
        <f>G175*Return!B175*100</f>
        <v>6.4999999999981739</v>
      </c>
      <c r="M175">
        <f>H175*Return!C175*100</f>
        <v>-93.999999999994088</v>
      </c>
      <c r="N175">
        <f>I175*Return!D175*100</f>
        <v>0</v>
      </c>
      <c r="O175">
        <f>J175*Return!E175*100</f>
        <v>0</v>
      </c>
      <c r="P175">
        <f t="shared" si="43"/>
        <v>-87.499999999995907</v>
      </c>
      <c r="Q175">
        <f>SUM($P$148:P175)</f>
        <v>32.300000000006492</v>
      </c>
      <c r="R175">
        <f>B175*中国_中债国债到期收益率_1年!B174/365*100</f>
        <v>29.612328767123291</v>
      </c>
      <c r="S175">
        <f>C175*中国_中债国债到期收益率_1年!C174/365*100</f>
        <v>29.621917808219177</v>
      </c>
      <c r="T175">
        <f>D175*中国_中债国债到期收益率_1年!D174/365*100</f>
        <v>0</v>
      </c>
      <c r="U175">
        <f>E175*中国_中债国债到期收益率_1年!E174/365*100</f>
        <v>0</v>
      </c>
      <c r="V175">
        <f t="shared" si="44"/>
        <v>59.234246575342468</v>
      </c>
      <c r="W175">
        <f>SUM($V$148:V175)</f>
        <v>972.3495890410959</v>
      </c>
      <c r="X175">
        <f>MAX(F175-50,0)*中国_中债国债到期收益率_1年!H175*100/365</f>
        <v>26.301369863013697</v>
      </c>
      <c r="Y175">
        <f>SUM($X$148:X175)</f>
        <v>155.12328767123287</v>
      </c>
      <c r="Z175">
        <v>-20</v>
      </c>
      <c r="AB175">
        <f>Z175*Return!F179*100</f>
        <v>24.799999999999933</v>
      </c>
      <c r="AC175">
        <f>AA175*Return!G179*100</f>
        <v>0</v>
      </c>
      <c r="AD175">
        <f>SUM($AB$148:AB175)+SUM($AC$148:AC175)</f>
        <v>575.99999999999955</v>
      </c>
      <c r="AE175">
        <f t="shared" si="39"/>
        <v>1425.5263013698691</v>
      </c>
      <c r="AF175">
        <f t="shared" si="40"/>
        <v>1.0028510526027397</v>
      </c>
      <c r="AG175" s="4">
        <f>(AF175/AF174-1)-中国_中债国债到期收益率_1年!H175%/252</f>
        <v>-1.545995651000579E-4</v>
      </c>
      <c r="AH175" s="4">
        <f>MIN((AF175-MAX($AF$151:AF175))/MAX($AF$151:AF175),0)</f>
        <v>-3.7042651050453213E-4</v>
      </c>
    </row>
    <row r="176" spans="1:34" x14ac:dyDescent="0.25">
      <c r="A176" s="6">
        <v>44967</v>
      </c>
      <c r="B176">
        <v>50</v>
      </c>
      <c r="C176">
        <v>40</v>
      </c>
      <c r="F176">
        <f t="shared" si="37"/>
        <v>90</v>
      </c>
      <c r="G176">
        <f t="shared" si="45"/>
        <v>50</v>
      </c>
      <c r="H176">
        <f t="shared" si="46"/>
        <v>200</v>
      </c>
      <c r="I176">
        <f t="shared" si="41"/>
        <v>0</v>
      </c>
      <c r="J176">
        <f t="shared" si="42"/>
        <v>0</v>
      </c>
      <c r="K176">
        <f t="shared" si="38"/>
        <v>250</v>
      </c>
      <c r="L176">
        <f>G176*Return!B176*100</f>
        <v>-27.999999999999137</v>
      </c>
      <c r="M176">
        <f>H176*Return!C176*100</f>
        <v>141.99999999999767</v>
      </c>
      <c r="N176">
        <f>I176*Return!D176*100</f>
        <v>0</v>
      </c>
      <c r="O176">
        <f>J176*Return!E176*100</f>
        <v>0</v>
      </c>
      <c r="P176">
        <f t="shared" si="43"/>
        <v>113.99999999999854</v>
      </c>
      <c r="Q176">
        <f>SUM($P$148:P176)</f>
        <v>146.30000000000501</v>
      </c>
      <c r="R176">
        <f>B176*中国_中债国债到期收益率_1年!B175/365*100</f>
        <v>29.68904109589041</v>
      </c>
      <c r="S176">
        <f>C176*中国_中债国债到期收益率_1年!C175/365*100</f>
        <v>29.544109589041096</v>
      </c>
      <c r="T176">
        <f>D176*中国_中债国债到期收益率_1年!D175/365*100</f>
        <v>0</v>
      </c>
      <c r="U176">
        <f>E176*中国_中债国债到期收益率_1年!E175/365*100</f>
        <v>0</v>
      </c>
      <c r="V176">
        <f t="shared" si="44"/>
        <v>59.233150684931502</v>
      </c>
      <c r="W176">
        <f>SUM($V$148:V176)</f>
        <v>1031.5827397260273</v>
      </c>
      <c r="X176">
        <f>MAX(F176-50,0)*中国_中债国债到期收益率_1年!H176*100/365</f>
        <v>22.794520547945204</v>
      </c>
      <c r="Y176">
        <f>SUM($X$148:X176)</f>
        <v>177.91780821917808</v>
      </c>
      <c r="Z176">
        <v>-20</v>
      </c>
      <c r="AB176">
        <f>Z176*Return!F180*100</f>
        <v>37.200000000000344</v>
      </c>
      <c r="AC176">
        <f>AA176*Return!G180*100</f>
        <v>0</v>
      </c>
      <c r="AD176">
        <f>SUM($AB$148:AB176)+SUM($AC$148:AC176)</f>
        <v>613.19999999999982</v>
      </c>
      <c r="AE176">
        <f t="shared" si="39"/>
        <v>1613.1649315068539</v>
      </c>
      <c r="AF176">
        <f t="shared" si="40"/>
        <v>1.0032263298630137</v>
      </c>
      <c r="AG176" s="4">
        <f>(AF176/AF175-1)-中国_中债国债到期收益率_1年!H176%/252</f>
        <v>2.9167068429414452E-4</v>
      </c>
      <c r="AH176" s="4">
        <f>MIN((AF176-MAX($AF$151:AF176))/MAX($AF$151:AF176),0)</f>
        <v>0</v>
      </c>
    </row>
    <row r="177" spans="1:34" x14ac:dyDescent="0.25">
      <c r="A177" s="6">
        <v>44970</v>
      </c>
      <c r="B177">
        <v>50</v>
      </c>
      <c r="C177">
        <v>40</v>
      </c>
      <c r="F177">
        <f t="shared" si="37"/>
        <v>90</v>
      </c>
      <c r="G177">
        <f t="shared" si="45"/>
        <v>50</v>
      </c>
      <c r="H177">
        <f t="shared" si="46"/>
        <v>200</v>
      </c>
      <c r="I177">
        <f t="shared" si="41"/>
        <v>0</v>
      </c>
      <c r="J177">
        <f t="shared" si="42"/>
        <v>0</v>
      </c>
      <c r="K177">
        <f t="shared" si="38"/>
        <v>250</v>
      </c>
      <c r="L177">
        <f>G177*Return!B177*100</f>
        <v>-4.5000000000006146</v>
      </c>
      <c r="M177">
        <f>H177*Return!C177*100</f>
        <v>-3.9999999999995595</v>
      </c>
      <c r="N177">
        <f>I177*Return!D177*100</f>
        <v>0</v>
      </c>
      <c r="O177">
        <f>J177*Return!E177*100</f>
        <v>0</v>
      </c>
      <c r="P177">
        <f t="shared" si="43"/>
        <v>-8.5000000000001741</v>
      </c>
      <c r="Q177">
        <f>SUM($P$148:P177)</f>
        <v>137.80000000000484</v>
      </c>
      <c r="R177">
        <f>B177*中国_中债国债到期收益率_1年!B176/365*100</f>
        <v>29.701369863013699</v>
      </c>
      <c r="S177">
        <f>C177*中国_中债国债到期收益率_1年!C176/365*100</f>
        <v>29.546301369863009</v>
      </c>
      <c r="T177">
        <f>D177*中国_中债国债到期收益率_1年!D176/365*100</f>
        <v>0</v>
      </c>
      <c r="U177">
        <f>E177*中国_中债国债到期收益率_1年!E176/365*100</f>
        <v>0</v>
      </c>
      <c r="V177">
        <f t="shared" si="44"/>
        <v>59.247671232876712</v>
      </c>
      <c r="W177">
        <f>SUM($V$148:V177)</f>
        <v>1090.8304109589039</v>
      </c>
      <c r="X177">
        <f>MAX(F177-50,0)*中国_中债国债到期收益率_1年!H177*100/365</f>
        <v>21.917808219178081</v>
      </c>
      <c r="Y177">
        <f>SUM($X$148:X177)</f>
        <v>199.83561643835617</v>
      </c>
      <c r="Z177">
        <v>-20</v>
      </c>
      <c r="AB177">
        <f>Z177*Return!F181*100</f>
        <v>16.799999999999926</v>
      </c>
      <c r="AC177">
        <f>AA177*Return!G181*100</f>
        <v>0</v>
      </c>
      <c r="AD177">
        <f>SUM($AB$148:AB177)+SUM($AC$148:AC177)</f>
        <v>629.99999999999977</v>
      </c>
      <c r="AE177">
        <f t="shared" si="39"/>
        <v>1658.7947945205524</v>
      </c>
      <c r="AF177">
        <f t="shared" si="40"/>
        <v>1.0033175895890412</v>
      </c>
      <c r="AG177" s="4">
        <f>(AF177/AF176-1)-中国_中债国债到期收益率_1年!H177%/252</f>
        <v>1.1601159569041004E-5</v>
      </c>
      <c r="AH177" s="4">
        <f>MIN((AF177-MAX($AF$151:AF177))/MAX($AF$151:AF177),0)</f>
        <v>0</v>
      </c>
    </row>
    <row r="178" spans="1:34" x14ac:dyDescent="0.25">
      <c r="A178" s="6">
        <v>44971</v>
      </c>
      <c r="B178">
        <v>50</v>
      </c>
      <c r="C178">
        <v>40</v>
      </c>
      <c r="F178">
        <f t="shared" si="37"/>
        <v>90</v>
      </c>
      <c r="G178">
        <f t="shared" si="45"/>
        <v>50</v>
      </c>
      <c r="H178">
        <f t="shared" si="46"/>
        <v>200</v>
      </c>
      <c r="I178">
        <f t="shared" si="41"/>
        <v>0</v>
      </c>
      <c r="J178">
        <f t="shared" si="42"/>
        <v>0</v>
      </c>
      <c r="K178">
        <f t="shared" si="38"/>
        <v>250</v>
      </c>
      <c r="L178">
        <f>G178*Return!B178*100</f>
        <v>-25.999999999999357</v>
      </c>
      <c r="M178">
        <f>H178*Return!C178*100</f>
        <v>-11.999999999998678</v>
      </c>
      <c r="N178">
        <f>I178*Return!D178*100</f>
        <v>0</v>
      </c>
      <c r="O178">
        <f>J178*Return!E178*100</f>
        <v>0</v>
      </c>
      <c r="P178">
        <f t="shared" si="43"/>
        <v>-37.999999999998039</v>
      </c>
      <c r="Q178">
        <f>SUM($P$148:P178)</f>
        <v>99.800000000006804</v>
      </c>
      <c r="R178">
        <f>B178*中国_中债国债到期收益率_1年!B177/365*100</f>
        <v>29.772602739726029</v>
      </c>
      <c r="S178">
        <f>C178*中国_中债国债到期收益率_1年!C177/365*100</f>
        <v>29.552876712328768</v>
      </c>
      <c r="T178">
        <f>D178*中国_中债国债到期收益率_1年!D177/365*100</f>
        <v>0</v>
      </c>
      <c r="U178">
        <f>E178*中国_中债国债到期收益率_1年!E177/365*100</f>
        <v>0</v>
      </c>
      <c r="V178">
        <f t="shared" si="44"/>
        <v>59.325479452054793</v>
      </c>
      <c r="W178">
        <f>SUM($V$148:V178)</f>
        <v>1150.1558904109588</v>
      </c>
      <c r="X178">
        <f>MAX(F178-50,0)*中国_中债国债到期收益率_1年!H178*100/365</f>
        <v>23.342465753424651</v>
      </c>
      <c r="Y178">
        <f>SUM($X$148:X178)</f>
        <v>223.17808219178082</v>
      </c>
      <c r="Z178">
        <v>-20</v>
      </c>
      <c r="AB178">
        <f>Z178*Return!F182*100</f>
        <v>5.3999999999998494</v>
      </c>
      <c r="AC178">
        <f>AA178*Return!G182*100</f>
        <v>0</v>
      </c>
      <c r="AD178">
        <f>SUM($AB$148:AB178)+SUM($AC$148:AC178)</f>
        <v>635.39999999999964</v>
      </c>
      <c r="AE178">
        <f t="shared" si="39"/>
        <v>1662.1778082191845</v>
      </c>
      <c r="AF178">
        <f t="shared" si="40"/>
        <v>1.0033243556164384</v>
      </c>
      <c r="AG178" s="4">
        <f>(AF178/AF177-1)-中国_中债国债到期收益率_1年!H178%/252</f>
        <v>-7.7780154805165612E-5</v>
      </c>
      <c r="AH178" s="4">
        <f>MIN((AF178-MAX($AF$151:AF178))/MAX($AF$151:AF178),0)</f>
        <v>0</v>
      </c>
    </row>
    <row r="179" spans="1:34" x14ac:dyDescent="0.25">
      <c r="A179" s="6">
        <v>44972</v>
      </c>
      <c r="B179">
        <v>50</v>
      </c>
      <c r="C179">
        <v>40</v>
      </c>
      <c r="F179">
        <f t="shared" si="37"/>
        <v>90</v>
      </c>
      <c r="G179">
        <f t="shared" si="45"/>
        <v>50</v>
      </c>
      <c r="H179">
        <f t="shared" si="46"/>
        <v>200</v>
      </c>
      <c r="I179">
        <f t="shared" si="41"/>
        <v>0</v>
      </c>
      <c r="J179">
        <f t="shared" si="42"/>
        <v>0</v>
      </c>
      <c r="K179">
        <f t="shared" si="38"/>
        <v>250</v>
      </c>
      <c r="L179">
        <f>G179*Return!B179*100</f>
        <v>-23.500000000000743</v>
      </c>
      <c r="M179">
        <f>H179*Return!C179*100</f>
        <v>34.000000000000696</v>
      </c>
      <c r="N179">
        <f>I179*Return!D179*100</f>
        <v>0</v>
      </c>
      <c r="O179">
        <f>J179*Return!E179*100</f>
        <v>0</v>
      </c>
      <c r="P179">
        <f t="shared" si="43"/>
        <v>10.499999999999954</v>
      </c>
      <c r="Q179">
        <f>SUM($P$148:P179)</f>
        <v>110.30000000000676</v>
      </c>
      <c r="R179">
        <f>B179*中国_中债国债到期收益率_1年!B178/365*100</f>
        <v>29.836986301369862</v>
      </c>
      <c r="S179">
        <f>C179*中国_中债国债到期收益率_1年!C178/365*100</f>
        <v>29.534246575342465</v>
      </c>
      <c r="T179">
        <f>D179*中国_中债国债到期收益率_1年!D178/365*100</f>
        <v>0</v>
      </c>
      <c r="U179">
        <f>E179*中国_中债国债到期收益率_1年!E178/365*100</f>
        <v>0</v>
      </c>
      <c r="V179">
        <f t="shared" si="44"/>
        <v>59.371232876712327</v>
      </c>
      <c r="W179">
        <f>SUM($V$148:V179)</f>
        <v>1209.5271232876712</v>
      </c>
      <c r="X179">
        <f>MAX(F179-50,0)*中国_中债国债到期收益率_1年!H179*100/365</f>
        <v>23.013698630136986</v>
      </c>
      <c r="Y179">
        <f>SUM($X$148:X179)</f>
        <v>246.1917808219178</v>
      </c>
      <c r="Z179">
        <v>-20</v>
      </c>
      <c r="AB179">
        <f>Z179*Return!F183*100</f>
        <v>39.60000000000008</v>
      </c>
      <c r="AC179">
        <f>AA179*Return!G183*100</f>
        <v>0</v>
      </c>
      <c r="AD179">
        <f>SUM($AB$148:AB179)+SUM($AC$148:AC179)</f>
        <v>674.99999999999977</v>
      </c>
      <c r="AE179">
        <f t="shared" si="39"/>
        <v>1748.63534246576</v>
      </c>
      <c r="AF179">
        <f t="shared" si="40"/>
        <v>1.0034972706849314</v>
      </c>
      <c r="AG179" s="4">
        <f>(AF179/AF178-1)-中国_中债国债到期收益率_1年!H179%/252</f>
        <v>8.9008808592185544E-5</v>
      </c>
      <c r="AH179" s="4">
        <f>MIN((AF179-MAX($AF$151:AF179))/MAX($AF$151:AF179),0)</f>
        <v>0</v>
      </c>
    </row>
    <row r="180" spans="1:34" x14ac:dyDescent="0.25">
      <c r="A180" s="6">
        <v>44973</v>
      </c>
      <c r="B180">
        <v>50</v>
      </c>
      <c r="C180">
        <v>40</v>
      </c>
      <c r="F180">
        <f t="shared" si="37"/>
        <v>90</v>
      </c>
      <c r="G180">
        <f t="shared" si="45"/>
        <v>50</v>
      </c>
      <c r="H180">
        <f t="shared" si="46"/>
        <v>200</v>
      </c>
      <c r="I180">
        <f t="shared" si="41"/>
        <v>0</v>
      </c>
      <c r="J180">
        <f t="shared" si="42"/>
        <v>0</v>
      </c>
      <c r="K180">
        <f t="shared" si="38"/>
        <v>250</v>
      </c>
      <c r="L180">
        <f>G180*Return!B180*100</f>
        <v>-5.499999999998284</v>
      </c>
      <c r="M180">
        <f>H180*Return!C180*100</f>
        <v>9.9999999999944578</v>
      </c>
      <c r="N180">
        <f>I180*Return!D180*100</f>
        <v>0</v>
      </c>
      <c r="O180">
        <f>J180*Return!E180*100</f>
        <v>0</v>
      </c>
      <c r="P180">
        <f t="shared" si="43"/>
        <v>4.4999999999961737</v>
      </c>
      <c r="Q180">
        <f>SUM($P$148:P180)</f>
        <v>114.80000000000294</v>
      </c>
      <c r="R180">
        <f>B180*中国_中债国债到期收益率_1年!B179/365*100</f>
        <v>29.852054794520544</v>
      </c>
      <c r="S180">
        <f>C180*中国_中债国债到期收益率_1年!C179/365*100</f>
        <v>29.528767123287668</v>
      </c>
      <c r="T180">
        <f>D180*中国_中债国债到期收益率_1年!D179/365*100</f>
        <v>0</v>
      </c>
      <c r="U180">
        <f>E180*中国_中债国债到期收益率_1年!E179/365*100</f>
        <v>0</v>
      </c>
      <c r="V180">
        <f t="shared" si="44"/>
        <v>59.380821917808213</v>
      </c>
      <c r="W180">
        <f>SUM($V$148:V180)</f>
        <v>1268.9079452054793</v>
      </c>
      <c r="X180">
        <f>MAX(F180-50,0)*中国_中债国债到期收益率_1年!H180*100/365</f>
        <v>23.342465753424651</v>
      </c>
      <c r="Y180">
        <f>SUM($X$148:X180)</f>
        <v>269.53424657534248</v>
      </c>
      <c r="Z180">
        <v>-20</v>
      </c>
      <c r="AB180">
        <f>Z180*Return!F184*100</f>
        <v>47.399999999999665</v>
      </c>
      <c r="AC180">
        <f>AA180*Return!G184*100</f>
        <v>0</v>
      </c>
      <c r="AD180">
        <f>SUM($AB$148:AB180)+SUM($AC$148:AC180)</f>
        <v>722.39999999999941</v>
      </c>
      <c r="AE180">
        <f t="shared" si="39"/>
        <v>1836.5736986301395</v>
      </c>
      <c r="AF180">
        <f t="shared" si="40"/>
        <v>1.0036731473972602</v>
      </c>
      <c r="AG180" s="4">
        <f>(AF180/AF179-1)-中国_中债国债到期收益率_1年!H180%/252</f>
        <v>9.0739957968741049E-5</v>
      </c>
      <c r="AH180" s="4">
        <f>MIN((AF180-MAX($AF$151:AF180))/MAX($AF$151:AF180),0)</f>
        <v>0</v>
      </c>
    </row>
    <row r="181" spans="1:34" x14ac:dyDescent="0.25">
      <c r="A181" s="6">
        <v>44974</v>
      </c>
      <c r="B181">
        <v>50</v>
      </c>
      <c r="C181">
        <v>40</v>
      </c>
      <c r="F181">
        <f t="shared" si="37"/>
        <v>90</v>
      </c>
      <c r="G181">
        <f t="shared" si="45"/>
        <v>50</v>
      </c>
      <c r="H181">
        <f t="shared" si="46"/>
        <v>200</v>
      </c>
      <c r="I181">
        <f t="shared" si="41"/>
        <v>0</v>
      </c>
      <c r="J181">
        <f t="shared" si="42"/>
        <v>0</v>
      </c>
      <c r="K181">
        <f t="shared" si="38"/>
        <v>250</v>
      </c>
      <c r="L181">
        <f>G181*Return!B181*100</f>
        <v>-62.000000000002053</v>
      </c>
      <c r="M181">
        <f>H181*Return!C181*100</f>
        <v>48.000000000003595</v>
      </c>
      <c r="N181">
        <f>I181*Return!D181*100</f>
        <v>0</v>
      </c>
      <c r="O181">
        <f>J181*Return!E181*100</f>
        <v>0</v>
      </c>
      <c r="P181">
        <f t="shared" si="43"/>
        <v>-13.999999999998458</v>
      </c>
      <c r="Q181">
        <f>SUM($P$148:P181)</f>
        <v>100.80000000000447</v>
      </c>
      <c r="R181">
        <f>B181*中国_中债国债到期收益率_1年!B180/365*100</f>
        <v>30.021917808219182</v>
      </c>
      <c r="S181">
        <f>C181*中国_中债国债到期收益率_1年!C180/365*100</f>
        <v>29.502465753424655</v>
      </c>
      <c r="T181">
        <f>D181*中国_中债国债到期收益率_1年!D180/365*100</f>
        <v>0</v>
      </c>
      <c r="U181">
        <f>E181*中国_中债国债到期收益率_1年!E180/365*100</f>
        <v>0</v>
      </c>
      <c r="V181">
        <f t="shared" si="44"/>
        <v>59.524383561643837</v>
      </c>
      <c r="W181">
        <f>SUM($V$148:V181)</f>
        <v>1328.4323287671232</v>
      </c>
      <c r="X181">
        <f>MAX(F181-50,0)*中国_中债国债到期收益率_1年!H181*100/365</f>
        <v>27.397260273972602</v>
      </c>
      <c r="Y181">
        <f>SUM($X$148:X181)</f>
        <v>296.9315068493151</v>
      </c>
      <c r="Z181">
        <v>-20</v>
      </c>
      <c r="AB181">
        <f>Z181*Return!F185*100</f>
        <v>26.000000000000689</v>
      </c>
      <c r="AC181">
        <f>AA181*Return!G185*100</f>
        <v>0</v>
      </c>
      <c r="AD181">
        <f>SUM($AB$148:AB181)+SUM($AC$148:AC181)</f>
        <v>748.40000000000009</v>
      </c>
      <c r="AE181">
        <f t="shared" si="39"/>
        <v>1880.7008219178124</v>
      </c>
      <c r="AF181">
        <f t="shared" si="40"/>
        <v>1.0037614016438356</v>
      </c>
      <c r="AG181" s="4">
        <f>(AF181/AF180-1)-中国_中债国债到期收益率_1年!H181%/252</f>
        <v>-1.1275087117402013E-5</v>
      </c>
      <c r="AH181" s="4">
        <f>MIN((AF181-MAX($AF$151:AF181))/MAX($AF$151:AF181),0)</f>
        <v>0</v>
      </c>
    </row>
    <row r="182" spans="1:34" x14ac:dyDescent="0.25">
      <c r="A182" s="6">
        <v>44977</v>
      </c>
      <c r="B182">
        <v>50</v>
      </c>
      <c r="C182">
        <v>40</v>
      </c>
      <c r="F182">
        <f t="shared" si="37"/>
        <v>90</v>
      </c>
      <c r="G182">
        <f t="shared" si="45"/>
        <v>50</v>
      </c>
      <c r="H182">
        <f t="shared" si="46"/>
        <v>200</v>
      </c>
      <c r="I182">
        <f t="shared" si="41"/>
        <v>0</v>
      </c>
      <c r="J182">
        <f t="shared" si="42"/>
        <v>0</v>
      </c>
      <c r="K182">
        <f t="shared" si="38"/>
        <v>250</v>
      </c>
      <c r="L182">
        <f>G182*Return!B182*100</f>
        <v>-28.499999999997971</v>
      </c>
      <c r="M182">
        <f>H182*Return!C182*100</f>
        <v>-110.00000000000121</v>
      </c>
      <c r="N182">
        <f>I182*Return!D182*100</f>
        <v>0</v>
      </c>
      <c r="O182">
        <f>J182*Return!E182*100</f>
        <v>0</v>
      </c>
      <c r="P182">
        <f t="shared" si="43"/>
        <v>-138.49999999999918</v>
      </c>
      <c r="Q182">
        <f>SUM($P$148:P182)</f>
        <v>-37.699999999994702</v>
      </c>
      <c r="R182">
        <f>B182*中国_中债国债到期收益率_1年!B181/365*100</f>
        <v>30.099999999999998</v>
      </c>
      <c r="S182">
        <f>C182*中国_中债国债到期收益率_1年!C181/365*100</f>
        <v>29.562739726027399</v>
      </c>
      <c r="T182">
        <f>D182*中国_中债国债到期收益率_1年!D181/365*100</f>
        <v>0</v>
      </c>
      <c r="U182">
        <f>E182*中国_中债国债到期收益率_1年!E181/365*100</f>
        <v>0</v>
      </c>
      <c r="V182">
        <f t="shared" si="44"/>
        <v>59.662739726027397</v>
      </c>
      <c r="W182">
        <f>SUM($V$148:V182)</f>
        <v>1388.0950684931506</v>
      </c>
      <c r="X182">
        <f>MAX(F182-50,0)*中国_中债国债到期收益率_1年!H182*100/365</f>
        <v>25.205479452054796</v>
      </c>
      <c r="Y182">
        <f>SUM($X$148:X182)</f>
        <v>322.13698630136992</v>
      </c>
      <c r="Z182">
        <v>-20</v>
      </c>
      <c r="AB182">
        <f>Z182*Return!F186*100</f>
        <v>71.799999999999642</v>
      </c>
      <c r="AC182">
        <f>AA182*Return!G186*100</f>
        <v>0</v>
      </c>
      <c r="AD182">
        <f>SUM($AB$148:AB182)+SUM($AC$148:AC182)</f>
        <v>820.1999999999997</v>
      </c>
      <c r="AE182">
        <f t="shared" si="39"/>
        <v>1848.4580821917859</v>
      </c>
      <c r="AF182">
        <f t="shared" si="40"/>
        <v>1.0036969161643836</v>
      </c>
      <c r="AG182" s="4">
        <f>(AF182/AF181-1)-中国_中债国债到期收益率_1年!H182%/252</f>
        <v>-1.5551367386435399E-4</v>
      </c>
      <c r="AH182" s="4">
        <f>MIN((AF182-MAX($AF$151:AF182))/MAX($AF$151:AF182),0)</f>
        <v>-6.4243832594509357E-5</v>
      </c>
    </row>
    <row r="183" spans="1:34" x14ac:dyDescent="0.25">
      <c r="A183" s="6">
        <v>44978</v>
      </c>
      <c r="B183">
        <v>50</v>
      </c>
      <c r="C183">
        <v>40</v>
      </c>
      <c r="F183">
        <f t="shared" si="37"/>
        <v>90</v>
      </c>
      <c r="G183">
        <f t="shared" si="45"/>
        <v>50</v>
      </c>
      <c r="H183">
        <f t="shared" si="46"/>
        <v>200</v>
      </c>
      <c r="I183">
        <f t="shared" si="41"/>
        <v>0</v>
      </c>
      <c r="J183">
        <f t="shared" si="42"/>
        <v>0</v>
      </c>
      <c r="K183">
        <f t="shared" si="38"/>
        <v>250</v>
      </c>
      <c r="L183">
        <f>G183*Return!B183*100</f>
        <v>-211.00000000000119</v>
      </c>
      <c r="M183">
        <f>H183*Return!C183*100</f>
        <v>-831.99999999999716</v>
      </c>
      <c r="N183">
        <f>I183*Return!D183*100</f>
        <v>0</v>
      </c>
      <c r="O183">
        <f>J183*Return!E183*100</f>
        <v>0</v>
      </c>
      <c r="P183">
        <f t="shared" si="43"/>
        <v>-1042.9999999999984</v>
      </c>
      <c r="Q183">
        <f>SUM($P$148:P183)</f>
        <v>-1080.699999999993</v>
      </c>
      <c r="R183">
        <f>B183*中国_中债国债到期收益率_1年!B182/365*100</f>
        <v>30.678082191780824</v>
      </c>
      <c r="S183">
        <f>C183*中国_中债国债到期收益率_1年!C182/365*100</f>
        <v>30.018630136986303</v>
      </c>
      <c r="T183">
        <f>D183*中国_中债国债到期收益率_1年!D182/365*100</f>
        <v>0</v>
      </c>
      <c r="U183">
        <f>E183*中国_中债国债到期收益率_1年!E182/365*100</f>
        <v>0</v>
      </c>
      <c r="V183">
        <f t="shared" si="44"/>
        <v>60.696712328767127</v>
      </c>
      <c r="W183">
        <f>SUM($V$148:V183)</f>
        <v>1448.7917808219177</v>
      </c>
      <c r="X183">
        <f>MAX(F183-50,0)*中国_中债国债到期收益率_1年!H183*100/365</f>
        <v>24.117260273972601</v>
      </c>
      <c r="Y183">
        <f>SUM($X$148:X183)</f>
        <v>346.25424657534251</v>
      </c>
      <c r="Z183">
        <v>-20</v>
      </c>
      <c r="AB183">
        <f>Z183*Return!F187*100</f>
        <v>8.2000000000004292</v>
      </c>
      <c r="AC183">
        <f>AA183*Return!G187*100</f>
        <v>0</v>
      </c>
      <c r="AD183">
        <f>SUM($AB$148:AB183)+SUM($AC$148:AC183)</f>
        <v>828.40000000000009</v>
      </c>
      <c r="AE183">
        <f t="shared" si="39"/>
        <v>850.2375342465823</v>
      </c>
      <c r="AF183">
        <f t="shared" si="40"/>
        <v>1.0017004750684932</v>
      </c>
      <c r="AG183" s="4">
        <f>(AF183/AF182-1)-中国_中债国债到期收益率_1年!H183%/252</f>
        <v>-2.0764169708475787E-3</v>
      </c>
      <c r="AH183" s="4">
        <f>MIN((AF183-MAX($AF$151:AF183))/MAX($AF$151:AF183),0)</f>
        <v>-2.0532036517515754E-3</v>
      </c>
    </row>
    <row r="184" spans="1:34" x14ac:dyDescent="0.25">
      <c r="A184" s="6">
        <v>44979</v>
      </c>
      <c r="B184">
        <v>50</v>
      </c>
      <c r="C184">
        <v>40</v>
      </c>
      <c r="F184">
        <f t="shared" si="37"/>
        <v>90</v>
      </c>
      <c r="G184">
        <f t="shared" si="45"/>
        <v>50</v>
      </c>
      <c r="H184">
        <f t="shared" si="46"/>
        <v>200</v>
      </c>
      <c r="I184">
        <f t="shared" si="41"/>
        <v>0</v>
      </c>
      <c r="J184">
        <f t="shared" si="42"/>
        <v>0</v>
      </c>
      <c r="K184">
        <f t="shared" si="38"/>
        <v>250</v>
      </c>
      <c r="L184">
        <f>G184*Return!B184*100</f>
        <v>-13.499999999999623</v>
      </c>
      <c r="M184">
        <f>H184*Return!C184*100</f>
        <v>3.9999999999995595</v>
      </c>
      <c r="N184">
        <f>I184*Return!D184*100</f>
        <v>0</v>
      </c>
      <c r="O184">
        <f>J184*Return!E184*100</f>
        <v>0</v>
      </c>
      <c r="P184">
        <f t="shared" si="43"/>
        <v>-9.5000000000000639</v>
      </c>
      <c r="Q184">
        <f>SUM($P$148:P184)</f>
        <v>-1090.199999999993</v>
      </c>
      <c r="R184">
        <f>B184*中国_中债国债到期收益率_1年!B183/365*100</f>
        <v>30.715068493150682</v>
      </c>
      <c r="S184">
        <f>C184*中国_中债国债到期收益率_1年!C183/365*100</f>
        <v>30.016438356164382</v>
      </c>
      <c r="T184">
        <f>D184*中国_中债国债到期收益率_1年!D183/365*100</f>
        <v>0</v>
      </c>
      <c r="U184">
        <f>E184*中国_中债国债到期收益率_1年!E183/365*100</f>
        <v>0</v>
      </c>
      <c r="V184">
        <f t="shared" si="44"/>
        <v>60.731506849315068</v>
      </c>
      <c r="W184">
        <f>SUM($V$148:V184)</f>
        <v>1509.5232876712328</v>
      </c>
      <c r="X184">
        <f>MAX(F184-50,0)*中国_中债国债到期收益率_1年!H184*100/365</f>
        <v>29.041095890410958</v>
      </c>
      <c r="Y184">
        <f>SUM($X$148:X184)</f>
        <v>375.29534246575349</v>
      </c>
      <c r="Z184">
        <v>-20</v>
      </c>
      <c r="AB184">
        <f>Z184*Return!F188*100</f>
        <v>13.799999999999812</v>
      </c>
      <c r="AC184">
        <f>AA184*Return!G188*100</f>
        <v>0</v>
      </c>
      <c r="AD184">
        <f>SUM($AB$148:AB184)+SUM($AC$148:AC184)</f>
        <v>842.19999999999993</v>
      </c>
      <c r="AE184">
        <f t="shared" si="39"/>
        <v>886.22794520548632</v>
      </c>
      <c r="AF184">
        <f t="shared" si="40"/>
        <v>1.0017724558904109</v>
      </c>
      <c r="AG184" s="4">
        <f>(AF184/AF183-1)-中国_中债国债到期收益率_1年!H184%/252</f>
        <v>-3.3300102046632073E-5</v>
      </c>
      <c r="AH184" s="4">
        <f>MIN((AF184-MAX($AF$151:AF184))/MAX($AF$151:AF184),0)</f>
        <v>-1.981492564037169E-3</v>
      </c>
    </row>
    <row r="185" spans="1:34" x14ac:dyDescent="0.25">
      <c r="A185" s="6">
        <v>44980</v>
      </c>
      <c r="B185">
        <v>50</v>
      </c>
      <c r="C185">
        <v>40</v>
      </c>
      <c r="F185">
        <f t="shared" si="37"/>
        <v>90</v>
      </c>
      <c r="G185">
        <f t="shared" si="45"/>
        <v>50</v>
      </c>
      <c r="H185">
        <f t="shared" si="46"/>
        <v>200</v>
      </c>
      <c r="I185">
        <f t="shared" si="41"/>
        <v>0</v>
      </c>
      <c r="J185">
        <f t="shared" si="42"/>
        <v>0</v>
      </c>
      <c r="K185">
        <f t="shared" si="38"/>
        <v>250</v>
      </c>
      <c r="L185">
        <f>G185*Return!B185*100</f>
        <v>10.999999999998789</v>
      </c>
      <c r="M185">
        <f>H185*Return!C185*100</f>
        <v>95.999999999998309</v>
      </c>
      <c r="N185">
        <f>I185*Return!D185*100</f>
        <v>0</v>
      </c>
      <c r="O185">
        <f>J185*Return!E185*100</f>
        <v>0</v>
      </c>
      <c r="P185">
        <f t="shared" si="43"/>
        <v>106.9999999999971</v>
      </c>
      <c r="Q185">
        <f>SUM($P$148:P185)</f>
        <v>-983.19999999999595</v>
      </c>
      <c r="R185">
        <f>B185*中国_中债国债到期收益率_1年!B184/365*100</f>
        <v>30.684931506849317</v>
      </c>
      <c r="S185">
        <f>C185*中国_中债国债到期收益率_1年!C184/365*100</f>
        <v>29.963835616438356</v>
      </c>
      <c r="T185">
        <f>D185*中国_中债国债到期收益率_1年!D184/365*100</f>
        <v>0</v>
      </c>
      <c r="U185">
        <f>E185*中国_中债国债到期收益率_1年!E184/365*100</f>
        <v>0</v>
      </c>
      <c r="V185">
        <f t="shared" si="44"/>
        <v>60.648767123287669</v>
      </c>
      <c r="W185">
        <f>SUM($V$148:V185)</f>
        <v>1570.1720547945204</v>
      </c>
      <c r="X185">
        <f>MAX(F185-50,0)*中国_中债国债到期收益率_1年!H185*100/365</f>
        <v>28.493150684931507</v>
      </c>
      <c r="Y185">
        <f>SUM($X$148:X185)</f>
        <v>403.78849315068499</v>
      </c>
      <c r="Z185">
        <v>-20</v>
      </c>
      <c r="AB185">
        <f>Z185*Return!F189*100</f>
        <v>64.59999999999954</v>
      </c>
      <c r="AC185">
        <f>AA185*Return!G189*100</f>
        <v>0</v>
      </c>
      <c r="AD185">
        <f>SUM($AB$148:AB185)+SUM($AC$148:AC185)</f>
        <v>906.7999999999995</v>
      </c>
      <c r="AE185">
        <f t="shared" si="39"/>
        <v>1089.983561643839</v>
      </c>
      <c r="AF185">
        <f t="shared" si="40"/>
        <v>1.0021799671232876</v>
      </c>
      <c r="AG185" s="4">
        <f>(AF185/AF184-1)-中国_中债国债到期收益率_1年!H185%/252</f>
        <v>3.0361561198905169E-4</v>
      </c>
      <c r="AH185" s="4">
        <f>MIN((AF185-MAX($AF$151:AF185))/MAX($AF$151:AF185),0)</f>
        <v>-1.5755084006599228E-3</v>
      </c>
    </row>
    <row r="186" spans="1:34" x14ac:dyDescent="0.25">
      <c r="A186" s="6">
        <v>44981</v>
      </c>
      <c r="B186">
        <v>50</v>
      </c>
      <c r="C186">
        <v>40</v>
      </c>
      <c r="F186">
        <f t="shared" si="37"/>
        <v>90</v>
      </c>
      <c r="G186">
        <f t="shared" si="45"/>
        <v>50</v>
      </c>
      <c r="H186">
        <f t="shared" si="46"/>
        <v>200</v>
      </c>
      <c r="I186">
        <f t="shared" si="41"/>
        <v>0</v>
      </c>
      <c r="J186">
        <f t="shared" si="42"/>
        <v>0</v>
      </c>
      <c r="K186">
        <f t="shared" si="38"/>
        <v>250</v>
      </c>
      <c r="L186">
        <f>G186*Return!B186*100</f>
        <v>-101.49999999999881</v>
      </c>
      <c r="M186">
        <f>H186*Return!C186*100</f>
        <v>-208.00000000000375</v>
      </c>
      <c r="N186">
        <f>I186*Return!D186*100</f>
        <v>0</v>
      </c>
      <c r="O186">
        <f>J186*Return!E186*100</f>
        <v>0</v>
      </c>
      <c r="P186">
        <f t="shared" si="43"/>
        <v>-309.50000000000256</v>
      </c>
      <c r="Q186">
        <f>SUM($P$148:P186)</f>
        <v>-1292.6999999999985</v>
      </c>
      <c r="R186">
        <f>B186*中国_中债国债到期收益率_1年!B185/365*100</f>
        <v>30.963013698630139</v>
      </c>
      <c r="S186">
        <f>C186*中国_中债国债到期收益率_1年!C185/365*100</f>
        <v>30.077808219178081</v>
      </c>
      <c r="T186">
        <f>D186*中国_中债国债到期收益率_1年!D185/365*100</f>
        <v>0</v>
      </c>
      <c r="U186">
        <f>E186*中国_中债国债到期收益率_1年!E185/365*100</f>
        <v>0</v>
      </c>
      <c r="V186">
        <f t="shared" si="44"/>
        <v>61.040821917808216</v>
      </c>
      <c r="W186">
        <f>SUM($V$148:V186)</f>
        <v>1631.2128767123286</v>
      </c>
      <c r="X186">
        <f>MAX(F186-50,0)*中国_中债国债到期收益率_1年!H186*100/365</f>
        <v>28.493150684931507</v>
      </c>
      <c r="Y186">
        <f>SUM($X$148:X186)</f>
        <v>432.28164383561648</v>
      </c>
      <c r="Z186">
        <v>-20</v>
      </c>
      <c r="AB186">
        <f>Z186*Return!F190*100</f>
        <v>-64.000000000000057</v>
      </c>
      <c r="AC186">
        <f>AA186*Return!G190*100</f>
        <v>0</v>
      </c>
      <c r="AD186">
        <f>SUM($AB$148:AB186)+SUM($AC$148:AC186)</f>
        <v>842.7999999999995</v>
      </c>
      <c r="AE186">
        <f t="shared" si="39"/>
        <v>749.03123287671315</v>
      </c>
      <c r="AF186">
        <f t="shared" si="40"/>
        <v>1.0014980624657535</v>
      </c>
      <c r="AG186" s="4">
        <f>(AF186/AF185-1)-中国_中债国债到期收益率_1年!H186%/252</f>
        <v>-7.8359596451110607E-4</v>
      </c>
      <c r="AH186" s="4">
        <f>MIN((AF186-MAX($AF$151:AF186))/MAX($AF$151:AF186),0)</f>
        <v>-2.2548577524256017E-3</v>
      </c>
    </row>
    <row r="187" spans="1:34" x14ac:dyDescent="0.25">
      <c r="A187" s="6">
        <v>44984</v>
      </c>
      <c r="B187">
        <v>50</v>
      </c>
      <c r="C187">
        <v>40</v>
      </c>
      <c r="F187">
        <f t="shared" si="37"/>
        <v>90</v>
      </c>
      <c r="G187">
        <f t="shared" si="45"/>
        <v>50</v>
      </c>
      <c r="H187">
        <f t="shared" si="46"/>
        <v>200</v>
      </c>
      <c r="I187">
        <f t="shared" si="41"/>
        <v>0</v>
      </c>
      <c r="J187">
        <f t="shared" si="42"/>
        <v>0</v>
      </c>
      <c r="K187">
        <f t="shared" si="38"/>
        <v>250</v>
      </c>
      <c r="L187">
        <f>G187*Return!B187*100</f>
        <v>-172.49999999999989</v>
      </c>
      <c r="M187">
        <f>H187*Return!C187*100</f>
        <v>102.00000000000209</v>
      </c>
      <c r="N187">
        <f>I187*Return!D187*100</f>
        <v>0</v>
      </c>
      <c r="O187">
        <f>J187*Return!E187*100</f>
        <v>0</v>
      </c>
      <c r="P187">
        <f t="shared" si="43"/>
        <v>-70.499999999997797</v>
      </c>
      <c r="Q187">
        <f>SUM($P$148:P187)</f>
        <v>-1363.1999999999962</v>
      </c>
      <c r="R187">
        <f>B187*中国_中债国债到期收益率_1年!B186/365*100</f>
        <v>31.435616438356163</v>
      </c>
      <c r="S187">
        <f>C187*中国_中债国债到期收益率_1年!C186/365*100</f>
        <v>30.021917808219179</v>
      </c>
      <c r="T187">
        <f>D187*中国_中债国债到期收益率_1年!D186/365*100</f>
        <v>0</v>
      </c>
      <c r="U187">
        <f>E187*中国_中债国债到期收益率_1年!E186/365*100</f>
        <v>0</v>
      </c>
      <c r="V187">
        <f t="shared" si="44"/>
        <v>61.457534246575342</v>
      </c>
      <c r="W187">
        <f>SUM($V$148:V187)</f>
        <v>1692.6704109589039</v>
      </c>
      <c r="X187">
        <f>MAX(F187-50,0)*中国_中债国债到期收益率_1年!H187*100/365</f>
        <v>29.041095890410958</v>
      </c>
      <c r="Y187">
        <f>SUM($X$148:X187)</f>
        <v>461.32273972602741</v>
      </c>
      <c r="Z187">
        <v>-20</v>
      </c>
      <c r="AB187">
        <f>Z187*Return!F191*100</f>
        <v>16.200000000000436</v>
      </c>
      <c r="AC187">
        <f>AA187*Return!G191*100</f>
        <v>0</v>
      </c>
      <c r="AD187">
        <f>SUM($AB$148:AB187)+SUM($AC$148:AC187)</f>
        <v>858.99999999999989</v>
      </c>
      <c r="AE187">
        <f t="shared" si="39"/>
        <v>727.14767123288004</v>
      </c>
      <c r="AF187">
        <f t="shared" si="40"/>
        <v>1.0014542953424657</v>
      </c>
      <c r="AG187" s="4">
        <f>(AF187/AF186-1)-中国_中债国债到期收益率_1年!H187%/252</f>
        <v>-1.4886038563679797E-4</v>
      </c>
      <c r="AH187" s="4">
        <f>MIN((AF187-MAX($AF$151:AF187))/MAX($AF$151:AF187),0)</f>
        <v>-2.2984608668869871E-3</v>
      </c>
    </row>
    <row r="188" spans="1:34" x14ac:dyDescent="0.25">
      <c r="A188" s="6">
        <v>44985</v>
      </c>
      <c r="B188">
        <v>50</v>
      </c>
      <c r="C188">
        <v>40</v>
      </c>
      <c r="F188">
        <f t="shared" si="37"/>
        <v>90</v>
      </c>
      <c r="G188">
        <f t="shared" si="45"/>
        <v>50</v>
      </c>
      <c r="H188">
        <f t="shared" si="46"/>
        <v>200</v>
      </c>
      <c r="I188">
        <f t="shared" si="41"/>
        <v>0</v>
      </c>
      <c r="J188">
        <f t="shared" si="42"/>
        <v>0</v>
      </c>
      <c r="K188">
        <f t="shared" si="38"/>
        <v>250</v>
      </c>
      <c r="L188">
        <f>G188*Return!B188*100</f>
        <v>-108.50000000000026</v>
      </c>
      <c r="M188">
        <f>H188*Return!C188*100</f>
        <v>-5.9999999999948983</v>
      </c>
      <c r="N188">
        <f>I188*Return!D188*100</f>
        <v>0</v>
      </c>
      <c r="O188">
        <f>J188*Return!E188*100</f>
        <v>0</v>
      </c>
      <c r="P188">
        <f t="shared" si="43"/>
        <v>-114.49999999999515</v>
      </c>
      <c r="Q188">
        <f>SUM($P$148:P188)</f>
        <v>-1477.6999999999914</v>
      </c>
      <c r="R188">
        <f>B188*中国_中债国债到期收益率_1年!B187/365*100</f>
        <v>31.732876712328768</v>
      </c>
      <c r="S188">
        <f>C188*中国_中债国债到期收益率_1年!C187/365*100</f>
        <v>30.025205479452051</v>
      </c>
      <c r="T188">
        <f>D188*中国_中债国债到期收益率_1年!D187/365*100</f>
        <v>0</v>
      </c>
      <c r="U188">
        <f>E188*中国_中债国债到期收益率_1年!E187/365*100</f>
        <v>0</v>
      </c>
      <c r="V188">
        <f t="shared" si="44"/>
        <v>61.758082191780815</v>
      </c>
      <c r="W188">
        <f>SUM($V$148:V188)</f>
        <v>1754.4284931506847</v>
      </c>
      <c r="X188">
        <f>MAX(F188-50,0)*中国_中债国债到期收益率_1年!H188*100/365</f>
        <v>31.232876712328768</v>
      </c>
      <c r="Y188">
        <f>SUM($X$148:X188)</f>
        <v>492.5556164383562</v>
      </c>
      <c r="Z188">
        <v>-20</v>
      </c>
      <c r="AB188">
        <f>Z188*Return!F192*100</f>
        <v>54.999999999999716</v>
      </c>
      <c r="AC188">
        <f>AA188*Return!G192*100</f>
        <v>0</v>
      </c>
      <c r="AD188">
        <f>SUM($AB$148:AB188)+SUM($AC$148:AC188)</f>
        <v>913.99999999999955</v>
      </c>
      <c r="AE188">
        <f t="shared" si="39"/>
        <v>698.17287671233669</v>
      </c>
      <c r="AF188">
        <f t="shared" si="40"/>
        <v>1.0013963457534247</v>
      </c>
      <c r="AG188" s="4">
        <f>(AF188/AF187-1)-中国_中债国债到期收益率_1年!H188%/252</f>
        <v>-1.709606737027229E-4</v>
      </c>
      <c r="AH188" s="4">
        <f>MIN((AF188-MAX($AF$151:AF188))/MAX($AF$151:AF188),0)</f>
        <v>-2.356193301055133E-3</v>
      </c>
    </row>
    <row r="189" spans="1:34" x14ac:dyDescent="0.25">
      <c r="A189" s="6">
        <v>44986</v>
      </c>
      <c r="B189">
        <v>50</v>
      </c>
      <c r="C189">
        <v>40</v>
      </c>
      <c r="F189">
        <f t="shared" si="37"/>
        <v>90</v>
      </c>
      <c r="G189">
        <f t="shared" si="45"/>
        <v>50</v>
      </c>
      <c r="H189">
        <f t="shared" si="46"/>
        <v>200</v>
      </c>
      <c r="I189">
        <f t="shared" si="41"/>
        <v>0</v>
      </c>
      <c r="J189">
        <f t="shared" si="42"/>
        <v>0</v>
      </c>
      <c r="K189">
        <f t="shared" si="38"/>
        <v>250</v>
      </c>
      <c r="L189">
        <f>G189*Return!B189*100</f>
        <v>-62.999999999999723</v>
      </c>
      <c r="M189">
        <f>H189*Return!C189*100</f>
        <v>47.999999999994714</v>
      </c>
      <c r="N189">
        <f>I189*Return!D189*100</f>
        <v>0</v>
      </c>
      <c r="O189">
        <f>J189*Return!E189*100</f>
        <v>0</v>
      </c>
      <c r="P189">
        <f t="shared" si="43"/>
        <v>-15.000000000005009</v>
      </c>
      <c r="Q189">
        <f>SUM($P$148:P189)</f>
        <v>-1492.6999999999964</v>
      </c>
      <c r="R189">
        <f>B189*中国_中债国债到期收益率_1年!B188/365*100</f>
        <v>31.905479452054792</v>
      </c>
      <c r="S189">
        <f>C189*中国_中债国债到期收益率_1年!C188/365*100</f>
        <v>29.998904109589041</v>
      </c>
      <c r="T189">
        <f>D189*中国_中债国债到期收益率_1年!D188/365*100</f>
        <v>0</v>
      </c>
      <c r="U189">
        <f>E189*中国_中债国债到期收益率_1年!E188/365*100</f>
        <v>0</v>
      </c>
      <c r="V189">
        <f t="shared" si="44"/>
        <v>61.904383561643833</v>
      </c>
      <c r="W189">
        <f>SUM($V$148:V189)</f>
        <v>1816.3328767123285</v>
      </c>
      <c r="X189">
        <f>MAX(F189-50,0)*中国_中债国债到期收益率_1年!H189*100/365</f>
        <v>23.232876712328771</v>
      </c>
      <c r="Y189">
        <f>SUM($X$148:X189)</f>
        <v>515.78849315068499</v>
      </c>
      <c r="Z189">
        <v>-20</v>
      </c>
      <c r="AB189">
        <f>Z189*Return!F193*100</f>
        <v>-74.600000000000222</v>
      </c>
      <c r="AC189">
        <f>AA189*Return!G193*100</f>
        <v>0</v>
      </c>
      <c r="AD189">
        <f>SUM($AB$148:AB189)+SUM($AC$148:AC189)</f>
        <v>839.39999999999941</v>
      </c>
      <c r="AE189">
        <f t="shared" si="39"/>
        <v>647.24438356164649</v>
      </c>
      <c r="AF189">
        <f t="shared" si="40"/>
        <v>1.0012944887671233</v>
      </c>
      <c r="AG189" s="4">
        <f>(AF189/AF188-1)-中国_中债国债到期收益率_1年!H189%/252</f>
        <v>-1.8584194118000704E-4</v>
      </c>
      <c r="AH189" s="4">
        <f>MIN((AF189-MAX($AF$151:AF189))/MAX($AF$151:AF189),0)</f>
        <v>-2.4576685980077519E-3</v>
      </c>
    </row>
    <row r="190" spans="1:34" x14ac:dyDescent="0.25">
      <c r="A190" s="6">
        <v>44987</v>
      </c>
      <c r="B190">
        <v>50</v>
      </c>
      <c r="C190">
        <v>40</v>
      </c>
      <c r="F190">
        <f t="shared" si="37"/>
        <v>90</v>
      </c>
      <c r="G190">
        <f t="shared" si="45"/>
        <v>50</v>
      </c>
      <c r="H190">
        <f t="shared" si="46"/>
        <v>200</v>
      </c>
      <c r="I190">
        <f t="shared" si="41"/>
        <v>0</v>
      </c>
      <c r="J190">
        <f t="shared" si="42"/>
        <v>0</v>
      </c>
      <c r="K190">
        <f t="shared" si="38"/>
        <v>250</v>
      </c>
      <c r="L190">
        <f>G190*Return!B190*100</f>
        <v>46.999999999999261</v>
      </c>
      <c r="M190">
        <f>H190*Return!C190*100</f>
        <v>40.000000000004476</v>
      </c>
      <c r="N190">
        <f>I190*Return!D190*100</f>
        <v>0</v>
      </c>
      <c r="O190">
        <f>J190*Return!E190*100</f>
        <v>0</v>
      </c>
      <c r="P190">
        <f t="shared" si="43"/>
        <v>87.000000000003737</v>
      </c>
      <c r="Q190">
        <f>SUM($P$148:P190)</f>
        <v>-1405.6999999999928</v>
      </c>
      <c r="R190">
        <f>B190*中国_中债国债到期收益率_1年!B189/365*100</f>
        <v>31.776712328767122</v>
      </c>
      <c r="S190">
        <f>C190*中国_中债国债到期收益率_1年!C189/365*100</f>
        <v>29.976986301369863</v>
      </c>
      <c r="T190">
        <f>D190*中国_中债国债到期收益率_1年!D189/365*100</f>
        <v>0</v>
      </c>
      <c r="U190">
        <f>E190*中国_中债国债到期收益率_1年!E189/365*100</f>
        <v>0</v>
      </c>
      <c r="V190">
        <f t="shared" si="44"/>
        <v>61.753698630136981</v>
      </c>
      <c r="W190">
        <f>SUM($V$148:V190)</f>
        <v>1878.0865753424655</v>
      </c>
      <c r="X190">
        <f>MAX(F190-50,0)*中国_中债国债到期收益率_1年!H190*100/365</f>
        <v>24.109589041095891</v>
      </c>
      <c r="Y190">
        <f>SUM($X$148:X190)</f>
        <v>539.89808219178087</v>
      </c>
      <c r="Z190">
        <v>-20</v>
      </c>
      <c r="AB190">
        <f>Z190*Return!F194*100</f>
        <v>-2.7999999999996916</v>
      </c>
      <c r="AC190">
        <f>AA190*Return!G194*100</f>
        <v>0</v>
      </c>
      <c r="AD190">
        <f>SUM($AB$148:AB190)+SUM($AC$148:AC190)</f>
        <v>836.59999999999968</v>
      </c>
      <c r="AE190">
        <f t="shared" si="39"/>
        <v>769.08849315069153</v>
      </c>
      <c r="AF190">
        <f t="shared" si="40"/>
        <v>1.0015381769863014</v>
      </c>
      <c r="AG190" s="4">
        <f>(AF190/AF189-1)-中国_中债国债到期收益率_1年!H190%/252</f>
        <v>1.5607158803481591E-4</v>
      </c>
      <c r="AH190" s="4">
        <f>MIN((AF190-MAX($AF$151:AF190))/MAX($AF$151:AF190),0)</f>
        <v>-2.2148935532819818E-3</v>
      </c>
    </row>
    <row r="191" spans="1:34" x14ac:dyDescent="0.25">
      <c r="A191" s="6">
        <v>44988</v>
      </c>
      <c r="B191">
        <v>50</v>
      </c>
      <c r="C191">
        <v>40</v>
      </c>
      <c r="F191">
        <f t="shared" si="37"/>
        <v>90</v>
      </c>
      <c r="G191">
        <f t="shared" si="45"/>
        <v>50</v>
      </c>
      <c r="H191">
        <f t="shared" si="46"/>
        <v>200</v>
      </c>
      <c r="I191">
        <f t="shared" si="41"/>
        <v>0</v>
      </c>
      <c r="J191">
        <f t="shared" si="42"/>
        <v>0</v>
      </c>
      <c r="K191">
        <f t="shared" si="38"/>
        <v>250</v>
      </c>
      <c r="L191">
        <f>G191*Return!B191*100</f>
        <v>-24.999999999999467</v>
      </c>
      <c r="M191">
        <f>H191*Return!C191*100</f>
        <v>-318.00000000000495</v>
      </c>
      <c r="N191">
        <f>I191*Return!D191*100</f>
        <v>0</v>
      </c>
      <c r="O191">
        <f>J191*Return!E191*100</f>
        <v>0</v>
      </c>
      <c r="P191">
        <f t="shared" si="43"/>
        <v>-343.00000000000443</v>
      </c>
      <c r="Q191">
        <f>SUM($P$148:P191)</f>
        <v>-1748.6999999999971</v>
      </c>
      <c r="R191">
        <f>B191*中国_中债国债到期收益率_1年!B190/365*100</f>
        <v>31.845205479452055</v>
      </c>
      <c r="S191">
        <f>C191*中国_中债国债到期收益率_1年!C190/365*100</f>
        <v>30.151232876712331</v>
      </c>
      <c r="T191">
        <f>D191*中国_中债国债到期收益率_1年!D190/365*100</f>
        <v>0</v>
      </c>
      <c r="U191">
        <f>E191*中国_中债国债到期收益率_1年!E190/365*100</f>
        <v>0</v>
      </c>
      <c r="V191">
        <f t="shared" si="44"/>
        <v>61.99643835616439</v>
      </c>
      <c r="W191">
        <f>SUM($V$148:V191)</f>
        <v>1940.0830136986299</v>
      </c>
      <c r="X191">
        <f>MAX(F191-50,0)*中国_中债国债到期收益率_1年!H191*100/365</f>
        <v>21.917808219178081</v>
      </c>
      <c r="Y191">
        <f>SUM($X$148:X191)</f>
        <v>561.8158904109589</v>
      </c>
      <c r="Z191">
        <v>20</v>
      </c>
      <c r="AB191">
        <f>Z191*Return!F195*100</f>
        <v>-7.8000000000004732</v>
      </c>
      <c r="AC191">
        <f>AA191*Return!G195*100</f>
        <v>0</v>
      </c>
      <c r="AD191">
        <f>SUM($AB$148:AB191)+SUM($AC$148:AC191)</f>
        <v>828.79999999999927</v>
      </c>
      <c r="AE191">
        <f t="shared" si="39"/>
        <v>458.36712328767317</v>
      </c>
      <c r="AF191">
        <f t="shared" si="40"/>
        <v>1.0009167342465755</v>
      </c>
      <c r="AG191" s="4">
        <f>(AF191/AF190-1)-中国_中债国债到期收益率_1年!H191%/252</f>
        <v>-6.9985339823870369E-4</v>
      </c>
      <c r="AH191" s="4">
        <f>MIN((AF191-MAX($AF$151:AF191))/MAX($AF$151:AF191),0)</f>
        <v>-2.8340075565782361E-3</v>
      </c>
    </row>
    <row r="192" spans="1:34" x14ac:dyDescent="0.25">
      <c r="A192" s="6">
        <v>44991</v>
      </c>
      <c r="B192">
        <v>50</v>
      </c>
      <c r="C192">
        <v>40</v>
      </c>
      <c r="F192">
        <f t="shared" si="37"/>
        <v>90</v>
      </c>
      <c r="G192">
        <f t="shared" si="45"/>
        <v>50</v>
      </c>
      <c r="H192">
        <f t="shared" si="46"/>
        <v>200</v>
      </c>
      <c r="I192">
        <f t="shared" si="41"/>
        <v>0</v>
      </c>
      <c r="J192">
        <f t="shared" si="42"/>
        <v>0</v>
      </c>
      <c r="K192">
        <f t="shared" si="38"/>
        <v>250</v>
      </c>
      <c r="L192">
        <f>G192*Return!B192*100</f>
        <v>8.5000000000001741</v>
      </c>
      <c r="M192">
        <f>H192*Return!C192*100</f>
        <v>251.99999999999889</v>
      </c>
      <c r="N192">
        <f>I192*Return!D192*100</f>
        <v>0</v>
      </c>
      <c r="O192">
        <f>J192*Return!E192*100</f>
        <v>0</v>
      </c>
      <c r="P192">
        <f t="shared" si="43"/>
        <v>260.49999999999909</v>
      </c>
      <c r="Q192">
        <f>SUM($P$148:P192)</f>
        <v>-1488.199999999998</v>
      </c>
      <c r="R192">
        <f>B192*中国_中债国债到期收益率_1年!B191/365*100</f>
        <v>31.821917808219176</v>
      </c>
      <c r="S192">
        <f>C192*中国_中债国债到期收益率_1年!C191/365*100</f>
        <v>30.013150684931507</v>
      </c>
      <c r="T192">
        <f>D192*中国_中债国债到期收益率_1年!D191/365*100</f>
        <v>0</v>
      </c>
      <c r="U192">
        <f>E192*中国_中债国债到期收益率_1年!E191/365*100</f>
        <v>0</v>
      </c>
      <c r="V192">
        <f t="shared" si="44"/>
        <v>61.835068493150686</v>
      </c>
      <c r="W192">
        <f>SUM($V$148:V192)</f>
        <v>2001.9180821917805</v>
      </c>
      <c r="X192">
        <f>MAX(F192-50,0)*中国_中债国债到期收益率_1年!H192*100/365</f>
        <v>21.917808219178081</v>
      </c>
      <c r="Y192">
        <f>SUM($X$148:X192)</f>
        <v>583.73369863013693</v>
      </c>
      <c r="Z192">
        <v>20</v>
      </c>
      <c r="AB192">
        <f>Z192*Return!F196*100</f>
        <v>-2.5999999999992696</v>
      </c>
      <c r="AC192">
        <f>AA192*Return!G196*100</f>
        <v>0</v>
      </c>
      <c r="AD192">
        <f>SUM($AB$148:AB192)+SUM($AC$148:AC192)</f>
        <v>826.2</v>
      </c>
      <c r="AE192">
        <f t="shared" si="39"/>
        <v>756.18438356164563</v>
      </c>
      <c r="AF192">
        <f t="shared" si="40"/>
        <v>1.0015123687671232</v>
      </c>
      <c r="AG192" s="4">
        <f>(AF192/AF191-1)-中国_中债国债到期收益率_1年!H192%/252</f>
        <v>5.1572390273295604E-4</v>
      </c>
      <c r="AH192" s="4">
        <f>MIN((AF192-MAX($AF$151:AF192))/MAX($AF$151:AF192),0)</f>
        <v>-2.2406050611522045E-3</v>
      </c>
    </row>
    <row r="193" spans="1:34" x14ac:dyDescent="0.25">
      <c r="A193" s="6">
        <v>44992</v>
      </c>
      <c r="B193">
        <v>50</v>
      </c>
      <c r="C193">
        <v>40</v>
      </c>
      <c r="F193">
        <f t="shared" si="37"/>
        <v>90</v>
      </c>
      <c r="G193">
        <f t="shared" si="45"/>
        <v>50</v>
      </c>
      <c r="H193">
        <f t="shared" si="46"/>
        <v>200</v>
      </c>
      <c r="I193">
        <f t="shared" si="41"/>
        <v>0</v>
      </c>
      <c r="J193">
        <f t="shared" si="42"/>
        <v>0</v>
      </c>
      <c r="K193">
        <f t="shared" si="38"/>
        <v>250</v>
      </c>
      <c r="L193">
        <f>G193*Return!B193*100</f>
        <v>137.49999999999929</v>
      </c>
      <c r="M193">
        <f>H193*Return!C193*100</f>
        <v>546.00000000000648</v>
      </c>
      <c r="N193">
        <f>I193*Return!D193*100</f>
        <v>0</v>
      </c>
      <c r="O193">
        <f>J193*Return!E193*100</f>
        <v>0</v>
      </c>
      <c r="P193">
        <f t="shared" si="43"/>
        <v>683.5000000000058</v>
      </c>
      <c r="Q193">
        <f>SUM($P$148:P193)</f>
        <v>-804.6999999999922</v>
      </c>
      <c r="R193">
        <f>B193*中国_中债国债到期收益率_1年!B192/365*100</f>
        <v>31.445205479452053</v>
      </c>
      <c r="S193">
        <f>C193*中国_中债国债到期收益率_1年!C192/365*100</f>
        <v>29.713972602739723</v>
      </c>
      <c r="T193">
        <f>D193*中国_中债国债到期收益率_1年!D192/365*100</f>
        <v>0</v>
      </c>
      <c r="U193">
        <f>E193*中国_中债国债到期收益率_1年!E192/365*100</f>
        <v>0</v>
      </c>
      <c r="V193">
        <f t="shared" si="44"/>
        <v>61.159178082191772</v>
      </c>
      <c r="W193">
        <f>SUM($V$148:V193)</f>
        <v>2063.0772602739721</v>
      </c>
      <c r="X193">
        <f>MAX(F193-50,0)*中国_中债国债到期收益率_1年!H193*100/365</f>
        <v>21.917808219178081</v>
      </c>
      <c r="Y193">
        <f>SUM($X$148:X193)</f>
        <v>605.65150684931496</v>
      </c>
      <c r="Z193">
        <v>20</v>
      </c>
      <c r="AB193">
        <f>Z193*Return!F197*100</f>
        <v>33.39999999999943</v>
      </c>
      <c r="AC193">
        <f>AA193*Return!G197*100</f>
        <v>0</v>
      </c>
      <c r="AD193">
        <f>SUM($AB$148:AB193)+SUM($AC$148:AC193)</f>
        <v>859.59999999999945</v>
      </c>
      <c r="AE193">
        <f t="shared" si="39"/>
        <v>1512.3257534246645</v>
      </c>
      <c r="AF193">
        <f t="shared" si="40"/>
        <v>1.0030246515068493</v>
      </c>
      <c r="AG193" s="4">
        <f>(AF193/AF192-1)-中国_中债国债到期收益率_1年!H193%/252</f>
        <v>1.4306339849377457E-3</v>
      </c>
      <c r="AH193" s="4">
        <f>MIN((AF193-MAX($AF$151:AF193))/MAX($AF$151:AF193),0)</f>
        <v>-7.339893083952194E-4</v>
      </c>
    </row>
    <row r="194" spans="1:34" x14ac:dyDescent="0.25">
      <c r="A194" s="6">
        <v>44993</v>
      </c>
      <c r="B194">
        <v>50</v>
      </c>
      <c r="C194">
        <v>40</v>
      </c>
      <c r="F194">
        <f t="shared" si="37"/>
        <v>90</v>
      </c>
      <c r="G194">
        <f t="shared" si="45"/>
        <v>50</v>
      </c>
      <c r="H194">
        <f t="shared" si="46"/>
        <v>200</v>
      </c>
      <c r="I194">
        <f t="shared" si="41"/>
        <v>0</v>
      </c>
      <c r="J194">
        <f t="shared" si="42"/>
        <v>0</v>
      </c>
      <c r="K194">
        <f t="shared" si="38"/>
        <v>250</v>
      </c>
      <c r="L194">
        <f>G194*Return!B194*100</f>
        <v>37.500000000001421</v>
      </c>
      <c r="M194">
        <f>H194*Return!C194*100</f>
        <v>199.99999999999574</v>
      </c>
      <c r="N194">
        <f>I194*Return!D194*100</f>
        <v>0</v>
      </c>
      <c r="O194">
        <f>J194*Return!E194*100</f>
        <v>0</v>
      </c>
      <c r="P194">
        <f t="shared" si="43"/>
        <v>237.49999999999716</v>
      </c>
      <c r="Q194">
        <f>SUM($P$148:P194)</f>
        <v>-567.19999999999504</v>
      </c>
      <c r="R194">
        <f>B194*中国_中债国债到期收益率_1年!B193/365*100</f>
        <v>31.342465753424655</v>
      </c>
      <c r="S194">
        <f>C194*中国_中债国债到期收益率_1年!C193/365*100</f>
        <v>29.604383561643832</v>
      </c>
      <c r="T194">
        <f>D194*中国_中债国债到期收益率_1年!D193/365*100</f>
        <v>0</v>
      </c>
      <c r="U194">
        <f>E194*中国_中债国债到期收益率_1年!E193/365*100</f>
        <v>0</v>
      </c>
      <c r="V194">
        <f t="shared" si="44"/>
        <v>60.946849315068491</v>
      </c>
      <c r="W194">
        <f>SUM($V$148:V194)</f>
        <v>2124.0241095890406</v>
      </c>
      <c r="X194">
        <f>MAX(F194-50,0)*中国_中债国债到期收益率_1年!H194*100/365</f>
        <v>21.917808219178081</v>
      </c>
      <c r="Y194">
        <f>SUM($X$148:X194)</f>
        <v>627.56931506849298</v>
      </c>
      <c r="Z194">
        <v>20</v>
      </c>
      <c r="AB194">
        <f>Z194*Return!F198*100</f>
        <v>1.000000000000334</v>
      </c>
      <c r="AC194">
        <f>AA194*Return!G198*100</f>
        <v>0</v>
      </c>
      <c r="AD194">
        <f>SUM($AB$148:AB194)+SUM($AC$148:AC194)</f>
        <v>860.59999999999968</v>
      </c>
      <c r="AE194">
        <f t="shared" si="39"/>
        <v>1789.8547945205523</v>
      </c>
      <c r="AF194">
        <f t="shared" si="40"/>
        <v>1.0035797095890411</v>
      </c>
      <c r="AG194" s="4">
        <f>(AF194/AF193-1)-中国_中债国债到期收益率_1年!H194%/252</f>
        <v>4.7401920820737658E-4</v>
      </c>
      <c r="AH194" s="4">
        <f>MIN((AF194-MAX($AF$151:AF194))/MAX($AF$151:AF194),0)</f>
        <v>-1.810111989731984E-4</v>
      </c>
    </row>
    <row r="195" spans="1:34" x14ac:dyDescent="0.25">
      <c r="A195" s="6">
        <v>44994</v>
      </c>
      <c r="B195">
        <v>50</v>
      </c>
      <c r="C195">
        <v>40</v>
      </c>
      <c r="F195">
        <f t="shared" ref="F195:F258" si="47">SUM(B195:E195)</f>
        <v>90</v>
      </c>
      <c r="G195">
        <f t="shared" si="45"/>
        <v>50</v>
      </c>
      <c r="H195">
        <f t="shared" si="46"/>
        <v>200</v>
      </c>
      <c r="I195">
        <f t="shared" si="41"/>
        <v>0</v>
      </c>
      <c r="J195">
        <f t="shared" si="42"/>
        <v>0</v>
      </c>
      <c r="K195">
        <f t="shared" ref="K195:K258" si="48">SUM(G195:J195)</f>
        <v>250</v>
      </c>
      <c r="L195">
        <f>G195*Return!B195*100</f>
        <v>74.999999999998408</v>
      </c>
      <c r="M195">
        <f>H195*Return!C195*100</f>
        <v>-217.99999999999818</v>
      </c>
      <c r="N195">
        <f>I195*Return!D195*100</f>
        <v>0</v>
      </c>
      <c r="O195">
        <f>J195*Return!E195*100</f>
        <v>0</v>
      </c>
      <c r="P195">
        <f t="shared" si="43"/>
        <v>-142.99999999999977</v>
      </c>
      <c r="Q195">
        <f>SUM($P$148:P195)</f>
        <v>-710.19999999999482</v>
      </c>
      <c r="R195">
        <f>B195*中国_中债国债到期收益率_1年!B194/365*100</f>
        <v>31.136986301369863</v>
      </c>
      <c r="S195">
        <f>C195*中国_中债国债到期收益率_1年!C194/365*100</f>
        <v>29.723835616438354</v>
      </c>
      <c r="T195">
        <f>D195*中国_中债国债到期收益率_1年!D194/365*100</f>
        <v>0</v>
      </c>
      <c r="U195">
        <f>E195*中国_中债国债到期收益率_1年!E194/365*100</f>
        <v>0</v>
      </c>
      <c r="V195">
        <f t="shared" si="44"/>
        <v>60.860821917808217</v>
      </c>
      <c r="W195">
        <f>SUM($V$148:V195)</f>
        <v>2184.8849315068487</v>
      </c>
      <c r="X195">
        <f>MAX(F195-50,0)*中国_中债国债到期收益率_1年!H195*100/365</f>
        <v>23.013698630136986</v>
      </c>
      <c r="Y195">
        <f>SUM($X$148:X195)</f>
        <v>650.58301369863</v>
      </c>
      <c r="Z195">
        <v>20</v>
      </c>
      <c r="AB195">
        <f>Z195*Return!F199*100</f>
        <v>11.400000000000077</v>
      </c>
      <c r="AC195">
        <f>AA195*Return!G199*100</f>
        <v>0</v>
      </c>
      <c r="AD195">
        <f>SUM($AB$148:AB195)+SUM($AC$148:AC195)</f>
        <v>871.99999999999977</v>
      </c>
      <c r="AE195">
        <f t="shared" si="39"/>
        <v>1696.1019178082238</v>
      </c>
      <c r="AF195">
        <f t="shared" si="40"/>
        <v>1.0033922038356164</v>
      </c>
      <c r="AG195" s="4">
        <f>(AF195/AF194-1)-中国_中债国债到期收益率_1年!H195%/252</f>
        <v>-2.7017026480281403E-4</v>
      </c>
      <c r="AH195" s="4">
        <f>MIN((AF195-MAX($AF$151:AF195))/MAX($AF$151:AF195),0)</f>
        <v>-3.6781431086568508E-4</v>
      </c>
    </row>
    <row r="196" spans="1:34" x14ac:dyDescent="0.25">
      <c r="A196" s="6">
        <v>44995</v>
      </c>
      <c r="B196">
        <v>50</v>
      </c>
      <c r="C196">
        <v>40</v>
      </c>
      <c r="F196">
        <f t="shared" si="47"/>
        <v>90</v>
      </c>
      <c r="G196">
        <f t="shared" si="45"/>
        <v>50</v>
      </c>
      <c r="H196">
        <f t="shared" si="46"/>
        <v>200</v>
      </c>
      <c r="I196">
        <f t="shared" si="41"/>
        <v>0</v>
      </c>
      <c r="J196">
        <f t="shared" si="42"/>
        <v>0</v>
      </c>
      <c r="K196">
        <f t="shared" si="48"/>
        <v>250</v>
      </c>
      <c r="L196">
        <f>G196*Return!B196*100</f>
        <v>0</v>
      </c>
      <c r="M196">
        <f>H196*Return!C196*100</f>
        <v>191.99999999999662</v>
      </c>
      <c r="N196">
        <f>I196*Return!D196*100</f>
        <v>0</v>
      </c>
      <c r="O196">
        <f>J196*Return!E196*100</f>
        <v>0</v>
      </c>
      <c r="P196">
        <f t="shared" si="43"/>
        <v>191.99999999999662</v>
      </c>
      <c r="Q196">
        <f>SUM($P$148:P196)</f>
        <v>-518.19999999999823</v>
      </c>
      <c r="R196">
        <f>B196*中国_中债国债到期收益率_1年!B195/365*100</f>
        <v>31.136986301369863</v>
      </c>
      <c r="S196">
        <f>C196*中国_中债国债到期收益率_1年!C195/365*100</f>
        <v>29.618630136986301</v>
      </c>
      <c r="T196">
        <f>D196*中国_中债国债到期收益率_1年!D195/365*100</f>
        <v>0</v>
      </c>
      <c r="U196">
        <f>E196*中国_中债国债到期收益率_1年!E195/365*100</f>
        <v>0</v>
      </c>
      <c r="V196">
        <f t="shared" si="44"/>
        <v>60.755616438356164</v>
      </c>
      <c r="W196">
        <f>SUM($V$148:V196)</f>
        <v>2245.6405479452051</v>
      </c>
      <c r="X196">
        <f>MAX(F196-50,0)*中国_中债国债到期收益率_1年!H196*100/365</f>
        <v>23.013698630136986</v>
      </c>
      <c r="Y196">
        <f>SUM($X$148:X196)</f>
        <v>673.59671232876701</v>
      </c>
      <c r="Z196">
        <v>20</v>
      </c>
      <c r="AB196">
        <f>Z196*Return!F200*100</f>
        <v>-41.599999999999859</v>
      </c>
      <c r="AC196">
        <f>AA196*Return!G200*100</f>
        <v>0</v>
      </c>
      <c r="AD196">
        <f>SUM($AB$148:AB196)+SUM($AC$148:AC196)</f>
        <v>830.4</v>
      </c>
      <c r="AE196">
        <f t="shared" ref="AE196:AE259" si="49">Q196+W196+AD196-Y196</f>
        <v>1884.2438356164398</v>
      </c>
      <c r="AF196">
        <f t="shared" ref="AF196:AF259" si="50">AE196/$AI$1+1</f>
        <v>1.0037684876712329</v>
      </c>
      <c r="AG196" s="4">
        <f>(AF196/AF195-1)-中国_中债国债到期收益率_1年!H196%/252</f>
        <v>2.9167838609011254E-4</v>
      </c>
      <c r="AH196" s="4">
        <f>MIN((AF196-MAX($AF$151:AF196))/MAX($AF$151:AF196),0)</f>
        <v>0</v>
      </c>
    </row>
    <row r="197" spans="1:34" x14ac:dyDescent="0.25">
      <c r="A197" s="6">
        <v>44998</v>
      </c>
      <c r="B197">
        <v>50</v>
      </c>
      <c r="C197">
        <v>40</v>
      </c>
      <c r="F197">
        <f t="shared" si="47"/>
        <v>90</v>
      </c>
      <c r="G197">
        <f t="shared" si="45"/>
        <v>50</v>
      </c>
      <c r="H197">
        <f t="shared" si="46"/>
        <v>200</v>
      </c>
      <c r="I197">
        <f t="shared" si="41"/>
        <v>0</v>
      </c>
      <c r="J197">
        <f t="shared" si="42"/>
        <v>0</v>
      </c>
      <c r="K197">
        <f t="shared" si="48"/>
        <v>250</v>
      </c>
      <c r="L197">
        <f>G197*Return!B197*100</f>
        <v>50.000000000001151</v>
      </c>
      <c r="M197">
        <f>H197*Return!C197*100</f>
        <v>144.0000000000019</v>
      </c>
      <c r="N197">
        <f>I197*Return!D197*100</f>
        <v>0</v>
      </c>
      <c r="O197">
        <f>J197*Return!E197*100</f>
        <v>0</v>
      </c>
      <c r="P197">
        <f t="shared" si="43"/>
        <v>194.00000000000307</v>
      </c>
      <c r="Q197">
        <f>SUM($P$148:P197)</f>
        <v>-324.19999999999516</v>
      </c>
      <c r="R197">
        <f>B197*中国_中债国债到期收益率_1年!B196/365*100</f>
        <v>31</v>
      </c>
      <c r="S197">
        <f>C197*中国_中债国债到期收益率_1年!C196/365*100</f>
        <v>29.539726027397258</v>
      </c>
      <c r="T197">
        <f>D197*中国_中债国债到期收益率_1年!D196/365*100</f>
        <v>0</v>
      </c>
      <c r="U197">
        <f>E197*中国_中债国债到期收益率_1年!E196/365*100</f>
        <v>0</v>
      </c>
      <c r="V197">
        <f t="shared" si="44"/>
        <v>60.539726027397258</v>
      </c>
      <c r="W197">
        <f>SUM($V$148:V197)</f>
        <v>2306.1802739726022</v>
      </c>
      <c r="X197">
        <f>MAX(F197-50,0)*中国_中债国债到期收益率_1年!H197*100/365</f>
        <v>24.109589041095891</v>
      </c>
      <c r="Y197">
        <f>SUM($X$148:X197)</f>
        <v>697.7063013698629</v>
      </c>
      <c r="Z197">
        <v>20</v>
      </c>
      <c r="AB197">
        <f>Z197*Return!F201*100</f>
        <v>24.999999999999467</v>
      </c>
      <c r="AC197">
        <f>AA197*Return!G201*100</f>
        <v>0</v>
      </c>
      <c r="AD197">
        <f>SUM($AB$148:AB197)+SUM($AC$148:AC197)</f>
        <v>855.39999999999941</v>
      </c>
      <c r="AE197">
        <f t="shared" si="49"/>
        <v>2139.6739726027431</v>
      </c>
      <c r="AF197">
        <f t="shared" si="50"/>
        <v>1.0042793479452055</v>
      </c>
      <c r="AG197" s="4">
        <f>(AF197/AF196-1)-中国_中债国债到期收益率_1年!H197%/252</f>
        <v>4.2164074377087213E-4</v>
      </c>
      <c r="AH197" s="4">
        <f>MIN((AF197-MAX($AF$151:AF197))/MAX($AF$151:AF197),0)</f>
        <v>0</v>
      </c>
    </row>
    <row r="198" spans="1:34" x14ac:dyDescent="0.25">
      <c r="A198" s="6">
        <v>44999</v>
      </c>
      <c r="B198">
        <v>50</v>
      </c>
      <c r="C198">
        <v>40</v>
      </c>
      <c r="F198">
        <f t="shared" si="47"/>
        <v>90</v>
      </c>
      <c r="G198">
        <f t="shared" si="45"/>
        <v>50</v>
      </c>
      <c r="H198">
        <f t="shared" si="46"/>
        <v>200</v>
      </c>
      <c r="I198">
        <f t="shared" si="41"/>
        <v>0</v>
      </c>
      <c r="J198">
        <f t="shared" si="42"/>
        <v>0</v>
      </c>
      <c r="K198">
        <f t="shared" si="48"/>
        <v>250</v>
      </c>
      <c r="L198">
        <f>G198*Return!B198*100</f>
        <v>0</v>
      </c>
      <c r="M198">
        <f>H198*Return!C198*100</f>
        <v>-183.9999999999975</v>
      </c>
      <c r="N198">
        <f>I198*Return!D198*100</f>
        <v>0</v>
      </c>
      <c r="O198">
        <f>J198*Return!E198*100</f>
        <v>0</v>
      </c>
      <c r="P198">
        <f t="shared" si="43"/>
        <v>-183.9999999999975</v>
      </c>
      <c r="Q198">
        <f>SUM($P$148:P198)</f>
        <v>-508.19999999999266</v>
      </c>
      <c r="R198">
        <f>B198*中国_中债国债到期收益率_1年!B197/365*100</f>
        <v>31</v>
      </c>
      <c r="S198">
        <f>C198*中国_中债国债到期收益率_1年!C197/365*100</f>
        <v>29.640547945205476</v>
      </c>
      <c r="T198">
        <f>D198*中国_中债国债到期收益率_1年!D197/365*100</f>
        <v>0</v>
      </c>
      <c r="U198">
        <f>E198*中国_中债国债到期收益率_1年!E197/365*100</f>
        <v>0</v>
      </c>
      <c r="V198">
        <f t="shared" si="44"/>
        <v>60.640547945205476</v>
      </c>
      <c r="W198">
        <f>SUM($V$148:V198)</f>
        <v>2366.8208219178077</v>
      </c>
      <c r="X198">
        <f>MAX(F198-50,0)*中国_中债国债到期收益率_1年!H198*100/365</f>
        <v>24.109589041095891</v>
      </c>
      <c r="Y198">
        <f>SUM($X$148:X198)</f>
        <v>721.81589041095879</v>
      </c>
      <c r="Z198">
        <v>20</v>
      </c>
      <c r="AB198">
        <f>Z198*Return!F202*100</f>
        <v>22.400000000000198</v>
      </c>
      <c r="AC198">
        <f>AA198*Return!G202*100</f>
        <v>0</v>
      </c>
      <c r="AD198">
        <f>SUM($AB$148:AB198)+SUM($AC$148:AC198)</f>
        <v>877.79999999999973</v>
      </c>
      <c r="AE198">
        <f t="shared" si="49"/>
        <v>2014.6049315068562</v>
      </c>
      <c r="AF198">
        <f t="shared" si="50"/>
        <v>1.0040292098630137</v>
      </c>
      <c r="AG198" s="4">
        <f>(AF198/AF197-1)-中国_中债国债到期收益率_1年!H198%/252</f>
        <v>-3.3637380281965201E-4</v>
      </c>
      <c r="AH198" s="4">
        <f>MIN((AF198-MAX($AF$151:AF198))/MAX($AF$151:AF198),0)</f>
        <v>-2.4907221551807922E-4</v>
      </c>
    </row>
    <row r="199" spans="1:34" x14ac:dyDescent="0.25">
      <c r="A199" s="6">
        <v>45000</v>
      </c>
      <c r="B199">
        <v>50</v>
      </c>
      <c r="C199">
        <v>40</v>
      </c>
      <c r="F199">
        <f t="shared" si="47"/>
        <v>90</v>
      </c>
      <c r="G199">
        <f t="shared" si="45"/>
        <v>50</v>
      </c>
      <c r="H199">
        <f t="shared" si="46"/>
        <v>200</v>
      </c>
      <c r="I199">
        <f t="shared" si="41"/>
        <v>0</v>
      </c>
      <c r="J199">
        <f t="shared" si="42"/>
        <v>0</v>
      </c>
      <c r="K199">
        <f t="shared" si="48"/>
        <v>250</v>
      </c>
      <c r="L199">
        <f>G199*Return!B199*100</f>
        <v>-30.000000000001137</v>
      </c>
      <c r="M199">
        <f>H199*Return!C199*100</f>
        <v>157.99999999999591</v>
      </c>
      <c r="N199">
        <f>I199*Return!D199*100</f>
        <v>0</v>
      </c>
      <c r="O199">
        <f>J199*Return!E199*100</f>
        <v>0</v>
      </c>
      <c r="P199">
        <f t="shared" si="43"/>
        <v>127.99999999999477</v>
      </c>
      <c r="Q199">
        <f>SUM($P$148:P199)</f>
        <v>-380.19999999999789</v>
      </c>
      <c r="R199">
        <f>B199*中国_中债国债到期收益率_1年!B198/365*100</f>
        <v>31.082191780821915</v>
      </c>
      <c r="S199">
        <f>C199*中国_中债国债到期收益率_1年!C198/365*100</f>
        <v>29.553972602739726</v>
      </c>
      <c r="T199">
        <f>D199*中国_中债国债到期收益率_1年!D198/365*100</f>
        <v>0</v>
      </c>
      <c r="U199">
        <f>E199*中国_中债国债到期收益率_1年!E198/365*100</f>
        <v>0</v>
      </c>
      <c r="V199">
        <f t="shared" si="44"/>
        <v>60.636164383561642</v>
      </c>
      <c r="W199">
        <f>SUM($V$148:V199)</f>
        <v>2427.4569863013694</v>
      </c>
      <c r="X199">
        <f>MAX(F199-50,0)*中国_中债国债到期收益率_1年!H199*100/365</f>
        <v>24.657534246575342</v>
      </c>
      <c r="Y199">
        <f>SUM($X$148:X199)</f>
        <v>746.47342465753411</v>
      </c>
      <c r="Z199">
        <v>30</v>
      </c>
      <c r="AB199">
        <f>Z199*Return!F203*100</f>
        <v>168.29999999999944</v>
      </c>
      <c r="AC199">
        <f>AA199*Return!G203*100</f>
        <v>0</v>
      </c>
      <c r="AD199">
        <f>SUM($AB$148:AB199)+SUM($AC$148:AC199)</f>
        <v>1046.099999999999</v>
      </c>
      <c r="AE199">
        <f t="shared" si="49"/>
        <v>2346.8835616438364</v>
      </c>
      <c r="AF199">
        <f t="shared" si="50"/>
        <v>1.0046937671232876</v>
      </c>
      <c r="AG199" s="4">
        <f>(AF199/AF198-1)-中国_中债国债到期收益率_1年!H199%/252</f>
        <v>5.7260465080107817E-4</v>
      </c>
      <c r="AH199" s="4">
        <f>MIN((AF199-MAX($AF$151:AF199))/MAX($AF$151:AF199),0)</f>
        <v>0</v>
      </c>
    </row>
    <row r="200" spans="1:34" x14ac:dyDescent="0.25">
      <c r="A200" s="6">
        <v>45001</v>
      </c>
      <c r="B200">
        <v>50</v>
      </c>
      <c r="C200">
        <v>30</v>
      </c>
      <c r="F200">
        <f t="shared" si="47"/>
        <v>80</v>
      </c>
      <c r="G200">
        <f t="shared" si="45"/>
        <v>50</v>
      </c>
      <c r="H200">
        <f t="shared" si="46"/>
        <v>150</v>
      </c>
      <c r="I200">
        <f t="shared" si="41"/>
        <v>0</v>
      </c>
      <c r="J200">
        <f t="shared" si="42"/>
        <v>0</v>
      </c>
      <c r="K200">
        <f t="shared" si="48"/>
        <v>200</v>
      </c>
      <c r="L200">
        <f>G200*Return!B200*100</f>
        <v>-49.999999999998934</v>
      </c>
      <c r="M200">
        <f>H200*Return!C200*100</f>
        <v>-28.500000000000192</v>
      </c>
      <c r="N200">
        <f>I200*Return!D200*100</f>
        <v>0</v>
      </c>
      <c r="O200">
        <f>J200*Return!E200*100</f>
        <v>0</v>
      </c>
      <c r="P200">
        <f t="shared" si="43"/>
        <v>-78.499999999999119</v>
      </c>
      <c r="Q200">
        <f>SUM($P$148:P200)</f>
        <v>-458.69999999999698</v>
      </c>
      <c r="R200">
        <f>B200*中国_中债国债到期收益率_1年!B199/365*100</f>
        <v>31.219178082191778</v>
      </c>
      <c r="S200">
        <f>C200*中国_中债国债到期收益率_1年!C199/365*100</f>
        <v>22.181095890410958</v>
      </c>
      <c r="T200">
        <f>D200*中国_中债国债到期收益率_1年!D199/365*100</f>
        <v>0</v>
      </c>
      <c r="U200">
        <f>E200*中国_中债国债到期收益率_1年!E199/365*100</f>
        <v>0</v>
      </c>
      <c r="V200">
        <f t="shared" si="44"/>
        <v>53.400273972602733</v>
      </c>
      <c r="W200">
        <f>SUM($V$148:V200)</f>
        <v>2480.8572602739723</v>
      </c>
      <c r="X200">
        <f>MAX(F200-50,0)*中国_中债国债到期收益率_1年!H200*100/365</f>
        <v>18.904109589041095</v>
      </c>
      <c r="Y200">
        <f>SUM($X$148:X200)</f>
        <v>765.37753424657524</v>
      </c>
      <c r="Z200">
        <v>30</v>
      </c>
      <c r="AB200">
        <f>Z200*Return!F204*100</f>
        <v>-87.599999999999682</v>
      </c>
      <c r="AC200">
        <f>AA200*Return!G204*100</f>
        <v>0</v>
      </c>
      <c r="AD200">
        <f>SUM($AB$148:AB200)+SUM($AC$148:AC200)</f>
        <v>958.49999999999943</v>
      </c>
      <c r="AE200">
        <f t="shared" si="49"/>
        <v>2215.2797260273996</v>
      </c>
      <c r="AF200">
        <f t="shared" si="50"/>
        <v>1.0044305594520548</v>
      </c>
      <c r="AG200" s="4">
        <f>(AF200/AF199-1)-中国_中债国债到期收益率_1年!H200%/252</f>
        <v>-3.5324784874413628E-4</v>
      </c>
      <c r="AH200" s="4">
        <f>MIN((AF200-MAX($AF$151:AF200))/MAX($AF$151:AF200),0)</f>
        <v>-2.6197800747427197E-4</v>
      </c>
    </row>
    <row r="201" spans="1:34" x14ac:dyDescent="0.25">
      <c r="A201" s="6">
        <v>45002</v>
      </c>
      <c r="B201">
        <v>50</v>
      </c>
      <c r="C201">
        <v>30</v>
      </c>
      <c r="F201">
        <f t="shared" si="47"/>
        <v>80</v>
      </c>
      <c r="G201">
        <f t="shared" si="45"/>
        <v>50</v>
      </c>
      <c r="H201">
        <f t="shared" si="46"/>
        <v>150</v>
      </c>
      <c r="I201">
        <f t="shared" si="41"/>
        <v>0</v>
      </c>
      <c r="J201">
        <f t="shared" si="42"/>
        <v>0</v>
      </c>
      <c r="K201">
        <f t="shared" si="48"/>
        <v>200</v>
      </c>
      <c r="L201">
        <f>G201*Return!B201*100</f>
        <v>149.99999999999903</v>
      </c>
      <c r="M201">
        <f>H201*Return!C201*100</f>
        <v>222.00000000000219</v>
      </c>
      <c r="N201">
        <f>I201*Return!D201*100</f>
        <v>0</v>
      </c>
      <c r="O201">
        <f>J201*Return!E201*100</f>
        <v>0</v>
      </c>
      <c r="P201">
        <f t="shared" si="43"/>
        <v>372.00000000000125</v>
      </c>
      <c r="Q201">
        <f>SUM($P$148:P201)</f>
        <v>-86.699999999995725</v>
      </c>
      <c r="R201">
        <f>B201*中国_中债国债到期收益率_1年!B200/365*100</f>
        <v>30.80821917808219</v>
      </c>
      <c r="S201">
        <f>C201*中国_中债国债到期收益率_1年!C200/365*100</f>
        <v>22.059452054794519</v>
      </c>
      <c r="T201">
        <f>D201*中国_中债国债到期收益率_1年!D200/365*100</f>
        <v>0</v>
      </c>
      <c r="U201">
        <f>E201*中国_中债国债到期收益率_1年!E200/365*100</f>
        <v>0</v>
      </c>
      <c r="V201">
        <f t="shared" si="44"/>
        <v>52.86767123287671</v>
      </c>
      <c r="W201">
        <f>SUM($V$148:V201)</f>
        <v>2533.7249315068489</v>
      </c>
      <c r="X201">
        <f>MAX(F201-50,0)*中国_中债国债到期收益率_1年!H201*100/365</f>
        <v>18.904109589041095</v>
      </c>
      <c r="Y201">
        <f>SUM($X$148:X201)</f>
        <v>784.28164383561636</v>
      </c>
      <c r="Z201">
        <v>30</v>
      </c>
      <c r="AB201">
        <f>Z201*Return!F205*100</f>
        <v>-26.70000000000039</v>
      </c>
      <c r="AC201">
        <f>AA201*Return!G205*100</f>
        <v>0</v>
      </c>
      <c r="AD201">
        <f>SUM($AB$148:AB201)+SUM($AC$148:AC201)</f>
        <v>931.79999999999905</v>
      </c>
      <c r="AE201">
        <f t="shared" si="49"/>
        <v>2594.5432876712362</v>
      </c>
      <c r="AF201">
        <f t="shared" si="50"/>
        <v>1.0051890865753426</v>
      </c>
      <c r="AG201" s="4">
        <f>(AF201/AF200-1)-中国_中债国债到期收益率_1年!H201%/252</f>
        <v>6.6391140660204207E-4</v>
      </c>
      <c r="AH201" s="4">
        <f>MIN((AF201-MAX($AF$151:AF201))/MAX($AF$151:AF201),0)</f>
        <v>0</v>
      </c>
    </row>
    <row r="202" spans="1:34" x14ac:dyDescent="0.25">
      <c r="A202" s="6">
        <v>45005</v>
      </c>
      <c r="B202">
        <v>50</v>
      </c>
      <c r="C202">
        <v>30</v>
      </c>
      <c r="F202">
        <f t="shared" si="47"/>
        <v>80</v>
      </c>
      <c r="G202">
        <f t="shared" si="45"/>
        <v>50</v>
      </c>
      <c r="H202">
        <f t="shared" si="46"/>
        <v>150</v>
      </c>
      <c r="I202">
        <f t="shared" si="41"/>
        <v>0</v>
      </c>
      <c r="J202">
        <f t="shared" si="42"/>
        <v>0</v>
      </c>
      <c r="K202">
        <f t="shared" si="48"/>
        <v>200</v>
      </c>
      <c r="L202">
        <f>G202*Return!B202*100</f>
        <v>0</v>
      </c>
      <c r="M202">
        <f>H202*Return!C202*100</f>
        <v>-39.000000000002366</v>
      </c>
      <c r="N202">
        <f>I202*Return!D202*100</f>
        <v>0</v>
      </c>
      <c r="O202">
        <f>J202*Return!E202*100</f>
        <v>0</v>
      </c>
      <c r="P202">
        <f t="shared" si="43"/>
        <v>-39.000000000002366</v>
      </c>
      <c r="Q202">
        <f>SUM($P$148:P202)</f>
        <v>-125.69999999999808</v>
      </c>
      <c r="R202">
        <f>B202*中国_中债国债到期收益率_1年!B201/365*100</f>
        <v>30.80821917808219</v>
      </c>
      <c r="S202">
        <f>C202*中国_中债国债到期收益率_1年!C201/365*100</f>
        <v>22.080821917808219</v>
      </c>
      <c r="T202">
        <f>D202*中国_中债国债到期收益率_1年!D201/365*100</f>
        <v>0</v>
      </c>
      <c r="U202">
        <f>E202*中国_中债国债到期收益率_1年!E201/365*100</f>
        <v>0</v>
      </c>
      <c r="V202">
        <f t="shared" si="44"/>
        <v>52.889041095890406</v>
      </c>
      <c r="W202">
        <f>SUM($V$148:V202)</f>
        <v>2586.6139726027391</v>
      </c>
      <c r="X202">
        <f>MAX(F202-50,0)*中国_中债国债到期收益率_1年!H202*100/365</f>
        <v>18.493150684931507</v>
      </c>
      <c r="Y202">
        <f>SUM($X$148:X202)</f>
        <v>802.77479452054786</v>
      </c>
      <c r="Z202">
        <v>30</v>
      </c>
      <c r="AB202">
        <f>Z202*Return!F206*100</f>
        <v>37.500000000000533</v>
      </c>
      <c r="AC202">
        <f>AA202*Return!G206*100</f>
        <v>0</v>
      </c>
      <c r="AD202">
        <f>SUM($AB$148:AB202)+SUM($AC$148:AC202)</f>
        <v>969.2999999999995</v>
      </c>
      <c r="AE202">
        <f t="shared" si="49"/>
        <v>2627.4391780821929</v>
      </c>
      <c r="AF202">
        <f t="shared" si="50"/>
        <v>1.0052548783561643</v>
      </c>
      <c r="AG202" s="4">
        <f>(AF202/AF201-1)-中国_中债国债到期收益率_1年!H202%/252</f>
        <v>-2.383357030569831E-5</v>
      </c>
      <c r="AH202" s="4">
        <f>MIN((AF202-MAX($AF$151:AF202))/MAX($AF$151:AF202),0)</f>
        <v>0</v>
      </c>
    </row>
    <row r="203" spans="1:34" x14ac:dyDescent="0.25">
      <c r="A203" s="6">
        <v>45006</v>
      </c>
      <c r="B203">
        <v>50</v>
      </c>
      <c r="C203">
        <v>30</v>
      </c>
      <c r="F203">
        <f t="shared" si="47"/>
        <v>80</v>
      </c>
      <c r="G203">
        <f t="shared" si="45"/>
        <v>50</v>
      </c>
      <c r="H203">
        <f t="shared" si="46"/>
        <v>150</v>
      </c>
      <c r="I203">
        <f t="shared" si="41"/>
        <v>0</v>
      </c>
      <c r="J203">
        <f t="shared" si="42"/>
        <v>0</v>
      </c>
      <c r="K203">
        <f t="shared" si="48"/>
        <v>200</v>
      </c>
      <c r="L203">
        <f>G203*Return!B203*100</f>
        <v>75.000000000000625</v>
      </c>
      <c r="M203">
        <f>H203*Return!C203*100</f>
        <v>433.50000000000222</v>
      </c>
      <c r="N203">
        <f>I203*Return!D203*100</f>
        <v>0</v>
      </c>
      <c r="O203">
        <f>J203*Return!E203*100</f>
        <v>0</v>
      </c>
      <c r="P203">
        <f t="shared" si="43"/>
        <v>508.50000000000284</v>
      </c>
      <c r="Q203">
        <f>SUM($P$148:P203)</f>
        <v>382.80000000000473</v>
      </c>
      <c r="R203">
        <f>B203*中国_中债国债到期收益率_1年!B202/365*100</f>
        <v>30.602739726027401</v>
      </c>
      <c r="S203">
        <f>C203*中国_中债国债到期收益率_1年!C202/365*100</f>
        <v>21.843287671232876</v>
      </c>
      <c r="T203">
        <f>D203*中国_中债国债到期收益率_1年!D202/365*100</f>
        <v>0</v>
      </c>
      <c r="U203">
        <f>E203*中国_中债国债到期收益率_1年!E202/365*100</f>
        <v>0</v>
      </c>
      <c r="V203">
        <f t="shared" si="44"/>
        <v>52.446027397260281</v>
      </c>
      <c r="W203">
        <f>SUM($V$148:V203)</f>
        <v>2639.0599999999995</v>
      </c>
      <c r="X203">
        <f>MAX(F203-50,0)*中国_中债国债到期收益率_1年!H203*100/365</f>
        <v>19.315068493150687</v>
      </c>
      <c r="Y203">
        <f>SUM($X$148:X203)</f>
        <v>822.0898630136985</v>
      </c>
      <c r="Z203">
        <v>30</v>
      </c>
      <c r="AB203">
        <f>Z203*Return!F207*100</f>
        <v>-35.099999999999469</v>
      </c>
      <c r="AC203">
        <f>AA203*Return!G207*100</f>
        <v>0</v>
      </c>
      <c r="AD203">
        <f>SUM($AB$148:AB203)+SUM($AC$148:AC203)</f>
        <v>934.2</v>
      </c>
      <c r="AE203">
        <f t="shared" si="49"/>
        <v>3133.9701369863055</v>
      </c>
      <c r="AF203">
        <f t="shared" si="50"/>
        <v>1.0062679402739727</v>
      </c>
      <c r="AG203" s="4">
        <f>(AF203/AF202-1)-中国_中债国债到期收益率_1年!H203%/252</f>
        <v>9.1451226061036914E-4</v>
      </c>
      <c r="AH203" s="4">
        <f>MIN((AF203-MAX($AF$151:AF203))/MAX($AF$151:AF203),0)</f>
        <v>0</v>
      </c>
    </row>
    <row r="204" spans="1:34" x14ac:dyDescent="0.25">
      <c r="A204" s="6">
        <v>45007</v>
      </c>
      <c r="B204">
        <v>50</v>
      </c>
      <c r="C204">
        <v>30</v>
      </c>
      <c r="F204">
        <f t="shared" si="47"/>
        <v>80</v>
      </c>
      <c r="G204">
        <f t="shared" si="45"/>
        <v>50</v>
      </c>
      <c r="H204">
        <f t="shared" si="46"/>
        <v>150</v>
      </c>
      <c r="I204">
        <f t="shared" si="41"/>
        <v>0</v>
      </c>
      <c r="J204">
        <f t="shared" si="42"/>
        <v>0</v>
      </c>
      <c r="K204">
        <f t="shared" si="48"/>
        <v>200</v>
      </c>
      <c r="L204">
        <f>G204*Return!B204*100</f>
        <v>-75.000000000000625</v>
      </c>
      <c r="M204">
        <f>H204*Return!C204*100</f>
        <v>-337.49999999999949</v>
      </c>
      <c r="N204">
        <f>I204*Return!D204*100</f>
        <v>0</v>
      </c>
      <c r="O204">
        <f>J204*Return!E204*100</f>
        <v>0</v>
      </c>
      <c r="P204">
        <f t="shared" si="43"/>
        <v>-412.50000000000011</v>
      </c>
      <c r="Q204">
        <f>SUM($P$148:P204)</f>
        <v>-29.699999999995384</v>
      </c>
      <c r="R204">
        <f>B204*中国_中债国债到期收益率_1年!B203/365*100</f>
        <v>30.80821917808219</v>
      </c>
      <c r="S204">
        <f>C204*中国_中债国债到期收益率_1年!C203/365*100</f>
        <v>22.028219178082189</v>
      </c>
      <c r="T204">
        <f>D204*中国_中债国债到期收益率_1年!D203/365*100</f>
        <v>0</v>
      </c>
      <c r="U204">
        <f>E204*中国_中债国债到期收益率_1年!E203/365*100</f>
        <v>0</v>
      </c>
      <c r="V204">
        <f t="shared" si="44"/>
        <v>52.836438356164379</v>
      </c>
      <c r="W204">
        <f>SUM($V$148:V204)</f>
        <v>2691.8964383561638</v>
      </c>
      <c r="X204">
        <f>MAX(F204-50,0)*中国_中债国债到期收益率_1年!H204*100/365</f>
        <v>18.904109589041095</v>
      </c>
      <c r="Y204">
        <f>SUM($X$148:X204)</f>
        <v>840.99397260273963</v>
      </c>
      <c r="Z204">
        <v>30</v>
      </c>
      <c r="AB204">
        <f>Z204*Return!F208*100</f>
        <v>51.299999999999017</v>
      </c>
      <c r="AC204">
        <f>AA204*Return!G208*100</f>
        <v>0</v>
      </c>
      <c r="AD204">
        <f>SUM($AB$148:AB204)+SUM($AC$148:AC204)</f>
        <v>985.49999999999909</v>
      </c>
      <c r="AE204">
        <f t="shared" si="49"/>
        <v>2806.702465753428</v>
      </c>
      <c r="AF204">
        <f t="shared" si="50"/>
        <v>1.0056134049315069</v>
      </c>
      <c r="AG204" s="4">
        <f>(AF204/AF203-1)-中国_中债国债到期收益率_1年!H204%/252</f>
        <v>-7.4172814990647795E-4</v>
      </c>
      <c r="AH204" s="4">
        <f>MIN((AF204-MAX($AF$151:AF204))/MAX($AF$151:AF204),0)</f>
        <v>-6.5045830863660154E-4</v>
      </c>
    </row>
    <row r="205" spans="1:34" x14ac:dyDescent="0.25">
      <c r="A205" s="6">
        <v>45008</v>
      </c>
      <c r="B205">
        <v>50</v>
      </c>
      <c r="C205">
        <v>30</v>
      </c>
      <c r="F205">
        <f t="shared" si="47"/>
        <v>80</v>
      </c>
      <c r="G205">
        <f t="shared" si="45"/>
        <v>50</v>
      </c>
      <c r="H205">
        <f t="shared" si="46"/>
        <v>150</v>
      </c>
      <c r="I205">
        <f t="shared" si="41"/>
        <v>0</v>
      </c>
      <c r="J205">
        <f t="shared" si="42"/>
        <v>0</v>
      </c>
      <c r="K205">
        <f t="shared" si="48"/>
        <v>200</v>
      </c>
      <c r="L205">
        <f>G205*Return!B205*100</f>
        <v>-119.00000000000021</v>
      </c>
      <c r="M205">
        <f>H205*Return!C205*100</f>
        <v>-121.50000000000327</v>
      </c>
      <c r="N205">
        <f>I205*Return!D205*100</f>
        <v>0</v>
      </c>
      <c r="O205">
        <f>J205*Return!E205*100</f>
        <v>0</v>
      </c>
      <c r="P205">
        <f t="shared" si="43"/>
        <v>-240.50000000000347</v>
      </c>
      <c r="Q205">
        <f>SUM($P$148:P205)</f>
        <v>-270.19999999999885</v>
      </c>
      <c r="R205">
        <f>B205*中国_中债国债到期收益率_1年!B204/365*100</f>
        <v>31.134246575342473</v>
      </c>
      <c r="S205">
        <f>C205*中国_中债国债到期收益率_1年!C204/365*100</f>
        <v>22.094794520547943</v>
      </c>
      <c r="T205">
        <f>D205*中国_中债国债到期收益率_1年!D204/365*100</f>
        <v>0</v>
      </c>
      <c r="U205">
        <f>E205*中国_中债国债到期收益率_1年!E204/365*100</f>
        <v>0</v>
      </c>
      <c r="V205">
        <f t="shared" si="44"/>
        <v>53.229041095890416</v>
      </c>
      <c r="W205">
        <f>SUM($V$148:V205)</f>
        <v>2745.1254794520542</v>
      </c>
      <c r="X205">
        <f>MAX(F205-50,0)*中国_中债国债到期收益率_1年!H205*100/365</f>
        <v>18.082191780821919</v>
      </c>
      <c r="Y205">
        <f>SUM($X$148:X205)</f>
        <v>859.0761643835616</v>
      </c>
      <c r="Z205">
        <v>30</v>
      </c>
      <c r="AB205">
        <f>Z205*Return!F209*100</f>
        <v>-35.699999999999399</v>
      </c>
      <c r="AC205">
        <f>AA205*Return!G209*100</f>
        <v>0</v>
      </c>
      <c r="AD205">
        <f>SUM($AB$148:AB205)+SUM($AC$148:AC205)</f>
        <v>949.79999999999973</v>
      </c>
      <c r="AE205">
        <f t="shared" si="49"/>
        <v>2565.6493150684933</v>
      </c>
      <c r="AF205">
        <f t="shared" si="50"/>
        <v>1.0051312986301371</v>
      </c>
      <c r="AG205" s="4">
        <f>(AF205/AF204-1)-中国_中债国债到期收益率_1年!H205%/252</f>
        <v>-5.6671673730408073E-4</v>
      </c>
      <c r="AH205" s="4">
        <f>MIN((AF205-MAX($AF$151:AF205))/MAX($AF$151:AF205),0)</f>
        <v>-1.129561619071533E-3</v>
      </c>
    </row>
    <row r="206" spans="1:34" x14ac:dyDescent="0.25">
      <c r="A206" s="6">
        <v>45009</v>
      </c>
      <c r="B206">
        <v>50</v>
      </c>
      <c r="C206">
        <v>30</v>
      </c>
      <c r="F206">
        <f t="shared" si="47"/>
        <v>80</v>
      </c>
      <c r="G206">
        <f t="shared" si="45"/>
        <v>50</v>
      </c>
      <c r="H206">
        <f t="shared" si="46"/>
        <v>150</v>
      </c>
      <c r="I206">
        <f t="shared" si="41"/>
        <v>0</v>
      </c>
      <c r="J206">
        <f t="shared" si="42"/>
        <v>0</v>
      </c>
      <c r="K206">
        <f t="shared" si="48"/>
        <v>200</v>
      </c>
      <c r="L206">
        <f>G206*Return!B206*100</f>
        <v>25.000000000001688</v>
      </c>
      <c r="M206">
        <f>H206*Return!C206*100</f>
        <v>-86.999999999997073</v>
      </c>
      <c r="N206">
        <f>I206*Return!D206*100</f>
        <v>0</v>
      </c>
      <c r="O206">
        <f>J206*Return!E206*100</f>
        <v>0</v>
      </c>
      <c r="P206">
        <f t="shared" si="43"/>
        <v>-61.999999999995381</v>
      </c>
      <c r="Q206">
        <f>SUM($P$148:P206)</f>
        <v>-332.19999999999425</v>
      </c>
      <c r="R206">
        <f>B206*中国_中债国债到期收益率_1年!B205/365*100</f>
        <v>31.065753424657533</v>
      </c>
      <c r="S206">
        <f>C206*中国_中债国债到期收益率_1年!C205/365*100</f>
        <v>22.142465753424656</v>
      </c>
      <c r="T206">
        <f>D206*中国_中债国债到期收益率_1年!D205/365*100</f>
        <v>0</v>
      </c>
      <c r="U206">
        <f>E206*中国_中债国债到期收益率_1年!E205/365*100</f>
        <v>0</v>
      </c>
      <c r="V206">
        <f t="shared" si="44"/>
        <v>53.208219178082189</v>
      </c>
      <c r="W206">
        <f>SUM($V$148:V206)</f>
        <v>2798.3336986301365</v>
      </c>
      <c r="X206">
        <f>MAX(F206-50,0)*中国_中债国债到期收益率_1年!H206*100/365</f>
        <v>15.616438356164384</v>
      </c>
      <c r="Y206">
        <f>SUM($X$148:X206)</f>
        <v>874.692602739726</v>
      </c>
      <c r="Z206">
        <v>30</v>
      </c>
      <c r="AB206">
        <f>Z206*Return!F210*100</f>
        <v>11.099999999999444</v>
      </c>
      <c r="AC206">
        <f>AA206*Return!G210*100</f>
        <v>0</v>
      </c>
      <c r="AD206">
        <f>SUM($AB$148:AB206)+SUM($AC$148:AC206)</f>
        <v>960.89999999999918</v>
      </c>
      <c r="AE206">
        <f t="shared" si="49"/>
        <v>2552.3410958904151</v>
      </c>
      <c r="AF206">
        <f t="shared" si="50"/>
        <v>1.0051046821917808</v>
      </c>
      <c r="AG206" s="4">
        <f>(AF206/AF205-1)-中国_中债国债到期收益率_1年!H206%/252</f>
        <v>-1.0187738409840579E-4</v>
      </c>
      <c r="AH206" s="4">
        <f>MIN((AF206-MAX($AF$151:AF206))/MAX($AF$151:AF206),0)</f>
        <v>-1.1560122663504006E-3</v>
      </c>
    </row>
    <row r="207" spans="1:34" x14ac:dyDescent="0.25">
      <c r="A207" s="6">
        <v>45012</v>
      </c>
      <c r="B207">
        <v>50</v>
      </c>
      <c r="C207">
        <v>30</v>
      </c>
      <c r="F207">
        <f t="shared" si="47"/>
        <v>80</v>
      </c>
      <c r="G207">
        <f t="shared" si="45"/>
        <v>50</v>
      </c>
      <c r="H207">
        <f t="shared" si="46"/>
        <v>150</v>
      </c>
      <c r="I207">
        <f t="shared" si="41"/>
        <v>0</v>
      </c>
      <c r="J207">
        <f t="shared" si="42"/>
        <v>0</v>
      </c>
      <c r="K207">
        <f t="shared" si="48"/>
        <v>200</v>
      </c>
      <c r="L207">
        <f>G207*Return!B207*100</f>
        <v>-125.00000000000178</v>
      </c>
      <c r="M207">
        <f>H207*Return!C207*100</f>
        <v>-188.99999999999918</v>
      </c>
      <c r="N207">
        <f>I207*Return!D207*100</f>
        <v>0</v>
      </c>
      <c r="O207">
        <f>J207*Return!E207*100</f>
        <v>0</v>
      </c>
      <c r="P207">
        <f t="shared" si="43"/>
        <v>-314.00000000000097</v>
      </c>
      <c r="Q207">
        <f>SUM($P$148:P207)</f>
        <v>-646.19999999999527</v>
      </c>
      <c r="R207">
        <f>B207*中国_中债国债到期收益率_1年!B206/365*100</f>
        <v>31.408219178082199</v>
      </c>
      <c r="S207">
        <f>C207*中国_中债国债到期收益率_1年!C206/365*100</f>
        <v>22.246027397260274</v>
      </c>
      <c r="T207">
        <f>D207*中国_中债国债到期收益率_1年!D206/365*100</f>
        <v>0</v>
      </c>
      <c r="U207">
        <f>E207*中国_中债国债到期收益率_1年!E206/365*100</f>
        <v>0</v>
      </c>
      <c r="V207">
        <f t="shared" si="44"/>
        <v>53.654246575342469</v>
      </c>
      <c r="W207">
        <f>SUM($V$148:V207)</f>
        <v>2851.9879452054788</v>
      </c>
      <c r="X207">
        <f>MAX(F207-50,0)*中国_中债国债到期收益率_1年!H207*100/365</f>
        <v>23.424657534246574</v>
      </c>
      <c r="Y207">
        <f>SUM($X$148:X207)</f>
        <v>898.11726027397253</v>
      </c>
      <c r="Z207">
        <v>30</v>
      </c>
      <c r="AB207">
        <f>Z207*Return!F211*100</f>
        <v>25.199999999999889</v>
      </c>
      <c r="AC207">
        <f>AA207*Return!G211*100</f>
        <v>0</v>
      </c>
      <c r="AD207">
        <f>SUM($AB$148:AB207)+SUM($AC$148:AC207)</f>
        <v>986.099999999999</v>
      </c>
      <c r="AE207">
        <f t="shared" si="49"/>
        <v>2293.77068493151</v>
      </c>
      <c r="AF207">
        <f t="shared" si="50"/>
        <v>1.0045875413698631</v>
      </c>
      <c r="AG207" s="4">
        <f>(AF207/AF206-1)-中国_中债国债到期收益率_1年!H207%/252</f>
        <v>-6.2760962757159961E-4</v>
      </c>
      <c r="AH207" s="4">
        <f>MIN((AF207-MAX($AF$151:AF207))/MAX($AF$151:AF207),0)</f>
        <v>-1.66993187088136E-3</v>
      </c>
    </row>
    <row r="208" spans="1:34" x14ac:dyDescent="0.25">
      <c r="A208" s="6">
        <v>45013</v>
      </c>
      <c r="B208">
        <v>50</v>
      </c>
      <c r="C208">
        <v>30</v>
      </c>
      <c r="D208">
        <v>10</v>
      </c>
      <c r="E208">
        <v>5</v>
      </c>
      <c r="F208">
        <f t="shared" si="47"/>
        <v>95</v>
      </c>
      <c r="G208">
        <f t="shared" si="45"/>
        <v>50</v>
      </c>
      <c r="H208">
        <f t="shared" si="46"/>
        <v>150</v>
      </c>
      <c r="I208">
        <f t="shared" si="41"/>
        <v>90</v>
      </c>
      <c r="J208">
        <f t="shared" si="42"/>
        <v>80</v>
      </c>
      <c r="K208">
        <f t="shared" si="48"/>
        <v>370</v>
      </c>
      <c r="L208">
        <f>G208*Return!B208*100</f>
        <v>100.00000000000009</v>
      </c>
      <c r="M208">
        <f>H208*Return!C208*100</f>
        <v>215.99999999999619</v>
      </c>
      <c r="N208">
        <f>I208*Return!D208*100</f>
        <v>112.4999999999976</v>
      </c>
      <c r="O208">
        <f>J208*Return!E208*100</f>
        <v>79.999999999998295</v>
      </c>
      <c r="P208">
        <f t="shared" si="43"/>
        <v>508.49999999999216</v>
      </c>
      <c r="Q208">
        <f>SUM($P$148:P208)</f>
        <v>-137.70000000000312</v>
      </c>
      <c r="R208">
        <f>B208*中国_中债国债到期收益率_1年!B207/365*100</f>
        <v>31.134246575342473</v>
      </c>
      <c r="S208">
        <f>C208*中国_中债国债到期收益率_1年!C207/365*100</f>
        <v>22.127671232876715</v>
      </c>
      <c r="T208">
        <f>D208*中国_中债国债到期收益率_1年!D207/365*100</f>
        <v>7.8221917808219192</v>
      </c>
      <c r="U208">
        <f>E208*中国_中债国债到期收益率_1年!E207/365*100</f>
        <v>4.4272602739726032</v>
      </c>
      <c r="V208">
        <f t="shared" si="44"/>
        <v>65.511369863013712</v>
      </c>
      <c r="W208">
        <f>SUM($V$148:V208)</f>
        <v>2917.4993150684927</v>
      </c>
      <c r="X208">
        <f>MAX(F208-50,0)*中国_中债国债到期收益率_1年!H208*100/365</f>
        <v>44.38356164383562</v>
      </c>
      <c r="Y208">
        <f>SUM($X$148:X208)</f>
        <v>942.50082191780814</v>
      </c>
      <c r="Z208">
        <v>30</v>
      </c>
      <c r="AB208">
        <f>Z208*Return!F212*100</f>
        <v>32.400000000000432</v>
      </c>
      <c r="AC208">
        <f>AA208*Return!G212*100</f>
        <v>0</v>
      </c>
      <c r="AD208">
        <f>SUM($AB$148:AB208)+SUM($AC$148:AC208)</f>
        <v>1018.4999999999994</v>
      </c>
      <c r="AE208">
        <f t="shared" si="49"/>
        <v>2855.7984931506812</v>
      </c>
      <c r="AF208">
        <f t="shared" si="50"/>
        <v>1.0057115969863013</v>
      </c>
      <c r="AG208" s="4">
        <f>(AF208/AF207-1)-中国_中债国债到期收益率_1年!H208%/252</f>
        <v>9.7606537026248162E-4</v>
      </c>
      <c r="AH208" s="4">
        <f>MIN((AF208-MAX($AF$151:AF208))/MAX($AF$151:AF208),0)</f>
        <v>-5.5287788212742613E-4</v>
      </c>
    </row>
    <row r="209" spans="1:34" x14ac:dyDescent="0.25">
      <c r="A209" s="6">
        <v>45014</v>
      </c>
      <c r="B209">
        <v>50</v>
      </c>
      <c r="C209">
        <v>30</v>
      </c>
      <c r="D209">
        <v>10</v>
      </c>
      <c r="E209">
        <v>5</v>
      </c>
      <c r="F209">
        <f t="shared" si="47"/>
        <v>95</v>
      </c>
      <c r="G209">
        <f t="shared" si="45"/>
        <v>50</v>
      </c>
      <c r="H209">
        <f t="shared" si="46"/>
        <v>150</v>
      </c>
      <c r="I209">
        <f t="shared" si="41"/>
        <v>90</v>
      </c>
      <c r="J209">
        <f t="shared" si="42"/>
        <v>80</v>
      </c>
      <c r="K209">
        <f t="shared" si="48"/>
        <v>370</v>
      </c>
      <c r="L209">
        <f>G209*Return!B209*100</f>
        <v>-24.999999999999467</v>
      </c>
      <c r="M209">
        <f>H209*Return!C209*100</f>
        <v>-121.49999999999662</v>
      </c>
      <c r="N209">
        <f>I209*Return!D209*100</f>
        <v>-4.499999999997506</v>
      </c>
      <c r="O209">
        <f>J209*Return!E209*100</f>
        <v>0</v>
      </c>
      <c r="P209">
        <f t="shared" si="43"/>
        <v>-150.99999999999358</v>
      </c>
      <c r="Q209">
        <f>SUM($P$148:P209)</f>
        <v>-288.69999999999669</v>
      </c>
      <c r="R209">
        <f>B209*中国_中债国债到期收益率_1年!B208/365*100</f>
        <v>31.202739726027396</v>
      </c>
      <c r="S209">
        <f>C209*中国_中债国债到期收益率_1年!C208/365*100</f>
        <v>22.194246575342465</v>
      </c>
      <c r="T209">
        <f>D209*中国_中债国债到期收益率_1年!D208/365*100</f>
        <v>7.8235616438356148</v>
      </c>
      <c r="U209">
        <f>E209*中国_中债国债到期收益率_1年!E208/365*100</f>
        <v>4.4272602739726032</v>
      </c>
      <c r="V209">
        <f t="shared" si="44"/>
        <v>65.647808219178089</v>
      </c>
      <c r="W209">
        <f>SUM($V$148:V209)</f>
        <v>2983.1471232876706</v>
      </c>
      <c r="X209">
        <f>MAX(F209-50,0)*中国_中债国债到期收益率_1年!H209*100/365</f>
        <v>43.027397260273979</v>
      </c>
      <c r="Y209">
        <f>SUM($X$148:X209)</f>
        <v>985.52821917808217</v>
      </c>
      <c r="Z209">
        <v>30</v>
      </c>
      <c r="AB209">
        <f>Z209*Return!F213*100</f>
        <v>39.900000000000269</v>
      </c>
      <c r="AC209">
        <f>AA209*Return!G213*100</f>
        <v>0</v>
      </c>
      <c r="AD209">
        <f>SUM($AB$148:AB209)+SUM($AC$148:AC209)</f>
        <v>1058.3999999999996</v>
      </c>
      <c r="AE209">
        <f t="shared" si="49"/>
        <v>2767.3189041095916</v>
      </c>
      <c r="AF209">
        <f t="shared" si="50"/>
        <v>1.0055346378082193</v>
      </c>
      <c r="AG209" s="4">
        <f>(AF209/AF208-1)-中国_中债国债到期收益率_1年!H209%/252</f>
        <v>-3.1444626210355779E-4</v>
      </c>
      <c r="AH209" s="4">
        <f>MIN((AF209-MAX($AF$151:AF209))/MAX($AF$151:AF209),0)</f>
        <v>-7.2873479955425547E-4</v>
      </c>
    </row>
    <row r="210" spans="1:34" x14ac:dyDescent="0.25">
      <c r="A210" s="6">
        <v>45015</v>
      </c>
      <c r="B210">
        <v>50</v>
      </c>
      <c r="C210">
        <v>30</v>
      </c>
      <c r="D210">
        <v>10</v>
      </c>
      <c r="E210">
        <v>5</v>
      </c>
      <c r="F210">
        <f t="shared" si="47"/>
        <v>95</v>
      </c>
      <c r="G210">
        <f t="shared" si="45"/>
        <v>50</v>
      </c>
      <c r="H210">
        <f t="shared" si="46"/>
        <v>150</v>
      </c>
      <c r="I210">
        <f t="shared" si="41"/>
        <v>90</v>
      </c>
      <c r="J210">
        <f t="shared" si="42"/>
        <v>80</v>
      </c>
      <c r="K210">
        <f t="shared" si="48"/>
        <v>370</v>
      </c>
      <c r="L210">
        <f>G210*Return!B210*100</f>
        <v>12.499999999999734</v>
      </c>
      <c r="M210">
        <f>H210*Return!C210*100</f>
        <v>73.500000000001904</v>
      </c>
      <c r="N210">
        <f>I210*Return!D210*100</f>
        <v>21.599999999997621</v>
      </c>
      <c r="O210">
        <f>J210*Return!E210*100</f>
        <v>26.399999999998869</v>
      </c>
      <c r="P210">
        <f t="shared" si="43"/>
        <v>133.99999999999812</v>
      </c>
      <c r="Q210">
        <f>SUM($P$148:P210)</f>
        <v>-154.69999999999857</v>
      </c>
      <c r="R210">
        <f>B210*中国_中债国债到期收益率_1年!B209/365*100</f>
        <v>31.168493150684935</v>
      </c>
      <c r="S210">
        <f>C210*中国_中债国债到期收益率_1年!C209/365*100</f>
        <v>22.153972602739724</v>
      </c>
      <c r="T210">
        <f>D210*中国_中债国债到期收益率_1年!D209/365*100</f>
        <v>7.8169863013698642</v>
      </c>
      <c r="U210">
        <f>E210*中国_中债国债到期收益率_1年!E209/365*100</f>
        <v>4.4227397260273982</v>
      </c>
      <c r="V210">
        <f t="shared" si="44"/>
        <v>65.562191780821919</v>
      </c>
      <c r="W210">
        <f>SUM($V$148:V210)</f>
        <v>3048.7093150684927</v>
      </c>
      <c r="X210">
        <f>MAX(F210-50,0)*中国_中债国债到期收益率_1年!H210*100/365</f>
        <v>38.219178082191782</v>
      </c>
      <c r="Y210">
        <f>SUM($X$148:X210)</f>
        <v>1023.7473972602739</v>
      </c>
      <c r="Z210">
        <v>30</v>
      </c>
      <c r="AB210">
        <f>Z210*Return!F214*100</f>
        <v>-43.800000000000509</v>
      </c>
      <c r="AC210">
        <f>AA210*Return!G214*100</f>
        <v>0</v>
      </c>
      <c r="AD210">
        <f>SUM($AB$148:AB210)+SUM($AC$148:AC210)</f>
        <v>1014.5999999999992</v>
      </c>
      <c r="AE210">
        <f t="shared" si="49"/>
        <v>2884.8619178082199</v>
      </c>
      <c r="AF210">
        <f t="shared" si="50"/>
        <v>1.0057697238356165</v>
      </c>
      <c r="AG210" s="4">
        <f>(AF210/AF209-1)-中国_中债国债到期收益率_1年!H210%/252</f>
        <v>1.1077619993506049E-4</v>
      </c>
      <c r="AH210" s="4">
        <f>MIN((AF210-MAX($AF$151:AF210))/MAX($AF$151:AF210),0)</f>
        <v>-4.9511309902270013E-4</v>
      </c>
    </row>
    <row r="211" spans="1:34" x14ac:dyDescent="0.25">
      <c r="A211" s="6">
        <v>45016</v>
      </c>
      <c r="B211">
        <v>50</v>
      </c>
      <c r="C211">
        <v>30</v>
      </c>
      <c r="D211">
        <v>10</v>
      </c>
      <c r="E211">
        <v>5</v>
      </c>
      <c r="F211">
        <f t="shared" si="47"/>
        <v>95</v>
      </c>
      <c r="G211">
        <f t="shared" si="45"/>
        <v>50</v>
      </c>
      <c r="H211">
        <f t="shared" si="46"/>
        <v>150</v>
      </c>
      <c r="I211">
        <f t="shared" si="41"/>
        <v>90</v>
      </c>
      <c r="J211">
        <f t="shared" si="42"/>
        <v>80</v>
      </c>
      <c r="K211">
        <f t="shared" si="48"/>
        <v>370</v>
      </c>
      <c r="L211">
        <f>G211*Return!B211*100</f>
        <v>12.499999999999734</v>
      </c>
      <c r="M211">
        <f>H211*Return!C211*100</f>
        <v>-79.500000000001236</v>
      </c>
      <c r="N211">
        <f>I211*Return!D211*100</f>
        <v>-63.899999999998954</v>
      </c>
      <c r="O211">
        <f>J211*Return!E211*100</f>
        <v>-7.1999999999974307</v>
      </c>
      <c r="P211">
        <f t="shared" si="43"/>
        <v>-138.09999999999789</v>
      </c>
      <c r="Q211">
        <f>SUM($P$148:P211)</f>
        <v>-292.79999999999643</v>
      </c>
      <c r="R211">
        <f>B211*中国_中债国债到期收益率_1年!B210/365*100</f>
        <v>31.134246575342473</v>
      </c>
      <c r="S211">
        <f>C211*中国_中债国债到期收益率_1年!C210/365*100</f>
        <v>22.197534246575344</v>
      </c>
      <c r="T211">
        <f>D211*中国_中债国债到期收益率_1年!D210/365*100</f>
        <v>7.8364383561643836</v>
      </c>
      <c r="U211">
        <f>E211*中国_中债国债到期收益率_1年!E210/365*100</f>
        <v>4.4239726027397266</v>
      </c>
      <c r="V211">
        <f t="shared" si="44"/>
        <v>65.592191780821935</v>
      </c>
      <c r="W211">
        <f>SUM($V$148:V211)</f>
        <v>3114.3015068493146</v>
      </c>
      <c r="X211">
        <f>MAX(F211-50,0)*中国_中债国债到期收益率_1年!H211*100/365</f>
        <v>33.287671232876718</v>
      </c>
      <c r="Y211">
        <f>SUM($X$148:X211)</f>
        <v>1057.0350684931507</v>
      </c>
      <c r="Z211">
        <v>30</v>
      </c>
      <c r="AB211">
        <f>Z211*Return!F215*100</f>
        <v>-95.099999999999511</v>
      </c>
      <c r="AC211">
        <f>AA211*Return!G215*100</f>
        <v>0</v>
      </c>
      <c r="AD211">
        <f>SUM($AB$148:AB211)+SUM($AC$148:AC211)</f>
        <v>919.49999999999977</v>
      </c>
      <c r="AE211">
        <f t="shared" si="49"/>
        <v>2683.9664383561667</v>
      </c>
      <c r="AF211">
        <f t="shared" si="50"/>
        <v>1.0053679328767124</v>
      </c>
      <c r="AG211" s="4">
        <f>(AF211/AF210-1)-中国_中债国债到期收益率_1年!H211%/252</f>
        <v>-5.0662889194985226E-4</v>
      </c>
      <c r="AH211" s="4">
        <f>MIN((AF211-MAX($AF$151:AF211))/MAX($AF$151:AF211),0)</f>
        <v>-8.9440134306099342E-4</v>
      </c>
    </row>
    <row r="212" spans="1:34" x14ac:dyDescent="0.25">
      <c r="A212" s="6">
        <v>45019</v>
      </c>
      <c r="B212">
        <v>50</v>
      </c>
      <c r="C212">
        <v>30</v>
      </c>
      <c r="D212">
        <v>10</v>
      </c>
      <c r="E212">
        <v>5</v>
      </c>
      <c r="F212">
        <f t="shared" si="47"/>
        <v>95</v>
      </c>
      <c r="G212">
        <f t="shared" ref="G212:G275" si="51">B212</f>
        <v>50</v>
      </c>
      <c r="H212">
        <f t="shared" ref="H212:H275" si="52">5*C212</f>
        <v>150</v>
      </c>
      <c r="I212">
        <f t="shared" ref="I212:I275" si="53">9*D212</f>
        <v>90</v>
      </c>
      <c r="J212">
        <f t="shared" ref="J212:J275" si="54">16*E212</f>
        <v>80</v>
      </c>
      <c r="K212">
        <f t="shared" si="48"/>
        <v>370</v>
      </c>
      <c r="L212">
        <f>G212*Return!B212*100</f>
        <v>200.00000000000017</v>
      </c>
      <c r="M212">
        <f>H212*Return!C212*100</f>
        <v>254.99999999999855</v>
      </c>
      <c r="N212">
        <f>I212*Return!D212*100</f>
        <v>67.500000000002558</v>
      </c>
      <c r="O212">
        <f>J212*Return!E212*100</f>
        <v>-29.600000000002069</v>
      </c>
      <c r="P212">
        <f t="shared" ref="P212:P275" si="55">SUM(L212:O212)</f>
        <v>492.8999999999993</v>
      </c>
      <c r="Q212">
        <f>SUM($P$148:P212)</f>
        <v>200.10000000000286</v>
      </c>
      <c r="R212">
        <f>B212*中国_中债国债到期收益率_1年!B211/365*100</f>
        <v>30.586301369863012</v>
      </c>
      <c r="S212">
        <f>C212*中国_中债国债到期收益率_1年!C211/365*100</f>
        <v>22.057808219178082</v>
      </c>
      <c r="T212">
        <f>D212*中国_中债国债到期收益率_1年!D211/365*100</f>
        <v>7.8158904109589038</v>
      </c>
      <c r="U212">
        <f>E212*中国_中债国债到期收益率_1年!E211/365*100</f>
        <v>4.429041095890411</v>
      </c>
      <c r="V212">
        <f t="shared" ref="V212:V275" si="56">SUM(R212:U212)</f>
        <v>64.889041095890406</v>
      </c>
      <c r="W212">
        <f>SUM($V$148:V212)</f>
        <v>3179.1905479452048</v>
      </c>
      <c r="X212">
        <f>MAX(F212-50,0)*中国_中债国债到期收益率_1年!H212*100/365</f>
        <v>24.904109589041095</v>
      </c>
      <c r="Y212">
        <f>SUM($X$148:X212)</f>
        <v>1081.9391780821918</v>
      </c>
      <c r="Z212">
        <v>40</v>
      </c>
      <c r="AB212">
        <f>Z212*Return!F216*100</f>
        <v>-20.400000000000418</v>
      </c>
      <c r="AC212">
        <f>AA212*Return!G216*100</f>
        <v>0</v>
      </c>
      <c r="AD212">
        <f>SUM($AB$148:AB212)+SUM($AC$148:AC212)</f>
        <v>899.09999999999923</v>
      </c>
      <c r="AE212">
        <f t="shared" si="49"/>
        <v>3196.4513698630153</v>
      </c>
      <c r="AF212">
        <f t="shared" si="50"/>
        <v>1.006392902739726</v>
      </c>
      <c r="AG212" s="4">
        <f>(AF212/AF211-1)-中国_中债国债到期收益率_1年!H212%/252</f>
        <v>9.3933853994091507E-4</v>
      </c>
      <c r="AH212" s="4">
        <f>MIN((AF212-MAX($AF$151:AF212))/MAX($AF$151:AF212),0)</f>
        <v>0</v>
      </c>
    </row>
    <row r="213" spans="1:34" x14ac:dyDescent="0.25">
      <c r="A213" s="6">
        <v>45020</v>
      </c>
      <c r="B213">
        <v>50</v>
      </c>
      <c r="C213">
        <v>30</v>
      </c>
      <c r="D213">
        <v>10</v>
      </c>
      <c r="E213">
        <v>5</v>
      </c>
      <c r="F213">
        <f t="shared" si="47"/>
        <v>95</v>
      </c>
      <c r="G213">
        <f t="shared" si="51"/>
        <v>50</v>
      </c>
      <c r="H213">
        <f t="shared" si="52"/>
        <v>150</v>
      </c>
      <c r="I213">
        <f t="shared" si="53"/>
        <v>90</v>
      </c>
      <c r="J213">
        <f t="shared" si="54"/>
        <v>80</v>
      </c>
      <c r="K213">
        <f t="shared" si="48"/>
        <v>370</v>
      </c>
      <c r="L213">
        <f>G213*Return!B213*100</f>
        <v>0</v>
      </c>
      <c r="M213">
        <f>H213*Return!C213*100</f>
        <v>-168.00000000000148</v>
      </c>
      <c r="N213">
        <f>I213*Return!D213*100</f>
        <v>-68.40000000000046</v>
      </c>
      <c r="O213">
        <f>J213*Return!E213*100</f>
        <v>-59.999999999998721</v>
      </c>
      <c r="P213">
        <f t="shared" si="55"/>
        <v>-296.40000000000066</v>
      </c>
      <c r="Q213">
        <f>SUM($P$148:P213)</f>
        <v>-96.299999999997794</v>
      </c>
      <c r="R213">
        <f>B213*中国_中债国债到期收益率_1年!B212/365*100</f>
        <v>30.586301369863012</v>
      </c>
      <c r="S213">
        <f>C213*中国_中债国债到期收益率_1年!C212/365*100</f>
        <v>22.149863013698631</v>
      </c>
      <c r="T213">
        <f>D213*中国_中债国债到期收益率_1年!D212/365*100</f>
        <v>7.8367123287671232</v>
      </c>
      <c r="U213">
        <f>E213*中国_中债国债到期收益率_1年!E212/365*100</f>
        <v>4.4393150684931504</v>
      </c>
      <c r="V213">
        <f t="shared" si="56"/>
        <v>65.012191780821908</v>
      </c>
      <c r="W213">
        <f>SUM($V$148:V213)</f>
        <v>3244.2027397260267</v>
      </c>
      <c r="X213">
        <f>MAX(F213-50,0)*中国_中债国债到期收益率_1年!H213*100/365</f>
        <v>24.657534246575342</v>
      </c>
      <c r="Y213">
        <f>SUM($X$148:X213)</f>
        <v>1106.5967123287671</v>
      </c>
      <c r="Z213">
        <v>40</v>
      </c>
      <c r="AB213">
        <f>Z213*Return!F217*100</f>
        <v>20.799999999999486</v>
      </c>
      <c r="AC213">
        <f>AA213*Return!G217*100</f>
        <v>0</v>
      </c>
      <c r="AD213">
        <f>SUM($AB$148:AB213)+SUM($AC$148:AC213)</f>
        <v>919.89999999999873</v>
      </c>
      <c r="AE213">
        <f t="shared" si="49"/>
        <v>2961.2060273972602</v>
      </c>
      <c r="AF213">
        <f t="shared" si="50"/>
        <v>1.0059224120547945</v>
      </c>
      <c r="AG213" s="4">
        <f>(AF213/AF212-1)-中国_中债国债到期收益率_1年!H213%/252</f>
        <v>-5.4686706954283377E-4</v>
      </c>
      <c r="AH213" s="4">
        <f>MIN((AF213-MAX($AF$151:AF213))/MAX($AF$151:AF213),0)</f>
        <v>-4.6750199017771152E-4</v>
      </c>
    </row>
    <row r="214" spans="1:34" x14ac:dyDescent="0.25">
      <c r="A214" s="6">
        <v>45022</v>
      </c>
      <c r="B214">
        <v>50</v>
      </c>
      <c r="C214">
        <v>30</v>
      </c>
      <c r="D214">
        <v>10</v>
      </c>
      <c r="E214">
        <v>5</v>
      </c>
      <c r="F214">
        <f t="shared" si="47"/>
        <v>95</v>
      </c>
      <c r="G214">
        <f t="shared" si="51"/>
        <v>50</v>
      </c>
      <c r="H214">
        <f t="shared" si="52"/>
        <v>150</v>
      </c>
      <c r="I214">
        <f t="shared" si="53"/>
        <v>90</v>
      </c>
      <c r="J214">
        <f t="shared" si="54"/>
        <v>80</v>
      </c>
      <c r="K214">
        <f t="shared" si="48"/>
        <v>370</v>
      </c>
      <c r="L214">
        <f>G214*Return!B214*100</f>
        <v>12.499999999999734</v>
      </c>
      <c r="M214">
        <f>H214*Return!C214*100</f>
        <v>-45.000000000001705</v>
      </c>
      <c r="N214">
        <f>I214*Return!D214*100</f>
        <v>17.999999999998018</v>
      </c>
      <c r="O214">
        <f>J214*Return!E214*100</f>
        <v>-11.200000000002319</v>
      </c>
      <c r="P214">
        <f t="shared" si="55"/>
        <v>-25.700000000006277</v>
      </c>
      <c r="Q214">
        <f>SUM($P$148:P214)</f>
        <v>-122.00000000000406</v>
      </c>
      <c r="R214">
        <f>B214*中国_中债国债到期收益率_1年!B213/365*100</f>
        <v>30.552054794520551</v>
      </c>
      <c r="S214">
        <f>C214*中国_中债国债到期收益率_1年!C213/365*100</f>
        <v>22.17452054794521</v>
      </c>
      <c r="T214">
        <f>D214*中国_中债国债到期收益率_1年!D213/365*100</f>
        <v>7.8312328767123285</v>
      </c>
      <c r="U214">
        <f>E214*中国_中债国债到期收益率_1年!E213/365*100</f>
        <v>4.4412328767123288</v>
      </c>
      <c r="V214">
        <f t="shared" si="56"/>
        <v>64.999041095890419</v>
      </c>
      <c r="W214">
        <f>SUM($V$148:V214)</f>
        <v>3309.2017808219171</v>
      </c>
      <c r="X214">
        <f>MAX(F214-50,0)*中国_中债国债到期收益率_1年!H214*100/365</f>
        <v>26.506849315068493</v>
      </c>
      <c r="Y214">
        <f>SUM($X$148:X214)</f>
        <v>1133.1035616438355</v>
      </c>
      <c r="Z214">
        <v>40</v>
      </c>
      <c r="AB214">
        <f>Z214*Return!F218*100</f>
        <v>30.400000000000205</v>
      </c>
      <c r="AC214">
        <f>AA214*Return!G218*100</f>
        <v>0</v>
      </c>
      <c r="AD214">
        <f>SUM($AB$148:AB214)+SUM($AC$148:AC214)</f>
        <v>950.29999999999905</v>
      </c>
      <c r="AE214">
        <f t="shared" si="49"/>
        <v>3004.398219178076</v>
      </c>
      <c r="AF214">
        <f t="shared" si="50"/>
        <v>1.0060087964383562</v>
      </c>
      <c r="AG214" s="4">
        <f>(AF214/AF213-1)-中国_中债国债到期收益率_1年!H214%/252</f>
        <v>5.5833142000609383E-7</v>
      </c>
      <c r="AH214" s="4">
        <f>MIN((AF214-MAX($AF$151:AF214))/MAX($AF$151:AF214),0)</f>
        <v>-3.8166634554378062E-4</v>
      </c>
    </row>
    <row r="215" spans="1:34" x14ac:dyDescent="0.25">
      <c r="A215" s="6">
        <v>45023</v>
      </c>
      <c r="B215">
        <v>50</v>
      </c>
      <c r="C215">
        <v>30</v>
      </c>
      <c r="D215">
        <v>10</v>
      </c>
      <c r="E215">
        <v>5</v>
      </c>
      <c r="F215">
        <f t="shared" si="47"/>
        <v>95</v>
      </c>
      <c r="G215">
        <f t="shared" si="51"/>
        <v>50</v>
      </c>
      <c r="H215">
        <f t="shared" si="52"/>
        <v>150</v>
      </c>
      <c r="I215">
        <f t="shared" si="53"/>
        <v>90</v>
      </c>
      <c r="J215">
        <f t="shared" si="54"/>
        <v>80</v>
      </c>
      <c r="K215">
        <f t="shared" si="48"/>
        <v>370</v>
      </c>
      <c r="L215">
        <f>G215*Return!B215*100</f>
        <v>12.500000000001954</v>
      </c>
      <c r="M215">
        <f>H215*Return!C215*100</f>
        <v>-73.499999999995239</v>
      </c>
      <c r="N215">
        <f>I215*Return!D215*100</f>
        <v>-18.899999999999917</v>
      </c>
      <c r="O215">
        <f>J215*Return!E215*100</f>
        <v>-33.599999999999852</v>
      </c>
      <c r="P215">
        <f t="shared" si="55"/>
        <v>-113.49999999999305</v>
      </c>
      <c r="Q215">
        <f>SUM($P$148:P215)</f>
        <v>-235.4999999999971</v>
      </c>
      <c r="R215">
        <f>B215*中国_中债国债到期收益率_1年!B214/365*100</f>
        <v>30.517808219178079</v>
      </c>
      <c r="S215">
        <f>C215*中国_中债国债到期收益率_1年!C214/365*100</f>
        <v>22.214794520547944</v>
      </c>
      <c r="T215">
        <f>D215*中国_中债国债到期收益率_1年!D214/365*100</f>
        <v>7.8369863013698637</v>
      </c>
      <c r="U215">
        <f>E215*中国_中债国债到期收益率_1年!E214/365*100</f>
        <v>4.4469863013698632</v>
      </c>
      <c r="V215">
        <f t="shared" si="56"/>
        <v>65.016575342465742</v>
      </c>
      <c r="W215">
        <f>SUM($V$148:V215)</f>
        <v>3374.2183561643828</v>
      </c>
      <c r="X215">
        <f>MAX(F215-50,0)*中国_中债国债到期收益率_1年!H215*100/365</f>
        <v>27.12328767123288</v>
      </c>
      <c r="Y215">
        <f>SUM($X$148:X215)</f>
        <v>1160.2268493150684</v>
      </c>
      <c r="Z215">
        <v>40</v>
      </c>
      <c r="AB215">
        <f>Z215*Return!F219*100</f>
        <v>32.400000000000873</v>
      </c>
      <c r="AC215">
        <f>AA215*Return!G219*100</f>
        <v>0</v>
      </c>
      <c r="AD215">
        <f>SUM($AB$148:AB215)+SUM($AC$148:AC215)</f>
        <v>982.69999999999982</v>
      </c>
      <c r="AE215">
        <f t="shared" si="49"/>
        <v>2961.1915068493172</v>
      </c>
      <c r="AF215">
        <f t="shared" si="50"/>
        <v>1.0059223830136987</v>
      </c>
      <c r="AG215" s="4">
        <f>(AF215/AF214-1)-中国_中债国债到期收益率_1年!H215%/252</f>
        <v>-1.7319887265671718E-4</v>
      </c>
      <c r="AH215" s="4">
        <f>MIN((AF215-MAX($AF$151:AF215))/MAX($AF$151:AF215),0)</f>
        <v>-4.6753084679590842E-4</v>
      </c>
    </row>
    <row r="216" spans="1:34" x14ac:dyDescent="0.25">
      <c r="A216" s="6">
        <v>45026</v>
      </c>
      <c r="B216">
        <v>50</v>
      </c>
      <c r="C216">
        <v>30</v>
      </c>
      <c r="D216">
        <v>10</v>
      </c>
      <c r="E216">
        <v>5</v>
      </c>
      <c r="F216">
        <f t="shared" si="47"/>
        <v>95</v>
      </c>
      <c r="G216">
        <f t="shared" si="51"/>
        <v>50</v>
      </c>
      <c r="H216">
        <f t="shared" si="52"/>
        <v>150</v>
      </c>
      <c r="I216">
        <f t="shared" si="53"/>
        <v>90</v>
      </c>
      <c r="J216">
        <f t="shared" si="54"/>
        <v>80</v>
      </c>
      <c r="K216">
        <f t="shared" si="48"/>
        <v>370</v>
      </c>
      <c r="L216">
        <f>G216*Return!B216*100</f>
        <v>0</v>
      </c>
      <c r="M216">
        <f>H216*Return!C216*100</f>
        <v>221.99999999999554</v>
      </c>
      <c r="N216">
        <f>I216*Return!D216*100</f>
        <v>126.9</v>
      </c>
      <c r="O216">
        <f>J216*Return!E216*100</f>
        <v>82.399999999999807</v>
      </c>
      <c r="P216">
        <f t="shared" si="55"/>
        <v>431.29999999999535</v>
      </c>
      <c r="Q216">
        <f>SUM($P$148:P216)</f>
        <v>195.79999999999825</v>
      </c>
      <c r="R216">
        <f>B216*中国_中债国债到期收益率_1年!B215/365*100</f>
        <v>30.517808219178079</v>
      </c>
      <c r="S216">
        <f>C216*中国_中债国债到期收益率_1年!C215/365*100</f>
        <v>22.093150684931505</v>
      </c>
      <c r="T216">
        <f>D216*中国_中债国债到期收益率_1年!D215/365*100</f>
        <v>7.7983561643835619</v>
      </c>
      <c r="U216">
        <f>E216*中国_中债国债到期收益率_1年!E215/365*100</f>
        <v>4.4328767123287669</v>
      </c>
      <c r="V216">
        <f t="shared" si="56"/>
        <v>64.842191780821906</v>
      </c>
      <c r="W216">
        <f>SUM($V$148:V216)</f>
        <v>3439.0605479452047</v>
      </c>
      <c r="X216">
        <f>MAX(F216-50,0)*中国_中债国债到期收益率_1年!H216*100/365</f>
        <v>25.890410958904109</v>
      </c>
      <c r="Y216">
        <f>SUM($X$148:X216)</f>
        <v>1186.1172602739725</v>
      </c>
      <c r="Z216">
        <v>40</v>
      </c>
      <c r="AB216">
        <f>Z216*Return!F220*100</f>
        <v>-38.800000000000168</v>
      </c>
      <c r="AC216">
        <f>AA216*Return!G220*100</f>
        <v>0</v>
      </c>
      <c r="AD216">
        <f>SUM($AB$148:AB216)+SUM($AC$148:AC216)</f>
        <v>943.89999999999964</v>
      </c>
      <c r="AE216">
        <f t="shared" si="49"/>
        <v>3392.6432876712306</v>
      </c>
      <c r="AF216">
        <f t="shared" si="50"/>
        <v>1.0067852865753424</v>
      </c>
      <c r="AG216" s="4">
        <f>(AF216/AF215-1)-中国_中债国债到期收益率_1年!H216%/252</f>
        <v>7.7448987073768427E-4</v>
      </c>
      <c r="AH216" s="4">
        <f>MIN((AF216-MAX($AF$151:AF216))/MAX($AF$151:AF216),0)</f>
        <v>0</v>
      </c>
    </row>
    <row r="217" spans="1:34" x14ac:dyDescent="0.25">
      <c r="A217" s="6">
        <v>45027</v>
      </c>
      <c r="B217">
        <v>50</v>
      </c>
      <c r="C217">
        <v>30</v>
      </c>
      <c r="D217">
        <v>10</v>
      </c>
      <c r="E217">
        <v>5</v>
      </c>
      <c r="F217">
        <f t="shared" si="47"/>
        <v>95</v>
      </c>
      <c r="G217">
        <f t="shared" si="51"/>
        <v>50</v>
      </c>
      <c r="H217">
        <f t="shared" si="52"/>
        <v>150</v>
      </c>
      <c r="I217">
        <f t="shared" si="53"/>
        <v>90</v>
      </c>
      <c r="J217">
        <f t="shared" si="54"/>
        <v>80</v>
      </c>
      <c r="K217">
        <f t="shared" si="48"/>
        <v>370</v>
      </c>
      <c r="L217">
        <f>G217*Return!B217*100</f>
        <v>24.999999999999467</v>
      </c>
      <c r="M217">
        <f>H217*Return!C217*100</f>
        <v>-57.000000000000384</v>
      </c>
      <c r="N217">
        <f>I217*Return!D217*100</f>
        <v>8.1000000000011063</v>
      </c>
      <c r="O217">
        <f>J217*Return!E217*100</f>
        <v>10.400000000000631</v>
      </c>
      <c r="P217">
        <f t="shared" si="55"/>
        <v>-13.499999999999179</v>
      </c>
      <c r="Q217">
        <f>SUM($P$148:P217)</f>
        <v>182.29999999999907</v>
      </c>
      <c r="R217">
        <f>B217*中国_中债国债到期收益率_1年!B216/365*100</f>
        <v>30.449315068493149</v>
      </c>
      <c r="S217">
        <f>C217*中国_中债国债到期收益率_1年!C216/365*100</f>
        <v>22.124383561643839</v>
      </c>
      <c r="T217">
        <f>D217*中国_中债国债到期收益率_1年!D216/365*100</f>
        <v>7.7958904109589042</v>
      </c>
      <c r="U217">
        <f>E217*中国_中债国债到期收益率_1年!E216/365*100</f>
        <v>4.4310958904109592</v>
      </c>
      <c r="V217">
        <f t="shared" si="56"/>
        <v>64.800684931506851</v>
      </c>
      <c r="W217">
        <f>SUM($V$148:V217)</f>
        <v>3503.8612328767117</v>
      </c>
      <c r="X217">
        <f>MAX(F217-50,0)*中国_中债国债到期收益率_1年!H217*100/365</f>
        <v>26.506849315068493</v>
      </c>
      <c r="Y217">
        <f>SUM($X$148:X217)</f>
        <v>1212.6241095890409</v>
      </c>
      <c r="Z217">
        <v>40</v>
      </c>
      <c r="AB217">
        <f>Z217*Return!F221*100</f>
        <v>35.199999999999676</v>
      </c>
      <c r="AC217">
        <f>AA217*Return!G221*100</f>
        <v>0</v>
      </c>
      <c r="AD217">
        <f>SUM($AB$148:AB217)+SUM($AC$148:AC217)</f>
        <v>979.09999999999934</v>
      </c>
      <c r="AE217">
        <f t="shared" si="49"/>
        <v>3452.6371232876691</v>
      </c>
      <c r="AF217">
        <f t="shared" si="50"/>
        <v>1.0069052742465754</v>
      </c>
      <c r="AG217" s="4">
        <f>(AF217/AF216-1)-中国_中债国债到期收益率_1年!H217%/252</f>
        <v>3.3861547195776761E-5</v>
      </c>
      <c r="AH217" s="4">
        <f>MIN((AF217-MAX($AF$151:AF217))/MAX($AF$151:AF217),0)</f>
        <v>0</v>
      </c>
    </row>
    <row r="218" spans="1:34" x14ac:dyDescent="0.25">
      <c r="A218" s="6">
        <v>45028</v>
      </c>
      <c r="B218">
        <v>50</v>
      </c>
      <c r="C218">
        <v>30</v>
      </c>
      <c r="D218">
        <v>10</v>
      </c>
      <c r="E218">
        <v>5</v>
      </c>
      <c r="F218">
        <f t="shared" si="47"/>
        <v>95</v>
      </c>
      <c r="G218">
        <f t="shared" si="51"/>
        <v>50</v>
      </c>
      <c r="H218">
        <f t="shared" si="52"/>
        <v>150</v>
      </c>
      <c r="I218">
        <f t="shared" si="53"/>
        <v>90</v>
      </c>
      <c r="J218">
        <f t="shared" si="54"/>
        <v>80</v>
      </c>
      <c r="K218">
        <f t="shared" si="48"/>
        <v>370</v>
      </c>
      <c r="L218">
        <f>G218*Return!B218*100</f>
        <v>49.999999999998934</v>
      </c>
      <c r="M218">
        <f>H218*Return!C218*100</f>
        <v>187.50000000000267</v>
      </c>
      <c r="N218">
        <f>I218*Return!D218*100</f>
        <v>226.79999999999899</v>
      </c>
      <c r="O218">
        <f>J218*Return!E218*100</f>
        <v>139.20000000000243</v>
      </c>
      <c r="P218">
        <f t="shared" si="55"/>
        <v>603.50000000000296</v>
      </c>
      <c r="Q218">
        <f>SUM($P$148:P218)</f>
        <v>785.800000000002</v>
      </c>
      <c r="R218">
        <f>B218*中国_中债国债到期收益率_1年!B217/365*100</f>
        <v>30.312328767123287</v>
      </c>
      <c r="S218">
        <f>C218*中国_中债国债到期收益率_1年!C217/365*100</f>
        <v>22.021643835616437</v>
      </c>
      <c r="T218">
        <f>D218*中国_中债国债到期收益率_1年!D217/365*100</f>
        <v>7.7268493150684927</v>
      </c>
      <c r="U218">
        <f>E218*中国_中债国债到期收益率_1年!E217/365*100</f>
        <v>4.4072602739726037</v>
      </c>
      <c r="V218">
        <f t="shared" si="56"/>
        <v>64.468082191780809</v>
      </c>
      <c r="W218">
        <f>SUM($V$148:V218)</f>
        <v>3568.3293150684926</v>
      </c>
      <c r="X218">
        <f>MAX(F218-50,0)*中国_中债国债到期收益率_1年!H218*100/365</f>
        <v>25.890410958904109</v>
      </c>
      <c r="Y218">
        <f>SUM($X$148:X218)</f>
        <v>1238.514520547945</v>
      </c>
      <c r="Z218">
        <v>40</v>
      </c>
      <c r="AB218">
        <f>Z218*Return!F222*100</f>
        <v>-70.399999999999352</v>
      </c>
      <c r="AC218">
        <f>AA218*Return!G222*100</f>
        <v>0</v>
      </c>
      <c r="AD218">
        <f>SUM($AB$148:AB218)+SUM($AC$148:AC218)</f>
        <v>908.7</v>
      </c>
      <c r="AE218">
        <f t="shared" si="49"/>
        <v>4024.3147945205492</v>
      </c>
      <c r="AF218">
        <f t="shared" si="50"/>
        <v>1.0080486295890412</v>
      </c>
      <c r="AG218" s="4">
        <f>(AF218/AF217-1)-中国_中债国债到期收益率_1年!H218%/252</f>
        <v>1.052180971447094E-3</v>
      </c>
      <c r="AH218" s="4">
        <f>MIN((AF218-MAX($AF$151:AF218))/MAX($AF$151:AF218),0)</f>
        <v>0</v>
      </c>
    </row>
    <row r="219" spans="1:34" x14ac:dyDescent="0.25">
      <c r="A219" s="6">
        <v>45029</v>
      </c>
      <c r="B219">
        <v>50</v>
      </c>
      <c r="C219">
        <v>30</v>
      </c>
      <c r="D219">
        <v>10</v>
      </c>
      <c r="E219">
        <v>5</v>
      </c>
      <c r="F219">
        <f t="shared" si="47"/>
        <v>95</v>
      </c>
      <c r="G219">
        <f t="shared" si="51"/>
        <v>50</v>
      </c>
      <c r="H219">
        <f t="shared" si="52"/>
        <v>150</v>
      </c>
      <c r="I219">
        <f t="shared" si="53"/>
        <v>90</v>
      </c>
      <c r="J219">
        <f t="shared" si="54"/>
        <v>80</v>
      </c>
      <c r="K219">
        <f t="shared" si="48"/>
        <v>370</v>
      </c>
      <c r="L219">
        <f>G219*Return!B219*100</f>
        <v>18.500000000001293</v>
      </c>
      <c r="M219">
        <f>H219*Return!C219*100</f>
        <v>154.49999999999963</v>
      </c>
      <c r="N219">
        <f>I219*Return!D219*100</f>
        <v>40.500000000001535</v>
      </c>
      <c r="O219">
        <f>J219*Return!E219*100</f>
        <v>156.79999999999694</v>
      </c>
      <c r="P219">
        <f t="shared" si="55"/>
        <v>370.29999999999939</v>
      </c>
      <c r="Q219">
        <f>SUM($P$148:P219)</f>
        <v>1156.1000000000013</v>
      </c>
      <c r="R219">
        <f>B219*中国_中债国债到期收益率_1年!B218/365*100</f>
        <v>30.261643835616436</v>
      </c>
      <c r="S219">
        <f>C219*中国_中债国债到期收益率_1年!C218/365*100</f>
        <v>21.936986301369863</v>
      </c>
      <c r="T219">
        <f>D219*中国_中债国债到期收益率_1年!D218/365*100</f>
        <v>7.7145205479452041</v>
      </c>
      <c r="U219">
        <f>E219*中国_中债国债到期收益率_1年!E218/365*100</f>
        <v>4.3804109589041103</v>
      </c>
      <c r="V219">
        <f t="shared" si="56"/>
        <v>64.293561643835616</v>
      </c>
      <c r="W219">
        <f>SUM($V$148:V219)</f>
        <v>3632.6228767123284</v>
      </c>
      <c r="X219">
        <f>MAX(F219-50,0)*中国_中债国债到期收益率_1年!H219*100/365</f>
        <v>25.890410958904109</v>
      </c>
      <c r="Y219">
        <f>SUM($X$148:X219)</f>
        <v>1264.4049315068492</v>
      </c>
      <c r="Z219">
        <v>40</v>
      </c>
      <c r="AB219">
        <f>Z219*Return!F223*100</f>
        <v>1.9999999999988916</v>
      </c>
      <c r="AC219">
        <f>AA219*Return!G223*100</f>
        <v>0</v>
      </c>
      <c r="AD219">
        <f>SUM($AB$148:AB219)+SUM($AC$148:AC219)</f>
        <v>910.69999999999891</v>
      </c>
      <c r="AE219">
        <f t="shared" si="49"/>
        <v>4435.0179452054799</v>
      </c>
      <c r="AF219">
        <f t="shared" si="50"/>
        <v>1.008870035890411</v>
      </c>
      <c r="AG219" s="4">
        <f>(AF219/AF218-1)-中国_中债国债到期收益率_1年!H219%/252</f>
        <v>7.3151455917829422E-4</v>
      </c>
      <c r="AH219" s="4">
        <f>MIN((AF219-MAX($AF$151:AF219))/MAX($AF$151:AF219),0)</f>
        <v>0</v>
      </c>
    </row>
    <row r="220" spans="1:34" x14ac:dyDescent="0.25">
      <c r="A220" s="6">
        <v>45030</v>
      </c>
      <c r="B220">
        <v>50</v>
      </c>
      <c r="C220">
        <v>30</v>
      </c>
      <c r="D220">
        <v>10</v>
      </c>
      <c r="E220">
        <v>5</v>
      </c>
      <c r="F220">
        <f t="shared" si="47"/>
        <v>95</v>
      </c>
      <c r="G220">
        <f t="shared" si="51"/>
        <v>50</v>
      </c>
      <c r="H220">
        <f t="shared" si="52"/>
        <v>150</v>
      </c>
      <c r="I220">
        <f t="shared" si="53"/>
        <v>90</v>
      </c>
      <c r="J220">
        <f t="shared" si="54"/>
        <v>80</v>
      </c>
      <c r="K220">
        <f t="shared" si="48"/>
        <v>370</v>
      </c>
      <c r="L220">
        <f>G220*Return!B220*100</f>
        <v>12.499999999999734</v>
      </c>
      <c r="M220">
        <f>H220*Return!C220*100</f>
        <v>-154.49999999999963</v>
      </c>
      <c r="N220">
        <f>I220*Return!D220*100</f>
        <v>-107.1000000000022</v>
      </c>
      <c r="O220">
        <f>J220*Return!E220*100</f>
        <v>-43.199999999998795</v>
      </c>
      <c r="P220">
        <f t="shared" si="55"/>
        <v>-292.30000000000086</v>
      </c>
      <c r="Q220">
        <f>SUM($P$148:P220)</f>
        <v>863.80000000000041</v>
      </c>
      <c r="R220">
        <f>B220*中国_中债国债到期收益率_1年!B219/365*100</f>
        <v>30.227397260273975</v>
      </c>
      <c r="S220">
        <f>C220*中国_中债国债到期收益率_1年!C219/365*100</f>
        <v>22.021643835616437</v>
      </c>
      <c r="T220">
        <f>D220*中国_中债国债到期收益率_1年!D219/365*100</f>
        <v>7.7471232876712328</v>
      </c>
      <c r="U220">
        <f>E220*中国_中债国债到期收益率_1年!E219/365*100</f>
        <v>4.3878082191780816</v>
      </c>
      <c r="V220">
        <f t="shared" si="56"/>
        <v>64.383972602739732</v>
      </c>
      <c r="W220">
        <f>SUM($V$148:V220)</f>
        <v>3697.0068493150684</v>
      </c>
      <c r="X220">
        <f>MAX(F220-50,0)*中国_中债国债到期收益率_1年!H220*100/365</f>
        <v>25.890410958904109</v>
      </c>
      <c r="Y220">
        <f>SUM($X$148:X220)</f>
        <v>1290.2953424657533</v>
      </c>
      <c r="Z220">
        <v>40</v>
      </c>
      <c r="AB220">
        <f>Z220*Return!F224*100</f>
        <v>34.000000000000696</v>
      </c>
      <c r="AC220">
        <f>AA220*Return!G224*100</f>
        <v>0</v>
      </c>
      <c r="AD220">
        <f>SUM($AB$148:AB220)+SUM($AC$148:AC220)</f>
        <v>944.69999999999959</v>
      </c>
      <c r="AE220">
        <f t="shared" si="49"/>
        <v>4215.2115068493149</v>
      </c>
      <c r="AF220">
        <f t="shared" si="50"/>
        <v>1.0084304230136987</v>
      </c>
      <c r="AG220" s="4">
        <f>(AF220/AF219-1)-中国_中债国债到期收益率_1年!H220%/252</f>
        <v>-5.1908111161314918E-4</v>
      </c>
      <c r="AH220" s="4">
        <f>MIN((AF220-MAX($AF$151:AF220))/MAX($AF$151:AF220),0)</f>
        <v>-4.3574777827983847E-4</v>
      </c>
    </row>
    <row r="221" spans="1:34" x14ac:dyDescent="0.25">
      <c r="A221" s="6">
        <v>45033</v>
      </c>
      <c r="B221">
        <v>50</v>
      </c>
      <c r="C221">
        <v>30</v>
      </c>
      <c r="D221">
        <v>10</v>
      </c>
      <c r="E221">
        <v>5</v>
      </c>
      <c r="F221">
        <f t="shared" si="47"/>
        <v>95</v>
      </c>
      <c r="G221">
        <f t="shared" si="51"/>
        <v>50</v>
      </c>
      <c r="H221">
        <f t="shared" si="52"/>
        <v>150</v>
      </c>
      <c r="I221">
        <f t="shared" si="53"/>
        <v>90</v>
      </c>
      <c r="J221">
        <f t="shared" si="54"/>
        <v>80</v>
      </c>
      <c r="K221">
        <f t="shared" si="48"/>
        <v>370</v>
      </c>
      <c r="L221">
        <f>G221*Return!B221*100</f>
        <v>-12.499999999999734</v>
      </c>
      <c r="M221">
        <f>H221*Return!C221*100</f>
        <v>-49.499999999997883</v>
      </c>
      <c r="N221">
        <f>I221*Return!D221*100</f>
        <v>-3.5999999999996035</v>
      </c>
      <c r="O221">
        <f>J221*Return!E221*100</f>
        <v>-0.79999999999813554</v>
      </c>
      <c r="P221">
        <f t="shared" si="55"/>
        <v>-66.399999999995345</v>
      </c>
      <c r="Q221">
        <f>SUM($P$148:P221)</f>
        <v>797.40000000000509</v>
      </c>
      <c r="R221">
        <f>B221*中国_中债国债到期收益率_1年!B220/365*100</f>
        <v>30.261643835616436</v>
      </c>
      <c r="S221">
        <f>C221*中国_中债国债到期收益率_1年!C220/365*100</f>
        <v>22.048767123287668</v>
      </c>
      <c r="T221">
        <f>D221*中国_中债国债到期收益率_1年!D220/365*100</f>
        <v>7.7482191780821914</v>
      </c>
      <c r="U221">
        <f>E221*中国_中债国债到期收益率_1年!E220/365*100</f>
        <v>4.3879452054794514</v>
      </c>
      <c r="V221">
        <f t="shared" si="56"/>
        <v>64.446575342465749</v>
      </c>
      <c r="W221">
        <f>SUM($V$148:V221)</f>
        <v>3761.453424657534</v>
      </c>
      <c r="X221">
        <f>MAX(F221-50,0)*中国_中债国债到期收益率_1年!H221*100/365</f>
        <v>27.12328767123288</v>
      </c>
      <c r="Y221">
        <f>SUM($X$148:X221)</f>
        <v>1317.4186301369862</v>
      </c>
      <c r="Z221">
        <v>40</v>
      </c>
      <c r="AB221">
        <f>Z221*Return!F225*100</f>
        <v>-7.9999999999991189</v>
      </c>
      <c r="AC221">
        <f>AA221*Return!G225*100</f>
        <v>0</v>
      </c>
      <c r="AD221">
        <f>SUM($AB$148:AB221)+SUM($AC$148:AC221)</f>
        <v>936.7000000000005</v>
      </c>
      <c r="AE221">
        <f t="shared" si="49"/>
        <v>4178.1347945205534</v>
      </c>
      <c r="AF221">
        <f t="shared" si="50"/>
        <v>1.0083562695890411</v>
      </c>
      <c r="AG221" s="4">
        <f>(AF221/AF220-1)-中国_中债国债到期收益率_1年!H221%/252</f>
        <v>-1.6083509339710067E-4</v>
      </c>
      <c r="AH221" s="4">
        <f>MIN((AF221-MAX($AF$151:AF221))/MAX($AF$151:AF221),0)</f>
        <v>-5.0924924231341546E-4</v>
      </c>
    </row>
    <row r="222" spans="1:34" x14ac:dyDescent="0.25">
      <c r="A222" s="6">
        <v>45034</v>
      </c>
      <c r="B222">
        <v>50</v>
      </c>
      <c r="C222">
        <v>30</v>
      </c>
      <c r="D222">
        <v>10</v>
      </c>
      <c r="E222">
        <v>5</v>
      </c>
      <c r="F222">
        <f t="shared" si="47"/>
        <v>95</v>
      </c>
      <c r="G222">
        <f t="shared" si="51"/>
        <v>50</v>
      </c>
      <c r="H222">
        <f t="shared" si="52"/>
        <v>150</v>
      </c>
      <c r="I222">
        <f t="shared" si="53"/>
        <v>90</v>
      </c>
      <c r="J222">
        <f t="shared" si="54"/>
        <v>80</v>
      </c>
      <c r="K222">
        <f t="shared" si="48"/>
        <v>370</v>
      </c>
      <c r="L222">
        <f>G222*Return!B222*100</f>
        <v>-25.000000000001688</v>
      </c>
      <c r="M222">
        <f>H222*Return!C222*100</f>
        <v>-180.00000000000017</v>
      </c>
      <c r="N222">
        <f>I222*Return!D222*100</f>
        <v>-135.89999999999901</v>
      </c>
      <c r="O222">
        <f>J222*Return!E222*100</f>
        <v>-83.200000000001495</v>
      </c>
      <c r="P222">
        <f t="shared" si="55"/>
        <v>-424.10000000000241</v>
      </c>
      <c r="Q222">
        <f>SUM($P$148:P222)</f>
        <v>373.30000000000268</v>
      </c>
      <c r="R222">
        <f>B222*中国_中债国债到期收益率_1年!B221/365*100</f>
        <v>30.330136986301376</v>
      </c>
      <c r="S222">
        <f>C222*中国_中债国债到期收益率_1年!C221/365*100</f>
        <v>22.147397260273969</v>
      </c>
      <c r="T222">
        <f>D222*中国_中债国债到期收益率_1年!D221/365*100</f>
        <v>7.7895890410958906</v>
      </c>
      <c r="U222">
        <f>E222*中国_中债国债到期收益率_1年!E221/365*100</f>
        <v>4.4021917808219175</v>
      </c>
      <c r="V222">
        <f t="shared" si="56"/>
        <v>64.669315068493162</v>
      </c>
      <c r="W222">
        <f>SUM($V$148:V222)</f>
        <v>3826.1227397260272</v>
      </c>
      <c r="X222">
        <f>MAX(F222-50,0)*中国_中债国债到期收益率_1年!H222*100/365</f>
        <v>27.739726027397261</v>
      </c>
      <c r="Y222">
        <f>SUM($X$148:X222)</f>
        <v>1345.1583561643833</v>
      </c>
      <c r="Z222">
        <v>40</v>
      </c>
      <c r="AB222">
        <f>Z222*Return!F226*100</f>
        <v>-24.000000000000909</v>
      </c>
      <c r="AC222">
        <f>AA222*Return!G226*100</f>
        <v>0</v>
      </c>
      <c r="AD222">
        <f>SUM($AB$148:AB222)+SUM($AC$148:AC222)</f>
        <v>912.69999999999959</v>
      </c>
      <c r="AE222">
        <f t="shared" si="49"/>
        <v>3766.9643835616466</v>
      </c>
      <c r="AF222">
        <f t="shared" si="50"/>
        <v>1.0075339287671232</v>
      </c>
      <c r="AG222" s="4">
        <f>(AF222/AF221-1)-中国_中债国债到期收益率_1年!H222%/252</f>
        <v>-9.048117805371739E-4</v>
      </c>
      <c r="AH222" s="4">
        <f>MIN((AF222-MAX($AF$151:AF222))/MAX($AF$151:AF222),0)</f>
        <v>-1.3243600025335026E-3</v>
      </c>
    </row>
    <row r="223" spans="1:34" x14ac:dyDescent="0.25">
      <c r="A223" s="6">
        <v>45035</v>
      </c>
      <c r="B223">
        <v>50</v>
      </c>
      <c r="C223">
        <v>30</v>
      </c>
      <c r="D223">
        <v>10</v>
      </c>
      <c r="E223">
        <v>5</v>
      </c>
      <c r="F223">
        <f t="shared" si="47"/>
        <v>95</v>
      </c>
      <c r="G223">
        <f t="shared" si="51"/>
        <v>50</v>
      </c>
      <c r="H223">
        <f t="shared" si="52"/>
        <v>150</v>
      </c>
      <c r="I223">
        <f t="shared" si="53"/>
        <v>90</v>
      </c>
      <c r="J223">
        <f t="shared" si="54"/>
        <v>80</v>
      </c>
      <c r="K223">
        <f t="shared" si="48"/>
        <v>370</v>
      </c>
      <c r="L223">
        <f>G223*Return!B223*100</f>
        <v>62.500000000000888</v>
      </c>
      <c r="M223">
        <f>H223*Return!C223*100</f>
        <v>140.99999999999778</v>
      </c>
      <c r="N223">
        <f>I223*Return!D223*100</f>
        <v>101.69999999999879</v>
      </c>
      <c r="O223">
        <f>J223*Return!E223*100</f>
        <v>64.000000000000057</v>
      </c>
      <c r="P223">
        <f t="shared" si="55"/>
        <v>369.19999999999749</v>
      </c>
      <c r="Q223">
        <f>SUM($P$148:P223)</f>
        <v>742.50000000000023</v>
      </c>
      <c r="R223">
        <f>B223*中国_中债国债到期收益率_1年!B222/365*100</f>
        <v>30.158904109589042</v>
      </c>
      <c r="S223">
        <f>C223*中国_中债国债到期收益率_1年!C222/365*100</f>
        <v>22.070136986301371</v>
      </c>
      <c r="T223">
        <f>D223*中国_中债国债到期收益率_1年!D222/365*100</f>
        <v>7.7586301369863024</v>
      </c>
      <c r="U223">
        <f>E223*中国_中债国债到期收益率_1年!E222/365*100</f>
        <v>4.3912328767123281</v>
      </c>
      <c r="V223">
        <f t="shared" si="56"/>
        <v>64.378904109589044</v>
      </c>
      <c r="W223">
        <f>SUM($V$148:V223)</f>
        <v>3890.5016438356165</v>
      </c>
      <c r="X223">
        <f>MAX(F223-50,0)*中国_中债国债到期收益率_1年!H223*100/365</f>
        <v>26.506849315068493</v>
      </c>
      <c r="Y223">
        <f>SUM($X$148:X223)</f>
        <v>1371.6652054794517</v>
      </c>
      <c r="Z223">
        <v>40</v>
      </c>
      <c r="AB223">
        <f>Z223*Return!F227*100</f>
        <v>67.999999999999616</v>
      </c>
      <c r="AC223">
        <f>AA223*Return!G227*100</f>
        <v>0</v>
      </c>
      <c r="AD223">
        <f>SUM($AB$148:AB223)+SUM($AC$148:AC223)</f>
        <v>980.69999999999925</v>
      </c>
      <c r="AE223">
        <f t="shared" si="49"/>
        <v>4242.0364383561646</v>
      </c>
      <c r="AF223">
        <f t="shared" si="50"/>
        <v>1.0084840728767124</v>
      </c>
      <c r="AG223" s="4">
        <f>(AF223/AF222-1)-中国_中债国债到期收益率_1年!H223%/252</f>
        <v>8.5772185822132504E-4</v>
      </c>
      <c r="AH223" s="4">
        <f>MIN((AF223-MAX($AF$151:AF223))/MAX($AF$151:AF223),0)</f>
        <v>-3.825696075491015E-4</v>
      </c>
    </row>
    <row r="224" spans="1:34" x14ac:dyDescent="0.25">
      <c r="A224" s="6">
        <v>45036</v>
      </c>
      <c r="B224">
        <v>50</v>
      </c>
      <c r="C224">
        <v>30</v>
      </c>
      <c r="D224">
        <v>10</v>
      </c>
      <c r="E224">
        <v>5</v>
      </c>
      <c r="F224">
        <f t="shared" si="47"/>
        <v>95</v>
      </c>
      <c r="G224">
        <f t="shared" si="51"/>
        <v>50</v>
      </c>
      <c r="H224">
        <f t="shared" si="52"/>
        <v>150</v>
      </c>
      <c r="I224">
        <f t="shared" si="53"/>
        <v>90</v>
      </c>
      <c r="J224">
        <f t="shared" si="54"/>
        <v>80</v>
      </c>
      <c r="K224">
        <f t="shared" si="48"/>
        <v>370</v>
      </c>
      <c r="L224">
        <f>G224*Return!B224*100</f>
        <v>62.500000000000888</v>
      </c>
      <c r="M224">
        <f>H224*Return!C224*100</f>
        <v>175.49999999999733</v>
      </c>
      <c r="N224">
        <f>I224*Return!D224*100</f>
        <v>-12.599999999998612</v>
      </c>
      <c r="O224">
        <f>J224*Return!E224*100</f>
        <v>144.80000000000004</v>
      </c>
      <c r="P224">
        <f t="shared" si="55"/>
        <v>370.19999999999965</v>
      </c>
      <c r="Q224">
        <f>SUM($P$148:P224)</f>
        <v>1112.6999999999998</v>
      </c>
      <c r="R224">
        <f>B224*中国_中债国债到期收益率_1年!B223/365*100</f>
        <v>29.987671232876707</v>
      </c>
      <c r="S224">
        <f>C224*中国_中债国债到期收益率_1年!C223/365*100</f>
        <v>21.973972602739732</v>
      </c>
      <c r="T224">
        <f>D224*中国_中债国债到期收益率_1年!D223/365*100</f>
        <v>7.7624657534246575</v>
      </c>
      <c r="U224">
        <f>E224*中国_中债国债到期收益率_1年!E223/365*100</f>
        <v>4.3664383561643838</v>
      </c>
      <c r="V224">
        <f t="shared" si="56"/>
        <v>64.090547945205486</v>
      </c>
      <c r="W224">
        <f>SUM($V$148:V224)</f>
        <v>3954.5921917808218</v>
      </c>
      <c r="X224">
        <f>MAX(F224-50,0)*中国_中债国债到期收益率_1年!H224*100/365</f>
        <v>26.506849315068493</v>
      </c>
      <c r="Y224">
        <f>SUM($X$148:X224)</f>
        <v>1398.1720547945201</v>
      </c>
      <c r="AB224">
        <f>Z224*Return!F228*100</f>
        <v>0</v>
      </c>
      <c r="AC224">
        <f>AA224*Return!G228*100</f>
        <v>0</v>
      </c>
      <c r="AD224">
        <f>SUM($AB$148:AB224)+SUM($AC$148:AC224)</f>
        <v>980.69999999999925</v>
      </c>
      <c r="AE224">
        <f t="shared" si="49"/>
        <v>4649.8201369863</v>
      </c>
      <c r="AF224">
        <f t="shared" si="50"/>
        <v>1.0092996402739727</v>
      </c>
      <c r="AG224" s="4">
        <f>(AF224/AF223-1)-中国_中债国债到期收益率_1年!H224%/252</f>
        <v>7.2338881397595342E-4</v>
      </c>
      <c r="AH224" s="4">
        <f>MIN((AF224-MAX($AF$151:AF224))/MAX($AF$151:AF224),0)</f>
        <v>0</v>
      </c>
    </row>
    <row r="225" spans="1:34" x14ac:dyDescent="0.25">
      <c r="A225" s="6">
        <v>45037</v>
      </c>
      <c r="B225">
        <v>50</v>
      </c>
      <c r="C225">
        <v>30</v>
      </c>
      <c r="D225">
        <v>10</v>
      </c>
      <c r="E225">
        <v>5</v>
      </c>
      <c r="F225">
        <f t="shared" si="47"/>
        <v>95</v>
      </c>
      <c r="G225">
        <f t="shared" si="51"/>
        <v>50</v>
      </c>
      <c r="H225">
        <f t="shared" si="52"/>
        <v>150</v>
      </c>
      <c r="I225">
        <f t="shared" si="53"/>
        <v>90</v>
      </c>
      <c r="J225">
        <f t="shared" si="54"/>
        <v>80</v>
      </c>
      <c r="K225">
        <f t="shared" si="48"/>
        <v>370</v>
      </c>
      <c r="L225">
        <f>G225*Return!B225*100</f>
        <v>-7.0000000000014495</v>
      </c>
      <c r="M225">
        <f>H225*Return!C225*100</f>
        <v>37.500000000005862</v>
      </c>
      <c r="N225">
        <f>I225*Return!D225*100</f>
        <v>0.89999999999790248</v>
      </c>
      <c r="O225">
        <f>J225*Return!E225*100</f>
        <v>79.999999999998295</v>
      </c>
      <c r="P225">
        <f t="shared" si="55"/>
        <v>111.4000000000006</v>
      </c>
      <c r="Q225">
        <f>SUM($P$148:P225)</f>
        <v>1224.1000000000004</v>
      </c>
      <c r="R225">
        <f>B225*中国_中债国债到期收益率_1年!B224/365*100</f>
        <v>30.006849315068497</v>
      </c>
      <c r="S225">
        <f>C225*中国_中债国债到期收益率_1年!C224/365*100</f>
        <v>21.953424657534246</v>
      </c>
      <c r="T225">
        <f>D225*中国_中债国债到期收益率_1年!D224/365*100</f>
        <v>7.7621917808219187</v>
      </c>
      <c r="U225">
        <f>E225*中国_中债国债到期收益率_1年!E224/365*100</f>
        <v>4.3527397260273979</v>
      </c>
      <c r="V225">
        <f t="shared" si="56"/>
        <v>64.075205479452052</v>
      </c>
      <c r="W225">
        <f>SUM($V$148:V225)</f>
        <v>4018.6673972602739</v>
      </c>
      <c r="X225">
        <f>MAX(F225-50,0)*中国_中债国债到期收益率_1年!H225*100/365</f>
        <v>30.82191780821918</v>
      </c>
      <c r="Y225">
        <f>SUM($X$148:X225)</f>
        <v>1428.9939726027394</v>
      </c>
      <c r="AB225">
        <f>Z225*Return!F229*100</f>
        <v>0</v>
      </c>
      <c r="AC225">
        <f>AA225*Return!G229*100</f>
        <v>0</v>
      </c>
      <c r="AD225">
        <f>SUM($AB$148:AB225)+SUM($AC$148:AC225)</f>
        <v>980.69999999999925</v>
      </c>
      <c r="AE225">
        <f t="shared" si="49"/>
        <v>4794.4734246575335</v>
      </c>
      <c r="AF225">
        <f t="shared" si="50"/>
        <v>1.0095889468493151</v>
      </c>
      <c r="AG225" s="4">
        <f>(AF225/AF224-1)-中国_中债国债到期收益率_1年!H225%/252</f>
        <v>1.8743456871173035E-4</v>
      </c>
      <c r="AH225" s="4">
        <f>MIN((AF225-MAX($AF$151:AF225))/MAX($AF$151:AF225),0)</f>
        <v>0</v>
      </c>
    </row>
    <row r="226" spans="1:34" x14ac:dyDescent="0.25">
      <c r="A226" s="6">
        <v>45039</v>
      </c>
      <c r="B226">
        <v>50</v>
      </c>
      <c r="C226">
        <v>30</v>
      </c>
      <c r="D226">
        <v>10</v>
      </c>
      <c r="E226">
        <v>5</v>
      </c>
      <c r="F226">
        <f t="shared" si="47"/>
        <v>95</v>
      </c>
      <c r="G226">
        <f t="shared" si="51"/>
        <v>50</v>
      </c>
      <c r="H226">
        <f t="shared" si="52"/>
        <v>150</v>
      </c>
      <c r="I226">
        <f t="shared" si="53"/>
        <v>90</v>
      </c>
      <c r="J226">
        <f t="shared" si="54"/>
        <v>80</v>
      </c>
      <c r="K226">
        <f t="shared" si="48"/>
        <v>370</v>
      </c>
      <c r="L226">
        <f>G226*Return!B226*100</f>
        <v>5.5000000000005045</v>
      </c>
      <c r="M226">
        <f>H226*Return!C226*100</f>
        <v>29.999999999996696</v>
      </c>
      <c r="N226">
        <f>I226*Return!D226*100</f>
        <v>66.600000000000662</v>
      </c>
      <c r="O226">
        <f>J226*Return!E226*100</f>
        <v>39.200000000001012</v>
      </c>
      <c r="P226">
        <f t="shared" si="55"/>
        <v>141.29999999999887</v>
      </c>
      <c r="Q226">
        <f>SUM($P$148:P226)</f>
        <v>1365.3999999999992</v>
      </c>
      <c r="R226">
        <f>B226*中国_中债国债到期收益率_1年!B225/365*100</f>
        <v>29.991780821917807</v>
      </c>
      <c r="S226">
        <f>C226*中国_中债国债到期收益率_1年!C225/365*100</f>
        <v>21.936986301369863</v>
      </c>
      <c r="T226">
        <f>D226*中国_中债国债到期收益率_1年!D225/365*100</f>
        <v>7.7419178082191786</v>
      </c>
      <c r="U226">
        <f>E226*中国_中债国债到期收益率_1年!E225/365*100</f>
        <v>4.3460273972602739</v>
      </c>
      <c r="V226">
        <f t="shared" si="56"/>
        <v>64.016712328767127</v>
      </c>
      <c r="W226">
        <f>SUM($V$148:V226)</f>
        <v>4082.6841095890409</v>
      </c>
      <c r="X226">
        <f>MAX(F226-50,0)*中国_中债国债到期收益率_1年!H226*100/365</f>
        <v>25.890410958904109</v>
      </c>
      <c r="Y226">
        <f>SUM($X$148:X226)</f>
        <v>1454.8843835616435</v>
      </c>
      <c r="AB226">
        <f>Z226*Return!F230*100</f>
        <v>0</v>
      </c>
      <c r="AC226">
        <f>AA226*Return!G230*100</f>
        <v>0</v>
      </c>
      <c r="AD226">
        <f>SUM($AB$148:AB226)+SUM($AC$148:AC226)</f>
        <v>980.69999999999925</v>
      </c>
      <c r="AE226">
        <f t="shared" si="49"/>
        <v>4973.8997260273954</v>
      </c>
      <c r="AF226">
        <f t="shared" si="50"/>
        <v>1.0099477994520547</v>
      </c>
      <c r="AG226" s="4">
        <f>(AF226/AF225-1)-中国_中债国债到期收益率_1年!H226%/252</f>
        <v>2.7211093322631241E-4</v>
      </c>
      <c r="AH226" s="4">
        <f>MIN((AF226-MAX($AF$151:AF226))/MAX($AF$151:AF226),0)</f>
        <v>0</v>
      </c>
    </row>
    <row r="227" spans="1:34" x14ac:dyDescent="0.25">
      <c r="A227" s="6">
        <v>45040</v>
      </c>
      <c r="B227">
        <v>50</v>
      </c>
      <c r="C227">
        <v>30</v>
      </c>
      <c r="D227">
        <v>10</v>
      </c>
      <c r="E227">
        <v>5</v>
      </c>
      <c r="F227">
        <f t="shared" si="47"/>
        <v>95</v>
      </c>
      <c r="G227">
        <f t="shared" si="51"/>
        <v>50</v>
      </c>
      <c r="H227">
        <f t="shared" si="52"/>
        <v>150</v>
      </c>
      <c r="I227">
        <f t="shared" si="53"/>
        <v>90</v>
      </c>
      <c r="J227">
        <f t="shared" si="54"/>
        <v>80</v>
      </c>
      <c r="K227">
        <f t="shared" si="48"/>
        <v>370</v>
      </c>
      <c r="L227">
        <f>G227*Return!B227*100</f>
        <v>-5.9999999999993392</v>
      </c>
      <c r="M227">
        <f>H227*Return!C227*100</f>
        <v>11.999999999998678</v>
      </c>
      <c r="N227">
        <f>I227*Return!D227*100</f>
        <v>34.20000000000023</v>
      </c>
      <c r="O227">
        <f>J227*Return!E227*100</f>
        <v>8.8000000000008072</v>
      </c>
      <c r="P227">
        <f t="shared" si="55"/>
        <v>49.000000000000377</v>
      </c>
      <c r="Q227">
        <f>SUM($P$148:P227)</f>
        <v>1414.3999999999996</v>
      </c>
      <c r="R227">
        <f>B227*中国_中债国债到期收益率_1年!B226/365*100</f>
        <v>30.008219178082189</v>
      </c>
      <c r="S227">
        <f>C227*中国_中债国债到期收益率_1年!C226/365*100</f>
        <v>21.930410958904112</v>
      </c>
      <c r="T227">
        <f>D227*中国_中债国债到期收益率_1年!D226/365*100</f>
        <v>7.7315068493150685</v>
      </c>
      <c r="U227">
        <f>E227*中国_中债国债到期收益率_1年!E226/365*100</f>
        <v>4.3445205479452058</v>
      </c>
      <c r="V227">
        <f t="shared" si="56"/>
        <v>64.014657534246581</v>
      </c>
      <c r="W227">
        <f>SUM($V$148:V227)</f>
        <v>4146.6987671232873</v>
      </c>
      <c r="X227">
        <f>MAX(F227-50,0)*中国_中债国债到期收益率_1年!H227*100/365</f>
        <v>31.438356164383556</v>
      </c>
      <c r="Y227">
        <f>SUM($X$148:X227)</f>
        <v>1486.3227397260271</v>
      </c>
      <c r="AB227">
        <f>Z227*Return!F231*100</f>
        <v>0</v>
      </c>
      <c r="AC227">
        <f>AA227*Return!G231*100</f>
        <v>0</v>
      </c>
      <c r="AD227">
        <f>SUM($AB$148:AB227)+SUM($AC$148:AC227)</f>
        <v>980.69999999999925</v>
      </c>
      <c r="AE227">
        <f t="shared" si="49"/>
        <v>5055.4760273972588</v>
      </c>
      <c r="AF227">
        <f t="shared" si="50"/>
        <v>1.0101109520547946</v>
      </c>
      <c r="AG227" s="4">
        <f>(AF227/AF226-1)-中国_中债国债到期收益率_1年!H227%/252</f>
        <v>6.0355103520121837E-5</v>
      </c>
      <c r="AH227" s="4">
        <f>MIN((AF227-MAX($AF$151:AF227))/MAX($AF$151:AF227),0)</f>
        <v>0</v>
      </c>
    </row>
    <row r="228" spans="1:34" x14ac:dyDescent="0.25">
      <c r="A228" s="6">
        <v>45041</v>
      </c>
      <c r="B228">
        <v>50</v>
      </c>
      <c r="C228">
        <v>30</v>
      </c>
      <c r="D228">
        <v>10</v>
      </c>
      <c r="E228">
        <v>5</v>
      </c>
      <c r="F228">
        <f t="shared" si="47"/>
        <v>95</v>
      </c>
      <c r="G228">
        <f t="shared" si="51"/>
        <v>50</v>
      </c>
      <c r="H228">
        <f t="shared" si="52"/>
        <v>150</v>
      </c>
      <c r="I228">
        <f t="shared" si="53"/>
        <v>90</v>
      </c>
      <c r="J228">
        <f t="shared" si="54"/>
        <v>80</v>
      </c>
      <c r="K228">
        <f t="shared" si="48"/>
        <v>370</v>
      </c>
      <c r="L228">
        <f>G228*Return!B228*100</f>
        <v>25.499999999998302</v>
      </c>
      <c r="M228">
        <f>H228*Return!C228*100</f>
        <v>75.000000000005059</v>
      </c>
      <c r="N228">
        <f>I228*Return!D228*100</f>
        <v>39.599999999999639</v>
      </c>
      <c r="O228">
        <f>J228*Return!E228*100</f>
        <v>85.599999999999454</v>
      </c>
      <c r="P228">
        <f t="shared" si="55"/>
        <v>225.70000000000243</v>
      </c>
      <c r="Q228">
        <f>SUM($P$148:P228)</f>
        <v>1640.1000000000022</v>
      </c>
      <c r="R228">
        <f>B228*中国_中债国债到期收益率_1年!B227/365*100</f>
        <v>29.938356164383563</v>
      </c>
      <c r="S228">
        <f>C228*中国_中债国债到期收益率_1年!C227/365*100</f>
        <v>21.889315068493147</v>
      </c>
      <c r="T228">
        <f>D228*中国_中债国债到期收益率_1年!D227/365*100</f>
        <v>7.7194520547945205</v>
      </c>
      <c r="U228">
        <f>E228*中国_中债国债到期收益率_1年!E227/365*100</f>
        <v>4.3298630136986302</v>
      </c>
      <c r="V228">
        <f t="shared" si="56"/>
        <v>63.876986301369861</v>
      </c>
      <c r="W228">
        <f>SUM($V$148:V228)</f>
        <v>4210.5757534246568</v>
      </c>
      <c r="X228">
        <f>MAX(F228-50,0)*中国_中债国债到期收益率_1年!H228*100/365</f>
        <v>32.054794520547944</v>
      </c>
      <c r="Y228">
        <f>SUM($X$148:X228)</f>
        <v>1518.3775342465751</v>
      </c>
      <c r="AB228">
        <f>Z228*Return!F232*100</f>
        <v>0</v>
      </c>
      <c r="AC228">
        <f>AA228*Return!G232*100</f>
        <v>0</v>
      </c>
      <c r="AD228">
        <f>SUM($AB$148:AB228)+SUM($AC$148:AC228)</f>
        <v>980.69999999999925</v>
      </c>
      <c r="AE228">
        <f t="shared" si="49"/>
        <v>5312.9982191780828</v>
      </c>
      <c r="AF228">
        <f t="shared" si="50"/>
        <v>1.0106259964383562</v>
      </c>
      <c r="AG228" s="4">
        <f>(AF228/AF227-1)-中国_中债国债到期收益率_1年!H228%/252</f>
        <v>4.0671431795219666E-4</v>
      </c>
      <c r="AH228" s="4">
        <f>MIN((AF228-MAX($AF$151:AF228))/MAX($AF$151:AF228),0)</f>
        <v>0</v>
      </c>
    </row>
    <row r="229" spans="1:34" x14ac:dyDescent="0.25">
      <c r="A229" s="6">
        <v>45042</v>
      </c>
      <c r="B229">
        <v>50</v>
      </c>
      <c r="C229">
        <v>30</v>
      </c>
      <c r="D229">
        <v>10</v>
      </c>
      <c r="E229">
        <v>5</v>
      </c>
      <c r="F229">
        <f t="shared" si="47"/>
        <v>95</v>
      </c>
      <c r="G229">
        <f t="shared" si="51"/>
        <v>50</v>
      </c>
      <c r="H229">
        <f t="shared" si="52"/>
        <v>150</v>
      </c>
      <c r="I229">
        <f t="shared" si="53"/>
        <v>90</v>
      </c>
      <c r="J229">
        <f t="shared" si="54"/>
        <v>80</v>
      </c>
      <c r="K229">
        <f t="shared" si="48"/>
        <v>370</v>
      </c>
      <c r="L229">
        <f>G229*Return!B229*100</f>
        <v>50.50000000000221</v>
      </c>
      <c r="M229">
        <f>H229*Return!C229*100</f>
        <v>49.499999999997883</v>
      </c>
      <c r="N229">
        <f>I229*Return!D229*100</f>
        <v>17.100000000000115</v>
      </c>
      <c r="O229">
        <f>J229*Return!E229*100</f>
        <v>19.200000000001438</v>
      </c>
      <c r="P229">
        <f t="shared" si="55"/>
        <v>136.30000000000163</v>
      </c>
      <c r="Q229">
        <f>SUM($P$148:P229)</f>
        <v>1776.4000000000037</v>
      </c>
      <c r="R229">
        <f>B229*中国_中债国债到期收益率_1年!B228/365*100</f>
        <v>29.799999999999994</v>
      </c>
      <c r="S229">
        <f>C229*中国_中债国债到期收益率_1年!C228/365*100</f>
        <v>21.862191780821917</v>
      </c>
      <c r="T229">
        <f>D229*中国_中债国债到期收益率_1年!D228/365*100</f>
        <v>7.7142465753424663</v>
      </c>
      <c r="U229">
        <f>E229*中国_中债国债到期收益率_1年!E228/365*100</f>
        <v>4.3265753424657536</v>
      </c>
      <c r="V229">
        <f t="shared" si="56"/>
        <v>63.70301369863013</v>
      </c>
      <c r="W229">
        <f>SUM($V$148:V229)</f>
        <v>4274.2787671232873</v>
      </c>
      <c r="X229">
        <f>MAX(F229-50,0)*中国_中债国债到期收益率_1年!H229*100/365</f>
        <v>30.82191780821918</v>
      </c>
      <c r="Y229">
        <f>SUM($X$148:X229)</f>
        <v>1549.1994520547944</v>
      </c>
      <c r="AB229">
        <f>Z229*Return!F233*100</f>
        <v>0</v>
      </c>
      <c r="AC229">
        <f>AA229*Return!G233*100</f>
        <v>0</v>
      </c>
      <c r="AD229">
        <f>SUM($AB$148:AB229)+SUM($AC$148:AC229)</f>
        <v>980.69999999999925</v>
      </c>
      <c r="AE229">
        <f t="shared" si="49"/>
        <v>5482.1793150684953</v>
      </c>
      <c r="AF229">
        <f t="shared" si="50"/>
        <v>1.0109643586301369</v>
      </c>
      <c r="AG229" s="4">
        <f>(AF229/AF228-1)-中国_中债国债到期收益率_1年!H229%/252</f>
        <v>2.3559821051521954E-4</v>
      </c>
      <c r="AH229" s="4">
        <f>MIN((AF229-MAX($AF$151:AF229))/MAX($AF$151:AF229),0)</f>
        <v>0</v>
      </c>
    </row>
    <row r="230" spans="1:34" x14ac:dyDescent="0.25">
      <c r="A230" s="6">
        <v>45043</v>
      </c>
      <c r="B230">
        <v>50</v>
      </c>
      <c r="C230">
        <v>30</v>
      </c>
      <c r="D230">
        <v>10</v>
      </c>
      <c r="E230">
        <v>5</v>
      </c>
      <c r="F230">
        <f t="shared" si="47"/>
        <v>95</v>
      </c>
      <c r="G230">
        <f t="shared" si="51"/>
        <v>50</v>
      </c>
      <c r="H230">
        <f t="shared" si="52"/>
        <v>150</v>
      </c>
      <c r="I230">
        <f t="shared" si="53"/>
        <v>90</v>
      </c>
      <c r="J230">
        <f t="shared" si="54"/>
        <v>80</v>
      </c>
      <c r="K230">
        <f t="shared" si="48"/>
        <v>370</v>
      </c>
      <c r="L230">
        <f>G230*Return!B230*100</f>
        <v>13.499999999999623</v>
      </c>
      <c r="M230">
        <f>H230*Return!C230*100</f>
        <v>335.99999999999631</v>
      </c>
      <c r="N230">
        <f>I230*Return!D230*100</f>
        <v>89.100000000000179</v>
      </c>
      <c r="O230">
        <f>J230*Return!E230*100</f>
        <v>7.9999999999991189</v>
      </c>
      <c r="P230">
        <f t="shared" si="55"/>
        <v>446.59999999999525</v>
      </c>
      <c r="Q230">
        <f>SUM($P$148:P230)</f>
        <v>2222.9999999999991</v>
      </c>
      <c r="R230">
        <f>B230*中国_中债国债到期收益率_1年!B229/365*100</f>
        <v>29.763013698630136</v>
      </c>
      <c r="S230">
        <f>C230*中国_中债国债到期收益率_1年!C229/365*100</f>
        <v>21.678082191780824</v>
      </c>
      <c r="T230">
        <f>D230*中国_中债国债到期收益率_1年!D229/365*100</f>
        <v>7.6871232876712323</v>
      </c>
      <c r="U230">
        <f>E230*中国_中债国债到期收益率_1年!E229/365*100</f>
        <v>4.3252054794520545</v>
      </c>
      <c r="V230">
        <f t="shared" si="56"/>
        <v>63.453424657534249</v>
      </c>
      <c r="W230">
        <f>SUM($V$148:V230)</f>
        <v>4337.7321917808213</v>
      </c>
      <c r="X230">
        <f>MAX(F230-50,0)*中国_中债国债到期收益率_1年!H230*100/365</f>
        <v>30.82191780821918</v>
      </c>
      <c r="Y230">
        <f>SUM($X$148:X230)</f>
        <v>1580.0213698630137</v>
      </c>
      <c r="AB230">
        <f>Z230*Return!F234*100</f>
        <v>0</v>
      </c>
      <c r="AC230">
        <f>AA230*Return!G234*100</f>
        <v>0</v>
      </c>
      <c r="AD230">
        <f>SUM($AB$148:AB230)+SUM($AC$148:AC230)</f>
        <v>980.69999999999925</v>
      </c>
      <c r="AE230">
        <f t="shared" si="49"/>
        <v>5961.4108219178052</v>
      </c>
      <c r="AF230">
        <f t="shared" si="50"/>
        <v>1.0119228216438356</v>
      </c>
      <c r="AG230" s="4">
        <f>(AF230/AF229-1)-中国_中债国债到期收益率_1年!H230%/252</f>
        <v>8.4886170632569836E-4</v>
      </c>
      <c r="AH230" s="4">
        <f>MIN((AF230-MAX($AF$151:AF230))/MAX($AF$151:AF230),0)</f>
        <v>0</v>
      </c>
    </row>
    <row r="231" spans="1:34" x14ac:dyDescent="0.25">
      <c r="A231" s="6">
        <v>45044</v>
      </c>
      <c r="B231">
        <v>50</v>
      </c>
      <c r="C231">
        <v>30</v>
      </c>
      <c r="D231">
        <v>10</v>
      </c>
      <c r="E231">
        <v>5</v>
      </c>
      <c r="F231">
        <f t="shared" si="47"/>
        <v>95</v>
      </c>
      <c r="G231">
        <f t="shared" si="51"/>
        <v>50</v>
      </c>
      <c r="H231">
        <f t="shared" si="52"/>
        <v>150</v>
      </c>
      <c r="I231">
        <f t="shared" si="53"/>
        <v>90</v>
      </c>
      <c r="J231">
        <f t="shared" si="54"/>
        <v>80</v>
      </c>
      <c r="K231">
        <f t="shared" si="48"/>
        <v>370</v>
      </c>
      <c r="L231">
        <f>G231*Return!B231*100</f>
        <v>83.499999999998579</v>
      </c>
      <c r="M231">
        <f>H231*Return!C231*100</f>
        <v>334.49999999999977</v>
      </c>
      <c r="N231">
        <f>I231*Return!D231*100</f>
        <v>185.39999999999958</v>
      </c>
      <c r="O231">
        <f>J231*Return!E231*100</f>
        <v>155.99999999999881</v>
      </c>
      <c r="P231">
        <f t="shared" si="55"/>
        <v>759.39999999999668</v>
      </c>
      <c r="Q231">
        <f>SUM($P$148:P231)</f>
        <v>2982.399999999996</v>
      </c>
      <c r="R231">
        <f>B231*中国_中债国债到期收益率_1年!B230/365*100</f>
        <v>29.534246575342472</v>
      </c>
      <c r="S231">
        <f>C231*中国_中债国债到期收益率_1年!C230/365*100</f>
        <v>21.494794520547948</v>
      </c>
      <c r="T231">
        <f>D231*中国_中债国债到期收益率_1年!D230/365*100</f>
        <v>7.6306849315068499</v>
      </c>
      <c r="U231">
        <f>E231*中国_中债国债到期收益率_1年!E230/365*100</f>
        <v>4.2984931506849318</v>
      </c>
      <c r="V231">
        <f t="shared" si="56"/>
        <v>62.958219178082203</v>
      </c>
      <c r="W231">
        <f>SUM($V$148:V231)</f>
        <v>4400.6904109589032</v>
      </c>
      <c r="X231">
        <f>MAX(F231-50,0)*中国_中债国债到期收益率_1年!H231*100/365</f>
        <v>29.589041095890412</v>
      </c>
      <c r="Y231">
        <f>SUM($X$148:X231)</f>
        <v>1609.6104109589041</v>
      </c>
      <c r="AB231">
        <f>Z231*Return!F235*100</f>
        <v>0</v>
      </c>
      <c r="AC231">
        <f>AA231*Return!G235*100</f>
        <v>0</v>
      </c>
      <c r="AD231">
        <f>SUM($AB$148:AB231)+SUM($AC$148:AC231)</f>
        <v>980.69999999999925</v>
      </c>
      <c r="AE231">
        <f t="shared" si="49"/>
        <v>6754.1799999999939</v>
      </c>
      <c r="AF231">
        <f t="shared" si="50"/>
        <v>1.0135083599999999</v>
      </c>
      <c r="AG231" s="4">
        <f>(AF231/AF230-1)-中国_中债国债到期收益率_1年!H231%/252</f>
        <v>1.4716189043782442E-3</v>
      </c>
      <c r="AH231" s="4">
        <f>MIN((AF231-MAX($AF$151:AF231))/MAX($AF$151:AF231),0)</f>
        <v>0</v>
      </c>
    </row>
    <row r="232" spans="1:34" x14ac:dyDescent="0.25">
      <c r="A232" s="6">
        <v>45050</v>
      </c>
      <c r="B232">
        <v>50</v>
      </c>
      <c r="C232">
        <v>30</v>
      </c>
      <c r="D232">
        <v>10</v>
      </c>
      <c r="E232">
        <v>5</v>
      </c>
      <c r="F232">
        <f t="shared" si="47"/>
        <v>95</v>
      </c>
      <c r="G232">
        <f t="shared" si="51"/>
        <v>50</v>
      </c>
      <c r="H232">
        <f t="shared" si="52"/>
        <v>150</v>
      </c>
      <c r="I232">
        <f t="shared" si="53"/>
        <v>90</v>
      </c>
      <c r="J232">
        <f t="shared" si="54"/>
        <v>80</v>
      </c>
      <c r="K232">
        <f t="shared" si="48"/>
        <v>370</v>
      </c>
      <c r="L232">
        <f>G232*Return!B232*100</f>
        <v>48.000000000001378</v>
      </c>
      <c r="M232">
        <f>H232*Return!C232*100</f>
        <v>33.000000000003027</v>
      </c>
      <c r="N232">
        <f>I232*Return!D232*100</f>
        <v>57.60000000000165</v>
      </c>
      <c r="O232">
        <f>J232*Return!E232*100</f>
        <v>19.200000000001438</v>
      </c>
      <c r="P232">
        <f t="shared" si="55"/>
        <v>157.80000000000749</v>
      </c>
      <c r="Q232">
        <f>SUM($P$148:P232)</f>
        <v>3140.2000000000035</v>
      </c>
      <c r="R232">
        <f>B232*中国_中债国债到期收益率_1年!B231/365*100</f>
        <v>29.402739726027395</v>
      </c>
      <c r="S232">
        <f>C232*中国_中债国债到期收益率_1年!C231/365*100</f>
        <v>21.476712328767121</v>
      </c>
      <c r="T232">
        <f>D232*中国_中债国债到期收益率_1年!D231/365*100</f>
        <v>7.6131506849315063</v>
      </c>
      <c r="U232">
        <f>E232*中国_中债国债到期收益率_1年!E231/365*100</f>
        <v>4.2952054794520551</v>
      </c>
      <c r="V232">
        <f t="shared" si="56"/>
        <v>62.787808219178075</v>
      </c>
      <c r="W232">
        <f>SUM($V$148:V232)</f>
        <v>4463.4782191780814</v>
      </c>
      <c r="X232">
        <f>MAX(F232-50,0)*中国_中债国债到期收益率_1年!H232*100/365</f>
        <v>24.836301369863012</v>
      </c>
      <c r="Y232">
        <f>SUM($X$148:X232)</f>
        <v>1634.4467123287673</v>
      </c>
      <c r="AB232">
        <f>Z232*Return!F236*100</f>
        <v>0</v>
      </c>
      <c r="AC232">
        <f>AA232*Return!G236*100</f>
        <v>0</v>
      </c>
      <c r="AD232">
        <f>SUM($AB$148:AB232)+SUM($AC$148:AC232)</f>
        <v>980.69999999999925</v>
      </c>
      <c r="AE232">
        <f t="shared" si="49"/>
        <v>6949.9315068493179</v>
      </c>
      <c r="AF232">
        <f t="shared" si="50"/>
        <v>1.0138998630136986</v>
      </c>
      <c r="AG232" s="4">
        <f>(AF232/AF231-1)-中国_中债国债到期收益率_1年!H232%/252</f>
        <v>3.0634446150718008E-4</v>
      </c>
      <c r="AH232" s="4">
        <f>MIN((AF232-MAX($AF$151:AF232))/MAX($AF$151:AF232),0)</f>
        <v>0</v>
      </c>
    </row>
    <row r="233" spans="1:34" x14ac:dyDescent="0.25">
      <c r="A233" s="6">
        <v>45051</v>
      </c>
      <c r="B233">
        <v>50</v>
      </c>
      <c r="C233">
        <v>30</v>
      </c>
      <c r="D233">
        <v>10</v>
      </c>
      <c r="E233">
        <v>5</v>
      </c>
      <c r="F233">
        <f t="shared" si="47"/>
        <v>95</v>
      </c>
      <c r="G233">
        <f t="shared" si="51"/>
        <v>50</v>
      </c>
      <c r="H233">
        <f t="shared" si="52"/>
        <v>150</v>
      </c>
      <c r="I233">
        <f t="shared" si="53"/>
        <v>90</v>
      </c>
      <c r="J233">
        <f t="shared" si="54"/>
        <v>80</v>
      </c>
      <c r="K233">
        <f t="shared" si="48"/>
        <v>370</v>
      </c>
      <c r="L233">
        <f>G233*Return!B233*100</f>
        <v>50.99999999999882</v>
      </c>
      <c r="M233">
        <f>H233*Return!C233*100</f>
        <v>242.99999999999989</v>
      </c>
      <c r="N233">
        <f>I233*Return!D233*100</f>
        <v>157.50000000000063</v>
      </c>
      <c r="O233">
        <f>J233*Return!E233*100</f>
        <v>138.40000000000074</v>
      </c>
      <c r="P233">
        <f t="shared" si="55"/>
        <v>589.90000000000009</v>
      </c>
      <c r="Q233">
        <f>SUM($P$148:P233)</f>
        <v>3730.1000000000035</v>
      </c>
      <c r="R233">
        <f>B233*中国_中债国债到期收益率_1年!B232/365*100</f>
        <v>29.263013698630136</v>
      </c>
      <c r="S233">
        <f>C233*中国_中债国债到期收益率_1年!C232/365*100</f>
        <v>21.343561643835613</v>
      </c>
      <c r="T233">
        <f>D233*中国_中债国债到期收益率_1年!D232/365*100</f>
        <v>7.5652054794520547</v>
      </c>
      <c r="U233">
        <f>E233*中国_中债国债到期收益率_1年!E232/365*100</f>
        <v>4.2715068493150685</v>
      </c>
      <c r="V233">
        <f t="shared" si="56"/>
        <v>62.443287671232866</v>
      </c>
      <c r="W233">
        <f>SUM($V$148:V233)</f>
        <v>4525.921506849314</v>
      </c>
      <c r="X233">
        <f>MAX(F233-50,0)*中国_中债国债到期收益率_1年!H233*100/365</f>
        <v>24.041095890410958</v>
      </c>
      <c r="Y233">
        <f>SUM($X$148:X233)</f>
        <v>1658.4878082191783</v>
      </c>
      <c r="AB233">
        <f>Z233*Return!F237*100</f>
        <v>0</v>
      </c>
      <c r="AC233">
        <f>AA233*Return!G237*100</f>
        <v>0</v>
      </c>
      <c r="AD233">
        <f>SUM($AB$148:AB233)+SUM($AC$148:AC233)</f>
        <v>980.69999999999925</v>
      </c>
      <c r="AE233">
        <f t="shared" si="49"/>
        <v>7578.2336986301389</v>
      </c>
      <c r="AF233">
        <f t="shared" si="50"/>
        <v>1.0151564673972602</v>
      </c>
      <c r="AG233" s="4">
        <f>(AF233/AF232-1)-中国_中债国债到期收益率_1年!H233%/252</f>
        <v>1.1619962577377337E-3</v>
      </c>
      <c r="AH233" s="4">
        <f>MIN((AF233-MAX($AF$151:AF233))/MAX($AF$151:AF233),0)</f>
        <v>0</v>
      </c>
    </row>
    <row r="234" spans="1:34" x14ac:dyDescent="0.25">
      <c r="A234" s="6">
        <v>45052</v>
      </c>
      <c r="B234">
        <v>50</v>
      </c>
      <c r="C234">
        <v>30</v>
      </c>
      <c r="D234">
        <v>10</v>
      </c>
      <c r="E234">
        <v>5</v>
      </c>
      <c r="F234">
        <f t="shared" si="47"/>
        <v>95</v>
      </c>
      <c r="G234">
        <f t="shared" si="51"/>
        <v>50</v>
      </c>
      <c r="H234">
        <f t="shared" si="52"/>
        <v>150</v>
      </c>
      <c r="I234">
        <f t="shared" si="53"/>
        <v>90</v>
      </c>
      <c r="J234">
        <f t="shared" si="54"/>
        <v>80</v>
      </c>
      <c r="K234">
        <f t="shared" si="48"/>
        <v>370</v>
      </c>
      <c r="L234">
        <f>G234*Return!B234*100</f>
        <v>48.000000000001378</v>
      </c>
      <c r="M234">
        <f>H234*Return!C234*100</f>
        <v>484.50000000000324</v>
      </c>
      <c r="N234">
        <f>I234*Return!D234*100</f>
        <v>247.49999999999872</v>
      </c>
      <c r="O234">
        <f>J234*Return!E234*100</f>
        <v>280.79999999999927</v>
      </c>
      <c r="P234">
        <f t="shared" si="55"/>
        <v>1060.8000000000027</v>
      </c>
      <c r="Q234">
        <f>SUM($P$148:P234)</f>
        <v>4790.900000000006</v>
      </c>
      <c r="R234">
        <f>B234*中国_中债国债到期收益率_1年!B233/365*100</f>
        <v>29.131506849315063</v>
      </c>
      <c r="S234">
        <f>C234*中国_中债国债到期收益率_1年!C233/365*100</f>
        <v>21.078082191780819</v>
      </c>
      <c r="T234">
        <f>D234*中国_中债国债到期收益率_1年!D233/365*100</f>
        <v>7.4898630136986304</v>
      </c>
      <c r="U234">
        <f>E234*中国_中债国债到期收益率_1年!E233/365*100</f>
        <v>4.2234246575342462</v>
      </c>
      <c r="V234">
        <f t="shared" si="56"/>
        <v>61.922876712328758</v>
      </c>
      <c r="W234">
        <f>SUM($V$148:V234)</f>
        <v>4587.8443835616426</v>
      </c>
      <c r="X234">
        <f>MAX(F234-50,0)*中国_中债国债到期收益率_1年!H234*100/365</f>
        <v>21.575342465753426</v>
      </c>
      <c r="Y234">
        <f>SUM($X$148:X234)</f>
        <v>1680.0631506849318</v>
      </c>
      <c r="AB234">
        <f>Z234*Return!F238*100</f>
        <v>0</v>
      </c>
      <c r="AC234">
        <f>AA234*Return!G238*100</f>
        <v>0</v>
      </c>
      <c r="AD234">
        <f>SUM($AB$148:AB234)+SUM($AC$148:AC234)</f>
        <v>980.69999999999925</v>
      </c>
      <c r="AE234">
        <f t="shared" si="49"/>
        <v>8679.3812328767162</v>
      </c>
      <c r="AF234">
        <f t="shared" si="50"/>
        <v>1.0173587624657534</v>
      </c>
      <c r="AG234" s="4">
        <f>(AF234/AF233-1)-中国_中债国债到期收益率_1年!H234%/252</f>
        <v>2.0999699652766266E-3</v>
      </c>
      <c r="AH234" s="4">
        <f>MIN((AF234-MAX($AF$151:AF234))/MAX($AF$151:AF234),0)</f>
        <v>0</v>
      </c>
    </row>
    <row r="235" spans="1:34" x14ac:dyDescent="0.25">
      <c r="A235" s="6">
        <v>45054</v>
      </c>
      <c r="B235">
        <v>50</v>
      </c>
      <c r="C235">
        <v>30</v>
      </c>
      <c r="D235">
        <v>10</v>
      </c>
      <c r="E235">
        <v>5</v>
      </c>
      <c r="F235">
        <f t="shared" si="47"/>
        <v>95</v>
      </c>
      <c r="G235">
        <f t="shared" si="51"/>
        <v>50</v>
      </c>
      <c r="H235">
        <f t="shared" si="52"/>
        <v>150</v>
      </c>
      <c r="I235">
        <f t="shared" si="53"/>
        <v>90</v>
      </c>
      <c r="J235">
        <f t="shared" si="54"/>
        <v>80</v>
      </c>
      <c r="K235">
        <f t="shared" si="48"/>
        <v>370</v>
      </c>
      <c r="L235">
        <f>G235*Return!B235*100</f>
        <v>25.499999999998302</v>
      </c>
      <c r="M235">
        <f>H235*Return!C235*100</f>
        <v>14.999999999998348</v>
      </c>
      <c r="N235">
        <f>I235*Return!D235*100</f>
        <v>24.299999999999322</v>
      </c>
      <c r="O235">
        <f>J235*Return!E235*100</f>
        <v>-40.800000000000836</v>
      </c>
      <c r="P235">
        <f t="shared" si="55"/>
        <v>23.99999999999514</v>
      </c>
      <c r="Q235">
        <f>SUM($P$148:P235)</f>
        <v>4814.9000000000015</v>
      </c>
      <c r="R235">
        <f>B235*中国_中债国债到期收益率_1年!B234/365*100</f>
        <v>29.06164383561644</v>
      </c>
      <c r="S235">
        <f>C235*中国_中债国债到期收益率_1年!C234/365*100</f>
        <v>21.06986301369863</v>
      </c>
      <c r="T235">
        <f>D235*中国_中债国债到期收益率_1年!D234/365*100</f>
        <v>7.4824657534246581</v>
      </c>
      <c r="U235">
        <f>E235*中国_中债国债到期收益率_1年!E234/365*100</f>
        <v>4.2304109589041099</v>
      </c>
      <c r="V235">
        <f t="shared" si="56"/>
        <v>61.844383561643838</v>
      </c>
      <c r="W235">
        <f>SUM($V$148:V235)</f>
        <v>4649.6887671232862</v>
      </c>
      <c r="X235">
        <f>MAX(F235-50,0)*中国_中债国债到期收益率_1年!H235*100/365</f>
        <v>24.657534246575342</v>
      </c>
      <c r="Y235">
        <f>SUM($X$148:X235)</f>
        <v>1704.7206849315071</v>
      </c>
      <c r="AB235">
        <f>Z235*Return!F239*100</f>
        <v>0</v>
      </c>
      <c r="AC235">
        <f>AA235*Return!G239*100</f>
        <v>0</v>
      </c>
      <c r="AD235">
        <f>SUM($AB$148:AB235)+SUM($AC$148:AC235)</f>
        <v>980.69999999999925</v>
      </c>
      <c r="AE235">
        <f t="shared" si="49"/>
        <v>8740.5680821917813</v>
      </c>
      <c r="AF235">
        <f t="shared" si="50"/>
        <v>1.0174811361643836</v>
      </c>
      <c r="AG235" s="4">
        <f>(AF235/AF234-1)-中国_中债国债到期收益率_1年!H235%/252</f>
        <v>4.0920608580119196E-5</v>
      </c>
      <c r="AH235" s="4">
        <f>MIN((AF235-MAX($AF$151:AF235))/MAX($AF$151:AF235),0)</f>
        <v>0</v>
      </c>
    </row>
    <row r="236" spans="1:34" x14ac:dyDescent="0.25">
      <c r="A236" s="6">
        <v>45055</v>
      </c>
      <c r="B236">
        <v>50</v>
      </c>
      <c r="C236">
        <v>30</v>
      </c>
      <c r="D236">
        <v>10</v>
      </c>
      <c r="E236">
        <v>5</v>
      </c>
      <c r="F236">
        <f t="shared" si="47"/>
        <v>95</v>
      </c>
      <c r="G236">
        <f t="shared" si="51"/>
        <v>50</v>
      </c>
      <c r="H236">
        <f t="shared" si="52"/>
        <v>150</v>
      </c>
      <c r="I236">
        <f t="shared" si="53"/>
        <v>90</v>
      </c>
      <c r="J236">
        <f t="shared" si="54"/>
        <v>80</v>
      </c>
      <c r="K236">
        <f t="shared" si="48"/>
        <v>370</v>
      </c>
      <c r="L236">
        <f>G236*Return!B236*100</f>
        <v>-53.999999999998494</v>
      </c>
      <c r="M236">
        <f>H236*Return!C236*100</f>
        <v>-328.50000000000045</v>
      </c>
      <c r="N236">
        <f>I236*Return!D236*100</f>
        <v>-155.70000000000084</v>
      </c>
      <c r="O236">
        <f>J236*Return!E236*100</f>
        <v>-140.7999999999987</v>
      </c>
      <c r="P236">
        <f t="shared" si="55"/>
        <v>-678.99999999999852</v>
      </c>
      <c r="Q236">
        <f>SUM($P$148:P236)</f>
        <v>4135.9000000000033</v>
      </c>
      <c r="R236">
        <f>B236*中国_中债国债到期收益率_1年!B235/365*100</f>
        <v>29.209589041095889</v>
      </c>
      <c r="S236">
        <f>C236*中国_中债国债到期收益率_1年!C235/365*100</f>
        <v>21.249863013698629</v>
      </c>
      <c r="T236">
        <f>D236*中国_中债国债到期收益率_1年!D235/365*100</f>
        <v>7.5298630136986304</v>
      </c>
      <c r="U236">
        <f>E236*中国_中债国债到期收益率_1年!E235/365*100</f>
        <v>4.254520547945206</v>
      </c>
      <c r="V236">
        <f t="shared" si="56"/>
        <v>62.243835616438353</v>
      </c>
      <c r="W236">
        <f>SUM($V$148:V236)</f>
        <v>4711.9326027397246</v>
      </c>
      <c r="X236">
        <f>MAX(F236-50,0)*中国_中债国债到期收益率_1年!H236*100/365</f>
        <v>23.794520547945204</v>
      </c>
      <c r="Y236">
        <f>SUM($X$148:X236)</f>
        <v>1728.5152054794523</v>
      </c>
      <c r="AB236">
        <f>Z236*Return!F240*100</f>
        <v>0</v>
      </c>
      <c r="AC236">
        <f>AA236*Return!G240*100</f>
        <v>0</v>
      </c>
      <c r="AD236">
        <f>SUM($AB$148:AB236)+SUM($AC$148:AC236)</f>
        <v>980.69999999999925</v>
      </c>
      <c r="AE236">
        <f t="shared" si="49"/>
        <v>8100.0173972602734</v>
      </c>
      <c r="AF236">
        <f t="shared" si="50"/>
        <v>1.0162000347945206</v>
      </c>
      <c r="AG236" s="4">
        <f>(AF236/AF235-1)-中国_中债国债到期收益率_1年!H236%/252</f>
        <v>-1.3356783297437686E-3</v>
      </c>
      <c r="AH236" s="4">
        <f>MIN((AF236-MAX($AF$151:AF236))/MAX($AF$151:AF236),0)</f>
        <v>-1.2590910281564786E-3</v>
      </c>
    </row>
    <row r="237" spans="1:34" x14ac:dyDescent="0.25">
      <c r="A237" s="6">
        <v>45056</v>
      </c>
      <c r="B237">
        <v>50</v>
      </c>
      <c r="C237">
        <v>30</v>
      </c>
      <c r="D237">
        <v>10</v>
      </c>
      <c r="E237">
        <v>5</v>
      </c>
      <c r="F237">
        <f t="shared" si="47"/>
        <v>95</v>
      </c>
      <c r="G237">
        <f t="shared" si="51"/>
        <v>50</v>
      </c>
      <c r="H237">
        <f t="shared" si="52"/>
        <v>150</v>
      </c>
      <c r="I237">
        <f t="shared" si="53"/>
        <v>90</v>
      </c>
      <c r="J237">
        <f t="shared" si="54"/>
        <v>80</v>
      </c>
      <c r="K237">
        <f t="shared" si="48"/>
        <v>370</v>
      </c>
      <c r="L237">
        <f>G237*Return!B237*100</f>
        <v>60.000000000000057</v>
      </c>
      <c r="M237">
        <f>H237*Return!C237*100</f>
        <v>111.00000000000109</v>
      </c>
      <c r="N237">
        <f>I237*Return!D237*100</f>
        <v>90.899999999999977</v>
      </c>
      <c r="O237">
        <f>J237*Return!E237*100</f>
        <v>47.999999999998266</v>
      </c>
      <c r="P237">
        <f t="shared" si="55"/>
        <v>309.89999999999941</v>
      </c>
      <c r="Q237">
        <f>SUM($P$148:P237)</f>
        <v>4445.8000000000029</v>
      </c>
      <c r="R237">
        <f>B237*中国_中债国债到期收益率_1年!B236/365*100</f>
        <v>29.045205479452051</v>
      </c>
      <c r="S237">
        <f>C237*中国_中债国债到期收益率_1年!C236/365*100</f>
        <v>21.189041095890406</v>
      </c>
      <c r="T237">
        <f>D237*中国_中债国债到期收益率_1年!D236/365*100</f>
        <v>7.5021917808219181</v>
      </c>
      <c r="U237">
        <f>E237*中国_中债国债到期收益率_1年!E236/365*100</f>
        <v>4.2463013698630139</v>
      </c>
      <c r="V237">
        <f t="shared" si="56"/>
        <v>61.982739726027383</v>
      </c>
      <c r="W237">
        <f>SUM($V$148:V237)</f>
        <v>4773.9153424657525</v>
      </c>
      <c r="X237">
        <f>MAX(F237-50,0)*中国_中债国债到期收益率_1年!H237*100/365</f>
        <v>23.424657534246574</v>
      </c>
      <c r="Y237">
        <f>SUM($X$148:X237)</f>
        <v>1751.9398630136989</v>
      </c>
      <c r="AB237">
        <f>Z237*Return!F241*100</f>
        <v>0</v>
      </c>
      <c r="AC237">
        <f>AA237*Return!G241*100</f>
        <v>0</v>
      </c>
      <c r="AD237">
        <f>SUM($AB$148:AB237)+SUM($AC$148:AC237)</f>
        <v>980.69999999999925</v>
      </c>
      <c r="AE237">
        <f t="shared" si="49"/>
        <v>8448.4754794520559</v>
      </c>
      <c r="AF237">
        <f t="shared" si="50"/>
        <v>1.0168969509589041</v>
      </c>
      <c r="AG237" s="4">
        <f>(AF237/AF236-1)-中国_中债国债到期收益率_1年!H237%/252</f>
        <v>6.1040925659615363E-4</v>
      </c>
      <c r="AH237" s="4">
        <f>MIN((AF237-MAX($AF$151:AF237))/MAX($AF$151:AF237),0)</f>
        <v>-5.741484384484515E-4</v>
      </c>
    </row>
    <row r="238" spans="1:34" x14ac:dyDescent="0.25">
      <c r="A238" s="6">
        <v>45057</v>
      </c>
      <c r="B238">
        <v>50</v>
      </c>
      <c r="C238">
        <v>30</v>
      </c>
      <c r="D238">
        <v>10</v>
      </c>
      <c r="E238">
        <v>5</v>
      </c>
      <c r="F238">
        <f t="shared" si="47"/>
        <v>95</v>
      </c>
      <c r="G238">
        <f t="shared" si="51"/>
        <v>50</v>
      </c>
      <c r="H238">
        <f t="shared" si="52"/>
        <v>150</v>
      </c>
      <c r="I238">
        <f t="shared" si="53"/>
        <v>90</v>
      </c>
      <c r="J238">
        <f t="shared" si="54"/>
        <v>80</v>
      </c>
      <c r="K238">
        <f t="shared" si="48"/>
        <v>370</v>
      </c>
      <c r="L238">
        <f>G238*Return!B238*100</f>
        <v>160.00000000000014</v>
      </c>
      <c r="M238">
        <f>H238*Return!C238*100</f>
        <v>446.99999999999739</v>
      </c>
      <c r="N238">
        <f>I238*Return!D238*100</f>
        <v>155.70000000000084</v>
      </c>
      <c r="O238">
        <f>J238*Return!E238*100</f>
        <v>119.19999999999931</v>
      </c>
      <c r="P238">
        <f t="shared" si="55"/>
        <v>881.89999999999759</v>
      </c>
      <c r="Q238">
        <f>SUM($P$148:P238)</f>
        <v>5327.7000000000007</v>
      </c>
      <c r="R238">
        <f>B238*中国_中债国债到期收益率_1年!B237/365*100</f>
        <v>28.606849315068487</v>
      </c>
      <c r="S238">
        <f>C238*中国_中债国债到期收益率_1年!C237/365*100</f>
        <v>20.944109589041098</v>
      </c>
      <c r="T238">
        <f>D238*中国_中债国债到期收益率_1年!D237/365*100</f>
        <v>7.4547945205479458</v>
      </c>
      <c r="U238">
        <f>E238*中国_中债国债到期收益率_1年!E237/365*100</f>
        <v>4.2258904109589048</v>
      </c>
      <c r="V238">
        <f t="shared" si="56"/>
        <v>61.231643835616431</v>
      </c>
      <c r="W238">
        <f>SUM($V$148:V238)</f>
        <v>4835.146986301369</v>
      </c>
      <c r="X238">
        <f>MAX(F238-50,0)*中国_中债国债到期收益率_1年!H238*100/365</f>
        <v>22.80821917808219</v>
      </c>
      <c r="Y238">
        <f>SUM($X$148:X238)</f>
        <v>1774.7480821917811</v>
      </c>
      <c r="AB238">
        <f>Z238*Return!F242*100</f>
        <v>0</v>
      </c>
      <c r="AC238">
        <f>AA238*Return!G242*100</f>
        <v>0</v>
      </c>
      <c r="AD238">
        <f>SUM($AB$148:AB238)+SUM($AC$148:AC238)</f>
        <v>980.69999999999925</v>
      </c>
      <c r="AE238">
        <f t="shared" si="49"/>
        <v>9368.798904109588</v>
      </c>
      <c r="AF238">
        <f t="shared" si="50"/>
        <v>1.0187375978082192</v>
      </c>
      <c r="AG238" s="4">
        <f>(AF238/AF237-1)-中国_中债国债到期收益率_1年!H238%/252</f>
        <v>1.7366496167308806E-3</v>
      </c>
      <c r="AH238" s="4">
        <f>MIN((AF238-MAX($AF$151:AF238))/MAX($AF$151:AF238),0)</f>
        <v>0</v>
      </c>
    </row>
    <row r="239" spans="1:34" x14ac:dyDescent="0.25">
      <c r="A239" s="6">
        <v>45058</v>
      </c>
      <c r="B239">
        <v>50</v>
      </c>
      <c r="C239">
        <v>30</v>
      </c>
      <c r="D239">
        <v>10</v>
      </c>
      <c r="E239">
        <v>5</v>
      </c>
      <c r="F239">
        <f t="shared" si="47"/>
        <v>95</v>
      </c>
      <c r="G239">
        <f t="shared" si="51"/>
        <v>50</v>
      </c>
      <c r="H239">
        <f t="shared" si="52"/>
        <v>150</v>
      </c>
      <c r="I239">
        <f t="shared" si="53"/>
        <v>90</v>
      </c>
      <c r="J239">
        <f t="shared" si="54"/>
        <v>80</v>
      </c>
      <c r="K239">
        <f t="shared" si="48"/>
        <v>370</v>
      </c>
      <c r="L239">
        <f>G239*Return!B239*100</f>
        <v>264.99999999999966</v>
      </c>
      <c r="M239">
        <f>H239*Return!C239*100</f>
        <v>406.49999999999852</v>
      </c>
      <c r="N239">
        <f>I239*Return!D239*100</f>
        <v>180.00000000000017</v>
      </c>
      <c r="O239">
        <f>J239*Return!E239*100</f>
        <v>141.60000000000039</v>
      </c>
      <c r="P239">
        <f t="shared" si="55"/>
        <v>993.09999999999877</v>
      </c>
      <c r="Q239">
        <f>SUM($P$148:P239)</f>
        <v>6320.7999999999993</v>
      </c>
      <c r="R239">
        <f>B239*中国_中债国债到期收益率_1年!B238/365*100</f>
        <v>27.88082191780822</v>
      </c>
      <c r="S239">
        <f>C239*中国_中债国债到期收益率_1年!C238/365*100</f>
        <v>20.721369863013699</v>
      </c>
      <c r="T239">
        <f>D239*中国_中债国债到期收益率_1年!D238/365*100</f>
        <v>7.4000000000000012</v>
      </c>
      <c r="U239">
        <f>E239*中国_中债国债到期收益率_1年!E238/365*100</f>
        <v>4.2016438356164389</v>
      </c>
      <c r="V239">
        <f t="shared" si="56"/>
        <v>60.203835616438354</v>
      </c>
      <c r="W239">
        <f>SUM($V$148:V239)</f>
        <v>4895.3508219178075</v>
      </c>
      <c r="X239">
        <f>MAX(F239-50,0)*中国_中债国债到期收益率_1年!H239*100/365</f>
        <v>22.80821917808219</v>
      </c>
      <c r="Y239">
        <f>SUM($X$148:X239)</f>
        <v>1797.5563013698634</v>
      </c>
      <c r="AB239">
        <f>Z239*Return!F243*100</f>
        <v>0</v>
      </c>
      <c r="AC239">
        <f>AA239*Return!G243*100</f>
        <v>0</v>
      </c>
      <c r="AD239">
        <f>SUM($AB$148:AB239)+SUM($AC$148:AC239)</f>
        <v>980.69999999999925</v>
      </c>
      <c r="AE239">
        <f t="shared" si="49"/>
        <v>10399.294520547943</v>
      </c>
      <c r="AF239">
        <f t="shared" si="50"/>
        <v>1.020798589041096</v>
      </c>
      <c r="AG239" s="4">
        <f>(AF239/AF238-1)-中国_中债国债到期收益率_1年!H239%/252</f>
        <v>1.949670809362993E-3</v>
      </c>
      <c r="AH239" s="4">
        <f>MIN((AF239-MAX($AF$151:AF239))/MAX($AF$151:AF239),0)</f>
        <v>0</v>
      </c>
    </row>
    <row r="240" spans="1:34" x14ac:dyDescent="0.25">
      <c r="A240" s="6">
        <v>45061</v>
      </c>
      <c r="B240">
        <v>50</v>
      </c>
      <c r="C240">
        <v>30</v>
      </c>
      <c r="D240">
        <v>10</v>
      </c>
      <c r="E240">
        <v>5</v>
      </c>
      <c r="F240">
        <f t="shared" si="47"/>
        <v>95</v>
      </c>
      <c r="G240">
        <f t="shared" si="51"/>
        <v>50</v>
      </c>
      <c r="H240">
        <f t="shared" si="52"/>
        <v>150</v>
      </c>
      <c r="I240">
        <f t="shared" si="53"/>
        <v>90</v>
      </c>
      <c r="J240">
        <f t="shared" si="54"/>
        <v>80</v>
      </c>
      <c r="K240">
        <f t="shared" si="48"/>
        <v>370</v>
      </c>
      <c r="L240">
        <f>G240*Return!B240*100</f>
        <v>-43.999999999999595</v>
      </c>
      <c r="M240">
        <f>H240*Return!C240*100</f>
        <v>70.500000000002231</v>
      </c>
      <c r="N240">
        <f>I240*Return!D240*100</f>
        <v>-43.199999999999235</v>
      </c>
      <c r="O240">
        <f>J240*Return!E240*100</f>
        <v>51.200000000001467</v>
      </c>
      <c r="P240">
        <f t="shared" si="55"/>
        <v>34.500000000004867</v>
      </c>
      <c r="Q240">
        <f>SUM($P$148:P240)</f>
        <v>6355.3000000000038</v>
      </c>
      <c r="R240">
        <f>B240*中国_中债国债到期收益率_1年!B239/365*100</f>
        <v>28.001369863013693</v>
      </c>
      <c r="S240">
        <f>C240*中国_中债国债到期收益率_1年!C239/365*100</f>
        <v>20.6827397260274</v>
      </c>
      <c r="T240">
        <f>D240*中国_中债国债到期收益率_1年!D239/365*100</f>
        <v>7.4131506849315061</v>
      </c>
      <c r="U240">
        <f>E240*中国_中债国债到期收益率_1年!E239/365*100</f>
        <v>4.1928767123287667</v>
      </c>
      <c r="V240">
        <f t="shared" si="56"/>
        <v>60.29013698630137</v>
      </c>
      <c r="W240">
        <f>SUM($V$148:V240)</f>
        <v>4955.6409589041086</v>
      </c>
      <c r="X240">
        <f>MAX(F240-50,0)*中国_中债国债到期收益率_1年!H240*100/365</f>
        <v>23.424657534246574</v>
      </c>
      <c r="Y240">
        <f>SUM($X$148:X240)</f>
        <v>1820.9809589041099</v>
      </c>
      <c r="AB240">
        <f>Z240*Return!F244*100</f>
        <v>0</v>
      </c>
      <c r="AC240">
        <f>AA240*Return!G244*100</f>
        <v>0</v>
      </c>
      <c r="AD240">
        <f>SUM($AB$148:AB240)+SUM($AC$148:AC240)</f>
        <v>980.69999999999925</v>
      </c>
      <c r="AE240">
        <f t="shared" si="49"/>
        <v>10470.660000000002</v>
      </c>
      <c r="AF240">
        <f t="shared" si="50"/>
        <v>1.0209413199999999</v>
      </c>
      <c r="AG240" s="4">
        <f>(AF240/AF239-1)-中国_中债国债到期收益率_1年!H240%/252</f>
        <v>6.4426015696547885E-5</v>
      </c>
      <c r="AH240" s="4">
        <f>MIN((AF240-MAX($AF$151:AF240))/MAX($AF$151:AF240),0)</f>
        <v>0</v>
      </c>
    </row>
    <row r="241" spans="1:34" x14ac:dyDescent="0.25">
      <c r="A241" s="6">
        <v>45062</v>
      </c>
      <c r="B241">
        <v>50</v>
      </c>
      <c r="C241">
        <v>30</v>
      </c>
      <c r="D241">
        <v>10</v>
      </c>
      <c r="E241">
        <v>5</v>
      </c>
      <c r="F241">
        <f t="shared" si="47"/>
        <v>95</v>
      </c>
      <c r="G241">
        <f t="shared" si="51"/>
        <v>50</v>
      </c>
      <c r="H241">
        <f t="shared" si="52"/>
        <v>150</v>
      </c>
      <c r="I241">
        <f t="shared" si="53"/>
        <v>90</v>
      </c>
      <c r="J241">
        <f t="shared" si="54"/>
        <v>80</v>
      </c>
      <c r="K241">
        <f t="shared" si="48"/>
        <v>370</v>
      </c>
      <c r="L241">
        <f>G241*Return!B241*100</f>
        <v>-80.500000000001123</v>
      </c>
      <c r="M241">
        <f>H241*Return!C241*100</f>
        <v>-346.49999999999847</v>
      </c>
      <c r="N241">
        <f>I241*Return!D241*100</f>
        <v>-118.7999999999989</v>
      </c>
      <c r="O241">
        <f>J241*Return!E241*100</f>
        <v>-32.800000000001717</v>
      </c>
      <c r="P241">
        <f t="shared" si="55"/>
        <v>-578.60000000000014</v>
      </c>
      <c r="Q241">
        <f>SUM($P$148:P241)</f>
        <v>5776.7000000000035</v>
      </c>
      <c r="R241">
        <f>B241*中国_中债国债到期收益率_1年!B240/365*100</f>
        <v>28.221917808219178</v>
      </c>
      <c r="S241">
        <f>C241*中国_中债国债到期收益率_1年!C240/365*100</f>
        <v>20.87260273972603</v>
      </c>
      <c r="T241">
        <f>D241*中国_中债国债到期收益率_1年!D240/365*100</f>
        <v>7.4493150684931493</v>
      </c>
      <c r="U241">
        <f>E241*中国_中债国债到期收益率_1年!E240/365*100</f>
        <v>4.1984931506849312</v>
      </c>
      <c r="V241">
        <f t="shared" si="56"/>
        <v>60.74232876712329</v>
      </c>
      <c r="W241">
        <f>SUM($V$148:V241)</f>
        <v>5016.3832876712322</v>
      </c>
      <c r="X241">
        <f>MAX(F241-50,0)*中国_中债国债到期收益率_1年!H241*100/365</f>
        <v>24.041095890410958</v>
      </c>
      <c r="Y241">
        <f>SUM($X$148:X241)</f>
        <v>1845.022054794521</v>
      </c>
      <c r="AB241">
        <f>Z241*Return!F245*100</f>
        <v>0</v>
      </c>
      <c r="AC241">
        <f>AA241*Return!G245*100</f>
        <v>0</v>
      </c>
      <c r="AD241">
        <f>SUM($AB$148:AB241)+SUM($AC$148:AC241)</f>
        <v>980.69999999999925</v>
      </c>
      <c r="AE241">
        <f t="shared" si="49"/>
        <v>9928.7612328767136</v>
      </c>
      <c r="AF241">
        <f t="shared" si="50"/>
        <v>1.0198575224657533</v>
      </c>
      <c r="AG241" s="4">
        <f>(AF241/AF240-1)-中国_中债国债到期收益率_1年!H241%/252</f>
        <v>-1.1389478740201201E-3</v>
      </c>
      <c r="AH241" s="4">
        <f>MIN((AF241-MAX($AF$151:AF241))/MAX($AF$151:AF241),0)</f>
        <v>-1.0615669216391291E-3</v>
      </c>
    </row>
    <row r="242" spans="1:34" x14ac:dyDescent="0.25">
      <c r="A242" s="6">
        <v>45063</v>
      </c>
      <c r="B242">
        <v>50</v>
      </c>
      <c r="C242">
        <v>30</v>
      </c>
      <c r="D242">
        <v>10</v>
      </c>
      <c r="E242">
        <v>5</v>
      </c>
      <c r="F242">
        <f t="shared" si="47"/>
        <v>95</v>
      </c>
      <c r="G242">
        <f t="shared" si="51"/>
        <v>50</v>
      </c>
      <c r="H242">
        <f t="shared" si="52"/>
        <v>150</v>
      </c>
      <c r="I242">
        <f t="shared" si="53"/>
        <v>90</v>
      </c>
      <c r="J242">
        <f t="shared" si="54"/>
        <v>80</v>
      </c>
      <c r="K242">
        <f t="shared" si="48"/>
        <v>370</v>
      </c>
      <c r="L242">
        <f>G242*Return!B242*100</f>
        <v>-25.500000000000522</v>
      </c>
      <c r="M242">
        <f>H242*Return!C242*100</f>
        <v>35.999999999996035</v>
      </c>
      <c r="N242">
        <f>I242*Return!D242*100</f>
        <v>54.899999999999949</v>
      </c>
      <c r="O242">
        <f>J242*Return!E242*100</f>
        <v>-8.7999999999972545</v>
      </c>
      <c r="P242">
        <f t="shared" si="55"/>
        <v>56.599999999998204</v>
      </c>
      <c r="Q242">
        <f>SUM($P$148:P242)</f>
        <v>5833.300000000002</v>
      </c>
      <c r="R242">
        <f>B242*中国_中债国债到期收益率_1年!B241/365*100</f>
        <v>28.291780821917804</v>
      </c>
      <c r="S242">
        <f>C242*中国_中债国债到期收益率_1年!C241/365*100</f>
        <v>20.852876712328765</v>
      </c>
      <c r="T242">
        <f>D242*中国_中债国债到期收益率_1年!D241/365*100</f>
        <v>7.4326027397260273</v>
      </c>
      <c r="U242">
        <f>E242*中国_中债国债到期收益率_1年!E241/365*100</f>
        <v>4.1999999999999993</v>
      </c>
      <c r="V242">
        <f t="shared" si="56"/>
        <v>60.777260273972601</v>
      </c>
      <c r="W242">
        <f>SUM($V$148:V242)</f>
        <v>5077.1605479452046</v>
      </c>
      <c r="X242">
        <f>MAX(F242-50,0)*中国_中债国债到期收益率_1年!H242*100/365</f>
        <v>24.657534246575342</v>
      </c>
      <c r="Y242">
        <f>SUM($X$148:X242)</f>
        <v>1869.6795890410963</v>
      </c>
      <c r="AB242">
        <f>Z242*Return!F246*100</f>
        <v>0</v>
      </c>
      <c r="AC242">
        <f>AA242*Return!G246*100</f>
        <v>0</v>
      </c>
      <c r="AD242">
        <f>SUM($AB$148:AB242)+SUM($AC$148:AC242)</f>
        <v>980.69999999999925</v>
      </c>
      <c r="AE242">
        <f t="shared" si="49"/>
        <v>10021.480958904111</v>
      </c>
      <c r="AF242">
        <f t="shared" si="50"/>
        <v>1.0200429619178082</v>
      </c>
      <c r="AG242" s="4">
        <f>(AF242/AF241-1)-中国_中债国债到期收益率_1年!H242%/252</f>
        <v>1.0246370354809436E-4</v>
      </c>
      <c r="AH242" s="4">
        <f>MIN((AF242-MAX($AF$151:AF242))/MAX($AF$151:AF242),0)</f>
        <v>-8.7993116214724412E-4</v>
      </c>
    </row>
    <row r="243" spans="1:34" x14ac:dyDescent="0.25">
      <c r="A243" s="6">
        <v>45064</v>
      </c>
      <c r="B243">
        <v>50</v>
      </c>
      <c r="C243">
        <v>30</v>
      </c>
      <c r="D243">
        <v>10</v>
      </c>
      <c r="E243">
        <v>5</v>
      </c>
      <c r="F243">
        <f t="shared" si="47"/>
        <v>95</v>
      </c>
      <c r="G243">
        <f t="shared" si="51"/>
        <v>50</v>
      </c>
      <c r="H243">
        <f t="shared" si="52"/>
        <v>150</v>
      </c>
      <c r="I243">
        <f t="shared" si="53"/>
        <v>90</v>
      </c>
      <c r="J243">
        <f t="shared" si="54"/>
        <v>80</v>
      </c>
      <c r="K243">
        <f t="shared" si="48"/>
        <v>370</v>
      </c>
      <c r="L243">
        <f>G243*Return!B243*100</f>
        <v>-63.499999999998558</v>
      </c>
      <c r="M243">
        <f>H243*Return!C243*100</f>
        <v>-242.99999999999989</v>
      </c>
      <c r="N243">
        <f>I243*Return!D243*100</f>
        <v>-72.900000000001967</v>
      </c>
      <c r="O243">
        <f>J243*Return!E243*100</f>
        <v>-120.00000000000099</v>
      </c>
      <c r="P243">
        <f t="shared" si="55"/>
        <v>-499.40000000000146</v>
      </c>
      <c r="Q243">
        <f>SUM($P$148:P243)</f>
        <v>5333.9000000000005</v>
      </c>
      <c r="R243">
        <f>B243*中国_中债国债到期收益率_1年!B242/365*100</f>
        <v>28.465753424657532</v>
      </c>
      <c r="S243">
        <f>C243*中国_中债国债到期收益率_1年!C242/365*100</f>
        <v>20.986027397260276</v>
      </c>
      <c r="T243">
        <f>D243*中国_中债国债到期收益率_1年!D242/365*100</f>
        <v>7.4547945205479458</v>
      </c>
      <c r="U243">
        <f>E243*中国_中债国债到期收益率_1年!E242/365*100</f>
        <v>4.220547945205479</v>
      </c>
      <c r="V243">
        <f t="shared" si="56"/>
        <v>61.127123287671239</v>
      </c>
      <c r="W243">
        <f>SUM($V$148:V243)</f>
        <v>5138.2876712328762</v>
      </c>
      <c r="X243">
        <f>MAX(F243-50,0)*中国_中债国债到期收益率_1年!H243*100/365</f>
        <v>24.041095890410958</v>
      </c>
      <c r="Y243">
        <f>SUM($X$148:X243)</f>
        <v>1893.7206849315073</v>
      </c>
      <c r="AB243">
        <f>Z243*Return!F247*100</f>
        <v>0</v>
      </c>
      <c r="AC243">
        <f>AA243*Return!G247*100</f>
        <v>0</v>
      </c>
      <c r="AD243">
        <f>SUM($AB$148:AB243)+SUM($AC$148:AC243)</f>
        <v>980.69999999999925</v>
      </c>
      <c r="AE243">
        <f t="shared" si="49"/>
        <v>9559.1669863013685</v>
      </c>
      <c r="AF243">
        <f t="shared" si="50"/>
        <v>1.0191183339726027</v>
      </c>
      <c r="AG243" s="4">
        <f>(AF243/AF242-1)-中国_中债国债到期收益率_1年!H243%/252</f>
        <v>-9.8384075821809783E-4</v>
      </c>
      <c r="AH243" s="4">
        <f>MIN((AF243-MAX($AF$151:AF243))/MAX($AF$151:AF243),0)</f>
        <v>-1.785593345753973E-3</v>
      </c>
    </row>
    <row r="244" spans="1:34" x14ac:dyDescent="0.25">
      <c r="A244" s="6">
        <v>45065</v>
      </c>
      <c r="B244">
        <v>50</v>
      </c>
      <c r="C244">
        <v>30</v>
      </c>
      <c r="D244">
        <v>10</v>
      </c>
      <c r="E244">
        <v>5</v>
      </c>
      <c r="F244">
        <f t="shared" si="47"/>
        <v>95</v>
      </c>
      <c r="G244">
        <f t="shared" si="51"/>
        <v>50</v>
      </c>
      <c r="H244">
        <f t="shared" si="52"/>
        <v>150</v>
      </c>
      <c r="I244">
        <f t="shared" si="53"/>
        <v>90</v>
      </c>
      <c r="J244">
        <f t="shared" si="54"/>
        <v>80</v>
      </c>
      <c r="K244">
        <f t="shared" si="48"/>
        <v>370</v>
      </c>
      <c r="L244">
        <f>G244*Return!B244*100</f>
        <v>25.499999999998302</v>
      </c>
      <c r="M244">
        <f>H244*Return!C244*100</f>
        <v>118.50000000000361</v>
      </c>
      <c r="N244">
        <f>I244*Return!D244*100</f>
        <v>23.40000000000142</v>
      </c>
      <c r="O244">
        <f>J244*Return!E244*100</f>
        <v>0</v>
      </c>
      <c r="P244">
        <f t="shared" si="55"/>
        <v>167.40000000000333</v>
      </c>
      <c r="Q244">
        <f>SUM($P$148:P244)</f>
        <v>5501.3000000000038</v>
      </c>
      <c r="R244">
        <f>B244*中国_中债国债到期收益率_1年!B243/365*100</f>
        <v>28.395890410958906</v>
      </c>
      <c r="S244">
        <f>C244*中国_中债国债到期收益率_1年!C243/365*100</f>
        <v>20.921095890410957</v>
      </c>
      <c r="T244">
        <f>D244*中国_中债国债到期收益率_1年!D243/365*100</f>
        <v>7.4476712328767114</v>
      </c>
      <c r="U244">
        <f>E244*中国_中债国债到期收益率_1年!E243/365*100</f>
        <v>4.220547945205479</v>
      </c>
      <c r="V244">
        <f t="shared" si="56"/>
        <v>60.985205479452063</v>
      </c>
      <c r="W244">
        <f>SUM($V$148:V244)</f>
        <v>5199.2728767123281</v>
      </c>
      <c r="X244">
        <f>MAX(F244-50,0)*中国_中债国债到期收益率_1年!H244*100/365</f>
        <v>23.547945205479451</v>
      </c>
      <c r="Y244">
        <f>SUM($X$148:X244)</f>
        <v>1917.2686301369868</v>
      </c>
      <c r="AB244">
        <f>Z244*Return!F248*100</f>
        <v>0</v>
      </c>
      <c r="AC244">
        <f>AA244*Return!G248*100</f>
        <v>0</v>
      </c>
      <c r="AD244">
        <f>SUM($AB$148:AB244)+SUM($AC$148:AC244)</f>
        <v>980.69999999999925</v>
      </c>
      <c r="AE244">
        <f t="shared" si="49"/>
        <v>9764.004246575345</v>
      </c>
      <c r="AF244">
        <f t="shared" si="50"/>
        <v>1.0195280084931506</v>
      </c>
      <c r="AG244" s="4">
        <f>(AF244/AF243-1)-中国_中债国债到期收益率_1年!H244%/252</f>
        <v>3.2619550678628979E-4</v>
      </c>
      <c r="AH244" s="4">
        <f>MIN((AF244-MAX($AF$151:AF244))/MAX($AF$151:AF244),0)</f>
        <v>-1.3843219773388279E-3</v>
      </c>
    </row>
    <row r="245" spans="1:34" x14ac:dyDescent="0.25">
      <c r="A245" s="6">
        <v>45068</v>
      </c>
      <c r="B245">
        <v>50</v>
      </c>
      <c r="C245">
        <v>30</v>
      </c>
      <c r="D245">
        <v>10</v>
      </c>
      <c r="E245">
        <v>5</v>
      </c>
      <c r="F245">
        <f t="shared" si="47"/>
        <v>95</v>
      </c>
      <c r="G245">
        <f t="shared" si="51"/>
        <v>50</v>
      </c>
      <c r="H245">
        <f t="shared" si="52"/>
        <v>150</v>
      </c>
      <c r="I245">
        <f t="shared" si="53"/>
        <v>90</v>
      </c>
      <c r="J245">
        <f t="shared" si="54"/>
        <v>80</v>
      </c>
      <c r="K245">
        <f t="shared" si="48"/>
        <v>370</v>
      </c>
      <c r="L245">
        <f>G245*Return!B245*100</f>
        <v>87.500000000000355</v>
      </c>
      <c r="M245">
        <f>H245*Return!C245*100</f>
        <v>374.99999999999869</v>
      </c>
      <c r="N245">
        <f>I245*Return!D245*100</f>
        <v>29.699999999998727</v>
      </c>
      <c r="O245">
        <f>J245*Return!E245*100</f>
        <v>29.599999999998516</v>
      </c>
      <c r="P245">
        <f t="shared" si="55"/>
        <v>521.79999999999632</v>
      </c>
      <c r="Q245">
        <f>SUM($P$148:P245)</f>
        <v>6023.1</v>
      </c>
      <c r="R245">
        <f>B245*中国_中债国债到期收益率_1年!B244/365*100</f>
        <v>28.156164383561649</v>
      </c>
      <c r="S245">
        <f>C245*中国_中债国债到期收益率_1年!C244/365*100</f>
        <v>20.715616438356165</v>
      </c>
      <c r="T245">
        <f>D245*中国_中债国债到期收益率_1年!D244/365*100</f>
        <v>7.4386301369863013</v>
      </c>
      <c r="U245">
        <f>E245*中国_中债国债到期收益率_1年!E244/365*100</f>
        <v>4.2154794520547947</v>
      </c>
      <c r="V245">
        <f t="shared" si="56"/>
        <v>60.525890410958908</v>
      </c>
      <c r="W245">
        <f>SUM($V$148:V245)</f>
        <v>5259.7987671232868</v>
      </c>
      <c r="X245">
        <f>MAX(F245-50,0)*中国_中债国债到期收益率_1年!H245*100/365</f>
        <v>23.424657534246574</v>
      </c>
      <c r="Y245">
        <f>SUM($X$148:X245)</f>
        <v>1940.6932876712333</v>
      </c>
      <c r="AB245">
        <f>Z245*Return!F249*100</f>
        <v>0</v>
      </c>
      <c r="AC245">
        <f>AA245*Return!G249*100</f>
        <v>0</v>
      </c>
      <c r="AD245">
        <f>SUM($AB$148:AB245)+SUM($AC$148:AC245)</f>
        <v>980.69999999999925</v>
      </c>
      <c r="AE245">
        <f t="shared" si="49"/>
        <v>10322.905479452053</v>
      </c>
      <c r="AF245">
        <f t="shared" si="50"/>
        <v>1.0206458109589041</v>
      </c>
      <c r="AG245" s="4">
        <f>(AF245/AF244-1)-中国_中债国债到期收益率_1年!H245%/252</f>
        <v>1.0209952858954848E-3</v>
      </c>
      <c r="AH245" s="4">
        <f>MIN((AF245-MAX($AF$151:AF245))/MAX($AF$151:AF245),0)</f>
        <v>-2.8944762574197318E-4</v>
      </c>
    </row>
    <row r="246" spans="1:34" x14ac:dyDescent="0.25">
      <c r="A246" s="6">
        <v>45069</v>
      </c>
      <c r="B246">
        <v>50</v>
      </c>
      <c r="C246">
        <v>30</v>
      </c>
      <c r="D246">
        <v>10</v>
      </c>
      <c r="E246">
        <v>5</v>
      </c>
      <c r="F246">
        <f t="shared" si="47"/>
        <v>95</v>
      </c>
      <c r="G246">
        <f t="shared" si="51"/>
        <v>50</v>
      </c>
      <c r="H246">
        <f t="shared" si="52"/>
        <v>150</v>
      </c>
      <c r="I246">
        <f t="shared" si="53"/>
        <v>90</v>
      </c>
      <c r="J246">
        <f t="shared" si="54"/>
        <v>80</v>
      </c>
      <c r="K246">
        <f t="shared" si="48"/>
        <v>370</v>
      </c>
      <c r="L246">
        <f>G246*Return!B246*100</f>
        <v>168.00000000000148</v>
      </c>
      <c r="M246">
        <f>H246*Return!C246*100</f>
        <v>474.00000000000108</v>
      </c>
      <c r="N246">
        <f>I246*Return!D246*100</f>
        <v>17.100000000000115</v>
      </c>
      <c r="O246">
        <f>J246*Return!E246*100</f>
        <v>8.8000000000008072</v>
      </c>
      <c r="P246">
        <f t="shared" si="55"/>
        <v>667.9000000000035</v>
      </c>
      <c r="Q246">
        <f>SUM($P$148:P246)</f>
        <v>6691.0000000000036</v>
      </c>
      <c r="R246">
        <f>B246*中国_中债国债到期收益率_1年!B245/365*100</f>
        <v>27.695890410958903</v>
      </c>
      <c r="S246">
        <f>C246*中国_中债国债到期收益率_1年!C245/365*100</f>
        <v>20.455890410958904</v>
      </c>
      <c r="T246">
        <f>D246*中国_中债国债到期收益率_1年!D245/365*100</f>
        <v>7.4334246575342471</v>
      </c>
      <c r="U246">
        <f>E246*中国_中债国债到期收益率_1年!E245/365*100</f>
        <v>4.2139726027397257</v>
      </c>
      <c r="V246">
        <f t="shared" si="56"/>
        <v>59.79917808219178</v>
      </c>
      <c r="W246">
        <f>SUM($V$148:V246)</f>
        <v>5319.5979452054789</v>
      </c>
      <c r="X246">
        <f>MAX(F246-50,0)*中国_中债国债到期收益率_1年!H246*100/365</f>
        <v>22.80821917808219</v>
      </c>
      <c r="Y246">
        <f>SUM($X$148:X246)</f>
        <v>1963.5015068493155</v>
      </c>
      <c r="AB246">
        <f>Z246*Return!F250*100</f>
        <v>0</v>
      </c>
      <c r="AC246">
        <f>AA246*Return!G250*100</f>
        <v>0</v>
      </c>
      <c r="AD246">
        <f>SUM($AB$148:AB246)+SUM($AC$148:AC246)</f>
        <v>980.69999999999925</v>
      </c>
      <c r="AE246">
        <f t="shared" si="49"/>
        <v>11027.796438356165</v>
      </c>
      <c r="AF246">
        <f t="shared" si="50"/>
        <v>1.0220555928767123</v>
      </c>
      <c r="AG246" s="4">
        <f>(AF246/AF245-1)-中国_中债国债到期收益率_1年!H246%/252</f>
        <v>1.3078518917822432E-3</v>
      </c>
      <c r="AH246" s="4">
        <f>MIN((AF246-MAX($AF$151:AF246))/MAX($AF$151:AF246),0)</f>
        <v>0</v>
      </c>
    </row>
    <row r="247" spans="1:34" x14ac:dyDescent="0.25">
      <c r="A247" s="6">
        <v>45070</v>
      </c>
      <c r="B247">
        <v>50</v>
      </c>
      <c r="C247">
        <v>30</v>
      </c>
      <c r="D247">
        <v>10</v>
      </c>
      <c r="E247">
        <v>5</v>
      </c>
      <c r="F247">
        <f t="shared" si="47"/>
        <v>95</v>
      </c>
      <c r="G247">
        <f t="shared" si="51"/>
        <v>50</v>
      </c>
      <c r="H247">
        <f t="shared" si="52"/>
        <v>150</v>
      </c>
      <c r="I247">
        <f t="shared" si="53"/>
        <v>90</v>
      </c>
      <c r="J247">
        <f t="shared" si="54"/>
        <v>80</v>
      </c>
      <c r="K247">
        <f t="shared" si="48"/>
        <v>370</v>
      </c>
      <c r="L247">
        <f>G247*Return!B247*100</f>
        <v>154.49999999999963</v>
      </c>
      <c r="M247">
        <f>H247*Return!C247*100</f>
        <v>334.49999999999977</v>
      </c>
      <c r="N247">
        <f>I247*Return!D247*100</f>
        <v>152.99999999999915</v>
      </c>
      <c r="O247">
        <f>J247*Return!E247*100</f>
        <v>59.999999999998721</v>
      </c>
      <c r="P247">
        <f t="shared" si="55"/>
        <v>701.99999999999739</v>
      </c>
      <c r="Q247">
        <f>SUM($P$148:P247)</f>
        <v>7393.0000000000009</v>
      </c>
      <c r="R247">
        <f>B247*中国_中债国债到期收益率_1年!B246/365*100</f>
        <v>27.272602739726025</v>
      </c>
      <c r="S247">
        <f>C247*中国_中债国债到期收益率_1年!C246/365*100</f>
        <v>20.272602739726029</v>
      </c>
      <c r="T247">
        <f>D247*中国_中债国债到期收益率_1年!D246/365*100</f>
        <v>7.3868493150684946</v>
      </c>
      <c r="U247">
        <f>E247*中国_中债国债到期收益率_1年!E246/365*100</f>
        <v>4.2036986301369863</v>
      </c>
      <c r="V247">
        <f t="shared" si="56"/>
        <v>59.13575342465753</v>
      </c>
      <c r="W247">
        <f>SUM($V$148:V247)</f>
        <v>5378.7336986301361</v>
      </c>
      <c r="X247">
        <f>MAX(F247-50,0)*中国_中债国债到期收益率_1年!H247*100/365</f>
        <v>22.19178082191781</v>
      </c>
      <c r="Y247">
        <f>SUM($X$148:X247)</f>
        <v>1985.6932876712333</v>
      </c>
      <c r="AB247">
        <f>Z247*Return!F251*100</f>
        <v>0</v>
      </c>
      <c r="AC247">
        <f>AA247*Return!G251*100</f>
        <v>0</v>
      </c>
      <c r="AD247">
        <f>SUM($AB$148:AB247)+SUM($AC$148:AC247)</f>
        <v>980.69999999999925</v>
      </c>
      <c r="AE247">
        <f t="shared" si="49"/>
        <v>11766.740410958904</v>
      </c>
      <c r="AF247">
        <f t="shared" si="50"/>
        <v>1.0235334808219179</v>
      </c>
      <c r="AG247" s="4">
        <f>(AF247/AF246-1)-中国_中债国债到期收益率_1年!H247%/252</f>
        <v>1.3745670823361153E-3</v>
      </c>
      <c r="AH247" s="4">
        <f>MIN((AF247-MAX($AF$151:AF247))/MAX($AF$151:AF247),0)</f>
        <v>0</v>
      </c>
    </row>
    <row r="248" spans="1:34" x14ac:dyDescent="0.25">
      <c r="A248" s="6">
        <v>45071</v>
      </c>
      <c r="B248">
        <v>50</v>
      </c>
      <c r="C248">
        <v>30</v>
      </c>
      <c r="D248">
        <v>10</v>
      </c>
      <c r="E248">
        <v>5</v>
      </c>
      <c r="F248">
        <f t="shared" si="47"/>
        <v>95</v>
      </c>
      <c r="G248">
        <f t="shared" si="51"/>
        <v>50</v>
      </c>
      <c r="H248">
        <f t="shared" si="52"/>
        <v>150</v>
      </c>
      <c r="I248">
        <f t="shared" si="53"/>
        <v>90</v>
      </c>
      <c r="J248">
        <f t="shared" si="54"/>
        <v>80</v>
      </c>
      <c r="K248">
        <f t="shared" si="48"/>
        <v>370</v>
      </c>
      <c r="L248">
        <f>G248*Return!B248*100</f>
        <v>7.9999999999991189</v>
      </c>
      <c r="M248">
        <f>H248*Return!C248*100</f>
        <v>-193.50000000000199</v>
      </c>
      <c r="N248">
        <f>I248*Return!D248*100</f>
        <v>-67.499999999998565</v>
      </c>
      <c r="O248">
        <f>J248*Return!E248*100</f>
        <v>-28.799999999996828</v>
      </c>
      <c r="P248">
        <f t="shared" si="55"/>
        <v>-281.79999999999825</v>
      </c>
      <c r="Q248">
        <f>SUM($P$148:P248)</f>
        <v>7111.2000000000025</v>
      </c>
      <c r="R248">
        <f>B248*中国_中债国债到期收益率_1年!B247/365*100</f>
        <v>27.250684931506854</v>
      </c>
      <c r="S248">
        <f>C248*中国_中债国债到期收益率_1年!C247/365*100</f>
        <v>20.378630136986303</v>
      </c>
      <c r="T248">
        <f>D248*中国_中债国债到期收益率_1年!D247/365*100</f>
        <v>7.4073972602739717</v>
      </c>
      <c r="U248">
        <f>E248*中国_中债国债到期收益率_1年!E247/365*100</f>
        <v>4.2086301369863017</v>
      </c>
      <c r="V248">
        <f t="shared" si="56"/>
        <v>59.245342465753431</v>
      </c>
      <c r="W248">
        <f>SUM($V$148:V248)</f>
        <v>5437.9790410958894</v>
      </c>
      <c r="X248">
        <f>MAX(F248-50,0)*中国_中债国债到期收益率_1年!H248*100/365</f>
        <v>25.890410958904109</v>
      </c>
      <c r="Y248">
        <f>SUM($X$148:X248)</f>
        <v>2011.5836986301374</v>
      </c>
      <c r="AB248">
        <f>Z248*Return!F252*100</f>
        <v>0</v>
      </c>
      <c r="AC248">
        <f>AA248*Return!G252*100</f>
        <v>0</v>
      </c>
      <c r="AD248">
        <f>SUM($AB$148:AB248)+SUM($AC$148:AC248)</f>
        <v>980.69999999999925</v>
      </c>
      <c r="AE248">
        <f t="shared" si="49"/>
        <v>11518.295342465753</v>
      </c>
      <c r="AF248">
        <f t="shared" si="50"/>
        <v>1.0230365906849315</v>
      </c>
      <c r="AG248" s="4">
        <f>(AF248/AF247-1)-中国_中债国债到期收益率_1年!H248%/252</f>
        <v>-5.6879877857441785E-4</v>
      </c>
      <c r="AH248" s="4">
        <f>MIN((AF248-MAX($AF$151:AF248))/MAX($AF$151:AF248),0)</f>
        <v>-4.8546544524110882E-4</v>
      </c>
    </row>
    <row r="249" spans="1:34" x14ac:dyDescent="0.25">
      <c r="A249" s="6">
        <v>45072</v>
      </c>
      <c r="B249">
        <v>50</v>
      </c>
      <c r="C249">
        <v>30</v>
      </c>
      <c r="D249">
        <v>10</v>
      </c>
      <c r="E249">
        <v>5</v>
      </c>
      <c r="F249">
        <f t="shared" si="47"/>
        <v>95</v>
      </c>
      <c r="G249">
        <f t="shared" si="51"/>
        <v>50</v>
      </c>
      <c r="H249">
        <f t="shared" si="52"/>
        <v>150</v>
      </c>
      <c r="I249">
        <f t="shared" si="53"/>
        <v>90</v>
      </c>
      <c r="J249">
        <f t="shared" si="54"/>
        <v>80</v>
      </c>
      <c r="K249">
        <f t="shared" si="48"/>
        <v>370</v>
      </c>
      <c r="L249">
        <f>G249*Return!B249*100</f>
        <v>51.499999999999879</v>
      </c>
      <c r="M249">
        <f>H249*Return!C249*100</f>
        <v>-1.4999999999965041</v>
      </c>
      <c r="N249">
        <f>I249*Return!D249*100</f>
        <v>-25.200000000001221</v>
      </c>
      <c r="O249">
        <f>J249*Return!E249*100</f>
        <v>-40.0000000000027</v>
      </c>
      <c r="P249">
        <f t="shared" si="55"/>
        <v>-15.200000000000546</v>
      </c>
      <c r="Q249">
        <f>SUM($P$148:P249)</f>
        <v>7096.0000000000018</v>
      </c>
      <c r="R249">
        <f>B249*中国_中债国债到期收益率_1年!B248/365*100</f>
        <v>27.109589041095894</v>
      </c>
      <c r="S249">
        <f>C249*中国_中债国债到期收益率_1年!C248/365*100</f>
        <v>20.379452054794516</v>
      </c>
      <c r="T249">
        <f>D249*中国_中债国债到期收益率_1年!D248/365*100</f>
        <v>7.4150684931506854</v>
      </c>
      <c r="U249">
        <f>E249*中国_中债国债到期收益率_1年!E248/365*100</f>
        <v>4.2154794520547947</v>
      </c>
      <c r="V249">
        <f t="shared" si="56"/>
        <v>59.119589041095892</v>
      </c>
      <c r="W249">
        <f>SUM($V$148:V249)</f>
        <v>5497.0986301369858</v>
      </c>
      <c r="X249">
        <f>MAX(F249-50,0)*中国_中债国债到期收益率_1年!H249*100/365</f>
        <v>26.506849315068493</v>
      </c>
      <c r="Y249">
        <f>SUM($X$148:X249)</f>
        <v>2038.0905479452058</v>
      </c>
      <c r="AB249">
        <f>Z249*Return!F253*100</f>
        <v>0</v>
      </c>
      <c r="AC249">
        <f>AA249*Return!G253*100</f>
        <v>0</v>
      </c>
      <c r="AD249">
        <f>SUM($AB$148:AB249)+SUM($AC$148:AC249)</f>
        <v>980.69999999999925</v>
      </c>
      <c r="AE249">
        <f t="shared" si="49"/>
        <v>11535.708082191781</v>
      </c>
      <c r="AF249">
        <f t="shared" si="50"/>
        <v>1.0230714161643835</v>
      </c>
      <c r="AG249" s="4">
        <f>(AF249/AF248-1)-中国_中债国债到期收益率_1年!H249%/252</f>
        <v>-5.1276175998740418E-5</v>
      </c>
      <c r="AH249" s="4">
        <f>MIN((AF249-MAX($AF$151:AF249))/MAX($AF$151:AF249),0)</f>
        <v>-4.5144068678960349E-4</v>
      </c>
    </row>
    <row r="250" spans="1:34" x14ac:dyDescent="0.25">
      <c r="A250" s="6">
        <v>45075</v>
      </c>
      <c r="B250">
        <v>50</v>
      </c>
      <c r="C250">
        <v>30</v>
      </c>
      <c r="D250">
        <v>10</v>
      </c>
      <c r="E250">
        <v>5</v>
      </c>
      <c r="F250">
        <f t="shared" si="47"/>
        <v>95</v>
      </c>
      <c r="G250">
        <f t="shared" si="51"/>
        <v>50</v>
      </c>
      <c r="H250">
        <f t="shared" si="52"/>
        <v>150</v>
      </c>
      <c r="I250">
        <f t="shared" si="53"/>
        <v>90</v>
      </c>
      <c r="J250">
        <f t="shared" si="54"/>
        <v>80</v>
      </c>
      <c r="K250">
        <f t="shared" si="48"/>
        <v>370</v>
      </c>
      <c r="L250">
        <f>G250*Return!B250*100</f>
        <v>-199.00000000000028</v>
      </c>
      <c r="M250">
        <f>H250*Return!C250*100</f>
        <v>-318.00000000000495</v>
      </c>
      <c r="N250">
        <f>I250*Return!D250*100</f>
        <v>-125.99999999999811</v>
      </c>
      <c r="O250">
        <f>J250*Return!E250*100</f>
        <v>-111.99999999999832</v>
      </c>
      <c r="P250">
        <f t="shared" si="55"/>
        <v>-755.00000000000159</v>
      </c>
      <c r="Q250">
        <f>SUM($P$148:P250)</f>
        <v>6341</v>
      </c>
      <c r="R250">
        <f>B250*中国_中债国债到期收益率_1年!B249/365*100</f>
        <v>27.654794520547949</v>
      </c>
      <c r="S250">
        <f>C250*中国_中债国债到期收益率_1年!C249/365*100</f>
        <v>20.553698630136989</v>
      </c>
      <c r="T250">
        <f>D250*中国_中债国债到期收益率_1年!D249/365*100</f>
        <v>7.4534246575342467</v>
      </c>
      <c r="U250">
        <f>E250*中国_中债国债到期收益率_1年!E249/365*100</f>
        <v>4.2346575342465753</v>
      </c>
      <c r="V250">
        <f t="shared" si="56"/>
        <v>59.896575342465759</v>
      </c>
      <c r="W250">
        <f>SUM($V$148:V250)</f>
        <v>5556.9952054794512</v>
      </c>
      <c r="X250">
        <f>MAX(F250-50,0)*中国_中债国债到期收益率_1年!H250*100/365</f>
        <v>26.506849315068493</v>
      </c>
      <c r="Y250">
        <f>SUM($X$148:X250)</f>
        <v>2064.5973972602742</v>
      </c>
      <c r="AB250">
        <f>Z250*Return!F254*100</f>
        <v>0</v>
      </c>
      <c r="AC250">
        <f>AA250*Return!G254*100</f>
        <v>0</v>
      </c>
      <c r="AD250">
        <f>SUM($AB$148:AB250)+SUM($AC$148:AC250)</f>
        <v>980.69999999999925</v>
      </c>
      <c r="AE250">
        <f t="shared" si="49"/>
        <v>10814.097808219176</v>
      </c>
      <c r="AF250">
        <f t="shared" si="50"/>
        <v>1.0216281956164384</v>
      </c>
      <c r="AG250" s="4">
        <f>(AF250/AF249-1)-中国_中债国债到期收益率_1年!H250%/252</f>
        <v>-1.4959917545479342E-3</v>
      </c>
      <c r="AH250" s="4">
        <f>MIN((AF250-MAX($AF$151:AF250))/MAX($AF$151:AF250),0)</f>
        <v>-1.8614781452478907E-3</v>
      </c>
    </row>
    <row r="251" spans="1:34" x14ac:dyDescent="0.25">
      <c r="A251" s="6">
        <v>45076</v>
      </c>
      <c r="B251">
        <v>50</v>
      </c>
      <c r="C251">
        <v>30</v>
      </c>
      <c r="D251">
        <v>10</v>
      </c>
      <c r="E251">
        <v>5</v>
      </c>
      <c r="F251">
        <f t="shared" si="47"/>
        <v>95</v>
      </c>
      <c r="G251">
        <f t="shared" si="51"/>
        <v>50</v>
      </c>
      <c r="H251">
        <f t="shared" si="52"/>
        <v>150</v>
      </c>
      <c r="I251">
        <f t="shared" si="53"/>
        <v>90</v>
      </c>
      <c r="J251">
        <f t="shared" si="54"/>
        <v>80</v>
      </c>
      <c r="K251">
        <f t="shared" si="48"/>
        <v>370</v>
      </c>
      <c r="L251">
        <f>G251*Return!B251*100</f>
        <v>104.50000000000071</v>
      </c>
      <c r="M251">
        <f>H251*Return!C251*100</f>
        <v>204.00000000000418</v>
      </c>
      <c r="N251">
        <f>I251*Return!D251*100</f>
        <v>229.50000000000071</v>
      </c>
      <c r="O251">
        <f>J251*Return!E251*100</f>
        <v>59.200000000000585</v>
      </c>
      <c r="P251">
        <f t="shared" si="55"/>
        <v>597.20000000000618</v>
      </c>
      <c r="Q251">
        <f>SUM($P$148:P251)</f>
        <v>6938.2000000000062</v>
      </c>
      <c r="R251">
        <f>B251*中国_中债国债到期收益率_1年!B250/365*100</f>
        <v>27.36849315068493</v>
      </c>
      <c r="S251">
        <f>C251*中国_中债国债到期收益率_1年!C250/365*100</f>
        <v>20.441917808219181</v>
      </c>
      <c r="T251">
        <f>D251*中国_中债国债到期收益率_1年!D250/365*100</f>
        <v>7.3835616438356162</v>
      </c>
      <c r="U251">
        <f>E251*中国_中债国债到期收益率_1年!E250/365*100</f>
        <v>4.2245205479452057</v>
      </c>
      <c r="V251">
        <f t="shared" si="56"/>
        <v>59.418493150684938</v>
      </c>
      <c r="W251">
        <f>SUM($V$148:V251)</f>
        <v>5616.4136986301364</v>
      </c>
      <c r="X251">
        <f>MAX(F251-50,0)*中国_中债国债到期收益率_1年!H251*100/365</f>
        <v>26.506849315068493</v>
      </c>
      <c r="Y251">
        <f>SUM($X$148:X251)</f>
        <v>2091.1042465753426</v>
      </c>
      <c r="AB251">
        <f>Z251*Return!F255*100</f>
        <v>0</v>
      </c>
      <c r="AC251">
        <f>AA251*Return!G255*100</f>
        <v>0</v>
      </c>
      <c r="AD251">
        <f>SUM($AB$148:AB251)+SUM($AC$148:AC251)</f>
        <v>980.69999999999925</v>
      </c>
      <c r="AE251">
        <f t="shared" si="49"/>
        <v>11444.209452054798</v>
      </c>
      <c r="AF251">
        <f t="shared" si="50"/>
        <v>1.0228884189041096</v>
      </c>
      <c r="AG251" s="4">
        <f>(AF251/AF250-1)-中国_中债国债到期收益率_1年!H251%/252</f>
        <v>1.1482264973361664E-3</v>
      </c>
      <c r="AH251" s="4">
        <f>MIN((AF251-MAX($AF$151:AF251))/MAX($AF$151:AF251),0)</f>
        <v>-6.3023040271259424E-4</v>
      </c>
    </row>
    <row r="252" spans="1:34" x14ac:dyDescent="0.25">
      <c r="A252" s="6">
        <v>45077</v>
      </c>
      <c r="B252">
        <v>50</v>
      </c>
      <c r="C252">
        <v>30</v>
      </c>
      <c r="D252">
        <v>10</v>
      </c>
      <c r="E252">
        <v>5</v>
      </c>
      <c r="F252">
        <f t="shared" si="47"/>
        <v>95</v>
      </c>
      <c r="G252">
        <f t="shared" si="51"/>
        <v>50</v>
      </c>
      <c r="H252">
        <f t="shared" si="52"/>
        <v>150</v>
      </c>
      <c r="I252">
        <f t="shared" si="53"/>
        <v>90</v>
      </c>
      <c r="J252">
        <f t="shared" si="54"/>
        <v>80</v>
      </c>
      <c r="K252">
        <f t="shared" si="48"/>
        <v>370</v>
      </c>
      <c r="L252">
        <f>G252*Return!B252*100</f>
        <v>71.999999999999844</v>
      </c>
      <c r="M252">
        <f>H252*Return!C252*100</f>
        <v>-13.500000000001844</v>
      </c>
      <c r="N252">
        <f>I252*Return!D252*100</f>
        <v>-45.000000000003041</v>
      </c>
      <c r="O252">
        <f>J252*Return!E252*100</f>
        <v>0</v>
      </c>
      <c r="P252">
        <f t="shared" si="55"/>
        <v>13.499999999994955</v>
      </c>
      <c r="Q252">
        <f>SUM($P$148:P252)</f>
        <v>6951.7000000000007</v>
      </c>
      <c r="R252">
        <f>B252*中国_中债国债到期收益率_1年!B251/365*100</f>
        <v>27.171232876712324</v>
      </c>
      <c r="S252">
        <f>C252*中国_中债国债到期收益率_1年!C251/365*100</f>
        <v>20.449315068493153</v>
      </c>
      <c r="T252">
        <f>D252*中国_中债国债到期收益率_1年!D251/365*100</f>
        <v>7.397260273972603</v>
      </c>
      <c r="U252">
        <f>E252*中国_中债国债到期收益率_1年!E251/365*100</f>
        <v>4.2245205479452057</v>
      </c>
      <c r="V252">
        <f t="shared" si="56"/>
        <v>59.242328767123283</v>
      </c>
      <c r="W252">
        <f>SUM($V$148:V252)</f>
        <v>5675.65602739726</v>
      </c>
      <c r="X252">
        <f>MAX(F252-50,0)*中国_中债国债到期收益率_1年!H252*100/365</f>
        <v>25.890410958904109</v>
      </c>
      <c r="Y252">
        <f>SUM($X$148:X252)</f>
        <v>2116.9946575342465</v>
      </c>
      <c r="AB252">
        <f>Z252*Return!F256*100</f>
        <v>0</v>
      </c>
      <c r="AC252">
        <f>AA252*Return!G256*100</f>
        <v>0</v>
      </c>
      <c r="AD252">
        <f>SUM($AB$148:AB252)+SUM($AC$148:AC252)</f>
        <v>980.69999999999925</v>
      </c>
      <c r="AE252">
        <f t="shared" si="49"/>
        <v>11491.061369863015</v>
      </c>
      <c r="AF252">
        <f t="shared" si="50"/>
        <v>1.022982122739726</v>
      </c>
      <c r="AG252" s="4">
        <f>(AF252/AF251-1)-中国_中债国债到期收益率_1年!H252%/252</f>
        <v>8.2737607392987785E-6</v>
      </c>
      <c r="AH252" s="4">
        <f>MIN((AF252-MAX($AF$151:AF252))/MAX($AF$151:AF252),0)</f>
        <v>-5.3868104221575113E-4</v>
      </c>
    </row>
    <row r="253" spans="1:34" x14ac:dyDescent="0.25">
      <c r="A253" s="6">
        <v>45078</v>
      </c>
      <c r="B253">
        <v>50</v>
      </c>
      <c r="C253">
        <v>30</v>
      </c>
      <c r="D253">
        <v>10</v>
      </c>
      <c r="E253">
        <v>5</v>
      </c>
      <c r="F253">
        <f t="shared" si="47"/>
        <v>95</v>
      </c>
      <c r="G253">
        <f t="shared" si="51"/>
        <v>50</v>
      </c>
      <c r="H253">
        <f t="shared" si="52"/>
        <v>150</v>
      </c>
      <c r="I253">
        <f t="shared" si="53"/>
        <v>90</v>
      </c>
      <c r="J253">
        <f t="shared" si="54"/>
        <v>80</v>
      </c>
      <c r="K253">
        <f t="shared" si="48"/>
        <v>370</v>
      </c>
      <c r="L253">
        <f>G253*Return!B253*100</f>
        <v>2.9999999999996696</v>
      </c>
      <c r="M253">
        <f>H253*Return!C253*100</f>
        <v>483.00000000000011</v>
      </c>
      <c r="N253">
        <f>I253*Return!D253*100</f>
        <v>135.00000000000111</v>
      </c>
      <c r="O253">
        <f>J253*Return!E253*100</f>
        <v>84.799999999997766</v>
      </c>
      <c r="P253">
        <f t="shared" si="55"/>
        <v>705.7999999999987</v>
      </c>
      <c r="Q253">
        <f>SUM($P$148:P253)</f>
        <v>7657.4999999999991</v>
      </c>
      <c r="R253">
        <f>B253*中国_中债国债到期收益率_1年!B252/365*100</f>
        <v>27.163013698630138</v>
      </c>
      <c r="S253">
        <f>C253*中国_中债国债到期收益率_1年!C252/365*100</f>
        <v>20.184657534246579</v>
      </c>
      <c r="T253">
        <f>D253*中国_中债国债到期收益率_1年!D252/365*100</f>
        <v>7.3561643835616444</v>
      </c>
      <c r="U253">
        <f>E253*中国_中债国债到期收益率_1年!E252/365*100</f>
        <v>4.21</v>
      </c>
      <c r="V253">
        <f t="shared" si="56"/>
        <v>58.913835616438369</v>
      </c>
      <c r="W253">
        <f>SUM($V$148:V253)</f>
        <v>5734.5698630136985</v>
      </c>
      <c r="X253">
        <f>MAX(F253-50,0)*中国_中债国债到期收益率_1年!H253*100/365</f>
        <v>22.80821917808219</v>
      </c>
      <c r="Y253">
        <f>SUM($X$148:X253)</f>
        <v>2139.8028767123287</v>
      </c>
      <c r="AB253">
        <f>Z253*Return!F257*100</f>
        <v>0</v>
      </c>
      <c r="AC253">
        <f>AA253*Return!G257*100</f>
        <v>0</v>
      </c>
      <c r="AD253">
        <f>SUM($AB$148:AB253)+SUM($AC$148:AC253)</f>
        <v>980.69999999999925</v>
      </c>
      <c r="AE253">
        <f t="shared" si="49"/>
        <v>12232.966986301368</v>
      </c>
      <c r="AF253">
        <f t="shared" si="50"/>
        <v>1.0244659339726028</v>
      </c>
      <c r="AG253" s="4">
        <f>(AF253/AF252-1)-中国_中债国债到期收益率_1年!H253%/252</f>
        <v>1.3770635121615601E-3</v>
      </c>
      <c r="AH253" s="4">
        <f>MIN((AF253-MAX($AF$151:AF253))/MAX($AF$151:AF253),0)</f>
        <v>0</v>
      </c>
    </row>
    <row r="254" spans="1:34" x14ac:dyDescent="0.25">
      <c r="A254" s="6">
        <v>45079</v>
      </c>
      <c r="B254">
        <v>30</v>
      </c>
      <c r="C254">
        <v>30</v>
      </c>
      <c r="D254">
        <v>10</v>
      </c>
      <c r="E254">
        <v>5</v>
      </c>
      <c r="F254">
        <f t="shared" si="47"/>
        <v>75</v>
      </c>
      <c r="G254">
        <f t="shared" si="51"/>
        <v>30</v>
      </c>
      <c r="H254">
        <f t="shared" si="52"/>
        <v>150</v>
      </c>
      <c r="I254">
        <f t="shared" si="53"/>
        <v>90</v>
      </c>
      <c r="J254">
        <f t="shared" si="54"/>
        <v>80</v>
      </c>
      <c r="K254">
        <f t="shared" si="48"/>
        <v>350</v>
      </c>
      <c r="L254">
        <f>G254*Return!B254*100</f>
        <v>32.400000000000432</v>
      </c>
      <c r="M254">
        <f>H254*Return!C254*100</f>
        <v>452.99999999999676</v>
      </c>
      <c r="N254">
        <f>I254*Return!D254*100</f>
        <v>22.49999999999952</v>
      </c>
      <c r="O254">
        <f>J254*Return!E254*100</f>
        <v>31.200000000001893</v>
      </c>
      <c r="P254">
        <f t="shared" si="55"/>
        <v>539.09999999999866</v>
      </c>
      <c r="Q254">
        <f>SUM($P$148:P254)</f>
        <v>8196.5999999999985</v>
      </c>
      <c r="R254">
        <f>B254*中国_中债国债到期收益率_1年!B253/365*100</f>
        <v>16.209041095890413</v>
      </c>
      <c r="S254">
        <f>C254*中国_中债国债到期收益率_1年!C253/365*100</f>
        <v>19.936438356164384</v>
      </c>
      <c r="T254">
        <f>D254*中国_中债国债到期收益率_1年!D253/365*100</f>
        <v>7.3493150684931523</v>
      </c>
      <c r="U254">
        <f>E254*中国_中债国债到期收益率_1年!E253/365*100</f>
        <v>4.2046575342465751</v>
      </c>
      <c r="V254">
        <f t="shared" si="56"/>
        <v>47.699452054794534</v>
      </c>
      <c r="W254">
        <f>SUM($V$148:V254)</f>
        <v>5782.2693150684927</v>
      </c>
      <c r="X254">
        <f>MAX(F254-50,0)*中国_中债国债到期收益率_1年!H254*100/365</f>
        <v>13.013698630136986</v>
      </c>
      <c r="Y254">
        <f>SUM($X$148:X254)</f>
        <v>2152.8165753424655</v>
      </c>
      <c r="AB254">
        <f>Z254*Return!F258*100</f>
        <v>0</v>
      </c>
      <c r="AC254">
        <f>AA254*Return!G258*100</f>
        <v>0</v>
      </c>
      <c r="AD254">
        <f>SUM($AB$148:AB254)+SUM($AC$148:AC254)</f>
        <v>980.69999999999925</v>
      </c>
      <c r="AE254">
        <f t="shared" si="49"/>
        <v>12806.752739726026</v>
      </c>
      <c r="AF254">
        <f t="shared" si="50"/>
        <v>1.025613505479452</v>
      </c>
      <c r="AG254" s="4">
        <f>(AF254/AF253-1)-中国_中债国债到期收益率_1年!H254%/252</f>
        <v>1.0447687836236815E-3</v>
      </c>
      <c r="AH254" s="4">
        <f>MIN((AF254-MAX($AF$151:AF254))/MAX($AF$151:AF254),0)</f>
        <v>0</v>
      </c>
    </row>
    <row r="255" spans="1:34" x14ac:dyDescent="0.25">
      <c r="A255" s="6">
        <v>45082</v>
      </c>
      <c r="B255">
        <v>30</v>
      </c>
      <c r="C255">
        <v>30</v>
      </c>
      <c r="D255">
        <v>10</v>
      </c>
      <c r="E255">
        <v>5</v>
      </c>
      <c r="F255">
        <f t="shared" si="47"/>
        <v>75</v>
      </c>
      <c r="G255">
        <f t="shared" si="51"/>
        <v>30</v>
      </c>
      <c r="H255">
        <f t="shared" si="52"/>
        <v>150</v>
      </c>
      <c r="I255">
        <f t="shared" si="53"/>
        <v>90</v>
      </c>
      <c r="J255">
        <f t="shared" si="54"/>
        <v>80</v>
      </c>
      <c r="K255">
        <f t="shared" si="48"/>
        <v>350</v>
      </c>
      <c r="L255">
        <f>G255*Return!B255*100</f>
        <v>-3.0000000000003357</v>
      </c>
      <c r="M255">
        <f>H255*Return!C255*100</f>
        <v>-413.99999999999437</v>
      </c>
      <c r="N255">
        <f>I255*Return!D255*100</f>
        <v>-113.39999999999949</v>
      </c>
      <c r="O255">
        <f>J255*Return!E255*100</f>
        <v>-71.999999999999176</v>
      </c>
      <c r="P255">
        <f t="shared" si="55"/>
        <v>-602.39999999999338</v>
      </c>
      <c r="Q255">
        <f>SUM($P$148:P255)</f>
        <v>7594.2000000000053</v>
      </c>
      <c r="R255">
        <f>B255*中国_中债国债到期收益率_1年!B254/365*100</f>
        <v>16.217260273972602</v>
      </c>
      <c r="S255">
        <f>C255*中国_中债国债到期收益率_1年!C254/365*100</f>
        <v>20.163287671232872</v>
      </c>
      <c r="T255">
        <f>D255*中国_中债国债到期收益率_1年!D254/365*100</f>
        <v>7.3838356164383558</v>
      </c>
      <c r="U255">
        <f>E255*中国_中债国债到期收益率_1年!E254/365*100</f>
        <v>4.2169863013698627</v>
      </c>
      <c r="V255">
        <f t="shared" si="56"/>
        <v>47.981369863013697</v>
      </c>
      <c r="W255">
        <f>SUM($V$148:V255)</f>
        <v>5830.2506849315068</v>
      </c>
      <c r="X255">
        <f>MAX(F255-50,0)*中国_中债国债到期收益率_1年!H255*100/365</f>
        <v>12.671232876712329</v>
      </c>
      <c r="Y255">
        <f>SUM($X$148:X255)</f>
        <v>2165.4878082191776</v>
      </c>
      <c r="AB255">
        <f>Z255*Return!F259*100</f>
        <v>0</v>
      </c>
      <c r="AC255">
        <f>AA255*Return!G259*100</f>
        <v>0</v>
      </c>
      <c r="AD255">
        <f>SUM($AB$148:AB255)+SUM($AC$148:AC255)</f>
        <v>980.69999999999925</v>
      </c>
      <c r="AE255">
        <f t="shared" si="49"/>
        <v>12239.662876712333</v>
      </c>
      <c r="AF255">
        <f t="shared" si="50"/>
        <v>1.0244793257534246</v>
      </c>
      <c r="AG255" s="4">
        <f>(AF255/AF254-1)-中国_中债国债到期收益率_1年!H255%/252</f>
        <v>-1.1792676037624553E-3</v>
      </c>
      <c r="AH255" s="4">
        <f>MIN((AF255-MAX($AF$151:AF255))/MAX($AF$151:AF255),0)</f>
        <v>-1.1058549053497087E-3</v>
      </c>
    </row>
    <row r="256" spans="1:34" x14ac:dyDescent="0.25">
      <c r="A256" s="6">
        <v>45083</v>
      </c>
      <c r="B256">
        <v>30</v>
      </c>
      <c r="C256">
        <v>30</v>
      </c>
      <c r="D256">
        <v>10</v>
      </c>
      <c r="E256">
        <v>5</v>
      </c>
      <c r="F256">
        <f t="shared" si="47"/>
        <v>75</v>
      </c>
      <c r="G256">
        <f t="shared" si="51"/>
        <v>30</v>
      </c>
      <c r="H256">
        <f t="shared" si="52"/>
        <v>150</v>
      </c>
      <c r="I256">
        <f t="shared" si="53"/>
        <v>90</v>
      </c>
      <c r="J256">
        <f t="shared" si="54"/>
        <v>80</v>
      </c>
      <c r="K256">
        <f t="shared" si="48"/>
        <v>350</v>
      </c>
      <c r="L256">
        <f>G256*Return!B256*100</f>
        <v>102.30000000000005</v>
      </c>
      <c r="M256">
        <f>H256*Return!C256*100</f>
        <v>-25.500000000000522</v>
      </c>
      <c r="N256">
        <f>I256*Return!D256*100</f>
        <v>22.49999999999952</v>
      </c>
      <c r="O256">
        <f>J256*Return!E256*100</f>
        <v>-4.8000000000030241</v>
      </c>
      <c r="P256">
        <f t="shared" si="55"/>
        <v>94.499999999996021</v>
      </c>
      <c r="Q256">
        <f>SUM($P$148:P256)</f>
        <v>7688.7000000000016</v>
      </c>
      <c r="R256">
        <f>B256*中国_中债国债到期收益率_1年!B255/365*100</f>
        <v>15.936986301369863</v>
      </c>
      <c r="S256">
        <f>C256*中国_中债国债到期收益率_1年!C255/365*100</f>
        <v>20.1772602739726</v>
      </c>
      <c r="T256">
        <f>D256*中国_中债国债到期收益率_1年!D255/365*100</f>
        <v>7.3769863013698629</v>
      </c>
      <c r="U256">
        <f>E256*中国_中债国债到期收益率_1年!E255/365*100</f>
        <v>4.2178082191780826</v>
      </c>
      <c r="V256">
        <f t="shared" si="56"/>
        <v>47.709041095890406</v>
      </c>
      <c r="W256">
        <f>SUM($V$148:V256)</f>
        <v>5877.9597260273977</v>
      </c>
      <c r="X256">
        <f>MAX(F256-50,0)*中国_中债国债到期收益率_1年!H256*100/365</f>
        <v>12.328767123287671</v>
      </c>
      <c r="Y256">
        <f>SUM($X$148:X256)</f>
        <v>2177.8165753424655</v>
      </c>
      <c r="AB256">
        <f>Z256*Return!F260*100</f>
        <v>0</v>
      </c>
      <c r="AC256">
        <f>AA256*Return!G260*100</f>
        <v>0</v>
      </c>
      <c r="AD256">
        <f>SUM($AB$148:AB256)+SUM($AC$148:AC256)</f>
        <v>980.69999999999925</v>
      </c>
      <c r="AE256">
        <f t="shared" si="49"/>
        <v>12369.543150684933</v>
      </c>
      <c r="AF256">
        <f t="shared" si="50"/>
        <v>1.0247390863013699</v>
      </c>
      <c r="AG256" s="4">
        <f>(AF256/AF255-1)-中国_中债国债到期收益率_1年!H256%/252</f>
        <v>1.8212515231723155E-4</v>
      </c>
      <c r="AH256" s="4">
        <f>MIN((AF256-MAX($AF$151:AF256))/MAX($AF$151:AF256),0)</f>
        <v>-8.5258157523315022E-4</v>
      </c>
    </row>
    <row r="257" spans="1:34" x14ac:dyDescent="0.25">
      <c r="A257" s="6">
        <v>45084</v>
      </c>
      <c r="B257">
        <v>30</v>
      </c>
      <c r="C257">
        <v>30</v>
      </c>
      <c r="D257">
        <v>10</v>
      </c>
      <c r="E257">
        <v>5</v>
      </c>
      <c r="F257">
        <f t="shared" si="47"/>
        <v>75</v>
      </c>
      <c r="G257">
        <f t="shared" si="51"/>
        <v>30</v>
      </c>
      <c r="H257">
        <f t="shared" si="52"/>
        <v>150</v>
      </c>
      <c r="I257">
        <f t="shared" si="53"/>
        <v>90</v>
      </c>
      <c r="J257">
        <f t="shared" si="54"/>
        <v>80</v>
      </c>
      <c r="K257">
        <f t="shared" si="48"/>
        <v>350</v>
      </c>
      <c r="L257">
        <f>G257*Return!B257*100</f>
        <v>63.90000000000029</v>
      </c>
      <c r="M257">
        <f>H257*Return!C257*100</f>
        <v>253.4999999999954</v>
      </c>
      <c r="N257">
        <f>I257*Return!D257*100</f>
        <v>90.000000000002075</v>
      </c>
      <c r="O257">
        <f>J257*Return!E257*100</f>
        <v>59.200000000000585</v>
      </c>
      <c r="P257">
        <f t="shared" si="55"/>
        <v>466.59999999999832</v>
      </c>
      <c r="Q257">
        <f>SUM($P$148:P257)</f>
        <v>8155.3</v>
      </c>
      <c r="R257">
        <f>B257*中国_中债国债到期收益率_1年!B256/365*100</f>
        <v>15.761917808219177</v>
      </c>
      <c r="S257">
        <f>C257*中国_中债国债到期收益率_1年!C256/365*100</f>
        <v>20.038356164383561</v>
      </c>
      <c r="T257">
        <f>D257*中国_中债国债到期收益率_1年!D256/365*100</f>
        <v>7.3495890410958902</v>
      </c>
      <c r="U257">
        <f>E257*中国_中债国债到期收益率_1年!E256/365*100</f>
        <v>4.207671232876713</v>
      </c>
      <c r="V257">
        <f t="shared" si="56"/>
        <v>47.357534246575341</v>
      </c>
      <c r="W257">
        <f>SUM($V$148:V257)</f>
        <v>5925.3172602739733</v>
      </c>
      <c r="X257">
        <f>MAX(F257-50,0)*中国_中债国债到期收益率_1年!H257*100/365</f>
        <v>12.602739726027398</v>
      </c>
      <c r="Y257">
        <f>SUM($X$148:X257)</f>
        <v>2190.4193150684928</v>
      </c>
      <c r="AB257">
        <f>Z257*Return!F261*100</f>
        <v>0</v>
      </c>
      <c r="AC257">
        <f>AA257*Return!G261*100</f>
        <v>0</v>
      </c>
      <c r="AD257">
        <f>SUM($AB$148:AB257)+SUM($AC$148:AC257)</f>
        <v>980.69999999999925</v>
      </c>
      <c r="AE257">
        <f t="shared" si="49"/>
        <v>12870.897945205479</v>
      </c>
      <c r="AF257">
        <f t="shared" si="50"/>
        <v>1.0257417958904109</v>
      </c>
      <c r="AG257" s="4">
        <f>(AF257/AF256-1)-中国_中债国债到期收益率_1年!H257%/252</f>
        <v>9.0548646230561203E-4</v>
      </c>
      <c r="AH257" s="4">
        <f>MIN((AF257-MAX($AF$151:AF257))/MAX($AF$151:AF257),0)</f>
        <v>0</v>
      </c>
    </row>
    <row r="258" spans="1:34" x14ac:dyDescent="0.25">
      <c r="A258" s="6">
        <v>45085</v>
      </c>
      <c r="B258">
        <v>30</v>
      </c>
      <c r="C258">
        <v>30</v>
      </c>
      <c r="D258">
        <v>10</v>
      </c>
      <c r="E258">
        <v>5</v>
      </c>
      <c r="F258">
        <f t="shared" si="47"/>
        <v>75</v>
      </c>
      <c r="G258">
        <f t="shared" si="51"/>
        <v>30</v>
      </c>
      <c r="H258">
        <f t="shared" si="52"/>
        <v>150</v>
      </c>
      <c r="I258">
        <f t="shared" si="53"/>
        <v>90</v>
      </c>
      <c r="J258">
        <f t="shared" si="54"/>
        <v>80</v>
      </c>
      <c r="K258">
        <f t="shared" si="48"/>
        <v>350</v>
      </c>
      <c r="L258">
        <f>G258*Return!B258*100</f>
        <v>66.599999999999994</v>
      </c>
      <c r="M258">
        <f>H258*Return!C258*100</f>
        <v>-49.499999999997883</v>
      </c>
      <c r="N258">
        <f>I258*Return!D258*100</f>
        <v>-0.90000000000189928</v>
      </c>
      <c r="O258">
        <f>J258*Return!E258*100</f>
        <v>56.800000000002626</v>
      </c>
      <c r="P258">
        <f t="shared" si="55"/>
        <v>73.000000000002842</v>
      </c>
      <c r="Q258">
        <f>SUM($P$148:P258)</f>
        <v>8228.3000000000029</v>
      </c>
      <c r="R258">
        <f>B258*中国_中债国债到期收益率_1年!B257/365*100</f>
        <v>15.579452054794521</v>
      </c>
      <c r="S258">
        <f>C258*中国_中债国债到期收益率_1年!C257/365*100</f>
        <v>20.065479452054795</v>
      </c>
      <c r="T258">
        <f>D258*中国_中债国债到期收益率_1年!D257/365*100</f>
        <v>7.3498630136986307</v>
      </c>
      <c r="U258">
        <f>E258*中国_中债国债到期收益率_1年!E257/365*100</f>
        <v>4.1979452054794519</v>
      </c>
      <c r="V258">
        <f t="shared" si="56"/>
        <v>47.192739726027398</v>
      </c>
      <c r="W258">
        <f>SUM($V$148:V258)</f>
        <v>5972.51</v>
      </c>
      <c r="X258">
        <f>MAX(F258-50,0)*中国_中债国债到期收益率_1年!H258*100/365</f>
        <v>12.328767123287671</v>
      </c>
      <c r="Y258">
        <f>SUM($X$148:X258)</f>
        <v>2202.7480821917807</v>
      </c>
      <c r="AB258">
        <f>Z258*Return!F262*100</f>
        <v>0</v>
      </c>
      <c r="AC258">
        <f>AA258*Return!G262*100</f>
        <v>0</v>
      </c>
      <c r="AD258">
        <f>SUM($AB$148:AB258)+SUM($AC$148:AC258)</f>
        <v>980.69999999999925</v>
      </c>
      <c r="AE258">
        <f t="shared" si="49"/>
        <v>12978.76191780822</v>
      </c>
      <c r="AF258">
        <f t="shared" si="50"/>
        <v>1.0259575238356164</v>
      </c>
      <c r="AG258" s="4">
        <f>(AF258/AF257-1)-中国_中债国债到期收益率_1年!H258%/252</f>
        <v>1.3888551157929615E-4</v>
      </c>
      <c r="AH258" s="4">
        <f>MIN((AF258-MAX($AF$151:AF258))/MAX($AF$151:AF258),0)</f>
        <v>0</v>
      </c>
    </row>
    <row r="259" spans="1:34" x14ac:dyDescent="0.25">
      <c r="A259" s="6">
        <v>45086</v>
      </c>
      <c r="B259">
        <v>30</v>
      </c>
      <c r="C259">
        <v>30</v>
      </c>
      <c r="D259">
        <v>10</v>
      </c>
      <c r="E259">
        <v>5</v>
      </c>
      <c r="F259">
        <f t="shared" ref="F259:F322" si="57">SUM(B259:E259)</f>
        <v>75</v>
      </c>
      <c r="G259">
        <f t="shared" si="51"/>
        <v>30</v>
      </c>
      <c r="H259">
        <f t="shared" si="52"/>
        <v>150</v>
      </c>
      <c r="I259">
        <f t="shared" si="53"/>
        <v>90</v>
      </c>
      <c r="J259">
        <f t="shared" si="54"/>
        <v>80</v>
      </c>
      <c r="K259">
        <f t="shared" ref="K259:K322" si="58">SUM(G259:J259)</f>
        <v>350</v>
      </c>
      <c r="L259">
        <f>G259*Return!B259*100</f>
        <v>20.39999999999975</v>
      </c>
      <c r="M259">
        <f>H259*Return!C259*100</f>
        <v>-163.49999999999864</v>
      </c>
      <c r="N259">
        <f>I259*Return!D259*100</f>
        <v>4.5000000000015028</v>
      </c>
      <c r="O259">
        <f>J259*Return!E259*100</f>
        <v>-4.8000000000030241</v>
      </c>
      <c r="P259">
        <f t="shared" si="55"/>
        <v>-143.4000000000004</v>
      </c>
      <c r="Q259">
        <f>SUM($P$148:P259)</f>
        <v>8084.9000000000024</v>
      </c>
      <c r="R259">
        <f>B259*中国_中债国债到期收益率_1年!B258/365*100</f>
        <v>15.523561643835619</v>
      </c>
      <c r="S259">
        <f>C259*中国_中债国债到期收益率_1年!C258/365*100</f>
        <v>20.155068493150686</v>
      </c>
      <c r="T259">
        <f>D259*中国_中债国债到期收益率_1年!D258/365*100</f>
        <v>7.3484931506849316</v>
      </c>
      <c r="U259">
        <f>E259*中国_中债国债到期收益率_1年!E258/365*100</f>
        <v>4.1987671232876718</v>
      </c>
      <c r="V259">
        <f t="shared" si="56"/>
        <v>47.225890410958911</v>
      </c>
      <c r="W259">
        <f>SUM($V$148:V259)</f>
        <v>6019.7358904109587</v>
      </c>
      <c r="X259">
        <f>MAX(F259-50,0)*中国_中债国债到期收益率_1年!H259*100/365</f>
        <v>12.671232876712329</v>
      </c>
      <c r="Y259">
        <f>SUM($X$148:X259)</f>
        <v>2215.4193150684928</v>
      </c>
      <c r="AB259">
        <f>Z259*Return!F263*100</f>
        <v>0</v>
      </c>
      <c r="AC259">
        <f>AA259*Return!G263*100</f>
        <v>0</v>
      </c>
      <c r="AD259">
        <f>SUM($AB$148:AB259)+SUM($AC$148:AC259)</f>
        <v>980.69999999999925</v>
      </c>
      <c r="AE259">
        <f t="shared" si="49"/>
        <v>12869.916575342468</v>
      </c>
      <c r="AF259">
        <f t="shared" si="50"/>
        <v>1.0257398331506848</v>
      </c>
      <c r="AG259" s="4">
        <f>(AF259/AF258-1)-中国_中债国债到期收益率_1年!H259%/252</f>
        <v>-2.8559563959111659E-4</v>
      </c>
      <c r="AH259" s="4">
        <f>MIN((AF259-MAX($AF$151:AF259))/MAX($AF$151:AF259),0)</f>
        <v>-2.1218294117845315E-4</v>
      </c>
    </row>
    <row r="260" spans="1:34" x14ac:dyDescent="0.25">
      <c r="A260" s="6">
        <v>45089</v>
      </c>
      <c r="B260">
        <v>30</v>
      </c>
      <c r="C260">
        <v>30</v>
      </c>
      <c r="D260">
        <v>10</v>
      </c>
      <c r="E260">
        <v>5</v>
      </c>
      <c r="F260">
        <f t="shared" si="57"/>
        <v>75</v>
      </c>
      <c r="G260">
        <f t="shared" si="51"/>
        <v>30</v>
      </c>
      <c r="H260">
        <f t="shared" si="52"/>
        <v>150</v>
      </c>
      <c r="I260">
        <f t="shared" si="53"/>
        <v>90</v>
      </c>
      <c r="J260">
        <f t="shared" si="54"/>
        <v>80</v>
      </c>
      <c r="K260">
        <f t="shared" si="58"/>
        <v>350</v>
      </c>
      <c r="L260">
        <f>G260*Return!B260*100</f>
        <v>75.300000000000367</v>
      </c>
      <c r="M260">
        <f>H260*Return!C260*100</f>
        <v>272.99999999999659</v>
      </c>
      <c r="N260">
        <f>I260*Return!D260*100</f>
        <v>107.0999999999982</v>
      </c>
      <c r="O260">
        <f>J260*Return!E260*100</f>
        <v>168.80000000000095</v>
      </c>
      <c r="P260">
        <f t="shared" si="55"/>
        <v>624.19999999999607</v>
      </c>
      <c r="Q260">
        <f>SUM($P$148:P260)</f>
        <v>8709.0999999999985</v>
      </c>
      <c r="R260">
        <f>B260*中国_中债国债到期收益率_1年!B259/365*100</f>
        <v>15.317260273972602</v>
      </c>
      <c r="S260">
        <f>C260*中国_中债国债到期收益率_1年!C259/365*100</f>
        <v>20.005479452054796</v>
      </c>
      <c r="T260">
        <f>D260*中国_中债国债到期收益率_1年!D259/365*100</f>
        <v>7.3158904109589047</v>
      </c>
      <c r="U260">
        <f>E260*中国_中债国债到期收益率_1年!E259/365*100</f>
        <v>4.1698630136986301</v>
      </c>
      <c r="V260">
        <f t="shared" si="56"/>
        <v>46.808493150684939</v>
      </c>
      <c r="W260">
        <f>SUM($V$148:V260)</f>
        <v>6066.5443835616434</v>
      </c>
      <c r="X260">
        <f>MAX(F260-50,0)*中国_中债国债到期收益率_1年!H260*100/365</f>
        <v>13.013698630136986</v>
      </c>
      <c r="Y260">
        <f>SUM($X$148:X260)</f>
        <v>2228.4330136986296</v>
      </c>
      <c r="AB260">
        <f>Z260*Return!F264*100</f>
        <v>0</v>
      </c>
      <c r="AC260">
        <f>AA260*Return!G264*100</f>
        <v>0</v>
      </c>
      <c r="AD260">
        <f>SUM($AB$148:AB260)+SUM($AC$148:AC260)</f>
        <v>980.69999999999925</v>
      </c>
      <c r="AE260">
        <f t="shared" ref="AE260:AE323" si="59">Q260+W260+AD260-Y260</f>
        <v>13527.91136986301</v>
      </c>
      <c r="AF260">
        <f t="shared" ref="AF260:AF323" si="60">AE260/$AI$1+1</f>
        <v>1.027055822739726</v>
      </c>
      <c r="AG260" s="4">
        <f>(AF260/AF259-1)-中国_中债国债到期收益率_1年!H260%/252</f>
        <v>1.2075694263855438E-3</v>
      </c>
      <c r="AH260" s="4">
        <f>MIN((AF260-MAX($AF$151:AF260))/MAX($AF$151:AF260),0)</f>
        <v>0</v>
      </c>
    </row>
    <row r="261" spans="1:34" x14ac:dyDescent="0.25">
      <c r="A261" s="6">
        <v>45090</v>
      </c>
      <c r="B261">
        <v>30</v>
      </c>
      <c r="C261">
        <v>30</v>
      </c>
      <c r="D261">
        <v>10</v>
      </c>
      <c r="E261">
        <v>5</v>
      </c>
      <c r="F261">
        <f t="shared" si="57"/>
        <v>75</v>
      </c>
      <c r="G261">
        <f t="shared" si="51"/>
        <v>30</v>
      </c>
      <c r="H261">
        <f t="shared" si="52"/>
        <v>150</v>
      </c>
      <c r="I261">
        <f t="shared" si="53"/>
        <v>90</v>
      </c>
      <c r="J261">
        <f t="shared" si="54"/>
        <v>80</v>
      </c>
      <c r="K261">
        <f t="shared" si="58"/>
        <v>350</v>
      </c>
      <c r="L261">
        <f>G261*Return!B261*100</f>
        <v>-8.1000000000004402</v>
      </c>
      <c r="M261">
        <f>H261*Return!C261*100</f>
        <v>-31.499999999999861</v>
      </c>
      <c r="N261">
        <f>I261*Return!D261*100</f>
        <v>-0.89999999999790248</v>
      </c>
      <c r="O261">
        <f>J261*Return!E261*100</f>
        <v>39.200000000001012</v>
      </c>
      <c r="P261">
        <f t="shared" si="55"/>
        <v>-1.2999999999971905</v>
      </c>
      <c r="Q261">
        <f>SUM($P$148:P261)</f>
        <v>8707.8000000000011</v>
      </c>
      <c r="R261">
        <f>B261*中国_中债国债到期收益率_1年!B260/365*100</f>
        <v>15.339452054794522</v>
      </c>
      <c r="S261">
        <f>C261*中国_中债国债到期收益率_1年!C260/365*100</f>
        <v>20.022739726027396</v>
      </c>
      <c r="T261">
        <f>D261*中国_中债国债到期收益率_1年!D260/365*100</f>
        <v>7.3161643835616434</v>
      </c>
      <c r="U261">
        <f>E261*中国_中债国债到期收益率_1年!E260/365*100</f>
        <v>4.163150684931507</v>
      </c>
      <c r="V261">
        <f t="shared" si="56"/>
        <v>46.841506849315067</v>
      </c>
      <c r="W261">
        <f>SUM($V$148:V261)</f>
        <v>6113.3858904109584</v>
      </c>
      <c r="X261">
        <f>MAX(F261-50,0)*中国_中债国债到期收益率_1年!H261*100/365</f>
        <v>13.356164383561644</v>
      </c>
      <c r="Y261">
        <f>SUM($X$148:X261)</f>
        <v>2241.789178082191</v>
      </c>
      <c r="AB261">
        <f>Z261*Return!F265*100</f>
        <v>0</v>
      </c>
      <c r="AC261">
        <f>AA261*Return!G265*100</f>
        <v>0</v>
      </c>
      <c r="AD261">
        <f>SUM($AB$148:AB261)+SUM($AC$148:AC261)</f>
        <v>980.69999999999925</v>
      </c>
      <c r="AE261">
        <f t="shared" si="59"/>
        <v>13560.096712328766</v>
      </c>
      <c r="AF261">
        <f t="shared" si="60"/>
        <v>1.0271201934246574</v>
      </c>
      <c r="AG261" s="4">
        <f>(AF261/AF260-1)-中国_中债国债到期收益率_1年!H261%/252</f>
        <v>-1.4705990118642201E-5</v>
      </c>
      <c r="AH261" s="4">
        <f>MIN((AF261-MAX($AF$151:AF261))/MAX($AF$151:AF261),0)</f>
        <v>0</v>
      </c>
    </row>
    <row r="262" spans="1:34" x14ac:dyDescent="0.25">
      <c r="A262" s="6">
        <v>45091</v>
      </c>
      <c r="B262">
        <v>30</v>
      </c>
      <c r="C262">
        <v>30</v>
      </c>
      <c r="D262">
        <v>10</v>
      </c>
      <c r="E262">
        <v>5</v>
      </c>
      <c r="F262">
        <f t="shared" si="57"/>
        <v>75</v>
      </c>
      <c r="G262">
        <f t="shared" si="51"/>
        <v>30</v>
      </c>
      <c r="H262">
        <f t="shared" si="52"/>
        <v>150</v>
      </c>
      <c r="I262">
        <f t="shared" si="53"/>
        <v>90</v>
      </c>
      <c r="J262">
        <f t="shared" si="54"/>
        <v>80</v>
      </c>
      <c r="K262">
        <f t="shared" si="58"/>
        <v>350</v>
      </c>
      <c r="L262">
        <f>G262*Return!B262*100</f>
        <v>44.700000000000408</v>
      </c>
      <c r="M262">
        <f>H262*Return!C262*100</f>
        <v>495.00000000000546</v>
      </c>
      <c r="N262">
        <f>I262*Return!D262*100</f>
        <v>429.2999999999987</v>
      </c>
      <c r="O262">
        <f>J262*Return!E262*100</f>
        <v>261.59999999999786</v>
      </c>
      <c r="P262">
        <f t="shared" si="55"/>
        <v>1230.6000000000024</v>
      </c>
      <c r="Q262">
        <f>SUM($P$148:P262)</f>
        <v>9938.4000000000033</v>
      </c>
      <c r="R262">
        <f>B262*中国_中债国债到期收益率_1年!B261/365*100</f>
        <v>15.216986301369865</v>
      </c>
      <c r="S262">
        <f>C262*中国_中债国债到期收益率_1年!C261/365*100</f>
        <v>19.751506849315064</v>
      </c>
      <c r="T262">
        <f>D262*中国_中债国债到期收益率_1年!D261/365*100</f>
        <v>7.1854794520547953</v>
      </c>
      <c r="U262">
        <f>E262*中国_中债国债到期收益率_1年!E261/365*100</f>
        <v>4.1183561643835613</v>
      </c>
      <c r="V262">
        <f t="shared" si="56"/>
        <v>46.272328767123284</v>
      </c>
      <c r="W262">
        <f>SUM($V$148:V262)</f>
        <v>6159.6582191780817</v>
      </c>
      <c r="X262">
        <f>MAX(F262-50,0)*中国_中债国债到期收益率_1年!H262*100/365</f>
        <v>12.671232876712329</v>
      </c>
      <c r="Y262">
        <f>SUM($X$148:X262)</f>
        <v>2254.4604109589031</v>
      </c>
      <c r="AB262">
        <f>Z262*Return!F266*100</f>
        <v>0</v>
      </c>
      <c r="AC262">
        <f>AA262*Return!G266*100</f>
        <v>0</v>
      </c>
      <c r="AD262">
        <f>SUM($AB$148:AB262)+SUM($AC$148:AC262)</f>
        <v>980.69999999999925</v>
      </c>
      <c r="AE262">
        <f t="shared" si="59"/>
        <v>14824.297808219182</v>
      </c>
      <c r="AF262">
        <f t="shared" si="60"/>
        <v>1.0296485956164383</v>
      </c>
      <c r="AG262" s="4">
        <f>(AF262/AF261-1)-中国_中债国债到期收益率_1年!H262%/252</f>
        <v>2.3882292865925045E-3</v>
      </c>
      <c r="AH262" s="4">
        <f>MIN((AF262-MAX($AF$151:AF262))/MAX($AF$151:AF262),0)</f>
        <v>0</v>
      </c>
    </row>
    <row r="263" spans="1:34" x14ac:dyDescent="0.25">
      <c r="A263" s="6">
        <v>45092</v>
      </c>
      <c r="B263">
        <v>30</v>
      </c>
      <c r="C263">
        <v>30</v>
      </c>
      <c r="D263">
        <v>10</v>
      </c>
      <c r="E263">
        <v>5</v>
      </c>
      <c r="F263">
        <f t="shared" si="57"/>
        <v>75</v>
      </c>
      <c r="G263">
        <f t="shared" si="51"/>
        <v>30</v>
      </c>
      <c r="H263">
        <f t="shared" si="52"/>
        <v>150</v>
      </c>
      <c r="I263">
        <f t="shared" si="53"/>
        <v>90</v>
      </c>
      <c r="J263">
        <f t="shared" si="54"/>
        <v>80</v>
      </c>
      <c r="K263">
        <f t="shared" si="58"/>
        <v>350</v>
      </c>
      <c r="L263">
        <f>G263*Return!B263*100</f>
        <v>44.69999999999974</v>
      </c>
      <c r="M263">
        <f>H263*Return!C263*100</f>
        <v>76.499999999994913</v>
      </c>
      <c r="N263">
        <f>I263*Return!D263*100</f>
        <v>44.100000000001138</v>
      </c>
      <c r="O263">
        <f>J263*Return!E263*100</f>
        <v>80.799999999999983</v>
      </c>
      <c r="P263">
        <f t="shared" si="55"/>
        <v>246.09999999999576</v>
      </c>
      <c r="Q263">
        <f>SUM($P$148:P263)</f>
        <v>10184.499999999998</v>
      </c>
      <c r="R263">
        <f>B263*中国_中债国债到期收益率_1年!B262/365*100</f>
        <v>15.094520547945207</v>
      </c>
      <c r="S263">
        <f>C263*中国_中债国债到期收益率_1年!C262/365*100</f>
        <v>19.709589041095889</v>
      </c>
      <c r="T263">
        <f>D263*中国_中债国债到期收益率_1年!D262/365*100</f>
        <v>7.1720547945205464</v>
      </c>
      <c r="U263">
        <f>E263*中国_中债国债到期收益率_1年!E262/365*100</f>
        <v>4.1045205479452056</v>
      </c>
      <c r="V263">
        <f t="shared" si="56"/>
        <v>46.080684931506852</v>
      </c>
      <c r="W263">
        <f>SUM($V$148:V263)</f>
        <v>6205.7389041095885</v>
      </c>
      <c r="X263">
        <f>MAX(F263-50,0)*中国_中债国债到期收益率_1年!H263*100/365</f>
        <v>12.671232876712329</v>
      </c>
      <c r="Y263">
        <f>SUM($X$148:X263)</f>
        <v>2267.1316438356153</v>
      </c>
      <c r="AB263">
        <f>Z263*Return!F267*100</f>
        <v>0</v>
      </c>
      <c r="AC263">
        <f>AA263*Return!G267*100</f>
        <v>0</v>
      </c>
      <c r="AD263">
        <f>SUM($AB$148:AB263)+SUM($AC$148:AC263)</f>
        <v>980.69999999999925</v>
      </c>
      <c r="AE263">
        <f t="shared" si="59"/>
        <v>15103.807260273974</v>
      </c>
      <c r="AF263">
        <f t="shared" si="60"/>
        <v>1.0302076145205479</v>
      </c>
      <c r="AG263" s="4">
        <f>(AF263/AF262-1)-中国_中债国债到期收益率_1年!H263%/252</f>
        <v>4.6950933002449987E-4</v>
      </c>
      <c r="AH263" s="4">
        <f>MIN((AF263-MAX($AF$151:AF263))/MAX($AF$151:AF263),0)</f>
        <v>0</v>
      </c>
    </row>
    <row r="264" spans="1:34" x14ac:dyDescent="0.25">
      <c r="A264" s="6">
        <v>45093</v>
      </c>
      <c r="B264">
        <v>30</v>
      </c>
      <c r="C264">
        <v>30</v>
      </c>
      <c r="D264">
        <v>10</v>
      </c>
      <c r="E264">
        <v>5</v>
      </c>
      <c r="F264">
        <f t="shared" si="57"/>
        <v>75</v>
      </c>
      <c r="G264">
        <f t="shared" si="51"/>
        <v>30</v>
      </c>
      <c r="H264">
        <f t="shared" si="52"/>
        <v>150</v>
      </c>
      <c r="I264">
        <f t="shared" si="53"/>
        <v>90</v>
      </c>
      <c r="J264">
        <f t="shared" si="54"/>
        <v>80</v>
      </c>
      <c r="K264">
        <f t="shared" si="58"/>
        <v>350</v>
      </c>
      <c r="L264">
        <f>G264*Return!B264*100</f>
        <v>-75.299999999999699</v>
      </c>
      <c r="M264">
        <f>H264*Return!C264*100</f>
        <v>-578.99999999999613</v>
      </c>
      <c r="N264">
        <f>I264*Return!D264*100</f>
        <v>-273.60000000000184</v>
      </c>
      <c r="O264">
        <f>J264*Return!E264*100</f>
        <v>-243.19999999999808</v>
      </c>
      <c r="P264">
        <f t="shared" si="55"/>
        <v>-1171.0999999999958</v>
      </c>
      <c r="Q264">
        <f>SUM($P$148:P264)</f>
        <v>9013.4000000000015</v>
      </c>
      <c r="R264">
        <f>B264*中国_中债国债到期收益率_1年!B263/365*100</f>
        <v>15.30082191780822</v>
      </c>
      <c r="S264">
        <f>C264*中国_中债国债到期收益率_1年!C263/365*100</f>
        <v>20.026849315068493</v>
      </c>
      <c r="T264">
        <f>D264*中国_中债国债到期收益率_1年!D263/365*100</f>
        <v>7.255342465753424</v>
      </c>
      <c r="U264">
        <f>E264*中国_中债国债到期收益率_1年!E263/365*100</f>
        <v>4.1461643835616435</v>
      </c>
      <c r="V264">
        <f t="shared" si="56"/>
        <v>46.72917808219178</v>
      </c>
      <c r="W264">
        <f>SUM($V$148:V264)</f>
        <v>6252.46808219178</v>
      </c>
      <c r="X264">
        <f>MAX(F264-50,0)*中国_中债国债到期收益率_1年!H264*100/365</f>
        <v>13.356164383561644</v>
      </c>
      <c r="Y264">
        <f>SUM($X$148:X264)</f>
        <v>2280.4878082191767</v>
      </c>
      <c r="AB264">
        <f>Z264*Return!F268*100</f>
        <v>0</v>
      </c>
      <c r="AC264">
        <f>AA264*Return!G268*100</f>
        <v>0</v>
      </c>
      <c r="AD264">
        <f>SUM($AB$148:AB264)+SUM($AC$148:AC264)</f>
        <v>980.69999999999925</v>
      </c>
      <c r="AE264">
        <f t="shared" si="59"/>
        <v>13966.080273972602</v>
      </c>
      <c r="AF264">
        <f t="shared" si="60"/>
        <v>1.0279321605479452</v>
      </c>
      <c r="AG264" s="4">
        <f>(AF264/AF263-1)-中国_中债国债到期收益率_1年!H264%/252</f>
        <v>-2.2861143576971958E-3</v>
      </c>
      <c r="AH264" s="4">
        <f>MIN((AF264-MAX($AF$151:AF264))/MAX($AF$151:AF264),0)</f>
        <v>-2.2087334053161991E-3</v>
      </c>
    </row>
    <row r="265" spans="1:34" x14ac:dyDescent="0.25">
      <c r="A265" s="6">
        <v>45096</v>
      </c>
      <c r="B265">
        <v>30</v>
      </c>
      <c r="C265">
        <v>30</v>
      </c>
      <c r="D265">
        <v>10</v>
      </c>
      <c r="E265">
        <v>5</v>
      </c>
      <c r="F265">
        <f t="shared" si="57"/>
        <v>75</v>
      </c>
      <c r="G265">
        <f t="shared" si="51"/>
        <v>30</v>
      </c>
      <c r="H265">
        <f t="shared" si="52"/>
        <v>150</v>
      </c>
      <c r="I265">
        <f t="shared" si="53"/>
        <v>90</v>
      </c>
      <c r="J265">
        <f t="shared" si="54"/>
        <v>80</v>
      </c>
      <c r="K265">
        <f t="shared" si="58"/>
        <v>350</v>
      </c>
      <c r="L265">
        <f>G265*Return!B265*100</f>
        <v>-60.300000000000018</v>
      </c>
      <c r="M265">
        <f>H265*Return!C265*100</f>
        <v>-265.50000000000074</v>
      </c>
      <c r="N265">
        <f>I265*Return!D265*100</f>
        <v>-129.59999999999772</v>
      </c>
      <c r="O265">
        <f>J265*Return!E265*100</f>
        <v>-121.60000000000082</v>
      </c>
      <c r="P265">
        <f t="shared" si="55"/>
        <v>-576.99999999999932</v>
      </c>
      <c r="Q265">
        <f>SUM($P$148:P265)</f>
        <v>8436.4000000000015</v>
      </c>
      <c r="R265">
        <f>B265*中国_中债国债到期收益率_1年!B264/365*100</f>
        <v>15.466027397260273</v>
      </c>
      <c r="S265">
        <f>C265*中国_中债国债到期收益率_1年!C264/365*100</f>
        <v>20.172328767123286</v>
      </c>
      <c r="T265">
        <f>D265*中国_中债国债到期收益率_1年!D264/365*100</f>
        <v>7.2947945205479439</v>
      </c>
      <c r="U265">
        <f>E265*中国_中债国债到期收益率_1年!E264/365*100</f>
        <v>4.1669863013698638</v>
      </c>
      <c r="V265">
        <f t="shared" si="56"/>
        <v>47.100136986301365</v>
      </c>
      <c r="W265">
        <f>SUM($V$148:V265)</f>
        <v>6299.5682191780816</v>
      </c>
      <c r="X265">
        <f>MAX(F265-50,0)*中国_中债国债到期收益率_1年!H265*100/365</f>
        <v>14.315068493150685</v>
      </c>
      <c r="Y265">
        <f>SUM($X$148:X265)</f>
        <v>2294.8028767123274</v>
      </c>
      <c r="AB265">
        <f>Z265*Return!F269*100</f>
        <v>0</v>
      </c>
      <c r="AC265">
        <f>AA265*Return!G269*100</f>
        <v>0</v>
      </c>
      <c r="AD265">
        <f>SUM($AB$148:AB265)+SUM($AC$148:AC265)</f>
        <v>980.69999999999925</v>
      </c>
      <c r="AE265">
        <f t="shared" si="59"/>
        <v>13421.865342465755</v>
      </c>
      <c r="AF265">
        <f t="shared" si="60"/>
        <v>1.0268437306849316</v>
      </c>
      <c r="AG265" s="4">
        <f>(AF265/AF264-1)-中国_中债国债到期收益率_1年!H265%/252</f>
        <v>-1.1417902969194688E-3</v>
      </c>
      <c r="AH265" s="4">
        <f>MIN((AF265-MAX($AF$151:AF265))/MAX($AF$151:AF265),0)</f>
        <v>-3.2652484685640622E-3</v>
      </c>
    </row>
    <row r="266" spans="1:34" x14ac:dyDescent="0.25">
      <c r="A266" s="6">
        <v>45097</v>
      </c>
      <c r="B266">
        <v>30</v>
      </c>
      <c r="C266">
        <v>30</v>
      </c>
      <c r="D266">
        <v>10</v>
      </c>
      <c r="E266">
        <v>5</v>
      </c>
      <c r="F266">
        <f t="shared" si="57"/>
        <v>75</v>
      </c>
      <c r="G266">
        <f t="shared" si="51"/>
        <v>30</v>
      </c>
      <c r="H266">
        <f t="shared" si="52"/>
        <v>150</v>
      </c>
      <c r="I266">
        <f t="shared" si="53"/>
        <v>90</v>
      </c>
      <c r="J266">
        <f t="shared" si="54"/>
        <v>80</v>
      </c>
      <c r="K266">
        <f t="shared" si="58"/>
        <v>350</v>
      </c>
      <c r="L266">
        <f>G266*Return!B266*100</f>
        <v>-60.300000000000018</v>
      </c>
      <c r="M266">
        <f>H266*Return!C266*100</f>
        <v>-726</v>
      </c>
      <c r="N266">
        <f>I266*Return!D266*100</f>
        <v>-225.00000000000318</v>
      </c>
      <c r="O266">
        <f>J266*Return!E266*100</f>
        <v>-160.00000000000014</v>
      </c>
      <c r="P266">
        <f t="shared" si="55"/>
        <v>-1171.3000000000034</v>
      </c>
      <c r="Q266">
        <f>SUM($P$148:P266)</f>
        <v>7265.0999999999985</v>
      </c>
      <c r="R266">
        <f>B266*中国_中债国债到期收益率_1年!B265/365*100</f>
        <v>15.631232876712328</v>
      </c>
      <c r="S266">
        <f>C266*中国_中债国债到期收益率_1年!C265/365*100</f>
        <v>20.570136986301371</v>
      </c>
      <c r="T266">
        <f>D266*中国_中债国债到期收益率_1年!D265/365*100</f>
        <v>7.363287671232877</v>
      </c>
      <c r="U266">
        <f>E266*中国_中债国债到期收益率_1年!E265/365*100</f>
        <v>4.1943835616438356</v>
      </c>
      <c r="V266">
        <f t="shared" si="56"/>
        <v>47.75904109589041</v>
      </c>
      <c r="W266">
        <f>SUM($V$148:V266)</f>
        <v>6347.3272602739717</v>
      </c>
      <c r="X266">
        <f>MAX(F266-50,0)*中国_中债国债到期收益率_1年!H266*100/365</f>
        <v>14.383561643835616</v>
      </c>
      <c r="Y266">
        <f>SUM($X$148:X266)</f>
        <v>2309.1864383561629</v>
      </c>
      <c r="AB266">
        <f>Z266*Return!F270*100</f>
        <v>0</v>
      </c>
      <c r="AC266">
        <f>AA266*Return!G270*100</f>
        <v>0</v>
      </c>
      <c r="AD266">
        <f>SUM($AB$148:AB266)+SUM($AC$148:AC266)</f>
        <v>980.69999999999925</v>
      </c>
      <c r="AE266">
        <f t="shared" si="59"/>
        <v>12283.940821917806</v>
      </c>
      <c r="AF266">
        <f t="shared" si="60"/>
        <v>1.0245678816438357</v>
      </c>
      <c r="AG266" s="4">
        <f>(AF266/AF265-1)-中国_中债国债到期收益率_1年!H266%/252</f>
        <v>-2.2996871689631251E-3</v>
      </c>
      <c r="AH266" s="4">
        <f>MIN((AF266-MAX($AF$151:AF266))/MAX($AF$151:AF266),0)</f>
        <v>-5.4743653582262171E-3</v>
      </c>
    </row>
    <row r="267" spans="1:34" x14ac:dyDescent="0.25">
      <c r="A267" s="6">
        <v>45098</v>
      </c>
      <c r="B267">
        <v>30</v>
      </c>
      <c r="C267">
        <v>30</v>
      </c>
      <c r="D267">
        <v>10</v>
      </c>
      <c r="E267">
        <v>5</v>
      </c>
      <c r="F267">
        <f t="shared" si="57"/>
        <v>75</v>
      </c>
      <c r="G267">
        <f t="shared" si="51"/>
        <v>30</v>
      </c>
      <c r="H267">
        <f t="shared" si="52"/>
        <v>150</v>
      </c>
      <c r="I267">
        <f t="shared" si="53"/>
        <v>90</v>
      </c>
      <c r="J267">
        <f t="shared" si="54"/>
        <v>80</v>
      </c>
      <c r="K267">
        <f t="shared" si="58"/>
        <v>350</v>
      </c>
      <c r="L267">
        <f>G267*Return!B267*100</f>
        <v>-30.000000000000028</v>
      </c>
      <c r="M267">
        <f>H267*Return!C267*100</f>
        <v>323.99999999999761</v>
      </c>
      <c r="N267">
        <f>I267*Return!D267*100</f>
        <v>112.50000000000159</v>
      </c>
      <c r="O267">
        <f>J267*Return!E267*100</f>
        <v>140.00000000000057</v>
      </c>
      <c r="P267">
        <f t="shared" si="55"/>
        <v>546.49999999999977</v>
      </c>
      <c r="Q267">
        <f>SUM($P$148:P267)</f>
        <v>7811.5999999999985</v>
      </c>
      <c r="R267">
        <f>B267*中国_中债国债到期收益率_1年!B266/365*100</f>
        <v>15.713424657534247</v>
      </c>
      <c r="S267">
        <f>C267*中国_中债国债到期收益率_1年!C266/365*100</f>
        <v>20.39260273972603</v>
      </c>
      <c r="T267">
        <f>D267*中国_中债国债到期收益率_1年!D266/365*100</f>
        <v>7.3290410958904113</v>
      </c>
      <c r="U267">
        <f>E267*中国_中债国债到期收益率_1年!E266/365*100</f>
        <v>4.1704109589041094</v>
      </c>
      <c r="V267">
        <f t="shared" si="56"/>
        <v>47.605479452054794</v>
      </c>
      <c r="W267">
        <f>SUM($V$148:V267)</f>
        <v>6394.9327397260267</v>
      </c>
      <c r="X267">
        <f>MAX(F267-50,0)*中国_中债国债到期收益率_1年!H267*100/365</f>
        <v>15.068493150684933</v>
      </c>
      <c r="Y267">
        <f>SUM($X$148:X267)</f>
        <v>2324.2549315068477</v>
      </c>
      <c r="AB267">
        <f>Z267*Return!F271*100</f>
        <v>0</v>
      </c>
      <c r="AC267">
        <f>AA267*Return!G271*100</f>
        <v>0</v>
      </c>
      <c r="AD267">
        <f>SUM($AB$148:AB267)+SUM($AC$148:AC267)</f>
        <v>980.69999999999925</v>
      </c>
      <c r="AE267">
        <f t="shared" si="59"/>
        <v>12862.977808219177</v>
      </c>
      <c r="AF267">
        <f t="shared" si="60"/>
        <v>1.0257259556164384</v>
      </c>
      <c r="AG267" s="4">
        <f>(AF267/AF266-1)-中国_中债国债到期收益率_1年!H267%/252</f>
        <v>1.0430031912795276E-3</v>
      </c>
      <c r="AH267" s="4">
        <f>MIN((AF267-MAX($AF$151:AF267))/MAX($AF$151:AF267),0)</f>
        <v>-4.3502482809692584E-3</v>
      </c>
    </row>
    <row r="268" spans="1:34" x14ac:dyDescent="0.25">
      <c r="A268" s="6">
        <v>45102</v>
      </c>
      <c r="B268">
        <v>30</v>
      </c>
      <c r="C268">
        <v>30</v>
      </c>
      <c r="D268">
        <v>10</v>
      </c>
      <c r="E268">
        <v>5</v>
      </c>
      <c r="F268">
        <f t="shared" si="57"/>
        <v>75</v>
      </c>
      <c r="G268">
        <f t="shared" si="51"/>
        <v>30</v>
      </c>
      <c r="H268">
        <f t="shared" si="52"/>
        <v>150</v>
      </c>
      <c r="I268">
        <f t="shared" si="53"/>
        <v>90</v>
      </c>
      <c r="J268">
        <f t="shared" si="54"/>
        <v>80</v>
      </c>
      <c r="K268">
        <f t="shared" si="58"/>
        <v>350</v>
      </c>
      <c r="L268">
        <f>G268*Return!B268*100</f>
        <v>-12.899999999999912</v>
      </c>
      <c r="M268">
        <f>H268*Return!C268*100</f>
        <v>100.49999999999892</v>
      </c>
      <c r="N268">
        <f>I268*Return!D268*100</f>
        <v>44.999999999999041</v>
      </c>
      <c r="O268">
        <f>J268*Return!E268*100</f>
        <v>19.200000000001438</v>
      </c>
      <c r="P268">
        <f t="shared" si="55"/>
        <v>151.7999999999995</v>
      </c>
      <c r="Q268">
        <f>SUM($P$148:P268)</f>
        <v>7963.3999999999978</v>
      </c>
      <c r="R268">
        <f>B268*中国_中债国债到期收益率_1年!B267/365*100</f>
        <v>15.748767123287671</v>
      </c>
      <c r="S268">
        <f>C268*中国_中债国债到期收益率_1年!C267/365*100</f>
        <v>20.337534246575341</v>
      </c>
      <c r="T268">
        <f>D268*中国_中债国债到期收益率_1年!D267/365*100</f>
        <v>7.3153424657534245</v>
      </c>
      <c r="U268">
        <f>E268*中国_中债国债到期收益率_1年!E267/365*100</f>
        <v>4.1671232876712327</v>
      </c>
      <c r="V268">
        <f t="shared" si="56"/>
        <v>47.568767123287664</v>
      </c>
      <c r="W268">
        <f>SUM($V$148:V268)</f>
        <v>6442.501506849314</v>
      </c>
      <c r="X268">
        <f>MAX(F268-50,0)*中国_中债国债到期收益率_1年!H268*100/365</f>
        <v>13.698630136986301</v>
      </c>
      <c r="Y268">
        <f>SUM($X$148:X268)</f>
        <v>2337.9535616438338</v>
      </c>
      <c r="AB268">
        <f>Z268*Return!F272*100</f>
        <v>0</v>
      </c>
      <c r="AC268">
        <f>AA268*Return!G272*100</f>
        <v>0</v>
      </c>
      <c r="AD268">
        <f>SUM($AB$148:AB268)+SUM($AC$148:AC268)</f>
        <v>980.69999999999925</v>
      </c>
      <c r="AE268">
        <f t="shared" si="59"/>
        <v>13048.647945205477</v>
      </c>
      <c r="AF268">
        <f t="shared" si="60"/>
        <v>1.0260972958904109</v>
      </c>
      <c r="AG268" s="4">
        <f>(AF268/AF267-1)-中国_中债国债到期收益率_1年!H268%/252</f>
        <v>2.8266170950490526E-4</v>
      </c>
      <c r="AH268" s="4">
        <f>MIN((AF268-MAX($AF$151:AF268))/MAX($AF$151:AF268),0)</f>
        <v>-3.989796398515183E-3</v>
      </c>
    </row>
    <row r="269" spans="1:34" x14ac:dyDescent="0.25">
      <c r="A269" s="6">
        <v>45103</v>
      </c>
      <c r="B269">
        <v>30</v>
      </c>
      <c r="C269">
        <v>30</v>
      </c>
      <c r="D269">
        <v>10</v>
      </c>
      <c r="E269">
        <v>5</v>
      </c>
      <c r="F269">
        <f t="shared" si="57"/>
        <v>75</v>
      </c>
      <c r="G269">
        <f t="shared" si="51"/>
        <v>30</v>
      </c>
      <c r="H269">
        <f t="shared" si="52"/>
        <v>150</v>
      </c>
      <c r="I269">
        <f t="shared" si="53"/>
        <v>90</v>
      </c>
      <c r="J269">
        <f t="shared" si="54"/>
        <v>80</v>
      </c>
      <c r="K269">
        <f t="shared" si="58"/>
        <v>350</v>
      </c>
      <c r="L269">
        <f>G269*Return!B269*100</f>
        <v>12.299999999999978</v>
      </c>
      <c r="M269">
        <f>H269*Return!C269*100</f>
        <v>228.00000000000153</v>
      </c>
      <c r="N269">
        <f>I269*Return!D269*100</f>
        <v>112.50000000000159</v>
      </c>
      <c r="O269">
        <f>J269*Return!E269*100</f>
        <v>111.99999999999832</v>
      </c>
      <c r="P269">
        <f t="shared" si="55"/>
        <v>464.80000000000143</v>
      </c>
      <c r="Q269">
        <f>SUM($P$148:P269)</f>
        <v>8428.1999999999989</v>
      </c>
      <c r="R269">
        <f>B269*中国_中债国债到期收益率_1年!B268/365*100</f>
        <v>15.715068493150685</v>
      </c>
      <c r="S269">
        <f>C269*中国_中债国债到期收益率_1年!C268/365*100</f>
        <v>20.212602739726027</v>
      </c>
      <c r="T269">
        <f>D269*中国_中债国债到期收益率_1年!D268/365*100</f>
        <v>7.2810958904109588</v>
      </c>
      <c r="U269">
        <f>E269*中国_中债国债到期收益率_1年!E268/365*100</f>
        <v>4.1479452054794521</v>
      </c>
      <c r="V269">
        <f t="shared" si="56"/>
        <v>47.356712328767124</v>
      </c>
      <c r="W269">
        <f>SUM($V$148:V269)</f>
        <v>6489.8582191780815</v>
      </c>
      <c r="X269">
        <f>MAX(F269-50,0)*中国_中债国债到期收益率_1年!H269*100/365</f>
        <v>16.095890410958905</v>
      </c>
      <c r="Y269">
        <f>SUM($X$148:X269)</f>
        <v>2354.0494520547927</v>
      </c>
      <c r="AB269">
        <f>Z269*Return!F273*100</f>
        <v>0</v>
      </c>
      <c r="AC269">
        <f>AA269*Return!G273*100</f>
        <v>0</v>
      </c>
      <c r="AD269">
        <f>SUM($AB$148:AB269)+SUM($AC$148:AC269)</f>
        <v>980.69999999999925</v>
      </c>
      <c r="AE269">
        <f t="shared" si="59"/>
        <v>13544.708767123288</v>
      </c>
      <c r="AF269">
        <f t="shared" si="60"/>
        <v>1.0270894175342467</v>
      </c>
      <c r="AG269" s="4">
        <f>(AF269/AF268-1)-中国_中债国债到期收益率_1年!H269%/252</f>
        <v>8.7363450110391669E-4</v>
      </c>
      <c r="AH269" s="4">
        <f>MIN((AF269-MAX($AF$151:AF269))/MAX($AF$151:AF269),0)</f>
        <v>-3.0267656172900783E-3</v>
      </c>
    </row>
    <row r="270" spans="1:34" x14ac:dyDescent="0.25">
      <c r="A270" s="6">
        <v>45104</v>
      </c>
      <c r="B270">
        <v>30</v>
      </c>
      <c r="C270">
        <v>30</v>
      </c>
      <c r="D270">
        <v>10</v>
      </c>
      <c r="E270">
        <v>5</v>
      </c>
      <c r="F270">
        <f t="shared" si="57"/>
        <v>75</v>
      </c>
      <c r="G270">
        <f t="shared" si="51"/>
        <v>30</v>
      </c>
      <c r="H270">
        <f t="shared" si="52"/>
        <v>150</v>
      </c>
      <c r="I270">
        <f t="shared" si="53"/>
        <v>90</v>
      </c>
      <c r="J270">
        <f t="shared" si="54"/>
        <v>80</v>
      </c>
      <c r="K270">
        <f t="shared" si="58"/>
        <v>350</v>
      </c>
      <c r="L270">
        <f>G270*Return!B270*100</f>
        <v>0</v>
      </c>
      <c r="M270">
        <f>H270*Return!C270*100</f>
        <v>-196.50000000000168</v>
      </c>
      <c r="N270">
        <f>I270*Return!D270*100</f>
        <v>-90.899999999999977</v>
      </c>
      <c r="O270">
        <f>J270*Return!E270*100</f>
        <v>-52.80000000000129</v>
      </c>
      <c r="P270">
        <f t="shared" si="55"/>
        <v>-340.200000000003</v>
      </c>
      <c r="Q270">
        <f>SUM($P$148:P270)</f>
        <v>8087.9999999999964</v>
      </c>
      <c r="R270">
        <f>B270*中国_中债国债到期收益率_1年!B269/365*100</f>
        <v>15.715068493150685</v>
      </c>
      <c r="S270">
        <f>C270*中国_中债国债到期收益率_1年!C269/365*100</f>
        <v>20.320273972602742</v>
      </c>
      <c r="T270">
        <f>D270*中国_中债国债到期收益率_1年!D269/365*100</f>
        <v>7.3087671232876712</v>
      </c>
      <c r="U270">
        <f>E270*中国_中债国债到期收益率_1年!E269/365*100</f>
        <v>4.156986301369864</v>
      </c>
      <c r="V270">
        <f t="shared" si="56"/>
        <v>47.501095890410966</v>
      </c>
      <c r="W270">
        <f>SUM($V$148:V270)</f>
        <v>6537.3593150684928</v>
      </c>
      <c r="X270">
        <f>MAX(F270-50,0)*中国_中债国债到期收益率_1年!H270*100/365</f>
        <v>19.17808219178082</v>
      </c>
      <c r="Y270">
        <f>SUM($X$148:X270)</f>
        <v>2373.2275342465737</v>
      </c>
      <c r="AB270">
        <f>Z270*Return!F274*100</f>
        <v>0</v>
      </c>
      <c r="AC270">
        <f>AA270*Return!G274*100</f>
        <v>0</v>
      </c>
      <c r="AD270">
        <f>SUM($AB$148:AB270)+SUM($AC$148:AC270)</f>
        <v>980.69999999999925</v>
      </c>
      <c r="AE270">
        <f t="shared" si="59"/>
        <v>13232.831780821914</v>
      </c>
      <c r="AF270">
        <f t="shared" si="60"/>
        <v>1.0264656635616438</v>
      </c>
      <c r="AG270" s="4">
        <f>(AF270/AF269-1)-中国_中债国债到期收益率_1年!H270%/252</f>
        <v>-7.1841361267937424E-4</v>
      </c>
      <c r="AH270" s="4">
        <f>MIN((AF270-MAX($AF$151:AF270))/MAX($AF$151:AF270),0)</f>
        <v>-3.6322299565272982E-3</v>
      </c>
    </row>
    <row r="271" spans="1:34" x14ac:dyDescent="0.25">
      <c r="A271" s="6">
        <v>45105</v>
      </c>
      <c r="B271">
        <v>30</v>
      </c>
      <c r="C271">
        <v>30</v>
      </c>
      <c r="D271">
        <v>10</v>
      </c>
      <c r="E271">
        <v>5</v>
      </c>
      <c r="F271">
        <f t="shared" si="57"/>
        <v>75</v>
      </c>
      <c r="G271">
        <f t="shared" si="51"/>
        <v>30</v>
      </c>
      <c r="H271">
        <f t="shared" si="52"/>
        <v>150</v>
      </c>
      <c r="I271">
        <f t="shared" si="53"/>
        <v>90</v>
      </c>
      <c r="J271">
        <f t="shared" si="54"/>
        <v>80</v>
      </c>
      <c r="K271">
        <f t="shared" si="58"/>
        <v>350</v>
      </c>
      <c r="L271">
        <f>G271*Return!B271*100</f>
        <v>-120.00000000000011</v>
      </c>
      <c r="M271">
        <f>H271*Return!C271*100</f>
        <v>-74.999999999998408</v>
      </c>
      <c r="N271">
        <f>I271*Return!D271*100</f>
        <v>0.89999999999790248</v>
      </c>
      <c r="O271">
        <f>J271*Return!E271*100</f>
        <v>40.800000000000836</v>
      </c>
      <c r="P271">
        <f t="shared" si="55"/>
        <v>-153.29999999999978</v>
      </c>
      <c r="Q271">
        <f>SUM($P$148:P271)</f>
        <v>7934.6999999999962</v>
      </c>
      <c r="R271">
        <f>B271*中国_中债国债到期收益率_1年!B270/365*100</f>
        <v>16.043835616438358</v>
      </c>
      <c r="S271">
        <f>C271*中国_中债国债到期收益率_1年!C270/365*100</f>
        <v>20.361369863013699</v>
      </c>
      <c r="T271">
        <f>D271*中国_中债国债到期收益率_1年!D270/365*100</f>
        <v>7.3084931506849315</v>
      </c>
      <c r="U271">
        <f>E271*中国_中债国债到期收益率_1年!E270/365*100</f>
        <v>4.1500000000000004</v>
      </c>
      <c r="V271">
        <f t="shared" si="56"/>
        <v>47.863698630136987</v>
      </c>
      <c r="W271">
        <f>SUM($V$148:V271)</f>
        <v>6585.22301369863</v>
      </c>
      <c r="X271">
        <f>MAX(F271-50,0)*中国_中债国债到期收益率_1年!H271*100/365</f>
        <v>19.520547945205479</v>
      </c>
      <c r="Y271">
        <f>SUM($X$148:X271)</f>
        <v>2392.7480821917793</v>
      </c>
      <c r="AB271">
        <f>Z271*Return!F275*100</f>
        <v>0</v>
      </c>
      <c r="AC271">
        <f>AA271*Return!G275*100</f>
        <v>0</v>
      </c>
      <c r="AD271">
        <f>SUM($AB$148:AB271)+SUM($AC$148:AC271)</f>
        <v>980.69999999999925</v>
      </c>
      <c r="AE271">
        <f t="shared" si="59"/>
        <v>13107.874931506845</v>
      </c>
      <c r="AF271">
        <f t="shared" si="60"/>
        <v>1.0262157498630138</v>
      </c>
      <c r="AG271" s="4">
        <f>(AF271/AF270-1)-中国_中债国债到期收益率_1年!H271%/252</f>
        <v>-3.5656533894880922E-4</v>
      </c>
      <c r="AH271" s="4">
        <f>MIN((AF271-MAX($AF$151:AF271))/MAX($AF$151:AF271),0)</f>
        <v>-3.8748157179869834E-3</v>
      </c>
    </row>
    <row r="272" spans="1:34" x14ac:dyDescent="0.25">
      <c r="A272" s="6">
        <v>45106</v>
      </c>
      <c r="B272">
        <v>30</v>
      </c>
      <c r="C272">
        <v>30</v>
      </c>
      <c r="D272">
        <v>10</v>
      </c>
      <c r="E272">
        <v>5</v>
      </c>
      <c r="F272">
        <f t="shared" si="57"/>
        <v>75</v>
      </c>
      <c r="G272">
        <f t="shared" si="51"/>
        <v>30</v>
      </c>
      <c r="H272">
        <f t="shared" si="52"/>
        <v>150</v>
      </c>
      <c r="I272">
        <f t="shared" si="53"/>
        <v>90</v>
      </c>
      <c r="J272">
        <f t="shared" si="54"/>
        <v>80</v>
      </c>
      <c r="K272">
        <f t="shared" si="58"/>
        <v>350</v>
      </c>
      <c r="L272">
        <f>G272*Return!B272*100</f>
        <v>30.000000000000028</v>
      </c>
      <c r="M272">
        <f>H272*Return!C272*100</f>
        <v>169.49999999999798</v>
      </c>
      <c r="N272">
        <f>I272*Return!D272*100</f>
        <v>22.500000000003517</v>
      </c>
      <c r="O272">
        <f>J272*Return!E272*100</f>
        <v>19.200000000001438</v>
      </c>
      <c r="P272">
        <f t="shared" si="55"/>
        <v>241.20000000000297</v>
      </c>
      <c r="Q272">
        <f>SUM($P$148:P272)</f>
        <v>8175.8999999999987</v>
      </c>
      <c r="R272">
        <f>B272*中国_中债国债到期收益率_1年!B271/365*100</f>
        <v>15.961643835616437</v>
      </c>
      <c r="S272">
        <f>C272*中国_中债国债到期收益率_1年!C271/365*100</f>
        <v>20.268493150684932</v>
      </c>
      <c r="T272">
        <f>D272*中国_中债国债到期收益率_1年!D271/365*100</f>
        <v>7.3016438356164377</v>
      </c>
      <c r="U272">
        <f>E272*中国_中债国债到期收益率_1年!E271/365*100</f>
        <v>4.1467123287671237</v>
      </c>
      <c r="V272">
        <f t="shared" si="56"/>
        <v>47.678493150684929</v>
      </c>
      <c r="W272">
        <f>SUM($V$148:V272)</f>
        <v>6632.9015068493145</v>
      </c>
      <c r="X272">
        <f>MAX(F272-50,0)*中国_中债国债到期收益率_1年!H272*100/365</f>
        <v>19.863013698630137</v>
      </c>
      <c r="Y272">
        <f>SUM($X$148:X272)</f>
        <v>2412.6110958904096</v>
      </c>
      <c r="AB272">
        <f>Z272*Return!F276*100</f>
        <v>0</v>
      </c>
      <c r="AC272">
        <f>AA272*Return!G276*100</f>
        <v>0</v>
      </c>
      <c r="AD272">
        <f>SUM($AB$148:AB272)+SUM($AC$148:AC272)</f>
        <v>980.69999999999925</v>
      </c>
      <c r="AE272">
        <f t="shared" si="59"/>
        <v>13376.890410958902</v>
      </c>
      <c r="AF272">
        <f t="shared" si="60"/>
        <v>1.0267537808219178</v>
      </c>
      <c r="AG272" s="4">
        <f>(AF272/AF271-1)-中国_中债国债到期收益率_1年!H272%/252</f>
        <v>4.0920703276226835E-4</v>
      </c>
      <c r="AH272" s="4">
        <f>MIN((AF272-MAX($AF$151:AF272))/MAX($AF$151:AF272),0)</f>
        <v>-3.3525608333204297E-3</v>
      </c>
    </row>
    <row r="273" spans="1:34" x14ac:dyDescent="0.25">
      <c r="A273" s="6">
        <v>45107</v>
      </c>
      <c r="B273">
        <v>30</v>
      </c>
      <c r="C273">
        <v>30</v>
      </c>
      <c r="D273">
        <v>10</v>
      </c>
      <c r="E273">
        <v>5</v>
      </c>
      <c r="F273">
        <f t="shared" si="57"/>
        <v>75</v>
      </c>
      <c r="G273">
        <f t="shared" si="51"/>
        <v>30</v>
      </c>
      <c r="H273">
        <f t="shared" si="52"/>
        <v>150</v>
      </c>
      <c r="I273">
        <f t="shared" si="53"/>
        <v>90</v>
      </c>
      <c r="J273">
        <f t="shared" si="54"/>
        <v>80</v>
      </c>
      <c r="K273">
        <f t="shared" si="58"/>
        <v>350</v>
      </c>
      <c r="L273">
        <f>G273*Return!B273*100</f>
        <v>30.000000000000028</v>
      </c>
      <c r="M273">
        <f>H273*Return!C273*100</f>
        <v>135.00000000000512</v>
      </c>
      <c r="N273">
        <f>I273*Return!D273*100</f>
        <v>112.4999999999976</v>
      </c>
      <c r="O273">
        <f>J273*Return!E273*100</f>
        <v>79.999999999998295</v>
      </c>
      <c r="P273">
        <f t="shared" si="55"/>
        <v>357.50000000000102</v>
      </c>
      <c r="Q273">
        <f>SUM($P$148:P273)</f>
        <v>8533.4</v>
      </c>
      <c r="R273">
        <f>B273*中国_中债国债到期收益率_1年!B272/365*100</f>
        <v>15.879452054794521</v>
      </c>
      <c r="S273">
        <f>C273*中国_中债国债到期收益率_1年!C272/365*100</f>
        <v>20.194520547945206</v>
      </c>
      <c r="T273">
        <f>D273*中国_中债国债到期收益率_1年!D272/365*100</f>
        <v>7.267397260273972</v>
      </c>
      <c r="U273">
        <f>E273*中国_中债国债到期收益率_1年!E272/365*100</f>
        <v>4.1330136986301369</v>
      </c>
      <c r="V273">
        <f t="shared" si="56"/>
        <v>47.47438356164384</v>
      </c>
      <c r="W273">
        <f>SUM($V$148:V273)</f>
        <v>6680.3758904109582</v>
      </c>
      <c r="X273">
        <f>MAX(F273-50,0)*中国_中债国债到期收益率_1年!H273*100/365</f>
        <v>17.80821917808219</v>
      </c>
      <c r="Y273">
        <f>SUM($X$148:X273)</f>
        <v>2430.4193150684919</v>
      </c>
      <c r="AB273">
        <f>Z273*Return!F277*100</f>
        <v>0</v>
      </c>
      <c r="AC273">
        <f>AA273*Return!G277*100</f>
        <v>0</v>
      </c>
      <c r="AD273">
        <f>SUM($AB$148:AB273)+SUM($AC$148:AC273)</f>
        <v>980.69999999999925</v>
      </c>
      <c r="AE273">
        <f t="shared" si="59"/>
        <v>13764.056575342465</v>
      </c>
      <c r="AF273">
        <f t="shared" si="60"/>
        <v>1.027528113150685</v>
      </c>
      <c r="AG273" s="4">
        <f>(AF273/AF272-1)-中国_中债国债到期收益率_1年!H273%/252</f>
        <v>6.5098120635881569E-4</v>
      </c>
      <c r="AH273" s="4">
        <f>MIN((AF273-MAX($AF$151:AF273))/MAX($AF$151:AF273),0)</f>
        <v>-2.6009333770163003E-3</v>
      </c>
    </row>
    <row r="274" spans="1:34" x14ac:dyDescent="0.25">
      <c r="A274" s="6">
        <v>45110</v>
      </c>
      <c r="B274">
        <v>30</v>
      </c>
      <c r="C274">
        <v>30</v>
      </c>
      <c r="D274">
        <v>10</v>
      </c>
      <c r="E274">
        <v>5</v>
      </c>
      <c r="F274">
        <f t="shared" si="57"/>
        <v>75</v>
      </c>
      <c r="G274">
        <f t="shared" si="51"/>
        <v>30</v>
      </c>
      <c r="H274">
        <f t="shared" si="52"/>
        <v>150</v>
      </c>
      <c r="I274">
        <f t="shared" si="53"/>
        <v>90</v>
      </c>
      <c r="J274">
        <f t="shared" si="54"/>
        <v>80</v>
      </c>
      <c r="K274">
        <f t="shared" si="58"/>
        <v>350</v>
      </c>
      <c r="L274">
        <f>G274*Return!B274*100</f>
        <v>179.0999999999996</v>
      </c>
      <c r="M274">
        <f>H274*Return!C274*100</f>
        <v>484.49999999999659</v>
      </c>
      <c r="N274">
        <f>I274*Return!D274*100</f>
        <v>157.50000000000063</v>
      </c>
      <c r="O274">
        <f>J274*Return!E274*100</f>
        <v>79.200000000000159</v>
      </c>
      <c r="P274">
        <f t="shared" si="55"/>
        <v>900.29999999999688</v>
      </c>
      <c r="Q274">
        <f>SUM($P$148:P274)</f>
        <v>9433.6999999999971</v>
      </c>
      <c r="R274">
        <f>B274*中国_中债国债到期收益率_1年!B273/365*100</f>
        <v>15.388767123287671</v>
      </c>
      <c r="S274">
        <f>C274*中国_中债国债到期收益率_1年!C273/365*100</f>
        <v>19.929041095890408</v>
      </c>
      <c r="T274">
        <f>D274*中国_中债国债到期收益率_1年!D273/365*100</f>
        <v>7.2194520547945205</v>
      </c>
      <c r="U274">
        <f>E274*中国_中债国债到期收益率_1年!E273/365*100</f>
        <v>4.1194520547945208</v>
      </c>
      <c r="V274">
        <f t="shared" si="56"/>
        <v>46.656712328767121</v>
      </c>
      <c r="W274">
        <f>SUM($V$148:V274)</f>
        <v>6727.032602739725</v>
      </c>
      <c r="X274">
        <f>MAX(F274-50,0)*中国_中债国债到期收益率_1年!H274*100/365</f>
        <v>13.698630136986301</v>
      </c>
      <c r="Y274">
        <f>SUM($X$148:X274)</f>
        <v>2444.117945205478</v>
      </c>
      <c r="AB274">
        <f>Z274*Return!F278*100</f>
        <v>0</v>
      </c>
      <c r="AC274">
        <f>AA274*Return!G278*100</f>
        <v>0</v>
      </c>
      <c r="AD274">
        <f>SUM($AB$148:AB274)+SUM($AC$148:AC274)</f>
        <v>980.69999999999925</v>
      </c>
      <c r="AE274">
        <f t="shared" si="59"/>
        <v>14697.314657534243</v>
      </c>
      <c r="AF274">
        <f t="shared" si="60"/>
        <v>1.0293946293150684</v>
      </c>
      <c r="AG274" s="4">
        <f>(AF274/AF273-1)-中国_中债国债到期收益率_1年!H274%/252</f>
        <v>1.7371459634909934E-3</v>
      </c>
      <c r="AH274" s="4">
        <f>MIN((AF274-MAX($AF$151:AF274))/MAX($AF$151:AF274),0)</f>
        <v>-7.8914695836121657E-4</v>
      </c>
    </row>
    <row r="275" spans="1:34" x14ac:dyDescent="0.25">
      <c r="A275" s="6">
        <v>45111</v>
      </c>
      <c r="B275">
        <v>30</v>
      </c>
      <c r="C275">
        <v>30</v>
      </c>
      <c r="D275">
        <v>10</v>
      </c>
      <c r="E275">
        <v>5</v>
      </c>
      <c r="F275">
        <f t="shared" si="57"/>
        <v>75</v>
      </c>
      <c r="G275">
        <f t="shared" si="51"/>
        <v>30</v>
      </c>
      <c r="H275">
        <f t="shared" si="52"/>
        <v>150</v>
      </c>
      <c r="I275">
        <f t="shared" si="53"/>
        <v>90</v>
      </c>
      <c r="J275">
        <f t="shared" si="54"/>
        <v>80</v>
      </c>
      <c r="K275">
        <f t="shared" si="58"/>
        <v>350</v>
      </c>
      <c r="L275">
        <f>G275*Return!B275*100</f>
        <v>89.400000000000148</v>
      </c>
      <c r="M275">
        <f>H275*Return!C275*100</f>
        <v>-128.99999999999912</v>
      </c>
      <c r="N275">
        <f>I275*Return!D275*100</f>
        <v>-45.900000000000944</v>
      </c>
      <c r="O275">
        <f>J275*Return!E275*100</f>
        <v>-48.799999999999955</v>
      </c>
      <c r="P275">
        <f t="shared" si="55"/>
        <v>-134.29999999999987</v>
      </c>
      <c r="Q275">
        <f>SUM($P$148:P275)</f>
        <v>9299.3999999999978</v>
      </c>
      <c r="R275">
        <f>B275*中国_中债国债到期收益率_1年!B274/365*100</f>
        <v>15.143835616438356</v>
      </c>
      <c r="S275">
        <f>C275*中国_中债国债到期收益率_1年!C274/365*100</f>
        <v>19.999726027397259</v>
      </c>
      <c r="T275">
        <f>D275*中国_中债国债到期收益率_1年!D274/365*100</f>
        <v>7.2334246575342469</v>
      </c>
      <c r="U275">
        <f>E275*中国_中债国债到期收益率_1年!E274/365*100</f>
        <v>4.1278082191780827</v>
      </c>
      <c r="V275">
        <f t="shared" si="56"/>
        <v>46.504794520547939</v>
      </c>
      <c r="W275">
        <f>SUM($V$148:V275)</f>
        <v>6773.5373972602729</v>
      </c>
      <c r="X275">
        <f>MAX(F275-50,0)*中国_中债国债到期收益率_1年!H275*100/365</f>
        <v>13.698630136986301</v>
      </c>
      <c r="Y275">
        <f>SUM($X$148:X275)</f>
        <v>2457.8165753424641</v>
      </c>
      <c r="AB275">
        <f>Z275*Return!F279*100</f>
        <v>0</v>
      </c>
      <c r="AC275">
        <f>AA275*Return!G279*100</f>
        <v>0</v>
      </c>
      <c r="AD275">
        <f>SUM($AB$148:AB275)+SUM($AC$148:AC275)</f>
        <v>980.69999999999925</v>
      </c>
      <c r="AE275">
        <f t="shared" si="59"/>
        <v>14595.820821917807</v>
      </c>
      <c r="AF275">
        <f t="shared" si="60"/>
        <v>1.0291916416438356</v>
      </c>
      <c r="AG275" s="4">
        <f>(AF275/AF274-1)-中国_中债国债到期收益率_1年!H275%/252</f>
        <v>-2.7655638525709875E-4</v>
      </c>
      <c r="AH275" s="4">
        <f>MIN((AF275-MAX($AF$151:AF275))/MAX($AF$151:AF275),0)</f>
        <v>-9.8618265133394245E-4</v>
      </c>
    </row>
    <row r="276" spans="1:34" x14ac:dyDescent="0.25">
      <c r="A276" s="6">
        <v>45112</v>
      </c>
      <c r="B276">
        <v>30</v>
      </c>
      <c r="C276">
        <v>30</v>
      </c>
      <c r="D276">
        <v>10</v>
      </c>
      <c r="E276">
        <v>5</v>
      </c>
      <c r="F276">
        <f t="shared" si="57"/>
        <v>75</v>
      </c>
      <c r="G276">
        <f t="shared" ref="G276:G339" si="61">B276</f>
        <v>30</v>
      </c>
      <c r="H276">
        <f t="shared" ref="H276:H339" si="62">5*C276</f>
        <v>150</v>
      </c>
      <c r="I276">
        <f t="shared" ref="I276:I339" si="63">9*D276</f>
        <v>90</v>
      </c>
      <c r="J276">
        <f t="shared" ref="J276:J339" si="64">16*E276</f>
        <v>80</v>
      </c>
      <c r="K276">
        <f t="shared" si="58"/>
        <v>350</v>
      </c>
      <c r="L276">
        <f>G276*Return!B276*100</f>
        <v>29.70000000000006</v>
      </c>
      <c r="M276">
        <f>H276*Return!C276*100</f>
        <v>-154.49999999999963</v>
      </c>
      <c r="N276">
        <f>I276*Return!D276*100</f>
        <v>-67.499999999998565</v>
      </c>
      <c r="O276">
        <f>J276*Return!E276*100</f>
        <v>-73.599999999999</v>
      </c>
      <c r="P276">
        <f t="shared" ref="P276:P339" si="65">SUM(L276:O276)</f>
        <v>-265.89999999999714</v>
      </c>
      <c r="Q276">
        <f>SUM($P$148:P276)</f>
        <v>9033.5</v>
      </c>
      <c r="R276">
        <f>B276*中国_中债国债到期收益率_1年!B275/365*100</f>
        <v>15.062465753424659</v>
      </c>
      <c r="S276">
        <f>C276*中国_中债国债到期收益率_1年!C275/365*100</f>
        <v>20.084383561643833</v>
      </c>
      <c r="T276">
        <f>D276*中国_中债国债到期收益率_1年!D275/365*100</f>
        <v>7.2539726027397267</v>
      </c>
      <c r="U276">
        <f>E276*中国_中债国债到期收益率_1年!E275/365*100</f>
        <v>4.1404109589041092</v>
      </c>
      <c r="V276">
        <f t="shared" ref="V276:V339" si="66">SUM(R276:U276)</f>
        <v>46.541232876712328</v>
      </c>
      <c r="W276">
        <f>SUM($V$148:V276)</f>
        <v>6820.0786301369853</v>
      </c>
      <c r="X276">
        <f>MAX(F276-50,0)*中国_中债国债到期收益率_1年!H276*100/365</f>
        <v>13.356164383561644</v>
      </c>
      <c r="Y276">
        <f>SUM($X$148:X276)</f>
        <v>2471.1727397260256</v>
      </c>
      <c r="AB276">
        <f>Z276*Return!F280*100</f>
        <v>0</v>
      </c>
      <c r="AC276">
        <f>AA276*Return!G280*100</f>
        <v>0</v>
      </c>
      <c r="AD276">
        <f>SUM($AB$148:AB276)+SUM($AC$148:AC276)</f>
        <v>980.69999999999925</v>
      </c>
      <c r="AE276">
        <f t="shared" si="59"/>
        <v>14363.10589041096</v>
      </c>
      <c r="AF276">
        <f t="shared" si="60"/>
        <v>1.028726211780822</v>
      </c>
      <c r="AG276" s="4">
        <f>(AF276/AF275-1)-中国_中债国债到期收益率_1年!H276%/252</f>
        <v>-5.2960952107604234E-4</v>
      </c>
      <c r="AH276" s="4">
        <f>MIN((AF276-MAX($AF$151:AF276))/MAX($AF$151:AF276),0)</f>
        <v>-1.4379652400601719E-3</v>
      </c>
    </row>
    <row r="277" spans="1:34" x14ac:dyDescent="0.25">
      <c r="A277" s="6">
        <v>45113</v>
      </c>
      <c r="B277">
        <v>30</v>
      </c>
      <c r="C277">
        <v>30</v>
      </c>
      <c r="D277">
        <v>10</v>
      </c>
      <c r="E277">
        <v>5</v>
      </c>
      <c r="F277">
        <f t="shared" si="57"/>
        <v>75</v>
      </c>
      <c r="G277">
        <f t="shared" si="61"/>
        <v>30</v>
      </c>
      <c r="H277">
        <f t="shared" si="62"/>
        <v>150</v>
      </c>
      <c r="I277">
        <f t="shared" si="63"/>
        <v>90</v>
      </c>
      <c r="J277">
        <f t="shared" si="64"/>
        <v>80</v>
      </c>
      <c r="K277">
        <f t="shared" si="58"/>
        <v>350</v>
      </c>
      <c r="L277">
        <f>G277*Return!B277*100</f>
        <v>29.70000000000006</v>
      </c>
      <c r="M277">
        <f>H277*Return!C277*100</f>
        <v>154.49999999999963</v>
      </c>
      <c r="N277">
        <f>I277*Return!D277*100</f>
        <v>67.499999999998565</v>
      </c>
      <c r="O277">
        <f>J277*Return!E277*100</f>
        <v>39.200000000001012</v>
      </c>
      <c r="P277">
        <f t="shared" si="65"/>
        <v>290.8999999999993</v>
      </c>
      <c r="Q277">
        <f>SUM($P$148:P277)</f>
        <v>9324.4</v>
      </c>
      <c r="R277">
        <f>B277*中国_中债国债到期收益率_1年!B276/365*100</f>
        <v>14.981095890410959</v>
      </c>
      <c r="S277">
        <f>C277*中国_中债国债到期收益率_1年!C276/365*100</f>
        <v>19.999726027397259</v>
      </c>
      <c r="T277">
        <f>D277*中国_中债国债到期收益率_1年!D276/365*100</f>
        <v>7.2334246575342469</v>
      </c>
      <c r="U277">
        <f>E277*中国_中债国债到期收益率_1年!E276/365*100</f>
        <v>4.133698630136986</v>
      </c>
      <c r="V277">
        <f t="shared" si="66"/>
        <v>46.347945205479441</v>
      </c>
      <c r="W277">
        <f>SUM($V$148:V277)</f>
        <v>6866.4265753424652</v>
      </c>
      <c r="X277">
        <f>MAX(F277-50,0)*中国_中债国债到期收益率_1年!H277*100/365</f>
        <v>13.013698630136986</v>
      </c>
      <c r="Y277">
        <f>SUM($X$148:X277)</f>
        <v>2484.1864383561624</v>
      </c>
      <c r="AB277">
        <f>Z277*Return!F281*100</f>
        <v>0</v>
      </c>
      <c r="AC277">
        <f>AA277*Return!G281*100</f>
        <v>0</v>
      </c>
      <c r="AD277">
        <f>SUM($AB$148:AB277)+SUM($AC$148:AC277)</f>
        <v>980.69999999999925</v>
      </c>
      <c r="AE277">
        <f t="shared" si="59"/>
        <v>14687.340136986302</v>
      </c>
      <c r="AF277">
        <f t="shared" si="60"/>
        <v>1.0293746802739725</v>
      </c>
      <c r="AG277" s="4">
        <f>(AF277/AF276-1)-中国_中债国债到期收益率_1年!H277%/252</f>
        <v>5.5496379507168102E-4</v>
      </c>
      <c r="AH277" s="4">
        <f>MIN((AF277-MAX($AF$151:AF277))/MAX($AF$151:AF277),0)</f>
        <v>-8.0851105625250204E-4</v>
      </c>
    </row>
    <row r="278" spans="1:34" x14ac:dyDescent="0.25">
      <c r="A278" s="6">
        <v>45114</v>
      </c>
      <c r="B278">
        <v>30</v>
      </c>
      <c r="C278">
        <v>30</v>
      </c>
      <c r="D278">
        <v>10</v>
      </c>
      <c r="E278">
        <v>5</v>
      </c>
      <c r="F278">
        <f t="shared" si="57"/>
        <v>75</v>
      </c>
      <c r="G278">
        <f t="shared" si="61"/>
        <v>30</v>
      </c>
      <c r="H278">
        <f t="shared" si="62"/>
        <v>150</v>
      </c>
      <c r="I278">
        <f t="shared" si="63"/>
        <v>90</v>
      </c>
      <c r="J278">
        <f t="shared" si="64"/>
        <v>80</v>
      </c>
      <c r="K278">
        <f t="shared" si="58"/>
        <v>350</v>
      </c>
      <c r="L278">
        <f>G278*Return!B278*100</f>
        <v>0</v>
      </c>
      <c r="M278">
        <f>H278*Return!C278*100</f>
        <v>-2.9999999999996696</v>
      </c>
      <c r="N278">
        <f>I278*Return!D278*100</f>
        <v>8.9999999999990088</v>
      </c>
      <c r="O278">
        <f>J278*Return!E278*100</f>
        <v>-3.1999999999996476</v>
      </c>
      <c r="P278">
        <f t="shared" si="65"/>
        <v>2.7999999999996916</v>
      </c>
      <c r="Q278">
        <f>SUM($P$148:P278)</f>
        <v>9327.1999999999989</v>
      </c>
      <c r="R278">
        <f>B278*中国_中债国债到期收益率_1年!B277/365*100</f>
        <v>14.981095890410959</v>
      </c>
      <c r="S278">
        <f>C278*中国_中债国债到期收益率_1年!C277/365*100</f>
        <v>20.001369863013696</v>
      </c>
      <c r="T278">
        <f>D278*中国_中债国债到期收益率_1年!D277/365*100</f>
        <v>7.2306849315068504</v>
      </c>
      <c r="U278">
        <f>E278*中国_中债国债到期收益率_1年!E277/365*100</f>
        <v>4.1342465753424662</v>
      </c>
      <c r="V278">
        <f t="shared" si="66"/>
        <v>46.347397260273972</v>
      </c>
      <c r="W278">
        <f>SUM($V$148:V278)</f>
        <v>6912.7739726027394</v>
      </c>
      <c r="X278">
        <f>MAX(F278-50,0)*中国_中债国债到期收益率_1年!H278*100/365</f>
        <v>12.876712328767123</v>
      </c>
      <c r="Y278">
        <f>SUM($X$148:X278)</f>
        <v>2497.0631506849295</v>
      </c>
      <c r="AB278">
        <f>Z278*Return!F282*100</f>
        <v>0</v>
      </c>
      <c r="AC278">
        <f>AA278*Return!G282*100</f>
        <v>0</v>
      </c>
      <c r="AD278">
        <f>SUM($AB$148:AB278)+SUM($AC$148:AC278)</f>
        <v>980.69999999999925</v>
      </c>
      <c r="AE278">
        <f t="shared" si="59"/>
        <v>14723.610821917808</v>
      </c>
      <c r="AF278">
        <f t="shared" si="60"/>
        <v>1.0294472216438355</v>
      </c>
      <c r="AG278" s="4">
        <f>(AF278/AF277-1)-中国_中债国债到期收益率_1年!H278%/252</f>
        <v>-4.1318765878790848E-6</v>
      </c>
      <c r="AH278" s="4">
        <f>MIN((AF278-MAX($AF$151:AF278))/MAX($AF$151:AF278),0)</f>
        <v>-7.3809673506077705E-4</v>
      </c>
    </row>
    <row r="279" spans="1:34" x14ac:dyDescent="0.25">
      <c r="A279" s="6">
        <v>45117</v>
      </c>
      <c r="B279">
        <v>30</v>
      </c>
      <c r="C279">
        <v>30</v>
      </c>
      <c r="D279">
        <v>10</v>
      </c>
      <c r="E279">
        <v>5</v>
      </c>
      <c r="F279">
        <f t="shared" si="57"/>
        <v>75</v>
      </c>
      <c r="G279">
        <f t="shared" si="61"/>
        <v>30</v>
      </c>
      <c r="H279">
        <f t="shared" si="62"/>
        <v>150</v>
      </c>
      <c r="I279">
        <f t="shared" si="63"/>
        <v>90</v>
      </c>
      <c r="J279">
        <f t="shared" si="64"/>
        <v>80</v>
      </c>
      <c r="K279">
        <f t="shared" si="58"/>
        <v>350</v>
      </c>
      <c r="L279">
        <f>G279*Return!B279*100</f>
        <v>-15.60000000000028</v>
      </c>
      <c r="M279">
        <f>H279*Return!C279*100</f>
        <v>60.000000000000057</v>
      </c>
      <c r="N279">
        <f>I279*Return!D279*100</f>
        <v>-9.8999999999969113</v>
      </c>
      <c r="O279">
        <f>J279*Return!E279*100</f>
        <v>39.999999999999147</v>
      </c>
      <c r="P279">
        <f t="shared" si="65"/>
        <v>74.500000000002018</v>
      </c>
      <c r="Q279">
        <f>SUM($P$148:P279)</f>
        <v>9401.7000000000007</v>
      </c>
      <c r="R279">
        <f>B279*中国_中债国债到期收益率_1年!B278/365*100</f>
        <v>15.023835616438358</v>
      </c>
      <c r="S279">
        <f>C279*中国_中债国债到期收益率_1年!C278/365*100</f>
        <v>19.968493150684932</v>
      </c>
      <c r="T279">
        <f>D279*中国_中债国债到期收益率_1年!D278/365*100</f>
        <v>7.2336986301369866</v>
      </c>
      <c r="U279">
        <f>E279*中国_中债国债到期收益率_1年!E278/365*100</f>
        <v>4.1273972602739724</v>
      </c>
      <c r="V279">
        <f t="shared" si="66"/>
        <v>46.353424657534248</v>
      </c>
      <c r="W279">
        <f>SUM($V$148:V279)</f>
        <v>6959.1273972602739</v>
      </c>
      <c r="X279">
        <f>MAX(F279-50,0)*中国_中债国债到期收益率_1年!H279*100/365</f>
        <v>12.739726027397261</v>
      </c>
      <c r="Y279">
        <f>SUM($X$148:X279)</f>
        <v>2509.8028767123269</v>
      </c>
      <c r="AB279">
        <f>Z279*Return!F283*100</f>
        <v>0</v>
      </c>
      <c r="AC279">
        <f>AA279*Return!G283*100</f>
        <v>0</v>
      </c>
      <c r="AD279">
        <f>SUM($AB$148:AB279)+SUM($AC$148:AC279)</f>
        <v>980.69999999999925</v>
      </c>
      <c r="AE279">
        <f t="shared" si="59"/>
        <v>14831.724520547947</v>
      </c>
      <c r="AF279">
        <f t="shared" si="60"/>
        <v>1.0296634490410959</v>
      </c>
      <c r="AG279" s="4">
        <f>(AF279/AF278-1)-中国_中债国债到期收益率_1年!H279%/252</f>
        <v>1.3623271314467606E-4</v>
      </c>
      <c r="AH279" s="4">
        <f>MIN((AF279-MAX($AF$151:AF279))/MAX($AF$151:AF279),0)</f>
        <v>-5.2820952959590594E-4</v>
      </c>
    </row>
    <row r="280" spans="1:34" x14ac:dyDescent="0.25">
      <c r="A280" s="6">
        <v>45118</v>
      </c>
      <c r="B280">
        <v>30</v>
      </c>
      <c r="C280">
        <v>30</v>
      </c>
      <c r="D280">
        <v>10</v>
      </c>
      <c r="E280">
        <v>5</v>
      </c>
      <c r="F280">
        <f t="shared" si="57"/>
        <v>75</v>
      </c>
      <c r="G280">
        <f t="shared" si="61"/>
        <v>30</v>
      </c>
      <c r="H280">
        <f t="shared" si="62"/>
        <v>150</v>
      </c>
      <c r="I280">
        <f t="shared" si="63"/>
        <v>90</v>
      </c>
      <c r="J280">
        <f t="shared" si="64"/>
        <v>80</v>
      </c>
      <c r="K280">
        <f t="shared" si="58"/>
        <v>350</v>
      </c>
      <c r="L280">
        <f>G280*Return!B280*100</f>
        <v>0</v>
      </c>
      <c r="M280">
        <f>H280*Return!C280*100</f>
        <v>-149.99999999999682</v>
      </c>
      <c r="N280">
        <f>I280*Return!D280*100</f>
        <v>0</v>
      </c>
      <c r="O280">
        <f>J280*Return!E280*100</f>
        <v>31.19999999999834</v>
      </c>
      <c r="P280">
        <f t="shared" si="65"/>
        <v>-118.79999999999848</v>
      </c>
      <c r="Q280">
        <f>SUM($P$148:P280)</f>
        <v>9282.9000000000015</v>
      </c>
      <c r="R280">
        <f>B280*中国_中债国债到期收益率_1年!B279/365*100</f>
        <v>15.023835616438358</v>
      </c>
      <c r="S280">
        <f>C280*中国_中债国债到期收益率_1年!C279/365*100</f>
        <v>20.050684931506847</v>
      </c>
      <c r="T280">
        <f>D280*中国_中债国债到期收益率_1年!D279/365*100</f>
        <v>7.2336986301369866</v>
      </c>
      <c r="U280">
        <f>E280*中国_中债国债到期收益率_1年!E279/365*100</f>
        <v>4.1220547945205483</v>
      </c>
      <c r="V280">
        <f t="shared" si="66"/>
        <v>46.430273972602741</v>
      </c>
      <c r="W280">
        <f>SUM($V$148:V280)</f>
        <v>7005.5576712328766</v>
      </c>
      <c r="X280">
        <f>MAX(F280-50,0)*中国_中债国债到期收益率_1年!H280*100/365</f>
        <v>13.013698630136986</v>
      </c>
      <c r="Y280">
        <f>SUM($X$148:X280)</f>
        <v>2522.8165753424637</v>
      </c>
      <c r="AB280">
        <f>Z280*Return!F284*100</f>
        <v>0</v>
      </c>
      <c r="AC280">
        <f>AA280*Return!G284*100</f>
        <v>0</v>
      </c>
      <c r="AD280">
        <f>SUM($AB$148:AB280)+SUM($AC$148:AC280)</f>
        <v>980.69999999999925</v>
      </c>
      <c r="AE280">
        <f t="shared" si="59"/>
        <v>14746.341095890415</v>
      </c>
      <c r="AF280">
        <f t="shared" si="60"/>
        <v>1.0294926821917809</v>
      </c>
      <c r="AG280" s="4">
        <f>(AF280/AF279-1)-中国_中债国债到期收益率_1年!H280%/252</f>
        <v>-2.412440733242785E-4</v>
      </c>
      <c r="AH280" s="4">
        <f>MIN((AF280-MAX($AF$151:AF280))/MAX($AF$151:AF280),0)</f>
        <v>-6.9396917542653236E-4</v>
      </c>
    </row>
    <row r="281" spans="1:34" x14ac:dyDescent="0.25">
      <c r="A281" s="6">
        <v>45119</v>
      </c>
      <c r="B281">
        <v>30</v>
      </c>
      <c r="C281">
        <v>30</v>
      </c>
      <c r="D281">
        <v>10</v>
      </c>
      <c r="E281">
        <v>5</v>
      </c>
      <c r="F281">
        <f t="shared" si="57"/>
        <v>75</v>
      </c>
      <c r="G281">
        <f t="shared" si="61"/>
        <v>30</v>
      </c>
      <c r="H281">
        <f t="shared" si="62"/>
        <v>150</v>
      </c>
      <c r="I281">
        <f t="shared" si="63"/>
        <v>90</v>
      </c>
      <c r="J281">
        <f t="shared" si="64"/>
        <v>80</v>
      </c>
      <c r="K281">
        <f t="shared" si="58"/>
        <v>350</v>
      </c>
      <c r="L281">
        <f>G281*Return!B281*100</f>
        <v>14.400000000000412</v>
      </c>
      <c r="M281">
        <f>H281*Return!C281*100</f>
        <v>77.999999999998067</v>
      </c>
      <c r="N281">
        <f>I281*Return!D281*100</f>
        <v>44.999999999999041</v>
      </c>
      <c r="O281">
        <f>J281*Return!E281*100</f>
        <v>64.000000000000057</v>
      </c>
      <c r="P281">
        <f t="shared" si="65"/>
        <v>201.39999999999759</v>
      </c>
      <c r="Q281">
        <f>SUM($P$148:P281)</f>
        <v>9484.2999999999993</v>
      </c>
      <c r="R281">
        <f>B281*中国_中债国债到期收益率_1年!B280/365*100</f>
        <v>14.984383561643835</v>
      </c>
      <c r="S281">
        <f>C281*中国_中债国债到期收益率_1年!C280/365*100</f>
        <v>20.007945205479452</v>
      </c>
      <c r="T281">
        <f>D281*中国_中债国债到期收益率_1年!D280/365*100</f>
        <v>7.22</v>
      </c>
      <c r="U281">
        <f>E281*中国_中债国债到期收益率_1年!E280/365*100</f>
        <v>4.1110958904109598</v>
      </c>
      <c r="V281">
        <f t="shared" si="66"/>
        <v>46.32342465753424</v>
      </c>
      <c r="W281">
        <f>SUM($V$148:V281)</f>
        <v>7051.8810958904105</v>
      </c>
      <c r="X281">
        <f>MAX(F281-50,0)*中国_中债国债到期收益率_1年!H281*100/365</f>
        <v>12.671232876712329</v>
      </c>
      <c r="Y281">
        <f>SUM($X$148:X281)</f>
        <v>2535.4878082191758</v>
      </c>
      <c r="AB281">
        <f>Z281*Return!F285*100</f>
        <v>0</v>
      </c>
      <c r="AC281">
        <f>AA281*Return!G285*100</f>
        <v>0</v>
      </c>
      <c r="AD281">
        <f>SUM($AB$148:AB281)+SUM($AC$148:AC281)</f>
        <v>980.69999999999925</v>
      </c>
      <c r="AE281">
        <f t="shared" si="59"/>
        <v>14981.393287671235</v>
      </c>
      <c r="AF281">
        <f t="shared" si="60"/>
        <v>1.0299627865753425</v>
      </c>
      <c r="AG281" s="4">
        <f>(AF281/AF280-1)-中国_中债国债到期收益率_1年!H281%/252</f>
        <v>3.8322423713184258E-4</v>
      </c>
      <c r="AH281" s="4">
        <f>MIN((AF281-MAX($AF$151:AF281))/MAX($AF$151:AF281),0)</f>
        <v>-2.376491318396616E-4</v>
      </c>
    </row>
    <row r="282" spans="1:34" x14ac:dyDescent="0.25">
      <c r="A282" s="6">
        <v>45120</v>
      </c>
      <c r="B282">
        <v>30</v>
      </c>
      <c r="C282">
        <v>30</v>
      </c>
      <c r="D282">
        <v>10</v>
      </c>
      <c r="E282">
        <v>5</v>
      </c>
      <c r="F282">
        <f t="shared" si="57"/>
        <v>75</v>
      </c>
      <c r="G282">
        <f t="shared" si="61"/>
        <v>30</v>
      </c>
      <c r="H282">
        <f t="shared" si="62"/>
        <v>150</v>
      </c>
      <c r="I282">
        <f t="shared" si="63"/>
        <v>90</v>
      </c>
      <c r="J282">
        <f t="shared" si="64"/>
        <v>80</v>
      </c>
      <c r="K282">
        <f t="shared" si="58"/>
        <v>350</v>
      </c>
      <c r="L282">
        <f>G282*Return!B282*100</f>
        <v>14.399999999999746</v>
      </c>
      <c r="M282">
        <f>H282*Return!C282*100</f>
        <v>-39.000000000002366</v>
      </c>
      <c r="N282">
        <f>I282*Return!D282*100</f>
        <v>-22.49999999999952</v>
      </c>
      <c r="O282">
        <f>J282*Return!E282*100</f>
        <v>0</v>
      </c>
      <c r="P282">
        <f t="shared" si="65"/>
        <v>-47.10000000000214</v>
      </c>
      <c r="Q282">
        <f>SUM($P$148:P282)</f>
        <v>9437.1999999999971</v>
      </c>
      <c r="R282">
        <f>B282*中国_中债国债到期收益率_1年!B281/365*100</f>
        <v>14.944931506849315</v>
      </c>
      <c r="S282">
        <f>C282*中国_中债国债到期收益率_1年!C281/365*100</f>
        <v>20.029315068493151</v>
      </c>
      <c r="T282">
        <f>D282*中国_中债国债到期收益率_1年!D281/365*100</f>
        <v>7.2268493150684927</v>
      </c>
      <c r="U282">
        <f>E282*中国_中债国债到期收益率_1年!E281/365*100</f>
        <v>4.1110958904109598</v>
      </c>
      <c r="V282">
        <f t="shared" si="66"/>
        <v>46.312191780821912</v>
      </c>
      <c r="W282">
        <f>SUM($V$148:V282)</f>
        <v>7098.1932876712326</v>
      </c>
      <c r="X282">
        <f>MAX(F282-50,0)*中国_中债国债到期收益率_1年!H282*100/365</f>
        <v>12.671232876712329</v>
      </c>
      <c r="Y282">
        <f>SUM($X$148:X282)</f>
        <v>2548.1590410958879</v>
      </c>
      <c r="AB282">
        <f>Z282*Return!F286*100</f>
        <v>0</v>
      </c>
      <c r="AC282">
        <f>AA282*Return!G286*100</f>
        <v>0</v>
      </c>
      <c r="AD282">
        <f>SUM($AB$148:AB282)+SUM($AC$148:AC282)</f>
        <v>980.69999999999925</v>
      </c>
      <c r="AE282">
        <f t="shared" si="59"/>
        <v>14967.93424657534</v>
      </c>
      <c r="AF282">
        <f t="shared" si="60"/>
        <v>1.0299358684931508</v>
      </c>
      <c r="AG282" s="4">
        <f>(AF282/AF281-1)-中国_中债国债到期收益率_1年!H282%/252</f>
        <v>-9.9547703038591889E-5</v>
      </c>
      <c r="AH282" s="4">
        <f>MIN((AF282-MAX($AF$151:AF282))/MAX($AF$151:AF282),0)</f>
        <v>-2.6377792550443403E-4</v>
      </c>
    </row>
    <row r="283" spans="1:34" x14ac:dyDescent="0.25">
      <c r="A283" s="6">
        <v>45121</v>
      </c>
      <c r="B283">
        <v>30</v>
      </c>
      <c r="C283">
        <v>30</v>
      </c>
      <c r="D283">
        <v>10</v>
      </c>
      <c r="E283">
        <v>5</v>
      </c>
      <c r="F283">
        <f t="shared" si="57"/>
        <v>75</v>
      </c>
      <c r="G283">
        <f t="shared" si="61"/>
        <v>30</v>
      </c>
      <c r="H283">
        <f t="shared" si="62"/>
        <v>150</v>
      </c>
      <c r="I283">
        <f t="shared" si="63"/>
        <v>90</v>
      </c>
      <c r="J283">
        <f t="shared" si="64"/>
        <v>80</v>
      </c>
      <c r="K283">
        <f t="shared" si="58"/>
        <v>350</v>
      </c>
      <c r="L283">
        <f>G283*Return!B283*100</f>
        <v>-60.300000000000018</v>
      </c>
      <c r="M283">
        <f>H283*Return!C283*100</f>
        <v>-199.50000000000134</v>
      </c>
      <c r="N283">
        <f>I283*Return!D283*100</f>
        <v>-31.500000000002526</v>
      </c>
      <c r="O283">
        <f>J283*Return!E283*100</f>
        <v>-58.399999999998897</v>
      </c>
      <c r="P283">
        <f t="shared" si="65"/>
        <v>-349.70000000000277</v>
      </c>
      <c r="Q283">
        <f>SUM($P$148:P283)</f>
        <v>9087.4999999999945</v>
      </c>
      <c r="R283">
        <f>B283*中国_中债国债到期收益率_1年!B282/365*100</f>
        <v>15.11013698630137</v>
      </c>
      <c r="S283">
        <f>C283*中国_中债国债到期收益率_1年!C282/365*100</f>
        <v>20.138630136986301</v>
      </c>
      <c r="T283">
        <f>D283*中国_中债国债到期收益率_1年!D282/365*100</f>
        <v>7.2364383561643848</v>
      </c>
      <c r="U283">
        <f>E283*中国_中债国债到期收益率_1年!E282/365*100</f>
        <v>4.1210958904109596</v>
      </c>
      <c r="V283">
        <f t="shared" si="66"/>
        <v>46.606301369863019</v>
      </c>
      <c r="W283">
        <f>SUM($V$148:V283)</f>
        <v>7144.7995890410957</v>
      </c>
      <c r="X283">
        <f>MAX(F283-50,0)*中国_中债国债到期收益率_1年!H283*100/365</f>
        <v>13.013698630136986</v>
      </c>
      <c r="Y283">
        <f>SUM($X$148:X283)</f>
        <v>2561.1727397260247</v>
      </c>
      <c r="AB283">
        <f>Z283*Return!F287*100</f>
        <v>0</v>
      </c>
      <c r="AC283">
        <f>AA283*Return!G287*100</f>
        <v>0</v>
      </c>
      <c r="AD283">
        <f>SUM($AB$148:AB283)+SUM($AC$148:AC283)</f>
        <v>980.69999999999925</v>
      </c>
      <c r="AE283">
        <f t="shared" si="59"/>
        <v>14651.826849315064</v>
      </c>
      <c r="AF283">
        <f t="shared" si="60"/>
        <v>1.0293036536986302</v>
      </c>
      <c r="AG283" s="4">
        <f>(AF283/AF282-1)-中国_中债国债到期收益率_1年!H283%/252</f>
        <v>-6.8923581660075529E-4</v>
      </c>
      <c r="AH283" s="4">
        <f>MIN((AF283-MAX($AF$151:AF283))/MAX($AF$151:AF283),0)</f>
        <v>-8.7745499953267153E-4</v>
      </c>
    </row>
    <row r="284" spans="1:34" x14ac:dyDescent="0.25">
      <c r="A284" s="6">
        <v>45124</v>
      </c>
      <c r="B284">
        <v>30</v>
      </c>
      <c r="C284">
        <v>30</v>
      </c>
      <c r="D284">
        <v>10</v>
      </c>
      <c r="E284">
        <v>5</v>
      </c>
      <c r="F284">
        <f t="shared" si="57"/>
        <v>75</v>
      </c>
      <c r="G284">
        <f t="shared" si="61"/>
        <v>30</v>
      </c>
      <c r="H284">
        <f t="shared" si="62"/>
        <v>150</v>
      </c>
      <c r="I284">
        <f t="shared" si="63"/>
        <v>90</v>
      </c>
      <c r="J284">
        <f t="shared" si="64"/>
        <v>80</v>
      </c>
      <c r="K284">
        <f t="shared" si="58"/>
        <v>350</v>
      </c>
      <c r="L284">
        <f>G284*Return!B284*100</f>
        <v>-0.29999999999996696</v>
      </c>
      <c r="M284">
        <f>H284*Return!C284*100</f>
        <v>-14.999999999998348</v>
      </c>
      <c r="N284">
        <f>I284*Return!D284*100</f>
        <v>-27.899999999998926</v>
      </c>
      <c r="O284">
        <f>J284*Return!E284*100</f>
        <v>-48.000000000001819</v>
      </c>
      <c r="P284">
        <f t="shared" si="65"/>
        <v>-91.199999999999051</v>
      </c>
      <c r="Q284">
        <f>SUM($P$148:P284)</f>
        <v>8996.2999999999956</v>
      </c>
      <c r="R284">
        <f>B284*中国_中债国债到期收益率_1年!B283/365*100</f>
        <v>15.110958904109589</v>
      </c>
      <c r="S284">
        <f>C284*中国_中债国债到期收益率_1年!C283/365*100</f>
        <v>20.146849315068494</v>
      </c>
      <c r="T284">
        <f>D284*中国_中债国债到期收益率_1年!D283/365*100</f>
        <v>7.2449315068493156</v>
      </c>
      <c r="U284">
        <f>E284*中国_中债国债到期收益率_1年!E283/365*100</f>
        <v>4.1293150684931508</v>
      </c>
      <c r="V284">
        <f t="shared" si="66"/>
        <v>46.632054794520549</v>
      </c>
      <c r="W284">
        <f>SUM($V$148:V284)</f>
        <v>7191.4316438356163</v>
      </c>
      <c r="X284">
        <f>MAX(F284-50,0)*中国_中债国债到期收益率_1年!H284*100/365</f>
        <v>13.356164383561644</v>
      </c>
      <c r="Y284">
        <f>SUM($X$148:X284)</f>
        <v>2574.5289041095862</v>
      </c>
      <c r="AB284">
        <f>Z284*Return!F288*100</f>
        <v>0</v>
      </c>
      <c r="AC284">
        <f>AA284*Return!G288*100</f>
        <v>0</v>
      </c>
      <c r="AD284">
        <f>SUM($AB$148:AB284)+SUM($AC$148:AC284)</f>
        <v>980.69999999999925</v>
      </c>
      <c r="AE284">
        <f t="shared" si="59"/>
        <v>14593.902739726025</v>
      </c>
      <c r="AF284">
        <f t="shared" si="60"/>
        <v>1.0291878054794521</v>
      </c>
      <c r="AG284" s="4">
        <f>(AF284/AF283-1)-中国_中债国债到期收益率_1年!H284%/252</f>
        <v>-1.8993104268892472E-4</v>
      </c>
      <c r="AH284" s="4">
        <f>MIN((AF284-MAX($AF$151:AF284))/MAX($AF$151:AF284),0)</f>
        <v>-9.8990633220119302E-4</v>
      </c>
    </row>
    <row r="285" spans="1:34" x14ac:dyDescent="0.25">
      <c r="A285" s="6">
        <v>45125</v>
      </c>
      <c r="B285">
        <v>30</v>
      </c>
      <c r="C285">
        <v>30</v>
      </c>
      <c r="D285">
        <v>10</v>
      </c>
      <c r="E285">
        <v>5</v>
      </c>
      <c r="F285">
        <f t="shared" si="57"/>
        <v>75</v>
      </c>
      <c r="G285">
        <f t="shared" si="61"/>
        <v>30</v>
      </c>
      <c r="H285">
        <f t="shared" si="62"/>
        <v>150</v>
      </c>
      <c r="I285">
        <f t="shared" si="63"/>
        <v>90</v>
      </c>
      <c r="J285">
        <f t="shared" si="64"/>
        <v>80</v>
      </c>
      <c r="K285">
        <f t="shared" si="58"/>
        <v>350</v>
      </c>
      <c r="L285">
        <f>G285*Return!B285*100</f>
        <v>224.99999999999986</v>
      </c>
      <c r="M285">
        <f>H285*Return!C285*100</f>
        <v>245.99999999999955</v>
      </c>
      <c r="N285">
        <f>I285*Return!D285*100</f>
        <v>72.000000000000057</v>
      </c>
      <c r="O285">
        <f>J285*Return!E285*100</f>
        <v>47.200000000000131</v>
      </c>
      <c r="P285">
        <f t="shared" si="65"/>
        <v>590.1999999999997</v>
      </c>
      <c r="Q285">
        <f>SUM($P$148:P285)</f>
        <v>9586.4999999999945</v>
      </c>
      <c r="R285">
        <f>B285*中国_中债国债到期收益率_1年!B284/365*100</f>
        <v>14.494520547945205</v>
      </c>
      <c r="S285">
        <f>C285*中国_中债国债到期收益率_1年!C284/365*100</f>
        <v>20.012054794520548</v>
      </c>
      <c r="T285">
        <f>D285*中国_中债国债到期收益率_1年!D284/365*100</f>
        <v>7.2230136986301376</v>
      </c>
      <c r="U285">
        <f>E285*中国_中债国债到期收益率_1年!E284/365*100</f>
        <v>4.1212328767123285</v>
      </c>
      <c r="V285">
        <f t="shared" si="66"/>
        <v>45.850821917808219</v>
      </c>
      <c r="W285">
        <f>SUM($V$148:V285)</f>
        <v>7237.2824657534247</v>
      </c>
      <c r="X285">
        <f>MAX(F285-50,0)*中国_中债国债到期收益率_1年!H285*100/365</f>
        <v>13.561643835616438</v>
      </c>
      <c r="Y285">
        <f>SUM($X$148:X285)</f>
        <v>2588.0905479452026</v>
      </c>
      <c r="AB285">
        <f>Z285*Return!F289*100</f>
        <v>0</v>
      </c>
      <c r="AC285">
        <f>AA285*Return!G289*100</f>
        <v>0</v>
      </c>
      <c r="AD285">
        <f>SUM($AB$148:AB285)+SUM($AC$148:AC285)</f>
        <v>980.69999999999925</v>
      </c>
      <c r="AE285">
        <f t="shared" si="59"/>
        <v>15216.391917808216</v>
      </c>
      <c r="AF285">
        <f t="shared" si="60"/>
        <v>1.0304327838356164</v>
      </c>
      <c r="AG285" s="4">
        <f>(AF285/AF284-1)-中国_中债国债到期收益率_1年!H285%/252</f>
        <v>1.1310992938526325E-3</v>
      </c>
      <c r="AH285" s="4">
        <f>MIN((AF285-MAX($AF$151:AF285))/MAX($AF$151:AF285),0)</f>
        <v>0</v>
      </c>
    </row>
    <row r="286" spans="1:34" x14ac:dyDescent="0.25">
      <c r="A286" s="6">
        <v>45126</v>
      </c>
      <c r="B286">
        <v>30</v>
      </c>
      <c r="C286">
        <v>30</v>
      </c>
      <c r="D286">
        <v>10</v>
      </c>
      <c r="E286">
        <v>5</v>
      </c>
      <c r="F286">
        <f t="shared" si="57"/>
        <v>75</v>
      </c>
      <c r="G286">
        <f t="shared" si="61"/>
        <v>30</v>
      </c>
      <c r="H286">
        <f t="shared" si="62"/>
        <v>150</v>
      </c>
      <c r="I286">
        <f t="shared" si="63"/>
        <v>90</v>
      </c>
      <c r="J286">
        <f t="shared" si="64"/>
        <v>80</v>
      </c>
      <c r="K286">
        <f t="shared" si="58"/>
        <v>350</v>
      </c>
      <c r="L286">
        <f>G286*Return!B286*100</f>
        <v>0</v>
      </c>
      <c r="M286">
        <f>H286*Return!C286*100</f>
        <v>150.00000000000347</v>
      </c>
      <c r="N286">
        <f>I286*Return!D286*100</f>
        <v>116.9999999999991</v>
      </c>
      <c r="O286">
        <f>J286*Return!E286*100</f>
        <v>96.000000000000085</v>
      </c>
      <c r="P286">
        <f t="shared" si="65"/>
        <v>363.00000000000261</v>
      </c>
      <c r="Q286">
        <f>SUM($P$148:P286)</f>
        <v>9949.4999999999964</v>
      </c>
      <c r="R286">
        <f>B286*中国_中债国债到期收益率_1年!B285/365*100</f>
        <v>14.494520547945205</v>
      </c>
      <c r="S286">
        <f>C286*中国_中债国债到期收益率_1年!C285/365*100</f>
        <v>19.929863013698629</v>
      </c>
      <c r="T286">
        <f>D286*中国_中债国债到期收益率_1年!D285/365*100</f>
        <v>7.1873972602739729</v>
      </c>
      <c r="U286">
        <f>E286*中国_中债国债到期收益率_1年!E285/365*100</f>
        <v>4.1047945205479452</v>
      </c>
      <c r="V286">
        <f t="shared" si="66"/>
        <v>45.716575342465759</v>
      </c>
      <c r="W286">
        <f>SUM($V$148:V286)</f>
        <v>7282.9990410958908</v>
      </c>
      <c r="X286">
        <f>MAX(F286-50,0)*中国_中债国债到期收益率_1年!H286*100/365</f>
        <v>13.356164383561644</v>
      </c>
      <c r="Y286">
        <f>SUM($X$148:X286)</f>
        <v>2601.4467123287641</v>
      </c>
      <c r="AB286">
        <f>Z286*Return!F290*100</f>
        <v>0</v>
      </c>
      <c r="AC286">
        <f>AA286*Return!G290*100</f>
        <v>0</v>
      </c>
      <c r="AD286">
        <f>SUM($AB$148:AB286)+SUM($AC$148:AC286)</f>
        <v>980.69999999999925</v>
      </c>
      <c r="AE286">
        <f t="shared" si="59"/>
        <v>15611.752328767121</v>
      </c>
      <c r="AF286">
        <f t="shared" si="60"/>
        <v>1.0312235046575342</v>
      </c>
      <c r="AG286" s="4">
        <f>(AF286/AF285-1)-中国_中债国债到期收益率_1年!H286%/252</f>
        <v>6.8998673459654133E-4</v>
      </c>
      <c r="AH286" s="4">
        <f>MIN((AF286-MAX($AF$151:AF286))/MAX($AF$151:AF286),0)</f>
        <v>0</v>
      </c>
    </row>
    <row r="287" spans="1:34" x14ac:dyDescent="0.25">
      <c r="A287" s="6">
        <v>45127</v>
      </c>
      <c r="B287">
        <v>30</v>
      </c>
      <c r="C287">
        <v>30</v>
      </c>
      <c r="D287">
        <v>10</v>
      </c>
      <c r="E287">
        <v>5</v>
      </c>
      <c r="F287">
        <f t="shared" si="57"/>
        <v>75</v>
      </c>
      <c r="G287">
        <f t="shared" si="61"/>
        <v>30</v>
      </c>
      <c r="H287">
        <f t="shared" si="62"/>
        <v>150</v>
      </c>
      <c r="I287">
        <f t="shared" si="63"/>
        <v>90</v>
      </c>
      <c r="J287">
        <f t="shared" si="64"/>
        <v>80</v>
      </c>
      <c r="K287">
        <f t="shared" si="58"/>
        <v>350</v>
      </c>
      <c r="L287">
        <f>G287*Return!B287*100</f>
        <v>30.000000000000028</v>
      </c>
      <c r="M287">
        <f>H287*Return!C287*100</f>
        <v>237.00000000000054</v>
      </c>
      <c r="N287">
        <f>I287*Return!D287*100</f>
        <v>0.90000000000189928</v>
      </c>
      <c r="O287">
        <f>J287*Return!E287*100</f>
        <v>-17.599999999998062</v>
      </c>
      <c r="P287">
        <f t="shared" si="65"/>
        <v>250.30000000000442</v>
      </c>
      <c r="Q287">
        <f>SUM($P$148:P287)</f>
        <v>10199.800000000001</v>
      </c>
      <c r="R287">
        <f>B287*中国_中债国债到期收益率_1年!B286/365*100</f>
        <v>14.41232876712329</v>
      </c>
      <c r="S287">
        <f>C287*中国_中债国债到期收益率_1年!C286/365*100</f>
        <v>19.799999999999997</v>
      </c>
      <c r="T287">
        <f>D287*中国_中债国债到期收益率_1年!D286/365*100</f>
        <v>7.1871232876712332</v>
      </c>
      <c r="U287">
        <f>E287*中国_中债国债到期收益率_1年!E286/365*100</f>
        <v>4.1078082191780823</v>
      </c>
      <c r="V287">
        <f t="shared" si="66"/>
        <v>45.507260273972605</v>
      </c>
      <c r="W287">
        <f>SUM($V$148:V287)</f>
        <v>7328.5063013698636</v>
      </c>
      <c r="X287">
        <f>MAX(F287-50,0)*中国_中债国债到期收益率_1年!H287*100/365</f>
        <v>13.013698630136986</v>
      </c>
      <c r="Y287">
        <f>SUM($X$148:X287)</f>
        <v>2614.4604109589009</v>
      </c>
      <c r="AB287">
        <f>Z287*Return!F291*100</f>
        <v>0</v>
      </c>
      <c r="AC287">
        <f>AA287*Return!G291*100</f>
        <v>0</v>
      </c>
      <c r="AD287">
        <f>SUM($AB$148:AB287)+SUM($AC$148:AC287)</f>
        <v>980.69999999999925</v>
      </c>
      <c r="AE287">
        <f t="shared" si="59"/>
        <v>15894.545890410962</v>
      </c>
      <c r="AF287">
        <f t="shared" si="60"/>
        <v>1.0317890917808219</v>
      </c>
      <c r="AG287" s="4">
        <f>(AF287/AF286-1)-中国_中债国债到期收益率_1年!H287%/252</f>
        <v>4.7306538549450632E-4</v>
      </c>
      <c r="AH287" s="4">
        <f>MIN((AF287-MAX($AF$151:AF287))/MAX($AF$151:AF287),0)</f>
        <v>0</v>
      </c>
    </row>
    <row r="288" spans="1:34" x14ac:dyDescent="0.25">
      <c r="A288" s="6">
        <v>45128</v>
      </c>
      <c r="B288">
        <v>30</v>
      </c>
      <c r="C288">
        <v>30</v>
      </c>
      <c r="D288">
        <v>10</v>
      </c>
      <c r="E288">
        <v>5</v>
      </c>
      <c r="F288">
        <f t="shared" si="57"/>
        <v>75</v>
      </c>
      <c r="G288">
        <f t="shared" si="61"/>
        <v>30</v>
      </c>
      <c r="H288">
        <f t="shared" si="62"/>
        <v>150</v>
      </c>
      <c r="I288">
        <f t="shared" si="63"/>
        <v>90</v>
      </c>
      <c r="J288">
        <f t="shared" si="64"/>
        <v>80</v>
      </c>
      <c r="K288">
        <f t="shared" si="58"/>
        <v>350</v>
      </c>
      <c r="L288">
        <f>G288*Return!B288*100</f>
        <v>15.000000000000346</v>
      </c>
      <c r="M288">
        <f>H288*Return!C288*100</f>
        <v>70.499999999995566</v>
      </c>
      <c r="N288">
        <f>I288*Return!D288*100</f>
        <v>17.100000000000115</v>
      </c>
      <c r="O288">
        <f>J288*Return!E288*100</f>
        <v>15.999999999998238</v>
      </c>
      <c r="P288">
        <f t="shared" si="65"/>
        <v>118.59999999999425</v>
      </c>
      <c r="Q288">
        <f>SUM($P$148:P288)</f>
        <v>10318.399999999996</v>
      </c>
      <c r="R288">
        <f>B288*中国_中债国债到期收益率_1年!B287/365*100</f>
        <v>14.371232876712329</v>
      </c>
      <c r="S288">
        <f>C288*中国_中债国债到期收益率_1年!C287/365*100</f>
        <v>19.761369863013702</v>
      </c>
      <c r="T288">
        <f>D288*中国_中债国债到期收益率_1年!D287/365*100</f>
        <v>7.1819178082191781</v>
      </c>
      <c r="U288">
        <f>E288*中国_中债国债到期收益率_1年!E287/365*100</f>
        <v>4.1050684931506858</v>
      </c>
      <c r="V288">
        <f t="shared" si="66"/>
        <v>45.41958904109589</v>
      </c>
      <c r="W288">
        <f>SUM($V$148:V288)</f>
        <v>7373.9258904109593</v>
      </c>
      <c r="X288">
        <f>MAX(F288-50,0)*中国_中债国债到期收益率_1年!H288*100/365</f>
        <v>12.671232876712329</v>
      </c>
      <c r="Y288">
        <f>SUM($X$148:X288)</f>
        <v>2627.131643835613</v>
      </c>
      <c r="AB288">
        <f>Z288*Return!F292*100</f>
        <v>0</v>
      </c>
      <c r="AC288">
        <f>AA288*Return!G292*100</f>
        <v>0</v>
      </c>
      <c r="AD288">
        <f>SUM($AB$148:AB288)+SUM($AC$148:AC288)</f>
        <v>980.69999999999925</v>
      </c>
      <c r="AE288">
        <f t="shared" si="59"/>
        <v>16045.894246575341</v>
      </c>
      <c r="AF288">
        <f t="shared" si="60"/>
        <v>1.0320917884931506</v>
      </c>
      <c r="AG288" s="4">
        <f>(AF288/AF287-1)-中国_中债国债到期收益率_1年!H288%/252</f>
        <v>2.1995802506176362E-4</v>
      </c>
      <c r="AH288" s="4">
        <f>MIN((AF288-MAX($AF$151:AF288))/MAX($AF$151:AF288),0)</f>
        <v>0</v>
      </c>
    </row>
    <row r="289" spans="1:34" x14ac:dyDescent="0.25">
      <c r="A289" s="6">
        <v>45131</v>
      </c>
      <c r="B289">
        <v>30</v>
      </c>
      <c r="C289">
        <v>30</v>
      </c>
      <c r="D289">
        <v>10</v>
      </c>
      <c r="E289">
        <v>5</v>
      </c>
      <c r="F289">
        <f t="shared" si="57"/>
        <v>75</v>
      </c>
      <c r="G289">
        <f t="shared" si="61"/>
        <v>30</v>
      </c>
      <c r="H289">
        <f t="shared" si="62"/>
        <v>150</v>
      </c>
      <c r="I289">
        <f t="shared" si="63"/>
        <v>90</v>
      </c>
      <c r="J289">
        <f t="shared" si="64"/>
        <v>80</v>
      </c>
      <c r="K289">
        <f t="shared" si="58"/>
        <v>350</v>
      </c>
      <c r="L289">
        <f>G289*Return!B289*100</f>
        <v>30.000000000000028</v>
      </c>
      <c r="M289">
        <f>H289*Return!C289*100</f>
        <v>184.50000000000298</v>
      </c>
      <c r="N289">
        <f>I289*Return!D289*100</f>
        <v>121.50000000000061</v>
      </c>
      <c r="O289">
        <f>J289*Return!E289*100</f>
        <v>111.20000000000019</v>
      </c>
      <c r="P289">
        <f t="shared" si="65"/>
        <v>447.2000000000038</v>
      </c>
      <c r="Q289">
        <f>SUM($P$148:P289)</f>
        <v>10765.6</v>
      </c>
      <c r="R289">
        <f>B289*中国_中债国债到期收益率_1年!B288/365*100</f>
        <v>14.289041095890411</v>
      </c>
      <c r="S289">
        <f>C289*中国_中债国债到期收益率_1年!C288/365*100</f>
        <v>19.660273972602738</v>
      </c>
      <c r="T289">
        <f>D289*中国_中债国债到期收益率_1年!D288/365*100</f>
        <v>7.1449315068493151</v>
      </c>
      <c r="U289">
        <f>E289*中国_中债国债到期收益率_1年!E288/365*100</f>
        <v>4.0860273972602741</v>
      </c>
      <c r="V289">
        <f t="shared" si="66"/>
        <v>45.180273972602741</v>
      </c>
      <c r="W289">
        <f>SUM($V$148:V289)</f>
        <v>7419.1061643835619</v>
      </c>
      <c r="X289">
        <f>MAX(F289-50,0)*中国_中债国债到期收益率_1年!H289*100/365</f>
        <v>12.397260273972602</v>
      </c>
      <c r="Y289">
        <f>SUM($X$148:X289)</f>
        <v>2639.5289041095857</v>
      </c>
      <c r="AB289">
        <f>Z289*Return!F293*100</f>
        <v>0</v>
      </c>
      <c r="AC289">
        <f>AA289*Return!G293*100</f>
        <v>0</v>
      </c>
      <c r="AD289">
        <f>SUM($AB$148:AB289)+SUM($AC$148:AC289)</f>
        <v>980.69999999999925</v>
      </c>
      <c r="AE289">
        <f t="shared" si="59"/>
        <v>16525.877260273977</v>
      </c>
      <c r="AF289">
        <f t="shared" si="60"/>
        <v>1.033051754520548</v>
      </c>
      <c r="AG289" s="4">
        <f>(AF289/AF288-1)-中国_中债国债到期收益率_1年!H289%/252</f>
        <v>8.5829151535241727E-4</v>
      </c>
      <c r="AH289" s="4">
        <f>MIN((AF289-MAX($AF$151:AF289))/MAX($AF$151:AF289),0)</f>
        <v>0</v>
      </c>
    </row>
    <row r="290" spans="1:34" x14ac:dyDescent="0.25">
      <c r="A290" s="6">
        <v>45132</v>
      </c>
      <c r="B290">
        <v>30</v>
      </c>
      <c r="C290">
        <v>30</v>
      </c>
      <c r="D290">
        <v>10</v>
      </c>
      <c r="E290">
        <v>5</v>
      </c>
      <c r="F290">
        <f t="shared" si="57"/>
        <v>75</v>
      </c>
      <c r="G290">
        <f t="shared" si="61"/>
        <v>30</v>
      </c>
      <c r="H290">
        <f t="shared" si="62"/>
        <v>150</v>
      </c>
      <c r="I290">
        <f t="shared" si="63"/>
        <v>90</v>
      </c>
      <c r="J290">
        <f t="shared" si="64"/>
        <v>80</v>
      </c>
      <c r="K290">
        <f t="shared" si="58"/>
        <v>350</v>
      </c>
      <c r="L290">
        <f>G290*Return!B290*100</f>
        <v>14.99999999999968</v>
      </c>
      <c r="M290">
        <f>H290*Return!C290*100</f>
        <v>70.499999999995566</v>
      </c>
      <c r="N290">
        <f>I290*Return!D290*100</f>
        <v>130.4999999999996</v>
      </c>
      <c r="O290">
        <f>J290*Return!E290*100</f>
        <v>192.00000000000017</v>
      </c>
      <c r="P290">
        <f t="shared" si="65"/>
        <v>407.999999999995</v>
      </c>
      <c r="Q290">
        <f>SUM($P$148:P290)</f>
        <v>11173.599999999995</v>
      </c>
      <c r="R290">
        <f>B290*中国_中债国债到期收益率_1年!B289/365*100</f>
        <v>14.247945205479454</v>
      </c>
      <c r="S290">
        <f>C290*中国_中债国债到期收益率_1年!C289/365*100</f>
        <v>19.621643835616439</v>
      </c>
      <c r="T290">
        <f>D290*中国_中债国债到期收益率_1年!D289/365*100</f>
        <v>7.1052054794520538</v>
      </c>
      <c r="U290">
        <f>E290*中国_中债国债到期收益率_1年!E289/365*100</f>
        <v>4.0531506849315075</v>
      </c>
      <c r="V290">
        <f t="shared" si="66"/>
        <v>45.027945205479455</v>
      </c>
      <c r="W290">
        <f>SUM($V$148:V290)</f>
        <v>7464.1341095890411</v>
      </c>
      <c r="X290">
        <f>MAX(F290-50,0)*中国_中债国债到期收益率_1年!H290*100/365</f>
        <v>14.726027397260275</v>
      </c>
      <c r="Y290">
        <f>SUM($X$148:X290)</f>
        <v>2654.2549315068459</v>
      </c>
      <c r="AB290">
        <f>Z290*Return!F294*100</f>
        <v>0</v>
      </c>
      <c r="AC290">
        <f>AA290*Return!G294*100</f>
        <v>0</v>
      </c>
      <c r="AD290">
        <f>SUM($AB$148:AB290)+SUM($AC$148:AC290)</f>
        <v>980.69999999999925</v>
      </c>
      <c r="AE290">
        <f t="shared" si="59"/>
        <v>16964.179178082191</v>
      </c>
      <c r="AF290">
        <f t="shared" si="60"/>
        <v>1.0339283583561645</v>
      </c>
      <c r="AG290" s="4">
        <f>(AF290/AF289-1)-中国_中债国债到期收益率_1年!H290%/252</f>
        <v>7.6324006042673728E-4</v>
      </c>
      <c r="AH290" s="4">
        <f>MIN((AF290-MAX($AF$151:AF290))/MAX($AF$151:AF290),0)</f>
        <v>0</v>
      </c>
    </row>
    <row r="291" spans="1:34" x14ac:dyDescent="0.25">
      <c r="A291" s="6">
        <v>45133</v>
      </c>
      <c r="B291">
        <v>20</v>
      </c>
      <c r="C291">
        <v>30</v>
      </c>
      <c r="D291">
        <v>-10</v>
      </c>
      <c r="F291">
        <f t="shared" si="57"/>
        <v>40</v>
      </c>
      <c r="G291">
        <f t="shared" si="61"/>
        <v>20</v>
      </c>
      <c r="H291">
        <f t="shared" si="62"/>
        <v>150</v>
      </c>
      <c r="I291">
        <f t="shared" si="63"/>
        <v>-90</v>
      </c>
      <c r="J291">
        <f t="shared" si="64"/>
        <v>0</v>
      </c>
      <c r="K291">
        <f t="shared" si="58"/>
        <v>80</v>
      </c>
      <c r="L291">
        <f>G291*Return!B291*100</f>
        <v>-89.39999999999992</v>
      </c>
      <c r="M291">
        <f>H291*Return!C291*100</f>
        <v>-1130.9999999999952</v>
      </c>
      <c r="N291">
        <f>I291*Return!D291*100</f>
        <v>626.39999999999895</v>
      </c>
      <c r="O291">
        <f>J291*Return!E291*100</f>
        <v>0</v>
      </c>
      <c r="P291">
        <f t="shared" si="65"/>
        <v>-593.99999999999613</v>
      </c>
      <c r="Q291">
        <f>SUM($P$148:P291)</f>
        <v>10579.599999999999</v>
      </c>
      <c r="R291">
        <f>B291*中国_中债国债到期收益率_1年!B290/365*100</f>
        <v>9.7435616438356156</v>
      </c>
      <c r="S291">
        <f>C291*中国_中债国债到期收益率_1年!C290/365*100</f>
        <v>20.241369863013698</v>
      </c>
      <c r="T291">
        <f>D291*中国_中债国债到期收益率_1年!D290/365*100</f>
        <v>-7.2958904109589033</v>
      </c>
      <c r="U291">
        <f>E291*中国_中债国债到期收益率_1年!E290/365*100</f>
        <v>0</v>
      </c>
      <c r="V291">
        <f t="shared" si="66"/>
        <v>22.68904109589041</v>
      </c>
      <c r="W291">
        <f>SUM($V$148:V291)</f>
        <v>7486.8231506849315</v>
      </c>
      <c r="X291">
        <f>MAX(F291-50,0)*中国_中债国债到期收益率_1年!H291*100/365</f>
        <v>0</v>
      </c>
      <c r="Y291">
        <f>SUM($X$148:X291)</f>
        <v>2654.2549315068459</v>
      </c>
      <c r="AB291">
        <f>Z291*Return!F295*100</f>
        <v>0</v>
      </c>
      <c r="AC291">
        <f>AA291*Return!G295*100</f>
        <v>0</v>
      </c>
      <c r="AD291">
        <f>SUM($AB$148:AB291)+SUM($AC$148:AC291)</f>
        <v>980.69999999999925</v>
      </c>
      <c r="AE291">
        <f t="shared" si="59"/>
        <v>16392.868219178086</v>
      </c>
      <c r="AF291">
        <f t="shared" si="60"/>
        <v>1.0327857364383561</v>
      </c>
      <c r="AG291" s="4">
        <f>(AF291/AF290-1)-中国_中债国债到期收益率_1年!H291%/252</f>
        <v>-1.1904442406922369E-3</v>
      </c>
      <c r="AH291" s="4">
        <f>MIN((AF291-MAX($AF$151:AF291))/MAX($AF$151:AF291),0)</f>
        <v>-1.1051267803747894E-3</v>
      </c>
    </row>
    <row r="292" spans="1:34" x14ac:dyDescent="0.25">
      <c r="A292" s="6">
        <v>45134</v>
      </c>
      <c r="B292">
        <v>20</v>
      </c>
      <c r="C292">
        <v>30</v>
      </c>
      <c r="D292">
        <v>-10</v>
      </c>
      <c r="F292">
        <f t="shared" si="57"/>
        <v>40</v>
      </c>
      <c r="G292">
        <f t="shared" si="61"/>
        <v>20</v>
      </c>
      <c r="H292">
        <f t="shared" si="62"/>
        <v>150</v>
      </c>
      <c r="I292">
        <f t="shared" si="63"/>
        <v>-90</v>
      </c>
      <c r="J292">
        <f t="shared" si="64"/>
        <v>0</v>
      </c>
      <c r="K292">
        <f t="shared" si="58"/>
        <v>80</v>
      </c>
      <c r="L292">
        <f>G292*Return!B292*100</f>
        <v>-20.000000000000018</v>
      </c>
      <c r="M292">
        <f>H292*Return!C292*100</f>
        <v>448.50000000000057</v>
      </c>
      <c r="N292">
        <f>I292*Return!D292*100</f>
        <v>-180.00000000000017</v>
      </c>
      <c r="O292">
        <f>J292*Return!E292*100</f>
        <v>0</v>
      </c>
      <c r="P292">
        <f t="shared" si="65"/>
        <v>248.5000000000004</v>
      </c>
      <c r="Q292">
        <f>SUM($P$148:P292)</f>
        <v>10828.099999999999</v>
      </c>
      <c r="R292">
        <f>B292*中国_中债国债到期收益率_1年!B291/365*100</f>
        <v>9.7983561643835628</v>
      </c>
      <c r="S292">
        <f>C292*中国_中债国债到期收益率_1年!C291/365*100</f>
        <v>19.995616438356162</v>
      </c>
      <c r="T292">
        <f>D292*中国_中债国债到期收益率_1年!D291/365*100</f>
        <v>-7.2410958904109588</v>
      </c>
      <c r="U292">
        <f>E292*中国_中债国债到期收益率_1年!E291/365*100</f>
        <v>0</v>
      </c>
      <c r="V292">
        <f t="shared" si="66"/>
        <v>22.552876712328768</v>
      </c>
      <c r="W292">
        <f>SUM($V$148:V292)</f>
        <v>7509.3760273972603</v>
      </c>
      <c r="X292">
        <f>MAX(F292-50,0)*中国_中债国债到期收益率_1年!H292*100/365</f>
        <v>0</v>
      </c>
      <c r="Y292">
        <f>SUM($X$148:X292)</f>
        <v>2654.2549315068459</v>
      </c>
      <c r="AB292">
        <f>Z292*Return!F296*100</f>
        <v>0</v>
      </c>
      <c r="AC292">
        <f>AA292*Return!G296*100</f>
        <v>0</v>
      </c>
      <c r="AD292">
        <f>SUM($AB$148:AB292)+SUM($AC$148:AC292)</f>
        <v>980.69999999999925</v>
      </c>
      <c r="AE292">
        <f t="shared" si="59"/>
        <v>16663.921095890411</v>
      </c>
      <c r="AF292">
        <f t="shared" si="60"/>
        <v>1.0333278421917809</v>
      </c>
      <c r="AG292" s="4">
        <f>(AF292/AF291-1)-中国_中债国债到期收益率_1年!H292%/252</f>
        <v>4.4156329749555267E-4</v>
      </c>
      <c r="AH292" s="4">
        <f>MIN((AF292-MAX($AF$151:AF292))/MAX($AF$151:AF292),0)</f>
        <v>-5.8081022686946101E-4</v>
      </c>
    </row>
    <row r="293" spans="1:34" x14ac:dyDescent="0.25">
      <c r="A293" s="6">
        <v>45135</v>
      </c>
      <c r="B293">
        <v>20</v>
      </c>
      <c r="C293">
        <v>30</v>
      </c>
      <c r="D293">
        <v>-10</v>
      </c>
      <c r="F293">
        <f t="shared" si="57"/>
        <v>40</v>
      </c>
      <c r="G293">
        <f t="shared" si="61"/>
        <v>20</v>
      </c>
      <c r="H293">
        <f t="shared" si="62"/>
        <v>150</v>
      </c>
      <c r="I293">
        <f t="shared" si="63"/>
        <v>-90</v>
      </c>
      <c r="J293">
        <f t="shared" si="64"/>
        <v>0</v>
      </c>
      <c r="K293">
        <f t="shared" si="58"/>
        <v>80</v>
      </c>
      <c r="L293">
        <f>G293*Return!B293*100</f>
        <v>-60.000000000000057</v>
      </c>
      <c r="M293">
        <f>H293*Return!C293*100</f>
        <v>143.99999999999747</v>
      </c>
      <c r="N293">
        <f>I293*Return!D293*100</f>
        <v>-31.499999999998529</v>
      </c>
      <c r="O293">
        <f>J293*Return!E293*100</f>
        <v>0</v>
      </c>
      <c r="P293">
        <f t="shared" si="65"/>
        <v>52.499999999998884</v>
      </c>
      <c r="Q293">
        <f>SUM($P$148:P293)</f>
        <v>10880.599999999997</v>
      </c>
      <c r="R293">
        <f>B293*中国_中债国债到期收益率_1年!B292/365*100</f>
        <v>9.9627397260273991</v>
      </c>
      <c r="S293">
        <f>C293*中国_中债国债到期收益率_1年!C292/365*100</f>
        <v>19.916712328767122</v>
      </c>
      <c r="T293">
        <f>D293*中国_中债国债到期收益率_1年!D292/365*100</f>
        <v>-7.2315068493150685</v>
      </c>
      <c r="U293">
        <f>E293*中国_中债国债到期收益率_1年!E292/365*100</f>
        <v>0</v>
      </c>
      <c r="V293">
        <f t="shared" si="66"/>
        <v>22.647945205479452</v>
      </c>
      <c r="W293">
        <f>SUM($V$148:V293)</f>
        <v>7532.0239726027394</v>
      </c>
      <c r="X293">
        <f>MAX(F293-50,0)*中国_中债国债到期收益率_1年!H293*100/365</f>
        <v>0</v>
      </c>
      <c r="Y293">
        <f>SUM($X$148:X293)</f>
        <v>2654.2549315068459</v>
      </c>
      <c r="AB293">
        <f>Z293*Return!F297*100</f>
        <v>0</v>
      </c>
      <c r="AC293">
        <f>AA293*Return!G297*100</f>
        <v>0</v>
      </c>
      <c r="AD293">
        <f>SUM($AB$148:AB293)+SUM($AC$148:AC293)</f>
        <v>980.69999999999925</v>
      </c>
      <c r="AE293">
        <f t="shared" si="59"/>
        <v>16739.069041095889</v>
      </c>
      <c r="AF293">
        <f t="shared" si="60"/>
        <v>1.0334781380821918</v>
      </c>
      <c r="AG293" s="4">
        <f>(AF293/AF292-1)-中国_中债国债到期收益率_1年!H293%/252</f>
        <v>6.608332943041056E-5</v>
      </c>
      <c r="AH293" s="4">
        <f>MIN((AF293-MAX($AF$151:AF293))/MAX($AF$151:AF293),0)</f>
        <v>-4.3544629599722085E-4</v>
      </c>
    </row>
    <row r="294" spans="1:34" x14ac:dyDescent="0.25">
      <c r="A294" s="6">
        <v>45138</v>
      </c>
      <c r="B294">
        <v>20</v>
      </c>
      <c r="C294">
        <v>30</v>
      </c>
      <c r="D294">
        <v>-10</v>
      </c>
      <c r="F294">
        <f t="shared" si="57"/>
        <v>40</v>
      </c>
      <c r="G294">
        <f t="shared" si="61"/>
        <v>20</v>
      </c>
      <c r="H294">
        <f t="shared" si="62"/>
        <v>150</v>
      </c>
      <c r="I294">
        <f t="shared" si="63"/>
        <v>-90</v>
      </c>
      <c r="J294">
        <f t="shared" si="64"/>
        <v>0</v>
      </c>
      <c r="K294">
        <f t="shared" si="58"/>
        <v>80</v>
      </c>
      <c r="L294">
        <f>G294*Return!B294*100</f>
        <v>0.19999999999997797</v>
      </c>
      <c r="M294">
        <f>H294*Return!C294*100</f>
        <v>-266.99999999999721</v>
      </c>
      <c r="N294">
        <f>I294*Return!D294*100</f>
        <v>124.20000000000231</v>
      </c>
      <c r="O294">
        <f>J294*Return!E294*100</f>
        <v>0</v>
      </c>
      <c r="P294">
        <f t="shared" si="65"/>
        <v>-142.59999999999491</v>
      </c>
      <c r="Q294">
        <f>SUM($P$148:P294)</f>
        <v>10738.000000000002</v>
      </c>
      <c r="R294">
        <f>B294*中国_中债国债到期收益率_1年!B293/365*100</f>
        <v>9.962191780821918</v>
      </c>
      <c r="S294">
        <f>C294*中国_中债国债到期收益率_1年!C293/365*100</f>
        <v>20.063013698630133</v>
      </c>
      <c r="T294">
        <f>D294*中国_中债国债到期收益率_1年!D293/365*100</f>
        <v>-7.2693150684931513</v>
      </c>
      <c r="U294">
        <f>E294*中国_中债国债到期收益率_1年!E293/365*100</f>
        <v>0</v>
      </c>
      <c r="V294">
        <f t="shared" si="66"/>
        <v>22.755890410958898</v>
      </c>
      <c r="W294">
        <f>SUM($V$148:V294)</f>
        <v>7554.7798630136986</v>
      </c>
      <c r="X294">
        <f>MAX(F294-50,0)*中国_中债国债到期收益率_1年!H294*100/365</f>
        <v>0</v>
      </c>
      <c r="Y294">
        <f>SUM($X$148:X294)</f>
        <v>2654.2549315068459</v>
      </c>
      <c r="AB294">
        <f>Z294*Return!F298*100</f>
        <v>0</v>
      </c>
      <c r="AC294">
        <f>AA294*Return!G298*100</f>
        <v>0</v>
      </c>
      <c r="AD294">
        <f>SUM($AB$148:AB294)+SUM($AC$148:AC294)</f>
        <v>980.69999999999925</v>
      </c>
      <c r="AE294">
        <f t="shared" si="59"/>
        <v>16619.224931506855</v>
      </c>
      <c r="AF294">
        <f t="shared" si="60"/>
        <v>1.0332384498630136</v>
      </c>
      <c r="AG294" s="4">
        <f>(AF294/AF293-1)-中国_中债国债到期收益率_1年!H294%/252</f>
        <v>-3.1009844398554681E-4</v>
      </c>
      <c r="AH294" s="4">
        <f>MIN((AF294-MAX($AF$151:AF294))/MAX($AF$151:AF294),0)</f>
        <v>-6.6726914643075561E-4</v>
      </c>
    </row>
    <row r="295" spans="1:34" x14ac:dyDescent="0.25">
      <c r="A295" s="6">
        <v>45139</v>
      </c>
      <c r="B295">
        <v>20</v>
      </c>
      <c r="C295">
        <v>30</v>
      </c>
      <c r="D295">
        <v>-10</v>
      </c>
      <c r="F295">
        <f t="shared" si="57"/>
        <v>40</v>
      </c>
      <c r="G295">
        <f t="shared" si="61"/>
        <v>20</v>
      </c>
      <c r="H295">
        <f t="shared" si="62"/>
        <v>150</v>
      </c>
      <c r="I295">
        <f t="shared" si="63"/>
        <v>-90</v>
      </c>
      <c r="J295">
        <f t="shared" si="64"/>
        <v>0</v>
      </c>
      <c r="K295">
        <f t="shared" si="58"/>
        <v>80</v>
      </c>
      <c r="L295">
        <f>G295*Return!B295*100</f>
        <v>15.800000000000036</v>
      </c>
      <c r="M295">
        <f>H295*Return!C295*100</f>
        <v>-201.00000000000452</v>
      </c>
      <c r="N295">
        <f>I295*Return!D295*100</f>
        <v>57.59999999999765</v>
      </c>
      <c r="O295">
        <f>J295*Return!E295*100</f>
        <v>0</v>
      </c>
      <c r="P295">
        <f t="shared" si="65"/>
        <v>-127.60000000000683</v>
      </c>
      <c r="Q295">
        <f>SUM($P$148:P295)</f>
        <v>10610.399999999994</v>
      </c>
      <c r="R295">
        <f>B295*中国_中债国债到期收益率_1年!B294/365*100</f>
        <v>9.9189041095890413</v>
      </c>
      <c r="S295">
        <f>C295*中国_中债国债到期收益率_1年!C294/365*100</f>
        <v>20.17315068493151</v>
      </c>
      <c r="T295">
        <f>D295*中国_中债国债到期收益率_1年!D294/365*100</f>
        <v>-7.2868493150684932</v>
      </c>
      <c r="U295">
        <f>E295*中国_中债国债到期收益率_1年!E294/365*100</f>
        <v>0</v>
      </c>
      <c r="V295">
        <f t="shared" si="66"/>
        <v>22.805205479452056</v>
      </c>
      <c r="W295">
        <f>SUM($V$148:V295)</f>
        <v>7577.5850684931502</v>
      </c>
      <c r="X295">
        <f>MAX(F295-50,0)*中国_中债国债到期收益率_1年!H295*100/365</f>
        <v>0</v>
      </c>
      <c r="Y295">
        <f>SUM($X$148:X295)</f>
        <v>2654.2549315068459</v>
      </c>
      <c r="AB295">
        <f>Z295*Return!F299*100</f>
        <v>0</v>
      </c>
      <c r="AC295">
        <f>AA295*Return!G299*100</f>
        <v>0</v>
      </c>
      <c r="AD295">
        <f>SUM($AB$148:AB295)+SUM($AC$148:AC295)</f>
        <v>980.69999999999925</v>
      </c>
      <c r="AE295">
        <f t="shared" si="59"/>
        <v>16514.430136986299</v>
      </c>
      <c r="AF295">
        <f t="shared" si="60"/>
        <v>1.0330288602739726</v>
      </c>
      <c r="AG295" s="4">
        <f>(AF295/AF294-1)-中国_中债国债到期收益率_1年!H295%/252</f>
        <v>-2.7625995895434822E-4</v>
      </c>
      <c r="AH295" s="4">
        <f>MIN((AF295-MAX($AF$151:AF295))/MAX($AF$151:AF295),0)</f>
        <v>-8.6998105325404194E-4</v>
      </c>
    </row>
    <row r="296" spans="1:34" x14ac:dyDescent="0.25">
      <c r="A296" s="6">
        <v>45140</v>
      </c>
      <c r="B296">
        <v>20</v>
      </c>
      <c r="C296">
        <v>30</v>
      </c>
      <c r="D296">
        <v>-10</v>
      </c>
      <c r="F296">
        <f t="shared" si="57"/>
        <v>40</v>
      </c>
      <c r="G296">
        <f t="shared" si="61"/>
        <v>20</v>
      </c>
      <c r="H296">
        <f t="shared" si="62"/>
        <v>150</v>
      </c>
      <c r="I296">
        <f t="shared" si="63"/>
        <v>-90</v>
      </c>
      <c r="J296">
        <f t="shared" si="64"/>
        <v>0</v>
      </c>
      <c r="K296">
        <f t="shared" si="58"/>
        <v>80</v>
      </c>
      <c r="L296">
        <f>G296*Return!B296*100</f>
        <v>70.200000000000259</v>
      </c>
      <c r="M296">
        <f>H296*Return!C296*100</f>
        <v>-82.500000000000909</v>
      </c>
      <c r="N296">
        <f>I296*Return!D296*100</f>
        <v>8.9999999999990088</v>
      </c>
      <c r="O296">
        <f>J296*Return!E296*100</f>
        <v>0</v>
      </c>
      <c r="P296">
        <f t="shared" si="65"/>
        <v>-3.3000000000016421</v>
      </c>
      <c r="Q296">
        <f>SUM($P$148:P296)</f>
        <v>10607.099999999993</v>
      </c>
      <c r="R296">
        <f>B296*中国_中债国债到期收益率_1年!B295/365*100</f>
        <v>9.7265753424657522</v>
      </c>
      <c r="S296">
        <f>C296*中国_中债国债到期收益率_1年!C295/365*100</f>
        <v>20.218356164383565</v>
      </c>
      <c r="T296">
        <f>D296*中国_中债国债到期收益率_1年!D295/365*100</f>
        <v>-7.2895890410958897</v>
      </c>
      <c r="U296">
        <f>E296*中国_中债国债到期收益率_1年!E295/365*100</f>
        <v>0</v>
      </c>
      <c r="V296">
        <f t="shared" si="66"/>
        <v>22.655342465753424</v>
      </c>
      <c r="W296">
        <f>SUM($V$148:V296)</f>
        <v>7600.2404109589033</v>
      </c>
      <c r="X296">
        <f>MAX(F296-50,0)*中国_中债国债到期收益率_1年!H296*100/365</f>
        <v>0</v>
      </c>
      <c r="Y296">
        <f>SUM($X$148:X296)</f>
        <v>2654.2549315068459</v>
      </c>
      <c r="AB296">
        <f>Z296*Return!F300*100</f>
        <v>0</v>
      </c>
      <c r="AC296">
        <f>AA296*Return!G300*100</f>
        <v>0</v>
      </c>
      <c r="AD296">
        <f>SUM($AB$148:AB296)+SUM($AC$148:AC296)</f>
        <v>980.69999999999925</v>
      </c>
      <c r="AE296">
        <f t="shared" si="59"/>
        <v>16533.78547945205</v>
      </c>
      <c r="AF296">
        <f t="shared" si="60"/>
        <v>1.0330675709589041</v>
      </c>
      <c r="AG296" s="4">
        <f>(AF296/AF295-1)-中国_中债国债到期收益率_1年!H296%/252</f>
        <v>-3.5146052991073693E-5</v>
      </c>
      <c r="AH296" s="4">
        <f>MIN((AF296-MAX($AF$151:AF296))/MAX($AF$151:AF296),0)</f>
        <v>-8.3254065942143726E-4</v>
      </c>
    </row>
    <row r="297" spans="1:34" x14ac:dyDescent="0.25">
      <c r="A297" s="6">
        <v>45141</v>
      </c>
      <c r="B297">
        <v>20</v>
      </c>
      <c r="C297">
        <v>30</v>
      </c>
      <c r="D297">
        <v>-10</v>
      </c>
      <c r="F297">
        <f t="shared" si="57"/>
        <v>40</v>
      </c>
      <c r="G297">
        <f t="shared" si="61"/>
        <v>20</v>
      </c>
      <c r="H297">
        <f t="shared" si="62"/>
        <v>150</v>
      </c>
      <c r="I297">
        <f t="shared" si="63"/>
        <v>-90</v>
      </c>
      <c r="J297">
        <f t="shared" si="64"/>
        <v>0</v>
      </c>
      <c r="K297">
        <f t="shared" si="58"/>
        <v>80</v>
      </c>
      <c r="L297">
        <f>G297*Return!B297*100</f>
        <v>17.599999999999838</v>
      </c>
      <c r="M297">
        <f>H297*Return!C297*100</f>
        <v>109.50000000000459</v>
      </c>
      <c r="N297">
        <f>I297*Return!D297*100</f>
        <v>-73.799999999999869</v>
      </c>
      <c r="O297">
        <f>J297*Return!E297*100</f>
        <v>0</v>
      </c>
      <c r="P297">
        <f t="shared" si="65"/>
        <v>53.300000000004559</v>
      </c>
      <c r="Q297">
        <f>SUM($P$148:P297)</f>
        <v>10660.399999999998</v>
      </c>
      <c r="R297">
        <f>B297*中国_中债国债到期收益率_1年!B296/365*100</f>
        <v>9.6783561643835618</v>
      </c>
      <c r="S297">
        <f>C297*中国_中债国债到期收益率_1年!C296/365*100</f>
        <v>20.158356164383562</v>
      </c>
      <c r="T297">
        <f>D297*中国_中债国债到期收益率_1年!D296/365*100</f>
        <v>-7.2671232876712333</v>
      </c>
      <c r="U297">
        <f>E297*中国_中债国债到期收益率_1年!E296/365*100</f>
        <v>0</v>
      </c>
      <c r="V297">
        <f t="shared" si="66"/>
        <v>22.569589041095892</v>
      </c>
      <c r="W297">
        <f>SUM($V$148:V297)</f>
        <v>7622.8099999999995</v>
      </c>
      <c r="X297">
        <f>MAX(F297-50,0)*中国_中债国债到期收益率_1年!H297*100/365</f>
        <v>0</v>
      </c>
      <c r="Y297">
        <f>SUM($X$148:X297)</f>
        <v>2654.2549315068459</v>
      </c>
      <c r="AB297">
        <f>Z297*Return!F301*100</f>
        <v>0</v>
      </c>
      <c r="AC297">
        <f>AA297*Return!G301*100</f>
        <v>0</v>
      </c>
      <c r="AD297">
        <f>SUM($AB$148:AB297)+SUM($AC$148:AC297)</f>
        <v>980.69999999999925</v>
      </c>
      <c r="AE297">
        <f t="shared" si="59"/>
        <v>16609.655068493154</v>
      </c>
      <c r="AF297">
        <f t="shared" si="60"/>
        <v>1.0332193101369862</v>
      </c>
      <c r="AG297" s="4">
        <f>(AF297/AF296-1)-中国_中债国债到期收益率_1年!H297%/252</f>
        <v>7.7437697970650119E-5</v>
      </c>
      <c r="AH297" s="4">
        <f>MIN((AF297-MAX($AF$151:AF297))/MAX($AF$151:AF297),0)</f>
        <v>-6.857808023619619E-4</v>
      </c>
    </row>
    <row r="298" spans="1:34" x14ac:dyDescent="0.25">
      <c r="A298" s="6">
        <v>45142</v>
      </c>
      <c r="B298">
        <v>20</v>
      </c>
      <c r="C298">
        <v>30</v>
      </c>
      <c r="D298">
        <v>-10</v>
      </c>
      <c r="F298">
        <f t="shared" si="57"/>
        <v>40</v>
      </c>
      <c r="G298">
        <f t="shared" si="61"/>
        <v>20</v>
      </c>
      <c r="H298">
        <f t="shared" si="62"/>
        <v>150</v>
      </c>
      <c r="I298">
        <f t="shared" si="63"/>
        <v>-90</v>
      </c>
      <c r="J298">
        <f t="shared" si="64"/>
        <v>0</v>
      </c>
      <c r="K298">
        <f t="shared" si="58"/>
        <v>80</v>
      </c>
      <c r="L298">
        <f>G298*Return!B298*100</f>
        <v>48.4</v>
      </c>
      <c r="M298">
        <f>H298*Return!C298*100</f>
        <v>408.00000000000171</v>
      </c>
      <c r="N298">
        <f>I298*Return!D298*100</f>
        <v>-80.999999999999076</v>
      </c>
      <c r="O298">
        <f>J298*Return!E298*100</f>
        <v>0</v>
      </c>
      <c r="P298">
        <f t="shared" si="65"/>
        <v>375.40000000000259</v>
      </c>
      <c r="Q298">
        <f>SUM($P$148:P298)</f>
        <v>11035.800000000001</v>
      </c>
      <c r="R298">
        <f>B298*中国_中债国债到期收益率_1年!B297/365*100</f>
        <v>9.5457534246575335</v>
      </c>
      <c r="S298">
        <f>C298*中国_中债国债到期收益率_1年!C297/365*100</f>
        <v>19.934794520547946</v>
      </c>
      <c r="T298">
        <f>D298*中国_中债国债到期收益率_1年!D297/365*100</f>
        <v>-7.242465753424657</v>
      </c>
      <c r="U298">
        <f>E298*中国_中债国债到期收益率_1年!E297/365*100</f>
        <v>0</v>
      </c>
      <c r="V298">
        <f t="shared" si="66"/>
        <v>22.238082191780823</v>
      </c>
      <c r="W298">
        <f>SUM($V$148:V298)</f>
        <v>7645.0480821917799</v>
      </c>
      <c r="X298">
        <f>MAX(F298-50,0)*中国_中债国债到期收益率_1年!H298*100/365</f>
        <v>0</v>
      </c>
      <c r="Y298">
        <f>SUM($X$148:X298)</f>
        <v>2654.2549315068459</v>
      </c>
      <c r="AA298">
        <v>50</v>
      </c>
      <c r="AB298">
        <f>Z298*Return!F302*100</f>
        <v>0</v>
      </c>
      <c r="AC298">
        <f>AA298*Return!G302*100</f>
        <v>40.49999999999887</v>
      </c>
      <c r="AD298">
        <f>SUM($AB$148:AB298)+SUM($AC$148:AC298)</f>
        <v>1021.1999999999981</v>
      </c>
      <c r="AE298">
        <f t="shared" si="59"/>
        <v>17047.793150684931</v>
      </c>
      <c r="AF298">
        <f t="shared" si="60"/>
        <v>1.0340955863013699</v>
      </c>
      <c r="AG298" s="4">
        <f>(AF298/AF297-1)-中国_中债国债到期收益率_1年!H298%/252</f>
        <v>7.8064245780371942E-4</v>
      </c>
      <c r="AH298" s="4">
        <f>MIN((AF298-MAX($AF$151:AF298))/MAX($AF$151:AF298),0)</f>
        <v>0</v>
      </c>
    </row>
    <row r="299" spans="1:34" x14ac:dyDescent="0.25">
      <c r="A299" s="6">
        <v>45145</v>
      </c>
      <c r="B299">
        <v>20</v>
      </c>
      <c r="C299">
        <v>30</v>
      </c>
      <c r="D299">
        <v>-10</v>
      </c>
      <c r="F299">
        <f t="shared" si="57"/>
        <v>40</v>
      </c>
      <c r="G299">
        <f t="shared" si="61"/>
        <v>20</v>
      </c>
      <c r="H299">
        <f t="shared" si="62"/>
        <v>150</v>
      </c>
      <c r="I299">
        <f t="shared" si="63"/>
        <v>-90</v>
      </c>
      <c r="J299">
        <f t="shared" si="64"/>
        <v>0</v>
      </c>
      <c r="K299">
        <f t="shared" si="58"/>
        <v>80</v>
      </c>
      <c r="L299">
        <f>G299*Return!B299*100</f>
        <v>-18.000000000000238</v>
      </c>
      <c r="M299">
        <f>H299*Return!C299*100</f>
        <v>-39.000000000002366</v>
      </c>
      <c r="N299">
        <f>I299*Return!D299*100</f>
        <v>30.600000000000627</v>
      </c>
      <c r="O299">
        <f>J299*Return!E299*100</f>
        <v>0</v>
      </c>
      <c r="P299">
        <f t="shared" si="65"/>
        <v>-26.400000000001974</v>
      </c>
      <c r="Q299">
        <f>SUM($P$148:P299)</f>
        <v>11009.4</v>
      </c>
      <c r="R299">
        <f>B299*中国_中债国债到期收益率_1年!B298/365*100</f>
        <v>9.595068493150686</v>
      </c>
      <c r="S299">
        <f>C299*中国_中债国债到期收益率_1年!C298/365*100</f>
        <v>19.956164383561646</v>
      </c>
      <c r="T299">
        <f>D299*中国_中债国债到期收益率_1年!D298/365*100</f>
        <v>-7.2517808219178086</v>
      </c>
      <c r="U299">
        <f>E299*中国_中债国债到期收益率_1年!E298/365*100</f>
        <v>0</v>
      </c>
      <c r="V299">
        <f t="shared" si="66"/>
        <v>22.299452054794525</v>
      </c>
      <c r="W299">
        <f>SUM($V$148:V299)</f>
        <v>7667.3475342465745</v>
      </c>
      <c r="X299">
        <f>MAX(F299-50,0)*中国_中债国债到期收益率_1年!H299*100/365</f>
        <v>0</v>
      </c>
      <c r="Y299">
        <f>SUM($X$148:X299)</f>
        <v>2654.2549315068459</v>
      </c>
      <c r="AA299">
        <v>50</v>
      </c>
      <c r="AB299">
        <f>Z299*Return!F303*100</f>
        <v>0</v>
      </c>
      <c r="AC299">
        <f>AA299*Return!G303*100</f>
        <v>-35.499999999999417</v>
      </c>
      <c r="AD299">
        <f>SUM($AB$148:AB299)+SUM($AC$148:AC299)</f>
        <v>985.69999999999868</v>
      </c>
      <c r="AE299">
        <f t="shared" si="59"/>
        <v>17008.192602739724</v>
      </c>
      <c r="AF299">
        <f t="shared" si="60"/>
        <v>1.0340163852054793</v>
      </c>
      <c r="AG299" s="4">
        <f>(AF299/AF298-1)-中国_中债国债到期收益率_1年!H299%/252</f>
        <v>-1.4484369258863187E-4</v>
      </c>
      <c r="AH299" s="4">
        <f>MIN((AF299-MAX($AF$151:AF299))/MAX($AF$151:AF299),0)</f>
        <v>-7.6589724334694758E-5</v>
      </c>
    </row>
    <row r="300" spans="1:34" x14ac:dyDescent="0.25">
      <c r="A300" s="6">
        <v>45146</v>
      </c>
      <c r="B300">
        <v>20</v>
      </c>
      <c r="C300">
        <v>30</v>
      </c>
      <c r="D300">
        <v>-10</v>
      </c>
      <c r="F300">
        <f t="shared" si="57"/>
        <v>40</v>
      </c>
      <c r="G300">
        <f t="shared" si="61"/>
        <v>20</v>
      </c>
      <c r="H300">
        <f t="shared" si="62"/>
        <v>150</v>
      </c>
      <c r="I300">
        <f t="shared" si="63"/>
        <v>-90</v>
      </c>
      <c r="J300">
        <f t="shared" si="64"/>
        <v>0</v>
      </c>
      <c r="K300">
        <f t="shared" si="58"/>
        <v>80</v>
      </c>
      <c r="L300">
        <f>G300*Return!B300*100</f>
        <v>-17.599999999999838</v>
      </c>
      <c r="M300">
        <f>H300*Return!C300*100</f>
        <v>31.499999999999861</v>
      </c>
      <c r="N300">
        <f>I300*Return!D300*100</f>
        <v>-6.3000000000013046</v>
      </c>
      <c r="O300">
        <f>J300*Return!E300*100</f>
        <v>0</v>
      </c>
      <c r="P300">
        <f t="shared" si="65"/>
        <v>7.5999999999987189</v>
      </c>
      <c r="Q300">
        <f>SUM($P$148:P300)</f>
        <v>11016.999999999998</v>
      </c>
      <c r="R300">
        <f>B300*中国_中债国债到期收益率_1年!B299/365*100</f>
        <v>9.6432876712328763</v>
      </c>
      <c r="S300">
        <f>C300*中国_中债国债到期收益率_1年!C299/365*100</f>
        <v>19.938904109589043</v>
      </c>
      <c r="T300">
        <f>D300*中国_中债国债到期收益率_1年!D299/365*100</f>
        <v>-7.2498630136986302</v>
      </c>
      <c r="U300">
        <f>E300*中国_中债国债到期收益率_1年!E299/365*100</f>
        <v>0</v>
      </c>
      <c r="V300">
        <f t="shared" si="66"/>
        <v>22.33232876712329</v>
      </c>
      <c r="W300">
        <f>SUM($V$148:V300)</f>
        <v>7689.6798630136982</v>
      </c>
      <c r="X300">
        <f>MAX(F300-50,0)*中国_中债国债到期收益率_1年!H300*100/365</f>
        <v>0</v>
      </c>
      <c r="Y300">
        <f>SUM($X$148:X300)</f>
        <v>2654.2549315068459</v>
      </c>
      <c r="AA300">
        <v>50</v>
      </c>
      <c r="AB300">
        <f>Z300*Return!F304*100</f>
        <v>0</v>
      </c>
      <c r="AC300">
        <f>AA300*Return!G304*100</f>
        <v>60.000000000000057</v>
      </c>
      <c r="AD300">
        <f>SUM($AB$148:AB300)+SUM($AC$148:AC300)</f>
        <v>1045.6999999999989</v>
      </c>
      <c r="AE300">
        <f t="shared" si="59"/>
        <v>17098.124931506849</v>
      </c>
      <c r="AF300">
        <f t="shared" si="60"/>
        <v>1.0341962498630137</v>
      </c>
      <c r="AG300" s="4">
        <f>(AF300/AF299-1)-中国_中债国债到期收益率_1年!H300%/252</f>
        <v>1.0251901790152092E-4</v>
      </c>
      <c r="AH300" s="4">
        <f>MIN((AF300-MAX($AF$151:AF300))/MAX($AF$151:AF300),0)</f>
        <v>0</v>
      </c>
    </row>
    <row r="301" spans="1:34" x14ac:dyDescent="0.25">
      <c r="A301" s="6">
        <v>45147</v>
      </c>
      <c r="B301">
        <v>20</v>
      </c>
      <c r="C301">
        <v>30</v>
      </c>
      <c r="D301">
        <v>-10</v>
      </c>
      <c r="F301">
        <f t="shared" si="57"/>
        <v>40</v>
      </c>
      <c r="G301">
        <f t="shared" si="61"/>
        <v>20</v>
      </c>
      <c r="H301">
        <f t="shared" si="62"/>
        <v>150</v>
      </c>
      <c r="I301">
        <f t="shared" si="63"/>
        <v>-90</v>
      </c>
      <c r="J301">
        <f t="shared" si="64"/>
        <v>0</v>
      </c>
      <c r="K301">
        <f t="shared" si="58"/>
        <v>80</v>
      </c>
      <c r="L301">
        <f>G301*Return!B301*100</f>
        <v>-39.400000000000105</v>
      </c>
      <c r="M301">
        <f>H301*Return!C301*100</f>
        <v>71.999999999998735</v>
      </c>
      <c r="N301">
        <f>I301*Return!D301*100</f>
        <v>-7.199999999999207</v>
      </c>
      <c r="O301">
        <f>J301*Return!E301*100</f>
        <v>0</v>
      </c>
      <c r="P301">
        <f t="shared" si="65"/>
        <v>25.399999999999423</v>
      </c>
      <c r="Q301">
        <f>SUM($P$148:P301)</f>
        <v>11042.399999999998</v>
      </c>
      <c r="R301">
        <f>B301*中国_中债国债到期收益率_1年!B300/365*100</f>
        <v>9.7512328767123293</v>
      </c>
      <c r="S301">
        <f>C301*中国_中债国债到期收益率_1年!C300/365*100</f>
        <v>19.899452054794519</v>
      </c>
      <c r="T301">
        <f>D301*中国_中债国债到期收益率_1年!D300/365*100</f>
        <v>-7.2476712328767121</v>
      </c>
      <c r="U301">
        <f>E301*中国_中债国债到期收益率_1年!E300/365*100</f>
        <v>0</v>
      </c>
      <c r="V301">
        <f t="shared" si="66"/>
        <v>22.403013698630136</v>
      </c>
      <c r="W301">
        <f>SUM($V$148:V301)</f>
        <v>7712.0828767123285</v>
      </c>
      <c r="X301">
        <f>MAX(F301-50,0)*中国_中债国债到期收益率_1年!H301*100/365</f>
        <v>0</v>
      </c>
      <c r="Y301">
        <f>SUM($X$148:X301)</f>
        <v>2654.2549315068459</v>
      </c>
      <c r="AA301">
        <v>50</v>
      </c>
      <c r="AB301">
        <f>Z301*Return!F305*100</f>
        <v>0</v>
      </c>
      <c r="AC301">
        <f>AA301*Return!G305*100</f>
        <v>206.50000000000057</v>
      </c>
      <c r="AD301">
        <f>SUM($AB$148:AB301)+SUM($AC$148:AC301)</f>
        <v>1252.1999999999994</v>
      </c>
      <c r="AE301">
        <f t="shared" si="59"/>
        <v>17352.42794520548</v>
      </c>
      <c r="AF301">
        <f t="shared" si="60"/>
        <v>1.0347048558904111</v>
      </c>
      <c r="AG301" s="4">
        <f>(AF301/AF300-1)-中国_中债国债到期收益率_1年!H301%/252</f>
        <v>4.2036012676553518E-4</v>
      </c>
      <c r="AH301" s="4">
        <f>MIN((AF301-MAX($AF$151:AF301))/MAX($AF$151:AF301),0)</f>
        <v>0</v>
      </c>
    </row>
    <row r="302" spans="1:34" x14ac:dyDescent="0.25">
      <c r="A302" s="6">
        <v>45148</v>
      </c>
      <c r="B302">
        <v>20</v>
      </c>
      <c r="C302">
        <v>30</v>
      </c>
      <c r="D302">
        <v>-10</v>
      </c>
      <c r="F302">
        <f t="shared" si="57"/>
        <v>40</v>
      </c>
      <c r="G302">
        <f t="shared" si="61"/>
        <v>20</v>
      </c>
      <c r="H302">
        <f t="shared" si="62"/>
        <v>150</v>
      </c>
      <c r="I302">
        <f t="shared" si="63"/>
        <v>-90</v>
      </c>
      <c r="J302">
        <f t="shared" si="64"/>
        <v>0</v>
      </c>
      <c r="K302">
        <f t="shared" si="58"/>
        <v>80</v>
      </c>
      <c r="L302">
        <f>G302*Return!B302*100</f>
        <v>-59.399999999999679</v>
      </c>
      <c r="M302">
        <f>H302*Return!C302*100</f>
        <v>-39.000000000002366</v>
      </c>
      <c r="N302">
        <f>I302*Return!D302*100</f>
        <v>6.3000000000013046</v>
      </c>
      <c r="O302">
        <f>J302*Return!E302*100</f>
        <v>0</v>
      </c>
      <c r="P302">
        <f t="shared" si="65"/>
        <v>-92.100000000000747</v>
      </c>
      <c r="Q302">
        <f>SUM($P$148:P302)</f>
        <v>10950.299999999997</v>
      </c>
      <c r="R302">
        <f>B302*中国_中债国债到期收益率_1年!B301/365*100</f>
        <v>9.9139726027397259</v>
      </c>
      <c r="S302">
        <f>C302*中国_中债国债到期收益率_1年!C301/365*100</f>
        <v>19.920821917808222</v>
      </c>
      <c r="T302">
        <f>D302*中国_中债国债到期收益率_1年!D301/365*100</f>
        <v>-7.2495890410958914</v>
      </c>
      <c r="U302">
        <f>E302*中国_中债国债到期收益率_1年!E301/365*100</f>
        <v>0</v>
      </c>
      <c r="V302">
        <f t="shared" si="66"/>
        <v>22.585205479452057</v>
      </c>
      <c r="W302">
        <f>SUM($V$148:V302)</f>
        <v>7734.6680821917807</v>
      </c>
      <c r="X302">
        <f>MAX(F302-50,0)*中国_中债国债到期收益率_1年!H302*100/365</f>
        <v>0</v>
      </c>
      <c r="Y302">
        <f>SUM($X$148:X302)</f>
        <v>2654.2549315068459</v>
      </c>
      <c r="AA302">
        <v>50</v>
      </c>
      <c r="AB302">
        <f>Z302*Return!F306*100</f>
        <v>0</v>
      </c>
      <c r="AC302">
        <f>AA302*Return!G306*100</f>
        <v>333.99999999999875</v>
      </c>
      <c r="AD302">
        <f>SUM($AB$148:AB302)+SUM($AC$148:AC302)</f>
        <v>1586.199999999998</v>
      </c>
      <c r="AE302">
        <f t="shared" si="59"/>
        <v>17616.91315068493</v>
      </c>
      <c r="AF302">
        <f t="shared" si="60"/>
        <v>1.0352338263013698</v>
      </c>
      <c r="AG302" s="4">
        <f>(AF302/AF301-1)-中国_中债国债到期收益率_1年!H302%/252</f>
        <v>4.4059338562801349E-4</v>
      </c>
      <c r="AH302" s="4">
        <f>MIN((AF302-MAX($AF$151:AF302))/MAX($AF$151:AF302),0)</f>
        <v>0</v>
      </c>
    </row>
    <row r="303" spans="1:34" x14ac:dyDescent="0.25">
      <c r="A303" s="6">
        <v>45149</v>
      </c>
      <c r="B303">
        <v>20</v>
      </c>
      <c r="C303">
        <v>30</v>
      </c>
      <c r="D303">
        <v>-10</v>
      </c>
      <c r="F303">
        <f t="shared" si="57"/>
        <v>40</v>
      </c>
      <c r="G303">
        <f t="shared" si="61"/>
        <v>20</v>
      </c>
      <c r="H303">
        <f t="shared" si="62"/>
        <v>150</v>
      </c>
      <c r="I303">
        <f t="shared" si="63"/>
        <v>-90</v>
      </c>
      <c r="J303">
        <f t="shared" si="64"/>
        <v>0</v>
      </c>
      <c r="K303">
        <f t="shared" si="58"/>
        <v>80</v>
      </c>
      <c r="L303">
        <f>G303*Return!B303*100</f>
        <v>-34.400000000000205</v>
      </c>
      <c r="M303">
        <f>H303*Return!C303*100</f>
        <v>-79.499999999994571</v>
      </c>
      <c r="N303">
        <f>I303*Return!D303*100</f>
        <v>12.599999999998612</v>
      </c>
      <c r="O303">
        <f>J303*Return!E303*100</f>
        <v>0</v>
      </c>
      <c r="P303">
        <f t="shared" si="65"/>
        <v>-101.29999999999616</v>
      </c>
      <c r="Q303">
        <f>SUM($P$148:P303)</f>
        <v>10849.000000000002</v>
      </c>
      <c r="R303">
        <f>B303*中国_中债国债到期收益率_1年!B302/365*100</f>
        <v>10.008219178082193</v>
      </c>
      <c r="S303">
        <f>C303*中国_中债国债到期收益率_1年!C302/365*100</f>
        <v>19.964383561643835</v>
      </c>
      <c r="T303">
        <f>D303*中国_中债国债到期收益率_1年!D302/365*100</f>
        <v>-7.2534246575342465</v>
      </c>
      <c r="U303">
        <f>E303*中国_中债国债到期收益率_1年!E302/365*100</f>
        <v>0</v>
      </c>
      <c r="V303">
        <f t="shared" si="66"/>
        <v>22.719178082191782</v>
      </c>
      <c r="W303">
        <f>SUM($V$148:V303)</f>
        <v>7757.387260273973</v>
      </c>
      <c r="X303">
        <f>MAX(F303-50,0)*中国_中债国债到期收益率_1年!H303*100/365</f>
        <v>0</v>
      </c>
      <c r="Y303">
        <f>SUM($X$148:X303)</f>
        <v>2654.2549315068459</v>
      </c>
      <c r="AA303">
        <v>50</v>
      </c>
      <c r="AB303">
        <f>Z303*Return!F307*100</f>
        <v>0</v>
      </c>
      <c r="AC303">
        <f>AA303*Return!G307*100</f>
        <v>1.9999999999997797</v>
      </c>
      <c r="AD303">
        <f>SUM($AB$148:AB303)+SUM($AC$148:AC303)</f>
        <v>1588.199999999998</v>
      </c>
      <c r="AE303">
        <f t="shared" si="59"/>
        <v>17540.332328767126</v>
      </c>
      <c r="AF303">
        <f t="shared" si="60"/>
        <v>1.0350806646575343</v>
      </c>
      <c r="AG303" s="4">
        <f>(AF303/AF302-1)-中国_中债国债到期收益率_1年!H303%/252</f>
        <v>-2.1858376073675094E-4</v>
      </c>
      <c r="AH303" s="4">
        <f>MIN((AF303-MAX($AF$151:AF303))/MAX($AF$151:AF303),0)</f>
        <v>-1.4794884010185962E-4</v>
      </c>
    </row>
    <row r="304" spans="1:34" x14ac:dyDescent="0.25">
      <c r="A304" s="6">
        <v>45152</v>
      </c>
      <c r="B304">
        <v>20</v>
      </c>
      <c r="C304">
        <v>30</v>
      </c>
      <c r="D304">
        <v>-10</v>
      </c>
      <c r="F304">
        <f t="shared" si="57"/>
        <v>40</v>
      </c>
      <c r="G304">
        <f t="shared" si="61"/>
        <v>20</v>
      </c>
      <c r="H304">
        <f t="shared" si="62"/>
        <v>150</v>
      </c>
      <c r="I304">
        <f t="shared" si="63"/>
        <v>-90</v>
      </c>
      <c r="J304">
        <f t="shared" si="64"/>
        <v>0</v>
      </c>
      <c r="K304">
        <f t="shared" si="58"/>
        <v>80</v>
      </c>
      <c r="L304">
        <f>G304*Return!B304*100</f>
        <v>-8.0000000000000071</v>
      </c>
      <c r="M304">
        <f>H304*Return!C304*100</f>
        <v>110.99999999999443</v>
      </c>
      <c r="N304">
        <f>I304*Return!D304*100</f>
        <v>-84.599999999998673</v>
      </c>
      <c r="O304">
        <f>J304*Return!E304*100</f>
        <v>0</v>
      </c>
      <c r="P304">
        <f t="shared" si="65"/>
        <v>18.399999999995757</v>
      </c>
      <c r="Q304">
        <f>SUM($P$148:P304)</f>
        <v>10867.399999999998</v>
      </c>
      <c r="R304">
        <f>B304*中国_中债国债到期收益率_1年!B303/365*100</f>
        <v>10.03013698630137</v>
      </c>
      <c r="S304">
        <f>C304*中国_中债国债到期收益率_1年!C303/365*100</f>
        <v>19.903561643835619</v>
      </c>
      <c r="T304">
        <f>D304*中国_中债国债到期收益率_1年!D303/365*100</f>
        <v>-7.2276712328767116</v>
      </c>
      <c r="U304">
        <f>E304*中国_中债国债到期收益率_1年!E303/365*100</f>
        <v>0</v>
      </c>
      <c r="V304">
        <f t="shared" si="66"/>
        <v>22.706027397260275</v>
      </c>
      <c r="W304">
        <f>SUM($V$148:V304)</f>
        <v>7780.0932876712332</v>
      </c>
      <c r="X304">
        <f>MAX(F304-50,0)*中国_中债国债到期收益率_1年!H304*100/365</f>
        <v>0</v>
      </c>
      <c r="Y304">
        <f>SUM($X$148:X304)</f>
        <v>2654.2549315068459</v>
      </c>
      <c r="AA304">
        <v>50</v>
      </c>
      <c r="AB304">
        <f>Z304*Return!F308*100</f>
        <v>0</v>
      </c>
      <c r="AC304">
        <f>AA304*Return!G308*100</f>
        <v>-54.499999999999545</v>
      </c>
      <c r="AD304">
        <f>SUM($AB$148:AB304)+SUM($AC$148:AC304)</f>
        <v>1533.6999999999985</v>
      </c>
      <c r="AE304">
        <f t="shared" si="59"/>
        <v>17526.938356164381</v>
      </c>
      <c r="AF304">
        <f t="shared" si="60"/>
        <v>1.0350538767123287</v>
      </c>
      <c r="AG304" s="4">
        <f>(AF304/AF303-1)-中国_中债国债到期收益率_1年!H304%/252</f>
        <v>-9.9292754064659588E-5</v>
      </c>
      <c r="AH304" s="4">
        <f>MIN((AF304-MAX($AF$151:AF304))/MAX($AF$151:AF304),0)</f>
        <v>-1.7382506682960783E-4</v>
      </c>
    </row>
    <row r="305" spans="1:34" x14ac:dyDescent="0.25">
      <c r="A305" s="6">
        <v>45153</v>
      </c>
      <c r="B305">
        <v>20</v>
      </c>
      <c r="C305">
        <v>30</v>
      </c>
      <c r="D305">
        <v>-10</v>
      </c>
      <c r="F305">
        <f t="shared" si="57"/>
        <v>40</v>
      </c>
      <c r="G305">
        <f t="shared" si="61"/>
        <v>20</v>
      </c>
      <c r="H305">
        <f t="shared" si="62"/>
        <v>150</v>
      </c>
      <c r="I305">
        <f t="shared" si="63"/>
        <v>-90</v>
      </c>
      <c r="J305">
        <f t="shared" si="64"/>
        <v>0</v>
      </c>
      <c r="K305">
        <f t="shared" si="58"/>
        <v>80</v>
      </c>
      <c r="L305">
        <f>G305*Return!B305*100</f>
        <v>29.799999999999827</v>
      </c>
      <c r="M305">
        <f>H305*Return!C305*100</f>
        <v>252.00000000000554</v>
      </c>
      <c r="N305">
        <f>I305*Return!D305*100</f>
        <v>-152.10000000000124</v>
      </c>
      <c r="O305">
        <f>J305*Return!E305*100</f>
        <v>0</v>
      </c>
      <c r="P305">
        <f t="shared" si="65"/>
        <v>129.70000000000411</v>
      </c>
      <c r="Q305">
        <f>SUM($P$148:P305)</f>
        <v>10997.100000000002</v>
      </c>
      <c r="R305">
        <f>B305*中国_中债国债到期收益率_1年!B304/365*100</f>
        <v>9.9484931506849321</v>
      </c>
      <c r="S305">
        <f>C305*中国_中债国债到期收益率_1年!C304/365*100</f>
        <v>19.765479452054795</v>
      </c>
      <c r="T305">
        <f>D305*中国_中债国债到期收益率_1年!D304/365*100</f>
        <v>-7.181369863013698</v>
      </c>
      <c r="U305">
        <f>E305*中国_中债国债到期收益率_1年!E304/365*100</f>
        <v>0</v>
      </c>
      <c r="V305">
        <f t="shared" si="66"/>
        <v>22.53260273972603</v>
      </c>
      <c r="W305">
        <f>SUM($V$148:V305)</f>
        <v>7802.6258904109591</v>
      </c>
      <c r="X305">
        <f>MAX(F305-50,0)*中国_中债国债到期收益率_1年!H305*100/365</f>
        <v>0</v>
      </c>
      <c r="Y305">
        <f>SUM($X$148:X305)</f>
        <v>2654.2549315068459</v>
      </c>
      <c r="AA305">
        <v>50</v>
      </c>
      <c r="AB305">
        <f>Z305*Return!F309*100</f>
        <v>0</v>
      </c>
      <c r="AC305">
        <f>AA305*Return!G309*100</f>
        <v>85.500000000000568</v>
      </c>
      <c r="AD305">
        <f>SUM($AB$148:AB305)+SUM($AC$148:AC305)</f>
        <v>1619.1999999999989</v>
      </c>
      <c r="AE305">
        <f t="shared" si="59"/>
        <v>17764.670958904113</v>
      </c>
      <c r="AF305">
        <f t="shared" si="60"/>
        <v>1.0355293419178082</v>
      </c>
      <c r="AG305" s="4">
        <f>(AF305/AF304-1)-中国_中债国债到期收益率_1年!H305%/252</f>
        <v>3.8277545833944975E-4</v>
      </c>
      <c r="AH305" s="4">
        <f>MIN((AF305-MAX($AF$151:AF305))/MAX($AF$151:AF305),0)</f>
        <v>0</v>
      </c>
    </row>
    <row r="306" spans="1:34" x14ac:dyDescent="0.25">
      <c r="A306" s="6">
        <v>45154</v>
      </c>
      <c r="B306">
        <v>20</v>
      </c>
      <c r="C306">
        <v>30</v>
      </c>
      <c r="D306">
        <v>-10</v>
      </c>
      <c r="F306">
        <f t="shared" si="57"/>
        <v>40</v>
      </c>
      <c r="G306">
        <f t="shared" si="61"/>
        <v>20</v>
      </c>
      <c r="H306">
        <f t="shared" si="62"/>
        <v>150</v>
      </c>
      <c r="I306">
        <f t="shared" si="63"/>
        <v>-90</v>
      </c>
      <c r="J306">
        <f t="shared" si="64"/>
        <v>0</v>
      </c>
      <c r="K306">
        <f t="shared" si="58"/>
        <v>80</v>
      </c>
      <c r="L306">
        <f>G306*Return!B306*100</f>
        <v>-17.799999999999816</v>
      </c>
      <c r="M306">
        <f>H306*Return!C306*100</f>
        <v>413.99999999999437</v>
      </c>
      <c r="N306">
        <f>I306*Return!D306*100</f>
        <v>-407.70000000000107</v>
      </c>
      <c r="O306">
        <f>J306*Return!E306*100</f>
        <v>0</v>
      </c>
      <c r="P306">
        <f t="shared" si="65"/>
        <v>-11.500000000006537</v>
      </c>
      <c r="Q306">
        <f>SUM($P$148:P306)</f>
        <v>10985.599999999995</v>
      </c>
      <c r="R306">
        <f>B306*中国_中债国债到期收益率_1年!B305/365*100</f>
        <v>9.9972602739726035</v>
      </c>
      <c r="S306">
        <f>C306*中国_中债国债到期收益率_1年!C305/365*100</f>
        <v>19.538630136986303</v>
      </c>
      <c r="T306">
        <f>D306*中国_中债国债到期收益率_1年!D305/365*100</f>
        <v>-7.0572602739726031</v>
      </c>
      <c r="U306">
        <f>E306*中国_中债国债到期收益率_1年!E305/365*100</f>
        <v>0</v>
      </c>
      <c r="V306">
        <f t="shared" si="66"/>
        <v>22.478630136986304</v>
      </c>
      <c r="W306">
        <f>SUM($V$148:V306)</f>
        <v>7825.104520547945</v>
      </c>
      <c r="X306">
        <f>MAX(F306-50,0)*中国_中债国债到期收益率_1年!H306*100/365</f>
        <v>0</v>
      </c>
      <c r="Y306">
        <f>SUM($X$148:X306)</f>
        <v>2654.2549315068459</v>
      </c>
      <c r="AA306">
        <v>50</v>
      </c>
      <c r="AB306">
        <f>Z306*Return!F310*100</f>
        <v>0</v>
      </c>
      <c r="AC306">
        <f>AA306*Return!G310*100</f>
        <v>163.99999999999972</v>
      </c>
      <c r="AD306">
        <f>SUM($AB$148:AB306)+SUM($AC$148:AC306)</f>
        <v>1783.1999999999985</v>
      </c>
      <c r="AE306">
        <f t="shared" si="59"/>
        <v>17939.649589041092</v>
      </c>
      <c r="AF306">
        <f t="shared" si="60"/>
        <v>1.0358792991780821</v>
      </c>
      <c r="AG306" s="4">
        <f>(AF306/AF305-1)-中国_中债国债到期收益率_1年!H306%/252</f>
        <v>2.6255328968714824E-4</v>
      </c>
      <c r="AH306" s="4">
        <f>MIN((AF306-MAX($AF$151:AF306))/MAX($AF$151:AF306),0)</f>
        <v>0</v>
      </c>
    </row>
    <row r="307" spans="1:34" x14ac:dyDescent="0.25">
      <c r="A307" s="6">
        <v>45155</v>
      </c>
      <c r="B307">
        <v>20</v>
      </c>
      <c r="C307">
        <v>30</v>
      </c>
      <c r="D307">
        <v>-10</v>
      </c>
      <c r="F307">
        <f t="shared" si="57"/>
        <v>40</v>
      </c>
      <c r="G307">
        <f t="shared" si="61"/>
        <v>20</v>
      </c>
      <c r="H307">
        <f t="shared" si="62"/>
        <v>150</v>
      </c>
      <c r="I307">
        <f t="shared" si="63"/>
        <v>-90</v>
      </c>
      <c r="J307">
        <f t="shared" si="64"/>
        <v>0</v>
      </c>
      <c r="K307">
        <f t="shared" si="58"/>
        <v>80</v>
      </c>
      <c r="L307">
        <f>G307*Return!B307*100</f>
        <v>-25.999999999999801</v>
      </c>
      <c r="M307">
        <f>H307*Return!C307*100</f>
        <v>182.99999999999983</v>
      </c>
      <c r="N307">
        <f>I307*Return!D307*100</f>
        <v>-98.999999999997087</v>
      </c>
      <c r="O307">
        <f>J307*Return!E307*100</f>
        <v>0</v>
      </c>
      <c r="P307">
        <f t="shared" si="65"/>
        <v>58.000000000002942</v>
      </c>
      <c r="Q307">
        <f>SUM($P$148:P307)</f>
        <v>11043.599999999999</v>
      </c>
      <c r="R307">
        <f>B307*中国_中债国债到期收益率_1年!B306/365*100</f>
        <v>10.068493150684931</v>
      </c>
      <c r="S307">
        <f>C307*中国_中债国债到期收益率_1年!C306/365*100</f>
        <v>19.438356164383563</v>
      </c>
      <c r="T307">
        <f>D307*中国_中债国债到期收益率_1年!D306/365*100</f>
        <v>-7.0271232876712331</v>
      </c>
      <c r="U307">
        <f>E307*中国_中债国债到期收益率_1年!E306/365*100</f>
        <v>0</v>
      </c>
      <c r="V307">
        <f t="shared" si="66"/>
        <v>22.479726027397259</v>
      </c>
      <c r="W307">
        <f>SUM($V$148:V307)</f>
        <v>7847.5842465753421</v>
      </c>
      <c r="X307">
        <f>MAX(F307-50,0)*中国_中债国债到期收益率_1年!H307*100/365</f>
        <v>0</v>
      </c>
      <c r="Y307">
        <f>SUM($X$148:X307)</f>
        <v>2654.2549315068459</v>
      </c>
      <c r="AA307">
        <v>50</v>
      </c>
      <c r="AB307">
        <f>Z307*Return!F311*100</f>
        <v>0</v>
      </c>
      <c r="AC307">
        <f>AA307*Return!G311*100</f>
        <v>-80.000000000000071</v>
      </c>
      <c r="AD307">
        <f>SUM($AB$148:AB307)+SUM($AC$148:AC307)</f>
        <v>1703.1999999999985</v>
      </c>
      <c r="AE307">
        <f t="shared" si="59"/>
        <v>17940.129315068491</v>
      </c>
      <c r="AF307">
        <f t="shared" si="60"/>
        <v>1.035880258630137</v>
      </c>
      <c r="AG307" s="4">
        <f>(AF307/AF306-1)-中国_中债国债到期收益率_1年!H307%/252</f>
        <v>-7.6454732448201493E-5</v>
      </c>
      <c r="AH307" s="4">
        <f>MIN((AF307-MAX($AF$151:AF307))/MAX($AF$151:AF307),0)</f>
        <v>0</v>
      </c>
    </row>
    <row r="308" spans="1:34" x14ac:dyDescent="0.25">
      <c r="A308" s="6">
        <v>45156</v>
      </c>
      <c r="B308">
        <v>20</v>
      </c>
      <c r="C308">
        <v>30</v>
      </c>
      <c r="D308">
        <v>-10</v>
      </c>
      <c r="F308">
        <f t="shared" si="57"/>
        <v>40</v>
      </c>
      <c r="G308">
        <f t="shared" si="61"/>
        <v>20</v>
      </c>
      <c r="H308">
        <f t="shared" si="62"/>
        <v>150</v>
      </c>
      <c r="I308">
        <f t="shared" si="63"/>
        <v>-90</v>
      </c>
      <c r="J308">
        <f t="shared" si="64"/>
        <v>0</v>
      </c>
      <c r="K308">
        <f t="shared" si="58"/>
        <v>80</v>
      </c>
      <c r="L308">
        <f>G308*Return!B308*100</f>
        <v>-4.3999999999999595</v>
      </c>
      <c r="M308">
        <f>H308*Return!C308*100</f>
        <v>-79.499999999994571</v>
      </c>
      <c r="N308">
        <f>I308*Return!D308*100</f>
        <v>26.099999999999124</v>
      </c>
      <c r="O308">
        <f>J308*Return!E308*100</f>
        <v>0</v>
      </c>
      <c r="P308">
        <f t="shared" si="65"/>
        <v>-57.799999999995407</v>
      </c>
      <c r="Q308">
        <f>SUM($P$148:P308)</f>
        <v>10985.800000000003</v>
      </c>
      <c r="R308">
        <f>B308*中国_中债国债到期收益率_1年!B307/365*100</f>
        <v>10.080547945205479</v>
      </c>
      <c r="S308">
        <f>C308*中国_中债国债到期收益率_1年!C307/365*100</f>
        <v>19.481917808219176</v>
      </c>
      <c r="T308">
        <f>D308*中国_中债国债到期收益率_1年!D307/365*100</f>
        <v>-7.0350684931506855</v>
      </c>
      <c r="U308">
        <f>E308*中国_中债国债到期收益率_1年!E307/365*100</f>
        <v>0</v>
      </c>
      <c r="V308">
        <f t="shared" si="66"/>
        <v>22.527397260273968</v>
      </c>
      <c r="W308">
        <f>SUM($V$148:V308)</f>
        <v>7870.1116438356157</v>
      </c>
      <c r="X308">
        <f>MAX(F308-50,0)*中国_中债国债到期收益率_1年!H308*100/365</f>
        <v>0</v>
      </c>
      <c r="Y308">
        <f>SUM($X$148:X308)</f>
        <v>2654.2549315068459</v>
      </c>
      <c r="AA308">
        <v>50</v>
      </c>
      <c r="AB308">
        <f>Z308*Return!F312*100</f>
        <v>0</v>
      </c>
      <c r="AC308">
        <f>AA308*Return!G312*100</f>
        <v>-63.999999999999616</v>
      </c>
      <c r="AD308">
        <f>SUM($AB$148:AB308)+SUM($AC$148:AC308)</f>
        <v>1639.1999999999989</v>
      </c>
      <c r="AE308">
        <f t="shared" si="59"/>
        <v>17840.856712328772</v>
      </c>
      <c r="AF308">
        <f t="shared" si="60"/>
        <v>1.0356817134246576</v>
      </c>
      <c r="AG308" s="4">
        <f>(AF308/AF307-1)-中国_中债国债到期收益率_1年!H308%/252</f>
        <v>-2.6904905670597915E-4</v>
      </c>
      <c r="AH308" s="4">
        <f>MIN((AF308-MAX($AF$151:AF308))/MAX($AF$151:AF308),0)</f>
        <v>-1.9166810432502037E-4</v>
      </c>
    </row>
    <row r="309" spans="1:34" x14ac:dyDescent="0.25">
      <c r="A309" s="6">
        <v>45159</v>
      </c>
      <c r="B309">
        <v>20</v>
      </c>
      <c r="C309">
        <v>30</v>
      </c>
      <c r="D309">
        <v>-10</v>
      </c>
      <c r="F309">
        <f t="shared" si="57"/>
        <v>40</v>
      </c>
      <c r="G309">
        <f t="shared" si="61"/>
        <v>20</v>
      </c>
      <c r="H309">
        <f t="shared" si="62"/>
        <v>150</v>
      </c>
      <c r="I309">
        <f t="shared" si="63"/>
        <v>-90</v>
      </c>
      <c r="J309">
        <f t="shared" si="64"/>
        <v>0</v>
      </c>
      <c r="K309">
        <f t="shared" si="58"/>
        <v>80</v>
      </c>
      <c r="L309">
        <f>G309*Return!B309*100</f>
        <v>14.799999999999702</v>
      </c>
      <c r="M309">
        <f>H309*Return!C309*100</f>
        <v>68.999999999999062</v>
      </c>
      <c r="N309">
        <f>I309*Return!D309*100</f>
        <v>-35.100000000002126</v>
      </c>
      <c r="O309">
        <f>J309*Return!E309*100</f>
        <v>0</v>
      </c>
      <c r="P309">
        <f t="shared" si="65"/>
        <v>48.699999999996635</v>
      </c>
      <c r="Q309">
        <f>SUM($P$148:P309)</f>
        <v>11034.5</v>
      </c>
      <c r="R309">
        <f>B309*中国_中债国债到期收益率_1年!B308/365*100</f>
        <v>10.040000000000001</v>
      </c>
      <c r="S309">
        <f>C309*中国_中债国债到期收益率_1年!C308/365*100</f>
        <v>19.444109589041098</v>
      </c>
      <c r="T309">
        <f>D309*中国_中债国债到期收益率_1年!D308/365*100</f>
        <v>-7.0243835616438348</v>
      </c>
      <c r="U309">
        <f>E309*中国_中债国债到期收益率_1年!E308/365*100</f>
        <v>0</v>
      </c>
      <c r="V309">
        <f t="shared" si="66"/>
        <v>22.459726027397263</v>
      </c>
      <c r="W309">
        <f>SUM($V$148:V309)</f>
        <v>7892.5713698630134</v>
      </c>
      <c r="X309">
        <f>MAX(F309-50,0)*中国_中债国债到期收益率_1年!H309*100/365</f>
        <v>0</v>
      </c>
      <c r="Y309">
        <f>SUM($X$148:X309)</f>
        <v>2654.2549315068459</v>
      </c>
      <c r="AA309">
        <v>50</v>
      </c>
      <c r="AB309">
        <f>Z309*Return!F313*100</f>
        <v>0</v>
      </c>
      <c r="AC309">
        <f>AA309*Return!G313*100</f>
        <v>44.999999999999488</v>
      </c>
      <c r="AD309">
        <f>SUM($AB$148:AB309)+SUM($AC$148:AC309)</f>
        <v>1684.1999999999985</v>
      </c>
      <c r="AE309">
        <f t="shared" si="59"/>
        <v>17957.016438356164</v>
      </c>
      <c r="AF309">
        <f t="shared" si="60"/>
        <v>1.0359140328767122</v>
      </c>
      <c r="AG309" s="4">
        <f>(AF309/AF308-1)-中国_中债国债到期收益率_1年!H309%/252</f>
        <v>1.4693453860749469E-4</v>
      </c>
      <c r="AH309" s="4">
        <f>MIN((AF309-MAX($AF$151:AF309))/MAX($AF$151:AF309),0)</f>
        <v>0</v>
      </c>
    </row>
    <row r="310" spans="1:34" x14ac:dyDescent="0.25">
      <c r="A310" s="6">
        <v>45160</v>
      </c>
      <c r="B310">
        <v>20</v>
      </c>
      <c r="C310">
        <v>30</v>
      </c>
      <c r="D310">
        <v>-10</v>
      </c>
      <c r="F310">
        <f t="shared" si="57"/>
        <v>40</v>
      </c>
      <c r="G310">
        <f t="shared" si="61"/>
        <v>20</v>
      </c>
      <c r="H310">
        <f t="shared" si="62"/>
        <v>150</v>
      </c>
      <c r="I310">
        <f t="shared" si="63"/>
        <v>-90</v>
      </c>
      <c r="J310">
        <f t="shared" si="64"/>
        <v>0</v>
      </c>
      <c r="K310">
        <f t="shared" si="58"/>
        <v>80</v>
      </c>
      <c r="L310">
        <f>G310*Return!B310*100</f>
        <v>-76.40000000000002</v>
      </c>
      <c r="M310">
        <f>H310*Return!C310*100</f>
        <v>301.49999999999676</v>
      </c>
      <c r="N310">
        <f>I310*Return!D310*100</f>
        <v>-212.4000000000006</v>
      </c>
      <c r="O310">
        <f>J310*Return!E310*100</f>
        <v>0</v>
      </c>
      <c r="P310">
        <f t="shared" si="65"/>
        <v>12.699999999996123</v>
      </c>
      <c r="Q310">
        <f>SUM($P$148:P310)</f>
        <v>11047.199999999995</v>
      </c>
      <c r="R310">
        <f>B310*中国_中债国债到期收益率_1年!B309/365*100</f>
        <v>10.249315068493152</v>
      </c>
      <c r="S310">
        <f>C310*中国_中债国债到期收益率_1年!C309/365*100</f>
        <v>19.278904109589043</v>
      </c>
      <c r="T310">
        <f>D310*中国_中债国债到期收益率_1年!D309/365*100</f>
        <v>-6.9597260273972603</v>
      </c>
      <c r="U310">
        <f>E310*中国_中债国债到期收益率_1年!E309/365*100</f>
        <v>0</v>
      </c>
      <c r="V310">
        <f t="shared" si="66"/>
        <v>22.568493150684937</v>
      </c>
      <c r="W310">
        <f>SUM($V$148:V310)</f>
        <v>7915.1398630136982</v>
      </c>
      <c r="X310">
        <f>MAX(F310-50,0)*中国_中债国债到期收益率_1年!H310*100/365</f>
        <v>0</v>
      </c>
      <c r="Y310">
        <f>SUM($X$148:X310)</f>
        <v>2654.2549315068459</v>
      </c>
      <c r="AA310">
        <v>50</v>
      </c>
      <c r="AB310">
        <f>Z310*Return!F314*100</f>
        <v>0</v>
      </c>
      <c r="AC310">
        <f>AA310*Return!G314*100</f>
        <v>-86.500000000000469</v>
      </c>
      <c r="AD310">
        <f>SUM($AB$148:AB310)+SUM($AC$148:AC310)</f>
        <v>1597.699999999998</v>
      </c>
      <c r="AE310">
        <f t="shared" si="59"/>
        <v>17905.784931506845</v>
      </c>
      <c r="AF310">
        <f t="shared" si="60"/>
        <v>1.0358115698630137</v>
      </c>
      <c r="AG310" s="4">
        <f>(AF310/AF309-1)-中国_中债国债到期收益率_1年!H310%/252</f>
        <v>-1.7629168285347577E-4</v>
      </c>
      <c r="AH310" s="4">
        <f>MIN((AF310-MAX($AF$151:AF310))/MAX($AF$151:AF310),0)</f>
        <v>-9.8910730472490723E-5</v>
      </c>
    </row>
    <row r="311" spans="1:34" x14ac:dyDescent="0.25">
      <c r="A311" s="6">
        <v>45161</v>
      </c>
      <c r="B311">
        <v>20</v>
      </c>
      <c r="C311">
        <v>30</v>
      </c>
      <c r="D311">
        <v>-10</v>
      </c>
      <c r="F311">
        <f t="shared" si="57"/>
        <v>40</v>
      </c>
      <c r="G311">
        <f t="shared" si="61"/>
        <v>20</v>
      </c>
      <c r="H311">
        <f t="shared" si="62"/>
        <v>150</v>
      </c>
      <c r="I311">
        <f t="shared" si="63"/>
        <v>-90</v>
      </c>
      <c r="J311">
        <f t="shared" si="64"/>
        <v>0</v>
      </c>
      <c r="K311">
        <f t="shared" si="58"/>
        <v>80</v>
      </c>
      <c r="L311">
        <f>G311*Return!B311*100</f>
        <v>-56.999999999999943</v>
      </c>
      <c r="M311">
        <f>H311*Return!C311*100</f>
        <v>-269.99999999999693</v>
      </c>
      <c r="N311">
        <f>I311*Return!D311*100</f>
        <v>144.90000000000202</v>
      </c>
      <c r="O311">
        <f>J311*Return!E311*100</f>
        <v>0</v>
      </c>
      <c r="P311">
        <f t="shared" si="65"/>
        <v>-182.09999999999485</v>
      </c>
      <c r="Q311">
        <f>SUM($P$148:P311)</f>
        <v>10865.1</v>
      </c>
      <c r="R311">
        <f>B311*中国_中债国债到期收益率_1年!B310/365*100</f>
        <v>10.405479452054795</v>
      </c>
      <c r="S311">
        <f>C311*中国_中债国债到期收益率_1年!C310/365*100</f>
        <v>19.426849315068491</v>
      </c>
      <c r="T311">
        <f>D311*中国_中债国债到期收益率_1年!D310/365*100</f>
        <v>-7.0038356164383559</v>
      </c>
      <c r="U311">
        <f>E311*中国_中债国债到期收益率_1年!E310/365*100</f>
        <v>0</v>
      </c>
      <c r="V311">
        <f t="shared" si="66"/>
        <v>22.828493150684931</v>
      </c>
      <c r="W311">
        <f>SUM($V$148:V311)</f>
        <v>7937.9683561643833</v>
      </c>
      <c r="X311">
        <f>MAX(F311-50,0)*中国_中债国债到期收益率_1年!H311*100/365</f>
        <v>0</v>
      </c>
      <c r="Y311">
        <f>SUM($X$148:X311)</f>
        <v>2654.2549315068459</v>
      </c>
      <c r="AA311">
        <v>20</v>
      </c>
      <c r="AB311">
        <f>Z311*Return!F315*100</f>
        <v>0</v>
      </c>
      <c r="AC311">
        <f>AA311*Return!G315*100</f>
        <v>-76.799999999999528</v>
      </c>
      <c r="AD311">
        <f>SUM($AB$148:AB311)+SUM($AC$148:AC311)</f>
        <v>1520.8999999999987</v>
      </c>
      <c r="AE311">
        <f t="shared" si="59"/>
        <v>17669.713424657533</v>
      </c>
      <c r="AF311">
        <f t="shared" si="60"/>
        <v>1.035339426849315</v>
      </c>
      <c r="AG311" s="4">
        <f>(AF311/AF310-1)-中国_中债国债到期收益率_1年!H311%/252</f>
        <v>-5.3240670681095799E-4</v>
      </c>
      <c r="AH311" s="4">
        <f>MIN((AF311-MAX($AF$151:AF311))/MAX($AF$151:AF311),0)</f>
        <v>-5.5468505026576331E-4</v>
      </c>
    </row>
    <row r="312" spans="1:34" x14ac:dyDescent="0.25">
      <c r="A312" s="6">
        <v>45162</v>
      </c>
      <c r="B312">
        <v>20</v>
      </c>
      <c r="C312">
        <v>30</v>
      </c>
      <c r="D312">
        <v>-10</v>
      </c>
      <c r="F312">
        <f t="shared" si="57"/>
        <v>40</v>
      </c>
      <c r="G312">
        <f t="shared" si="61"/>
        <v>20</v>
      </c>
      <c r="H312">
        <f t="shared" si="62"/>
        <v>150</v>
      </c>
      <c r="I312">
        <f t="shared" si="63"/>
        <v>-90</v>
      </c>
      <c r="J312">
        <f t="shared" si="64"/>
        <v>0</v>
      </c>
      <c r="K312">
        <f t="shared" si="58"/>
        <v>80</v>
      </c>
      <c r="L312">
        <f>G312*Return!B312*100</f>
        <v>5.1999999999998714</v>
      </c>
      <c r="M312">
        <f>H312*Return!C312*100</f>
        <v>-43.499999999998536</v>
      </c>
      <c r="N312">
        <f>I312*Return!D312*100</f>
        <v>-26.099999999999124</v>
      </c>
      <c r="O312">
        <f>J312*Return!E312*100</f>
        <v>0</v>
      </c>
      <c r="P312">
        <f t="shared" si="65"/>
        <v>-64.399999999997789</v>
      </c>
      <c r="Q312">
        <f>SUM($P$148:P312)</f>
        <v>10800.700000000003</v>
      </c>
      <c r="R312">
        <f>B312*中国_中债国债到期收益率_1年!B311/365*100</f>
        <v>10.39123287671233</v>
      </c>
      <c r="S312">
        <f>C312*中国_中债国债到期收益率_1年!C311/365*100</f>
        <v>19.450684931506846</v>
      </c>
      <c r="T312">
        <f>D312*中国_中债国债到期收益率_1年!D311/365*100</f>
        <v>-6.9958904109589035</v>
      </c>
      <c r="U312">
        <f>E312*中国_中债国债到期收益率_1年!E311/365*100</f>
        <v>0</v>
      </c>
      <c r="V312">
        <f t="shared" si="66"/>
        <v>22.846027397260272</v>
      </c>
      <c r="W312">
        <f>SUM($V$148:V312)</f>
        <v>7960.8143835616438</v>
      </c>
      <c r="X312">
        <f>MAX(F312-50,0)*中国_中债国债到期收益率_1年!H312*100/365</f>
        <v>0</v>
      </c>
      <c r="Y312">
        <f>SUM($X$148:X312)</f>
        <v>2654.2549315068459</v>
      </c>
      <c r="AA312">
        <v>20</v>
      </c>
      <c r="AB312">
        <f>Z312*Return!F316*100</f>
        <v>0</v>
      </c>
      <c r="AC312">
        <f>AA312*Return!G316*100</f>
        <v>5.7999999999998053</v>
      </c>
      <c r="AD312">
        <f>SUM($AB$148:AB312)+SUM($AC$148:AC312)</f>
        <v>1526.6999999999985</v>
      </c>
      <c r="AE312">
        <f t="shared" si="59"/>
        <v>17633.959452054798</v>
      </c>
      <c r="AF312">
        <f t="shared" si="60"/>
        <v>1.0352679189041096</v>
      </c>
      <c r="AG312" s="4">
        <f>(AF312/AF311-1)-中国_中债国债到期收益率_1年!H312%/252</f>
        <v>-1.4247985006458989E-4</v>
      </c>
      <c r="AH312" s="4">
        <f>MIN((AF312-MAX($AF$151:AF312))/MAX($AF$151:AF312),0)</f>
        <v>-6.2371389140116959E-4</v>
      </c>
    </row>
    <row r="313" spans="1:34" x14ac:dyDescent="0.25">
      <c r="A313" s="6">
        <v>45163</v>
      </c>
      <c r="B313">
        <v>20</v>
      </c>
      <c r="C313">
        <v>30</v>
      </c>
      <c r="D313">
        <v>-10</v>
      </c>
      <c r="F313">
        <f t="shared" si="57"/>
        <v>40</v>
      </c>
      <c r="G313">
        <f t="shared" si="61"/>
        <v>20</v>
      </c>
      <c r="H313">
        <f t="shared" si="62"/>
        <v>150</v>
      </c>
      <c r="I313">
        <f t="shared" si="63"/>
        <v>-90</v>
      </c>
      <c r="J313">
        <f t="shared" si="64"/>
        <v>0</v>
      </c>
      <c r="K313">
        <f t="shared" si="58"/>
        <v>80</v>
      </c>
      <c r="L313">
        <f>G313*Return!B313*100</f>
        <v>38.400000000000212</v>
      </c>
      <c r="M313">
        <f>H313*Return!C313*100</f>
        <v>17.999999999998018</v>
      </c>
      <c r="N313">
        <f>I313*Return!D313*100</f>
        <v>7.199999999999207</v>
      </c>
      <c r="O313">
        <f>J313*Return!E313*100</f>
        <v>0</v>
      </c>
      <c r="P313">
        <f t="shared" si="65"/>
        <v>63.599999999997436</v>
      </c>
      <c r="Q313">
        <f>SUM($P$148:P313)</f>
        <v>10864.3</v>
      </c>
      <c r="R313">
        <f>B313*中国_中债国债到期收益率_1年!B312/365*100</f>
        <v>10.286027397260273</v>
      </c>
      <c r="S313">
        <f>C313*中国_中债国债到期收益率_1年!C312/365*100</f>
        <v>19.440821917808222</v>
      </c>
      <c r="T313">
        <f>D313*中国_中债国债到期收益率_1年!D312/365*100</f>
        <v>-6.9980821917808216</v>
      </c>
      <c r="U313">
        <f>E313*中国_中债国债到期收益率_1年!E312/365*100</f>
        <v>0</v>
      </c>
      <c r="V313">
        <f t="shared" si="66"/>
        <v>22.728767123287675</v>
      </c>
      <c r="W313">
        <f>SUM($V$148:V313)</f>
        <v>7983.5431506849318</v>
      </c>
      <c r="X313">
        <f>MAX(F313-50,0)*中国_中债国债到期收益率_1年!H313*100/365</f>
        <v>0</v>
      </c>
      <c r="Y313">
        <f>SUM($X$148:X313)</f>
        <v>2654.2549315068459</v>
      </c>
      <c r="AA313">
        <v>20</v>
      </c>
      <c r="AB313">
        <f>Z313*Return!F317*100</f>
        <v>0</v>
      </c>
      <c r="AC313">
        <f>AA313*Return!G317*100</f>
        <v>22.800000000000153</v>
      </c>
      <c r="AD313">
        <f>SUM($AB$148:AB313)+SUM($AC$148:AC313)</f>
        <v>1549.4999999999986</v>
      </c>
      <c r="AE313">
        <f t="shared" si="59"/>
        <v>17743.088219178084</v>
      </c>
      <c r="AF313">
        <f t="shared" si="60"/>
        <v>1.0354861764383561</v>
      </c>
      <c r="AG313" s="4">
        <f>(AF313/AF312-1)-中国_中债国债到期收益率_1年!H313%/252</f>
        <v>1.2550481115549431E-4</v>
      </c>
      <c r="AH313" s="4">
        <f>MIN((AF313-MAX($AF$151:AF313))/MAX($AF$151:AF313),0)</f>
        <v>-4.1302311270756734E-4</v>
      </c>
    </row>
    <row r="314" spans="1:34" x14ac:dyDescent="0.25">
      <c r="A314" s="6">
        <v>45166</v>
      </c>
      <c r="B314">
        <v>20</v>
      </c>
      <c r="C314">
        <v>20</v>
      </c>
      <c r="D314">
        <v>-10</v>
      </c>
      <c r="F314">
        <f t="shared" si="57"/>
        <v>30</v>
      </c>
      <c r="G314">
        <f t="shared" si="61"/>
        <v>20</v>
      </c>
      <c r="H314">
        <f t="shared" si="62"/>
        <v>100</v>
      </c>
      <c r="I314">
        <f t="shared" si="63"/>
        <v>-90</v>
      </c>
      <c r="J314">
        <f t="shared" si="64"/>
        <v>0</v>
      </c>
      <c r="K314">
        <f t="shared" si="58"/>
        <v>30</v>
      </c>
      <c r="L314">
        <f>G314*Return!B314*100</f>
        <v>-35.800000000000054</v>
      </c>
      <c r="M314">
        <f>H314*Return!C314*100</f>
        <v>-224.00000000000199</v>
      </c>
      <c r="N314">
        <f>I314*Return!D314*100</f>
        <v>143.09999999999823</v>
      </c>
      <c r="O314">
        <f>J314*Return!E314*100</f>
        <v>0</v>
      </c>
      <c r="P314">
        <f t="shared" si="65"/>
        <v>-116.70000000000383</v>
      </c>
      <c r="Q314">
        <f>SUM($P$148:P314)</f>
        <v>10747.599999999995</v>
      </c>
      <c r="R314">
        <f>B314*中国_中债国债到期收益率_1年!B313/365*100</f>
        <v>10.384109589041095</v>
      </c>
      <c r="S314">
        <f>C314*中国_中债国债到期收益率_1年!C313/365*100</f>
        <v>13.083287671232879</v>
      </c>
      <c r="T314">
        <f>D314*中国_中债国债到期收益率_1年!D313/365*100</f>
        <v>-7.041643835616437</v>
      </c>
      <c r="U314">
        <f>E314*中国_中债国债到期收益率_1年!E313/365*100</f>
        <v>0</v>
      </c>
      <c r="V314">
        <f t="shared" si="66"/>
        <v>16.42575342465754</v>
      </c>
      <c r="W314">
        <f>SUM($V$148:V314)</f>
        <v>7999.9689041095889</v>
      </c>
      <c r="X314">
        <f>MAX(F314-50,0)*中国_中债国债到期收益率_1年!H314*100/365</f>
        <v>0</v>
      </c>
      <c r="Y314">
        <f>SUM($X$148:X314)</f>
        <v>2654.2549315068459</v>
      </c>
      <c r="AA314">
        <v>20</v>
      </c>
      <c r="AB314">
        <f>Z314*Return!F318*100</f>
        <v>0</v>
      </c>
      <c r="AC314">
        <f>AA314*Return!G318*100</f>
        <v>9.400000000000297</v>
      </c>
      <c r="AD314">
        <f>SUM($AB$148:AB314)+SUM($AC$148:AC314)</f>
        <v>1558.8999999999987</v>
      </c>
      <c r="AE314">
        <f t="shared" si="59"/>
        <v>17652.213972602734</v>
      </c>
      <c r="AF314">
        <f t="shared" si="60"/>
        <v>1.0353044279452055</v>
      </c>
      <c r="AG314" s="4">
        <f>(AF314/AF313-1)-中国_中债国债到期收益率_1年!H314%/252</f>
        <v>-2.6282154815288761E-4</v>
      </c>
      <c r="AH314" s="4">
        <f>MIN((AF314-MAX($AF$151:AF314))/MAX($AF$151:AF314),0)</f>
        <v>-5.8847057975832794E-4</v>
      </c>
    </row>
    <row r="315" spans="1:34" x14ac:dyDescent="0.25">
      <c r="A315" s="6">
        <v>45167</v>
      </c>
      <c r="B315">
        <v>20</v>
      </c>
      <c r="C315">
        <v>20</v>
      </c>
      <c r="D315">
        <v>-10</v>
      </c>
      <c r="F315">
        <f t="shared" si="57"/>
        <v>30</v>
      </c>
      <c r="G315">
        <f t="shared" si="61"/>
        <v>20</v>
      </c>
      <c r="H315">
        <f t="shared" si="62"/>
        <v>100</v>
      </c>
      <c r="I315">
        <f t="shared" si="63"/>
        <v>-90</v>
      </c>
      <c r="J315">
        <f t="shared" si="64"/>
        <v>0</v>
      </c>
      <c r="K315">
        <f t="shared" si="58"/>
        <v>30</v>
      </c>
      <c r="L315">
        <f>G315*Return!B315*100</f>
        <v>-58.800000000000182</v>
      </c>
      <c r="M315">
        <f>H315*Return!C315*100</f>
        <v>-198.0000000000004</v>
      </c>
      <c r="N315">
        <f>I315*Return!D315*100</f>
        <v>121.50000000000061</v>
      </c>
      <c r="O315">
        <f>J315*Return!E315*100</f>
        <v>0</v>
      </c>
      <c r="P315">
        <f t="shared" si="65"/>
        <v>-135.29999999999995</v>
      </c>
      <c r="Q315">
        <f>SUM($P$148:P315)</f>
        <v>10612.299999999996</v>
      </c>
      <c r="R315">
        <f>B315*中国_中债国债到期收益率_1年!B314/365*100</f>
        <v>10.545205479452054</v>
      </c>
      <c r="S315">
        <f>C315*中国_中债国债到期收益率_1年!C314/365*100</f>
        <v>13.19178082191781</v>
      </c>
      <c r="T315">
        <f>D315*中国_中债国债到期收益率_1年!D314/365*100</f>
        <v>-7.0786301369863009</v>
      </c>
      <c r="U315">
        <f>E315*中国_中债国债到期收益率_1年!E314/365*100</f>
        <v>0</v>
      </c>
      <c r="V315">
        <f t="shared" si="66"/>
        <v>16.658356164383562</v>
      </c>
      <c r="W315">
        <f>SUM($V$148:V315)</f>
        <v>8016.6272602739728</v>
      </c>
      <c r="X315">
        <f>MAX(F315-50,0)*中国_中债国债到期收益率_1年!H315*100/365</f>
        <v>0</v>
      </c>
      <c r="Y315">
        <f>SUM($X$148:X315)</f>
        <v>2654.2549315068459</v>
      </c>
      <c r="AA315">
        <v>20</v>
      </c>
      <c r="AB315">
        <f>Z315*Return!F319*100</f>
        <v>0</v>
      </c>
      <c r="AC315">
        <f>AA315*Return!G319*100</f>
        <v>-81.199999999999932</v>
      </c>
      <c r="AD315">
        <f>SUM($AB$148:AB315)+SUM($AC$148:AC315)</f>
        <v>1477.6999999999989</v>
      </c>
      <c r="AE315">
        <f t="shared" si="59"/>
        <v>17452.372328767124</v>
      </c>
      <c r="AF315">
        <f t="shared" si="60"/>
        <v>1.0349047446575343</v>
      </c>
      <c r="AG315" s="4">
        <f>(AF315/AF314-1)-中国_中债国债到期收益率_1年!H315%/252</f>
        <v>-4.7533959069426843E-4</v>
      </c>
      <c r="AH315" s="4">
        <f>MIN((AF315-MAX($AF$151:AF315))/MAX($AF$151:AF315),0)</f>
        <v>-9.7429727481837677E-4</v>
      </c>
    </row>
    <row r="316" spans="1:34" x14ac:dyDescent="0.25">
      <c r="A316" s="6">
        <v>45168</v>
      </c>
      <c r="B316">
        <v>20</v>
      </c>
      <c r="C316">
        <v>20</v>
      </c>
      <c r="D316">
        <v>-10</v>
      </c>
      <c r="F316">
        <f t="shared" si="57"/>
        <v>30</v>
      </c>
      <c r="G316">
        <f t="shared" si="61"/>
        <v>20</v>
      </c>
      <c r="H316">
        <f t="shared" si="62"/>
        <v>100</v>
      </c>
      <c r="I316">
        <f t="shared" si="63"/>
        <v>-90</v>
      </c>
      <c r="J316">
        <f t="shared" si="64"/>
        <v>0</v>
      </c>
      <c r="K316">
        <f t="shared" si="58"/>
        <v>30</v>
      </c>
      <c r="L316">
        <f>G316*Return!B316*100</f>
        <v>-131.39999999999975</v>
      </c>
      <c r="M316">
        <f>H316*Return!C316*100</f>
        <v>-127.99999999999923</v>
      </c>
      <c r="N316">
        <f>I316*Return!D316*100</f>
        <v>-123.30000000000041</v>
      </c>
      <c r="O316">
        <f>J316*Return!E316*100</f>
        <v>0</v>
      </c>
      <c r="P316">
        <f t="shared" si="65"/>
        <v>-382.69999999999936</v>
      </c>
      <c r="Q316">
        <f>SUM($P$148:P316)</f>
        <v>10229.599999999997</v>
      </c>
      <c r="R316">
        <f>B316*中国_中债国债到期收益率_1年!B315/365*100</f>
        <v>10.905205479452055</v>
      </c>
      <c r="S316">
        <f>C316*中国_中债国债到期收益率_1年!C315/365*100</f>
        <v>13.261917808219179</v>
      </c>
      <c r="T316">
        <f>D316*中国_中债国债到期收益率_1年!D315/365*100</f>
        <v>-7.0410958904109586</v>
      </c>
      <c r="U316">
        <f>E316*中国_中债国债到期收益率_1年!E315/365*100</f>
        <v>0</v>
      </c>
      <c r="V316">
        <f t="shared" si="66"/>
        <v>17.126027397260277</v>
      </c>
      <c r="W316">
        <f>SUM($V$148:V316)</f>
        <v>8033.753287671233</v>
      </c>
      <c r="X316">
        <f>MAX(F316-50,0)*中国_中债国债到期收益率_1年!H316*100/365</f>
        <v>0</v>
      </c>
      <c r="Y316">
        <f>SUM($X$148:X316)</f>
        <v>2654.2549315068459</v>
      </c>
      <c r="AA316">
        <v>20</v>
      </c>
      <c r="AB316">
        <f>Z316*Return!F320*100</f>
        <v>0</v>
      </c>
      <c r="AC316">
        <f>AA316*Return!G320*100</f>
        <v>-90.200000000000273</v>
      </c>
      <c r="AD316">
        <f>SUM($AB$148:AB316)+SUM($AC$148:AC316)</f>
        <v>1387.4999999999986</v>
      </c>
      <c r="AE316">
        <f t="shared" si="59"/>
        <v>16996.598356164384</v>
      </c>
      <c r="AF316">
        <f t="shared" si="60"/>
        <v>1.0339931967123288</v>
      </c>
      <c r="AG316" s="4">
        <f>(AF316/AF315-1)-中国_中债国债到期收益率_1年!H316%/252</f>
        <v>-9.7604181162952702E-4</v>
      </c>
      <c r="AH316" s="4">
        <f>MIN((AF316-MAX($AF$151:AF316))/MAX($AF$151:AF316),0)</f>
        <v>-1.8542428265493321E-3</v>
      </c>
    </row>
    <row r="317" spans="1:34" x14ac:dyDescent="0.25">
      <c r="A317" s="6">
        <v>45169</v>
      </c>
      <c r="B317">
        <v>20</v>
      </c>
      <c r="C317">
        <v>20</v>
      </c>
      <c r="D317">
        <v>-10</v>
      </c>
      <c r="F317">
        <f t="shared" si="57"/>
        <v>30</v>
      </c>
      <c r="G317">
        <f t="shared" si="61"/>
        <v>20</v>
      </c>
      <c r="H317">
        <f t="shared" si="62"/>
        <v>100</v>
      </c>
      <c r="I317">
        <f t="shared" si="63"/>
        <v>-90</v>
      </c>
      <c r="J317">
        <f t="shared" si="64"/>
        <v>0</v>
      </c>
      <c r="K317">
        <f t="shared" si="58"/>
        <v>30</v>
      </c>
      <c r="L317">
        <f>G317*Return!B317*100</f>
        <v>101.99999999999987</v>
      </c>
      <c r="M317">
        <f>H317*Return!C317*100</f>
        <v>214.00000000000307</v>
      </c>
      <c r="N317">
        <f>I317*Return!D317*100</f>
        <v>-89.999999999998082</v>
      </c>
      <c r="O317">
        <f>J317*Return!E317*100</f>
        <v>0</v>
      </c>
      <c r="P317">
        <f t="shared" si="65"/>
        <v>226.00000000000489</v>
      </c>
      <c r="Q317">
        <f>SUM($P$148:P317)</f>
        <v>10455.600000000002</v>
      </c>
      <c r="R317">
        <f>B317*中国_中债国债到期收益率_1年!B316/365*100</f>
        <v>10.625753424657534</v>
      </c>
      <c r="S317">
        <f>C317*中国_中债国债到期收益率_1年!C316/365*100</f>
        <v>13.144657534246573</v>
      </c>
      <c r="T317">
        <f>D317*中国_中债国债到期收益率_1年!D316/365*100</f>
        <v>-7.0136986301369868</v>
      </c>
      <c r="U317">
        <f>E317*中国_中债国债到期收益率_1年!E316/365*100</f>
        <v>0</v>
      </c>
      <c r="V317">
        <f t="shared" si="66"/>
        <v>16.756712328767122</v>
      </c>
      <c r="W317">
        <f>SUM($V$148:V317)</f>
        <v>8050.51</v>
      </c>
      <c r="X317">
        <f>MAX(F317-50,0)*中国_中债国债到期收益率_1年!H317*100/365</f>
        <v>0</v>
      </c>
      <c r="Y317">
        <f>SUM($X$148:X317)</f>
        <v>2654.2549315068459</v>
      </c>
      <c r="AA317">
        <v>20</v>
      </c>
      <c r="AB317">
        <f>Z317*Return!F321*100</f>
        <v>0</v>
      </c>
      <c r="AC317">
        <f>AA317*Return!G321*100</f>
        <v>15.600000000000058</v>
      </c>
      <c r="AD317">
        <f>SUM($AB$148:AB317)+SUM($AC$148:AC317)</f>
        <v>1403.0999999999985</v>
      </c>
      <c r="AE317">
        <f t="shared" si="59"/>
        <v>17254.955068493153</v>
      </c>
      <c r="AF317">
        <f t="shared" si="60"/>
        <v>1.0345099101369863</v>
      </c>
      <c r="AG317" s="4">
        <f>(AF317/AF316-1)-中国_中债国债到期收益率_1年!H317%/252</f>
        <v>4.0924994534419814E-4</v>
      </c>
      <c r="AH317" s="4">
        <f>MIN((AF317-MAX($AF$151:AF317))/MAX($AF$151:AF317),0)</f>
        <v>-1.3554433043316142E-3</v>
      </c>
    </row>
    <row r="318" spans="1:34" x14ac:dyDescent="0.25">
      <c r="A318" s="6">
        <v>45170</v>
      </c>
      <c r="B318">
        <v>20</v>
      </c>
      <c r="C318">
        <v>20</v>
      </c>
      <c r="D318">
        <v>-10</v>
      </c>
      <c r="F318">
        <f t="shared" si="57"/>
        <v>30</v>
      </c>
      <c r="G318">
        <f t="shared" si="61"/>
        <v>20</v>
      </c>
      <c r="H318">
        <f t="shared" si="62"/>
        <v>100</v>
      </c>
      <c r="I318">
        <f t="shared" si="63"/>
        <v>-90</v>
      </c>
      <c r="J318">
        <f t="shared" si="64"/>
        <v>0</v>
      </c>
      <c r="K318">
        <f t="shared" si="58"/>
        <v>30</v>
      </c>
      <c r="L318">
        <f>G318*Return!B318*100</f>
        <v>68.200000000000045</v>
      </c>
      <c r="M318">
        <f>H318*Return!C318*100</f>
        <v>-7.0000000000014495</v>
      </c>
      <c r="N318">
        <f>I318*Return!D318*100</f>
        <v>-22.49999999999952</v>
      </c>
      <c r="O318">
        <f>J318*Return!E318*100</f>
        <v>0</v>
      </c>
      <c r="P318">
        <f t="shared" si="65"/>
        <v>38.699999999999079</v>
      </c>
      <c r="Q318">
        <f>SUM($P$148:P318)</f>
        <v>10494.300000000001</v>
      </c>
      <c r="R318">
        <f>B318*中国_中债国债到期收益率_1年!B317/365*100</f>
        <v>10.438904109589043</v>
      </c>
      <c r="S318">
        <f>C318*中国_中债国债到期收益率_1年!C317/365*100</f>
        <v>13.148493150684931</v>
      </c>
      <c r="T318">
        <f>D318*中国_中债国债到期收益率_1年!D317/365*100</f>
        <v>-7.0068493150684947</v>
      </c>
      <c r="U318">
        <f>E318*中国_中债国债到期收益率_1年!E317/365*100</f>
        <v>0</v>
      </c>
      <c r="V318">
        <f t="shared" si="66"/>
        <v>16.580547945205481</v>
      </c>
      <c r="W318">
        <f>SUM($V$148:V318)</f>
        <v>8067.0905479452058</v>
      </c>
      <c r="X318">
        <f>MAX(F318-50,0)*中国_中债国债到期收益率_1年!H318*100/365</f>
        <v>0</v>
      </c>
      <c r="Y318">
        <f>SUM($X$148:X318)</f>
        <v>2654.2549315068459</v>
      </c>
      <c r="AA318">
        <v>20</v>
      </c>
      <c r="AB318">
        <f>Z318*Return!F322*100</f>
        <v>0</v>
      </c>
      <c r="AC318">
        <f>AA318*Return!G322*100</f>
        <v>-58.600000000000207</v>
      </c>
      <c r="AD318">
        <f>SUM($AB$148:AB318)+SUM($AC$148:AC318)</f>
        <v>1344.4999999999984</v>
      </c>
      <c r="AE318">
        <f t="shared" si="59"/>
        <v>17251.635616438361</v>
      </c>
      <c r="AF318">
        <f t="shared" si="60"/>
        <v>1.0345032712328768</v>
      </c>
      <c r="AG318" s="4">
        <f>(AF318/AF317-1)-中国_中债国债到期收益率_1年!H318%/252</f>
        <v>-8.3798391251817253E-5</v>
      </c>
      <c r="AH318" s="4">
        <f>MIN((AF318-MAX($AF$151:AF318))/MAX($AF$151:AF318),0)</f>
        <v>-1.3618520447278922E-3</v>
      </c>
    </row>
    <row r="319" spans="1:34" x14ac:dyDescent="0.25">
      <c r="A319" s="6">
        <v>45173</v>
      </c>
      <c r="B319">
        <v>20</v>
      </c>
      <c r="C319">
        <v>20</v>
      </c>
      <c r="D319">
        <v>-10</v>
      </c>
      <c r="F319">
        <f t="shared" si="57"/>
        <v>30</v>
      </c>
      <c r="G319">
        <f t="shared" si="61"/>
        <v>20</v>
      </c>
      <c r="H319">
        <f t="shared" si="62"/>
        <v>100</v>
      </c>
      <c r="I319">
        <f t="shared" si="63"/>
        <v>-90</v>
      </c>
      <c r="J319">
        <f t="shared" si="64"/>
        <v>0</v>
      </c>
      <c r="K319">
        <f t="shared" si="58"/>
        <v>30</v>
      </c>
      <c r="L319">
        <f>G319*Return!B319*100</f>
        <v>-105.39999999999993</v>
      </c>
      <c r="M319">
        <f>H319*Return!C319*100</f>
        <v>-386.00000000000188</v>
      </c>
      <c r="N319">
        <f>I319*Return!D319*100</f>
        <v>247.49999999999872</v>
      </c>
      <c r="O319">
        <f>J319*Return!E319*100</f>
        <v>0</v>
      </c>
      <c r="P319">
        <f t="shared" si="65"/>
        <v>-243.90000000000308</v>
      </c>
      <c r="Q319">
        <f>SUM($P$148:P319)</f>
        <v>10250.399999999998</v>
      </c>
      <c r="R319">
        <f>B319*中国_中债国债到期收益率_1年!B318/365*100</f>
        <v>10.727671232876713</v>
      </c>
      <c r="S319">
        <f>C319*中国_中债国债到期收益率_1年!C318/365*100</f>
        <v>13.36</v>
      </c>
      <c r="T319">
        <f>D319*中国_中债国债到期收益率_1年!D318/365*100</f>
        <v>-7.0821917808219181</v>
      </c>
      <c r="U319">
        <f>E319*中国_中债国债到期收益率_1年!E318/365*100</f>
        <v>0</v>
      </c>
      <c r="V319">
        <f t="shared" si="66"/>
        <v>17.005479452054793</v>
      </c>
      <c r="W319">
        <f>SUM($V$148:V319)</f>
        <v>8084.0960273972605</v>
      </c>
      <c r="X319">
        <f>MAX(F319-50,0)*中国_中债国债到期收益率_1年!H319*100/365</f>
        <v>0</v>
      </c>
      <c r="Y319">
        <f>SUM($X$148:X319)</f>
        <v>2654.2549315068459</v>
      </c>
      <c r="AA319">
        <v>20</v>
      </c>
      <c r="AB319">
        <f>Z319*Return!F323*100</f>
        <v>0</v>
      </c>
      <c r="AC319">
        <f>AA319*Return!G323*100</f>
        <v>-46.400000000000219</v>
      </c>
      <c r="AD319">
        <f>SUM($AB$148:AB319)+SUM($AC$148:AC319)</f>
        <v>1298.0999999999981</v>
      </c>
      <c r="AE319">
        <f t="shared" si="59"/>
        <v>16978.34109589041</v>
      </c>
      <c r="AF319">
        <f t="shared" si="60"/>
        <v>1.0339566821917807</v>
      </c>
      <c r="AG319" s="4">
        <f>(AF319/AF318-1)-中国_中债国债到期收益率_1年!H319%/252</f>
        <v>-6.0216845344795219E-4</v>
      </c>
      <c r="AH319" s="4">
        <f>MIN((AF319-MAX($AF$151:AF319))/MAX($AF$151:AF319),0)</f>
        <v>-1.8894914276776438E-3</v>
      </c>
    </row>
    <row r="320" spans="1:34" x14ac:dyDescent="0.25">
      <c r="A320" s="6">
        <v>45174</v>
      </c>
      <c r="B320">
        <v>20</v>
      </c>
      <c r="C320">
        <v>20</v>
      </c>
      <c r="D320">
        <v>-10</v>
      </c>
      <c r="F320">
        <f t="shared" si="57"/>
        <v>30</v>
      </c>
      <c r="G320">
        <f t="shared" si="61"/>
        <v>20</v>
      </c>
      <c r="H320">
        <f t="shared" si="62"/>
        <v>100</v>
      </c>
      <c r="I320">
        <f t="shared" si="63"/>
        <v>-90</v>
      </c>
      <c r="J320">
        <f t="shared" si="64"/>
        <v>0</v>
      </c>
      <c r="K320">
        <f t="shared" si="58"/>
        <v>30</v>
      </c>
      <c r="L320">
        <f>G320*Return!B320*100</f>
        <v>-48.799999999999955</v>
      </c>
      <c r="M320">
        <f>H320*Return!C320*100</f>
        <v>-308.99999999999926</v>
      </c>
      <c r="N320">
        <f>I320*Return!D320*100</f>
        <v>246.60000000000082</v>
      </c>
      <c r="O320">
        <f>J320*Return!E320*100</f>
        <v>0</v>
      </c>
      <c r="P320">
        <f t="shared" si="65"/>
        <v>-111.1999999999984</v>
      </c>
      <c r="Q320">
        <f>SUM($P$148:P320)</f>
        <v>10139.199999999999</v>
      </c>
      <c r="R320">
        <f>B320*中国_中债国债到期收益率_1年!B319/365*100</f>
        <v>10.861369863013698</v>
      </c>
      <c r="S320">
        <f>C320*中国_中债国债到期收益率_1年!C319/365*100</f>
        <v>13.529315068493153</v>
      </c>
      <c r="T320">
        <f>D320*中国_中债国债到期收益率_1年!D319/365*100</f>
        <v>-7.1572602739726028</v>
      </c>
      <c r="U320">
        <f>E320*中国_中债国债到期收益率_1年!E319/365*100</f>
        <v>0</v>
      </c>
      <c r="V320">
        <f t="shared" si="66"/>
        <v>17.233424657534247</v>
      </c>
      <c r="W320">
        <f>SUM($V$148:V320)</f>
        <v>8101.3294520547952</v>
      </c>
      <c r="X320">
        <f>MAX(F320-50,0)*中国_中债国债到期收益率_1年!H320*100/365</f>
        <v>0</v>
      </c>
      <c r="Y320">
        <f>SUM($X$148:X320)</f>
        <v>2654.2549315068459</v>
      </c>
      <c r="AA320">
        <v>20</v>
      </c>
      <c r="AB320">
        <f>Z320*Return!F324*100</f>
        <v>0</v>
      </c>
      <c r="AC320">
        <f>AA320*Return!G324*100</f>
        <v>4.0000000000004476</v>
      </c>
      <c r="AD320">
        <f>SUM($AB$148:AB320)+SUM($AC$148:AC320)</f>
        <v>1302.0999999999985</v>
      </c>
      <c r="AE320">
        <f t="shared" si="59"/>
        <v>16888.374520547946</v>
      </c>
      <c r="AF320">
        <f t="shared" si="60"/>
        <v>1.0337767490410958</v>
      </c>
      <c r="AG320" s="4">
        <f>(AF320/AF319-1)-中国_中债国债到期收益率_1年!H320%/252</f>
        <v>-2.474365756059285E-4</v>
      </c>
      <c r="AH320" s="4">
        <f>MIN((AF320-MAX($AF$151:AF320))/MAX($AF$151:AF320),0)</f>
        <v>-2.0631864882467181E-3</v>
      </c>
    </row>
    <row r="321" spans="1:34" x14ac:dyDescent="0.25">
      <c r="A321" s="6">
        <v>45175</v>
      </c>
      <c r="B321">
        <v>10</v>
      </c>
      <c r="C321">
        <v>20</v>
      </c>
      <c r="D321">
        <v>-10</v>
      </c>
      <c r="F321">
        <f t="shared" si="57"/>
        <v>20</v>
      </c>
      <c r="G321">
        <f t="shared" si="61"/>
        <v>10</v>
      </c>
      <c r="H321">
        <f t="shared" si="62"/>
        <v>100</v>
      </c>
      <c r="I321">
        <f t="shared" si="63"/>
        <v>-90</v>
      </c>
      <c r="J321">
        <f t="shared" si="64"/>
        <v>0</v>
      </c>
      <c r="K321">
        <f t="shared" si="58"/>
        <v>20</v>
      </c>
      <c r="L321">
        <f>G321*Return!B321*100</f>
        <v>-10.699999999999932</v>
      </c>
      <c r="M321">
        <f>H321*Return!C321*100</f>
        <v>-5.9999999999993392</v>
      </c>
      <c r="N321">
        <f>I321*Return!D321*100</f>
        <v>23.40000000000142</v>
      </c>
      <c r="O321">
        <f>J321*Return!E321*100</f>
        <v>0</v>
      </c>
      <c r="P321">
        <f t="shared" si="65"/>
        <v>6.7000000000021487</v>
      </c>
      <c r="Q321">
        <f>SUM($P$148:P321)</f>
        <v>10145.900000000001</v>
      </c>
      <c r="R321">
        <f>B321*中国_中债国债到期收益率_1年!B320/365*100</f>
        <v>5.46</v>
      </c>
      <c r="S321">
        <f>C321*中国_中债国债到期收益率_1年!C320/365*100</f>
        <v>13.532602739726027</v>
      </c>
      <c r="T321">
        <f>D321*中国_中债国债到期收益率_1年!D320/365*100</f>
        <v>-7.1643835616438363</v>
      </c>
      <c r="U321">
        <f>E321*中国_中债国债到期收益率_1年!E320/365*100</f>
        <v>0</v>
      </c>
      <c r="V321">
        <f t="shared" si="66"/>
        <v>11.828219178082191</v>
      </c>
      <c r="W321">
        <f>SUM($V$148:V321)</f>
        <v>8113.157671232877</v>
      </c>
      <c r="X321">
        <f>MAX(F321-50,0)*中国_中债国债到期收益率_1年!H321*100/365</f>
        <v>0</v>
      </c>
      <c r="Y321">
        <f>SUM($X$148:X321)</f>
        <v>2654.2549315068459</v>
      </c>
      <c r="AA321">
        <v>20</v>
      </c>
      <c r="AB321">
        <f>Z321*Return!F325*100</f>
        <v>0</v>
      </c>
      <c r="AC321">
        <f>AA321*Return!G325*100</f>
        <v>-19.000000000000128</v>
      </c>
      <c r="AD321">
        <f>SUM($AB$148:AB321)+SUM($AC$148:AC321)</f>
        <v>1283.0999999999985</v>
      </c>
      <c r="AE321">
        <f t="shared" si="59"/>
        <v>16887.902739726029</v>
      </c>
      <c r="AF321">
        <f t="shared" si="60"/>
        <v>1.0337758054794521</v>
      </c>
      <c r="AG321" s="4">
        <f>(AF321/AF320-1)-中国_中债国债到期收益率_1年!H321%/252</f>
        <v>-7.551590711008263E-5</v>
      </c>
      <c r="AH321" s="4">
        <f>MIN((AF321-MAX($AF$151:AF321))/MAX($AF$151:AF321),0)</f>
        <v>-2.0640973376162232E-3</v>
      </c>
    </row>
    <row r="322" spans="1:34" x14ac:dyDescent="0.25">
      <c r="A322" s="6">
        <v>45176</v>
      </c>
      <c r="B322">
        <v>10</v>
      </c>
      <c r="C322">
        <v>20</v>
      </c>
      <c r="D322">
        <v>-10</v>
      </c>
      <c r="F322">
        <f t="shared" si="57"/>
        <v>20</v>
      </c>
      <c r="G322">
        <f t="shared" si="61"/>
        <v>10</v>
      </c>
      <c r="H322">
        <f t="shared" si="62"/>
        <v>100</v>
      </c>
      <c r="I322">
        <f t="shared" si="63"/>
        <v>-90</v>
      </c>
      <c r="J322">
        <f t="shared" si="64"/>
        <v>0</v>
      </c>
      <c r="K322">
        <f t="shared" si="58"/>
        <v>20</v>
      </c>
      <c r="L322">
        <f>G322*Return!B322*100</f>
        <v>-87.199999999999946</v>
      </c>
      <c r="M322">
        <f>H322*Return!C322*100</f>
        <v>-341.99999999999784</v>
      </c>
      <c r="N322">
        <f>I322*Return!D322*100</f>
        <v>202.49999999999969</v>
      </c>
      <c r="O322">
        <f>J322*Return!E322*100</f>
        <v>0</v>
      </c>
      <c r="P322">
        <f t="shared" si="65"/>
        <v>-226.69999999999808</v>
      </c>
      <c r="Q322">
        <f>SUM($P$148:P322)</f>
        <v>9919.2000000000025</v>
      </c>
      <c r="R322">
        <f>B322*中国_中债国债到期收益率_1年!B321/365*100</f>
        <v>5.6989041095890407</v>
      </c>
      <c r="S322">
        <f>C322*中国_中债国债到期收益率_1年!C321/365*100</f>
        <v>13.719999999999999</v>
      </c>
      <c r="T322">
        <f>D322*中国_中债国债到期收益率_1年!D321/365*100</f>
        <v>-7.2260273972602738</v>
      </c>
      <c r="U322">
        <f>E322*中国_中债国债到期收益率_1年!E321/365*100</f>
        <v>0</v>
      </c>
      <c r="V322">
        <f t="shared" si="66"/>
        <v>12.192876712328765</v>
      </c>
      <c r="W322">
        <f>SUM($V$148:V322)</f>
        <v>8125.350547945206</v>
      </c>
      <c r="X322">
        <f>MAX(F322-50,0)*中国_中债国债到期收益率_1年!H322*100/365</f>
        <v>0</v>
      </c>
      <c r="Y322">
        <f>SUM($X$148:X322)</f>
        <v>2654.2549315068459</v>
      </c>
      <c r="AA322">
        <v>20</v>
      </c>
      <c r="AB322">
        <f>Z322*Return!F326*100</f>
        <v>0</v>
      </c>
      <c r="AC322">
        <f>AA322*Return!G326*100</f>
        <v>68.799999999999528</v>
      </c>
      <c r="AD322">
        <f>SUM($AB$148:AB322)+SUM($AC$148:AC322)</f>
        <v>1351.899999999998</v>
      </c>
      <c r="AE322">
        <f t="shared" si="59"/>
        <v>16742.195616438359</v>
      </c>
      <c r="AF322">
        <f t="shared" si="60"/>
        <v>1.0334843912328768</v>
      </c>
      <c r="AG322" s="4">
        <f>(AF322/AF321-1)-中国_中债国债到期收益率_1年!H322%/252</f>
        <v>-3.6125816008010265E-4</v>
      </c>
      <c r="AH322" s="4">
        <f>MIN((AF322-MAX($AF$151:AF322))/MAX($AF$151:AF322),0)</f>
        <v>-2.3454085635738965E-3</v>
      </c>
    </row>
    <row r="323" spans="1:34" x14ac:dyDescent="0.25">
      <c r="A323" s="6">
        <v>45177</v>
      </c>
      <c r="B323">
        <v>10</v>
      </c>
      <c r="C323">
        <v>20</v>
      </c>
      <c r="D323">
        <v>-10</v>
      </c>
      <c r="F323">
        <f t="shared" ref="F323:F386" si="67">SUM(B323:E323)</f>
        <v>20</v>
      </c>
      <c r="G323">
        <f t="shared" si="61"/>
        <v>10</v>
      </c>
      <c r="H323">
        <f t="shared" si="62"/>
        <v>100</v>
      </c>
      <c r="I323">
        <f t="shared" si="63"/>
        <v>-90</v>
      </c>
      <c r="J323">
        <f t="shared" si="64"/>
        <v>0</v>
      </c>
      <c r="K323">
        <f t="shared" ref="K323:K386" si="68">SUM(G323:J323)</f>
        <v>20</v>
      </c>
      <c r="L323">
        <f>G323*Return!B323*100</f>
        <v>-7.3000000000003062</v>
      </c>
      <c r="M323">
        <f>H323*Return!C323*100</f>
        <v>52.999999999996383</v>
      </c>
      <c r="N323">
        <f>I323*Return!D323*100</f>
        <v>-22.500000000003517</v>
      </c>
      <c r="O323">
        <f>J323*Return!E323*100</f>
        <v>0</v>
      </c>
      <c r="P323">
        <f t="shared" si="65"/>
        <v>23.199999999992563</v>
      </c>
      <c r="Q323">
        <f>SUM($P$148:P323)</f>
        <v>9942.399999999996</v>
      </c>
      <c r="R323">
        <f>B323*中国_中债国债到期收益率_1年!B322/365*100</f>
        <v>5.7189041095890421</v>
      </c>
      <c r="S323">
        <f>C323*中国_中债国债到期收益率_1年!C322/365*100</f>
        <v>13.690958904109591</v>
      </c>
      <c r="T323">
        <f>D323*中国_中债国债到期收益率_1年!D322/365*100</f>
        <v>-7.2191780821917808</v>
      </c>
      <c r="U323">
        <f>E323*中国_中债国债到期收益率_1年!E322/365*100</f>
        <v>0</v>
      </c>
      <c r="V323">
        <f t="shared" si="66"/>
        <v>12.190684931506851</v>
      </c>
      <c r="W323">
        <f>SUM($V$148:V323)</f>
        <v>8137.5412328767125</v>
      </c>
      <c r="X323">
        <f>MAX(F323-50,0)*中国_中债国债到期收益率_1年!H323*100/365</f>
        <v>0</v>
      </c>
      <c r="Y323">
        <f>SUM($X$148:X323)</f>
        <v>2654.2549315068459</v>
      </c>
      <c r="AA323">
        <v>20</v>
      </c>
      <c r="AB323">
        <f>Z323*Return!F327*100</f>
        <v>0</v>
      </c>
      <c r="AC323">
        <f>AA323*Return!G327*100</f>
        <v>45.400000000000773</v>
      </c>
      <c r="AD323">
        <f>SUM($AB$148:AB323)+SUM($AC$148:AC323)</f>
        <v>1397.2999999999988</v>
      </c>
      <c r="AE323">
        <f t="shared" si="59"/>
        <v>16822.98630136986</v>
      </c>
      <c r="AF323">
        <f t="shared" si="60"/>
        <v>1.0336459726027398</v>
      </c>
      <c r="AG323" s="4">
        <f>(AF323/AF322-1)-中国_中债国债到期收益率_1年!H323%/252</f>
        <v>7.6981132763264955E-5</v>
      </c>
      <c r="AH323" s="4">
        <f>MIN((AF323-MAX($AF$151:AF323))/MAX($AF$151:AF323),0)</f>
        <v>-2.1894290471903919E-3</v>
      </c>
    </row>
    <row r="324" spans="1:34" x14ac:dyDescent="0.25">
      <c r="A324" s="6">
        <v>45180</v>
      </c>
      <c r="B324">
        <v>10</v>
      </c>
      <c r="C324">
        <v>20</v>
      </c>
      <c r="D324">
        <v>-10</v>
      </c>
      <c r="F324">
        <f t="shared" si="67"/>
        <v>20</v>
      </c>
      <c r="G324">
        <f t="shared" si="61"/>
        <v>10</v>
      </c>
      <c r="H324">
        <f t="shared" si="62"/>
        <v>100</v>
      </c>
      <c r="I324">
        <f t="shared" si="63"/>
        <v>-90</v>
      </c>
      <c r="J324">
        <f t="shared" si="64"/>
        <v>0</v>
      </c>
      <c r="K324">
        <f t="shared" si="68"/>
        <v>20</v>
      </c>
      <c r="L324">
        <f>G324*Return!B324*100</f>
        <v>-7.8000000000000291</v>
      </c>
      <c r="M324">
        <f>H324*Return!C324*100</f>
        <v>56.000000000002714</v>
      </c>
      <c r="N324">
        <f>I324*Return!D324*100</f>
        <v>22.500000000003517</v>
      </c>
      <c r="O324">
        <f>J324*Return!E324*100</f>
        <v>0</v>
      </c>
      <c r="P324">
        <f t="shared" si="65"/>
        <v>70.700000000006213</v>
      </c>
      <c r="Q324">
        <f>SUM($P$148:P324)</f>
        <v>10013.100000000002</v>
      </c>
      <c r="R324">
        <f>B324*中国_中债国债到期收益率_1年!B323/365*100</f>
        <v>5.7402739726027399</v>
      </c>
      <c r="S324">
        <f>C324*中国_中债国债到期收益率_1年!C323/365*100</f>
        <v>13.66027397260274</v>
      </c>
      <c r="T324">
        <f>D324*中国_中债国债到期收益率_1年!D323/365*100</f>
        <v>-7.2260273972602738</v>
      </c>
      <c r="U324">
        <f>E324*中国_中债国债到期收益率_1年!E323/365*100</f>
        <v>0</v>
      </c>
      <c r="V324">
        <f t="shared" si="66"/>
        <v>12.174520547945207</v>
      </c>
      <c r="W324">
        <f>SUM($V$148:V324)</f>
        <v>8149.715753424658</v>
      </c>
      <c r="X324">
        <f>MAX(F324-50,0)*中国_中债国债到期收益率_1年!H324*100/365</f>
        <v>0</v>
      </c>
      <c r="Y324">
        <f>SUM($X$148:X324)</f>
        <v>2654.2549315068459</v>
      </c>
      <c r="AA324">
        <v>20</v>
      </c>
      <c r="AB324">
        <f>Z324*Return!F328*100</f>
        <v>0</v>
      </c>
      <c r="AC324">
        <f>AA324*Return!G328*100</f>
        <v>9.9999999999997868</v>
      </c>
      <c r="AD324">
        <f>SUM($AB$148:AB324)+SUM($AC$148:AC324)</f>
        <v>1407.2999999999986</v>
      </c>
      <c r="AE324">
        <f t="shared" ref="AE324:AE387" si="69">Q324+W324+AD324-Y324</f>
        <v>16915.860821917813</v>
      </c>
      <c r="AF324">
        <f t="shared" ref="AF324:AF387" si="70">AE324/$AI$1+1</f>
        <v>1.0338317216438355</v>
      </c>
      <c r="AG324" s="4">
        <f>(AF324/AF323-1)-中国_中债国债到期收益率_1年!H324%/252</f>
        <v>9.8353560380421697E-5</v>
      </c>
      <c r="AH324" s="4">
        <f>MIN((AF324-MAX($AF$151:AF324))/MAX($AF$151:AF324),0)</f>
        <v>-2.0101197269180582E-3</v>
      </c>
    </row>
    <row r="325" spans="1:34" x14ac:dyDescent="0.25">
      <c r="A325" s="6">
        <v>45181</v>
      </c>
      <c r="B325">
        <v>10</v>
      </c>
      <c r="C325">
        <v>20</v>
      </c>
      <c r="D325">
        <v>-10</v>
      </c>
      <c r="F325">
        <f t="shared" si="67"/>
        <v>20</v>
      </c>
      <c r="G325">
        <f t="shared" si="61"/>
        <v>10</v>
      </c>
      <c r="H325">
        <f t="shared" si="62"/>
        <v>100</v>
      </c>
      <c r="I325">
        <f t="shared" si="63"/>
        <v>-90</v>
      </c>
      <c r="J325">
        <f t="shared" si="64"/>
        <v>0</v>
      </c>
      <c r="K325">
        <f t="shared" si="68"/>
        <v>20</v>
      </c>
      <c r="L325">
        <f>G325*Return!B325*100</f>
        <v>-40.000000000000036</v>
      </c>
      <c r="M325">
        <f>H325*Return!C325*100</f>
        <v>0</v>
      </c>
      <c r="N325">
        <f>I325*Return!D325*100</f>
        <v>-67.500000000002558</v>
      </c>
      <c r="O325">
        <f>J325*Return!E325*100</f>
        <v>0</v>
      </c>
      <c r="P325">
        <f t="shared" si="65"/>
        <v>-107.50000000000259</v>
      </c>
      <c r="Q325">
        <f>SUM($P$148:P325)</f>
        <v>9905.6</v>
      </c>
      <c r="R325">
        <f>B325*中国_中债国债到期收益率_1年!B324/365*100</f>
        <v>5.8498630136986316</v>
      </c>
      <c r="S325">
        <f>C325*中国_中债国债到期收益率_1年!C324/365*100</f>
        <v>13.66027397260274</v>
      </c>
      <c r="T325">
        <f>D325*中国_中债国债到期收益率_1年!D324/365*100</f>
        <v>-7.205479452054794</v>
      </c>
      <c r="U325">
        <f>E325*中国_中债国债到期收益率_1年!E324/365*100</f>
        <v>0</v>
      </c>
      <c r="V325">
        <f t="shared" si="66"/>
        <v>12.304657534246578</v>
      </c>
      <c r="W325">
        <f>SUM($V$148:V325)</f>
        <v>8162.0204109589049</v>
      </c>
      <c r="X325">
        <f>MAX(F325-50,0)*中国_中债国债到期收益率_1年!H325*100/365</f>
        <v>0</v>
      </c>
      <c r="Y325">
        <f>SUM($X$148:X325)</f>
        <v>2654.2549315068459</v>
      </c>
      <c r="AA325">
        <v>20</v>
      </c>
      <c r="AB325">
        <f>Z325*Return!F329*100</f>
        <v>0</v>
      </c>
      <c r="AC325">
        <f>AA325*Return!G329*100</f>
        <v>-16.39999999999997</v>
      </c>
      <c r="AD325">
        <f>SUM($AB$148:AB325)+SUM($AC$148:AC325)</f>
        <v>1390.8999999999987</v>
      </c>
      <c r="AE325">
        <f t="shared" si="69"/>
        <v>16804.265479452057</v>
      </c>
      <c r="AF325">
        <f t="shared" si="70"/>
        <v>1.033608530958904</v>
      </c>
      <c r="AG325" s="4">
        <f>(AF325/AF324-1)-中国_中债国债到期收益率_1年!H325%/252</f>
        <v>-2.9525194011699202E-4</v>
      </c>
      <c r="AH325" s="4">
        <f>MIN((AF325-MAX($AF$151:AF325))/MAX($AF$151:AF325),0)</f>
        <v>-2.2255726292324412E-3</v>
      </c>
    </row>
    <row r="326" spans="1:34" x14ac:dyDescent="0.25">
      <c r="A326" s="6">
        <v>45182</v>
      </c>
      <c r="B326">
        <v>10</v>
      </c>
      <c r="C326">
        <v>20</v>
      </c>
      <c r="D326">
        <v>-10</v>
      </c>
      <c r="F326">
        <f t="shared" si="67"/>
        <v>20</v>
      </c>
      <c r="G326">
        <f t="shared" si="61"/>
        <v>10</v>
      </c>
      <c r="H326">
        <f t="shared" si="62"/>
        <v>100</v>
      </c>
      <c r="I326">
        <f t="shared" si="63"/>
        <v>-90</v>
      </c>
      <c r="J326">
        <f t="shared" si="64"/>
        <v>0</v>
      </c>
      <c r="K326">
        <f t="shared" si="68"/>
        <v>20</v>
      </c>
      <c r="L326">
        <f>G326*Return!B326*100</f>
        <v>10.000000000000231</v>
      </c>
      <c r="M326">
        <f>H326*Return!C326*100</f>
        <v>121.99999999999989</v>
      </c>
      <c r="N326">
        <f>I326*Return!D326*100</f>
        <v>-62.999999999997058</v>
      </c>
      <c r="O326">
        <f>J326*Return!E326*100</f>
        <v>0</v>
      </c>
      <c r="P326">
        <f t="shared" si="65"/>
        <v>69.000000000003055</v>
      </c>
      <c r="Q326">
        <f>SUM($P$148:P326)</f>
        <v>9974.600000000004</v>
      </c>
      <c r="R326">
        <f>B326*中国_中债国债到期收益率_1年!B325/365*100</f>
        <v>5.8224657534246571</v>
      </c>
      <c r="S326">
        <f>C326*中国_中债国债到期收益率_1年!C325/365*100</f>
        <v>13.593424657534248</v>
      </c>
      <c r="T326">
        <f>D326*中国_中债国债到期收益率_1年!D325/365*100</f>
        <v>-7.1863013698630143</v>
      </c>
      <c r="U326">
        <f>E326*中国_中债国债到期收益率_1年!E325/365*100</f>
        <v>0</v>
      </c>
      <c r="V326">
        <f t="shared" si="66"/>
        <v>12.229589041095892</v>
      </c>
      <c r="W326">
        <f>SUM($V$148:V326)</f>
        <v>8174.2500000000009</v>
      </c>
      <c r="X326">
        <f>MAX(F326-50,0)*中国_中债国债到期收益率_1年!H326*100/365</f>
        <v>0</v>
      </c>
      <c r="Y326">
        <f>SUM($X$148:X326)</f>
        <v>2654.2549315068459</v>
      </c>
      <c r="AA326">
        <v>50</v>
      </c>
      <c r="AB326">
        <f>Z326*Return!F330*100</f>
        <v>0</v>
      </c>
      <c r="AC326">
        <f>AA326*Return!G330*100</f>
        <v>-217.49999999999937</v>
      </c>
      <c r="AD326">
        <f>SUM($AB$148:AB326)+SUM($AC$148:AC326)</f>
        <v>1173.3999999999992</v>
      </c>
      <c r="AE326">
        <f t="shared" si="69"/>
        <v>16667.995068493157</v>
      </c>
      <c r="AF326">
        <f t="shared" si="70"/>
        <v>1.0333359901369863</v>
      </c>
      <c r="AG326" s="4">
        <f>(AF326/AF325-1)-中国_中债国债到期收益率_1年!H326%/252</f>
        <v>-3.422503880174406E-4</v>
      </c>
      <c r="AH326" s="4">
        <f>MIN((AF326-MAX($AF$151:AF326))/MAX($AF$151:AF326),0)</f>
        <v>-2.4886647520033852E-3</v>
      </c>
    </row>
    <row r="327" spans="1:34" x14ac:dyDescent="0.25">
      <c r="A327" s="6">
        <v>45183</v>
      </c>
      <c r="B327">
        <v>10</v>
      </c>
      <c r="C327">
        <v>10</v>
      </c>
      <c r="D327">
        <v>-10</v>
      </c>
      <c r="F327">
        <f t="shared" si="67"/>
        <v>10</v>
      </c>
      <c r="G327">
        <f t="shared" si="61"/>
        <v>10</v>
      </c>
      <c r="H327">
        <f t="shared" si="62"/>
        <v>50</v>
      </c>
      <c r="I327">
        <f t="shared" si="63"/>
        <v>-90</v>
      </c>
      <c r="J327">
        <f t="shared" si="64"/>
        <v>0</v>
      </c>
      <c r="K327">
        <f t="shared" si="68"/>
        <v>-30</v>
      </c>
      <c r="L327">
        <f>G327*Return!B327*100</f>
        <v>22.499999999999964</v>
      </c>
      <c r="M327">
        <f>H327*Return!C327*100</f>
        <v>61.499999999998778</v>
      </c>
      <c r="N327">
        <f>I327*Return!D327*100</f>
        <v>-72.000000000000057</v>
      </c>
      <c r="O327">
        <f>J327*Return!E327*100</f>
        <v>0</v>
      </c>
      <c r="P327">
        <f t="shared" si="65"/>
        <v>11.999999999998693</v>
      </c>
      <c r="Q327">
        <f>SUM($P$148:P327)</f>
        <v>9986.6000000000022</v>
      </c>
      <c r="R327">
        <f>B327*中国_中债国债到期收益率_1年!B326/365*100</f>
        <v>5.7608219178082196</v>
      </c>
      <c r="S327">
        <f>C327*中国_中债国债到期收益率_1年!C326/365*100</f>
        <v>6.7630136986301377</v>
      </c>
      <c r="T327">
        <f>D327*中国_中债国债到期收益率_1年!D326/365*100</f>
        <v>-7.1643835616438363</v>
      </c>
      <c r="U327">
        <f>E327*中国_中债国债到期收益率_1年!E326/365*100</f>
        <v>0</v>
      </c>
      <c r="V327">
        <f t="shared" si="66"/>
        <v>5.3594520547945219</v>
      </c>
      <c r="W327">
        <f>SUM($V$148:V327)</f>
        <v>8179.6094520547958</v>
      </c>
      <c r="X327">
        <f>MAX(F327-50,0)*中国_中债国债到期收益率_1年!H327*100/365</f>
        <v>0</v>
      </c>
      <c r="Y327">
        <f>SUM($X$148:X327)</f>
        <v>2654.2549315068459</v>
      </c>
      <c r="AA327">
        <v>50</v>
      </c>
      <c r="AB327">
        <f>Z327*Return!F331*100</f>
        <v>0</v>
      </c>
      <c r="AC327">
        <f>AA327*Return!G331*100</f>
        <v>40.000000000000036</v>
      </c>
      <c r="AD327">
        <f>SUM($AB$148:AB327)+SUM($AC$148:AC327)</f>
        <v>1213.3999999999992</v>
      </c>
      <c r="AE327">
        <f t="shared" si="69"/>
        <v>16725.35452054795</v>
      </c>
      <c r="AF327">
        <f t="shared" si="70"/>
        <v>1.0334507090410958</v>
      </c>
      <c r="AG327" s="4">
        <f>(AF327/AF326-1)-中国_中债国债到期收益率_1年!H327%/252</f>
        <v>2.9668802511834954E-5</v>
      </c>
      <c r="AH327" s="4">
        <f>MIN((AF327-MAX($AF$151:AF327))/MAX($AF$151:AF327),0)</f>
        <v>-2.3779230297477738E-3</v>
      </c>
    </row>
    <row r="328" spans="1:34" x14ac:dyDescent="0.25">
      <c r="A328" s="6">
        <v>45184</v>
      </c>
      <c r="B328">
        <v>10</v>
      </c>
      <c r="C328">
        <v>10</v>
      </c>
      <c r="D328">
        <v>-10</v>
      </c>
      <c r="F328">
        <f t="shared" si="67"/>
        <v>10</v>
      </c>
      <c r="G328">
        <f t="shared" si="61"/>
        <v>10</v>
      </c>
      <c r="H328">
        <f t="shared" si="62"/>
        <v>50</v>
      </c>
      <c r="I328">
        <f t="shared" si="63"/>
        <v>-90</v>
      </c>
      <c r="J328">
        <f t="shared" si="64"/>
        <v>0</v>
      </c>
      <c r="K328">
        <f t="shared" si="68"/>
        <v>-30</v>
      </c>
      <c r="L328">
        <f>G328*Return!B328*100</f>
        <v>0</v>
      </c>
      <c r="M328">
        <f>H328*Return!C328*100</f>
        <v>32.499999999999751</v>
      </c>
      <c r="N328">
        <f>I328*Return!D328*100</f>
        <v>-67.500000000002558</v>
      </c>
      <c r="O328">
        <f>J328*Return!E328*100</f>
        <v>0</v>
      </c>
      <c r="P328">
        <f t="shared" si="65"/>
        <v>-35.000000000002807</v>
      </c>
      <c r="Q328">
        <f>SUM($P$148:P328)</f>
        <v>9951.5999999999985</v>
      </c>
      <c r="R328">
        <f>B328*中国_中债国债到期收益率_1年!B327/365*100</f>
        <v>5.7608219178082196</v>
      </c>
      <c r="S328">
        <f>C328*中国_中债国债到期收益率_1年!C327/365*100</f>
        <v>6.7452054794520544</v>
      </c>
      <c r="T328">
        <f>D328*中国_中债国债到期收益率_1年!D327/365*100</f>
        <v>-7.1438356164383556</v>
      </c>
      <c r="U328">
        <f>E328*中国_中债国债到期收益率_1年!E327/365*100</f>
        <v>0</v>
      </c>
      <c r="V328">
        <f t="shared" si="66"/>
        <v>5.3621917808219184</v>
      </c>
      <c r="W328">
        <f>SUM($V$148:V328)</f>
        <v>8184.9716438356181</v>
      </c>
      <c r="X328">
        <f>MAX(F328-50,0)*中国_中债国债到期收益率_1年!H328*100/365</f>
        <v>0</v>
      </c>
      <c r="Y328">
        <f>SUM($X$148:X328)</f>
        <v>2654.2549315068459</v>
      </c>
      <c r="AA328">
        <v>50</v>
      </c>
      <c r="AB328">
        <f>Z328*Return!F332*100</f>
        <v>0</v>
      </c>
      <c r="AC328">
        <f>AA328*Return!G332*100</f>
        <v>10.499999999999954</v>
      </c>
      <c r="AD328">
        <f>SUM($AB$148:AB328)+SUM($AC$148:AC328)</f>
        <v>1223.8999999999992</v>
      </c>
      <c r="AE328">
        <f t="shared" si="69"/>
        <v>16706.216712328769</v>
      </c>
      <c r="AF328">
        <f t="shared" si="70"/>
        <v>1.0334124334246575</v>
      </c>
      <c r="AG328" s="4">
        <f>(AF328/AF327-1)-中国_中债国债到期收益率_1年!H328%/252</f>
        <v>-1.1640179152123703E-4</v>
      </c>
      <c r="AH328" s="4">
        <f>MIN((AF328-MAX($AF$151:AF328))/MAX($AF$151:AF328),0)</f>
        <v>-2.414871671453139E-3</v>
      </c>
    </row>
    <row r="329" spans="1:34" x14ac:dyDescent="0.25">
      <c r="A329" s="6">
        <v>45187</v>
      </c>
      <c r="B329">
        <v>10</v>
      </c>
      <c r="C329">
        <v>10</v>
      </c>
      <c r="D329">
        <v>-10</v>
      </c>
      <c r="F329">
        <f t="shared" si="67"/>
        <v>10</v>
      </c>
      <c r="G329">
        <f t="shared" si="61"/>
        <v>10</v>
      </c>
      <c r="H329">
        <f t="shared" si="62"/>
        <v>50</v>
      </c>
      <c r="I329">
        <f t="shared" si="63"/>
        <v>-90</v>
      </c>
      <c r="J329">
        <f t="shared" si="64"/>
        <v>0</v>
      </c>
      <c r="K329">
        <f t="shared" si="68"/>
        <v>-30</v>
      </c>
      <c r="L329">
        <f>G329*Return!B329*100</f>
        <v>-29.999999999999805</v>
      </c>
      <c r="M329">
        <f>H329*Return!C329*100</f>
        <v>-159.49999999999909</v>
      </c>
      <c r="N329">
        <f>I329*Return!D329*100</f>
        <v>292.50000000000176</v>
      </c>
      <c r="O329">
        <f>J329*Return!E329*100</f>
        <v>0</v>
      </c>
      <c r="P329">
        <f t="shared" si="65"/>
        <v>103.00000000000287</v>
      </c>
      <c r="Q329">
        <f>SUM($P$148:P329)</f>
        <v>10054.600000000002</v>
      </c>
      <c r="R329">
        <f>B329*中国_中债国债到期收益率_1年!B328/365*100</f>
        <v>5.8430136986301369</v>
      </c>
      <c r="S329">
        <f>C329*中国_中债国债到期收益率_1年!C328/365*100</f>
        <v>6.8326027397260276</v>
      </c>
      <c r="T329">
        <f>D329*中国_中债国债到期收益率_1年!D328/365*100</f>
        <v>-7.2328767123287676</v>
      </c>
      <c r="U329">
        <f>E329*中国_中债国债到期收益率_1年!E328/365*100</f>
        <v>0</v>
      </c>
      <c r="V329">
        <f t="shared" si="66"/>
        <v>5.4427397260273978</v>
      </c>
      <c r="W329">
        <f>SUM($V$148:V329)</f>
        <v>8190.4143835616451</v>
      </c>
      <c r="X329">
        <f>MAX(F329-50,0)*中国_中债国债到期收益率_1年!H329*100/365</f>
        <v>0</v>
      </c>
      <c r="Y329">
        <f>SUM($X$148:X329)</f>
        <v>2654.2549315068459</v>
      </c>
      <c r="Z329">
        <v>-20</v>
      </c>
      <c r="AA329">
        <v>50</v>
      </c>
      <c r="AB329">
        <f>Z329*Return!F333*100</f>
        <v>-46.199999999999797</v>
      </c>
      <c r="AC329">
        <f>AA329*Return!G333*100</f>
        <v>125.49999999999839</v>
      </c>
      <c r="AD329">
        <f>SUM($AB$148:AB329)+SUM($AC$148:AC329)</f>
        <v>1303.199999999998</v>
      </c>
      <c r="AE329">
        <f t="shared" si="69"/>
        <v>16893.959452054798</v>
      </c>
      <c r="AF329">
        <f t="shared" si="70"/>
        <v>1.0337879189041095</v>
      </c>
      <c r="AG329" s="4">
        <f>(AF329/AF328-1)-中国_中债国债到期收益率_1年!H329%/252</f>
        <v>2.8080554856768788E-4</v>
      </c>
      <c r="AH329" s="4">
        <f>MIN((AF329-MAX($AF$151:AF329))/MAX($AF$151:AF329),0)</f>
        <v>-2.0524038724512553E-3</v>
      </c>
    </row>
    <row r="330" spans="1:34" x14ac:dyDescent="0.25">
      <c r="A330" s="6">
        <v>45188</v>
      </c>
      <c r="B330">
        <v>10</v>
      </c>
      <c r="C330">
        <v>10</v>
      </c>
      <c r="D330">
        <v>-10</v>
      </c>
      <c r="F330">
        <f t="shared" si="67"/>
        <v>10</v>
      </c>
      <c r="G330">
        <f t="shared" si="61"/>
        <v>10</v>
      </c>
      <c r="H330">
        <f t="shared" si="62"/>
        <v>50</v>
      </c>
      <c r="I330">
        <f t="shared" si="63"/>
        <v>-90</v>
      </c>
      <c r="J330">
        <f t="shared" si="64"/>
        <v>0</v>
      </c>
      <c r="K330">
        <f t="shared" si="68"/>
        <v>-30</v>
      </c>
      <c r="L330">
        <f>G330*Return!B330*100</f>
        <v>-40.000000000000036</v>
      </c>
      <c r="M330">
        <f>H330*Return!C330*100</f>
        <v>-93.499999999999687</v>
      </c>
      <c r="N330">
        <f>I330*Return!D330*100</f>
        <v>89.999999999998082</v>
      </c>
      <c r="O330">
        <f>J330*Return!E330*100</f>
        <v>0</v>
      </c>
      <c r="P330">
        <f t="shared" si="65"/>
        <v>-43.500000000001634</v>
      </c>
      <c r="Q330">
        <f>SUM($P$148:P330)</f>
        <v>10011.1</v>
      </c>
      <c r="R330">
        <f>B330*中国_中债国债到期收益率_1年!B329/365*100</f>
        <v>5.9526027397260268</v>
      </c>
      <c r="S330">
        <f>C330*中国_中债国债到期收益率_1年!C329/365*100</f>
        <v>6.883835616438355</v>
      </c>
      <c r="T330">
        <f>D330*中国_中债国债到期收益率_1年!D329/365*100</f>
        <v>-7.2602739726027394</v>
      </c>
      <c r="U330">
        <f>E330*中国_中债国债到期收益率_1年!E329/365*100</f>
        <v>0</v>
      </c>
      <c r="V330">
        <f t="shared" si="66"/>
        <v>5.5761643835616432</v>
      </c>
      <c r="W330">
        <f>SUM($V$148:V330)</f>
        <v>8195.9905479452063</v>
      </c>
      <c r="X330">
        <f>MAX(F330-50,0)*中国_中债国债到期收益率_1年!H330*100/365</f>
        <v>0</v>
      </c>
      <c r="Y330">
        <f>SUM($X$148:X330)</f>
        <v>2654.2549315068459</v>
      </c>
      <c r="Z330">
        <v>-20</v>
      </c>
      <c r="AA330">
        <v>50</v>
      </c>
      <c r="AB330">
        <f>Z330*Return!F334*100</f>
        <v>-9.1999999999998749</v>
      </c>
      <c r="AC330">
        <f>AA330*Return!G334*100</f>
        <v>-78.499999999999119</v>
      </c>
      <c r="AD330">
        <f>SUM($AB$148:AB330)+SUM($AC$148:AC330)</f>
        <v>1215.4999999999989</v>
      </c>
      <c r="AE330">
        <f t="shared" si="69"/>
        <v>16768.335616438359</v>
      </c>
      <c r="AF330">
        <f t="shared" si="70"/>
        <v>1.0335366712328766</v>
      </c>
      <c r="AG330" s="4">
        <f>(AF330/AF329-1)-中国_中债国债到期收益率_1年!H330%/252</f>
        <v>-3.2835345119961698E-4</v>
      </c>
      <c r="AH330" s="4">
        <f>MIN((AF330-MAX($AF$151:AF330))/MAX($AF$151:AF330),0)</f>
        <v>-2.2949410553245748E-3</v>
      </c>
    </row>
    <row r="331" spans="1:34" x14ac:dyDescent="0.25">
      <c r="A331" s="6">
        <v>45189</v>
      </c>
      <c r="B331">
        <v>10</v>
      </c>
      <c r="C331">
        <v>10</v>
      </c>
      <c r="D331">
        <v>-10</v>
      </c>
      <c r="F331">
        <f t="shared" si="67"/>
        <v>10</v>
      </c>
      <c r="G331">
        <f t="shared" si="61"/>
        <v>10</v>
      </c>
      <c r="H331">
        <f t="shared" si="62"/>
        <v>50</v>
      </c>
      <c r="I331">
        <f t="shared" si="63"/>
        <v>-90</v>
      </c>
      <c r="J331">
        <f t="shared" si="64"/>
        <v>0</v>
      </c>
      <c r="K331">
        <f t="shared" si="68"/>
        <v>-30</v>
      </c>
      <c r="L331">
        <f>G331*Return!B331*100</f>
        <v>-15.000000000000124</v>
      </c>
      <c r="M331">
        <f>H331*Return!C331*100</f>
        <v>-54.000000000000711</v>
      </c>
      <c r="N331">
        <f>I331*Return!D331*100</f>
        <v>112.50000000000159</v>
      </c>
      <c r="O331">
        <f>J331*Return!E331*100</f>
        <v>0</v>
      </c>
      <c r="P331">
        <f t="shared" si="65"/>
        <v>43.500000000000753</v>
      </c>
      <c r="Q331">
        <f>SUM($P$148:P331)</f>
        <v>10054.6</v>
      </c>
      <c r="R331">
        <f>B331*中国_中债国债到期收益率_1年!B330/365*100</f>
        <v>5.9936986301369855</v>
      </c>
      <c r="S331">
        <f>C331*中国_中债国债到期收益率_1年!C330/365*100</f>
        <v>6.9134246575342466</v>
      </c>
      <c r="T331">
        <f>D331*中国_中债国债到期收益率_1年!D330/365*100</f>
        <v>-7.294520547945206</v>
      </c>
      <c r="U331">
        <f>E331*中国_中债国债到期收益率_1年!E330/365*100</f>
        <v>0</v>
      </c>
      <c r="V331">
        <f t="shared" si="66"/>
        <v>5.612602739726027</v>
      </c>
      <c r="W331">
        <f>SUM($V$148:V331)</f>
        <v>8201.6031506849322</v>
      </c>
      <c r="X331">
        <f>MAX(F331-50,0)*中国_中债国债到期收益率_1年!H331*100/365</f>
        <v>0</v>
      </c>
      <c r="Y331">
        <f>SUM($X$148:X331)</f>
        <v>2654.2549315068459</v>
      </c>
      <c r="Z331">
        <v>-20</v>
      </c>
      <c r="AA331">
        <v>50</v>
      </c>
      <c r="AB331">
        <f>Z331*Return!F335*100</f>
        <v>24.799999999999933</v>
      </c>
      <c r="AC331">
        <f>AA331*Return!G335*100</f>
        <v>-50.499999999999986</v>
      </c>
      <c r="AD331">
        <f>SUM($AB$148:AB331)+SUM($AC$148:AC331)</f>
        <v>1189.7999999999988</v>
      </c>
      <c r="AE331">
        <f t="shared" si="69"/>
        <v>16791.748219178084</v>
      </c>
      <c r="AF331">
        <f t="shared" si="70"/>
        <v>1.0335834964383561</v>
      </c>
      <c r="AG331" s="4">
        <f>(AF331/AF330-1)-中国_中债国债到期收益率_1年!H331%/252</f>
        <v>-4.0011660549657283E-5</v>
      </c>
      <c r="AH331" s="4">
        <f>MIN((AF331-MAX($AF$151:AF331))/MAX($AF$151:AF331),0)</f>
        <v>-2.2497392296967644E-3</v>
      </c>
    </row>
    <row r="332" spans="1:34" x14ac:dyDescent="0.25">
      <c r="A332" s="6">
        <v>45190</v>
      </c>
      <c r="B332">
        <v>10</v>
      </c>
      <c r="C332">
        <v>10</v>
      </c>
      <c r="D332">
        <v>-10</v>
      </c>
      <c r="F332">
        <f t="shared" si="67"/>
        <v>10</v>
      </c>
      <c r="G332">
        <f t="shared" si="61"/>
        <v>10</v>
      </c>
      <c r="H332">
        <f t="shared" si="62"/>
        <v>50</v>
      </c>
      <c r="I332">
        <f t="shared" si="63"/>
        <v>-90</v>
      </c>
      <c r="J332">
        <f t="shared" si="64"/>
        <v>0</v>
      </c>
      <c r="K332">
        <f t="shared" si="68"/>
        <v>-30</v>
      </c>
      <c r="L332">
        <f>G332*Return!B332*100</f>
        <v>-20.000000000000018</v>
      </c>
      <c r="M332">
        <f>H332*Return!C332*100</f>
        <v>11.499999999999844</v>
      </c>
      <c r="N332">
        <f>I332*Return!D332*100</f>
        <v>22.49999999999952</v>
      </c>
      <c r="O332">
        <f>J332*Return!E332*100</f>
        <v>0</v>
      </c>
      <c r="P332">
        <f t="shared" si="65"/>
        <v>13.999999999999346</v>
      </c>
      <c r="Q332">
        <f>SUM($P$148:P332)</f>
        <v>10068.6</v>
      </c>
      <c r="R332">
        <f>B332*中国_中债国债到期收益率_1年!B331/365*100</f>
        <v>6.0484931506849309</v>
      </c>
      <c r="S332">
        <f>C332*中国_中债国债到期收益率_1年!C331/365*100</f>
        <v>6.9071232876712338</v>
      </c>
      <c r="T332">
        <f>D332*中国_中债国债到期收益率_1年!D331/365*100</f>
        <v>-7.3013698630136989</v>
      </c>
      <c r="U332">
        <f>E332*中国_中债国债到期收益率_1年!E331/365*100</f>
        <v>0</v>
      </c>
      <c r="V332">
        <f t="shared" si="66"/>
        <v>5.6542465753424658</v>
      </c>
      <c r="W332">
        <f>SUM($V$148:V332)</f>
        <v>8207.257397260275</v>
      </c>
      <c r="X332">
        <f>MAX(F332-50,0)*中国_中债国债到期收益率_1年!H332*100/365</f>
        <v>0</v>
      </c>
      <c r="Y332">
        <f>SUM($X$148:X332)</f>
        <v>2654.2549315068459</v>
      </c>
      <c r="Z332">
        <v>-20</v>
      </c>
      <c r="AA332">
        <v>20</v>
      </c>
      <c r="AB332">
        <f>Z332*Return!F336*100</f>
        <v>29.999999999999361</v>
      </c>
      <c r="AC332">
        <f>AA332*Return!G336*100</f>
        <v>-24.000000000000021</v>
      </c>
      <c r="AD332">
        <f>SUM($AB$148:AB332)+SUM($AC$148:AC332)</f>
        <v>1195.7999999999984</v>
      </c>
      <c r="AE332">
        <f t="shared" si="69"/>
        <v>16817.402465753428</v>
      </c>
      <c r="AF332">
        <f t="shared" si="70"/>
        <v>1.0336348049315069</v>
      </c>
      <c r="AG332" s="4">
        <f>(AF332/AF331-1)-中国_中债国债到期收益率_1年!H332%/252</f>
        <v>-3.5676097691597367E-5</v>
      </c>
      <c r="AH332" s="4">
        <f>MIN((AF332-MAX($AF$151:AF332))/MAX($AF$151:AF332),0)</f>
        <v>-2.2002095471917952E-3</v>
      </c>
    </row>
    <row r="333" spans="1:34" x14ac:dyDescent="0.25">
      <c r="A333" s="6">
        <v>45191</v>
      </c>
      <c r="B333">
        <v>10</v>
      </c>
      <c r="C333">
        <v>10</v>
      </c>
      <c r="D333">
        <v>-10</v>
      </c>
      <c r="F333">
        <f t="shared" si="67"/>
        <v>10</v>
      </c>
      <c r="G333">
        <f t="shared" si="61"/>
        <v>10</v>
      </c>
      <c r="H333">
        <f t="shared" si="62"/>
        <v>50</v>
      </c>
      <c r="I333">
        <f t="shared" si="63"/>
        <v>-90</v>
      </c>
      <c r="J333">
        <f t="shared" si="64"/>
        <v>0</v>
      </c>
      <c r="K333">
        <f t="shared" si="68"/>
        <v>-30</v>
      </c>
      <c r="L333">
        <f>G333*Return!B333*100</f>
        <v>20.000000000000018</v>
      </c>
      <c r="M333">
        <f>H333*Return!C333*100</f>
        <v>59.500000000001222</v>
      </c>
      <c r="N333">
        <f>I333*Return!D333*100</f>
        <v>-66.600000000000662</v>
      </c>
      <c r="O333">
        <f>J333*Return!E333*100</f>
        <v>0</v>
      </c>
      <c r="P333">
        <f t="shared" si="65"/>
        <v>12.900000000000574</v>
      </c>
      <c r="Q333">
        <f>SUM($P$148:P333)</f>
        <v>10081.500000000002</v>
      </c>
      <c r="R333">
        <f>B333*中国_中债国债到期收益率_1年!B332/365*100</f>
        <v>5.9936986301369855</v>
      </c>
      <c r="S333">
        <f>C333*中国_中债国债到期收益率_1年!C332/365*100</f>
        <v>6.8745205479452052</v>
      </c>
      <c r="T333">
        <f>D333*中国_中债国债到期收益率_1年!D332/365*100</f>
        <v>-7.2810958904109588</v>
      </c>
      <c r="U333">
        <f>E333*中国_中债国债到期收益率_1年!E332/365*100</f>
        <v>0</v>
      </c>
      <c r="V333">
        <f t="shared" si="66"/>
        <v>5.5871232876712318</v>
      </c>
      <c r="W333">
        <f>SUM($V$148:V333)</f>
        <v>8212.8445205479456</v>
      </c>
      <c r="X333">
        <f>MAX(F333-50,0)*中国_中债国债到期收益率_1年!H333*100/365</f>
        <v>0</v>
      </c>
      <c r="Y333">
        <f>SUM($X$148:X333)</f>
        <v>2654.2549315068459</v>
      </c>
      <c r="Z333">
        <v>-20</v>
      </c>
      <c r="AA333">
        <v>20</v>
      </c>
      <c r="AB333">
        <f>Z333*Return!F337*100</f>
        <v>-48.4</v>
      </c>
      <c r="AC333">
        <f>AA333*Return!G337*100</f>
        <v>25.199999999999889</v>
      </c>
      <c r="AD333">
        <f>SUM($AB$148:AB333)+SUM($AC$148:AC333)</f>
        <v>1172.5999999999981</v>
      </c>
      <c r="AE333">
        <f t="shared" si="69"/>
        <v>16812.6895890411</v>
      </c>
      <c r="AF333">
        <f t="shared" si="70"/>
        <v>1.0336253791780823</v>
      </c>
      <c r="AG333" s="4">
        <f>(AF333/AF332-1)-中国_中债国债到期收益率_1年!H333%/252</f>
        <v>-8.8484115778842136E-5</v>
      </c>
      <c r="AH333" s="4">
        <f>MIN((AF333-MAX($AF$151:AF333))/MAX($AF$151:AF333),0)</f>
        <v>-2.2093085198145413E-3</v>
      </c>
    </row>
    <row r="334" spans="1:34" x14ac:dyDescent="0.25">
      <c r="A334" s="6">
        <v>45194</v>
      </c>
      <c r="B334">
        <v>10</v>
      </c>
      <c r="C334">
        <v>10</v>
      </c>
      <c r="D334">
        <v>-10</v>
      </c>
      <c r="F334">
        <f t="shared" si="67"/>
        <v>10</v>
      </c>
      <c r="G334">
        <f t="shared" si="61"/>
        <v>10</v>
      </c>
      <c r="H334">
        <f t="shared" si="62"/>
        <v>50</v>
      </c>
      <c r="I334">
        <f t="shared" si="63"/>
        <v>-90</v>
      </c>
      <c r="J334">
        <f t="shared" si="64"/>
        <v>0</v>
      </c>
      <c r="K334">
        <f t="shared" si="68"/>
        <v>-30</v>
      </c>
      <c r="L334">
        <f>G334*Return!B334*100</f>
        <v>-10.000000000000231</v>
      </c>
      <c r="M334">
        <f>H334*Return!C334*100</f>
        <v>-101.99999999999987</v>
      </c>
      <c r="N334">
        <f>I334*Return!D334*100</f>
        <v>180.00000000000017</v>
      </c>
      <c r="O334">
        <f>J334*Return!E334*100</f>
        <v>0</v>
      </c>
      <c r="P334">
        <f t="shared" si="65"/>
        <v>68.000000000000071</v>
      </c>
      <c r="Q334">
        <f>SUM($P$148:P334)</f>
        <v>10149.500000000002</v>
      </c>
      <c r="R334">
        <f>B334*中国_中债国债到期收益率_1年!B333/365*100</f>
        <v>6.0210958904109599</v>
      </c>
      <c r="S334">
        <f>C334*中国_中债国债到期收益率_1年!C333/365*100</f>
        <v>6.9304109589041101</v>
      </c>
      <c r="T334">
        <f>D334*中国_中债国债到期收益率_1年!D333/365*100</f>
        <v>-7.3358904109589034</v>
      </c>
      <c r="U334">
        <f>E334*中国_中债国债到期收益率_1年!E333/365*100</f>
        <v>0</v>
      </c>
      <c r="V334">
        <f t="shared" si="66"/>
        <v>5.6156164383561666</v>
      </c>
      <c r="W334">
        <f>SUM($V$148:V334)</f>
        <v>8218.4601369863012</v>
      </c>
      <c r="X334">
        <f>MAX(F334-50,0)*中国_中债国债到期收益率_1年!H334*100/365</f>
        <v>0</v>
      </c>
      <c r="Y334">
        <f>SUM($X$148:X334)</f>
        <v>2654.2549315068459</v>
      </c>
      <c r="Z334">
        <v>-20</v>
      </c>
      <c r="AA334">
        <v>20</v>
      </c>
      <c r="AB334">
        <f>Z334*Return!F338*100</f>
        <v>-27.800000000000047</v>
      </c>
      <c r="AC334">
        <f>AA334*Return!G338*100</f>
        <v>42.200000000000237</v>
      </c>
      <c r="AD334">
        <f>SUM($AB$148:AB334)+SUM($AC$148:AC334)</f>
        <v>1186.9999999999984</v>
      </c>
      <c r="AE334">
        <f t="shared" si="69"/>
        <v>16900.705205479455</v>
      </c>
      <c r="AF334">
        <f t="shared" si="70"/>
        <v>1.033801410410959</v>
      </c>
      <c r="AG334" s="4">
        <f>(AF334/AF333-1)-中国_中债国债到期收益率_1年!H334%/252</f>
        <v>9.2030864125614513E-5</v>
      </c>
      <c r="AH334" s="4">
        <f>MIN((AF334-MAX($AF$151:AF334))/MAX($AF$151:AF334),0)</f>
        <v>-2.0393801017315771E-3</v>
      </c>
    </row>
    <row r="335" spans="1:34" x14ac:dyDescent="0.25">
      <c r="A335" s="6">
        <v>45195</v>
      </c>
      <c r="B335">
        <v>10</v>
      </c>
      <c r="D335">
        <v>-10</v>
      </c>
      <c r="F335">
        <f t="shared" si="67"/>
        <v>0</v>
      </c>
      <c r="G335">
        <f t="shared" si="61"/>
        <v>10</v>
      </c>
      <c r="H335">
        <f t="shared" si="62"/>
        <v>0</v>
      </c>
      <c r="I335">
        <f t="shared" si="63"/>
        <v>-90</v>
      </c>
      <c r="J335">
        <f t="shared" si="64"/>
        <v>0</v>
      </c>
      <c r="K335">
        <f t="shared" si="68"/>
        <v>-80</v>
      </c>
      <c r="L335">
        <f>G335*Return!B335*100</f>
        <v>-14.99999999999968</v>
      </c>
      <c r="M335">
        <f>H335*Return!C335*100</f>
        <v>0</v>
      </c>
      <c r="N335">
        <f>I335*Return!D335*100</f>
        <v>180.00000000000017</v>
      </c>
      <c r="O335">
        <f>J335*Return!E335*100</f>
        <v>0</v>
      </c>
      <c r="P335">
        <f t="shared" si="65"/>
        <v>165.00000000000048</v>
      </c>
      <c r="Q335">
        <f>SUM($P$148:P335)</f>
        <v>10314.500000000002</v>
      </c>
      <c r="R335">
        <f>B335*中国_中债国债到期收益率_1年!B334/365*100</f>
        <v>6.0621917808219177</v>
      </c>
      <c r="S335">
        <f>C335*中国_中债国债到期收益率_1年!C334/365*100</f>
        <v>0</v>
      </c>
      <c r="T335">
        <f>D335*中国_中债国债到期收益率_1年!D334/365*100</f>
        <v>-7.3906849315068497</v>
      </c>
      <c r="U335">
        <f>E335*中国_中债国债到期收益率_1年!E334/365*100</f>
        <v>0</v>
      </c>
      <c r="V335">
        <f t="shared" si="66"/>
        <v>-1.328493150684932</v>
      </c>
      <c r="W335">
        <f>SUM($V$148:V335)</f>
        <v>8217.1316438356171</v>
      </c>
      <c r="X335">
        <f>MAX(F335-50,0)*中国_中债国债到期收益率_1年!H335*100/365</f>
        <v>0</v>
      </c>
      <c r="Y335">
        <f>SUM($X$148:X335)</f>
        <v>2654.2549315068459</v>
      </c>
      <c r="AB335">
        <f>Z335*Return!F339*100</f>
        <v>0</v>
      </c>
      <c r="AC335">
        <f>AA335*Return!G339*100</f>
        <v>0</v>
      </c>
      <c r="AD335">
        <f>SUM($AB$148:AB335)+SUM($AC$148:AC335)</f>
        <v>1186.9999999999984</v>
      </c>
      <c r="AE335">
        <f t="shared" si="69"/>
        <v>17064.376712328773</v>
      </c>
      <c r="AF335">
        <f t="shared" si="70"/>
        <v>1.0341287534246575</v>
      </c>
      <c r="AG335" s="4">
        <f>(AF335/AF334-1)-中国_中债国债到期收益率_1年!H335%/252</f>
        <v>2.3925917830748685E-4</v>
      </c>
      <c r="AH335" s="4">
        <f>MIN((AF335-MAX($AF$151:AF335))/MAX($AF$151:AF335),0)</f>
        <v>-1.7233857206249738E-3</v>
      </c>
    </row>
    <row r="336" spans="1:34" x14ac:dyDescent="0.25">
      <c r="A336" s="6">
        <v>45196</v>
      </c>
      <c r="B336">
        <v>10</v>
      </c>
      <c r="D336">
        <v>-10</v>
      </c>
      <c r="F336">
        <f t="shared" si="67"/>
        <v>0</v>
      </c>
      <c r="G336">
        <f t="shared" si="61"/>
        <v>10</v>
      </c>
      <c r="H336">
        <f t="shared" si="62"/>
        <v>0</v>
      </c>
      <c r="I336">
        <f t="shared" si="63"/>
        <v>-90</v>
      </c>
      <c r="J336">
        <f t="shared" si="64"/>
        <v>0</v>
      </c>
      <c r="K336">
        <f t="shared" si="68"/>
        <v>-80</v>
      </c>
      <c r="L336">
        <f>G336*Return!B336*100</f>
        <v>-20.000000000000018</v>
      </c>
      <c r="M336">
        <f>H336*Return!C336*100</f>
        <v>0</v>
      </c>
      <c r="N336">
        <f>I336*Return!D336*100</f>
        <v>-22.49999999999952</v>
      </c>
      <c r="O336">
        <f>J336*Return!E336*100</f>
        <v>0</v>
      </c>
      <c r="P336">
        <f t="shared" si="65"/>
        <v>-42.499999999999538</v>
      </c>
      <c r="Q336">
        <f>SUM($P$148:P336)</f>
        <v>10272.000000000002</v>
      </c>
      <c r="R336">
        <f>B336*中国_中债国债到期收益率_1年!B335/365*100</f>
        <v>6.1169863013698622</v>
      </c>
      <c r="S336">
        <f>C336*中国_中债国债到期收益率_1年!C335/365*100</f>
        <v>0</v>
      </c>
      <c r="T336">
        <f>D336*中国_中债国债到期收益率_1年!D335/365*100</f>
        <v>-7.3838356164383558</v>
      </c>
      <c r="U336">
        <f>E336*中国_中债国债到期收益率_1年!E335/365*100</f>
        <v>0</v>
      </c>
      <c r="V336">
        <f t="shared" si="66"/>
        <v>-1.2668493150684936</v>
      </c>
      <c r="W336">
        <f>SUM($V$148:V336)</f>
        <v>8215.8647945205485</v>
      </c>
      <c r="X336">
        <f>MAX(F336-50,0)*中国_中债国债到期收益率_1年!H336*100/365</f>
        <v>0</v>
      </c>
      <c r="Y336">
        <f>SUM($X$148:X336)</f>
        <v>2654.2549315068459</v>
      </c>
      <c r="AB336">
        <f>Z336*Return!F340*100</f>
        <v>0</v>
      </c>
      <c r="AC336">
        <f>AA336*Return!G340*100</f>
        <v>0</v>
      </c>
      <c r="AD336">
        <f>SUM($AB$148:AB336)+SUM($AC$148:AC336)</f>
        <v>1186.9999999999984</v>
      </c>
      <c r="AE336">
        <f t="shared" si="69"/>
        <v>17020.609863013706</v>
      </c>
      <c r="AF336">
        <f t="shared" si="70"/>
        <v>1.0340412197260274</v>
      </c>
      <c r="AG336" s="4">
        <f>(AF336/AF335-1)-中国_中债国债到期收益率_1年!H336%/252</f>
        <v>-1.5726392219609213E-4</v>
      </c>
      <c r="AH336" s="4">
        <f>MIN((AF336-MAX($AF$151:AF336))/MAX($AF$151:AF336),0)</f>
        <v>-1.8078847194338298E-3</v>
      </c>
    </row>
    <row r="337" spans="1:34" x14ac:dyDescent="0.25">
      <c r="A337" s="6">
        <v>45197</v>
      </c>
      <c r="B337">
        <v>10</v>
      </c>
      <c r="D337">
        <v>-10</v>
      </c>
      <c r="F337">
        <f t="shared" si="67"/>
        <v>0</v>
      </c>
      <c r="G337">
        <f t="shared" si="61"/>
        <v>10</v>
      </c>
      <c r="H337">
        <f t="shared" si="62"/>
        <v>0</v>
      </c>
      <c r="I337">
        <f t="shared" si="63"/>
        <v>-90</v>
      </c>
      <c r="J337">
        <f t="shared" si="64"/>
        <v>0</v>
      </c>
      <c r="K337">
        <f t="shared" si="68"/>
        <v>-80</v>
      </c>
      <c r="L337">
        <f>G337*Return!B337*100</f>
        <v>24.999999999999911</v>
      </c>
      <c r="M337">
        <f>H337*Return!C337*100</f>
        <v>0</v>
      </c>
      <c r="N337">
        <f>I337*Return!D337*100</f>
        <v>-66.600000000000662</v>
      </c>
      <c r="O337">
        <f>J337*Return!E337*100</f>
        <v>0</v>
      </c>
      <c r="P337">
        <f t="shared" si="65"/>
        <v>-41.600000000000747</v>
      </c>
      <c r="Q337">
        <f>SUM($P$148:P337)</f>
        <v>10230.400000000001</v>
      </c>
      <c r="R337">
        <f>B337*中国_中债国债到期收益率_1年!B336/365*100</f>
        <v>6.0484931506849309</v>
      </c>
      <c r="S337">
        <f>C337*中国_中债国债到期收益率_1年!C336/365*100</f>
        <v>0</v>
      </c>
      <c r="T337">
        <f>D337*中国_中债国债到期收益率_1年!D336/365*100</f>
        <v>-7.3635616438356157</v>
      </c>
      <c r="U337">
        <f>E337*中国_中债国债到期收益率_1年!E336/365*100</f>
        <v>0</v>
      </c>
      <c r="V337">
        <f t="shared" si="66"/>
        <v>-1.3150684931506849</v>
      </c>
      <c r="W337">
        <f>SUM($V$148:V337)</f>
        <v>8214.5497260273969</v>
      </c>
      <c r="X337">
        <f>MAX(F337-50,0)*中国_中债国债到期收益率_1年!H337*100/365</f>
        <v>0</v>
      </c>
      <c r="Y337">
        <f>SUM($X$148:X337)</f>
        <v>2654.2549315068459</v>
      </c>
      <c r="AB337">
        <f>Z337*Return!F341*100</f>
        <v>0</v>
      </c>
      <c r="AC337">
        <f>AA337*Return!G341*100</f>
        <v>0</v>
      </c>
      <c r="AD337">
        <f>SUM($AB$148:AB337)+SUM($AC$148:AC337)</f>
        <v>1186.9999999999984</v>
      </c>
      <c r="AE337">
        <f t="shared" si="69"/>
        <v>16977.694794520554</v>
      </c>
      <c r="AF337">
        <f t="shared" si="70"/>
        <v>1.0339553895890412</v>
      </c>
      <c r="AG337" s="4">
        <f>(AF337/AF336-1)-中国_中债国债到期收益率_1年!H337%/252</f>
        <v>-1.7030614780539499E-4</v>
      </c>
      <c r="AH337" s="4">
        <f>MIN((AF337-MAX($AF$151:AF337))/MAX($AF$151:AF337),0)</f>
        <v>-1.8907392172610338E-3</v>
      </c>
    </row>
    <row r="338" spans="1:34" x14ac:dyDescent="0.25">
      <c r="A338" s="6">
        <v>45206</v>
      </c>
      <c r="D338">
        <v>-10</v>
      </c>
      <c r="F338">
        <f t="shared" si="67"/>
        <v>-10</v>
      </c>
      <c r="G338">
        <f t="shared" si="61"/>
        <v>0</v>
      </c>
      <c r="H338">
        <f t="shared" si="62"/>
        <v>0</v>
      </c>
      <c r="I338">
        <f t="shared" si="63"/>
        <v>-90</v>
      </c>
      <c r="J338">
        <f t="shared" si="64"/>
        <v>0</v>
      </c>
      <c r="K338">
        <f t="shared" si="68"/>
        <v>-90</v>
      </c>
      <c r="L338">
        <f>G338*Return!B338*100</f>
        <v>0</v>
      </c>
      <c r="M338">
        <f>H338*Return!C338*100</f>
        <v>0</v>
      </c>
      <c r="N338">
        <f>I338*Return!D338*100</f>
        <v>-113.39999999999949</v>
      </c>
      <c r="O338">
        <f>J338*Return!E338*100</f>
        <v>0</v>
      </c>
      <c r="P338">
        <f t="shared" si="65"/>
        <v>-113.39999999999949</v>
      </c>
      <c r="Q338">
        <f>SUM($P$148:P338)</f>
        <v>10117.000000000002</v>
      </c>
      <c r="R338">
        <f>B338*中国_中债国债到期收益率_1年!B337/365*100</f>
        <v>0</v>
      </c>
      <c r="S338">
        <f>C338*中国_中债国债到期收益率_1年!C337/365*100</f>
        <v>0</v>
      </c>
      <c r="T338">
        <f>D338*中国_中债国债到期收益率_1年!D337/365*100</f>
        <v>-7.3290410958904113</v>
      </c>
      <c r="U338">
        <f>E338*中国_中债国债到期收益率_1年!E337/365*100</f>
        <v>0</v>
      </c>
      <c r="V338">
        <f t="shared" si="66"/>
        <v>-7.3290410958904113</v>
      </c>
      <c r="W338">
        <f>SUM($V$148:V338)</f>
        <v>8207.2206849315062</v>
      </c>
      <c r="X338">
        <f>MAX(F338-50,0)*中国_中债国债到期收益率_1年!H338*100/365</f>
        <v>0</v>
      </c>
      <c r="Y338">
        <f>SUM($X$148:X338)</f>
        <v>2654.2549315068459</v>
      </c>
      <c r="AB338">
        <f>Z338*Return!F342*100</f>
        <v>0</v>
      </c>
      <c r="AC338">
        <f>AA338*Return!G342*100</f>
        <v>0</v>
      </c>
      <c r="AD338">
        <f>SUM($AB$148:AB338)+SUM($AC$148:AC338)</f>
        <v>1186.9999999999984</v>
      </c>
      <c r="AE338">
        <f t="shared" si="69"/>
        <v>16856.965753424662</v>
      </c>
      <c r="AF338">
        <f t="shared" si="70"/>
        <v>1.0337139315068493</v>
      </c>
      <c r="AG338" s="4">
        <f>(AF338/AF337-1)-中国_中债国债到期收益率_1年!H338%/252</f>
        <v>-3.0694122838907737E-4</v>
      </c>
      <c r="AH338" s="4">
        <f>MIN((AF338-MAX($AF$151:AF338))/MAX($AF$151:AF338),0)</f>
        <v>-2.1238262056874459E-3</v>
      </c>
    </row>
    <row r="339" spans="1:34" x14ac:dyDescent="0.25">
      <c r="A339" s="6">
        <v>45207</v>
      </c>
      <c r="D339">
        <v>-10</v>
      </c>
      <c r="F339">
        <f t="shared" si="67"/>
        <v>-10</v>
      </c>
      <c r="G339">
        <f t="shared" si="61"/>
        <v>0</v>
      </c>
      <c r="H339">
        <f t="shared" si="62"/>
        <v>0</v>
      </c>
      <c r="I339">
        <f t="shared" si="63"/>
        <v>-90</v>
      </c>
      <c r="J339">
        <f t="shared" si="64"/>
        <v>0</v>
      </c>
      <c r="K339">
        <f t="shared" si="68"/>
        <v>-90</v>
      </c>
      <c r="L339">
        <f>G339*Return!B339*100</f>
        <v>0</v>
      </c>
      <c r="M339">
        <f>H339*Return!C339*100</f>
        <v>0</v>
      </c>
      <c r="N339">
        <f>I339*Return!D339*100</f>
        <v>-90.000000000002075</v>
      </c>
      <c r="O339">
        <f>J339*Return!E339*100</f>
        <v>0</v>
      </c>
      <c r="P339">
        <f t="shared" si="65"/>
        <v>-90.000000000002075</v>
      </c>
      <c r="Q339">
        <f>SUM($P$148:P339)</f>
        <v>10027</v>
      </c>
      <c r="R339">
        <f>B339*中国_中债国债到期收益率_1年!B338/365*100</f>
        <v>0</v>
      </c>
      <c r="S339">
        <f>C339*中国_中债国债到期收益率_1年!C338/365*100</f>
        <v>0</v>
      </c>
      <c r="T339">
        <f>D339*中国_中债国债到期收益率_1年!D338/365*100</f>
        <v>-7.3016438356164377</v>
      </c>
      <c r="U339">
        <f>E339*中国_中债国债到期收益率_1年!E338/365*100</f>
        <v>0</v>
      </c>
      <c r="V339">
        <f t="shared" si="66"/>
        <v>-7.3016438356164377</v>
      </c>
      <c r="W339">
        <f>SUM($V$148:V339)</f>
        <v>8199.919041095889</v>
      </c>
      <c r="X339">
        <f>MAX(F339-50,0)*中国_中债国债到期收益率_1年!H339*100/365</f>
        <v>0</v>
      </c>
      <c r="Y339">
        <f>SUM($X$148:X339)</f>
        <v>2654.2549315068459</v>
      </c>
      <c r="Z339">
        <v>-20</v>
      </c>
      <c r="AA339">
        <v>20</v>
      </c>
      <c r="AB339">
        <f>Z339*Return!F343*100</f>
        <v>48.000000000000043</v>
      </c>
      <c r="AC339">
        <f>AA339*Return!G343*100</f>
        <v>-55.000000000000604</v>
      </c>
      <c r="AD339">
        <f>SUM($AB$148:AB339)+SUM($AC$148:AC339)</f>
        <v>1179.999999999998</v>
      </c>
      <c r="AE339">
        <f t="shared" si="69"/>
        <v>16752.664109589041</v>
      </c>
      <c r="AF339">
        <f t="shared" si="70"/>
        <v>1.0335053282191782</v>
      </c>
      <c r="AG339" s="4">
        <f>(AF339/AF338-1)-中国_中债国债到期收益率_1年!H339%/252</f>
        <v>-2.7322839371309222E-4</v>
      </c>
      <c r="AH339" s="4">
        <f>MIN((AF339-MAX($AF$151:AF339))/MAX($AF$151:AF339),0)</f>
        <v>-2.325197440221118E-3</v>
      </c>
    </row>
    <row r="340" spans="1:34" x14ac:dyDescent="0.25">
      <c r="A340" s="6">
        <v>45208</v>
      </c>
      <c r="D340">
        <v>-10</v>
      </c>
      <c r="F340">
        <f t="shared" si="67"/>
        <v>-10</v>
      </c>
      <c r="G340">
        <f t="shared" ref="G340:G364" si="71">B340</f>
        <v>0</v>
      </c>
      <c r="H340">
        <f t="shared" ref="H340:H364" si="72">5*C340</f>
        <v>0</v>
      </c>
      <c r="I340">
        <f t="shared" ref="I340:I364" si="73">9*D340</f>
        <v>-90</v>
      </c>
      <c r="J340">
        <f t="shared" ref="J340:J364" si="74">16*E340</f>
        <v>0</v>
      </c>
      <c r="K340">
        <f t="shared" si="68"/>
        <v>-90</v>
      </c>
      <c r="L340">
        <f>G340*Return!B340*100</f>
        <v>0</v>
      </c>
      <c r="M340">
        <f>H340*Return!C340*100</f>
        <v>0</v>
      </c>
      <c r="N340">
        <f>I340*Return!D340*100</f>
        <v>-22.49999999999952</v>
      </c>
      <c r="O340">
        <f>J340*Return!E340*100</f>
        <v>0</v>
      </c>
      <c r="P340">
        <f t="shared" ref="P340:P364" si="75">SUM(L340:O340)</f>
        <v>-22.49999999999952</v>
      </c>
      <c r="Q340">
        <f>SUM($P$148:P340)</f>
        <v>10004.5</v>
      </c>
      <c r="R340">
        <f>B340*中国_中债国债到期收益率_1年!B339/365*100</f>
        <v>0</v>
      </c>
      <c r="S340">
        <f>C340*中国_中债国债到期收益率_1年!C339/365*100</f>
        <v>0</v>
      </c>
      <c r="T340">
        <f>D340*中国_中债国债到期收益率_1年!D339/365*100</f>
        <v>-7.2947945205479439</v>
      </c>
      <c r="U340">
        <f>E340*中国_中债国债到期收益率_1年!E339/365*100</f>
        <v>0</v>
      </c>
      <c r="V340">
        <f t="shared" ref="V340:V364" si="76">SUM(R340:U340)</f>
        <v>-7.2947945205479439</v>
      </c>
      <c r="W340">
        <f>SUM($V$148:V340)</f>
        <v>8192.6242465753403</v>
      </c>
      <c r="X340">
        <f>MAX(F340-50,0)*中国_中债国债到期收益率_1年!H340*100/365</f>
        <v>0</v>
      </c>
      <c r="Y340">
        <f>SUM($X$148:X340)</f>
        <v>2654.2549315068459</v>
      </c>
      <c r="Z340">
        <v>-20</v>
      </c>
      <c r="AA340">
        <v>20</v>
      </c>
      <c r="AB340">
        <f>Z340*Return!F344*100</f>
        <v>0.20000000000042206</v>
      </c>
      <c r="AC340">
        <f>AA340*Return!G344*100</f>
        <v>-17.799999999999372</v>
      </c>
      <c r="AD340">
        <f>SUM($AB$148:AB340)+SUM($AC$148:AC340)</f>
        <v>1162.399999999999</v>
      </c>
      <c r="AE340">
        <f t="shared" si="69"/>
        <v>16705.26931506849</v>
      </c>
      <c r="AF340">
        <f t="shared" si="70"/>
        <v>1.0334105386301369</v>
      </c>
      <c r="AG340" s="4">
        <f>(AF340/AF339-1)-中国_中债国债到期收益率_1年!H340%/252</f>
        <v>-1.714784992033092E-4</v>
      </c>
      <c r="AH340" s="4">
        <f>MIN((AF340-MAX($AF$151:AF340))/MAX($AF$151:AF340),0)</f>
        <v>-2.4167007754718928E-3</v>
      </c>
    </row>
    <row r="341" spans="1:34" x14ac:dyDescent="0.25">
      <c r="A341" s="6">
        <v>45209</v>
      </c>
      <c r="D341">
        <v>-10</v>
      </c>
      <c r="F341">
        <f t="shared" si="67"/>
        <v>-10</v>
      </c>
      <c r="G341">
        <f t="shared" si="71"/>
        <v>0</v>
      </c>
      <c r="H341">
        <f t="shared" si="72"/>
        <v>0</v>
      </c>
      <c r="I341">
        <f t="shared" si="73"/>
        <v>-90</v>
      </c>
      <c r="J341">
        <f t="shared" si="74"/>
        <v>0</v>
      </c>
      <c r="K341">
        <f t="shared" si="68"/>
        <v>-90</v>
      </c>
      <c r="L341">
        <f>G341*Return!B341*100</f>
        <v>0</v>
      </c>
      <c r="M341">
        <f>H341*Return!C341*100</f>
        <v>0</v>
      </c>
      <c r="N341">
        <f>I341*Return!D341*100</f>
        <v>68.40000000000046</v>
      </c>
      <c r="O341">
        <f>J341*Return!E341*100</f>
        <v>0</v>
      </c>
      <c r="P341">
        <f t="shared" si="75"/>
        <v>68.40000000000046</v>
      </c>
      <c r="Q341">
        <f>SUM($P$148:P341)</f>
        <v>10072.9</v>
      </c>
      <c r="R341">
        <f>B341*中国_中债国债到期收益率_1年!B340/365*100</f>
        <v>0</v>
      </c>
      <c r="S341">
        <f>C341*中国_中债国债到期收益率_1年!C340/365*100</f>
        <v>0</v>
      </c>
      <c r="T341">
        <f>D341*中国_中债国债到期收益率_1年!D340/365*100</f>
        <v>-7.3156164383561633</v>
      </c>
      <c r="U341">
        <f>E341*中国_中债国债到期收益率_1年!E340/365*100</f>
        <v>0</v>
      </c>
      <c r="V341">
        <f t="shared" si="76"/>
        <v>-7.3156164383561633</v>
      </c>
      <c r="W341">
        <f>SUM($V$148:V341)</f>
        <v>8185.308630136984</v>
      </c>
      <c r="X341">
        <f>MAX(F341-50,0)*中国_中债国债到期收益率_1年!H341*100/365</f>
        <v>0</v>
      </c>
      <c r="Y341">
        <f>SUM($X$148:X341)</f>
        <v>2654.2549315068459</v>
      </c>
      <c r="Z341">
        <v>-20</v>
      </c>
      <c r="AA341">
        <v>20</v>
      </c>
      <c r="AB341">
        <f>Z341*Return!F345*100</f>
        <v>-27.200000000000557</v>
      </c>
      <c r="AC341">
        <f>AA341*Return!G345*100</f>
        <v>53.399999999999892</v>
      </c>
      <c r="AD341">
        <f>SUM($AB$148:AB341)+SUM($AC$148:AC341)</f>
        <v>1188.5999999999983</v>
      </c>
      <c r="AE341">
        <f t="shared" si="69"/>
        <v>16792.553698630138</v>
      </c>
      <c r="AF341">
        <f t="shared" si="70"/>
        <v>1.0335851073972602</v>
      </c>
      <c r="AG341" s="4">
        <f>(AF341/AF340-1)-中国_中债国债到期收益率_1年!H341%/252</f>
        <v>8.7575689031466894E-5</v>
      </c>
      <c r="AH341" s="4">
        <f>MIN((AF341-MAX($AF$151:AF341))/MAX($AF$151:AF341),0)</f>
        <v>-2.248184121016965E-3</v>
      </c>
    </row>
    <row r="342" spans="1:34" x14ac:dyDescent="0.25">
      <c r="A342" s="6">
        <v>45210</v>
      </c>
      <c r="D342">
        <v>-10</v>
      </c>
      <c r="F342">
        <f t="shared" si="67"/>
        <v>-10</v>
      </c>
      <c r="G342">
        <f t="shared" si="71"/>
        <v>0</v>
      </c>
      <c r="H342">
        <f t="shared" si="72"/>
        <v>0</v>
      </c>
      <c r="I342">
        <f t="shared" si="73"/>
        <v>-90</v>
      </c>
      <c r="J342">
        <f t="shared" si="74"/>
        <v>0</v>
      </c>
      <c r="K342">
        <f t="shared" si="68"/>
        <v>-90</v>
      </c>
      <c r="L342">
        <f>G342*Return!B342*100</f>
        <v>0</v>
      </c>
      <c r="M342">
        <f>H342*Return!C342*100</f>
        <v>0</v>
      </c>
      <c r="N342">
        <f>I342*Return!D342*100</f>
        <v>98.099999999999184</v>
      </c>
      <c r="O342">
        <f>J342*Return!E342*100</f>
        <v>0</v>
      </c>
      <c r="P342">
        <f t="shared" si="75"/>
        <v>98.099999999999184</v>
      </c>
      <c r="Q342">
        <f>SUM($P$148:P342)</f>
        <v>10170.999999999998</v>
      </c>
      <c r="R342">
        <f>B342*中国_中债国债到期收益率_1年!B341/365*100</f>
        <v>0</v>
      </c>
      <c r="S342">
        <f>C342*中国_中债国债到期收益率_1年!C341/365*100</f>
        <v>0</v>
      </c>
      <c r="T342">
        <f>D342*中国_中债国债到期收益率_1年!D341/365*100</f>
        <v>-7.3454794520547946</v>
      </c>
      <c r="U342">
        <f>E342*中国_中债国债到期收益率_1年!E341/365*100</f>
        <v>0</v>
      </c>
      <c r="V342">
        <f t="shared" si="76"/>
        <v>-7.3454794520547946</v>
      </c>
      <c r="W342">
        <f>SUM($V$148:V342)</f>
        <v>8177.9631506849291</v>
      </c>
      <c r="X342">
        <f>MAX(F342-50,0)*中国_中债国债到期收益率_1年!H342*100/365</f>
        <v>0</v>
      </c>
      <c r="Y342">
        <f>SUM($X$148:X342)</f>
        <v>2654.2549315068459</v>
      </c>
      <c r="Z342">
        <v>-20</v>
      </c>
      <c r="AA342">
        <v>20</v>
      </c>
      <c r="AB342">
        <f>Z342*Return!F346*100</f>
        <v>-0.99999999999944578</v>
      </c>
      <c r="AC342">
        <f>AA342*Return!G346*100</f>
        <v>8.5999999999994969</v>
      </c>
      <c r="AD342">
        <f>SUM($AB$148:AB342)+SUM($AC$148:AC342)</f>
        <v>1196.1999999999982</v>
      </c>
      <c r="AE342">
        <f t="shared" si="69"/>
        <v>16890.908219178076</v>
      </c>
      <c r="AF342">
        <f t="shared" si="70"/>
        <v>1.0337818164383561</v>
      </c>
      <c r="AG342" s="4">
        <f>(AF342/AF341-1)-中国_中债国债到期收益率_1年!H342%/252</f>
        <v>1.0539658200533766E-4</v>
      </c>
      <c r="AH342" s="4">
        <f>MIN((AF342-MAX($AF$151:AF342))/MAX($AF$151:AF342),0)</f>
        <v>-2.0582947722360971E-3</v>
      </c>
    </row>
    <row r="343" spans="1:34" x14ac:dyDescent="0.25">
      <c r="A343" s="6">
        <v>45211</v>
      </c>
      <c r="D343">
        <v>-10</v>
      </c>
      <c r="F343">
        <f t="shared" si="67"/>
        <v>-10</v>
      </c>
      <c r="G343">
        <f t="shared" si="71"/>
        <v>0</v>
      </c>
      <c r="H343">
        <f t="shared" si="72"/>
        <v>0</v>
      </c>
      <c r="I343">
        <f t="shared" si="73"/>
        <v>-90</v>
      </c>
      <c r="J343">
        <f t="shared" si="74"/>
        <v>0</v>
      </c>
      <c r="K343">
        <f t="shared" si="68"/>
        <v>-90</v>
      </c>
      <c r="L343">
        <f>G343*Return!B343*100</f>
        <v>0</v>
      </c>
      <c r="M343">
        <f>H343*Return!C343*100</f>
        <v>0</v>
      </c>
      <c r="N343">
        <f>I343*Return!D343*100</f>
        <v>148.50000000000162</v>
      </c>
      <c r="O343">
        <f>J343*Return!E343*100</f>
        <v>0</v>
      </c>
      <c r="P343">
        <f t="shared" si="75"/>
        <v>148.50000000000162</v>
      </c>
      <c r="Q343">
        <f>SUM($P$148:P343)</f>
        <v>10319.5</v>
      </c>
      <c r="R343">
        <f>B343*中国_中债国债到期收益率_1年!B342/365*100</f>
        <v>0</v>
      </c>
      <c r="S343">
        <f>C343*中国_中债国债到期收益率_1年!C342/365*100</f>
        <v>0</v>
      </c>
      <c r="T343">
        <f>D343*中国_中债国债到期收益率_1年!D342/365*100</f>
        <v>-7.3906849315068497</v>
      </c>
      <c r="U343">
        <f>E343*中国_中债国债到期收益率_1年!E342/365*100</f>
        <v>0</v>
      </c>
      <c r="V343">
        <f t="shared" si="76"/>
        <v>-7.3906849315068497</v>
      </c>
      <c r="W343">
        <f>SUM($V$148:V343)</f>
        <v>8170.572465753422</v>
      </c>
      <c r="X343">
        <f>MAX(F343-50,0)*中国_中债国债到期收益率_1年!H343*100/365</f>
        <v>0</v>
      </c>
      <c r="Y343">
        <f>SUM($X$148:X343)</f>
        <v>2654.2549315068459</v>
      </c>
      <c r="Z343">
        <v>-50</v>
      </c>
      <c r="AA343">
        <v>50</v>
      </c>
      <c r="AB343">
        <f>Z343*Return!F347*100</f>
        <v>87.99999999999919</v>
      </c>
      <c r="AC343">
        <f>AA343*Return!G347*100</f>
        <v>-91.499999999999915</v>
      </c>
      <c r="AD343">
        <f>SUM($AB$148:AB343)+SUM($AC$148:AC343)</f>
        <v>1192.6999999999975</v>
      </c>
      <c r="AE343">
        <f t="shared" si="69"/>
        <v>17028.517534246574</v>
      </c>
      <c r="AF343">
        <f t="shared" si="70"/>
        <v>1.0340570350684932</v>
      </c>
      <c r="AG343" s="4">
        <f>(AF343/AF342-1)-中国_中债国债到期收益率_1年!H343%/252</f>
        <v>1.8289173056384081E-4</v>
      </c>
      <c r="AH343" s="4">
        <f>MIN((AF343-MAX($AF$151:AF343))/MAX($AF$151:AF343),0)</f>
        <v>-1.7926176779960914E-3</v>
      </c>
    </row>
    <row r="344" spans="1:34" x14ac:dyDescent="0.25">
      <c r="A344" s="6">
        <v>45212</v>
      </c>
      <c r="D344">
        <v>-10</v>
      </c>
      <c r="F344">
        <f t="shared" si="67"/>
        <v>-10</v>
      </c>
      <c r="G344">
        <f t="shared" si="71"/>
        <v>0</v>
      </c>
      <c r="H344">
        <f t="shared" si="72"/>
        <v>0</v>
      </c>
      <c r="I344">
        <f t="shared" si="73"/>
        <v>-90</v>
      </c>
      <c r="J344">
        <f t="shared" si="74"/>
        <v>0</v>
      </c>
      <c r="K344">
        <f t="shared" si="68"/>
        <v>-90</v>
      </c>
      <c r="L344">
        <f>G344*Return!B344*100</f>
        <v>0</v>
      </c>
      <c r="M344">
        <f>H344*Return!C344*100</f>
        <v>0</v>
      </c>
      <c r="N344">
        <f>I344*Return!D344*100</f>
        <v>-58.499999999999552</v>
      </c>
      <c r="O344">
        <f>J344*Return!E344*100</f>
        <v>0</v>
      </c>
      <c r="P344">
        <f t="shared" si="75"/>
        <v>-58.499999999999552</v>
      </c>
      <c r="Q344">
        <f>SUM($P$148:P344)</f>
        <v>10261</v>
      </c>
      <c r="R344">
        <f>B344*中国_中债国债到期收益率_1年!B343/365*100</f>
        <v>0</v>
      </c>
      <c r="S344">
        <f>C344*中国_中债国债到期收益率_1年!C343/365*100</f>
        <v>0</v>
      </c>
      <c r="T344">
        <f>D344*中国_中债国债到期收益率_1年!D343/365*100</f>
        <v>-7.3728767123287673</v>
      </c>
      <c r="U344">
        <f>E344*中国_中债国债到期收益率_1年!E343/365*100</f>
        <v>0</v>
      </c>
      <c r="V344">
        <f t="shared" si="76"/>
        <v>-7.3728767123287673</v>
      </c>
      <c r="W344">
        <f>SUM($V$148:V344)</f>
        <v>8163.1995890410935</v>
      </c>
      <c r="X344">
        <f>MAX(F344-50,0)*中国_中债国债到期收益率_1年!H344*100/365</f>
        <v>0</v>
      </c>
      <c r="Y344">
        <f>SUM($X$148:X344)</f>
        <v>2654.2549315068459</v>
      </c>
      <c r="Z344">
        <v>-100</v>
      </c>
      <c r="AA344">
        <v>100</v>
      </c>
      <c r="AB344">
        <f>Z344*Return!F348*100</f>
        <v>56.000000000002714</v>
      </c>
      <c r="AC344">
        <f>AA344*Return!G348*100</f>
        <v>-45.999999999999375</v>
      </c>
      <c r="AD344">
        <f>SUM($AB$148:AB344)+SUM($AC$148:AC344)</f>
        <v>1202.700000000001</v>
      </c>
      <c r="AE344">
        <f t="shared" si="69"/>
        <v>16972.644657534249</v>
      </c>
      <c r="AF344">
        <f t="shared" si="70"/>
        <v>1.0339452893150685</v>
      </c>
      <c r="AG344" s="4">
        <f>(AF344/AF343-1)-中国_中债国债到期收益率_1年!H344%/252</f>
        <v>-1.8941457376612708E-4</v>
      </c>
      <c r="AH344" s="4">
        <f>MIN((AF344-MAX($AF$151:AF344))/MAX($AF$151:AF344),0)</f>
        <v>-1.9004893255250353E-3</v>
      </c>
    </row>
    <row r="345" spans="1:34" x14ac:dyDescent="0.25">
      <c r="A345" s="6">
        <v>45215</v>
      </c>
      <c r="D345">
        <v>-10</v>
      </c>
      <c r="F345">
        <f t="shared" si="67"/>
        <v>-10</v>
      </c>
      <c r="G345">
        <f t="shared" si="71"/>
        <v>0</v>
      </c>
      <c r="H345">
        <f t="shared" si="72"/>
        <v>0</v>
      </c>
      <c r="I345">
        <f t="shared" si="73"/>
        <v>-90</v>
      </c>
      <c r="J345">
        <f t="shared" si="74"/>
        <v>0</v>
      </c>
      <c r="K345">
        <f t="shared" si="68"/>
        <v>-90</v>
      </c>
      <c r="L345">
        <f>G345*Return!B345*100</f>
        <v>0</v>
      </c>
      <c r="M345">
        <f>H345*Return!C345*100</f>
        <v>0</v>
      </c>
      <c r="N345">
        <f>I345*Return!D345*100</f>
        <v>-188.10000000000127</v>
      </c>
      <c r="O345">
        <f>J345*Return!E345*100</f>
        <v>0</v>
      </c>
      <c r="P345">
        <f t="shared" si="75"/>
        <v>-188.10000000000127</v>
      </c>
      <c r="Q345">
        <f>SUM($P$148:P345)</f>
        <v>10072.899999999998</v>
      </c>
      <c r="R345">
        <f>B345*中国_中债国债到期收益率_1年!B344/365*100</f>
        <v>0</v>
      </c>
      <c r="S345">
        <f>C345*中国_中债国债到期收益率_1年!C344/365*100</f>
        <v>0</v>
      </c>
      <c r="T345">
        <f>D345*中国_中债国债到期收益率_1年!D344/365*100</f>
        <v>-7.3156164383561633</v>
      </c>
      <c r="U345">
        <f>E345*中国_中债国债到期收益率_1年!E344/365*100</f>
        <v>0</v>
      </c>
      <c r="V345">
        <f t="shared" si="76"/>
        <v>-7.3156164383561633</v>
      </c>
      <c r="W345">
        <f>SUM($V$148:V345)</f>
        <v>8155.8839726027372</v>
      </c>
      <c r="X345">
        <f>MAX(F345-50,0)*中国_中债国债到期收益率_1年!H345*100/365</f>
        <v>0</v>
      </c>
      <c r="Y345">
        <f>SUM($X$148:X345)</f>
        <v>2654.2549315068459</v>
      </c>
      <c r="Z345">
        <v>-100</v>
      </c>
      <c r="AA345">
        <v>100</v>
      </c>
      <c r="AB345">
        <f>Z345*Return!F349*100</f>
        <v>366.99999999999733</v>
      </c>
      <c r="AC345">
        <f>AA345*Return!G349*100</f>
        <v>-280.00000000000023</v>
      </c>
      <c r="AD345">
        <f>SUM($AB$148:AB345)+SUM($AC$148:AC345)</f>
        <v>1289.699999999998</v>
      </c>
      <c r="AE345">
        <f t="shared" si="69"/>
        <v>16864.229041095885</v>
      </c>
      <c r="AF345">
        <f t="shared" si="70"/>
        <v>1.0337284580821917</v>
      </c>
      <c r="AG345" s="4">
        <f>(AF345/AF344-1)-中国_中债国债到期收益率_1年!H345%/252</f>
        <v>-2.9106168835139532E-4</v>
      </c>
      <c r="AH345" s="4">
        <f>MIN((AF345-MAX($AF$151:AF345))/MAX($AF$151:AF345),0)</f>
        <v>-2.1098032511937615E-3</v>
      </c>
    </row>
    <row r="346" spans="1:34" x14ac:dyDescent="0.25">
      <c r="A346" s="6">
        <v>45216</v>
      </c>
      <c r="D346">
        <v>-10</v>
      </c>
      <c r="F346">
        <f t="shared" si="67"/>
        <v>-10</v>
      </c>
      <c r="G346">
        <f t="shared" si="71"/>
        <v>0</v>
      </c>
      <c r="H346">
        <f t="shared" si="72"/>
        <v>0</v>
      </c>
      <c r="I346">
        <f t="shared" si="73"/>
        <v>-90</v>
      </c>
      <c r="J346">
        <f t="shared" si="74"/>
        <v>0</v>
      </c>
      <c r="K346">
        <f t="shared" si="68"/>
        <v>-90</v>
      </c>
      <c r="L346">
        <f>G346*Return!B346*100</f>
        <v>0</v>
      </c>
      <c r="M346">
        <f>H346*Return!C346*100</f>
        <v>0</v>
      </c>
      <c r="N346">
        <f>I346*Return!D346*100</f>
        <v>67.500000000002558</v>
      </c>
      <c r="O346">
        <f>J346*Return!E346*100</f>
        <v>0</v>
      </c>
      <c r="P346">
        <f t="shared" si="75"/>
        <v>67.500000000002558</v>
      </c>
      <c r="Q346">
        <f>SUM($P$148:P346)</f>
        <v>10140.4</v>
      </c>
      <c r="R346">
        <f>B346*中国_中债国债到期收益率_1年!B345/365*100</f>
        <v>0</v>
      </c>
      <c r="S346">
        <f>C346*中国_中债国债到期收益率_1年!C345/365*100</f>
        <v>0</v>
      </c>
      <c r="T346">
        <f>D346*中国_中债国债到期收益率_1年!D345/365*100</f>
        <v>-7.3361643835616439</v>
      </c>
      <c r="U346">
        <f>E346*中国_中债国债到期收益率_1年!E345/365*100</f>
        <v>0</v>
      </c>
      <c r="V346">
        <f t="shared" si="76"/>
        <v>-7.3361643835616439</v>
      </c>
      <c r="W346">
        <f>SUM($V$148:V346)</f>
        <v>8148.5478082191757</v>
      </c>
      <c r="X346">
        <f>MAX(F346-50,0)*中国_中债国债到期收益率_1年!H346*100/365</f>
        <v>0</v>
      </c>
      <c r="Y346">
        <f>SUM($X$148:X346)</f>
        <v>2654.2549315068459</v>
      </c>
      <c r="Z346">
        <v>-100</v>
      </c>
      <c r="AA346">
        <v>100</v>
      </c>
      <c r="AB346">
        <f>Z346*Return!F350*100</f>
        <v>230.99999999999898</v>
      </c>
      <c r="AC346">
        <f>AA346*Return!G350*100</f>
        <v>-57.000000000000384</v>
      </c>
      <c r="AD346">
        <f>SUM($AB$148:AB346)+SUM($AC$148:AC346)</f>
        <v>1463.6999999999964</v>
      </c>
      <c r="AE346">
        <f t="shared" si="69"/>
        <v>17098.392876712325</v>
      </c>
      <c r="AF346">
        <f t="shared" si="70"/>
        <v>1.0341967857534247</v>
      </c>
      <c r="AG346" s="4">
        <f>(AF346/AF345-1)-中国_中债国债到期收益率_1年!H346%/252</f>
        <v>3.7368201203618028E-4</v>
      </c>
      <c r="AH346" s="4">
        <f>MIN((AF346-MAX($AF$151:AF346))/MAX($AF$151:AF346),0)</f>
        <v>-1.6577120000187847E-3</v>
      </c>
    </row>
    <row r="347" spans="1:34" x14ac:dyDescent="0.25">
      <c r="A347" s="6">
        <v>45217</v>
      </c>
      <c r="D347">
        <v>-10</v>
      </c>
      <c r="F347">
        <f t="shared" si="67"/>
        <v>-10</v>
      </c>
      <c r="G347">
        <f t="shared" si="71"/>
        <v>0</v>
      </c>
      <c r="H347">
        <f t="shared" si="72"/>
        <v>0</v>
      </c>
      <c r="I347">
        <f t="shared" si="73"/>
        <v>-90</v>
      </c>
      <c r="J347">
        <f t="shared" si="74"/>
        <v>0</v>
      </c>
      <c r="K347">
        <f t="shared" si="68"/>
        <v>-90</v>
      </c>
      <c r="L347">
        <f>G347*Return!B347*100</f>
        <v>0</v>
      </c>
      <c r="M347">
        <f>H347*Return!C347*100</f>
        <v>0</v>
      </c>
      <c r="N347">
        <f>I347*Return!D347*100</f>
        <v>94.499999999999588</v>
      </c>
      <c r="O347">
        <f>J347*Return!E347*100</f>
        <v>0</v>
      </c>
      <c r="P347">
        <f t="shared" si="75"/>
        <v>94.499999999999588</v>
      </c>
      <c r="Q347">
        <f>SUM($P$148:P347)</f>
        <v>10234.9</v>
      </c>
      <c r="R347">
        <f>B347*中国_中债国债到期收益率_1年!B346/365*100</f>
        <v>0</v>
      </c>
      <c r="S347">
        <f>C347*中国_中债国债到期收益率_1年!C346/365*100</f>
        <v>0</v>
      </c>
      <c r="T347">
        <f>D347*中国_中债国债到期收益率_1年!D346/365*100</f>
        <v>-7.3649315068493149</v>
      </c>
      <c r="U347">
        <f>E347*中国_中债国债到期收益率_1年!E346/365*100</f>
        <v>0</v>
      </c>
      <c r="V347">
        <f t="shared" si="76"/>
        <v>-7.3649315068493149</v>
      </c>
      <c r="W347">
        <f>SUM($V$148:V347)</f>
        <v>8141.1828767123261</v>
      </c>
      <c r="X347">
        <f>MAX(F347-50,0)*中国_中债国债到期收益率_1年!H347*100/365</f>
        <v>0</v>
      </c>
      <c r="Y347">
        <f>SUM($X$148:X347)</f>
        <v>2654.2549315068459</v>
      </c>
      <c r="Z347">
        <v>-100</v>
      </c>
      <c r="AA347">
        <v>100</v>
      </c>
      <c r="AB347">
        <f>Z347*Return!F351*100</f>
        <v>-297.99999999999829</v>
      </c>
      <c r="AC347">
        <f>AA347*Return!G351*100</f>
        <v>283.00000000000216</v>
      </c>
      <c r="AD347">
        <f>SUM($AB$148:AB347)+SUM($AC$148:AC347)</f>
        <v>1448.7000000000003</v>
      </c>
      <c r="AE347">
        <f t="shared" si="69"/>
        <v>17170.527945205478</v>
      </c>
      <c r="AF347">
        <f t="shared" si="70"/>
        <v>1.0343410558904109</v>
      </c>
      <c r="AG347" s="4">
        <f>(AF347/AF346-1)-中国_中债国债到期收益率_1年!H347%/252</f>
        <v>5.8150489427883642E-5</v>
      </c>
      <c r="AH347" s="4">
        <f>MIN((AF347-MAX($AF$151:AF347))/MAX($AF$151:AF347),0)</f>
        <v>-1.5184435545613731E-3</v>
      </c>
    </row>
    <row r="348" spans="1:34" x14ac:dyDescent="0.25">
      <c r="A348" s="6">
        <v>45218</v>
      </c>
      <c r="D348">
        <v>-10</v>
      </c>
      <c r="F348">
        <f t="shared" si="67"/>
        <v>-10</v>
      </c>
      <c r="G348">
        <f t="shared" si="71"/>
        <v>0</v>
      </c>
      <c r="H348">
        <f t="shared" si="72"/>
        <v>0</v>
      </c>
      <c r="I348">
        <f t="shared" si="73"/>
        <v>-90</v>
      </c>
      <c r="J348">
        <f t="shared" si="74"/>
        <v>0</v>
      </c>
      <c r="K348">
        <f t="shared" si="68"/>
        <v>-90</v>
      </c>
      <c r="L348">
        <f>G348*Return!B348*100</f>
        <v>0</v>
      </c>
      <c r="M348">
        <f>H348*Return!C348*100</f>
        <v>0</v>
      </c>
      <c r="N348">
        <f>I348*Return!D348*100</f>
        <v>152.99999999999915</v>
      </c>
      <c r="O348">
        <f>J348*Return!E348*100</f>
        <v>0</v>
      </c>
      <c r="P348">
        <f t="shared" si="75"/>
        <v>152.99999999999915</v>
      </c>
      <c r="Q348">
        <f>SUM($P$148:P348)</f>
        <v>10387.9</v>
      </c>
      <c r="R348">
        <f>B348*中国_中债国债到期收益率_1年!B347/365*100</f>
        <v>0</v>
      </c>
      <c r="S348">
        <f>C348*中国_中债国债到期收益率_1年!C347/365*100</f>
        <v>0</v>
      </c>
      <c r="T348">
        <f>D348*中国_中债国债到期收益率_1年!D347/365*100</f>
        <v>-7.4115068493150682</v>
      </c>
      <c r="U348">
        <f>E348*中国_中债国债到期收益率_1年!E347/365*100</f>
        <v>0</v>
      </c>
      <c r="V348">
        <f t="shared" si="76"/>
        <v>-7.4115068493150682</v>
      </c>
      <c r="W348">
        <f>SUM($V$148:V348)</f>
        <v>8133.7713698630114</v>
      </c>
      <c r="X348">
        <f>MAX(F348-50,0)*中国_中债国债到期收益率_1年!H348*100/365</f>
        <v>0</v>
      </c>
      <c r="Y348">
        <f>SUM($X$148:X348)</f>
        <v>2654.2549315068459</v>
      </c>
      <c r="Z348">
        <v>-100</v>
      </c>
      <c r="AA348">
        <v>100</v>
      </c>
      <c r="AB348">
        <f>Z348*Return!F352*100</f>
        <v>266.00000000000182</v>
      </c>
      <c r="AC348">
        <f>AA348*Return!G352*100</f>
        <v>-228.9999999999992</v>
      </c>
      <c r="AD348">
        <f>SUM($AB$148:AB348)+SUM($AC$148:AC348)</f>
        <v>1485.700000000003</v>
      </c>
      <c r="AE348">
        <f t="shared" si="69"/>
        <v>17353.11643835617</v>
      </c>
      <c r="AF348">
        <f t="shared" si="70"/>
        <v>1.0347062328767123</v>
      </c>
      <c r="AG348" s="4">
        <f>(AF348/AF347-1)-中国_中债国债到期收益率_1年!H348%/252</f>
        <v>2.6178293974643075E-4</v>
      </c>
      <c r="AH348" s="4">
        <f>MIN((AF348-MAX($AF$151:AF348))/MAX($AF$151:AF348),0)</f>
        <v>-1.1659268642649284E-3</v>
      </c>
    </row>
    <row r="349" spans="1:34" x14ac:dyDescent="0.25">
      <c r="A349" s="6">
        <v>45219</v>
      </c>
      <c r="D349">
        <v>-10</v>
      </c>
      <c r="F349">
        <f t="shared" si="67"/>
        <v>-10</v>
      </c>
      <c r="G349">
        <f t="shared" si="71"/>
        <v>0</v>
      </c>
      <c r="H349">
        <f t="shared" si="72"/>
        <v>0</v>
      </c>
      <c r="I349">
        <f t="shared" si="73"/>
        <v>-90</v>
      </c>
      <c r="J349">
        <f t="shared" si="74"/>
        <v>0</v>
      </c>
      <c r="K349">
        <f t="shared" si="68"/>
        <v>-90</v>
      </c>
      <c r="L349">
        <f>G349*Return!B349*100</f>
        <v>0</v>
      </c>
      <c r="M349">
        <f>H349*Return!C349*100</f>
        <v>0</v>
      </c>
      <c r="N349">
        <f>I349*Return!D349*100</f>
        <v>112.4999999999976</v>
      </c>
      <c r="O349">
        <f>J349*Return!E349*100</f>
        <v>0</v>
      </c>
      <c r="P349">
        <f t="shared" si="75"/>
        <v>112.4999999999976</v>
      </c>
      <c r="Q349">
        <f>SUM($P$148:P349)</f>
        <v>10500.399999999998</v>
      </c>
      <c r="R349">
        <f>B349*中国_中债国债到期收益率_1年!B348/365*100</f>
        <v>0</v>
      </c>
      <c r="S349">
        <f>C349*中国_中债国债到期收益率_1年!C348/365*100</f>
        <v>0</v>
      </c>
      <c r="T349">
        <f>D349*中国_中债国债到期收益率_1年!D348/365*100</f>
        <v>-7.4457534246575339</v>
      </c>
      <c r="U349">
        <f>E349*中国_中债国债到期收益率_1年!E348/365*100</f>
        <v>0</v>
      </c>
      <c r="V349">
        <f t="shared" si="76"/>
        <v>-7.4457534246575339</v>
      </c>
      <c r="W349">
        <f>SUM($V$148:V349)</f>
        <v>8126.3256164383538</v>
      </c>
      <c r="X349">
        <f>MAX(F349-50,0)*中国_中债国债到期收益率_1年!H349*100/365</f>
        <v>0</v>
      </c>
      <c r="Y349">
        <f>SUM($X$148:X349)</f>
        <v>2654.2549315068459</v>
      </c>
      <c r="Z349">
        <v>-100</v>
      </c>
      <c r="AA349">
        <v>100</v>
      </c>
      <c r="AB349">
        <f>Z349*Return!F353*100</f>
        <v>-353.0000000000033</v>
      </c>
      <c r="AC349">
        <f>AA349*Return!G353*100</f>
        <v>196.99999999999829</v>
      </c>
      <c r="AD349">
        <f>SUM($AB$148:AB349)+SUM($AC$148:AC349)</f>
        <v>1329.699999999998</v>
      </c>
      <c r="AE349">
        <f t="shared" si="69"/>
        <v>17302.170684931501</v>
      </c>
      <c r="AF349">
        <f t="shared" si="70"/>
        <v>1.0346043413698629</v>
      </c>
      <c r="AG349" s="4">
        <f>(AF349/AF348-1)-中国_中债国债到期收益率_1年!H349%/252</f>
        <v>-2.0958496157402122E-4</v>
      </c>
      <c r="AH349" s="4">
        <f>MIN((AF349-MAX($AF$151:AF349))/MAX($AF$151:AF349),0)</f>
        <v>-1.2642859014201742E-3</v>
      </c>
    </row>
    <row r="350" spans="1:34" x14ac:dyDescent="0.25">
      <c r="A350" s="6">
        <v>45222</v>
      </c>
      <c r="D350">
        <v>-10</v>
      </c>
      <c r="F350">
        <f t="shared" si="67"/>
        <v>-10</v>
      </c>
      <c r="G350">
        <f t="shared" si="71"/>
        <v>0</v>
      </c>
      <c r="H350">
        <f t="shared" si="72"/>
        <v>0</v>
      </c>
      <c r="I350">
        <f t="shared" si="73"/>
        <v>-90</v>
      </c>
      <c r="J350">
        <f t="shared" si="74"/>
        <v>0</v>
      </c>
      <c r="K350">
        <f t="shared" si="68"/>
        <v>-90</v>
      </c>
      <c r="L350">
        <f>G350*Return!B350*100</f>
        <v>0</v>
      </c>
      <c r="M350">
        <f>H350*Return!C350*100</f>
        <v>0</v>
      </c>
      <c r="N350">
        <f>I350*Return!D350*100</f>
        <v>-112.4999999999976</v>
      </c>
      <c r="O350">
        <f>J350*Return!E350*100</f>
        <v>0</v>
      </c>
      <c r="P350">
        <f t="shared" si="75"/>
        <v>-112.4999999999976</v>
      </c>
      <c r="Q350">
        <f>SUM($P$148:P350)</f>
        <v>10387.9</v>
      </c>
      <c r="R350">
        <f>B350*中国_中债国债到期收益率_1年!B349/365*100</f>
        <v>0</v>
      </c>
      <c r="S350">
        <f>C350*中国_中债国债到期收益率_1年!C349/365*100</f>
        <v>0</v>
      </c>
      <c r="T350">
        <f>D350*中国_中债国债到期收益率_1年!D349/365*100</f>
        <v>-7.4115068493150682</v>
      </c>
      <c r="U350">
        <f>E350*中国_中债国债到期收益率_1年!E349/365*100</f>
        <v>0</v>
      </c>
      <c r="V350">
        <f t="shared" si="76"/>
        <v>-7.4115068493150682</v>
      </c>
      <c r="W350">
        <f>SUM($V$148:V350)</f>
        <v>8118.9141095890391</v>
      </c>
      <c r="X350">
        <f>MAX(F350-50,0)*中国_中债国债到期收益率_1年!H350*100/365</f>
        <v>0</v>
      </c>
      <c r="Y350">
        <f>SUM($X$148:X350)</f>
        <v>2654.2549315068459</v>
      </c>
      <c r="Z350">
        <v>-100</v>
      </c>
      <c r="AA350">
        <v>100</v>
      </c>
      <c r="AB350">
        <f>Z350*Return!F354*100</f>
        <v>-223.99999999999753</v>
      </c>
      <c r="AC350">
        <f>AA350*Return!G354*100</f>
        <v>249.00000000000145</v>
      </c>
      <c r="AD350">
        <f>SUM($AB$148:AB350)+SUM($AC$148:AC350)</f>
        <v>1354.7000000000021</v>
      </c>
      <c r="AE350">
        <f t="shared" si="69"/>
        <v>17207.259178082193</v>
      </c>
      <c r="AF350">
        <f t="shared" si="70"/>
        <v>1.0344145183561644</v>
      </c>
      <c r="AG350" s="4">
        <f>(AF350/AF349-1)-中国_中债国债到期收益率_1年!H350%/252</f>
        <v>-2.866486193837096E-4</v>
      </c>
      <c r="AH350" s="4">
        <f>MIN((AF350-MAX($AF$151:AF350))/MAX($AF$151:AF350),0)</f>
        <v>-1.447527954017324E-3</v>
      </c>
    </row>
    <row r="351" spans="1:34" x14ac:dyDescent="0.25">
      <c r="A351" s="6">
        <v>45223</v>
      </c>
      <c r="D351">
        <v>-10</v>
      </c>
      <c r="F351">
        <f t="shared" si="67"/>
        <v>-10</v>
      </c>
      <c r="G351">
        <f t="shared" si="71"/>
        <v>0</v>
      </c>
      <c r="H351">
        <f t="shared" si="72"/>
        <v>0</v>
      </c>
      <c r="I351">
        <f t="shared" si="73"/>
        <v>-90</v>
      </c>
      <c r="J351">
        <f t="shared" si="74"/>
        <v>0</v>
      </c>
      <c r="K351">
        <f t="shared" si="68"/>
        <v>-90</v>
      </c>
      <c r="L351">
        <f>G351*Return!B351*100</f>
        <v>0</v>
      </c>
      <c r="M351">
        <f>H351*Return!C351*100</f>
        <v>0</v>
      </c>
      <c r="N351">
        <f>I351*Return!D351*100</f>
        <v>-4.5000000000015028</v>
      </c>
      <c r="O351">
        <f>J351*Return!E351*100</f>
        <v>0</v>
      </c>
      <c r="P351">
        <f t="shared" si="75"/>
        <v>-4.5000000000015028</v>
      </c>
      <c r="Q351">
        <f>SUM($P$148:P351)</f>
        <v>10383.399999999998</v>
      </c>
      <c r="R351">
        <f>B351*中国_中债国债到期收益率_1年!B350/365*100</f>
        <v>0</v>
      </c>
      <c r="S351">
        <f>C351*中国_中债国债到期收益率_1年!C350/365*100</f>
        <v>0</v>
      </c>
      <c r="T351">
        <f>D351*中国_中债国债到期收益率_1年!D350/365*100</f>
        <v>-7.4101369863013691</v>
      </c>
      <c r="U351">
        <f>E351*中国_中债国债到期收益率_1年!E350/365*100</f>
        <v>0</v>
      </c>
      <c r="V351">
        <f t="shared" si="76"/>
        <v>-7.4101369863013691</v>
      </c>
      <c r="W351">
        <f>SUM($V$148:V351)</f>
        <v>8111.503972602738</v>
      </c>
      <c r="X351">
        <f>MAX(F351-50,0)*中国_中债国债到期收益率_1年!H351*100/365</f>
        <v>0</v>
      </c>
      <c r="Y351">
        <f>SUM($X$148:X351)</f>
        <v>2654.2549315068459</v>
      </c>
      <c r="Z351">
        <v>-100</v>
      </c>
      <c r="AA351">
        <v>100</v>
      </c>
      <c r="AB351">
        <f>Z351*Return!F355*100</f>
        <v>-5.9999999999993392</v>
      </c>
      <c r="AC351">
        <f>AA351*Return!G355*100</f>
        <v>-37.000000000002586</v>
      </c>
      <c r="AD351">
        <f>SUM($AB$148:AB351)+SUM($AC$148:AC351)</f>
        <v>1311.7000000000003</v>
      </c>
      <c r="AE351">
        <f t="shared" si="69"/>
        <v>17152.349041095891</v>
      </c>
      <c r="AF351">
        <f t="shared" si="70"/>
        <v>1.0343046980821917</v>
      </c>
      <c r="AG351" s="4">
        <f>(AF351/AF350-1)-中国_中债国债到期收益率_1年!H351%/252</f>
        <v>-2.1330945865882393E-4</v>
      </c>
      <c r="AH351" s="4">
        <f>MIN((AF351-MAX($AF$151:AF351))/MAX($AF$151:AF351),0)</f>
        <v>-1.553540876409824E-3</v>
      </c>
    </row>
    <row r="352" spans="1:34" x14ac:dyDescent="0.25">
      <c r="A352" s="6">
        <v>45224</v>
      </c>
      <c r="D352">
        <v>-10</v>
      </c>
      <c r="F352">
        <f t="shared" si="67"/>
        <v>-10</v>
      </c>
      <c r="G352">
        <f t="shared" si="71"/>
        <v>0</v>
      </c>
      <c r="H352">
        <f t="shared" si="72"/>
        <v>0</v>
      </c>
      <c r="I352">
        <f t="shared" si="73"/>
        <v>-90</v>
      </c>
      <c r="J352">
        <f t="shared" si="74"/>
        <v>0</v>
      </c>
      <c r="K352">
        <f t="shared" si="68"/>
        <v>-90</v>
      </c>
      <c r="L352">
        <f>G352*Return!B352*100</f>
        <v>0</v>
      </c>
      <c r="M352">
        <f>H352*Return!C352*100</f>
        <v>0</v>
      </c>
      <c r="N352">
        <f>I352*Return!D352*100</f>
        <v>116.9999999999991</v>
      </c>
      <c r="O352">
        <f>J352*Return!E352*100</f>
        <v>0</v>
      </c>
      <c r="P352">
        <f t="shared" si="75"/>
        <v>116.9999999999991</v>
      </c>
      <c r="Q352">
        <f>SUM($P$148:P352)</f>
        <v>10500.399999999998</v>
      </c>
      <c r="R352">
        <f>B352*中国_中债国债到期收益率_1年!B351/365*100</f>
        <v>0</v>
      </c>
      <c r="S352">
        <f>C352*中国_中债国债到期收益率_1年!C351/365*100</f>
        <v>0</v>
      </c>
      <c r="T352">
        <f>D352*中国_中债国债到期收益率_1年!D351/365*100</f>
        <v>-7.4457534246575339</v>
      </c>
      <c r="U352">
        <f>E352*中国_中债国债到期收益率_1年!E351/365*100</f>
        <v>0</v>
      </c>
      <c r="V352">
        <f t="shared" si="76"/>
        <v>-7.4457534246575339</v>
      </c>
      <c r="W352">
        <f>SUM($V$148:V352)</f>
        <v>8104.0582191780804</v>
      </c>
      <c r="X352">
        <f>MAX(F352-50,0)*中国_中债国债到期收益率_1年!H352*100/365</f>
        <v>0</v>
      </c>
      <c r="Y352">
        <f>SUM($X$148:X352)</f>
        <v>2654.2549315068459</v>
      </c>
      <c r="Z352">
        <v>-100</v>
      </c>
      <c r="AA352">
        <v>100</v>
      </c>
      <c r="AB352">
        <f>Z352*Return!F356*100</f>
        <v>-178.00000000000261</v>
      </c>
      <c r="AC352">
        <f>AA352*Return!G356*100</f>
        <v>165.00000000000182</v>
      </c>
      <c r="AD352">
        <f>SUM($AB$148:AB352)+SUM($AC$148:AC352)</f>
        <v>1298.6999999999994</v>
      </c>
      <c r="AE352">
        <f t="shared" si="69"/>
        <v>17248.903287671234</v>
      </c>
      <c r="AF352">
        <f t="shared" si="70"/>
        <v>1.0344978065753425</v>
      </c>
      <c r="AG352" s="4">
        <f>(AF352/AF351-1)-中国_中债国债到期收益率_1年!H352%/252</f>
        <v>7.5592568673794216E-5</v>
      </c>
      <c r="AH352" s="4">
        <f>MIN((AF352-MAX($AF$151:AF352))/MAX($AF$151:AF352),0)</f>
        <v>-1.3671272484232072E-3</v>
      </c>
    </row>
    <row r="353" spans="1:34" x14ac:dyDescent="0.25">
      <c r="A353" s="6">
        <v>45225</v>
      </c>
      <c r="C353">
        <v>10</v>
      </c>
      <c r="D353">
        <v>10</v>
      </c>
      <c r="E353">
        <v>10</v>
      </c>
      <c r="F353">
        <f t="shared" si="67"/>
        <v>30</v>
      </c>
      <c r="G353">
        <f t="shared" si="71"/>
        <v>0</v>
      </c>
      <c r="H353">
        <f t="shared" si="72"/>
        <v>50</v>
      </c>
      <c r="I353">
        <f t="shared" si="73"/>
        <v>90</v>
      </c>
      <c r="J353">
        <f t="shared" si="74"/>
        <v>160</v>
      </c>
      <c r="K353">
        <f t="shared" si="68"/>
        <v>300</v>
      </c>
      <c r="L353">
        <f>G353*Return!B353*100</f>
        <v>0</v>
      </c>
      <c r="M353">
        <f>H353*Return!C353*100</f>
        <v>173.49999999999977</v>
      </c>
      <c r="N353">
        <f>I353*Return!D353*100</f>
        <v>112.4999999999976</v>
      </c>
      <c r="O353">
        <f>J353*Return!E353*100</f>
        <v>-41.600000000002524</v>
      </c>
      <c r="P353">
        <f t="shared" si="75"/>
        <v>244.39999999999486</v>
      </c>
      <c r="Q353">
        <f>SUM($P$148:P353)</f>
        <v>10744.799999999992</v>
      </c>
      <c r="R353">
        <f>B353*中国_中债国债到期收益率_1年!B352/365*100</f>
        <v>0</v>
      </c>
      <c r="S353">
        <f>C353*中国_中债国债到期收益率_1年!C352/365*100</f>
        <v>6.9904109589041097</v>
      </c>
      <c r="T353">
        <f>D353*中国_中债国债到期收益率_1年!D352/365*100</f>
        <v>7.4115068493150682</v>
      </c>
      <c r="U353">
        <f>E353*中国_中债国债到期收益率_1年!E352/365*100</f>
        <v>8.2202739726027385</v>
      </c>
      <c r="V353">
        <f t="shared" si="76"/>
        <v>22.622191780821915</v>
      </c>
      <c r="W353">
        <f>SUM($V$148:V353)</f>
        <v>8126.680410958902</v>
      </c>
      <c r="X353">
        <f>MAX(F353-50,0)*中国_中债国债到期收益率_1年!H353*100/365</f>
        <v>0</v>
      </c>
      <c r="Y353">
        <f>SUM($X$148:X353)</f>
        <v>2654.2549315068459</v>
      </c>
      <c r="Z353">
        <v>-100</v>
      </c>
      <c r="AA353">
        <v>100</v>
      </c>
      <c r="AB353">
        <f>Z353*Return!F357*100</f>
        <v>-64.999999999999503</v>
      </c>
      <c r="AC353">
        <f>AA353*Return!G357*100</f>
        <v>177.99999999999815</v>
      </c>
      <c r="AD353">
        <f>SUM($AB$148:AB353)+SUM($AC$148:AC353)</f>
        <v>1411.699999999998</v>
      </c>
      <c r="AE353">
        <f t="shared" si="69"/>
        <v>17628.925479452046</v>
      </c>
      <c r="AF353">
        <f t="shared" si="70"/>
        <v>1.0352578509589041</v>
      </c>
      <c r="AG353" s="4">
        <f>(AF353/AF352-1)-中国_中债国债到期收益率_1年!H353%/252</f>
        <v>6.3549253437822329E-4</v>
      </c>
      <c r="AH353" s="4">
        <f>MIN((AF353-MAX($AF$151:AF353))/MAX($AF$151:AF353),0)</f>
        <v>-6.334327917017755E-4</v>
      </c>
    </row>
    <row r="354" spans="1:34" x14ac:dyDescent="0.25">
      <c r="A354" s="6">
        <v>45226</v>
      </c>
      <c r="C354">
        <v>10</v>
      </c>
      <c r="D354">
        <v>10</v>
      </c>
      <c r="E354">
        <v>10</v>
      </c>
      <c r="F354">
        <f t="shared" si="67"/>
        <v>30</v>
      </c>
      <c r="G354">
        <f t="shared" si="71"/>
        <v>0</v>
      </c>
      <c r="H354">
        <f t="shared" si="72"/>
        <v>50</v>
      </c>
      <c r="I354">
        <f t="shared" si="73"/>
        <v>90</v>
      </c>
      <c r="J354">
        <f t="shared" si="74"/>
        <v>160</v>
      </c>
      <c r="K354">
        <f t="shared" si="68"/>
        <v>300</v>
      </c>
      <c r="L354">
        <f>G354*Return!B354*100</f>
        <v>0</v>
      </c>
      <c r="M354">
        <f>H354*Return!C354*100</f>
        <v>-76.000000000000512</v>
      </c>
      <c r="N354">
        <f>I354*Return!D354*100</f>
        <v>-89.999999999998082</v>
      </c>
      <c r="O354">
        <f>J354*Return!E354*100</f>
        <v>-79.999999999998295</v>
      </c>
      <c r="P354">
        <f t="shared" si="75"/>
        <v>-245.99999999999687</v>
      </c>
      <c r="Q354">
        <f>SUM($P$148:P354)</f>
        <v>10498.799999999996</v>
      </c>
      <c r="R354">
        <f>B354*中国_中债国债到期收益率_1年!B353/365*100</f>
        <v>0</v>
      </c>
      <c r="S354">
        <f>C354*中国_中债国债到期收益率_1年!C353/365*100</f>
        <v>7.0320547945205476</v>
      </c>
      <c r="T354">
        <f>D354*中国_中债国债到期收益率_1年!D353/365*100</f>
        <v>7.4389041095890409</v>
      </c>
      <c r="U354">
        <f>E354*中国_中债国债到期收益率_1年!E353/365*100</f>
        <v>8.2339726027397262</v>
      </c>
      <c r="V354">
        <f t="shared" si="76"/>
        <v>22.704931506849313</v>
      </c>
      <c r="W354">
        <f>SUM($V$148:V354)</f>
        <v>8149.3853424657509</v>
      </c>
      <c r="X354">
        <f>MAX(F354-50,0)*中国_中债国债到期收益率_1年!H354*100/365</f>
        <v>0</v>
      </c>
      <c r="Y354">
        <f>SUM($X$148:X354)</f>
        <v>2654.2549315068459</v>
      </c>
      <c r="Z354">
        <v>-100</v>
      </c>
      <c r="AA354">
        <v>100</v>
      </c>
      <c r="AB354">
        <f>Z354*Return!F358*100</f>
        <v>171.99999999999881</v>
      </c>
      <c r="AC354">
        <f>AA354*Return!G358*100</f>
        <v>-30.999999999998806</v>
      </c>
      <c r="AD354">
        <f>SUM($AB$148:AB354)+SUM($AC$148:AC354)</f>
        <v>1552.699999999998</v>
      </c>
      <c r="AE354">
        <f t="shared" si="69"/>
        <v>17546.630410958896</v>
      </c>
      <c r="AF354">
        <f t="shared" si="70"/>
        <v>1.0350932608219179</v>
      </c>
      <c r="AG354" s="4">
        <f>(AF354/AF353-1)-中国_中债国债到期收益率_1年!H354%/252</f>
        <v>-2.5819102808011284E-4</v>
      </c>
      <c r="AH354" s="4">
        <f>MIN((AF354-MAX($AF$151:AF354))/MAX($AF$151:AF354),0)</f>
        <v>-7.9231676446653927E-4</v>
      </c>
    </row>
    <row r="355" spans="1:34" x14ac:dyDescent="0.25">
      <c r="A355" s="6">
        <v>45229</v>
      </c>
      <c r="C355">
        <v>10</v>
      </c>
      <c r="D355">
        <v>10</v>
      </c>
      <c r="E355">
        <v>10</v>
      </c>
      <c r="F355">
        <f t="shared" si="67"/>
        <v>30</v>
      </c>
      <c r="G355">
        <f t="shared" si="71"/>
        <v>0</v>
      </c>
      <c r="H355">
        <f t="shared" si="72"/>
        <v>50</v>
      </c>
      <c r="I355">
        <f t="shared" si="73"/>
        <v>90</v>
      </c>
      <c r="J355">
        <f t="shared" si="74"/>
        <v>160</v>
      </c>
      <c r="K355">
        <f t="shared" si="68"/>
        <v>300</v>
      </c>
      <c r="L355">
        <f>G355*Return!B355*100</f>
        <v>0</v>
      </c>
      <c r="M355">
        <f>H355*Return!C355*100</f>
        <v>74.499999999999574</v>
      </c>
      <c r="N355">
        <f>I355*Return!D355*100</f>
        <v>17.100000000000115</v>
      </c>
      <c r="O355">
        <f>J355*Return!E355*100</f>
        <v>-80.0000000000054</v>
      </c>
      <c r="P355">
        <f t="shared" si="75"/>
        <v>11.599999999994282</v>
      </c>
      <c r="Q355">
        <f>SUM($P$148:P355)</f>
        <v>10510.399999999991</v>
      </c>
      <c r="R355">
        <f>B355*中国_中债国债到期收益率_1年!B354/365*100</f>
        <v>0</v>
      </c>
      <c r="S355">
        <f>C355*中国_中债国债到期收益率_1年!C354/365*100</f>
        <v>6.9912328767123295</v>
      </c>
      <c r="T355">
        <f>D355*中国_中债国债到期收益率_1年!D354/365*100</f>
        <v>7.4336986301369867</v>
      </c>
      <c r="U355">
        <f>E355*中国_中债国债到期收益率_1年!E354/365*100</f>
        <v>8.2476712328767139</v>
      </c>
      <c r="V355">
        <f t="shared" si="76"/>
        <v>22.672602739726031</v>
      </c>
      <c r="W355">
        <f>SUM($V$148:V355)</f>
        <v>8172.0579452054772</v>
      </c>
      <c r="X355">
        <f>MAX(F355-50,0)*中国_中债国债到期收益率_1年!H355*100/365</f>
        <v>0</v>
      </c>
      <c r="Y355">
        <f>SUM($X$148:X355)</f>
        <v>2654.2549315068459</v>
      </c>
      <c r="Z355">
        <v>-100</v>
      </c>
      <c r="AA355">
        <v>100</v>
      </c>
      <c r="AB355">
        <f>Z355*Return!F359*100</f>
        <v>-343.99999999999761</v>
      </c>
      <c r="AC355">
        <f>AA355*Return!G359*100</f>
        <v>264.00000000000199</v>
      </c>
      <c r="AD355">
        <f>SUM($AB$148:AB355)+SUM($AC$148:AC355)</f>
        <v>1472.7000000000025</v>
      </c>
      <c r="AE355">
        <f t="shared" si="69"/>
        <v>17500.903013698626</v>
      </c>
      <c r="AF355">
        <f t="shared" si="70"/>
        <v>1.0350018060273973</v>
      </c>
      <c r="AG355" s="4">
        <f>(AF355/AF354-1)-中国_中债国债到期收益率_1年!H355%/252</f>
        <v>-1.8756050818125072E-4</v>
      </c>
      <c r="AH355" s="4">
        <f>MIN((AF355-MAX($AF$151:AF355))/MAX($AF$151:AF355),0)</f>
        <v>-8.8060091896011551E-4</v>
      </c>
    </row>
    <row r="356" spans="1:34" x14ac:dyDescent="0.25">
      <c r="A356" s="6">
        <v>45230</v>
      </c>
      <c r="C356">
        <v>10</v>
      </c>
      <c r="D356">
        <v>10</v>
      </c>
      <c r="E356">
        <v>10</v>
      </c>
      <c r="F356">
        <f t="shared" si="67"/>
        <v>30</v>
      </c>
      <c r="G356">
        <f t="shared" si="71"/>
        <v>0</v>
      </c>
      <c r="H356">
        <f t="shared" si="72"/>
        <v>50</v>
      </c>
      <c r="I356">
        <f t="shared" si="73"/>
        <v>90</v>
      </c>
      <c r="J356">
        <f t="shared" si="74"/>
        <v>160</v>
      </c>
      <c r="K356">
        <f t="shared" si="68"/>
        <v>300</v>
      </c>
      <c r="L356">
        <f>G356*Return!B356*100</f>
        <v>0</v>
      </c>
      <c r="M356">
        <f>H356*Return!C356*100</f>
        <v>-3.9999999999995595</v>
      </c>
      <c r="N356">
        <f>I356*Return!D356*100</f>
        <v>-7.2000000000032038</v>
      </c>
      <c r="O356">
        <f>J356*Return!E356*100</f>
        <v>-3.1999999999996476</v>
      </c>
      <c r="P356">
        <f t="shared" si="75"/>
        <v>-14.400000000002411</v>
      </c>
      <c r="Q356">
        <f>SUM($P$148:P356)</f>
        <v>10495.999999999987</v>
      </c>
      <c r="R356">
        <f>B356*中国_中债国债到期收益率_1年!B355/365*100</f>
        <v>0</v>
      </c>
      <c r="S356">
        <f>C356*中国_中债国债到期收益率_1年!C355/365*100</f>
        <v>6.9934246575342458</v>
      </c>
      <c r="T356">
        <f>D356*中国_中债国债到期收益率_1年!D355/365*100</f>
        <v>7.4358904109589048</v>
      </c>
      <c r="U356">
        <f>E356*中国_中债国债到期收益率_1年!E355/365*100</f>
        <v>8.2482191780821914</v>
      </c>
      <c r="V356">
        <f t="shared" si="76"/>
        <v>22.677534246575341</v>
      </c>
      <c r="W356">
        <f>SUM($V$148:V356)</f>
        <v>8194.7354794520525</v>
      </c>
      <c r="X356">
        <f>MAX(F356-50,0)*中国_中债国债到期收益率_1年!H356*100/365</f>
        <v>0</v>
      </c>
      <c r="Y356">
        <f>SUM($X$148:X356)</f>
        <v>2654.2549315068459</v>
      </c>
      <c r="Z356">
        <v>-100</v>
      </c>
      <c r="AA356">
        <v>100</v>
      </c>
      <c r="AB356">
        <f>Z356*Return!F360*100</f>
        <v>-32.000000000000917</v>
      </c>
      <c r="AC356">
        <f>AA356*Return!G360*100</f>
        <v>-24.000000000001798</v>
      </c>
      <c r="AD356">
        <f>SUM($AB$148:AB356)+SUM($AC$148:AC356)</f>
        <v>1416.6999999999998</v>
      </c>
      <c r="AE356">
        <f t="shared" si="69"/>
        <v>17453.180547945194</v>
      </c>
      <c r="AF356">
        <f t="shared" si="70"/>
        <v>1.0349063610958904</v>
      </c>
      <c r="AG356" s="4">
        <f>(AF356/AF355-1)-中国_中债国债到期收益率_1年!H356%/252</f>
        <v>-1.9142351341905375E-4</v>
      </c>
      <c r="AH356" s="4">
        <f>MIN((AF356-MAX($AF$151:AF356))/MAX($AF$151:AF356),0)</f>
        <v>-9.7273687665332164E-4</v>
      </c>
    </row>
    <row r="357" spans="1:34" x14ac:dyDescent="0.25">
      <c r="A357" s="6">
        <v>45231</v>
      </c>
      <c r="C357">
        <v>10</v>
      </c>
      <c r="D357">
        <v>10</v>
      </c>
      <c r="E357">
        <v>10</v>
      </c>
      <c r="F357">
        <f t="shared" si="67"/>
        <v>30</v>
      </c>
      <c r="G357">
        <f t="shared" si="71"/>
        <v>0</v>
      </c>
      <c r="H357">
        <f t="shared" si="72"/>
        <v>50</v>
      </c>
      <c r="I357">
        <f t="shared" si="73"/>
        <v>90</v>
      </c>
      <c r="J357">
        <f t="shared" si="74"/>
        <v>160</v>
      </c>
      <c r="K357">
        <f t="shared" si="68"/>
        <v>300</v>
      </c>
      <c r="L357">
        <f>G357*Return!B357*100</f>
        <v>0</v>
      </c>
      <c r="M357">
        <f>H357*Return!C357*100</f>
        <v>100.49999999999892</v>
      </c>
      <c r="N357">
        <f>I357*Return!D357*100</f>
        <v>182.70000000000186</v>
      </c>
      <c r="O357">
        <f>J357*Return!E357*100</f>
        <v>240.00000000000199</v>
      </c>
      <c r="P357">
        <f t="shared" si="75"/>
        <v>523.20000000000277</v>
      </c>
      <c r="Q357">
        <f>SUM($P$148:P357)</f>
        <v>11019.19999999999</v>
      </c>
      <c r="R357">
        <f>B357*中国_中债国债到期收益率_1年!B356/365*100</f>
        <v>0</v>
      </c>
      <c r="S357">
        <f>C357*中国_中债国债到期收益率_1年!C356/365*100</f>
        <v>6.9383561643835616</v>
      </c>
      <c r="T357">
        <f>D357*中国_中债国债到期收益率_1年!D356/365*100</f>
        <v>7.3802739726027395</v>
      </c>
      <c r="U357">
        <f>E357*中国_中债国债到期收益率_1年!E356/365*100</f>
        <v>8.2071232876712319</v>
      </c>
      <c r="V357">
        <f t="shared" si="76"/>
        <v>22.52575342465753</v>
      </c>
      <c r="W357">
        <f>SUM($V$148:V357)</f>
        <v>8217.26123287671</v>
      </c>
      <c r="X357">
        <f>MAX(F357-50,0)*中国_中债国债到期收益率_1年!H357*100/365</f>
        <v>0</v>
      </c>
      <c r="Y357">
        <f>SUM($X$148:X357)</f>
        <v>2654.2549315068459</v>
      </c>
      <c r="Z357">
        <v>-100</v>
      </c>
      <c r="AA357">
        <v>100</v>
      </c>
      <c r="AB357">
        <f>Z357*Return!F361*100</f>
        <v>60.999999999999943</v>
      </c>
      <c r="AC357">
        <f>AA357*Return!G361*100</f>
        <v>24.000000000001798</v>
      </c>
      <c r="AD357">
        <f>SUM($AB$148:AB357)+SUM($AC$148:AC357)</f>
        <v>1501.7000000000014</v>
      </c>
      <c r="AE357">
        <f t="shared" si="69"/>
        <v>18083.906301369854</v>
      </c>
      <c r="AF357">
        <f t="shared" si="70"/>
        <v>1.0361678126027396</v>
      </c>
      <c r="AG357" s="4">
        <f>(AF357/AF356-1)-中国_中债国债到期收益率_1年!H357%/252</f>
        <v>1.1236659083216334E-3</v>
      </c>
      <c r="AH357" s="4">
        <f>MIN((AF357-MAX($AF$151:AF357))/MAX($AF$151:AF357),0)</f>
        <v>0</v>
      </c>
    </row>
    <row r="358" spans="1:34" x14ac:dyDescent="0.25">
      <c r="A358" s="6">
        <v>45232</v>
      </c>
      <c r="C358">
        <v>10</v>
      </c>
      <c r="D358">
        <v>10</v>
      </c>
      <c r="E358">
        <v>10</v>
      </c>
      <c r="F358">
        <f t="shared" si="67"/>
        <v>30</v>
      </c>
      <c r="G358">
        <f t="shared" si="71"/>
        <v>0</v>
      </c>
      <c r="H358">
        <f t="shared" si="72"/>
        <v>50</v>
      </c>
      <c r="I358">
        <f t="shared" si="73"/>
        <v>90</v>
      </c>
      <c r="J358">
        <f t="shared" si="74"/>
        <v>160</v>
      </c>
      <c r="K358">
        <f t="shared" si="68"/>
        <v>300</v>
      </c>
      <c r="L358">
        <f>G358*Return!B358*100</f>
        <v>0</v>
      </c>
      <c r="M358">
        <f>H358*Return!C358*100</f>
        <v>13.000000000000789</v>
      </c>
      <c r="N358">
        <f>I358*Return!D358*100</f>
        <v>76.500000000001563</v>
      </c>
      <c r="O358">
        <f>J358*Return!E358*100</f>
        <v>72.000000000002728</v>
      </c>
      <c r="P358">
        <f t="shared" si="75"/>
        <v>161.50000000000509</v>
      </c>
      <c r="Q358">
        <f>SUM($P$148:P358)</f>
        <v>11180.699999999995</v>
      </c>
      <c r="R358">
        <f>B358*中国_中债国债到期收益率_1年!B357/365*100</f>
        <v>0</v>
      </c>
      <c r="S358">
        <f>C358*中国_中债国债到期收益率_1年!C357/365*100</f>
        <v>6.931232876712329</v>
      </c>
      <c r="T358">
        <f>D358*中国_中债国债到期收益率_1年!D357/365*100</f>
        <v>7.3569863013698624</v>
      </c>
      <c r="U358">
        <f>E358*中国_中债国债到期收益率_1年!E357/365*100</f>
        <v>8.1947945205479442</v>
      </c>
      <c r="V358">
        <f t="shared" si="76"/>
        <v>22.483013698630135</v>
      </c>
      <c r="W358">
        <f>SUM($V$148:V358)</f>
        <v>8239.7442465753393</v>
      </c>
      <c r="X358">
        <f>MAX(F358-50,0)*中国_中债国债到期收益率_1年!H358*100/365</f>
        <v>0</v>
      </c>
      <c r="Y358">
        <f>SUM($X$148:X358)</f>
        <v>2654.2549315068459</v>
      </c>
      <c r="Z358">
        <v>-100</v>
      </c>
      <c r="AA358">
        <v>100</v>
      </c>
      <c r="AB358">
        <f>Z358*Return!F362*100</f>
        <v>146.99999999999935</v>
      </c>
      <c r="AC358">
        <f>AA358*Return!G362*100</f>
        <v>-3.9999999999995595</v>
      </c>
      <c r="AD358">
        <f>SUM($AB$148:AB358)+SUM($AC$148:AC358)</f>
        <v>1644.7000000000012</v>
      </c>
      <c r="AE358">
        <f t="shared" si="69"/>
        <v>18410.889315068489</v>
      </c>
      <c r="AF358">
        <f t="shared" si="70"/>
        <v>1.036821778630137</v>
      </c>
      <c r="AG358" s="4">
        <f>(AF358/AF357-1)-中国_中债国债到期收益率_1年!H358%/252</f>
        <v>5.5177402710331308E-4</v>
      </c>
      <c r="AH358" s="4">
        <f>MIN((AF358-MAX($AF$151:AF358))/MAX($AF$151:AF358),0)</f>
        <v>0</v>
      </c>
    </row>
    <row r="359" spans="1:34" x14ac:dyDescent="0.25">
      <c r="A359" s="6">
        <v>45233</v>
      </c>
      <c r="C359">
        <v>10</v>
      </c>
      <c r="D359">
        <v>10</v>
      </c>
      <c r="E359">
        <v>10</v>
      </c>
      <c r="F359">
        <f t="shared" si="67"/>
        <v>30</v>
      </c>
      <c r="G359">
        <f t="shared" si="71"/>
        <v>0</v>
      </c>
      <c r="H359">
        <f t="shared" si="72"/>
        <v>50</v>
      </c>
      <c r="I359">
        <f t="shared" si="73"/>
        <v>90</v>
      </c>
      <c r="J359">
        <f t="shared" si="74"/>
        <v>160</v>
      </c>
      <c r="K359">
        <f t="shared" si="68"/>
        <v>300</v>
      </c>
      <c r="L359">
        <f>G359*Return!B359*100</f>
        <v>0</v>
      </c>
      <c r="M359">
        <f>H359*Return!C359*100</f>
        <v>161.99999999999991</v>
      </c>
      <c r="N359">
        <f>I359*Return!D359*100</f>
        <v>269.99999999999824</v>
      </c>
      <c r="O359">
        <f>J359*Return!E359*100</f>
        <v>391.99999999999591</v>
      </c>
      <c r="P359">
        <f t="shared" si="75"/>
        <v>823.99999999999409</v>
      </c>
      <c r="Q359">
        <f>SUM($P$148:P359)</f>
        <v>12004.69999999999</v>
      </c>
      <c r="R359">
        <f>B359*中国_中债国债到期收益率_1年!B358/365*100</f>
        <v>0</v>
      </c>
      <c r="S359">
        <f>C359*中国_中债国债到期收益率_1年!C358/365*100</f>
        <v>6.8424657534246576</v>
      </c>
      <c r="T359">
        <f>D359*中国_中债国债到期收益率_1年!D358/365*100</f>
        <v>7.2747945205479461</v>
      </c>
      <c r="U359">
        <f>E359*中国_中债国债到期收益率_1年!E358/365*100</f>
        <v>8.1276712328767129</v>
      </c>
      <c r="V359">
        <f t="shared" si="76"/>
        <v>22.244931506849319</v>
      </c>
      <c r="W359">
        <f>SUM($V$148:V359)</f>
        <v>8261.989178082189</v>
      </c>
      <c r="X359">
        <f>MAX(F359-50,0)*中国_中债国债到期收益率_1年!H359*100/365</f>
        <v>0</v>
      </c>
      <c r="Y359">
        <f>SUM($X$148:X359)</f>
        <v>2654.2549315068459</v>
      </c>
      <c r="Z359">
        <v>-100</v>
      </c>
      <c r="AA359">
        <v>100</v>
      </c>
      <c r="AB359">
        <f>Z359*Return!F363*100</f>
        <v>91.00000000000108</v>
      </c>
      <c r="AC359">
        <f>AA359*Return!G363*100</f>
        <v>-36.000000000000476</v>
      </c>
      <c r="AD359">
        <f>SUM($AB$148:AB359)+SUM($AC$148:AC359)</f>
        <v>1699.7000000000019</v>
      </c>
      <c r="AE359">
        <f t="shared" si="69"/>
        <v>19312.134246575333</v>
      </c>
      <c r="AF359">
        <f t="shared" si="70"/>
        <v>1.0386242684931506</v>
      </c>
      <c r="AG359" s="4">
        <f>(AF359/AF358-1)-中国_中债国债到期收益率_1年!H359%/252</f>
        <v>1.6662538593615064E-3</v>
      </c>
      <c r="AH359" s="4">
        <f>MIN((AF359-MAX($AF$151:AF359))/MAX($AF$151:AF359),0)</f>
        <v>0</v>
      </c>
    </row>
    <row r="360" spans="1:34" x14ac:dyDescent="0.25">
      <c r="A360" s="6">
        <v>45236</v>
      </c>
      <c r="C360">
        <v>10</v>
      </c>
      <c r="D360">
        <v>10</v>
      </c>
      <c r="E360">
        <v>10</v>
      </c>
      <c r="F360">
        <f t="shared" si="67"/>
        <v>30</v>
      </c>
      <c r="G360">
        <f t="shared" si="71"/>
        <v>0</v>
      </c>
      <c r="H360">
        <f t="shared" si="72"/>
        <v>50</v>
      </c>
      <c r="I360">
        <f t="shared" si="73"/>
        <v>90</v>
      </c>
      <c r="J360">
        <f t="shared" si="74"/>
        <v>160</v>
      </c>
      <c r="K360">
        <f t="shared" si="68"/>
        <v>300</v>
      </c>
      <c r="L360">
        <f>G360*Return!B360*100</f>
        <v>0</v>
      </c>
      <c r="M360">
        <f>H360*Return!C360*100</f>
        <v>-100.99999999999997</v>
      </c>
      <c r="N360">
        <f>I360*Return!D360*100</f>
        <v>-54.000000000002046</v>
      </c>
      <c r="O360">
        <f>J360*Return!E360*100</f>
        <v>-97.599999999999909</v>
      </c>
      <c r="P360">
        <f t="shared" si="75"/>
        <v>-252.60000000000193</v>
      </c>
      <c r="Q360">
        <f>SUM($P$148:P360)</f>
        <v>11752.099999999988</v>
      </c>
      <c r="R360">
        <f>B360*中国_中债国债到期收益率_1年!B359/365*100</f>
        <v>0</v>
      </c>
      <c r="S360">
        <f>C360*中国_中债国债到期收益率_1年!C359/365*100</f>
        <v>6.8978082191780823</v>
      </c>
      <c r="T360">
        <f>D360*中国_中债国债到期收益率_1年!D359/365*100</f>
        <v>7.2912328767123293</v>
      </c>
      <c r="U360">
        <f>E360*中国_中债国债到期收益率_1年!E359/365*100</f>
        <v>8.1443835616438349</v>
      </c>
      <c r="V360">
        <f t="shared" si="76"/>
        <v>22.333424657534245</v>
      </c>
      <c r="W360">
        <f>SUM($V$148:V360)</f>
        <v>8284.3226027397232</v>
      </c>
      <c r="X360">
        <f>MAX(F360-50,0)*中国_中债国债到期收益率_1年!H360*100/365</f>
        <v>0</v>
      </c>
      <c r="Y360">
        <f>SUM($X$148:X360)</f>
        <v>2654.2549315068459</v>
      </c>
      <c r="Z360">
        <v>-100</v>
      </c>
      <c r="AA360">
        <v>100</v>
      </c>
      <c r="AB360">
        <f>Z360*Return!F364*100</f>
        <v>-72.999999999998622</v>
      </c>
      <c r="AC360">
        <f>AA360*Return!G364*100</f>
        <v>202.99999999999761</v>
      </c>
      <c r="AD360">
        <f>SUM($AB$148:AB360)+SUM($AC$148:AC360)</f>
        <v>1829.700000000001</v>
      </c>
      <c r="AE360">
        <f t="shared" si="69"/>
        <v>19211.867671232863</v>
      </c>
      <c r="AF360">
        <f t="shared" si="70"/>
        <v>1.0384237353424657</v>
      </c>
      <c r="AG360" s="4">
        <f>(AF360/AF359-1)-中国_中债国债到期收益率_1年!H360%/252</f>
        <v>-2.7244082077433369E-4</v>
      </c>
      <c r="AH360" s="4">
        <f>MIN((AF360-MAX($AF$151:AF360))/MAX($AF$151:AF360),0)</f>
        <v>-1.9307574140920835E-4</v>
      </c>
    </row>
    <row r="361" spans="1:34" x14ac:dyDescent="0.25">
      <c r="A361" s="6">
        <v>45237</v>
      </c>
      <c r="C361">
        <v>10</v>
      </c>
      <c r="D361">
        <v>10</v>
      </c>
      <c r="E361">
        <v>10</v>
      </c>
      <c r="F361">
        <f t="shared" si="67"/>
        <v>30</v>
      </c>
      <c r="G361">
        <f t="shared" si="71"/>
        <v>0</v>
      </c>
      <c r="H361">
        <f t="shared" si="72"/>
        <v>50</v>
      </c>
      <c r="I361">
        <f t="shared" si="73"/>
        <v>90</v>
      </c>
      <c r="J361">
        <f t="shared" si="74"/>
        <v>160</v>
      </c>
      <c r="K361">
        <f t="shared" si="68"/>
        <v>300</v>
      </c>
      <c r="L361">
        <f>G361*Return!B361*100</f>
        <v>0</v>
      </c>
      <c r="M361">
        <f>H361*Return!C361*100</f>
        <v>-1.9999999999997797</v>
      </c>
      <c r="N361">
        <f>I361*Return!D361*100</f>
        <v>53.100000000000151</v>
      </c>
      <c r="O361">
        <f>J361*Return!E361*100</f>
        <v>70.399999999999352</v>
      </c>
      <c r="P361">
        <f t="shared" si="75"/>
        <v>121.49999999999972</v>
      </c>
      <c r="Q361">
        <f>SUM($P$148:P361)</f>
        <v>11873.599999999988</v>
      </c>
      <c r="R361">
        <f>B361*中国_中债国债到期收益率_1年!B360/365*100</f>
        <v>0</v>
      </c>
      <c r="S361">
        <f>C361*中国_中债国债到期收益率_1年!C360/365*100</f>
        <v>6.8989041095890409</v>
      </c>
      <c r="T361">
        <f>D361*中国_中债国债到期收益率_1年!D360/365*100</f>
        <v>7.2750684931506857</v>
      </c>
      <c r="U361">
        <f>E361*中国_中债国债到期收益率_1年!E360/365*100</f>
        <v>8.1323287671232887</v>
      </c>
      <c r="V361">
        <f t="shared" si="76"/>
        <v>22.306301369863014</v>
      </c>
      <c r="W361">
        <f>SUM($V$148:V361)</f>
        <v>8306.6289041095861</v>
      </c>
      <c r="X361">
        <f>MAX(F361-50,0)*中国_中债国债到期收益率_1年!H361*100/365</f>
        <v>0</v>
      </c>
      <c r="Y361">
        <f>SUM($X$148:X361)</f>
        <v>2654.2549315068459</v>
      </c>
      <c r="Z361">
        <v>-100</v>
      </c>
      <c r="AA361">
        <v>100</v>
      </c>
      <c r="AB361">
        <f>Z361*Return!F365*100</f>
        <v>-17.000000000000348</v>
      </c>
      <c r="AC361">
        <f>AA361*Return!G365*100</f>
        <v>5.0000000000016698</v>
      </c>
      <c r="AD361">
        <f>SUM($AB$148:AB361)+SUM($AC$148:AC361)</f>
        <v>1817.7000000000023</v>
      </c>
      <c r="AE361">
        <f t="shared" si="69"/>
        <v>19343.673972602726</v>
      </c>
      <c r="AF361">
        <f t="shared" si="70"/>
        <v>1.0386873479452055</v>
      </c>
      <c r="AG361" s="4">
        <f>(AF361/AF360-1)-中国_中债国债到期收益率_1年!H361%/252</f>
        <v>1.7330285866176725E-4</v>
      </c>
      <c r="AH361" s="4">
        <f>MIN((AF361-MAX($AF$151:AF361))/MAX($AF$151:AF361),0)</f>
        <v>0</v>
      </c>
    </row>
    <row r="362" spans="1:34" x14ac:dyDescent="0.25">
      <c r="A362" s="6">
        <v>45238</v>
      </c>
      <c r="C362">
        <v>10</v>
      </c>
      <c r="D362">
        <v>10</v>
      </c>
      <c r="E362">
        <v>10</v>
      </c>
      <c r="F362">
        <f t="shared" si="67"/>
        <v>30</v>
      </c>
      <c r="G362">
        <f t="shared" si="71"/>
        <v>0</v>
      </c>
      <c r="H362">
        <f t="shared" si="72"/>
        <v>50</v>
      </c>
      <c r="I362">
        <f t="shared" si="73"/>
        <v>90</v>
      </c>
      <c r="J362">
        <f t="shared" si="74"/>
        <v>160</v>
      </c>
      <c r="K362">
        <f t="shared" si="68"/>
        <v>300</v>
      </c>
      <c r="L362">
        <f>G362*Return!B362*100</f>
        <v>0</v>
      </c>
      <c r="M362">
        <f>H362*Return!C362*100</f>
        <v>-74.000000000000739</v>
      </c>
      <c r="N362">
        <f>I362*Return!D362*100</f>
        <v>-70.199999999996265</v>
      </c>
      <c r="O362">
        <f>J362*Return!E362*100</f>
        <v>-55.999999999997385</v>
      </c>
      <c r="P362">
        <f t="shared" si="75"/>
        <v>-200.19999999999439</v>
      </c>
      <c r="Q362">
        <f>SUM($P$148:P362)</f>
        <v>11673.399999999992</v>
      </c>
      <c r="R362">
        <f>B362*中国_中债国债到期收益率_1年!B361/365*100</f>
        <v>0</v>
      </c>
      <c r="S362">
        <f>C362*中国_中债国债到期收益率_1年!C361/365*100</f>
        <v>6.9394520547945202</v>
      </c>
      <c r="T362">
        <f>D362*中国_中债国债到期收益率_1年!D361/365*100</f>
        <v>7.2964383561643835</v>
      </c>
      <c r="U362">
        <f>E362*中国_中债国债到期收益率_1年!E361/365*100</f>
        <v>8.1419178082191781</v>
      </c>
      <c r="V362">
        <f t="shared" si="76"/>
        <v>22.377808219178082</v>
      </c>
      <c r="W362">
        <f>SUM($V$148:V362)</f>
        <v>8329.0067123287645</v>
      </c>
      <c r="X362">
        <f>MAX(F362-50,0)*中国_中债国债到期收益率_1年!H362*100/365</f>
        <v>0</v>
      </c>
      <c r="Y362">
        <f>SUM($X$148:X362)</f>
        <v>2654.2549315068459</v>
      </c>
      <c r="Z362">
        <v>-100</v>
      </c>
      <c r="AA362">
        <v>100</v>
      </c>
      <c r="AB362">
        <f>Z362*Return!F366*100</f>
        <v>-159.00000000000247</v>
      </c>
      <c r="AC362">
        <f>AA362*Return!G366*100</f>
        <v>186.99999999999937</v>
      </c>
      <c r="AD362">
        <f>SUM($AB$148:AB362)+SUM($AC$148:AC362)</f>
        <v>1845.6999999999991</v>
      </c>
      <c r="AE362">
        <f t="shared" si="69"/>
        <v>19193.851780821911</v>
      </c>
      <c r="AF362">
        <f t="shared" si="70"/>
        <v>1.0383877035616438</v>
      </c>
      <c r="AG362" s="4">
        <f>(AF362/AF361-1)-中国_中债国债到期收益率_1年!H362%/252</f>
        <v>-3.698329201004372E-4</v>
      </c>
      <c r="AH362" s="4">
        <f>MIN((AF362-MAX($AF$151:AF362))/MAX($AF$151:AF362),0)</f>
        <v>-2.8848371375125056E-4</v>
      </c>
    </row>
    <row r="363" spans="1:34" x14ac:dyDescent="0.25">
      <c r="A363" s="6">
        <v>45239</v>
      </c>
      <c r="C363">
        <v>10</v>
      </c>
      <c r="D363">
        <v>10</v>
      </c>
      <c r="E363">
        <v>10</v>
      </c>
      <c r="F363">
        <f t="shared" si="67"/>
        <v>30</v>
      </c>
      <c r="G363">
        <f t="shared" si="71"/>
        <v>0</v>
      </c>
      <c r="H363">
        <f t="shared" si="72"/>
        <v>50</v>
      </c>
      <c r="I363">
        <f t="shared" si="73"/>
        <v>90</v>
      </c>
      <c r="J363">
        <f t="shared" si="74"/>
        <v>160</v>
      </c>
      <c r="K363">
        <f t="shared" si="68"/>
        <v>300</v>
      </c>
      <c r="L363">
        <f>G363*Return!B363*100</f>
        <v>0</v>
      </c>
      <c r="M363">
        <f>H363*Return!C363*100</f>
        <v>59.000000000000163</v>
      </c>
      <c r="N363">
        <f>I363*Return!D363*100</f>
        <v>151.19999999999933</v>
      </c>
      <c r="O363">
        <f>J363*Return!E363*100</f>
        <v>216.00000000000108</v>
      </c>
      <c r="P363">
        <f t="shared" si="75"/>
        <v>426.20000000000061</v>
      </c>
      <c r="Q363">
        <f>SUM($P$148:P363)</f>
        <v>12099.599999999993</v>
      </c>
      <c r="R363">
        <f>B363*中国_中债国债到期收益率_1年!B362/365*100</f>
        <v>0</v>
      </c>
      <c r="S363">
        <f>C363*中国_中债国债到期收益率_1年!C362/365*100</f>
        <v>6.9071232876712338</v>
      </c>
      <c r="T363">
        <f>D363*中国_中债国债到期收益率_1年!D362/365*100</f>
        <v>7.2504109589041095</v>
      </c>
      <c r="U363">
        <f>E363*中国_中债国债到期收益率_1年!E362/365*100</f>
        <v>8.1049315068493151</v>
      </c>
      <c r="V363">
        <f t="shared" si="76"/>
        <v>22.262465753424657</v>
      </c>
      <c r="W363">
        <f>SUM($V$148:V363)</f>
        <v>8351.2691780821897</v>
      </c>
      <c r="X363">
        <f>MAX(F363-50,0)*中国_中债国债到期收益率_1年!H363*100/365</f>
        <v>0</v>
      </c>
      <c r="Y363">
        <f>SUM($X$148:X363)</f>
        <v>2654.2549315068459</v>
      </c>
      <c r="Z363">
        <v>-100</v>
      </c>
      <c r="AA363">
        <v>100</v>
      </c>
      <c r="AB363">
        <f>Z363*Return!F367*100</f>
        <v>104.99999999999955</v>
      </c>
      <c r="AC363">
        <f>AA363*Return!G367*100</f>
        <v>-89.000000000001307</v>
      </c>
      <c r="AD363">
        <f>SUM($AB$148:AB363)+SUM($AC$148:AC363)</f>
        <v>1861.6999999999973</v>
      </c>
      <c r="AE363">
        <f t="shared" si="69"/>
        <v>19658.314246575334</v>
      </c>
      <c r="AF363">
        <f t="shared" si="70"/>
        <v>1.0393166284931508</v>
      </c>
      <c r="AG363" s="4">
        <f>(AF363/AF362-1)-中国_中债国债到期收益率_1年!H363%/252</f>
        <v>8.132347032258799E-4</v>
      </c>
      <c r="AH363" s="4">
        <f>MIN((AF363-MAX($AF$151:AF363))/MAX($AF$151:AF363),0)</f>
        <v>0</v>
      </c>
    </row>
    <row r="364" spans="1:34" x14ac:dyDescent="0.25">
      <c r="A364" s="6">
        <v>45240</v>
      </c>
      <c r="C364">
        <v>10</v>
      </c>
      <c r="D364">
        <v>10</v>
      </c>
      <c r="E364">
        <v>10</v>
      </c>
      <c r="F364">
        <f t="shared" si="67"/>
        <v>30</v>
      </c>
      <c r="G364">
        <f t="shared" si="71"/>
        <v>0</v>
      </c>
      <c r="H364">
        <f t="shared" si="72"/>
        <v>50</v>
      </c>
      <c r="I364">
        <f t="shared" si="73"/>
        <v>90</v>
      </c>
      <c r="J364">
        <f t="shared" si="74"/>
        <v>160</v>
      </c>
      <c r="K364">
        <f t="shared" si="68"/>
        <v>300</v>
      </c>
      <c r="L364">
        <f>G364*Return!B364*100</f>
        <v>0</v>
      </c>
      <c r="M364">
        <f>H364*Return!C364*100</f>
        <v>3.5000000000007248</v>
      </c>
      <c r="N364">
        <f>I364*Return!D364*100</f>
        <v>-27.000000000001023</v>
      </c>
      <c r="O364">
        <f>J364*Return!E364*100</f>
        <v>-1.6000000000033765</v>
      </c>
      <c r="P364">
        <f t="shared" si="75"/>
        <v>-25.100000000003675</v>
      </c>
      <c r="Q364">
        <f>SUM($P$148:P364)</f>
        <v>12074.499999999989</v>
      </c>
      <c r="R364">
        <f>B364*中国_中债国债到期收益率_1年!B363/365*100</f>
        <v>0</v>
      </c>
      <c r="S364">
        <f>C364*中国_中债国债到期收益率_1年!C363/365*100</f>
        <v>6.9052054794520545</v>
      </c>
      <c r="T364">
        <f>D364*中国_中债国债到期收益率_1年!D363/365*100</f>
        <v>7.2586301369863007</v>
      </c>
      <c r="U364">
        <f>E364*中国_中债国债到期收益率_1年!E363/365*100</f>
        <v>8.1052054794520565</v>
      </c>
      <c r="V364">
        <f t="shared" si="76"/>
        <v>22.269041095890412</v>
      </c>
      <c r="W364">
        <f>SUM($V$148:V364)</f>
        <v>8373.5382191780809</v>
      </c>
      <c r="X364">
        <f>MAX(F364-50,0)*中国_中债国债到期收益率_1年!H364*100/365</f>
        <v>0</v>
      </c>
      <c r="Y364">
        <f>SUM($X$148:X364)</f>
        <v>2654.2549315068459</v>
      </c>
      <c r="Z364">
        <v>-100</v>
      </c>
      <c r="AA364">
        <v>100</v>
      </c>
      <c r="AB364">
        <f>Z364*Return!F368*100</f>
        <v>5.9999999999993392</v>
      </c>
      <c r="AC364">
        <f>AA364*Return!G368*100</f>
        <v>-89.000000000001307</v>
      </c>
      <c r="AD364">
        <f>SUM($AB$148:AB364)+SUM($AC$148:AC364)</f>
        <v>1778.6999999999953</v>
      </c>
      <c r="AE364">
        <f t="shared" si="69"/>
        <v>19572.483287671217</v>
      </c>
      <c r="AF364">
        <f t="shared" si="70"/>
        <v>1.0391449665753425</v>
      </c>
      <c r="AG364" s="4">
        <f>(AF364/AF363-1)-中国_中债国债到期收益率_1年!H364%/252</f>
        <v>-2.4572362186195369E-4</v>
      </c>
      <c r="AH364" s="4">
        <f>MIN((AF364-MAX($AF$151:AF364))/MAX($AF$151:AF364),0)</f>
        <v>-1.6516806630636403E-4</v>
      </c>
    </row>
    <row r="365" spans="1:34" x14ac:dyDescent="0.25">
      <c r="A365" s="6">
        <v>45243</v>
      </c>
      <c r="C365">
        <v>10</v>
      </c>
      <c r="D365">
        <v>10</v>
      </c>
      <c r="E365">
        <v>10</v>
      </c>
      <c r="F365">
        <f t="shared" si="67"/>
        <v>30</v>
      </c>
      <c r="G365">
        <f t="shared" ref="G365:G396" si="77">B365</f>
        <v>0</v>
      </c>
      <c r="H365">
        <f t="shared" ref="H365:H396" si="78">5*C365</f>
        <v>50</v>
      </c>
      <c r="I365">
        <f t="shared" ref="I365:I396" si="79">9*D365</f>
        <v>90</v>
      </c>
      <c r="J365">
        <f t="shared" ref="J365:J396" si="80">16*E365</f>
        <v>160</v>
      </c>
      <c r="K365">
        <f t="shared" si="68"/>
        <v>300</v>
      </c>
      <c r="L365">
        <f>G365*Return!B365*100</f>
        <v>0</v>
      </c>
      <c r="M365">
        <f>H365*Return!C365*100</f>
        <v>87.500000000000355</v>
      </c>
      <c r="N365">
        <f>I365*Return!D365*100</f>
        <v>44.999999999999041</v>
      </c>
      <c r="O365">
        <f>J365*Return!E365*100</f>
        <v>200.00000000000284</v>
      </c>
      <c r="P365">
        <f t="shared" ref="P365:P396" si="81">SUM(L365:O365)</f>
        <v>332.50000000000227</v>
      </c>
      <c r="Q365">
        <f>SUM($P$148:P365)</f>
        <v>12406.999999999991</v>
      </c>
      <c r="R365">
        <f>B365*中国_中债国债到期收益率_1年!B364/365*100</f>
        <v>0</v>
      </c>
      <c r="S365">
        <f>C365*中国_中债国债到期收益率_1年!C364/365*100</f>
        <v>6.857260273972603</v>
      </c>
      <c r="T365">
        <f>D365*中国_中债国债到期收益率_1年!D364/365*100</f>
        <v>7.2449315068493156</v>
      </c>
      <c r="U365">
        <f>E365*中国_中债国债到期收益率_1年!E364/365*100</f>
        <v>8.0709589041095882</v>
      </c>
      <c r="V365">
        <f t="shared" ref="V365:V396" si="82">SUM(R365:U365)</f>
        <v>22.173150684931507</v>
      </c>
      <c r="W365">
        <f>SUM($V$148:V365)</f>
        <v>8395.7113698630128</v>
      </c>
      <c r="X365">
        <f>MAX(F365-50,0)*中国_中债国债到期收益率_1年!H365*100/365</f>
        <v>0</v>
      </c>
      <c r="Y365">
        <f>SUM($X$148:X365)</f>
        <v>2654.2549315068459</v>
      </c>
      <c r="Z365">
        <v>-100</v>
      </c>
      <c r="AA365">
        <v>100</v>
      </c>
      <c r="AB365">
        <f>Z365*Return!F369*100</f>
        <v>-7.9999999999991189</v>
      </c>
      <c r="AC365">
        <f>AA365*Return!G369*100</f>
        <v>117.00000000000266</v>
      </c>
      <c r="AD365">
        <f>SUM($AB$148:AB365)+SUM($AC$148:AC365)</f>
        <v>1887.6999999999989</v>
      </c>
      <c r="AE365">
        <f t="shared" si="69"/>
        <v>20036.156438356156</v>
      </c>
      <c r="AF365">
        <f t="shared" si="70"/>
        <v>1.0400723128767124</v>
      </c>
      <c r="AG365" s="4">
        <f>(AF365/AF364-1)-中国_中债国债到期收益率_1年!H365%/252</f>
        <v>8.1106362458257056E-4</v>
      </c>
      <c r="AH365" s="4">
        <f>MIN((AF365-MAX($AF$151:AF365))/MAX($AF$151:AF365),0)</f>
        <v>0</v>
      </c>
    </row>
    <row r="366" spans="1:34" x14ac:dyDescent="0.25">
      <c r="A366" s="6">
        <v>45244</v>
      </c>
      <c r="C366">
        <v>10</v>
      </c>
      <c r="D366">
        <v>10</v>
      </c>
      <c r="E366">
        <v>10</v>
      </c>
      <c r="F366">
        <f t="shared" si="67"/>
        <v>30</v>
      </c>
      <c r="G366">
        <f t="shared" si="77"/>
        <v>0</v>
      </c>
      <c r="H366">
        <f t="shared" si="78"/>
        <v>50</v>
      </c>
      <c r="I366">
        <f t="shared" si="79"/>
        <v>90</v>
      </c>
      <c r="J366">
        <f t="shared" si="80"/>
        <v>160</v>
      </c>
      <c r="K366">
        <f t="shared" si="68"/>
        <v>300</v>
      </c>
      <c r="L366">
        <f>G366*Return!B366*100</f>
        <v>0</v>
      </c>
      <c r="M366">
        <f>H366*Return!C366*100</f>
        <v>60.000000000000057</v>
      </c>
      <c r="N366">
        <f>I366*Return!D366*100</f>
        <v>-8.9999999999990088</v>
      </c>
      <c r="O366">
        <f>J366*Return!E366*100</f>
        <v>118.40000000000117</v>
      </c>
      <c r="P366">
        <f t="shared" si="81"/>
        <v>169.40000000000222</v>
      </c>
      <c r="Q366">
        <f>SUM($P$148:P366)</f>
        <v>12576.399999999992</v>
      </c>
      <c r="R366">
        <f>B366*中国_中债国债到期收益率_1年!B365/365*100</f>
        <v>0</v>
      </c>
      <c r="S366">
        <f>C366*中国_中债国债到期收益率_1年!C365/365*100</f>
        <v>6.8243835616438346</v>
      </c>
      <c r="T366">
        <f>D366*中国_中债国债到期收益率_1年!D365/365*100</f>
        <v>7.2476712328767121</v>
      </c>
      <c r="U366">
        <f>E366*中国_中债国债到期收益率_1年!E365/365*100</f>
        <v>8.0506849315068489</v>
      </c>
      <c r="V366">
        <f t="shared" si="82"/>
        <v>22.122739726027397</v>
      </c>
      <c r="W366">
        <f>SUM($V$148:V366)</f>
        <v>8417.834109589041</v>
      </c>
      <c r="X366">
        <f>MAX(F366-50,0)*中国_中债国债到期收益率_1年!H366*100/365</f>
        <v>0</v>
      </c>
      <c r="Y366">
        <f>SUM($X$148:X366)</f>
        <v>2654.2549315068459</v>
      </c>
      <c r="Z366">
        <v>-100</v>
      </c>
      <c r="AA366">
        <v>100</v>
      </c>
      <c r="AB366">
        <f>Z366*Return!F370*100</f>
        <v>14.000000000002899</v>
      </c>
      <c r="AC366">
        <f>AA366*Return!G370*100</f>
        <v>9.9999999999988987</v>
      </c>
      <c r="AD366">
        <f>SUM($AB$148:AB366)+SUM($AC$148:AC366)</f>
        <v>1911.7000000000007</v>
      </c>
      <c r="AE366">
        <f t="shared" si="69"/>
        <v>20251.679178082188</v>
      </c>
      <c r="AF366">
        <f t="shared" si="70"/>
        <v>1.0405033583561645</v>
      </c>
      <c r="AG366" s="4">
        <f>(AF366/AF365-1)-中国_中债国债到期收益率_1年!H366%/252</f>
        <v>3.2713640332209659E-4</v>
      </c>
      <c r="AH366" s="4">
        <f>MIN((AF366-MAX($AF$151:AF366))/MAX($AF$151:AF366),0)</f>
        <v>0</v>
      </c>
    </row>
    <row r="367" spans="1:34" x14ac:dyDescent="0.25">
      <c r="A367" s="6">
        <v>45245</v>
      </c>
      <c r="C367">
        <v>10</v>
      </c>
      <c r="D367">
        <v>10</v>
      </c>
      <c r="E367">
        <v>10</v>
      </c>
      <c r="F367">
        <f t="shared" si="67"/>
        <v>30</v>
      </c>
      <c r="G367">
        <f t="shared" si="77"/>
        <v>0</v>
      </c>
      <c r="H367">
        <f t="shared" si="78"/>
        <v>50</v>
      </c>
      <c r="I367">
        <f t="shared" si="79"/>
        <v>90</v>
      </c>
      <c r="J367">
        <f t="shared" si="80"/>
        <v>160</v>
      </c>
      <c r="K367">
        <f t="shared" si="68"/>
        <v>300</v>
      </c>
      <c r="L367">
        <f>G367*Return!B367*100</f>
        <v>0</v>
      </c>
      <c r="M367">
        <f>H367*Return!C367*100</f>
        <v>-64.999999999999503</v>
      </c>
      <c r="N367">
        <f>I367*Return!D367*100</f>
        <v>-107.1000000000022</v>
      </c>
      <c r="O367">
        <f>J367*Return!E367*100</f>
        <v>-86.400000000004695</v>
      </c>
      <c r="P367">
        <f t="shared" si="81"/>
        <v>-258.50000000000637</v>
      </c>
      <c r="Q367">
        <f>SUM($P$148:P367)</f>
        <v>12317.899999999987</v>
      </c>
      <c r="R367">
        <f>B367*中国_中债国债到期收益率_1年!B366/365*100</f>
        <v>0</v>
      </c>
      <c r="S367">
        <f>C367*中国_中债国债到期收益率_1年!C366/365*100</f>
        <v>6.8599999999999994</v>
      </c>
      <c r="T367">
        <f>D367*中国_中债国债到期收益率_1年!D366/365*100</f>
        <v>7.2802739726027399</v>
      </c>
      <c r="U367">
        <f>E367*中国_中债国债到期收益率_1年!E366/365*100</f>
        <v>8.0654794520547934</v>
      </c>
      <c r="V367">
        <f t="shared" si="82"/>
        <v>22.20575342465753</v>
      </c>
      <c r="W367">
        <f>SUM($V$148:V367)</f>
        <v>8440.0398630136988</v>
      </c>
      <c r="X367">
        <f>MAX(F367-50,0)*中国_中债国债到期收益率_1年!H367*100/365</f>
        <v>0</v>
      </c>
      <c r="Y367">
        <f>SUM($X$148:X367)</f>
        <v>2654.2549315068459</v>
      </c>
      <c r="Z367">
        <v>-100</v>
      </c>
      <c r="AA367">
        <v>100</v>
      </c>
      <c r="AB367">
        <f>Z367*Return!F371*100</f>
        <v>129.99999999999901</v>
      </c>
      <c r="AC367">
        <f>AA367*Return!G371*100</f>
        <v>-99.999999999997868</v>
      </c>
      <c r="AD367">
        <f>SUM($AB$148:AB367)+SUM($AC$148:AC367)</f>
        <v>1941.7000000000016</v>
      </c>
      <c r="AE367">
        <f t="shared" si="69"/>
        <v>20045.38493150684</v>
      </c>
      <c r="AF367">
        <f t="shared" si="70"/>
        <v>1.0400907698630137</v>
      </c>
      <c r="AG367" s="4">
        <f>(AF367/AF366-1)-中国_中债国债到期收益率_1年!H367%/252</f>
        <v>-4.8462302422610056E-4</v>
      </c>
      <c r="AH367" s="4">
        <f>MIN((AF367-MAX($AF$151:AF367))/MAX($AF$151:AF367),0)</f>
        <v>-3.9652778613089766E-4</v>
      </c>
    </row>
    <row r="368" spans="1:34" x14ac:dyDescent="0.25">
      <c r="A368" s="6">
        <v>45246</v>
      </c>
      <c r="C368">
        <v>10</v>
      </c>
      <c r="D368">
        <v>10</v>
      </c>
      <c r="E368">
        <v>10</v>
      </c>
      <c r="F368">
        <f t="shared" si="67"/>
        <v>30</v>
      </c>
      <c r="G368">
        <f t="shared" si="77"/>
        <v>0</v>
      </c>
      <c r="H368">
        <f t="shared" si="78"/>
        <v>50</v>
      </c>
      <c r="I368">
        <f t="shared" si="79"/>
        <v>90</v>
      </c>
      <c r="J368">
        <f t="shared" si="80"/>
        <v>160</v>
      </c>
      <c r="K368">
        <f t="shared" si="68"/>
        <v>300</v>
      </c>
      <c r="L368">
        <f>G368*Return!B368*100</f>
        <v>0</v>
      </c>
      <c r="M368">
        <f>H368*Return!C368*100</f>
        <v>8.9999999999990088</v>
      </c>
      <c r="N368">
        <f>I368*Return!D368*100</f>
        <v>-53.999999999998053</v>
      </c>
      <c r="O368">
        <f>J368*Return!E368*100</f>
        <v>-73.599999999999</v>
      </c>
      <c r="P368">
        <f t="shared" si="81"/>
        <v>-118.59999999999805</v>
      </c>
      <c r="Q368">
        <f>SUM($P$148:P368)</f>
        <v>12199.299999999988</v>
      </c>
      <c r="R368">
        <f>B368*中国_中债国债到期收益率_1年!B367/365*100</f>
        <v>0</v>
      </c>
      <c r="S368">
        <f>C368*中国_中债国债到期收益率_1年!C367/365*100</f>
        <v>6.8550684931506858</v>
      </c>
      <c r="T368">
        <f>D368*中国_中债国债到期收益率_1年!D367/365*100</f>
        <v>7.2967123287671232</v>
      </c>
      <c r="U368">
        <f>E368*中国_中债国债到期收益率_1年!E367/365*100</f>
        <v>8.0780821917808225</v>
      </c>
      <c r="V368">
        <f t="shared" si="82"/>
        <v>22.229863013698633</v>
      </c>
      <c r="W368">
        <f>SUM($V$148:V368)</f>
        <v>8462.2697260273981</v>
      </c>
      <c r="X368">
        <f>MAX(F368-50,0)*中国_中债国债到期收益率_1年!H368*100/365</f>
        <v>0</v>
      </c>
      <c r="Y368">
        <f>SUM($X$148:X368)</f>
        <v>2654.2549315068459</v>
      </c>
      <c r="Z368">
        <v>-100</v>
      </c>
      <c r="AA368">
        <v>100</v>
      </c>
      <c r="AB368">
        <f>Z368*Return!F372*100</f>
        <v>179.00000000000028</v>
      </c>
      <c r="AC368">
        <f>AA368*Return!G372*100</f>
        <v>-135.00000000000068</v>
      </c>
      <c r="AD368">
        <f>SUM($AB$148:AB368)+SUM($AC$148:AC368)</f>
        <v>1985.7000000000014</v>
      </c>
      <c r="AE368">
        <f t="shared" si="69"/>
        <v>19993.014794520543</v>
      </c>
      <c r="AF368">
        <f t="shared" si="70"/>
        <v>1.0399860295890411</v>
      </c>
      <c r="AG368" s="4">
        <f>(AF368/AF367-1)-中国_中债国债到期收益率_1年!H368%/252</f>
        <v>-1.8800459996887875E-4</v>
      </c>
      <c r="AH368" s="4">
        <f>MIN((AF368-MAX($AF$151:AF368))/MAX($AF$151:AF368),0)</f>
        <v>-4.971908672555406E-4</v>
      </c>
    </row>
    <row r="369" spans="1:34" x14ac:dyDescent="0.25">
      <c r="A369" s="6">
        <v>45247</v>
      </c>
      <c r="C369">
        <v>10</v>
      </c>
      <c r="D369">
        <v>10</v>
      </c>
      <c r="E369">
        <v>10</v>
      </c>
      <c r="F369">
        <f t="shared" si="67"/>
        <v>30</v>
      </c>
      <c r="G369">
        <f t="shared" si="77"/>
        <v>0</v>
      </c>
      <c r="H369">
        <f t="shared" si="78"/>
        <v>50</v>
      </c>
      <c r="I369">
        <f t="shared" si="79"/>
        <v>90</v>
      </c>
      <c r="J369">
        <f t="shared" si="80"/>
        <v>160</v>
      </c>
      <c r="K369">
        <f t="shared" si="68"/>
        <v>300</v>
      </c>
      <c r="L369">
        <f>G369*Return!B369*100</f>
        <v>0</v>
      </c>
      <c r="M369">
        <f>H369*Return!C369*100</f>
        <v>-2.9999999999996696</v>
      </c>
      <c r="N369">
        <f>I369*Return!D369*100</f>
        <v>67.499999999998565</v>
      </c>
      <c r="O369">
        <f>J369*Return!E369*100</f>
        <v>72.000000000002728</v>
      </c>
      <c r="P369">
        <f t="shared" si="81"/>
        <v>136.50000000000162</v>
      </c>
      <c r="Q369">
        <f>SUM($P$148:P369)</f>
        <v>12335.79999999999</v>
      </c>
      <c r="R369">
        <f>B369*中国_中债国债到期收益率_1年!B368/365*100</f>
        <v>0</v>
      </c>
      <c r="S369">
        <f>C369*中国_中债国债到期收益率_1年!C368/365*100</f>
        <v>6.8567123287671246</v>
      </c>
      <c r="T369">
        <f>D369*中国_中债国债到期收益率_1年!D368/365*100</f>
        <v>7.2761643835616434</v>
      </c>
      <c r="U369">
        <f>E369*中国_中债国债到期收益率_1年!E368/365*100</f>
        <v>8.0657534246575331</v>
      </c>
      <c r="V369">
        <f t="shared" si="82"/>
        <v>22.198630136986303</v>
      </c>
      <c r="W369">
        <f>SUM($V$148:V369)</f>
        <v>8484.4683561643851</v>
      </c>
      <c r="X369">
        <f>MAX(F369-50,0)*中国_中债国债到期收益率_1年!H369*100/365</f>
        <v>0</v>
      </c>
      <c r="Y369">
        <f>SUM($X$148:X369)</f>
        <v>2654.2549315068459</v>
      </c>
      <c r="Z369">
        <v>-100</v>
      </c>
      <c r="AA369">
        <v>100</v>
      </c>
      <c r="AB369">
        <f>Z369*Return!F373*100</f>
        <v>206.99999999999719</v>
      </c>
      <c r="AC369">
        <f>AA369*Return!G373*100</f>
        <v>-100.99999999999997</v>
      </c>
      <c r="AD369">
        <f>SUM($AB$148:AB369)+SUM($AC$148:AC369)</f>
        <v>2091.6999999999985</v>
      </c>
      <c r="AE369">
        <f t="shared" si="69"/>
        <v>20257.713424657526</v>
      </c>
      <c r="AF369">
        <f t="shared" si="70"/>
        <v>1.0405154268493151</v>
      </c>
      <c r="AG369" s="4">
        <f>(AF369/AF368-1)-中国_中债国债到期收益率_1年!H369%/252</f>
        <v>4.1975695091552826E-4</v>
      </c>
      <c r="AH369" s="4">
        <f>MIN((AF369-MAX($AF$151:AF369))/MAX($AF$151:AF369),0)</f>
        <v>0</v>
      </c>
    </row>
    <row r="370" spans="1:34" x14ac:dyDescent="0.25">
      <c r="A370" s="6">
        <v>45250</v>
      </c>
      <c r="C370">
        <v>10</v>
      </c>
      <c r="D370">
        <v>10</v>
      </c>
      <c r="E370">
        <v>10</v>
      </c>
      <c r="F370">
        <f t="shared" si="67"/>
        <v>30</v>
      </c>
      <c r="G370">
        <f t="shared" si="77"/>
        <v>0</v>
      </c>
      <c r="H370">
        <f t="shared" si="78"/>
        <v>50</v>
      </c>
      <c r="I370">
        <f t="shared" si="79"/>
        <v>90</v>
      </c>
      <c r="J370">
        <f t="shared" si="80"/>
        <v>160</v>
      </c>
      <c r="K370">
        <f t="shared" si="68"/>
        <v>300</v>
      </c>
      <c r="L370">
        <f>G370*Return!B370*100</f>
        <v>0</v>
      </c>
      <c r="M370">
        <f>H370*Return!C370*100</f>
        <v>-15.499999999999403</v>
      </c>
      <c r="N370">
        <f>I370*Return!D370*100</f>
        <v>30.600000000000627</v>
      </c>
      <c r="O370">
        <f>J370*Return!E370*100</f>
        <v>166.39999999999588</v>
      </c>
      <c r="P370">
        <f t="shared" si="81"/>
        <v>181.4999999999971</v>
      </c>
      <c r="Q370">
        <f>SUM($P$148:P370)</f>
        <v>12517.299999999987</v>
      </c>
      <c r="R370">
        <f>B370*中国_中债国债到期收益率_1年!B369/365*100</f>
        <v>0</v>
      </c>
      <c r="S370">
        <f>C370*中国_中债国债到期收益率_1年!C369/365*100</f>
        <v>6.8652054794520554</v>
      </c>
      <c r="T370">
        <f>D370*中国_中债国债到期收益率_1年!D369/365*100</f>
        <v>7.2668493150684936</v>
      </c>
      <c r="U370">
        <f>E370*中国_中债国债到期收益率_1年!E369/365*100</f>
        <v>8.0372602739726027</v>
      </c>
      <c r="V370">
        <f t="shared" si="82"/>
        <v>22.169315068493152</v>
      </c>
      <c r="W370">
        <f>SUM($V$148:V370)</f>
        <v>8506.6376712328783</v>
      </c>
      <c r="X370">
        <f>MAX(F370-50,0)*中国_中债国债到期收益率_1年!H370*100/365</f>
        <v>0</v>
      </c>
      <c r="Y370">
        <f>SUM($X$148:X370)</f>
        <v>2654.2549315068459</v>
      </c>
      <c r="Z370">
        <v>-100</v>
      </c>
      <c r="AA370">
        <v>100</v>
      </c>
      <c r="AB370">
        <f>Z370*Return!F374*100</f>
        <v>176.00000000000281</v>
      </c>
      <c r="AC370">
        <f>AA370*Return!G374*100</f>
        <v>-322.00000000000006</v>
      </c>
      <c r="AD370">
        <f>SUM($AB$148:AB370)+SUM($AC$148:AC370)</f>
        <v>1945.7000000000014</v>
      </c>
      <c r="AE370">
        <f t="shared" si="69"/>
        <v>20315.382739726021</v>
      </c>
      <c r="AF370">
        <f t="shared" si="70"/>
        <v>1.040630765479452</v>
      </c>
      <c r="AG370" s="4">
        <f>(AF370/AF369-1)-中国_中债国债到期收益率_1年!H370%/252</f>
        <v>2.156187832155178E-5</v>
      </c>
      <c r="AH370" s="4">
        <f>MIN((AF370-MAX($AF$151:AF370))/MAX($AF$151:AF370),0)</f>
        <v>0</v>
      </c>
    </row>
    <row r="371" spans="1:34" x14ac:dyDescent="0.25">
      <c r="A371" s="6">
        <v>45251</v>
      </c>
      <c r="C371">
        <v>10</v>
      </c>
      <c r="D371">
        <v>10</v>
      </c>
      <c r="E371">
        <v>10</v>
      </c>
      <c r="F371">
        <f t="shared" si="67"/>
        <v>30</v>
      </c>
      <c r="G371">
        <f t="shared" si="77"/>
        <v>0</v>
      </c>
      <c r="H371">
        <f t="shared" si="78"/>
        <v>50</v>
      </c>
      <c r="I371">
        <f t="shared" si="79"/>
        <v>90</v>
      </c>
      <c r="J371">
        <f t="shared" si="80"/>
        <v>160</v>
      </c>
      <c r="K371">
        <f t="shared" si="68"/>
        <v>300</v>
      </c>
      <c r="L371">
        <f>G371*Return!B371*100</f>
        <v>0</v>
      </c>
      <c r="M371">
        <f>H371*Return!C371*100</f>
        <v>-92.500000000002018</v>
      </c>
      <c r="N371">
        <f>I371*Return!D371*100</f>
        <v>-53.999999999998053</v>
      </c>
      <c r="O371">
        <f>J371*Return!E371*100</f>
        <v>24.000000000000909</v>
      </c>
      <c r="P371">
        <f t="shared" si="81"/>
        <v>-122.49999999999915</v>
      </c>
      <c r="Q371">
        <f>SUM($P$148:P371)</f>
        <v>12394.799999999987</v>
      </c>
      <c r="R371">
        <f>B371*中国_中债国债到期收益率_1年!B370/365*100</f>
        <v>0</v>
      </c>
      <c r="S371">
        <f>C371*中国_中债国债到期收益率_1年!C370/365*100</f>
        <v>6.9158904109589052</v>
      </c>
      <c r="T371">
        <f>D371*中国_中债国债到期收益率_1年!D370/365*100</f>
        <v>7.2832876712328769</v>
      </c>
      <c r="U371">
        <f>E371*中国_中债国债到期收益率_1年!E370/365*100</f>
        <v>8.033150684931508</v>
      </c>
      <c r="V371">
        <f t="shared" si="82"/>
        <v>22.232328767123292</v>
      </c>
      <c r="W371">
        <f>SUM($V$148:V371)</f>
        <v>8528.8700000000008</v>
      </c>
      <c r="X371">
        <f>MAX(F371-50,0)*中国_中债国债到期收益率_1年!H371*100/365</f>
        <v>0</v>
      </c>
      <c r="Y371">
        <f>SUM($X$148:X371)</f>
        <v>2654.2549315068459</v>
      </c>
      <c r="Z371">
        <v>-100</v>
      </c>
      <c r="AA371">
        <v>100</v>
      </c>
      <c r="AB371">
        <f>Z371*Return!F375*100</f>
        <v>49.999999999998934</v>
      </c>
      <c r="AC371">
        <f>AA371*Return!G375*100</f>
        <v>-18.000000000002458</v>
      </c>
      <c r="AD371">
        <f>SUM($AB$148:AB371)+SUM($AC$148:AC371)</f>
        <v>1977.6999999999978</v>
      </c>
      <c r="AE371">
        <f t="shared" si="69"/>
        <v>20247.115068493138</v>
      </c>
      <c r="AF371">
        <f t="shared" si="70"/>
        <v>1.0404942301369862</v>
      </c>
      <c r="AG371" s="4">
        <f>(AF371/AF370-1)-中国_中债国债到期收益率_1年!H371%/252</f>
        <v>-2.1850599427770267E-4</v>
      </c>
      <c r="AH371" s="4">
        <f>MIN((AF371-MAX($AF$151:AF371))/MAX($AF$151:AF371),0)</f>
        <v>-1.3120440697610977E-4</v>
      </c>
    </row>
    <row r="372" spans="1:34" x14ac:dyDescent="0.25">
      <c r="A372" s="6">
        <v>45252</v>
      </c>
      <c r="C372">
        <v>10</v>
      </c>
      <c r="D372">
        <v>10</v>
      </c>
      <c r="E372">
        <v>10</v>
      </c>
      <c r="F372">
        <f t="shared" si="67"/>
        <v>30</v>
      </c>
      <c r="G372">
        <f t="shared" si="77"/>
        <v>0</v>
      </c>
      <c r="H372">
        <f t="shared" si="78"/>
        <v>50</v>
      </c>
      <c r="I372">
        <f t="shared" si="79"/>
        <v>90</v>
      </c>
      <c r="J372">
        <f t="shared" si="80"/>
        <v>160</v>
      </c>
      <c r="K372">
        <f t="shared" si="68"/>
        <v>300</v>
      </c>
      <c r="L372">
        <f>G372*Return!B372*100</f>
        <v>0</v>
      </c>
      <c r="M372">
        <f>H372*Return!C372*100</f>
        <v>-103.49999999999859</v>
      </c>
      <c r="N372">
        <f>I372*Return!D372*100</f>
        <v>-90.000000000002075</v>
      </c>
      <c r="O372">
        <f>J372*Return!E372*100</f>
        <v>-107.19999999999885</v>
      </c>
      <c r="P372">
        <f t="shared" si="81"/>
        <v>-300.69999999999953</v>
      </c>
      <c r="Q372">
        <f>SUM($P$148:P372)</f>
        <v>12094.099999999988</v>
      </c>
      <c r="R372">
        <f>B372*中国_中债国债到期收益率_1年!B371/365*100</f>
        <v>0</v>
      </c>
      <c r="S372">
        <f>C372*中国_中债国债到期收益率_1年!C371/365*100</f>
        <v>6.9726027397260273</v>
      </c>
      <c r="T372">
        <f>D372*中国_中债国债到期收益率_1年!D371/365*100</f>
        <v>7.3106849315068505</v>
      </c>
      <c r="U372">
        <f>E372*中国_中债国债到期收益率_1年!E371/365*100</f>
        <v>8.0515068493150697</v>
      </c>
      <c r="V372">
        <f t="shared" si="82"/>
        <v>22.334794520547945</v>
      </c>
      <c r="W372">
        <f>SUM($V$148:V372)</f>
        <v>8551.2047945205486</v>
      </c>
      <c r="X372">
        <f>MAX(F372-50,0)*中国_中债国债到期收益率_1年!H372*100/365</f>
        <v>0</v>
      </c>
      <c r="Y372">
        <f>SUM($X$148:X372)</f>
        <v>2654.2549315068459</v>
      </c>
      <c r="Z372">
        <v>-100</v>
      </c>
      <c r="AA372">
        <v>100</v>
      </c>
      <c r="AB372">
        <f>Z372*Return!F376*100</f>
        <v>396.99999999999847</v>
      </c>
      <c r="AC372">
        <f>AA372*Return!G376*100</f>
        <v>-186.99999999999937</v>
      </c>
      <c r="AD372">
        <f>SUM($AB$148:AB372)+SUM($AC$148:AC372)</f>
        <v>2187.6999999999971</v>
      </c>
      <c r="AE372">
        <f t="shared" si="69"/>
        <v>20178.749863013687</v>
      </c>
      <c r="AF372">
        <f t="shared" si="70"/>
        <v>1.0403574997260274</v>
      </c>
      <c r="AG372" s="4">
        <f>(AF372/AF371-1)-中国_中债国债到期收益率_1年!H372%/252</f>
        <v>-2.1871068789864478E-4</v>
      </c>
      <c r="AH372" s="4">
        <f>MIN((AF372-MAX($AF$151:AF372))/MAX($AF$151:AF372),0)</f>
        <v>-2.6259626612006341E-4</v>
      </c>
    </row>
    <row r="373" spans="1:34" x14ac:dyDescent="0.25">
      <c r="A373" s="6">
        <v>45253</v>
      </c>
      <c r="C373">
        <v>10</v>
      </c>
      <c r="D373">
        <v>10</v>
      </c>
      <c r="E373">
        <v>10</v>
      </c>
      <c r="F373">
        <f t="shared" si="67"/>
        <v>30</v>
      </c>
      <c r="G373">
        <f t="shared" si="77"/>
        <v>0</v>
      </c>
      <c r="H373">
        <f t="shared" si="78"/>
        <v>50</v>
      </c>
      <c r="I373">
        <f t="shared" si="79"/>
        <v>90</v>
      </c>
      <c r="J373">
        <f t="shared" si="80"/>
        <v>160</v>
      </c>
      <c r="K373">
        <f t="shared" si="68"/>
        <v>300</v>
      </c>
      <c r="L373">
        <f>G373*Return!B373*100</f>
        <v>0</v>
      </c>
      <c r="M373">
        <f>H373*Return!C373*100</f>
        <v>-105.5000000000006</v>
      </c>
      <c r="N373">
        <f>I373*Return!D373*100</f>
        <v>-125.10000000000021</v>
      </c>
      <c r="O373">
        <f>J373*Return!E373*100</f>
        <v>-240.00000000000199</v>
      </c>
      <c r="P373">
        <f t="shared" si="81"/>
        <v>-470.60000000000281</v>
      </c>
      <c r="Q373">
        <f>SUM($P$148:P373)</f>
        <v>11623.499999999985</v>
      </c>
      <c r="R373">
        <f>B373*中国_中债国债到期收益率_1年!B372/365*100</f>
        <v>0</v>
      </c>
      <c r="S373">
        <f>C373*中国_中债国债到期收益率_1年!C372/365*100</f>
        <v>7.0304109589041097</v>
      </c>
      <c r="T373">
        <f>D373*中国_中债国债到期收益率_1年!D372/365*100</f>
        <v>7.3487671232876712</v>
      </c>
      <c r="U373">
        <f>E373*中国_中债国债到期收益率_1年!E372/365*100</f>
        <v>8.0926027397260274</v>
      </c>
      <c r="V373">
        <f t="shared" si="82"/>
        <v>22.471780821917811</v>
      </c>
      <c r="W373">
        <f>SUM($V$148:V373)</f>
        <v>8573.6765753424661</v>
      </c>
      <c r="X373">
        <f>MAX(F373-50,0)*中国_中债国债到期收益率_1年!H373*100/365</f>
        <v>0</v>
      </c>
      <c r="Y373">
        <f>SUM($X$148:X373)</f>
        <v>2654.2549315068459</v>
      </c>
      <c r="Z373">
        <v>-100</v>
      </c>
      <c r="AA373">
        <v>100</v>
      </c>
      <c r="AB373">
        <f>Z373*Return!F377*100</f>
        <v>-152.99999999999869</v>
      </c>
      <c r="AC373">
        <f>AA373*Return!G377*100</f>
        <v>199.0000000000025</v>
      </c>
      <c r="AD373">
        <f>SUM($AB$148:AB373)+SUM($AC$148:AC373)</f>
        <v>2233.7000000000007</v>
      </c>
      <c r="AE373">
        <f t="shared" si="69"/>
        <v>19776.621643835606</v>
      </c>
      <c r="AF373">
        <f t="shared" si="70"/>
        <v>1.0395532432876713</v>
      </c>
      <c r="AG373" s="4">
        <f>(AF373/AF372-1)-中国_中债国债到期收益率_1年!H373%/252</f>
        <v>-8.6234347430372868E-4</v>
      </c>
      <c r="AH373" s="4">
        <f>MIN((AF373-MAX($AF$151:AF373))/MAX($AF$151:AF373),0)</f>
        <v>-1.0354510240567899E-3</v>
      </c>
    </row>
    <row r="374" spans="1:34" x14ac:dyDescent="0.25">
      <c r="A374" s="6">
        <v>45254</v>
      </c>
      <c r="C374">
        <v>10</v>
      </c>
      <c r="D374">
        <v>10</v>
      </c>
      <c r="E374">
        <v>10</v>
      </c>
      <c r="F374">
        <f t="shared" si="67"/>
        <v>30</v>
      </c>
      <c r="G374">
        <f t="shared" si="77"/>
        <v>0</v>
      </c>
      <c r="H374">
        <f t="shared" si="78"/>
        <v>50</v>
      </c>
      <c r="I374">
        <f t="shared" si="79"/>
        <v>90</v>
      </c>
      <c r="J374">
        <f t="shared" si="80"/>
        <v>160</v>
      </c>
      <c r="K374">
        <f t="shared" si="68"/>
        <v>300</v>
      </c>
      <c r="L374">
        <f>G374*Return!B374*100</f>
        <v>0</v>
      </c>
      <c r="M374">
        <f>H374*Return!C374*100</f>
        <v>-87.99999999999919</v>
      </c>
      <c r="N374">
        <f>I374*Return!D374*100</f>
        <v>-180.00000000000017</v>
      </c>
      <c r="O374">
        <f>J374*Return!E374*100</f>
        <v>-265.59999999999917</v>
      </c>
      <c r="P374">
        <f t="shared" si="81"/>
        <v>-533.59999999999854</v>
      </c>
      <c r="Q374">
        <f>SUM($P$148:P374)</f>
        <v>11089.899999999987</v>
      </c>
      <c r="R374">
        <f>B374*中国_中债国债到期收益率_1年!B373/365*100</f>
        <v>0</v>
      </c>
      <c r="S374">
        <f>C374*中国_中债国债到期收益率_1年!C373/365*100</f>
        <v>7.0786301369863009</v>
      </c>
      <c r="T374">
        <f>D374*中国_中债国债到期收益率_1年!D373/365*100</f>
        <v>7.4035616438356167</v>
      </c>
      <c r="U374">
        <f>E374*中国_中债国债到期收益率_1年!E373/365*100</f>
        <v>8.138082191780823</v>
      </c>
      <c r="V374">
        <f t="shared" si="82"/>
        <v>22.620273972602739</v>
      </c>
      <c r="W374">
        <f>SUM($V$148:V374)</f>
        <v>8596.2968493150693</v>
      </c>
      <c r="X374">
        <f>MAX(F374-50,0)*中国_中债国债到期收益率_1年!H374*100/365</f>
        <v>0</v>
      </c>
      <c r="Y374">
        <f>SUM($X$148:X374)</f>
        <v>2654.2549315068459</v>
      </c>
      <c r="Z374">
        <v>-100</v>
      </c>
      <c r="AA374">
        <v>100</v>
      </c>
      <c r="AB374">
        <f>Z374*Return!F378*100</f>
        <v>-2.9999999999974492</v>
      </c>
      <c r="AC374">
        <f>AA374*Return!G378*100</f>
        <v>126.99999999999712</v>
      </c>
      <c r="AD374">
        <f>SUM($AB$148:AB374)+SUM($AC$148:AC374)</f>
        <v>2357.7000000000003</v>
      </c>
      <c r="AE374">
        <f t="shared" si="69"/>
        <v>19389.641917808211</v>
      </c>
      <c r="AF374">
        <f t="shared" si="70"/>
        <v>1.0387792838356165</v>
      </c>
      <c r="AG374" s="4">
        <f>(AF374/AF373-1)-中国_中债国债到期收益率_1年!H374%/252</f>
        <v>-8.6197192093253737E-4</v>
      </c>
      <c r="AH374" s="4">
        <f>MIN((AF374-MAX($AF$151:AF374))/MAX($AF$151:AF374),0)</f>
        <v>-1.7791917222267511E-3</v>
      </c>
    </row>
    <row r="375" spans="1:34" x14ac:dyDescent="0.25">
      <c r="A375" s="6">
        <v>45257</v>
      </c>
      <c r="C375">
        <v>10</v>
      </c>
      <c r="D375">
        <v>10</v>
      </c>
      <c r="E375">
        <v>10</v>
      </c>
      <c r="F375">
        <f t="shared" si="67"/>
        <v>30</v>
      </c>
      <c r="G375">
        <f t="shared" si="77"/>
        <v>0</v>
      </c>
      <c r="H375">
        <f t="shared" si="78"/>
        <v>50</v>
      </c>
      <c r="I375">
        <f t="shared" si="79"/>
        <v>90</v>
      </c>
      <c r="J375">
        <f t="shared" si="80"/>
        <v>160</v>
      </c>
      <c r="K375">
        <f t="shared" si="68"/>
        <v>300</v>
      </c>
      <c r="L375">
        <f>G375*Return!B375*100</f>
        <v>0</v>
      </c>
      <c r="M375">
        <f>H375*Return!C375*100</f>
        <v>-61.999999999999829</v>
      </c>
      <c r="N375">
        <f>I375*Return!D375*100</f>
        <v>-26.999999999997026</v>
      </c>
      <c r="O375">
        <f>J375*Return!E375*100</f>
        <v>32.000000000003581</v>
      </c>
      <c r="P375">
        <f t="shared" si="81"/>
        <v>-56.999999999993278</v>
      </c>
      <c r="Q375">
        <f>SUM($P$148:P375)</f>
        <v>11032.899999999994</v>
      </c>
      <c r="R375">
        <f>B375*中国_中债国债到期收益率_1年!B374/365*100</f>
        <v>0</v>
      </c>
      <c r="S375">
        <f>C375*中国_中债国债到期收益率_1年!C374/365*100</f>
        <v>7.1126027397260279</v>
      </c>
      <c r="T375">
        <f>D375*中国_中债国债到期收益率_1年!D374/365*100</f>
        <v>7.411780821917807</v>
      </c>
      <c r="U375">
        <f>E375*中国_中债国债到期收益率_1年!E374/365*100</f>
        <v>8.1326027397260265</v>
      </c>
      <c r="V375">
        <f t="shared" si="82"/>
        <v>22.656986301369862</v>
      </c>
      <c r="W375">
        <f>SUM($V$148:V375)</f>
        <v>8618.9538356164394</v>
      </c>
      <c r="X375">
        <f>MAX(F375-50,0)*中国_中债国债到期收益率_1年!H375*100/365</f>
        <v>0</v>
      </c>
      <c r="Y375">
        <f>SUM($X$148:X375)</f>
        <v>2654.2549315068459</v>
      </c>
      <c r="Z375">
        <v>-100</v>
      </c>
      <c r="AA375">
        <v>100</v>
      </c>
      <c r="AB375">
        <f>Z375*Return!F379*100</f>
        <v>-304.00000000000205</v>
      </c>
      <c r="AC375">
        <f>AA375*Return!G379*100</f>
        <v>133.00000000000091</v>
      </c>
      <c r="AD375">
        <f>SUM($AB$148:AB375)+SUM($AC$148:AC375)</f>
        <v>2186.6999999999989</v>
      </c>
      <c r="AE375">
        <f t="shared" si="69"/>
        <v>19184.298904109586</v>
      </c>
      <c r="AF375">
        <f t="shared" si="70"/>
        <v>1.0383685978082191</v>
      </c>
      <c r="AG375" s="4">
        <f>(AF375/AF374-1)-中国_中债国债到期收益率_1年!H375%/252</f>
        <v>-5.2630684535879754E-4</v>
      </c>
      <c r="AH375" s="4">
        <f>MIN((AF375-MAX($AF$151:AF375))/MAX($AF$151:AF375),0)</f>
        <v>-2.1738427752427932E-3</v>
      </c>
    </row>
    <row r="376" spans="1:34" x14ac:dyDescent="0.25">
      <c r="A376" s="6">
        <v>45258</v>
      </c>
      <c r="C376">
        <v>10</v>
      </c>
      <c r="D376">
        <v>10</v>
      </c>
      <c r="E376">
        <v>10</v>
      </c>
      <c r="F376">
        <f t="shared" si="67"/>
        <v>30</v>
      </c>
      <c r="G376">
        <f t="shared" si="77"/>
        <v>0</v>
      </c>
      <c r="H376">
        <f t="shared" si="78"/>
        <v>50</v>
      </c>
      <c r="I376">
        <f t="shared" si="79"/>
        <v>90</v>
      </c>
      <c r="J376">
        <f t="shared" si="80"/>
        <v>160</v>
      </c>
      <c r="K376">
        <f t="shared" si="68"/>
        <v>300</v>
      </c>
      <c r="L376">
        <f>G376*Return!B376*100</f>
        <v>0</v>
      </c>
      <c r="M376">
        <f>H376*Return!C376*100</f>
        <v>-25.500000000000522</v>
      </c>
      <c r="N376">
        <f>I376*Return!D376*100</f>
        <v>-49.50000000000054</v>
      </c>
      <c r="O376">
        <f>J376*Return!E376*100</f>
        <v>-97.599999999999909</v>
      </c>
      <c r="P376">
        <f t="shared" si="81"/>
        <v>-172.60000000000099</v>
      </c>
      <c r="Q376">
        <f>SUM($P$148:P376)</f>
        <v>10860.299999999994</v>
      </c>
      <c r="R376">
        <f>B376*中国_中债国债到期收益率_1年!B375/365*100</f>
        <v>0</v>
      </c>
      <c r="S376">
        <f>C376*中国_中债国债到期收益率_1年!C375/365*100</f>
        <v>7.1265753424657534</v>
      </c>
      <c r="T376">
        <f>D376*中国_中债国债到期收益率_1年!D375/365*100</f>
        <v>7.4268493150684929</v>
      </c>
      <c r="U376">
        <f>E376*中国_中债国债到期收益率_1年!E375/365*100</f>
        <v>8.1493150684931503</v>
      </c>
      <c r="V376">
        <f t="shared" si="82"/>
        <v>22.702739726027396</v>
      </c>
      <c r="W376">
        <f>SUM($V$148:V376)</f>
        <v>8641.6565753424675</v>
      </c>
      <c r="X376">
        <f>MAX(F376-50,0)*中国_中债国债到期收益率_1年!H376*100/365</f>
        <v>0</v>
      </c>
      <c r="Y376">
        <f>SUM($X$148:X376)</f>
        <v>2654.2549315068459</v>
      </c>
      <c r="Z376">
        <v>-100</v>
      </c>
      <c r="AA376">
        <v>100</v>
      </c>
      <c r="AB376">
        <f>Z376*Return!F380*100</f>
        <v>-131.00000000000111</v>
      </c>
      <c r="AC376">
        <f>AA376*Return!G380*100</f>
        <v>-24.999999999999467</v>
      </c>
      <c r="AD376">
        <f>SUM($AB$148:AB376)+SUM($AC$148:AC376)</f>
        <v>2030.6999999999985</v>
      </c>
      <c r="AE376">
        <f t="shared" si="69"/>
        <v>18878.401643835612</v>
      </c>
      <c r="AF376">
        <f t="shared" si="70"/>
        <v>1.0377568032876712</v>
      </c>
      <c r="AG376" s="4">
        <f>(AF376/AF375-1)-中国_中债国债到期收益率_1年!H376%/252</f>
        <v>-7.241088305568826E-4</v>
      </c>
      <c r="AH376" s="4">
        <f>MIN((AF376-MAX($AF$151:AF376))/MAX($AF$151:AF376),0)</f>
        <v>-2.7617501683766714E-3</v>
      </c>
    </row>
    <row r="377" spans="1:34" x14ac:dyDescent="0.25">
      <c r="A377" s="6">
        <v>45259</v>
      </c>
      <c r="C377">
        <v>10</v>
      </c>
      <c r="D377">
        <v>10</v>
      </c>
      <c r="E377">
        <v>10</v>
      </c>
      <c r="F377">
        <f t="shared" si="67"/>
        <v>30</v>
      </c>
      <c r="G377">
        <f t="shared" si="77"/>
        <v>0</v>
      </c>
      <c r="H377">
        <f t="shared" si="78"/>
        <v>50</v>
      </c>
      <c r="I377">
        <f t="shared" si="79"/>
        <v>90</v>
      </c>
      <c r="J377">
        <f t="shared" si="80"/>
        <v>160</v>
      </c>
      <c r="K377">
        <f t="shared" si="68"/>
        <v>300</v>
      </c>
      <c r="L377">
        <f>G377*Return!B377*100</f>
        <v>0</v>
      </c>
      <c r="M377">
        <f>H377*Return!C377*100</f>
        <v>124.99999999999956</v>
      </c>
      <c r="N377">
        <f>I377*Return!D377*100</f>
        <v>188.99999999999918</v>
      </c>
      <c r="O377">
        <f>J377*Return!E377*100</f>
        <v>327.99999999999585</v>
      </c>
      <c r="P377">
        <f t="shared" si="81"/>
        <v>641.99999999999454</v>
      </c>
      <c r="Q377">
        <f>SUM($P$148:P377)</f>
        <v>11502.299999999988</v>
      </c>
      <c r="R377">
        <f>B377*中国_中债国债到期收益率_1年!B376/365*100</f>
        <v>0</v>
      </c>
      <c r="S377">
        <f>C377*中国_中债国债到期收益率_1年!C376/365*100</f>
        <v>7.0580821917808221</v>
      </c>
      <c r="T377">
        <f>D377*中国_中债国债到期收益率_1年!D376/365*100</f>
        <v>7.3693150684931501</v>
      </c>
      <c r="U377">
        <f>E377*中国_中债国债到期收益率_1年!E376/365*100</f>
        <v>8.0931506849315085</v>
      </c>
      <c r="V377">
        <f t="shared" si="82"/>
        <v>22.520547945205479</v>
      </c>
      <c r="W377">
        <f>SUM($V$148:V377)</f>
        <v>8664.1771232876727</v>
      </c>
      <c r="X377">
        <f>MAX(F377-50,0)*中国_中债国债到期收益率_1年!H377*100/365</f>
        <v>0</v>
      </c>
      <c r="Y377">
        <f>SUM($X$148:X377)</f>
        <v>2654.2549315068459</v>
      </c>
      <c r="Z377">
        <v>-100</v>
      </c>
      <c r="AA377">
        <v>100</v>
      </c>
      <c r="AB377">
        <f>Z377*Return!F381*100</f>
        <v>380.00000000000256</v>
      </c>
      <c r="AC377">
        <f>AA377*Return!G381*100</f>
        <v>-85.999999999999403</v>
      </c>
      <c r="AD377">
        <f>SUM($AB$148:AB377)+SUM($AC$148:AC377)</f>
        <v>2324.7000000000016</v>
      </c>
      <c r="AE377">
        <f t="shared" si="69"/>
        <v>19836.922191780814</v>
      </c>
      <c r="AF377">
        <f t="shared" si="70"/>
        <v>1.0396738443835616</v>
      </c>
      <c r="AG377" s="4">
        <f>(AF377/AF376-1)-中国_中债国债到期收益率_1年!H377%/252</f>
        <v>1.7044360667051966E-3</v>
      </c>
      <c r="AH377" s="4">
        <f>MIN((AF377-MAX($AF$151:AF377))/MAX($AF$151:AF377),0)</f>
        <v>-9.1955872114690164E-4</v>
      </c>
    </row>
    <row r="378" spans="1:34" x14ac:dyDescent="0.25">
      <c r="A378" s="6">
        <v>45260</v>
      </c>
      <c r="C378">
        <v>10</v>
      </c>
      <c r="D378">
        <v>10</v>
      </c>
      <c r="E378">
        <v>10</v>
      </c>
      <c r="F378">
        <f t="shared" si="67"/>
        <v>30</v>
      </c>
      <c r="G378">
        <f t="shared" si="77"/>
        <v>0</v>
      </c>
      <c r="H378">
        <f t="shared" si="78"/>
        <v>50</v>
      </c>
      <c r="I378">
        <f t="shared" si="79"/>
        <v>90</v>
      </c>
      <c r="J378">
        <f t="shared" si="80"/>
        <v>160</v>
      </c>
      <c r="K378">
        <f t="shared" si="68"/>
        <v>300</v>
      </c>
      <c r="L378">
        <f>G378*Return!B378*100</f>
        <v>0</v>
      </c>
      <c r="M378">
        <f>H378*Return!C378*100</f>
        <v>-39.000000000000142</v>
      </c>
      <c r="N378">
        <f>I378*Return!D378*100</f>
        <v>64.800000000000864</v>
      </c>
      <c r="O378">
        <f>J378*Return!E378*100</f>
        <v>24.000000000000909</v>
      </c>
      <c r="P378">
        <f t="shared" si="81"/>
        <v>49.800000000001631</v>
      </c>
      <c r="Q378">
        <f>SUM($P$148:P378)</f>
        <v>11552.099999999989</v>
      </c>
      <c r="R378">
        <f>B378*中国_中债国债到期收益率_1年!B377/365*100</f>
        <v>0</v>
      </c>
      <c r="S378">
        <f>C378*中国_中债国债到期收益率_1年!C377/365*100</f>
        <v>7.0794520547945199</v>
      </c>
      <c r="T378">
        <f>D378*中国_中债国债到期收益率_1年!D377/365*100</f>
        <v>7.3495890410958902</v>
      </c>
      <c r="U378">
        <f>E378*中国_中债国债到期收益率_1年!E377/365*100</f>
        <v>8.089041095890412</v>
      </c>
      <c r="V378">
        <f t="shared" si="82"/>
        <v>22.51808219178082</v>
      </c>
      <c r="W378">
        <f>SUM($V$148:V378)</f>
        <v>8686.6952054794529</v>
      </c>
      <c r="X378">
        <f>MAX(F378-50,0)*中国_中债国债到期收益率_1年!H378*100/365</f>
        <v>0</v>
      </c>
      <c r="Y378">
        <f>SUM($X$148:X378)</f>
        <v>2654.2549315068459</v>
      </c>
      <c r="Z378">
        <v>-100</v>
      </c>
      <c r="AA378">
        <v>100</v>
      </c>
      <c r="AB378">
        <f>Z378*Return!F382*100</f>
        <v>219.00000000000031</v>
      </c>
      <c r="AC378">
        <f>AA378*Return!G382*100</f>
        <v>-74.999999999998408</v>
      </c>
      <c r="AD378">
        <f>SUM($AB$148:AB378)+SUM($AC$148:AC378)</f>
        <v>2468.7000000000035</v>
      </c>
      <c r="AE378">
        <f t="shared" si="69"/>
        <v>20053.240273972602</v>
      </c>
      <c r="AF378">
        <f t="shared" si="70"/>
        <v>1.0401064805479452</v>
      </c>
      <c r="AG378" s="4">
        <f>(AF378/AF377-1)-中国_中债国债到期收益率_1年!H378%/252</f>
        <v>3.0699982979723832E-4</v>
      </c>
      <c r="AH378" s="4">
        <f>MIN((AF378-MAX($AF$151:AF378))/MAX($AF$151:AF378),0)</f>
        <v>-5.0381456026359864E-4</v>
      </c>
    </row>
    <row r="379" spans="1:34" x14ac:dyDescent="0.25">
      <c r="A379" s="6">
        <v>45261</v>
      </c>
      <c r="C379">
        <v>10</v>
      </c>
      <c r="D379">
        <v>10</v>
      </c>
      <c r="E379">
        <v>10</v>
      </c>
      <c r="F379">
        <f t="shared" si="67"/>
        <v>30</v>
      </c>
      <c r="G379">
        <f t="shared" si="77"/>
        <v>0</v>
      </c>
      <c r="H379">
        <f t="shared" si="78"/>
        <v>50</v>
      </c>
      <c r="I379">
        <f t="shared" si="79"/>
        <v>90</v>
      </c>
      <c r="J379">
        <f t="shared" si="80"/>
        <v>160</v>
      </c>
      <c r="K379">
        <f t="shared" si="68"/>
        <v>300</v>
      </c>
      <c r="L379">
        <f>G379*Return!B379*100</f>
        <v>0</v>
      </c>
      <c r="M379">
        <f>H379*Return!C379*100</f>
        <v>74.499999999999574</v>
      </c>
      <c r="N379">
        <f>I379*Return!D379*100</f>
        <v>131.39999999999753</v>
      </c>
      <c r="O379">
        <f>J379*Return!E379*100</f>
        <v>192.00000000000017</v>
      </c>
      <c r="P379">
        <f t="shared" si="81"/>
        <v>397.89999999999725</v>
      </c>
      <c r="Q379">
        <f>SUM($P$148:P379)</f>
        <v>11949.999999999987</v>
      </c>
      <c r="R379">
        <f>B379*中国_中债国债到期收益率_1年!B378/365*100</f>
        <v>0</v>
      </c>
      <c r="S379">
        <f>C379*中国_中债国债到期收益率_1年!C378/365*100</f>
        <v>7.0386301369863027</v>
      </c>
      <c r="T379">
        <f>D379*中国_中债国债到期收益率_1年!D378/365*100</f>
        <v>7.3095890410958901</v>
      </c>
      <c r="U379">
        <f>E379*中国_中债国债到期收益率_1年!E378/365*100</f>
        <v>8.0561643835616437</v>
      </c>
      <c r="V379">
        <f t="shared" si="82"/>
        <v>22.404383561643836</v>
      </c>
      <c r="W379">
        <f>SUM($V$148:V379)</f>
        <v>8709.0995890410959</v>
      </c>
      <c r="X379">
        <f>MAX(F379-50,0)*中国_中债国债到期收益率_1年!H379*100/365</f>
        <v>0</v>
      </c>
      <c r="Y379">
        <f>SUM($X$148:X379)</f>
        <v>2654.2549315068459</v>
      </c>
      <c r="Z379">
        <v>-100</v>
      </c>
      <c r="AA379">
        <v>100</v>
      </c>
      <c r="AB379">
        <f>Z379*Return!F383*100</f>
        <v>160.99999999999781</v>
      </c>
      <c r="AC379">
        <f>AA379*Return!G383*100</f>
        <v>-19.000000000000128</v>
      </c>
      <c r="AD379">
        <f>SUM($AB$148:AB379)+SUM($AC$148:AC379)</f>
        <v>2610.7000000000012</v>
      </c>
      <c r="AE379">
        <f t="shared" si="69"/>
        <v>20615.544657534239</v>
      </c>
      <c r="AF379">
        <f t="shared" si="70"/>
        <v>1.0412310893150685</v>
      </c>
      <c r="AG379" s="4">
        <f>(AF379/AF378-1)-中国_中债国债到期收益率_1年!H379%/252</f>
        <v>9.9592642014647323E-4</v>
      </c>
      <c r="AH379" s="4">
        <f>MIN((AF379-MAX($AF$151:AF379))/MAX($AF$151:AF379),0)</f>
        <v>0</v>
      </c>
    </row>
    <row r="380" spans="1:34" x14ac:dyDescent="0.25">
      <c r="A380" s="6">
        <v>45264</v>
      </c>
      <c r="C380">
        <v>10</v>
      </c>
      <c r="D380">
        <v>10</v>
      </c>
      <c r="E380">
        <v>10</v>
      </c>
      <c r="F380">
        <f t="shared" si="67"/>
        <v>30</v>
      </c>
      <c r="G380">
        <f t="shared" si="77"/>
        <v>0</v>
      </c>
      <c r="H380">
        <f t="shared" si="78"/>
        <v>50</v>
      </c>
      <c r="I380">
        <f t="shared" si="79"/>
        <v>90</v>
      </c>
      <c r="J380">
        <f t="shared" si="80"/>
        <v>160</v>
      </c>
      <c r="K380">
        <f t="shared" si="68"/>
        <v>300</v>
      </c>
      <c r="L380">
        <f>G380*Return!B380*100</f>
        <v>0</v>
      </c>
      <c r="M380">
        <f>H380*Return!C380*100</f>
        <v>13.000000000000789</v>
      </c>
      <c r="N380">
        <f>I380*Return!D380*100</f>
        <v>49.50000000000054</v>
      </c>
      <c r="O380">
        <f>J380*Return!E380*100</f>
        <v>-64.000000000000057</v>
      </c>
      <c r="P380">
        <f t="shared" si="81"/>
        <v>-1.4999999999987281</v>
      </c>
      <c r="Q380">
        <f>SUM($P$148:P380)</f>
        <v>11948.499999999989</v>
      </c>
      <c r="R380">
        <f>B380*中国_中债国债到期收益率_1年!B379/365*100</f>
        <v>0</v>
      </c>
      <c r="S380">
        <f>C380*中国_中债国债到期收益率_1年!C379/365*100</f>
        <v>7.0315068493150683</v>
      </c>
      <c r="T380">
        <f>D380*中国_中债国债到期收益率_1年!D379/365*100</f>
        <v>7.294520547945206</v>
      </c>
      <c r="U380">
        <f>E380*中国_中债国债到期收益率_1年!E379/365*100</f>
        <v>8.0671232876712331</v>
      </c>
      <c r="V380">
        <f t="shared" si="82"/>
        <v>22.393150684931506</v>
      </c>
      <c r="W380">
        <f>SUM($V$148:V380)</f>
        <v>8731.4927397260271</v>
      </c>
      <c r="X380">
        <f>MAX(F380-50,0)*中国_中债国债到期收益率_1年!H380*100/365</f>
        <v>0</v>
      </c>
      <c r="Y380">
        <f>SUM($X$148:X380)</f>
        <v>2654.2549315068459</v>
      </c>
      <c r="Z380">
        <v>-100</v>
      </c>
      <c r="AA380">
        <v>100</v>
      </c>
      <c r="AB380">
        <f>Z380*Return!F384*100</f>
        <v>-93.999999999998522</v>
      </c>
      <c r="AC380">
        <f>AA380*Return!G384*100</f>
        <v>22.999999999999687</v>
      </c>
      <c r="AD380">
        <f>SUM($AB$148:AB380)+SUM($AC$148:AC380)</f>
        <v>2539.7000000000025</v>
      </c>
      <c r="AE380">
        <f t="shared" si="69"/>
        <v>20565.437808219176</v>
      </c>
      <c r="AF380">
        <f t="shared" si="70"/>
        <v>1.0411308756164384</v>
      </c>
      <c r="AG380" s="4">
        <f>(AF380/AF379-1)-中国_中债国债到期收益率_1年!H380%/252</f>
        <v>-1.7957872944041972E-4</v>
      </c>
      <c r="AH380" s="4">
        <f>MIN((AF380-MAX($AF$151:AF380))/MAX($AF$151:AF380),0)</f>
        <v>-9.6245396107059558E-5</v>
      </c>
    </row>
    <row r="381" spans="1:34" x14ac:dyDescent="0.25">
      <c r="A381" s="6">
        <v>45265</v>
      </c>
      <c r="C381">
        <v>10</v>
      </c>
      <c r="D381">
        <v>10</v>
      </c>
      <c r="E381">
        <v>10</v>
      </c>
      <c r="F381">
        <f t="shared" si="67"/>
        <v>30</v>
      </c>
      <c r="G381">
        <f t="shared" si="77"/>
        <v>0</v>
      </c>
      <c r="H381">
        <f t="shared" si="78"/>
        <v>50</v>
      </c>
      <c r="I381">
        <f t="shared" si="79"/>
        <v>90</v>
      </c>
      <c r="J381">
        <f t="shared" si="80"/>
        <v>160</v>
      </c>
      <c r="K381">
        <f t="shared" si="68"/>
        <v>300</v>
      </c>
      <c r="L381">
        <f>G381*Return!B381*100</f>
        <v>0</v>
      </c>
      <c r="M381">
        <f>H381*Return!C381*100</f>
        <v>-127.5000000000004</v>
      </c>
      <c r="N381">
        <f>I381*Return!D381*100</f>
        <v>-89.999999999998082</v>
      </c>
      <c r="O381">
        <f>J381*Return!E381*100</f>
        <v>-147.199999999998</v>
      </c>
      <c r="P381">
        <f t="shared" si="81"/>
        <v>-364.69999999999646</v>
      </c>
      <c r="Q381">
        <f>SUM($P$148:P381)</f>
        <v>11583.799999999992</v>
      </c>
      <c r="R381">
        <f>B381*中国_中债国债到期收益率_1年!B380/365*100</f>
        <v>0</v>
      </c>
      <c r="S381">
        <f>C381*中国_中债国债到期收益率_1年!C380/365*100</f>
        <v>7.1013698630136988</v>
      </c>
      <c r="T381">
        <f>D381*中国_中债国债到期收益率_1年!D380/365*100</f>
        <v>7.3219178082191778</v>
      </c>
      <c r="U381">
        <f>E381*中国_中债国债到期收益率_1年!E380/365*100</f>
        <v>8.0923287671232877</v>
      </c>
      <c r="V381">
        <f t="shared" si="82"/>
        <v>22.515616438356165</v>
      </c>
      <c r="W381">
        <f>SUM($V$148:V381)</f>
        <v>8754.0083561643842</v>
      </c>
      <c r="X381">
        <f>MAX(F381-50,0)*中国_中债国债到期收益率_1年!H381*100/365</f>
        <v>0</v>
      </c>
      <c r="Y381">
        <f>SUM($X$148:X381)</f>
        <v>2654.2549315068459</v>
      </c>
      <c r="Z381">
        <v>-100</v>
      </c>
      <c r="AA381">
        <v>100</v>
      </c>
      <c r="AB381">
        <f>Z381*Return!F385*100</f>
        <v>-154.0000000000008</v>
      </c>
      <c r="AC381">
        <f>AA381*Return!G385*100</f>
        <v>141</v>
      </c>
      <c r="AD381">
        <f>SUM($AB$148:AB381)+SUM($AC$148:AC381)</f>
        <v>2526.7000000000016</v>
      </c>
      <c r="AE381">
        <f t="shared" si="69"/>
        <v>20210.253424657531</v>
      </c>
      <c r="AF381">
        <f t="shared" si="70"/>
        <v>1.0404205068493151</v>
      </c>
      <c r="AG381" s="4">
        <f>(AF381/AF380-1)-中国_中债国债到期收益率_1年!H381%/252</f>
        <v>-7.7159068070279421E-4</v>
      </c>
      <c r="AH381" s="4">
        <f>MIN((AF381-MAX($AF$151:AF381))/MAX($AF$151:AF381),0)</f>
        <v>-7.7848469381239195E-4</v>
      </c>
    </row>
    <row r="382" spans="1:34" x14ac:dyDescent="0.25">
      <c r="A382" s="6">
        <v>45266</v>
      </c>
      <c r="C382">
        <v>10</v>
      </c>
      <c r="D382">
        <v>10</v>
      </c>
      <c r="E382">
        <v>10</v>
      </c>
      <c r="F382">
        <f t="shared" si="67"/>
        <v>30</v>
      </c>
      <c r="G382">
        <f t="shared" si="77"/>
        <v>0</v>
      </c>
      <c r="H382">
        <f t="shared" si="78"/>
        <v>50</v>
      </c>
      <c r="I382">
        <f t="shared" si="79"/>
        <v>90</v>
      </c>
      <c r="J382">
        <f t="shared" si="80"/>
        <v>160</v>
      </c>
      <c r="K382">
        <f t="shared" si="68"/>
        <v>300</v>
      </c>
      <c r="L382">
        <f>G382*Return!B382*100</f>
        <v>0</v>
      </c>
      <c r="M382">
        <f>H382*Return!C382*100</f>
        <v>38.500000000001307</v>
      </c>
      <c r="N382">
        <f>I382*Return!D382*100</f>
        <v>67.499999999998565</v>
      </c>
      <c r="O382">
        <f>J382*Return!E382*100</f>
        <v>79.999999999998295</v>
      </c>
      <c r="P382">
        <f t="shared" si="81"/>
        <v>185.99999999999818</v>
      </c>
      <c r="Q382">
        <f>SUM($P$148:P382)</f>
        <v>11769.79999999999</v>
      </c>
      <c r="R382">
        <f>B382*中国_中债国债到期收益率_1年!B381/365*100</f>
        <v>0</v>
      </c>
      <c r="S382">
        <f>C382*中国_中债国债到期收益率_1年!C381/365*100</f>
        <v>7.0802739726027379</v>
      </c>
      <c r="T382">
        <f>D382*中国_中债国债到期收益率_1年!D381/365*100</f>
        <v>7.3013698630136989</v>
      </c>
      <c r="U382">
        <f>E382*中国_中债国债到期收益率_1年!E381/365*100</f>
        <v>8.0786301369863018</v>
      </c>
      <c r="V382">
        <f t="shared" si="82"/>
        <v>22.460273972602739</v>
      </c>
      <c r="W382">
        <f>SUM($V$148:V382)</f>
        <v>8776.4686301369875</v>
      </c>
      <c r="X382">
        <f>MAX(F382-50,0)*中国_中债国债到期收益率_1年!H382*100/365</f>
        <v>0</v>
      </c>
      <c r="Y382">
        <f>SUM($X$148:X382)</f>
        <v>2654.2549315068459</v>
      </c>
      <c r="Z382">
        <v>-100</v>
      </c>
      <c r="AA382">
        <v>100</v>
      </c>
      <c r="AB382">
        <f>Z382*Return!F386*100</f>
        <v>-17.000000000000348</v>
      </c>
      <c r="AC382">
        <f>AA382*Return!G386*100</f>
        <v>299.0000000000004</v>
      </c>
      <c r="AD382">
        <f>SUM($AB$148:AB382)+SUM($AC$148:AC382)</f>
        <v>2808.7000000000016</v>
      </c>
      <c r="AE382">
        <f t="shared" si="69"/>
        <v>20700.71369863013</v>
      </c>
      <c r="AF382">
        <f t="shared" si="70"/>
        <v>1.0414014273972603</v>
      </c>
      <c r="AG382" s="4">
        <f>(AF382/AF381-1)-中国_中债国债到期收益率_1年!H382%/252</f>
        <v>8.5352590994455216E-4</v>
      </c>
      <c r="AH382" s="4">
        <f>MIN((AF382-MAX($AF$151:AF382))/MAX($AF$151:AF382),0)</f>
        <v>0</v>
      </c>
    </row>
    <row r="383" spans="1:34" x14ac:dyDescent="0.25">
      <c r="A383" s="6">
        <v>45267</v>
      </c>
      <c r="C383">
        <v>10</v>
      </c>
      <c r="D383">
        <v>10</v>
      </c>
      <c r="E383">
        <v>10</v>
      </c>
      <c r="F383">
        <f t="shared" si="67"/>
        <v>30</v>
      </c>
      <c r="G383">
        <f t="shared" si="77"/>
        <v>0</v>
      </c>
      <c r="H383">
        <f t="shared" si="78"/>
        <v>50</v>
      </c>
      <c r="I383">
        <f t="shared" si="79"/>
        <v>90</v>
      </c>
      <c r="J383">
        <f t="shared" si="80"/>
        <v>160</v>
      </c>
      <c r="K383">
        <f t="shared" si="68"/>
        <v>300</v>
      </c>
      <c r="L383">
        <f>G383*Return!B383*100</f>
        <v>0</v>
      </c>
      <c r="M383">
        <f>H383*Return!C383*100</f>
        <v>-54.500000000001769</v>
      </c>
      <c r="N383">
        <f>I383*Return!D383*100</f>
        <v>-67.499999999998565</v>
      </c>
      <c r="O383">
        <f>J383*Return!E383*100</f>
        <v>-48.000000000001819</v>
      </c>
      <c r="P383">
        <f t="shared" si="81"/>
        <v>-170.00000000000216</v>
      </c>
      <c r="Q383">
        <f>SUM($P$148:P383)</f>
        <v>11599.799999999988</v>
      </c>
      <c r="R383">
        <f>B383*中国_中债国债到期收益率_1年!B382/365*100</f>
        <v>0</v>
      </c>
      <c r="S383">
        <f>C383*中国_中债国债到期收益率_1年!C382/365*100</f>
        <v>7.1101369863013701</v>
      </c>
      <c r="T383">
        <f>D383*中国_中债国债到期收益率_1年!D382/365*100</f>
        <v>7.3219178082191778</v>
      </c>
      <c r="U383">
        <f>E383*中国_中债国债到期收益率_1年!E382/365*100</f>
        <v>8.086849315068493</v>
      </c>
      <c r="V383">
        <f t="shared" si="82"/>
        <v>22.518904109589041</v>
      </c>
      <c r="W383">
        <f>SUM($V$148:V383)</f>
        <v>8798.9875342465766</v>
      </c>
      <c r="X383">
        <f>MAX(F383-50,0)*中国_中债国债到期收益率_1年!H383*100/365</f>
        <v>0</v>
      </c>
      <c r="Y383">
        <f>SUM($X$148:X383)</f>
        <v>2654.2549315068459</v>
      </c>
      <c r="Z383">
        <v>-100</v>
      </c>
      <c r="AA383">
        <v>100</v>
      </c>
      <c r="AB383">
        <f>Z383*Return!F387*100</f>
        <v>-36.999999999998145</v>
      </c>
      <c r="AC383">
        <f>AA383*Return!G387*100</f>
        <v>33.999999999996255</v>
      </c>
      <c r="AD383">
        <f>SUM($AB$148:AB383)+SUM($AC$148:AC383)</f>
        <v>2805.7</v>
      </c>
      <c r="AE383">
        <f t="shared" si="69"/>
        <v>20550.232602739718</v>
      </c>
      <c r="AF383">
        <f t="shared" si="70"/>
        <v>1.0411004652054794</v>
      </c>
      <c r="AG383" s="4">
        <f>(AF383/AF382-1)-中国_中债国债到期收益率_1年!H383%/252</f>
        <v>-3.7828300568857362E-4</v>
      </c>
      <c r="AH383" s="4">
        <f>MIN((AF383-MAX($AF$151:AF383))/MAX($AF$151:AF383),0)</f>
        <v>-2.8899729140286412E-4</v>
      </c>
    </row>
    <row r="384" spans="1:34" x14ac:dyDescent="0.25">
      <c r="A384" s="6">
        <v>45268</v>
      </c>
      <c r="C384">
        <v>10</v>
      </c>
      <c r="D384">
        <v>10</v>
      </c>
      <c r="E384">
        <v>10</v>
      </c>
      <c r="F384">
        <f t="shared" si="67"/>
        <v>30</v>
      </c>
      <c r="G384">
        <f t="shared" si="77"/>
        <v>0</v>
      </c>
      <c r="H384">
        <f t="shared" si="78"/>
        <v>50</v>
      </c>
      <c r="I384">
        <f t="shared" si="79"/>
        <v>90</v>
      </c>
      <c r="J384">
        <f t="shared" si="80"/>
        <v>160</v>
      </c>
      <c r="K384">
        <f t="shared" si="68"/>
        <v>300</v>
      </c>
      <c r="L384">
        <f>G384*Return!B384*100</f>
        <v>0</v>
      </c>
      <c r="M384">
        <f>H384*Return!C384*100</f>
        <v>154.0000000000008</v>
      </c>
      <c r="N384">
        <f>I384*Return!D384*100</f>
        <v>76.49999999999757</v>
      </c>
      <c r="O384">
        <f>J384*Return!E384*100</f>
        <v>96.000000000003638</v>
      </c>
      <c r="P384">
        <f t="shared" si="81"/>
        <v>326.50000000000199</v>
      </c>
      <c r="Q384">
        <f>SUM($P$148:P384)</f>
        <v>11926.29999999999</v>
      </c>
      <c r="R384">
        <f>B384*中国_中债国债到期收益率_1年!B383/365*100</f>
        <v>0</v>
      </c>
      <c r="S384">
        <f>C384*中国_中债国债到期收益率_1年!C383/365*100</f>
        <v>7.0257534246575339</v>
      </c>
      <c r="T384">
        <f>D384*中国_中债国债到期收益率_1年!D383/365*100</f>
        <v>7.2986301369863016</v>
      </c>
      <c r="U384">
        <f>E384*中国_中债国债到期收益率_1年!E383/365*100</f>
        <v>8.0704109589041106</v>
      </c>
      <c r="V384">
        <f t="shared" si="82"/>
        <v>22.394794520547947</v>
      </c>
      <c r="W384">
        <f>SUM($V$148:V384)</f>
        <v>8821.3823287671239</v>
      </c>
      <c r="X384">
        <f>MAX(F384-50,0)*中国_中债国债到期收益率_1年!H384*100/365</f>
        <v>0</v>
      </c>
      <c r="Y384">
        <f>SUM($X$148:X384)</f>
        <v>2654.2549315068459</v>
      </c>
      <c r="Z384">
        <v>-100</v>
      </c>
      <c r="AA384">
        <v>100</v>
      </c>
      <c r="AB384">
        <f>Z384*Return!F388*100</f>
        <v>-393.00000000000335</v>
      </c>
      <c r="AC384">
        <f>AA384*Return!G388*100</f>
        <v>291.00000000000125</v>
      </c>
      <c r="AD384">
        <f>SUM($AB$148:AB384)+SUM($AC$148:AC384)</f>
        <v>2703.6999999999971</v>
      </c>
      <c r="AE384">
        <f t="shared" si="69"/>
        <v>20797.127397260265</v>
      </c>
      <c r="AF384">
        <f t="shared" si="70"/>
        <v>1.0415942547945205</v>
      </c>
      <c r="AG384" s="4">
        <f>(AF384/AF383-1)-中国_中债国债到期收益率_1年!H384%/252</f>
        <v>3.8302596931138544E-4</v>
      </c>
      <c r="AH384" s="4">
        <f>MIN((AF384-MAX($AF$151:AF384))/MAX($AF$151:AF384),0)</f>
        <v>0</v>
      </c>
    </row>
    <row r="385" spans="1:34" x14ac:dyDescent="0.25">
      <c r="A385" s="6">
        <v>45271</v>
      </c>
      <c r="C385">
        <v>10</v>
      </c>
      <c r="D385">
        <v>10</v>
      </c>
      <c r="E385">
        <v>10</v>
      </c>
      <c r="F385">
        <f t="shared" si="67"/>
        <v>30</v>
      </c>
      <c r="G385">
        <f t="shared" si="77"/>
        <v>0</v>
      </c>
      <c r="H385">
        <f t="shared" si="78"/>
        <v>50</v>
      </c>
      <c r="I385">
        <f t="shared" si="79"/>
        <v>90</v>
      </c>
      <c r="J385">
        <f t="shared" si="80"/>
        <v>160</v>
      </c>
      <c r="K385">
        <f t="shared" si="68"/>
        <v>300</v>
      </c>
      <c r="L385">
        <f>G385*Return!B385*100</f>
        <v>0</v>
      </c>
      <c r="M385">
        <f>H385*Return!C385*100</f>
        <v>37.000000000000369</v>
      </c>
      <c r="N385">
        <f>I385*Return!D385*100</f>
        <v>3.5999999999996035</v>
      </c>
      <c r="O385">
        <f>J385*Return!E385*100</f>
        <v>46.399999999998442</v>
      </c>
      <c r="P385">
        <f t="shared" si="81"/>
        <v>86.999999999998408</v>
      </c>
      <c r="Q385">
        <f>SUM($P$148:P385)</f>
        <v>12013.299999999988</v>
      </c>
      <c r="R385">
        <f>B385*中国_中债国债到期收益率_1年!B384/365*100</f>
        <v>0</v>
      </c>
      <c r="S385">
        <f>C385*中国_中债国债到期收益率_1年!C384/365*100</f>
        <v>7.0054794520547938</v>
      </c>
      <c r="T385">
        <f>D385*中国_中债国债到期收益率_1年!D384/365*100</f>
        <v>7.2975342465753439</v>
      </c>
      <c r="U385">
        <f>E385*中国_中债国债到期收益率_1年!E384/365*100</f>
        <v>8.0624657534246573</v>
      </c>
      <c r="V385">
        <f t="shared" si="82"/>
        <v>22.365479452054796</v>
      </c>
      <c r="W385">
        <f>SUM($V$148:V385)</f>
        <v>8843.7478082191792</v>
      </c>
      <c r="X385">
        <f>MAX(F385-50,0)*中国_中债国债到期收益率_1年!H385*100/365</f>
        <v>0</v>
      </c>
      <c r="Y385">
        <f>SUM($X$148:X385)</f>
        <v>2654.2549315068459</v>
      </c>
      <c r="Z385">
        <v>-100</v>
      </c>
      <c r="AA385">
        <v>100</v>
      </c>
      <c r="AB385">
        <f>Z385*Return!F389*100</f>
        <v>-284.9999999999975</v>
      </c>
      <c r="AC385">
        <f>AA385*Return!G389*100</f>
        <v>163.99999999999972</v>
      </c>
      <c r="AD385">
        <f>SUM($AB$148:AB385)+SUM($AC$148:AC385)</f>
        <v>2582.6999999999998</v>
      </c>
      <c r="AE385">
        <f t="shared" si="69"/>
        <v>20785.492876712324</v>
      </c>
      <c r="AF385">
        <f t="shared" si="70"/>
        <v>1.0415709857534245</v>
      </c>
      <c r="AG385" s="4">
        <f>(AF385/AF384-1)-中国_中债国债到期收益率_1年!H385%/252</f>
        <v>-1.1559380066836577E-4</v>
      </c>
      <c r="AH385" s="4">
        <f>MIN((AF385-MAX($AF$151:AF385))/MAX($AF$151:AF385),0)</f>
        <v>-2.2339832414439326E-5</v>
      </c>
    </row>
    <row r="386" spans="1:34" x14ac:dyDescent="0.25">
      <c r="A386" s="6">
        <v>45272</v>
      </c>
      <c r="C386">
        <v>10</v>
      </c>
      <c r="D386">
        <v>10</v>
      </c>
      <c r="E386">
        <v>10</v>
      </c>
      <c r="F386">
        <f t="shared" si="67"/>
        <v>30</v>
      </c>
      <c r="G386">
        <f t="shared" si="77"/>
        <v>0</v>
      </c>
      <c r="H386">
        <f t="shared" si="78"/>
        <v>50</v>
      </c>
      <c r="I386">
        <f t="shared" si="79"/>
        <v>90</v>
      </c>
      <c r="J386">
        <f t="shared" si="80"/>
        <v>160</v>
      </c>
      <c r="K386">
        <f t="shared" si="68"/>
        <v>300</v>
      </c>
      <c r="L386">
        <f>G386*Return!B386*100</f>
        <v>0</v>
      </c>
      <c r="M386">
        <f>H386*Return!C386*100</f>
        <v>71.499999999999901</v>
      </c>
      <c r="N386">
        <f>I386*Return!D386*100</f>
        <v>176.40000000000055</v>
      </c>
      <c r="O386">
        <f>J386*Return!E386*100</f>
        <v>224.00000000000375</v>
      </c>
      <c r="P386">
        <f t="shared" si="81"/>
        <v>471.90000000000418</v>
      </c>
      <c r="Q386">
        <f>SUM($P$148:P386)</f>
        <v>12485.199999999993</v>
      </c>
      <c r="R386">
        <f>B386*中国_中债国债到期收益率_1年!B385/365*100</f>
        <v>0</v>
      </c>
      <c r="S386">
        <f>C386*中国_中债国债到期收益率_1年!C385/365*100</f>
        <v>6.9663013698630136</v>
      </c>
      <c r="T386">
        <f>D386*中国_中债国债到期收益率_1年!D385/365*100</f>
        <v>7.2438356164383571</v>
      </c>
      <c r="U386">
        <f>E386*中国_中债国债到期收益率_1年!E385/365*100</f>
        <v>8.0241095890410961</v>
      </c>
      <c r="V386">
        <f t="shared" si="82"/>
        <v>22.234246575342468</v>
      </c>
      <c r="W386">
        <f>SUM($V$148:V386)</f>
        <v>8865.9820547945219</v>
      </c>
      <c r="X386">
        <f>MAX(F386-50,0)*中国_中债国债到期收益率_1年!H386*100/365</f>
        <v>0</v>
      </c>
      <c r="Y386">
        <f>SUM($X$148:X386)</f>
        <v>2654.2549315068459</v>
      </c>
      <c r="Z386">
        <v>-100</v>
      </c>
      <c r="AA386">
        <v>100</v>
      </c>
      <c r="AB386">
        <f>Z386*Return!F390*100</f>
        <v>-159.00000000000247</v>
      </c>
      <c r="AC386">
        <f>AA386*Return!G390*100</f>
        <v>30.000000000001137</v>
      </c>
      <c r="AD386">
        <f>SUM($AB$148:AB386)+SUM($AC$148:AC386)</f>
        <v>2453.699999999998</v>
      </c>
      <c r="AE386">
        <f t="shared" si="69"/>
        <v>21150.627123287668</v>
      </c>
      <c r="AF386">
        <f t="shared" si="70"/>
        <v>1.0423012542465753</v>
      </c>
      <c r="AG386" s="4">
        <f>(AF386/AF385-1)-中国_中债国债到期收益率_1年!H386%/252</f>
        <v>6.0588405883438019E-4</v>
      </c>
      <c r="AH386" s="4">
        <f>MIN((AF386-MAX($AF$151:AF386))/MAX($AF$151:AF386),0)</f>
        <v>0</v>
      </c>
    </row>
    <row r="387" spans="1:34" x14ac:dyDescent="0.25">
      <c r="A387" s="6">
        <v>45273</v>
      </c>
      <c r="C387">
        <v>10</v>
      </c>
      <c r="D387">
        <v>10</v>
      </c>
      <c r="E387">
        <v>10</v>
      </c>
      <c r="F387">
        <f t="shared" ref="F387:F450" si="83">SUM(B387:E387)</f>
        <v>30</v>
      </c>
      <c r="G387">
        <f t="shared" si="77"/>
        <v>0</v>
      </c>
      <c r="H387">
        <f t="shared" si="78"/>
        <v>50</v>
      </c>
      <c r="I387">
        <f t="shared" si="79"/>
        <v>90</v>
      </c>
      <c r="J387">
        <f t="shared" si="80"/>
        <v>160</v>
      </c>
      <c r="K387">
        <f t="shared" ref="K387:K413" si="84">SUM(G387:J387)</f>
        <v>300</v>
      </c>
      <c r="L387">
        <f>G387*Return!B387*100</f>
        <v>0</v>
      </c>
      <c r="M387">
        <f>H387*Return!C387*100</f>
        <v>42.500000000000867</v>
      </c>
      <c r="N387">
        <f>I387*Return!D387*100</f>
        <v>58.499999999999552</v>
      </c>
      <c r="O387">
        <f>J387*Return!E387*100</f>
        <v>-8.0000000000026716</v>
      </c>
      <c r="P387">
        <f t="shared" si="81"/>
        <v>92.999999999997755</v>
      </c>
      <c r="Q387">
        <f>SUM($P$148:P387)</f>
        <v>12578.199999999992</v>
      </c>
      <c r="R387">
        <f>B387*中国_中债国债到期收益率_1年!B386/365*100</f>
        <v>0</v>
      </c>
      <c r="S387">
        <f>C387*中国_中债国债到期收益率_1年!C386/365*100</f>
        <v>6.9430136986301365</v>
      </c>
      <c r="T387">
        <f>D387*中国_中债国债到期收益率_1年!D386/365*100</f>
        <v>7.2260273972602738</v>
      </c>
      <c r="U387">
        <f>E387*中国_中债国债到期收益率_1年!E386/365*100</f>
        <v>8.0254794520547943</v>
      </c>
      <c r="V387">
        <f t="shared" si="82"/>
        <v>22.194520547945203</v>
      </c>
      <c r="W387">
        <f>SUM($V$148:V387)</f>
        <v>8888.1765753424679</v>
      </c>
      <c r="X387">
        <f>MAX(F387-50,0)*中国_中债国债到期收益率_1年!H387*100/365</f>
        <v>0</v>
      </c>
      <c r="Y387">
        <f>SUM($X$148:X387)</f>
        <v>2654.2549315068459</v>
      </c>
      <c r="Z387">
        <v>-100</v>
      </c>
      <c r="AA387">
        <v>100</v>
      </c>
      <c r="AB387">
        <f>Z387*Return!F391*100</f>
        <v>123.00000000000199</v>
      </c>
      <c r="AC387">
        <f>AA387*Return!G391*100</f>
        <v>83.999999999999631</v>
      </c>
      <c r="AD387">
        <f>SUM($AB$148:AB387)+SUM($AC$148:AC387)</f>
        <v>2660.7</v>
      </c>
      <c r="AE387">
        <f t="shared" si="69"/>
        <v>21472.821643835614</v>
      </c>
      <c r="AF387">
        <f t="shared" si="70"/>
        <v>1.0429456432876711</v>
      </c>
      <c r="AG387" s="4">
        <f>(AF387/AF386-1)-中国_中债国债到期收益率_1年!H387%/252</f>
        <v>5.2895113275871456E-4</v>
      </c>
      <c r="AH387" s="4">
        <f>MIN((AF387-MAX($AF$151:AF387))/MAX($AF$151:AF387),0)</f>
        <v>0</v>
      </c>
    </row>
    <row r="388" spans="1:34" x14ac:dyDescent="0.25">
      <c r="A388" s="6">
        <v>45274</v>
      </c>
      <c r="C388">
        <v>10</v>
      </c>
      <c r="D388">
        <v>10</v>
      </c>
      <c r="E388">
        <v>10</v>
      </c>
      <c r="F388">
        <f t="shared" si="83"/>
        <v>30</v>
      </c>
      <c r="G388">
        <f t="shared" si="77"/>
        <v>0</v>
      </c>
      <c r="H388">
        <f t="shared" si="78"/>
        <v>50</v>
      </c>
      <c r="I388">
        <f t="shared" si="79"/>
        <v>90</v>
      </c>
      <c r="J388">
        <f t="shared" si="80"/>
        <v>160</v>
      </c>
      <c r="K388">
        <f t="shared" si="84"/>
        <v>300</v>
      </c>
      <c r="L388">
        <f>G388*Return!B388*100</f>
        <v>0</v>
      </c>
      <c r="M388">
        <f>H388*Return!C388*100</f>
        <v>102.99999999999976</v>
      </c>
      <c r="N388">
        <f>I388*Return!D388*100</f>
        <v>134.10000000000321</v>
      </c>
      <c r="O388">
        <f>J388*Return!E388*100</f>
        <v>231.99999999999932</v>
      </c>
      <c r="P388">
        <f t="shared" si="81"/>
        <v>469.1000000000023</v>
      </c>
      <c r="Q388">
        <f>SUM($P$148:P388)</f>
        <v>13047.299999999994</v>
      </c>
      <c r="R388">
        <f>B388*中国_中债国债到期收益率_1年!B387/365*100</f>
        <v>0</v>
      </c>
      <c r="S388">
        <f>C388*中国_中债国债到期收益率_1年!C387/365*100</f>
        <v>6.8865753424657532</v>
      </c>
      <c r="T388">
        <f>D388*中国_中债国债到期收益率_1年!D387/365*100</f>
        <v>7.1852054794520548</v>
      </c>
      <c r="U388">
        <f>E388*中国_中债国债到期收益率_1年!E387/365*100</f>
        <v>7.9857534246575339</v>
      </c>
      <c r="V388">
        <f t="shared" si="82"/>
        <v>22.057534246575344</v>
      </c>
      <c r="W388">
        <f>SUM($V$148:V388)</f>
        <v>8910.2341095890424</v>
      </c>
      <c r="X388">
        <f>MAX(F388-50,0)*中国_中债国债到期收益率_1年!H388*100/365</f>
        <v>0</v>
      </c>
      <c r="Y388">
        <f>SUM($X$148:X388)</f>
        <v>2654.2549315068459</v>
      </c>
      <c r="Z388">
        <v>-100</v>
      </c>
      <c r="AA388">
        <v>100</v>
      </c>
      <c r="AB388">
        <f>Z388*Return!F392*100</f>
        <v>103.99999999999743</v>
      </c>
      <c r="AC388">
        <f>AA388*Return!G392*100</f>
        <v>-11.000000000001009</v>
      </c>
      <c r="AD388">
        <f>SUM($AB$148:AB388)+SUM($AC$148:AC388)</f>
        <v>2753.6999999999962</v>
      </c>
      <c r="AE388">
        <f t="shared" ref="AE388:AE451" si="85">Q388+W388+AD388-Y388</f>
        <v>22056.979178082187</v>
      </c>
      <c r="AF388">
        <f t="shared" ref="AF388:AF451" si="86">AE388/$AI$1+1</f>
        <v>1.0441139583561643</v>
      </c>
      <c r="AG388" s="4">
        <f>(AF388/AF387-1)-中国_中债国债到期收益率_1年!H388%/252</f>
        <v>1.0309213415778614E-3</v>
      </c>
      <c r="AH388" s="4">
        <f>MIN((AF388-MAX($AF$151:AF388))/MAX($AF$151:AF388),0)</f>
        <v>0</v>
      </c>
    </row>
    <row r="389" spans="1:34" x14ac:dyDescent="0.25">
      <c r="A389" s="6">
        <v>45275</v>
      </c>
      <c r="C389">
        <v>10</v>
      </c>
      <c r="D389">
        <v>10</v>
      </c>
      <c r="E389">
        <v>10</v>
      </c>
      <c r="F389">
        <f t="shared" si="83"/>
        <v>30</v>
      </c>
      <c r="G389">
        <f t="shared" si="77"/>
        <v>0</v>
      </c>
      <c r="H389">
        <f t="shared" si="78"/>
        <v>50</v>
      </c>
      <c r="I389">
        <f t="shared" si="79"/>
        <v>90</v>
      </c>
      <c r="J389">
        <f t="shared" si="80"/>
        <v>160</v>
      </c>
      <c r="K389">
        <f t="shared" si="84"/>
        <v>300</v>
      </c>
      <c r="L389">
        <f>G389*Return!B389*100</f>
        <v>0</v>
      </c>
      <c r="M389">
        <f>H389*Return!C389*100</f>
        <v>-26.000000000001577</v>
      </c>
      <c r="N389">
        <f>I389*Return!D389*100</f>
        <v>-135.00000000000111</v>
      </c>
      <c r="O389">
        <f>J389*Return!E389*100</f>
        <v>-113.59999999999815</v>
      </c>
      <c r="P389">
        <f t="shared" si="81"/>
        <v>-274.60000000000082</v>
      </c>
      <c r="Q389">
        <f>SUM($P$148:P389)</f>
        <v>12772.699999999993</v>
      </c>
      <c r="R389">
        <f>B389*中国_中债国债到期收益率_1年!B388/365*100</f>
        <v>0</v>
      </c>
      <c r="S389">
        <f>C389*中国_中债国债到期收益率_1年!C388/365*100</f>
        <v>6.9008219178082193</v>
      </c>
      <c r="T389">
        <f>D389*中国_中债国债到期收益率_1年!D388/365*100</f>
        <v>7.2263013698630125</v>
      </c>
      <c r="U389">
        <f>E389*中国_中债国债到期收益率_1年!E388/365*100</f>
        <v>8.0052054794520551</v>
      </c>
      <c r="V389">
        <f t="shared" si="82"/>
        <v>22.132328767123287</v>
      </c>
      <c r="W389">
        <f>SUM($V$148:V389)</f>
        <v>8932.3664383561663</v>
      </c>
      <c r="X389">
        <f>MAX(F389-50,0)*中国_中债国债到期收益率_1年!H389*100/365</f>
        <v>0</v>
      </c>
      <c r="Y389">
        <f>SUM($X$148:X389)</f>
        <v>2654.2549315068459</v>
      </c>
      <c r="Z389">
        <v>-100</v>
      </c>
      <c r="AA389">
        <v>100</v>
      </c>
      <c r="AB389">
        <f>Z389*Return!F393*100</f>
        <v>-1.9999999999997797</v>
      </c>
      <c r="AC389">
        <f>AA389*Return!G393*100</f>
        <v>1.9999999999997797</v>
      </c>
      <c r="AD389">
        <f>SUM($AB$148:AB389)+SUM($AC$148:AC389)</f>
        <v>2753.6999999999966</v>
      </c>
      <c r="AE389">
        <f t="shared" si="85"/>
        <v>21804.511506849311</v>
      </c>
      <c r="AF389">
        <f t="shared" si="86"/>
        <v>1.0436090230136985</v>
      </c>
      <c r="AG389" s="4">
        <f>(AF389/AF388-1)-中国_中债国债到期收益率_1年!H389%/252</f>
        <v>-5.7090334209537047E-4</v>
      </c>
      <c r="AH389" s="4">
        <f>MIN((AF389-MAX($AF$151:AF389))/MAX($AF$151:AF389),0)</f>
        <v>-4.8360175479381958E-4</v>
      </c>
    </row>
    <row r="390" spans="1:34" x14ac:dyDescent="0.25">
      <c r="A390" s="6">
        <v>45278</v>
      </c>
      <c r="C390">
        <v>10</v>
      </c>
      <c r="D390">
        <v>10</v>
      </c>
      <c r="E390">
        <v>10</v>
      </c>
      <c r="F390">
        <f t="shared" si="83"/>
        <v>30</v>
      </c>
      <c r="G390">
        <f t="shared" si="77"/>
        <v>0</v>
      </c>
      <c r="H390">
        <f t="shared" si="78"/>
        <v>50</v>
      </c>
      <c r="I390">
        <f t="shared" si="79"/>
        <v>90</v>
      </c>
      <c r="J390">
        <f t="shared" si="80"/>
        <v>160</v>
      </c>
      <c r="K390">
        <f t="shared" si="84"/>
        <v>300</v>
      </c>
      <c r="L390">
        <f>G390*Return!B390*100</f>
        <v>0</v>
      </c>
      <c r="M390">
        <f>H390*Return!C390*100</f>
        <v>136.00000000000057</v>
      </c>
      <c r="N390">
        <f>I390*Return!D390*100</f>
        <v>134.09999999999923</v>
      </c>
      <c r="O390">
        <f>J390*Return!E390*100</f>
        <v>287.9999999999967</v>
      </c>
      <c r="P390">
        <f t="shared" si="81"/>
        <v>558.0999999999965</v>
      </c>
      <c r="Q390">
        <f>SUM($P$148:P390)</f>
        <v>13330.79999999999</v>
      </c>
      <c r="R390">
        <f>B390*中国_中债国债到期收益率_1年!B389/365*100</f>
        <v>0</v>
      </c>
      <c r="S390">
        <f>C390*中国_中债国债到期收益率_1年!C389/365*100</f>
        <v>6.8263013698630139</v>
      </c>
      <c r="T390">
        <f>D390*中国_中债国债到期收益率_1年!D389/365*100</f>
        <v>7.1854794520547953</v>
      </c>
      <c r="U390">
        <f>E390*中国_中债国债到期收益率_1年!E389/365*100</f>
        <v>7.9558904109589044</v>
      </c>
      <c r="V390">
        <f t="shared" si="82"/>
        <v>21.967671232876715</v>
      </c>
      <c r="W390">
        <f>SUM($V$148:V390)</f>
        <v>8954.3341095890428</v>
      </c>
      <c r="X390">
        <f>MAX(F390-50,0)*中国_中债国债到期收益率_1年!H390*100/365</f>
        <v>0</v>
      </c>
      <c r="Y390">
        <f>SUM($X$148:X390)</f>
        <v>2654.2549315068459</v>
      </c>
      <c r="Z390">
        <v>-100</v>
      </c>
      <c r="AA390">
        <v>100</v>
      </c>
      <c r="AB390">
        <f>Z390*Return!F394*100</f>
        <v>28.000000000001357</v>
      </c>
      <c r="AC390">
        <f>AA390*Return!G394*100</f>
        <v>17.000000000000348</v>
      </c>
      <c r="AD390">
        <f>SUM($AB$148:AB390)+SUM($AC$148:AC390)</f>
        <v>2798.6999999999985</v>
      </c>
      <c r="AE390">
        <f t="shared" si="85"/>
        <v>22429.579178082182</v>
      </c>
      <c r="AF390">
        <f t="shared" si="86"/>
        <v>1.0448591583561644</v>
      </c>
      <c r="AG390" s="4">
        <f>(AF390/AF389-1)-中国_中债国债到期收益率_1年!H390%/252</f>
        <v>1.1105946697235677E-3</v>
      </c>
      <c r="AH390" s="4">
        <f>MIN((AF390-MAX($AF$151:AF390))/MAX($AF$151:AF390),0)</f>
        <v>0</v>
      </c>
    </row>
    <row r="391" spans="1:34" x14ac:dyDescent="0.25">
      <c r="A391" s="6">
        <v>45279</v>
      </c>
      <c r="C391">
        <v>10</v>
      </c>
      <c r="D391">
        <v>10</v>
      </c>
      <c r="E391">
        <v>10</v>
      </c>
      <c r="F391">
        <f t="shared" si="83"/>
        <v>30</v>
      </c>
      <c r="G391">
        <f t="shared" si="77"/>
        <v>0</v>
      </c>
      <c r="H391">
        <f t="shared" si="78"/>
        <v>50</v>
      </c>
      <c r="I391">
        <f t="shared" si="79"/>
        <v>90</v>
      </c>
      <c r="J391">
        <f t="shared" si="80"/>
        <v>160</v>
      </c>
      <c r="K391">
        <f t="shared" si="84"/>
        <v>300</v>
      </c>
      <c r="L391">
        <f>G391*Return!B391*100</f>
        <v>0</v>
      </c>
      <c r="M391">
        <f>H391*Return!C391*100</f>
        <v>24.500000000000632</v>
      </c>
      <c r="N391">
        <f>I391*Return!D391*100</f>
        <v>90.899999999999977</v>
      </c>
      <c r="O391">
        <f>J391*Return!E391*100</f>
        <v>272.00000000000557</v>
      </c>
      <c r="P391">
        <f t="shared" si="81"/>
        <v>387.40000000000617</v>
      </c>
      <c r="Q391">
        <f>SUM($P$148:P391)</f>
        <v>13718.199999999997</v>
      </c>
      <c r="R391">
        <f>B391*中国_中债国债到期收益率_1年!B390/365*100</f>
        <v>0</v>
      </c>
      <c r="S391">
        <f>C391*中国_中债国债到期收益率_1年!C390/365*100</f>
        <v>6.8128767123287668</v>
      </c>
      <c r="T391">
        <f>D391*中国_中债国债到期收益率_1年!D390/365*100</f>
        <v>7.157808219178083</v>
      </c>
      <c r="U391">
        <f>E391*中国_中债国债到期收益率_1年!E390/365*100</f>
        <v>7.9093150684931501</v>
      </c>
      <c r="V391">
        <f t="shared" si="82"/>
        <v>21.88</v>
      </c>
      <c r="W391">
        <f>SUM($V$148:V391)</f>
        <v>8976.214109589042</v>
      </c>
      <c r="X391">
        <f>MAX(F391-50,0)*中国_中债国债到期收益率_1年!H391*100/365</f>
        <v>0</v>
      </c>
      <c r="Y391">
        <f>SUM($X$148:X391)</f>
        <v>2654.2549315068459</v>
      </c>
      <c r="Z391">
        <v>-100</v>
      </c>
      <c r="AA391">
        <v>100</v>
      </c>
      <c r="AB391">
        <f>Z391*Return!F395*100</f>
        <v>-461.00000000000028</v>
      </c>
      <c r="AC391">
        <f>AA391*Return!G395*100</f>
        <v>291.00000000000125</v>
      </c>
      <c r="AD391">
        <f>SUM($AB$148:AB391)+SUM($AC$148:AC391)</f>
        <v>2628.6999999999994</v>
      </c>
      <c r="AE391">
        <f t="shared" si="85"/>
        <v>22668.859178082192</v>
      </c>
      <c r="AF391">
        <f t="shared" si="86"/>
        <v>1.0453377183561643</v>
      </c>
      <c r="AG391" s="4">
        <f>(AF391/AF390-1)-中国_中债国债到期收益率_1年!H391%/252</f>
        <v>3.7071229540457795E-4</v>
      </c>
      <c r="AH391" s="4">
        <f>MIN((AF391-MAX($AF$151:AF391))/MAX($AF$151:AF391),0)</f>
        <v>0</v>
      </c>
    </row>
    <row r="392" spans="1:34" x14ac:dyDescent="0.25">
      <c r="A392" s="6">
        <v>45280</v>
      </c>
      <c r="C392">
        <v>10</v>
      </c>
      <c r="D392">
        <v>10</v>
      </c>
      <c r="E392">
        <v>10</v>
      </c>
      <c r="F392">
        <f t="shared" si="83"/>
        <v>30</v>
      </c>
      <c r="G392">
        <f t="shared" si="77"/>
        <v>0</v>
      </c>
      <c r="H392">
        <f t="shared" si="78"/>
        <v>50</v>
      </c>
      <c r="I392">
        <f t="shared" si="79"/>
        <v>90</v>
      </c>
      <c r="J392">
        <f t="shared" si="80"/>
        <v>160</v>
      </c>
      <c r="K392">
        <f t="shared" si="84"/>
        <v>300</v>
      </c>
      <c r="L392">
        <f>G392*Return!B392*100</f>
        <v>0</v>
      </c>
      <c r="M392">
        <f>H392*Return!C392*100</f>
        <v>-110.50000000000004</v>
      </c>
      <c r="N392">
        <f>I392*Return!D392*100</f>
        <v>-58.499999999999552</v>
      </c>
      <c r="O392">
        <f>J392*Return!E392*100</f>
        <v>-81.600000000001671</v>
      </c>
      <c r="P392">
        <f t="shared" si="81"/>
        <v>-250.60000000000127</v>
      </c>
      <c r="Q392">
        <f>SUM($P$148:P392)</f>
        <v>13467.599999999995</v>
      </c>
      <c r="R392">
        <f>B392*中国_中债国债到期收益率_1年!B391/365*100</f>
        <v>0</v>
      </c>
      <c r="S392">
        <f>C392*中国_中债国债到期收益率_1年!C391/365*100</f>
        <v>6.8734246575342466</v>
      </c>
      <c r="T392">
        <f>D392*中国_中债国债到期收益率_1年!D391/365*100</f>
        <v>7.1756164383561636</v>
      </c>
      <c r="U392">
        <f>E392*中国_中债国债到期收益率_1年!E391/365*100</f>
        <v>7.9232876712328757</v>
      </c>
      <c r="V392">
        <f t="shared" si="82"/>
        <v>21.972328767123287</v>
      </c>
      <c r="W392">
        <f>SUM($V$148:V392)</f>
        <v>8998.186438356166</v>
      </c>
      <c r="X392">
        <f>MAX(F392-50,0)*中国_中债国债到期收益率_1年!H392*100/365</f>
        <v>0</v>
      </c>
      <c r="Y392">
        <f>SUM($X$148:X392)</f>
        <v>2654.2549315068459</v>
      </c>
      <c r="Z392">
        <v>-100</v>
      </c>
      <c r="AA392">
        <v>100</v>
      </c>
      <c r="AB392">
        <f>Z392*Return!F396*100</f>
        <v>-169.00000000000136</v>
      </c>
      <c r="AC392">
        <f>AA392*Return!G396*100</f>
        <v>169.00000000000136</v>
      </c>
      <c r="AD392">
        <f>SUM($AB$148:AB392)+SUM($AC$148:AC392)</f>
        <v>2628.6999999999994</v>
      </c>
      <c r="AE392">
        <f t="shared" si="85"/>
        <v>22440.231506849315</v>
      </c>
      <c r="AF392">
        <f t="shared" si="86"/>
        <v>1.0448804630136985</v>
      </c>
      <c r="AG392" s="4">
        <f>(AF392/AF391-1)-中国_中债国债到期收益率_1年!H392%/252</f>
        <v>-5.2472514376217944E-4</v>
      </c>
      <c r="AH392" s="4">
        <f>MIN((AF392-MAX($AF$151:AF392))/MAX($AF$151:AF392),0)</f>
        <v>-4.3742355646060507E-4</v>
      </c>
    </row>
    <row r="393" spans="1:34" x14ac:dyDescent="0.25">
      <c r="A393" s="6">
        <v>45281</v>
      </c>
      <c r="C393">
        <v>10</v>
      </c>
      <c r="D393">
        <v>10</v>
      </c>
      <c r="E393">
        <v>10</v>
      </c>
      <c r="F393">
        <f t="shared" si="83"/>
        <v>30</v>
      </c>
      <c r="G393">
        <f t="shared" si="77"/>
        <v>0</v>
      </c>
      <c r="H393">
        <f t="shared" si="78"/>
        <v>50</v>
      </c>
      <c r="I393">
        <f t="shared" si="79"/>
        <v>90</v>
      </c>
      <c r="J393">
        <f t="shared" si="80"/>
        <v>160</v>
      </c>
      <c r="K393">
        <f t="shared" si="84"/>
        <v>300</v>
      </c>
      <c r="L393">
        <f>G393*Return!B393*100</f>
        <v>0</v>
      </c>
      <c r="M393">
        <f>H393*Return!C393*100</f>
        <v>-54.499999999999545</v>
      </c>
      <c r="N393">
        <f>I393*Return!D393*100</f>
        <v>-27.899999999998926</v>
      </c>
      <c r="O393">
        <f>J393*Return!E393*100</f>
        <v>113.59999999999815</v>
      </c>
      <c r="P393">
        <f t="shared" si="81"/>
        <v>31.199999999999676</v>
      </c>
      <c r="Q393">
        <f>SUM($P$148:P393)</f>
        <v>13498.799999999994</v>
      </c>
      <c r="R393">
        <f>B393*中国_中债国债到期收益率_1年!B392/365*100</f>
        <v>0</v>
      </c>
      <c r="S393">
        <f>C393*中国_中债国债到期收益率_1年!C392/365*100</f>
        <v>6.9032876712328761</v>
      </c>
      <c r="T393">
        <f>D393*中国_中债国债到期收益率_1年!D392/365*100</f>
        <v>7.1841095890410944</v>
      </c>
      <c r="U393">
        <f>E393*中国_中债国债到期收益率_1年!E392/365*100</f>
        <v>7.9038356164383563</v>
      </c>
      <c r="V393">
        <f t="shared" si="82"/>
        <v>21.991232876712328</v>
      </c>
      <c r="W393">
        <f>SUM($V$148:V393)</f>
        <v>9020.1776712328792</v>
      </c>
      <c r="X393">
        <f>MAX(F393-50,0)*中国_中债国债到期收益率_1年!H393*100/365</f>
        <v>0</v>
      </c>
      <c r="Y393">
        <f>SUM($X$148:X393)</f>
        <v>2654.2549315068459</v>
      </c>
      <c r="Z393">
        <v>-100</v>
      </c>
      <c r="AA393">
        <v>100</v>
      </c>
      <c r="AB393">
        <f>Z393*Return!F397*100</f>
        <v>-90.999999999996646</v>
      </c>
      <c r="AC393">
        <f>AA393*Return!G397*100</f>
        <v>57.999999999998053</v>
      </c>
      <c r="AD393">
        <f>SUM($AB$148:AB393)+SUM($AC$148:AC393)</f>
        <v>2595.7000000000007</v>
      </c>
      <c r="AE393">
        <f t="shared" si="85"/>
        <v>22460.422739726029</v>
      </c>
      <c r="AF393">
        <f t="shared" si="86"/>
        <v>1.0449208454794521</v>
      </c>
      <c r="AG393" s="4">
        <f>(AF393/AF392-1)-中国_中债国债到期收益率_1年!H393%/252</f>
        <v>-4.1510801344812718E-5</v>
      </c>
      <c r="AH393" s="4">
        <f>MIN((AF393-MAX($AF$151:AF393))/MAX($AF$151:AF393),0)</f>
        <v>-3.9879253316121112E-4</v>
      </c>
    </row>
    <row r="394" spans="1:34" x14ac:dyDescent="0.25">
      <c r="A394" s="6">
        <v>45282</v>
      </c>
      <c r="C394">
        <v>10</v>
      </c>
      <c r="D394">
        <v>10</v>
      </c>
      <c r="E394">
        <v>10</v>
      </c>
      <c r="F394">
        <f t="shared" si="83"/>
        <v>30</v>
      </c>
      <c r="G394">
        <f t="shared" si="77"/>
        <v>0</v>
      </c>
      <c r="H394">
        <f t="shared" si="78"/>
        <v>50</v>
      </c>
      <c r="I394">
        <f t="shared" si="79"/>
        <v>90</v>
      </c>
      <c r="J394">
        <f t="shared" si="80"/>
        <v>160</v>
      </c>
      <c r="K394">
        <f t="shared" si="84"/>
        <v>300</v>
      </c>
      <c r="L394">
        <f>G394*Return!B394*100</f>
        <v>0</v>
      </c>
      <c r="M394">
        <f>H394*Return!C394*100</f>
        <v>206.9999999999994</v>
      </c>
      <c r="N394">
        <f>I394*Return!D394*100</f>
        <v>288.89999999999816</v>
      </c>
      <c r="O394">
        <f>J394*Return!E394*100</f>
        <v>571.19999999999754</v>
      </c>
      <c r="P394">
        <f t="shared" si="81"/>
        <v>1067.0999999999951</v>
      </c>
      <c r="Q394">
        <f>SUM($P$148:P394)</f>
        <v>14565.899999999989</v>
      </c>
      <c r="R394">
        <f>B394*中国_中债国债到期收益率_1年!B393/365*100</f>
        <v>0</v>
      </c>
      <c r="S394">
        <f>C394*中国_中债国债到期收益率_1年!C393/365*100</f>
        <v>6.7898630136986302</v>
      </c>
      <c r="T394">
        <f>D394*中国_中债国债到期收益率_1年!D393/365*100</f>
        <v>7.0961643835616446</v>
      </c>
      <c r="U394">
        <f>E394*中国_中债国债到期收益率_1年!E393/365*100</f>
        <v>7.8060273972602747</v>
      </c>
      <c r="V394">
        <f t="shared" si="82"/>
        <v>21.692054794520551</v>
      </c>
      <c r="W394">
        <f>SUM($V$148:V394)</f>
        <v>9041.8697260274002</v>
      </c>
      <c r="X394">
        <f>MAX(F394-50,0)*中国_中债国债到期收益率_1年!H394*100/365</f>
        <v>0</v>
      </c>
      <c r="Y394">
        <f>SUM($X$148:X394)</f>
        <v>2654.2549315068459</v>
      </c>
      <c r="Z394">
        <v>-100</v>
      </c>
      <c r="AA394">
        <v>100</v>
      </c>
      <c r="AB394">
        <f>Z394*Return!F398*100</f>
        <v>-163.00000000000205</v>
      </c>
      <c r="AC394">
        <f>AA394*Return!G398*100</f>
        <v>-80.000000000000071</v>
      </c>
      <c r="AD394">
        <f>SUM($AB$148:AB394)+SUM($AC$148:AC394)</f>
        <v>2352.6999999999989</v>
      </c>
      <c r="AE394">
        <f t="shared" si="85"/>
        <v>23306.214794520543</v>
      </c>
      <c r="AF394">
        <f t="shared" si="86"/>
        <v>1.0466124295890411</v>
      </c>
      <c r="AG394" s="4">
        <f>(AF394/AF393-1)-中国_中债国债到期收益率_1年!H394%/252</f>
        <v>1.5375141907274135E-3</v>
      </c>
      <c r="AH394" s="4">
        <f>MIN((AF394-MAX($AF$151:AF394))/MAX($AF$151:AF394),0)</f>
        <v>0</v>
      </c>
    </row>
    <row r="395" spans="1:34" x14ac:dyDescent="0.25">
      <c r="A395" s="6">
        <v>45285</v>
      </c>
      <c r="C395">
        <v>10</v>
      </c>
      <c r="D395">
        <v>10</v>
      </c>
      <c r="E395">
        <v>10</v>
      </c>
      <c r="F395">
        <f t="shared" si="83"/>
        <v>30</v>
      </c>
      <c r="G395">
        <f t="shared" si="77"/>
        <v>0</v>
      </c>
      <c r="H395">
        <f t="shared" si="78"/>
        <v>50</v>
      </c>
      <c r="I395">
        <f t="shared" si="79"/>
        <v>90</v>
      </c>
      <c r="J395">
        <f t="shared" si="80"/>
        <v>160</v>
      </c>
      <c r="K395">
        <f t="shared" si="84"/>
        <v>300</v>
      </c>
      <c r="L395">
        <f>G395*Return!B395*100</f>
        <v>0</v>
      </c>
      <c r="M395">
        <f>H395*Return!C395*100</f>
        <v>110.50000000000004</v>
      </c>
      <c r="N395">
        <f>I395*Return!D395*100</f>
        <v>21.600000000001618</v>
      </c>
      <c r="O395">
        <f>J395*Return!E395*100</f>
        <v>241.60000000000537</v>
      </c>
      <c r="P395">
        <f t="shared" si="81"/>
        <v>373.70000000000704</v>
      </c>
      <c r="Q395">
        <f>SUM($P$148:P395)</f>
        <v>14939.599999999995</v>
      </c>
      <c r="R395">
        <f>B395*中国_中债国债到期收益率_1年!B394/365*100</f>
        <v>0</v>
      </c>
      <c r="S395">
        <f>C395*中国_中债国债到期收益率_1年!C394/365*100</f>
        <v>6.7293150684931495</v>
      </c>
      <c r="T395">
        <f>D395*中国_中债国债到期收益率_1年!D394/365*100</f>
        <v>7.0895890410958895</v>
      </c>
      <c r="U395">
        <f>E395*中国_中债国债到期收益率_1年!E394/365*100</f>
        <v>7.7646575342465747</v>
      </c>
      <c r="V395">
        <f t="shared" si="82"/>
        <v>21.583561643835612</v>
      </c>
      <c r="W395">
        <f>SUM($V$148:V395)</f>
        <v>9063.4532876712365</v>
      </c>
      <c r="X395">
        <f>MAX(F395-50,0)*中国_中债国债到期收益率_1年!H395*100/365</f>
        <v>0</v>
      </c>
      <c r="Y395">
        <f>SUM($X$148:X395)</f>
        <v>2654.2549315068459</v>
      </c>
      <c r="Z395">
        <v>-100</v>
      </c>
      <c r="AA395">
        <v>100</v>
      </c>
      <c r="AB395">
        <f>Z395*Return!F399*100</f>
        <v>-236.99999999999832</v>
      </c>
      <c r="AC395">
        <f>AA395*Return!G399*100</f>
        <v>-38.999999999997925</v>
      </c>
      <c r="AD395">
        <f>SUM($AB$148:AB395)+SUM($AC$148:AC395)</f>
        <v>2076.700000000003</v>
      </c>
      <c r="AE395">
        <f t="shared" si="85"/>
        <v>23425.498356164389</v>
      </c>
      <c r="AF395">
        <f t="shared" si="86"/>
        <v>1.0468509967123287</v>
      </c>
      <c r="AG395" s="4">
        <f>(AF395/AF394-1)-中国_中债国债到期收益率_1年!H395%/252</f>
        <v>1.5604932712994307E-4</v>
      </c>
      <c r="AH395" s="4">
        <f>MIN((AF395-MAX($AF$151:AF395))/MAX($AF$151:AF395),0)</f>
        <v>0</v>
      </c>
    </row>
    <row r="396" spans="1:34" x14ac:dyDescent="0.25">
      <c r="A396" s="6">
        <v>45286</v>
      </c>
      <c r="C396">
        <v>10</v>
      </c>
      <c r="D396">
        <v>10</v>
      </c>
      <c r="E396">
        <v>10</v>
      </c>
      <c r="F396">
        <f t="shared" si="83"/>
        <v>30</v>
      </c>
      <c r="G396">
        <f t="shared" si="77"/>
        <v>0</v>
      </c>
      <c r="H396">
        <f t="shared" si="78"/>
        <v>50</v>
      </c>
      <c r="I396">
        <f t="shared" si="79"/>
        <v>90</v>
      </c>
      <c r="J396">
        <f t="shared" si="80"/>
        <v>160</v>
      </c>
      <c r="K396">
        <f t="shared" si="84"/>
        <v>300</v>
      </c>
      <c r="L396">
        <f>G396*Return!B396*100</f>
        <v>0</v>
      </c>
      <c r="M396">
        <f>H396*Return!C396*100</f>
        <v>195.00000000000074</v>
      </c>
      <c r="N396">
        <f>I396*Return!D396*100</f>
        <v>179.09999999999826</v>
      </c>
      <c r="O396">
        <f>J396*Return!E396*100</f>
        <v>422.39999999999611</v>
      </c>
      <c r="P396">
        <f t="shared" si="81"/>
        <v>796.49999999999511</v>
      </c>
      <c r="Q396">
        <f>SUM($P$148:P396)</f>
        <v>15736.099999999989</v>
      </c>
      <c r="R396">
        <f>B396*中国_中债国债到期收益率_1年!B395/365*100</f>
        <v>0</v>
      </c>
      <c r="S396">
        <f>C396*中国_中债国债到期收益率_1年!C395/365*100</f>
        <v>6.6224657534246569</v>
      </c>
      <c r="T396">
        <f>D396*中国_中债国债到期收益率_1年!D395/365*100</f>
        <v>7.0350684931506855</v>
      </c>
      <c r="U396">
        <f>E396*中国_中债国债到期收益率_1年!E395/365*100</f>
        <v>7.6923287671232883</v>
      </c>
      <c r="V396">
        <f t="shared" si="82"/>
        <v>21.349863013698631</v>
      </c>
      <c r="W396">
        <f>SUM($V$148:V396)</f>
        <v>9084.8031506849347</v>
      </c>
      <c r="X396">
        <f>MAX(F396-50,0)*中国_中债国债到期收益率_1年!H396*100/365</f>
        <v>0</v>
      </c>
      <c r="Y396">
        <f>SUM($X$148:X396)</f>
        <v>2654.2549315068459</v>
      </c>
      <c r="Z396">
        <v>-100</v>
      </c>
      <c r="AA396">
        <v>100</v>
      </c>
      <c r="AB396">
        <f>Z396*Return!F400*100</f>
        <v>-95.000000000000639</v>
      </c>
      <c r="AC396">
        <f>AA396*Return!G400*100</f>
        <v>-22.000000000002018</v>
      </c>
      <c r="AD396">
        <f>SUM($AB$148:AB396)+SUM($AC$148:AC396)</f>
        <v>1959.7000000000005</v>
      </c>
      <c r="AE396">
        <f t="shared" si="85"/>
        <v>24126.348219178079</v>
      </c>
      <c r="AF396">
        <f t="shared" si="86"/>
        <v>1.0482526964383561</v>
      </c>
      <c r="AG396" s="4">
        <f>(AF396/AF395-1)-中国_中债国债到期收益率_1年!H396%/252</f>
        <v>1.1663487046488913E-3</v>
      </c>
      <c r="AH396" s="4">
        <f>MIN((AF396-MAX($AF$151:AF396))/MAX($AF$151:AF396),0)</f>
        <v>0</v>
      </c>
    </row>
    <row r="397" spans="1:34" x14ac:dyDescent="0.25">
      <c r="A397" s="6">
        <v>45287</v>
      </c>
      <c r="C397">
        <v>10</v>
      </c>
      <c r="D397">
        <v>10</v>
      </c>
      <c r="E397">
        <v>10</v>
      </c>
      <c r="F397">
        <f t="shared" si="83"/>
        <v>30</v>
      </c>
      <c r="G397">
        <f t="shared" ref="G397:G427" si="87">B397</f>
        <v>0</v>
      </c>
      <c r="H397">
        <f t="shared" ref="H397:H413" si="88">5*C397</f>
        <v>50</v>
      </c>
      <c r="I397">
        <f t="shared" ref="I397:I413" si="89">9*D397</f>
        <v>90</v>
      </c>
      <c r="J397">
        <f t="shared" ref="J397:J413" si="90">16*E397</f>
        <v>160</v>
      </c>
      <c r="K397">
        <f t="shared" si="84"/>
        <v>300</v>
      </c>
      <c r="L397">
        <f>G397*Return!B397*100</f>
        <v>0</v>
      </c>
      <c r="M397">
        <f>H397*Return!C397*100</f>
        <v>24.499999999998412</v>
      </c>
      <c r="N397">
        <f>I397*Return!D397*100</f>
        <v>-113.39999999999949</v>
      </c>
      <c r="O397">
        <f>J397*Return!E397*100</f>
        <v>-304.00000000000205</v>
      </c>
      <c r="P397">
        <f t="shared" ref="P397:P413" si="91">SUM(L397:O397)</f>
        <v>-392.90000000000316</v>
      </c>
      <c r="Q397">
        <f>SUM($P$148:P397)</f>
        <v>15343.199999999986</v>
      </c>
      <c r="R397">
        <f>B397*中国_中债国债到期收益率_1年!B396/365*100</f>
        <v>0</v>
      </c>
      <c r="S397">
        <f>C397*中国_中债国债到期收益率_1年!C396/365*100</f>
        <v>6.6090410958904116</v>
      </c>
      <c r="T397">
        <f>D397*中国_中债国债到期收益率_1年!D396/365*100</f>
        <v>7.0695890410958899</v>
      </c>
      <c r="U397">
        <f>E397*中国_中债国债到期收益率_1年!E396/365*100</f>
        <v>7.7443835616438363</v>
      </c>
      <c r="V397">
        <f t="shared" ref="V397:V413" si="92">SUM(R397:U397)</f>
        <v>21.423013698630136</v>
      </c>
      <c r="W397">
        <f>SUM($V$148:V397)</f>
        <v>9106.2261643835645</v>
      </c>
      <c r="X397">
        <f>MAX(F397-50,0)*中国_中债国债到期收益率_1年!H397*100/365</f>
        <v>0</v>
      </c>
      <c r="Y397">
        <f>SUM($X$148:X397)</f>
        <v>2654.2549315068459</v>
      </c>
      <c r="Z397">
        <v>-100</v>
      </c>
      <c r="AA397">
        <v>100</v>
      </c>
      <c r="AD397">
        <f>SUM($AB$148:AB397)+SUM($AC$148:AC397)</f>
        <v>1959.7000000000005</v>
      </c>
      <c r="AE397">
        <f t="shared" si="85"/>
        <v>23754.871232876703</v>
      </c>
      <c r="AF397">
        <f t="shared" si="86"/>
        <v>1.0475097424657533</v>
      </c>
      <c r="AG397" s="4">
        <f>(AF397/AF396-1)-中国_中债国债到期收益率_1年!H397%/252</f>
        <v>-8.6748480837430864E-4</v>
      </c>
      <c r="AH397" s="4">
        <f>MIN((AF397-MAX($AF$151:AF397))/MAX($AF$151:AF397),0)</f>
        <v>-7.0875464964415826E-4</v>
      </c>
    </row>
    <row r="398" spans="1:34" x14ac:dyDescent="0.25">
      <c r="A398" s="6">
        <v>45288</v>
      </c>
      <c r="C398">
        <v>10</v>
      </c>
      <c r="D398">
        <v>10</v>
      </c>
      <c r="E398">
        <v>10</v>
      </c>
      <c r="F398">
        <f t="shared" si="83"/>
        <v>30</v>
      </c>
      <c r="G398">
        <f t="shared" si="87"/>
        <v>0</v>
      </c>
      <c r="H398">
        <f t="shared" si="88"/>
        <v>50</v>
      </c>
      <c r="I398">
        <f t="shared" si="89"/>
        <v>90</v>
      </c>
      <c r="J398">
        <f t="shared" si="90"/>
        <v>160</v>
      </c>
      <c r="K398">
        <f t="shared" si="84"/>
        <v>300</v>
      </c>
      <c r="L398">
        <f>G398*Return!B398*100</f>
        <v>0</v>
      </c>
      <c r="M398">
        <f>H398*Return!C398*100</f>
        <v>143.50000000000085</v>
      </c>
      <c r="N398">
        <f>I398*Return!D398*100</f>
        <v>204.29999999999947</v>
      </c>
      <c r="O398">
        <f>J398*Return!E398*100</f>
        <v>160.00000000000369</v>
      </c>
      <c r="P398">
        <f t="shared" si="91"/>
        <v>507.80000000000399</v>
      </c>
      <c r="Q398">
        <f>SUM($P$148:P398)</f>
        <v>15850.999999999991</v>
      </c>
      <c r="R398">
        <f>B398*中国_中债国债到期收益率_1年!B397/365*100</f>
        <v>0</v>
      </c>
      <c r="S398">
        <f>C398*中国_中债国债到期收益率_1年!C397/365*100</f>
        <v>6.5304109589041097</v>
      </c>
      <c r="T398">
        <f>D398*中国_中债国债到期收益率_1年!D397/365*100</f>
        <v>7.0073972602739731</v>
      </c>
      <c r="U398">
        <f>E398*中国_中债国债到期收益率_1年!E397/365*100</f>
        <v>7.7169863013698627</v>
      </c>
      <c r="V398">
        <f t="shared" si="92"/>
        <v>21.254794520547946</v>
      </c>
      <c r="W398">
        <f>SUM($V$148:V398)</f>
        <v>9127.4809589041124</v>
      </c>
      <c r="X398">
        <f>MAX(F398-50,0)*中国_中债国债到期收益率_1年!H398*100/365</f>
        <v>0</v>
      </c>
      <c r="Y398">
        <f>SUM($X$148:X398)</f>
        <v>2654.2549315068459</v>
      </c>
      <c r="Z398">
        <v>-100</v>
      </c>
      <c r="AA398">
        <v>100</v>
      </c>
      <c r="AD398">
        <f>SUM($AB$148:AB398)+SUM($AC$148:AC398)</f>
        <v>1959.7000000000005</v>
      </c>
      <c r="AE398">
        <f t="shared" si="85"/>
        <v>24283.926027397258</v>
      </c>
      <c r="AF398">
        <f t="shared" si="86"/>
        <v>1.0485678520547945</v>
      </c>
      <c r="AG398" s="4">
        <f>(AF398/AF397-1)-中国_中债国债到期收益率_1年!H398%/252</f>
        <v>8.8313496417631707E-4</v>
      </c>
      <c r="AH398" s="4">
        <f>MIN((AF398-MAX($AF$151:AF398))/MAX($AF$151:AF398),0)</f>
        <v>0</v>
      </c>
    </row>
    <row r="399" spans="1:34" x14ac:dyDescent="0.25">
      <c r="A399" s="6">
        <v>45289</v>
      </c>
      <c r="C399">
        <v>10</v>
      </c>
      <c r="D399">
        <v>10</v>
      </c>
      <c r="E399">
        <v>10</v>
      </c>
      <c r="F399">
        <f t="shared" si="83"/>
        <v>30</v>
      </c>
      <c r="G399">
        <f t="shared" si="87"/>
        <v>0</v>
      </c>
      <c r="H399">
        <f t="shared" si="88"/>
        <v>50</v>
      </c>
      <c r="I399">
        <f t="shared" si="89"/>
        <v>90</v>
      </c>
      <c r="J399">
        <f t="shared" si="90"/>
        <v>160</v>
      </c>
      <c r="K399">
        <f t="shared" si="84"/>
        <v>300</v>
      </c>
      <c r="L399">
        <f>G399*Return!B399*100</f>
        <v>0</v>
      </c>
      <c r="M399">
        <f>H399*Return!C399*100</f>
        <v>-122.50000000000094</v>
      </c>
      <c r="N399">
        <f>I399*Return!D399*100</f>
        <v>-105.29999999999839</v>
      </c>
      <c r="O399">
        <f>J399*Return!E399*100</f>
        <v>-193.60000000000355</v>
      </c>
      <c r="P399">
        <f t="shared" si="91"/>
        <v>-421.40000000000288</v>
      </c>
      <c r="Q399">
        <f>SUM($P$148:P399)</f>
        <v>15429.599999999988</v>
      </c>
      <c r="R399">
        <f>B399*中国_中债国债到期收益率_1年!B398/365*100</f>
        <v>0</v>
      </c>
      <c r="S399">
        <f>C399*中国_中债国债到期收益率_1年!C398/365*100</f>
        <v>6.5975342465753428</v>
      </c>
      <c r="T399">
        <f>D399*中国_中债国债到期收益率_1年!D398/365*100</f>
        <v>7.0394520547945207</v>
      </c>
      <c r="U399">
        <f>E399*中国_中债国债到期收益率_1年!E398/365*100</f>
        <v>7.7501369863013707</v>
      </c>
      <c r="V399">
        <f t="shared" si="92"/>
        <v>21.387123287671233</v>
      </c>
      <c r="W399">
        <f>SUM($V$148:V399)</f>
        <v>9148.8680821917842</v>
      </c>
      <c r="X399">
        <f>MAX(F399-50,0)*中国_中债国债到期收益率_1年!H399*100/365</f>
        <v>0</v>
      </c>
      <c r="Y399">
        <f>SUM($X$148:X399)</f>
        <v>2654.2549315068459</v>
      </c>
      <c r="Z399">
        <v>-100</v>
      </c>
      <c r="AA399">
        <v>100</v>
      </c>
      <c r="AB399">
        <f>Z399*Return!F403*100</f>
        <v>443.99999999999994</v>
      </c>
      <c r="AC399">
        <f>AA399*Return!G403*100</f>
        <v>-136.00000000000279</v>
      </c>
      <c r="AD399">
        <f>SUM($AB$148:AB399)+SUM($AC$148:AC399)</f>
        <v>2267.6999999999975</v>
      </c>
      <c r="AE399">
        <f t="shared" si="85"/>
        <v>24191.913150684923</v>
      </c>
      <c r="AF399">
        <f t="shared" si="86"/>
        <v>1.0483838263013698</v>
      </c>
      <c r="AG399" s="4">
        <f>(AF399/AF398-1)-中国_中债国债到期收益率_1年!H399%/252</f>
        <v>-2.7074009357236616E-4</v>
      </c>
      <c r="AH399" s="4">
        <f>MIN((AF399-MAX($AF$151:AF399))/MAX($AF$151:AF399),0)</f>
        <v>-1.7550199833426852E-4</v>
      </c>
    </row>
    <row r="400" spans="1:34" x14ac:dyDescent="0.25">
      <c r="A400" s="6">
        <v>45291</v>
      </c>
      <c r="C400">
        <v>10</v>
      </c>
      <c r="D400">
        <v>10</v>
      </c>
      <c r="E400">
        <v>10</v>
      </c>
      <c r="F400">
        <f t="shared" si="83"/>
        <v>30</v>
      </c>
      <c r="G400">
        <f t="shared" si="87"/>
        <v>0</v>
      </c>
      <c r="H400">
        <f t="shared" si="88"/>
        <v>50</v>
      </c>
      <c r="I400">
        <f t="shared" si="89"/>
        <v>90</v>
      </c>
      <c r="J400">
        <f t="shared" si="90"/>
        <v>160</v>
      </c>
      <c r="K400">
        <f t="shared" si="84"/>
        <v>300</v>
      </c>
      <c r="L400">
        <f>G400*Return!B400*100</f>
        <v>0</v>
      </c>
      <c r="M400">
        <f>H400*Return!C400*100</f>
        <v>40.000000000000036</v>
      </c>
      <c r="N400">
        <f>I400*Return!D400*100</f>
        <v>126.9</v>
      </c>
      <c r="O400">
        <f>J400*Return!E400*100</f>
        <v>30.400000000000205</v>
      </c>
      <c r="P400">
        <f t="shared" si="91"/>
        <v>197.30000000000024</v>
      </c>
      <c r="Q400">
        <f>SUM($P$148:P400)</f>
        <v>15626.899999999989</v>
      </c>
      <c r="R400">
        <f>B400*中国_中债国债到期收益率_1年!B399/365*100</f>
        <v>0</v>
      </c>
      <c r="S400">
        <f>C400*中国_中债国债到期收益率_1年!C399/365*100</f>
        <v>6.5756164383561648</v>
      </c>
      <c r="T400">
        <f>D400*中国_中债国债到期收益率_1年!D399/365*100</f>
        <v>7.0008219178082181</v>
      </c>
      <c r="U400">
        <f>E400*中国_中债国债到期收益率_1年!E399/365*100</f>
        <v>7.7449315068493156</v>
      </c>
      <c r="V400">
        <f t="shared" si="92"/>
        <v>21.3213698630137</v>
      </c>
      <c r="W400">
        <f>SUM($V$148:V400)</f>
        <v>9170.1894520547976</v>
      </c>
      <c r="X400">
        <f>MAX(F400-50,0)*中国_中债国债到期收益率_1年!H400*100/365</f>
        <v>0</v>
      </c>
      <c r="Y400">
        <f>SUM($X$148:X400)</f>
        <v>2654.2549315068459</v>
      </c>
      <c r="Z400">
        <v>-100</v>
      </c>
      <c r="AA400">
        <v>100</v>
      </c>
      <c r="AB400">
        <f>Z400*Return!F404*100</f>
        <v>20.000000000002238</v>
      </c>
      <c r="AC400">
        <f>AA400*Return!G404*100</f>
        <v>73.00000000000307</v>
      </c>
      <c r="AD400">
        <f>SUM($AB$148:AB400)+SUM($AC$148:AC400)</f>
        <v>2360.700000000003</v>
      </c>
      <c r="AE400">
        <f t="shared" si="85"/>
        <v>24503.534520547946</v>
      </c>
      <c r="AF400">
        <f t="shared" si="86"/>
        <v>1.049007069041096</v>
      </c>
      <c r="AG400" s="4">
        <f>(AF400/AF399-1)-中国_中债国债到期收益率_1年!H400%/252</f>
        <v>5.9447954469593611E-4</v>
      </c>
      <c r="AH400" s="4">
        <f>MIN((AF400-MAX($AF$151:AF400))/MAX($AF$151:AF400),0)</f>
        <v>0</v>
      </c>
    </row>
    <row r="401" spans="1:34" x14ac:dyDescent="0.25">
      <c r="A401" s="6">
        <v>45293</v>
      </c>
      <c r="C401">
        <v>20</v>
      </c>
      <c r="D401">
        <v>10</v>
      </c>
      <c r="E401">
        <v>10</v>
      </c>
      <c r="F401">
        <f t="shared" si="83"/>
        <v>40</v>
      </c>
      <c r="G401">
        <f t="shared" si="87"/>
        <v>0</v>
      </c>
      <c r="H401">
        <f t="shared" si="88"/>
        <v>100</v>
      </c>
      <c r="I401">
        <f t="shared" si="89"/>
        <v>90</v>
      </c>
      <c r="J401">
        <f t="shared" si="90"/>
        <v>160</v>
      </c>
      <c r="K401">
        <f t="shared" si="84"/>
        <v>350</v>
      </c>
      <c r="L401">
        <f>G401*Return!B401*100</f>
        <v>0</v>
      </c>
      <c r="M401">
        <f>H401*Return!C401*100</f>
        <v>0</v>
      </c>
      <c r="N401">
        <f>I401*Return!D401*100</f>
        <v>0</v>
      </c>
      <c r="O401">
        <f>J401*Return!E401*100</f>
        <v>0</v>
      </c>
      <c r="P401">
        <f t="shared" si="91"/>
        <v>0</v>
      </c>
      <c r="Q401">
        <f>SUM($P$400:P401)</f>
        <v>197.30000000000024</v>
      </c>
      <c r="R401">
        <f>B401*中国_中债国债到期收益率_1年!B400/365*100</f>
        <v>0</v>
      </c>
      <c r="S401">
        <f>C401*中国_中债国债到期收益率_1年!C400/365*100</f>
        <v>13.15123287671233</v>
      </c>
      <c r="T401">
        <f>D401*中国_中债国债到期收益率_1年!D400/365*100</f>
        <v>7.0008219178082181</v>
      </c>
      <c r="U401">
        <f>E401*中国_中债国债到期收益率_1年!E400/365*100</f>
        <v>7.7449315068493156</v>
      </c>
      <c r="V401">
        <f t="shared" si="92"/>
        <v>27.896986301369864</v>
      </c>
      <c r="W401">
        <f>SUM($V$400:V401)</f>
        <v>49.218356164383565</v>
      </c>
      <c r="X401">
        <f>MAX(F401-50,0)*中国_中债国债到期收益率_1年!H401*100/365</f>
        <v>0</v>
      </c>
      <c r="Y401">
        <f>SUM($X$400:X401)</f>
        <v>0</v>
      </c>
      <c r="Z401">
        <v>-100</v>
      </c>
      <c r="AA401">
        <v>100</v>
      </c>
      <c r="AB401">
        <f>Z401*Return!F405*100</f>
        <v>-160.00000000000014</v>
      </c>
      <c r="AC401">
        <f>AA401*Return!G405*100</f>
        <v>265.99999999999733</v>
      </c>
      <c r="AD401">
        <f>SUM($AB$400:AB401)+SUM($AC$400:AC401)</f>
        <v>199.0000000000025</v>
      </c>
      <c r="AE401">
        <f t="shared" si="85"/>
        <v>445.51835616438632</v>
      </c>
      <c r="AF401">
        <f t="shared" si="86"/>
        <v>1.0008910367123287</v>
      </c>
      <c r="AH401" s="4"/>
    </row>
    <row r="402" spans="1:34" x14ac:dyDescent="0.25">
      <c r="A402" s="6">
        <v>45294</v>
      </c>
      <c r="C402">
        <v>20</v>
      </c>
      <c r="D402">
        <v>10</v>
      </c>
      <c r="E402">
        <v>10</v>
      </c>
      <c r="F402">
        <f t="shared" si="83"/>
        <v>40</v>
      </c>
      <c r="G402">
        <f t="shared" si="87"/>
        <v>0</v>
      </c>
      <c r="H402">
        <f t="shared" si="88"/>
        <v>100</v>
      </c>
      <c r="I402">
        <f t="shared" si="89"/>
        <v>90</v>
      </c>
      <c r="J402">
        <f t="shared" si="90"/>
        <v>160</v>
      </c>
      <c r="K402">
        <f t="shared" si="84"/>
        <v>350</v>
      </c>
      <c r="L402">
        <f>G402*Return!B402*100</f>
        <v>0</v>
      </c>
      <c r="M402">
        <f>H402*Return!C402*100</f>
        <v>-372.99999999999665</v>
      </c>
      <c r="N402">
        <f>I402*Return!D402*100</f>
        <v>-43.199999999999235</v>
      </c>
      <c r="O402">
        <f>J402*Return!E402*100</f>
        <v>-244.79999999999791</v>
      </c>
      <c r="P402">
        <f t="shared" si="91"/>
        <v>-660.99999999999386</v>
      </c>
      <c r="Q402">
        <f>SUM($P$400:P402)</f>
        <v>-463.69999999999362</v>
      </c>
      <c r="R402">
        <f>B402*中国_中债国债到期收益率_1年!B401/365*100</f>
        <v>0</v>
      </c>
      <c r="S402">
        <f>C402*中国_中债国债到期收益率_1年!C401/365*100</f>
        <v>13.355616438356163</v>
      </c>
      <c r="T402">
        <f>D402*中国_中债国债到期收益率_1年!D401/365*100</f>
        <v>7.0139726027397264</v>
      </c>
      <c r="U402">
        <f>E402*中国_中债国债到期收益率_1年!E401/365*100</f>
        <v>7.7868493150684932</v>
      </c>
      <c r="V402">
        <f t="shared" si="92"/>
        <v>28.156438356164383</v>
      </c>
      <c r="W402">
        <f>SUM($V$400:V402)</f>
        <v>77.374794520547951</v>
      </c>
      <c r="X402">
        <f>MAX(F402-50,0)*中国_中债国债到期收益率_1年!H402*100/365</f>
        <v>0</v>
      </c>
      <c r="Y402">
        <f>SUM($X$400:X402)</f>
        <v>0</v>
      </c>
      <c r="Z402">
        <v>-100</v>
      </c>
      <c r="AA402">
        <v>100</v>
      </c>
      <c r="AB402">
        <f>Z402*Return!F406*100</f>
        <v>93.999999999998522</v>
      </c>
      <c r="AC402">
        <f>AA402*Return!G406*100</f>
        <v>-19.999999999997797</v>
      </c>
      <c r="AD402">
        <f>SUM($AB$400:AB402)+SUM($AC$400:AC402)</f>
        <v>273.00000000000324</v>
      </c>
      <c r="AE402">
        <f t="shared" si="85"/>
        <v>-113.32520547944245</v>
      </c>
      <c r="AF402">
        <f t="shared" si="86"/>
        <v>0.99977334958904107</v>
      </c>
      <c r="AG402" s="4">
        <f>(AE402-AE401)/(500000+AE401)-中国_中债国债到期收益率_1年!H402%/252</f>
        <v>-1.202009569939077E-3</v>
      </c>
      <c r="AH402" s="4">
        <f>MIN((AF402-MAX($AF$401:AF402))/MAX($AF$401:AF402),0)</f>
        <v>-1.1166921096215955E-3</v>
      </c>
    </row>
    <row r="403" spans="1:34" x14ac:dyDescent="0.25">
      <c r="A403" s="6">
        <v>45295</v>
      </c>
      <c r="C403">
        <v>20</v>
      </c>
      <c r="D403">
        <v>20</v>
      </c>
      <c r="E403">
        <v>10</v>
      </c>
      <c r="F403">
        <f t="shared" si="83"/>
        <v>50</v>
      </c>
      <c r="G403">
        <f t="shared" si="87"/>
        <v>0</v>
      </c>
      <c r="H403">
        <f t="shared" si="88"/>
        <v>100</v>
      </c>
      <c r="I403">
        <f t="shared" si="89"/>
        <v>180</v>
      </c>
      <c r="J403">
        <f t="shared" si="90"/>
        <v>160</v>
      </c>
      <c r="K403">
        <f t="shared" si="84"/>
        <v>440</v>
      </c>
      <c r="L403">
        <f>G403*Return!B403*100</f>
        <v>0</v>
      </c>
      <c r="M403">
        <f>H403*Return!C403*100</f>
        <v>161.99999999999991</v>
      </c>
      <c r="N403">
        <f>I403*Return!D403*100</f>
        <v>125.99999999999412</v>
      </c>
      <c r="O403">
        <f>J403*Return!E403*100</f>
        <v>32.000000000003581</v>
      </c>
      <c r="P403">
        <f t="shared" si="91"/>
        <v>319.99999999999761</v>
      </c>
      <c r="Q403">
        <f>SUM($P$400:P403)</f>
        <v>-143.69999999999601</v>
      </c>
      <c r="R403">
        <f>B403*中国_中债国债到期收益率_1年!B402/365*100</f>
        <v>0</v>
      </c>
      <c r="S403">
        <f>C403*中国_中债国债到期收益率_1年!C402/365*100</f>
        <v>13.266849315068491</v>
      </c>
      <c r="T403">
        <f>D403*中国_中债国债到期收益率_1年!D402/365*100</f>
        <v>13.989589041095893</v>
      </c>
      <c r="U403">
        <f>E403*中国_中债国债到期收益率_1年!E402/365*100</f>
        <v>7.7813698630136985</v>
      </c>
      <c r="V403">
        <f t="shared" si="92"/>
        <v>35.037808219178082</v>
      </c>
      <c r="W403">
        <f>SUM($V$400:V403)</f>
        <v>112.41260273972603</v>
      </c>
      <c r="X403">
        <f>MAX(F403-50,0)*中国_中债国债到期收益率_1年!H403*100/365</f>
        <v>0</v>
      </c>
      <c r="Y403">
        <f>SUM($X$400:X403)</f>
        <v>0</v>
      </c>
      <c r="Z403">
        <v>-100</v>
      </c>
      <c r="AA403">
        <v>100</v>
      </c>
      <c r="AB403">
        <f>Z403*Return!F407*100</f>
        <v>-175.00000000000071</v>
      </c>
      <c r="AC403">
        <f>AA403*Return!G407*100</f>
        <v>238.00000000000043</v>
      </c>
      <c r="AD403">
        <f>SUM($AB$400:AB403)+SUM($AC$400:AC403)</f>
        <v>336.00000000000296</v>
      </c>
      <c r="AE403">
        <f t="shared" si="85"/>
        <v>304.71260273973297</v>
      </c>
      <c r="AF403">
        <f t="shared" si="86"/>
        <v>1.0006094252054796</v>
      </c>
      <c r="AG403" s="4">
        <f>(AE403-AE402)/(500000+AE402)-中国_中债国债到期收益率_1年!H403%/252</f>
        <v>7.4697944199397803E-4</v>
      </c>
      <c r="AH403" s="4">
        <f>MIN((AF403-MAX($AF$401:AF403))/MAX($AF$401:AF403),0)</f>
        <v>-2.8136080404332024E-4</v>
      </c>
    </row>
    <row r="404" spans="1:34" x14ac:dyDescent="0.25">
      <c r="A404" s="6">
        <v>45296</v>
      </c>
      <c r="C404">
        <v>20</v>
      </c>
      <c r="D404">
        <v>20</v>
      </c>
      <c r="E404">
        <v>10</v>
      </c>
      <c r="F404">
        <f t="shared" si="83"/>
        <v>50</v>
      </c>
      <c r="G404">
        <f t="shared" si="87"/>
        <v>0</v>
      </c>
      <c r="H404">
        <f t="shared" si="88"/>
        <v>100</v>
      </c>
      <c r="I404">
        <f t="shared" si="89"/>
        <v>180</v>
      </c>
      <c r="J404">
        <f t="shared" si="90"/>
        <v>160</v>
      </c>
      <c r="K404">
        <f t="shared" si="84"/>
        <v>440</v>
      </c>
      <c r="L404">
        <f>G404*Return!B404*100</f>
        <v>0</v>
      </c>
      <c r="M404">
        <f>H404*Return!C404*100</f>
        <v>122.99999999999756</v>
      </c>
      <c r="N404">
        <f>I404*Return!D404*100</f>
        <v>293.40000000000367</v>
      </c>
      <c r="O404">
        <f>J404*Return!E404*100</f>
        <v>371.19999999999465</v>
      </c>
      <c r="P404">
        <f t="shared" si="91"/>
        <v>787.59999999999582</v>
      </c>
      <c r="Q404">
        <f>SUM($P$400:P404)</f>
        <v>643.89999999999986</v>
      </c>
      <c r="R404">
        <f>B404*中国_中债国债到期收益率_1年!B403/365*100</f>
        <v>0</v>
      </c>
      <c r="S404">
        <f>C404*中国_中债国债到期收益率_1年!C403/365*100</f>
        <v>13.19945205479452</v>
      </c>
      <c r="T404">
        <f>D404*中国_中债国债到期收益率_1年!D403/365*100</f>
        <v>13.90027397260274</v>
      </c>
      <c r="U404">
        <f>E404*中国_中债国债到期收益率_1年!E403/365*100</f>
        <v>7.7178082191780826</v>
      </c>
      <c r="V404">
        <f t="shared" si="92"/>
        <v>34.817534246575342</v>
      </c>
      <c r="W404">
        <f>SUM($V$400:V404)</f>
        <v>147.23013698630137</v>
      </c>
      <c r="X404">
        <f>MAX(F404-50,0)*中国_中债国债到期收益率_1年!H404*100/365</f>
        <v>0</v>
      </c>
      <c r="Y404">
        <f>SUM($X$400:X404)</f>
        <v>0</v>
      </c>
      <c r="Z404">
        <v>-100</v>
      </c>
      <c r="AA404">
        <v>100</v>
      </c>
      <c r="AB404">
        <f>Z404*Return!F408*100</f>
        <v>154.0000000000008</v>
      </c>
      <c r="AC404">
        <f>AA404*Return!G408*100</f>
        <v>-48.000000000003595</v>
      </c>
      <c r="AD404">
        <f>SUM($AB$400:AB404)+SUM($AC$400:AC404)</f>
        <v>442.00000000000023</v>
      </c>
      <c r="AE404">
        <f t="shared" si="85"/>
        <v>1233.1301369863015</v>
      </c>
      <c r="AF404">
        <f t="shared" si="86"/>
        <v>1.0024662602739727</v>
      </c>
      <c r="AG404" s="4">
        <f>(AE404-AE403)/(500000+AE403)-中国_中债国债到期收益率_1年!H404%/252</f>
        <v>1.7703866952893368E-3</v>
      </c>
      <c r="AH404" s="4">
        <f>MIN((AF404-MAX($AF$401:AF404))/MAX($AF$401:AF404),0)</f>
        <v>0</v>
      </c>
    </row>
    <row r="405" spans="1:34" x14ac:dyDescent="0.25">
      <c r="A405" s="6">
        <v>45299</v>
      </c>
      <c r="C405">
        <v>20</v>
      </c>
      <c r="D405">
        <v>20</v>
      </c>
      <c r="E405">
        <v>10</v>
      </c>
      <c r="F405">
        <f t="shared" si="83"/>
        <v>50</v>
      </c>
      <c r="G405">
        <f t="shared" si="87"/>
        <v>0</v>
      </c>
      <c r="H405">
        <f t="shared" si="88"/>
        <v>100</v>
      </c>
      <c r="I405">
        <f t="shared" si="89"/>
        <v>180</v>
      </c>
      <c r="J405">
        <f t="shared" si="90"/>
        <v>160</v>
      </c>
      <c r="K405">
        <f t="shared" si="84"/>
        <v>440</v>
      </c>
      <c r="L405">
        <f>G405*Return!B405*100</f>
        <v>0</v>
      </c>
      <c r="M405">
        <f>H405*Return!C405*100</f>
        <v>186.00000000000171</v>
      </c>
      <c r="N405">
        <f>I405*Return!D405*100</f>
        <v>347.3999999999977</v>
      </c>
      <c r="O405">
        <f>J405*Return!E405*100</f>
        <v>203.20000000000249</v>
      </c>
      <c r="P405">
        <f t="shared" si="91"/>
        <v>736.60000000000196</v>
      </c>
      <c r="Q405">
        <f>SUM($P$400:P405)</f>
        <v>1380.5000000000018</v>
      </c>
      <c r="R405">
        <f>B405*中国_中债国债到期收益率_1年!B404/365*100</f>
        <v>0</v>
      </c>
      <c r="S405">
        <f>C405*中国_中债国债到期收益率_1年!C404/365*100</f>
        <v>13.097534246575343</v>
      </c>
      <c r="T405">
        <f>D405*中国_中债国债到期收益率_1年!D404/365*100</f>
        <v>13.794520547945204</v>
      </c>
      <c r="U405">
        <f>E405*中国_中债国债到期收益率_1年!E404/365*100</f>
        <v>7.6830136986301367</v>
      </c>
      <c r="V405">
        <f t="shared" si="92"/>
        <v>34.575068493150681</v>
      </c>
      <c r="W405">
        <f>SUM($V$400:V405)</f>
        <v>181.80520547945207</v>
      </c>
      <c r="X405">
        <f>MAX(F405-50,0)*中国_中债国债到期收益率_1年!H405*100/365</f>
        <v>0</v>
      </c>
      <c r="Y405">
        <f>SUM($X$400:X405)</f>
        <v>0</v>
      </c>
      <c r="Z405">
        <v>-100</v>
      </c>
      <c r="AA405">
        <v>100</v>
      </c>
      <c r="AB405">
        <f>Z405*Return!F409*100</f>
        <v>-51.000000000001044</v>
      </c>
      <c r="AC405">
        <f>AA405*Return!G409*100</f>
        <v>10.00000000000334</v>
      </c>
      <c r="AD405">
        <f>SUM($AB$400:AB405)+SUM($AC$400:AC405)</f>
        <v>401.0000000000025</v>
      </c>
      <c r="AE405">
        <f t="shared" si="85"/>
        <v>1963.3052054794564</v>
      </c>
      <c r="AF405">
        <f t="shared" si="86"/>
        <v>1.003926610410959</v>
      </c>
      <c r="AG405" s="4">
        <f>(AE405-AE404)/(500000+AE404)-中国_中债国债到期收益率_1年!H405%/252</f>
        <v>1.3694558067948465E-3</v>
      </c>
      <c r="AH405" s="4">
        <f>MIN((AF405-MAX($AF$401:AF405))/MAX($AF$401:AF405),0)</f>
        <v>0</v>
      </c>
    </row>
    <row r="406" spans="1:34" x14ac:dyDescent="0.25">
      <c r="A406" s="6">
        <v>45300</v>
      </c>
      <c r="C406">
        <v>20</v>
      </c>
      <c r="D406">
        <v>20</v>
      </c>
      <c r="E406">
        <v>10</v>
      </c>
      <c r="F406">
        <f t="shared" si="83"/>
        <v>50</v>
      </c>
      <c r="G406">
        <f t="shared" si="87"/>
        <v>0</v>
      </c>
      <c r="H406">
        <f t="shared" si="88"/>
        <v>100</v>
      </c>
      <c r="I406">
        <f t="shared" si="89"/>
        <v>180</v>
      </c>
      <c r="J406">
        <f t="shared" si="90"/>
        <v>160</v>
      </c>
      <c r="K406">
        <f t="shared" si="84"/>
        <v>440</v>
      </c>
      <c r="L406">
        <f>G406*Return!B406*100</f>
        <v>0</v>
      </c>
      <c r="M406">
        <f>H406*Return!C406*100</f>
        <v>-177.00000000000048</v>
      </c>
      <c r="N406">
        <f>I406*Return!D406*100</f>
        <v>70.200000000004252</v>
      </c>
      <c r="O406">
        <f>J406*Return!E406*100</f>
        <v>36.7999999999995</v>
      </c>
      <c r="P406">
        <f t="shared" si="91"/>
        <v>-69.999999999996732</v>
      </c>
      <c r="Q406">
        <f>SUM($P$400:P406)</f>
        <v>1310.500000000005</v>
      </c>
      <c r="R406">
        <f>B406*中国_中债国债到期收益率_1年!B405/365*100</f>
        <v>0</v>
      </c>
      <c r="S406">
        <f>C406*中国_中债国债到期收益率_1年!C405/365*100</f>
        <v>13.194520547945205</v>
      </c>
      <c r="T406">
        <f>D406*中国_中债国债到期收益率_1年!D405/365*100</f>
        <v>13.773150684931506</v>
      </c>
      <c r="U406">
        <f>E406*中国_中债国债到期收益率_1年!E405/365*100</f>
        <v>7.6767123287671231</v>
      </c>
      <c r="V406">
        <f t="shared" si="92"/>
        <v>34.644383561643835</v>
      </c>
      <c r="W406">
        <f>SUM($V$400:V406)</f>
        <v>216.44958904109592</v>
      </c>
      <c r="X406">
        <f>MAX(F406-50,0)*中国_中债国债到期收益率_1年!H406*100/365</f>
        <v>0</v>
      </c>
      <c r="Y406">
        <f>SUM($X$400:X406)</f>
        <v>0</v>
      </c>
      <c r="Z406">
        <v>-100</v>
      </c>
      <c r="AA406">
        <v>100</v>
      </c>
      <c r="AB406">
        <f>Z406*Return!F410*100</f>
        <v>-131.99999999999878</v>
      </c>
      <c r="AC406">
        <f>AA406*Return!G410*100</f>
        <v>-36.000000000000476</v>
      </c>
      <c r="AD406">
        <f>SUM($AB$400:AB406)+SUM($AC$400:AC406)</f>
        <v>233.00000000000327</v>
      </c>
      <c r="AE406">
        <f t="shared" si="85"/>
        <v>1759.949589041104</v>
      </c>
      <c r="AF406">
        <f t="shared" si="86"/>
        <v>1.0035198991780823</v>
      </c>
      <c r="AG406" s="4">
        <f>(AE406-AE405)/(500000+AE405)-中国_中债国债到期收益率_1年!H406%/252</f>
        <v>-4.9599349844516017E-4</v>
      </c>
      <c r="AH406" s="4">
        <f>MIN((AF406-MAX($AF$401:AF406))/MAX($AF$401:AF406),0)</f>
        <v>-4.051204825721614E-4</v>
      </c>
    </row>
    <row r="407" spans="1:34" x14ac:dyDescent="0.25">
      <c r="A407" s="6">
        <v>45301</v>
      </c>
      <c r="C407">
        <v>20</v>
      </c>
      <c r="D407">
        <v>20</v>
      </c>
      <c r="E407">
        <v>10</v>
      </c>
      <c r="F407">
        <f t="shared" si="83"/>
        <v>50</v>
      </c>
      <c r="G407">
        <f t="shared" si="87"/>
        <v>0</v>
      </c>
      <c r="H407">
        <f t="shared" si="88"/>
        <v>100</v>
      </c>
      <c r="I407">
        <f t="shared" si="89"/>
        <v>180</v>
      </c>
      <c r="J407">
        <f t="shared" si="90"/>
        <v>160</v>
      </c>
      <c r="K407">
        <f t="shared" si="84"/>
        <v>440</v>
      </c>
      <c r="L407">
        <f>G407*Return!B407*100</f>
        <v>0</v>
      </c>
      <c r="M407">
        <f>H407*Return!C407*100</f>
        <v>175.00000000000071</v>
      </c>
      <c r="N407">
        <f>I407*Return!D407*100</f>
        <v>493.19999999999362</v>
      </c>
      <c r="O407">
        <f>J407*Return!E407*100</f>
        <v>523.20000000000277</v>
      </c>
      <c r="P407">
        <f t="shared" si="91"/>
        <v>1191.3999999999971</v>
      </c>
      <c r="Q407">
        <f>SUM($P$400:P407)</f>
        <v>2501.9000000000024</v>
      </c>
      <c r="R407">
        <f>B407*中国_中债国债到期收益率_1年!B406/365*100</f>
        <v>0</v>
      </c>
      <c r="S407">
        <f>C407*中国_中债国债到期收益率_1年!C406/365*100</f>
        <v>13.0986301369863</v>
      </c>
      <c r="T407">
        <f>D407*中国_中债国债到期收益率_1年!D406/365*100</f>
        <v>13.623013698630137</v>
      </c>
      <c r="U407">
        <f>E407*中国_中债国债到期收益率_1年!E406/365*100</f>
        <v>7.5871232876712327</v>
      </c>
      <c r="V407">
        <f t="shared" si="92"/>
        <v>34.308767123287666</v>
      </c>
      <c r="W407">
        <f>SUM($V$400:V407)</f>
        <v>250.7583561643836</v>
      </c>
      <c r="X407">
        <f>MAX(F407-50,0)*中国_中债国债到期收益率_1年!H407*100/365</f>
        <v>0</v>
      </c>
      <c r="Y407">
        <f>SUM($X$400:X407)</f>
        <v>0</v>
      </c>
      <c r="Z407">
        <v>-100</v>
      </c>
      <c r="AA407">
        <v>100</v>
      </c>
      <c r="AB407">
        <f>Z407*Return!F411*100</f>
        <v>301.99999999999784</v>
      </c>
      <c r="AC407">
        <f>AA407*Return!G411*100</f>
        <v>-17.000000000000348</v>
      </c>
      <c r="AD407">
        <f>SUM($AB$400:AB407)+SUM($AC$400:AC407)</f>
        <v>518.0000000000008</v>
      </c>
      <c r="AE407">
        <f t="shared" si="85"/>
        <v>3270.658356164387</v>
      </c>
      <c r="AF407">
        <f t="shared" si="86"/>
        <v>1.0065413167123287</v>
      </c>
      <c r="AG407" s="4">
        <f>(AE407-AE406)/(500000+AE406)-中国_中债国债到期收益率_1年!H407%/252</f>
        <v>2.9235181649735916E-3</v>
      </c>
      <c r="AH407" s="4">
        <f>MIN((AF407-MAX($AF$401:AF407))/MAX($AF$401:AF407),0)</f>
        <v>0</v>
      </c>
    </row>
    <row r="408" spans="1:34" x14ac:dyDescent="0.25">
      <c r="A408" s="6">
        <v>45302</v>
      </c>
      <c r="C408">
        <v>20</v>
      </c>
      <c r="D408">
        <v>20</v>
      </c>
      <c r="E408">
        <v>10</v>
      </c>
      <c r="F408">
        <f t="shared" si="83"/>
        <v>50</v>
      </c>
      <c r="G408">
        <f t="shared" si="87"/>
        <v>0</v>
      </c>
      <c r="H408">
        <f t="shared" si="88"/>
        <v>100</v>
      </c>
      <c r="I408">
        <f t="shared" si="89"/>
        <v>180</v>
      </c>
      <c r="J408">
        <f t="shared" si="90"/>
        <v>160</v>
      </c>
      <c r="K408">
        <f t="shared" si="84"/>
        <v>440</v>
      </c>
      <c r="L408">
        <f>G408*Return!B408*100</f>
        <v>0</v>
      </c>
      <c r="M408">
        <f>H408*Return!C408*100</f>
        <v>-157.0000000000027</v>
      </c>
      <c r="N408">
        <f>I408*Return!D408*100</f>
        <v>-216.0000000000002</v>
      </c>
      <c r="O408">
        <f>J408*Return!E408*100</f>
        <v>-103.9999999999992</v>
      </c>
      <c r="P408">
        <f t="shared" si="91"/>
        <v>-477.0000000000021</v>
      </c>
      <c r="Q408">
        <f>SUM($P$400:P408)</f>
        <v>2024.9000000000003</v>
      </c>
      <c r="R408">
        <f>B408*中国_中债国债到期收益率_1年!B407/365*100</f>
        <v>0</v>
      </c>
      <c r="S408">
        <f>C408*中国_中债国债到期收益率_1年!C407/365*100</f>
        <v>13.184657534246577</v>
      </c>
      <c r="T408">
        <f>D408*中国_中债国债到期收益率_1年!D407/365*100</f>
        <v>13.688767123287674</v>
      </c>
      <c r="U408">
        <f>E408*中国_中债国债到期收益率_1年!E407/365*100</f>
        <v>7.6049315068493151</v>
      </c>
      <c r="V408">
        <f t="shared" si="92"/>
        <v>34.47835616438357</v>
      </c>
      <c r="W408">
        <f>SUM($V$400:V408)</f>
        <v>285.23671232876717</v>
      </c>
      <c r="X408">
        <f>MAX(F408-50,0)*中国_中债国债到期收益率_1年!H408*100/365</f>
        <v>0</v>
      </c>
      <c r="Y408">
        <f>SUM($X$400:X408)</f>
        <v>0</v>
      </c>
      <c r="Z408">
        <v>-100</v>
      </c>
      <c r="AA408">
        <v>100</v>
      </c>
      <c r="AB408">
        <f>Z408*Return!F412*100</f>
        <v>344.0000000000021</v>
      </c>
      <c r="AC408">
        <f>AA408*Return!G412*100</f>
        <v>-176.00000000000281</v>
      </c>
      <c r="AD408">
        <f>SUM($AB$400:AB408)+SUM($AC$400:AC408)</f>
        <v>686</v>
      </c>
      <c r="AE408">
        <f t="shared" si="85"/>
        <v>2996.1367123287673</v>
      </c>
      <c r="AF408">
        <f t="shared" si="86"/>
        <v>1.0059922734246576</v>
      </c>
      <c r="AG408" s="4">
        <f>(AE408-AE407)/(500000+AE407)-中国_中债国债到期收益率_1年!H408%/252</f>
        <v>-6.327767491802693E-4</v>
      </c>
      <c r="AH408" s="4">
        <f>MIN((AF408-MAX($AF$401:AF408))/MAX($AF$401:AF408),0)</f>
        <v>-5.4547516187857946E-4</v>
      </c>
    </row>
    <row r="409" spans="1:34" x14ac:dyDescent="0.25">
      <c r="A409" s="6">
        <v>45303</v>
      </c>
      <c r="C409">
        <v>20</v>
      </c>
      <c r="D409">
        <v>20</v>
      </c>
      <c r="E409">
        <v>10</v>
      </c>
      <c r="F409">
        <f t="shared" si="83"/>
        <v>50</v>
      </c>
      <c r="G409">
        <f t="shared" si="87"/>
        <v>0</v>
      </c>
      <c r="H409">
        <f t="shared" si="88"/>
        <v>100</v>
      </c>
      <c r="I409">
        <f t="shared" si="89"/>
        <v>180</v>
      </c>
      <c r="J409">
        <f t="shared" si="90"/>
        <v>160</v>
      </c>
      <c r="K409">
        <f t="shared" si="84"/>
        <v>440</v>
      </c>
      <c r="L409">
        <f>G409*Return!B409*100</f>
        <v>0</v>
      </c>
      <c r="M409">
        <f>H409*Return!C409*100</f>
        <v>20.000000000002238</v>
      </c>
      <c r="N409">
        <f>I409*Return!D409*100</f>
        <v>-17.999999999998018</v>
      </c>
      <c r="O409">
        <f>J409*Return!E409*100</f>
        <v>-17.600000000001614</v>
      </c>
      <c r="P409">
        <f t="shared" si="91"/>
        <v>-15.599999999997394</v>
      </c>
      <c r="Q409">
        <f>SUM($P$400:P409)</f>
        <v>2009.3000000000029</v>
      </c>
      <c r="R409">
        <f>B409*中国_中债国债到期收益率_1年!B408/365*100</f>
        <v>0</v>
      </c>
      <c r="S409">
        <f>C409*中国_中债国债到期收益率_1年!C408/365*100</f>
        <v>13.173698630136984</v>
      </c>
      <c r="T409">
        <f>D409*中国_中债国债到期收益率_1年!D408/365*100</f>
        <v>13.694246575342467</v>
      </c>
      <c r="U409">
        <f>E409*中国_中债国债到期收益率_1年!E408/365*100</f>
        <v>7.6079452054794521</v>
      </c>
      <c r="V409">
        <f t="shared" si="92"/>
        <v>34.475890410958904</v>
      </c>
      <c r="W409">
        <f>SUM($V$400:V409)</f>
        <v>319.71260273972609</v>
      </c>
      <c r="X409">
        <f>MAX(F409-50,0)*中国_中债国债到期收益率_1年!H409*100/365</f>
        <v>0</v>
      </c>
      <c r="Y409">
        <f>SUM($X$400:X409)</f>
        <v>0</v>
      </c>
      <c r="Z409">
        <v>-100</v>
      </c>
      <c r="AA409">
        <v>100</v>
      </c>
      <c r="AB409">
        <f>Z409*Return!F413*100</f>
        <v>-17.999999999998018</v>
      </c>
      <c r="AC409">
        <f>AA409*Return!G413*100</f>
        <v>120.00000000000011</v>
      </c>
      <c r="AD409">
        <f>SUM($AB$400:AB409)+SUM($AC$400:AC409)</f>
        <v>788.00000000000205</v>
      </c>
      <c r="AE409">
        <f t="shared" si="85"/>
        <v>3117.0126027397309</v>
      </c>
      <c r="AF409">
        <f t="shared" si="86"/>
        <v>1.0062340252054796</v>
      </c>
      <c r="AG409" s="4">
        <f>(AE409-AE408)/(500000+AE408)-中国_中债国债到期收益率_1年!H409%/252</f>
        <v>1.5301017970527223E-4</v>
      </c>
      <c r="AH409" s="4">
        <f>MIN((AF409-MAX($AF$401:AF409))/MAX($AF$401:AF409),0)</f>
        <v>-3.0529447897168193E-4</v>
      </c>
    </row>
    <row r="410" spans="1:34" x14ac:dyDescent="0.25">
      <c r="A410" s="6">
        <v>45306</v>
      </c>
      <c r="C410">
        <v>20</v>
      </c>
      <c r="D410">
        <v>20</v>
      </c>
      <c r="E410">
        <v>10</v>
      </c>
      <c r="F410">
        <f t="shared" si="83"/>
        <v>50</v>
      </c>
      <c r="G410">
        <f t="shared" si="87"/>
        <v>0</v>
      </c>
      <c r="H410">
        <f t="shared" si="88"/>
        <v>100</v>
      </c>
      <c r="I410">
        <f t="shared" si="89"/>
        <v>180</v>
      </c>
      <c r="J410">
        <f t="shared" si="90"/>
        <v>160</v>
      </c>
      <c r="K410">
        <f t="shared" si="84"/>
        <v>440</v>
      </c>
      <c r="L410">
        <f>G410*Return!B410*100</f>
        <v>0</v>
      </c>
      <c r="M410">
        <f>H410*Return!C410*100</f>
        <v>-114.00000000000077</v>
      </c>
      <c r="N410">
        <f>I410*Return!D410*100</f>
        <v>-323.99999999999631</v>
      </c>
      <c r="O410">
        <f>J410*Return!E410*100</f>
        <v>-257.6000000000036</v>
      </c>
      <c r="P410">
        <f t="shared" si="91"/>
        <v>-695.60000000000059</v>
      </c>
      <c r="Q410">
        <f>SUM($P$400:P410)</f>
        <v>1313.7000000000023</v>
      </c>
      <c r="R410">
        <f>B410*中国_中债国债到期收益率_1年!B409/365*100</f>
        <v>0</v>
      </c>
      <c r="S410">
        <f>C410*中国_中债国债到期收益率_1年!C409/365*100</f>
        <v>13.236164383561643</v>
      </c>
      <c r="T410">
        <f>D410*中国_中债国债到期收益率_1年!D409/365*100</f>
        <v>13.792876712328766</v>
      </c>
      <c r="U410">
        <f>E410*中国_中债国债到期收益率_1年!E409/365*100</f>
        <v>7.6520547945205477</v>
      </c>
      <c r="V410">
        <f t="shared" si="92"/>
        <v>34.681095890410958</v>
      </c>
      <c r="W410">
        <f>SUM($V$400:V410)</f>
        <v>354.39369863013707</v>
      </c>
      <c r="X410">
        <f>MAX(F410-50,0)*中国_中债国债到期收益率_1年!H410*100/365</f>
        <v>0</v>
      </c>
      <c r="Y410">
        <f>SUM($X$400:X410)</f>
        <v>0</v>
      </c>
      <c r="Z410">
        <v>-100</v>
      </c>
      <c r="AA410">
        <v>100</v>
      </c>
      <c r="AB410">
        <f>Z410*Return!F414*100</f>
        <v>-92.000000000003183</v>
      </c>
      <c r="AC410">
        <f>AA410*Return!G414*100</f>
        <v>62.999999999999723</v>
      </c>
      <c r="AD410">
        <f>SUM($AB$400:AB410)+SUM($AC$400:AC410)</f>
        <v>758.99999999999864</v>
      </c>
      <c r="AE410">
        <f t="shared" si="85"/>
        <v>2427.0936986301381</v>
      </c>
      <c r="AF410">
        <f t="shared" si="86"/>
        <v>1.0048541873972603</v>
      </c>
      <c r="AG410" s="4">
        <f>(AE410-AE409)/(500000+AE409)-中国_中债国债到期收益率_1年!H410%/252</f>
        <v>-1.4605748713358488E-3</v>
      </c>
      <c r="AH410" s="4">
        <f>MIN((AF410-MAX($AF$401:AF410))/MAX($AF$401:AF410),0)</f>
        <v>-1.6761649890131732E-3</v>
      </c>
    </row>
    <row r="411" spans="1:34" x14ac:dyDescent="0.25">
      <c r="A411" s="6">
        <v>45307</v>
      </c>
      <c r="C411">
        <v>20</v>
      </c>
      <c r="D411">
        <v>20</v>
      </c>
      <c r="E411">
        <v>10</v>
      </c>
      <c r="F411">
        <f t="shared" si="83"/>
        <v>50</v>
      </c>
      <c r="G411">
        <f t="shared" si="87"/>
        <v>0</v>
      </c>
      <c r="H411">
        <f t="shared" si="88"/>
        <v>100</v>
      </c>
      <c r="I411">
        <f t="shared" si="89"/>
        <v>180</v>
      </c>
      <c r="J411">
        <f t="shared" si="90"/>
        <v>160</v>
      </c>
      <c r="K411">
        <f t="shared" si="84"/>
        <v>440</v>
      </c>
      <c r="L411">
        <f>G411*Return!B411*100</f>
        <v>0</v>
      </c>
      <c r="M411">
        <f>H411*Return!C411*100</f>
        <v>-100.0000000000023</v>
      </c>
      <c r="N411">
        <f>I411*Return!D411*100</f>
        <v>-72.000000000000057</v>
      </c>
      <c r="O411">
        <f>J411*Return!E411*100</f>
        <v>118.40000000000117</v>
      </c>
      <c r="P411">
        <f t="shared" si="91"/>
        <v>-53.600000000001188</v>
      </c>
      <c r="Q411">
        <f>SUM($P$400:P411)</f>
        <v>1260.100000000001</v>
      </c>
      <c r="R411">
        <f>B411*中国_中债国债到期收益率_1年!B410/365*100</f>
        <v>0</v>
      </c>
      <c r="S411">
        <f>C411*中国_中债国债到期收益率_1年!C410/365*100</f>
        <v>13.290958904109591</v>
      </c>
      <c r="T411">
        <f>D411*中国_中债国债到期收益率_1年!D410/365*100</f>
        <v>13.814794520547945</v>
      </c>
      <c r="U411">
        <f>E411*中国_中债国债到期收益率_1年!E410/365*100</f>
        <v>7.6317808219178094</v>
      </c>
      <c r="V411">
        <f t="shared" si="92"/>
        <v>34.737534246575343</v>
      </c>
      <c r="W411">
        <f>SUM($V$400:V411)</f>
        <v>389.13123287671243</v>
      </c>
      <c r="X411">
        <f>MAX(F411-50,0)*中国_中债国债到期收益率_1年!H411*100/365</f>
        <v>0</v>
      </c>
      <c r="Y411">
        <f>SUM($X$400:X411)</f>
        <v>0</v>
      </c>
      <c r="Z411">
        <v>-100</v>
      </c>
      <c r="AA411">
        <v>100</v>
      </c>
      <c r="AB411">
        <f>Z411*Return!F415*100</f>
        <v>-221.00000000000009</v>
      </c>
      <c r="AC411">
        <f>AA411*Return!G415*100</f>
        <v>22.000000000002018</v>
      </c>
      <c r="AD411">
        <f>SUM($AB$400:AB411)+SUM($AC$400:AC411)</f>
        <v>560.00000000000057</v>
      </c>
      <c r="AE411">
        <f t="shared" si="85"/>
        <v>2209.2312328767139</v>
      </c>
      <c r="AF411">
        <f t="shared" si="86"/>
        <v>1.0044184624657535</v>
      </c>
      <c r="AG411" s="4">
        <f>(AE411-AE410)/(500000+AE410)-中国_中债国债到期收益率_1年!H411%/252</f>
        <v>-5.2290577276947162E-4</v>
      </c>
      <c r="AH411" s="4">
        <f>MIN((AF411-MAX($AF$401:AF411))/MAX($AF$401:AF411),0)</f>
        <v>-2.1090582287363047E-3</v>
      </c>
    </row>
    <row r="412" spans="1:34" x14ac:dyDescent="0.25">
      <c r="A412" s="6">
        <v>45308</v>
      </c>
      <c r="C412">
        <v>20</v>
      </c>
      <c r="D412">
        <v>20</v>
      </c>
      <c r="E412">
        <v>10</v>
      </c>
      <c r="F412">
        <f t="shared" si="83"/>
        <v>50</v>
      </c>
      <c r="G412">
        <f t="shared" si="87"/>
        <v>0</v>
      </c>
      <c r="H412">
        <f t="shared" si="88"/>
        <v>100</v>
      </c>
      <c r="I412">
        <f t="shared" si="89"/>
        <v>180</v>
      </c>
      <c r="J412">
        <f t="shared" si="90"/>
        <v>160</v>
      </c>
      <c r="K412">
        <f t="shared" si="84"/>
        <v>440</v>
      </c>
      <c r="L412">
        <f>G412*Return!B412*100</f>
        <v>0</v>
      </c>
      <c r="M412">
        <f>H412*Return!C412*100</f>
        <v>-149.99999999999682</v>
      </c>
      <c r="N412">
        <f>I412*Return!D412*100</f>
        <v>-72.000000000000057</v>
      </c>
      <c r="O412">
        <f>J412*Return!E412*100</f>
        <v>-65.599999999996328</v>
      </c>
      <c r="P412">
        <f t="shared" si="91"/>
        <v>-287.5999999999932</v>
      </c>
      <c r="Q412">
        <f>SUM($P$400:P412)</f>
        <v>972.50000000000784</v>
      </c>
      <c r="R412">
        <f>B412*中国_中债国债到期收益率_1年!B411/365*100</f>
        <v>0</v>
      </c>
      <c r="S412">
        <f>C412*中国_中债国债到期收益率_1年!C411/365*100</f>
        <v>13.373150684931506</v>
      </c>
      <c r="T412">
        <f>D412*中国_中债国债到期收益率_1年!D411/365*100</f>
        <v>13.836712328767122</v>
      </c>
      <c r="U412">
        <f>E412*中国_中债国债到期收益率_1年!E411/365*100</f>
        <v>7.6430136986301367</v>
      </c>
      <c r="V412">
        <f t="shared" si="92"/>
        <v>34.852876712328765</v>
      </c>
      <c r="W412">
        <f>SUM($V$400:V412)</f>
        <v>423.98410958904117</v>
      </c>
      <c r="X412">
        <f>MAX(F412-50,0)*中国_中债国债到期收益率_1年!H412*100/365</f>
        <v>0</v>
      </c>
      <c r="Y412">
        <f>SUM($X$400:X412)</f>
        <v>0</v>
      </c>
      <c r="Z412">
        <v>-100</v>
      </c>
      <c r="AA412">
        <v>100</v>
      </c>
      <c r="AB412">
        <f>Z412*Return!F416*100</f>
        <v>152.00000000000102</v>
      </c>
      <c r="AC412">
        <f>AA412*Return!G416*100</f>
        <v>49.000000000001265</v>
      </c>
      <c r="AD412">
        <f>SUM($AB$400:AB412)+SUM($AC$400:AC412)</f>
        <v>761.00000000000284</v>
      </c>
      <c r="AE412">
        <f t="shared" si="85"/>
        <v>2157.484109589052</v>
      </c>
      <c r="AF412">
        <f t="shared" si="86"/>
        <v>1.0043149682191781</v>
      </c>
      <c r="AG412" s="4">
        <f>(AE412-AE411)/(500000+AE411)-中国_中债国债到期收益率_1年!H412%/252</f>
        <v>-1.9430881401159584E-4</v>
      </c>
      <c r="AH412" s="4">
        <f>MIN((AF412-MAX($AF$401:AF412))/MAX($AF$401:AF412),0)</f>
        <v>-2.211879886284802E-3</v>
      </c>
    </row>
    <row r="413" spans="1:34" x14ac:dyDescent="0.25">
      <c r="A413" s="6">
        <v>45309</v>
      </c>
      <c r="C413">
        <v>20</v>
      </c>
      <c r="D413">
        <v>20</v>
      </c>
      <c r="E413">
        <v>10</v>
      </c>
      <c r="F413">
        <f t="shared" si="83"/>
        <v>50</v>
      </c>
      <c r="G413">
        <f t="shared" si="87"/>
        <v>0</v>
      </c>
      <c r="H413">
        <f t="shared" si="88"/>
        <v>100</v>
      </c>
      <c r="I413">
        <f t="shared" si="89"/>
        <v>180</v>
      </c>
      <c r="J413">
        <f t="shared" si="90"/>
        <v>160</v>
      </c>
      <c r="K413">
        <f t="shared" si="84"/>
        <v>440</v>
      </c>
      <c r="L413">
        <f>G413*Return!B413*100</f>
        <v>0</v>
      </c>
      <c r="M413">
        <f>H413*Return!C413*100</f>
        <v>402.99999999999778</v>
      </c>
      <c r="N413">
        <f>I413*Return!D413*100</f>
        <v>315.00000000000125</v>
      </c>
      <c r="O413">
        <f>J413*Return!E413*100</f>
        <v>239.99999999999488</v>
      </c>
      <c r="P413">
        <f t="shared" si="91"/>
        <v>957.99999999999397</v>
      </c>
      <c r="Q413">
        <f>SUM($P$400:P413)</f>
        <v>1930.5000000000018</v>
      </c>
      <c r="R413">
        <f>B413*中国_中债国债到期收益率_1年!B412/365*100</f>
        <v>0</v>
      </c>
      <c r="S413">
        <f>C413*中国_中债国债到期收益率_1年!C412/365*100</f>
        <v>13.152328767123286</v>
      </c>
      <c r="T413">
        <f>D413*中国_中债国债到期收益率_1年!D412/365*100</f>
        <v>13.740821917808219</v>
      </c>
      <c r="U413">
        <f>E413*中国_中债国债到期收益率_1年!E412/365*100</f>
        <v>7.6019178082191772</v>
      </c>
      <c r="V413">
        <f t="shared" si="92"/>
        <v>34.495068493150683</v>
      </c>
      <c r="W413">
        <f>SUM($V$400:V413)</f>
        <v>458.47917808219188</v>
      </c>
      <c r="X413">
        <f>MAX(F413-50,0)*中国_中债国债到期收益率_1年!H413*100/365</f>
        <v>0</v>
      </c>
      <c r="Y413">
        <f>SUM($X$400:X413)</f>
        <v>0</v>
      </c>
      <c r="Z413">
        <v>-100</v>
      </c>
      <c r="AA413">
        <v>100</v>
      </c>
      <c r="AB413">
        <f>Z413*Return!F417*100</f>
        <v>-19.000000000000128</v>
      </c>
      <c r="AC413">
        <f>AA413*Return!G417*100</f>
        <v>-109.00000000000354</v>
      </c>
      <c r="AD413">
        <f>SUM($AB$400:AB413)+SUM($AC$400:AC413)</f>
        <v>632.99999999999909</v>
      </c>
      <c r="AE413">
        <f t="shared" si="85"/>
        <v>3021.9791780821929</v>
      </c>
      <c r="AF413">
        <f t="shared" si="86"/>
        <v>1.0060439583561644</v>
      </c>
      <c r="AG413" s="4">
        <f>(AE413-AE412)/(500000+AE412)-中国_中债国债到期收益率_1年!H413%/252</f>
        <v>1.6342600658639296E-3</v>
      </c>
      <c r="AH413" s="4">
        <f>MIN((AF413-MAX($AF$401:AF413))/MAX($AF$401:AF413),0)</f>
        <v>-4.9412612071285096E-4</v>
      </c>
    </row>
    <row r="414" spans="1:34" x14ac:dyDescent="0.25">
      <c r="A414" s="6">
        <v>45310</v>
      </c>
      <c r="C414">
        <v>20</v>
      </c>
      <c r="D414">
        <v>20</v>
      </c>
      <c r="E414">
        <v>10</v>
      </c>
      <c r="F414">
        <f t="shared" si="83"/>
        <v>50</v>
      </c>
      <c r="G414">
        <f t="shared" si="87"/>
        <v>0</v>
      </c>
      <c r="H414">
        <f t="shared" ref="H414:H477" si="93">5*C414</f>
        <v>100</v>
      </c>
      <c r="I414">
        <f t="shared" ref="I414:I477" si="94">9*D414</f>
        <v>180</v>
      </c>
      <c r="J414">
        <f t="shared" ref="J414:J477" si="95">16*E414</f>
        <v>160</v>
      </c>
      <c r="K414">
        <f t="shared" ref="K414:K477" si="96">SUM(G414:J414)</f>
        <v>440</v>
      </c>
      <c r="L414">
        <f>G414*Return!B414*100</f>
        <v>0</v>
      </c>
      <c r="M414">
        <f>H414*Return!C414*100</f>
        <v>49.000000000001265</v>
      </c>
      <c r="N414">
        <f>I414*Return!D414*100</f>
        <v>-27.000000000001023</v>
      </c>
      <c r="O414">
        <f>J414*Return!E414*100</f>
        <v>24.000000000000909</v>
      </c>
      <c r="P414">
        <f t="shared" ref="P414:P477" si="97">SUM(L414:O414)</f>
        <v>46.000000000001151</v>
      </c>
      <c r="Q414">
        <f>SUM($P$400:P414)</f>
        <v>1976.500000000003</v>
      </c>
      <c r="R414">
        <f>B414*中国_中债国债到期收益率_1年!B413/365*100</f>
        <v>0</v>
      </c>
      <c r="S414">
        <f>C414*中国_中债国债到期收益率_1年!C413/365*100</f>
        <v>13.125479452054794</v>
      </c>
      <c r="T414">
        <f>D414*中国_中债国债到期收益率_1年!D413/365*100</f>
        <v>13.74904109589041</v>
      </c>
      <c r="U414">
        <f>E414*中国_中债国债到期收益率_1年!E413/365*100</f>
        <v>7.5978082191780816</v>
      </c>
      <c r="V414">
        <f t="shared" ref="V414:V477" si="98">SUM(R414:U414)</f>
        <v>34.472328767123287</v>
      </c>
      <c r="W414">
        <f>SUM($V$400:V414)</f>
        <v>492.95150684931514</v>
      </c>
      <c r="X414">
        <f>MAX(F414-50,0)*中国_中债国债到期收益率_1年!H414*100/365</f>
        <v>0</v>
      </c>
      <c r="Y414">
        <f>SUM($X$400:X414)</f>
        <v>0</v>
      </c>
      <c r="Z414">
        <v>-100</v>
      </c>
      <c r="AA414">
        <v>100</v>
      </c>
      <c r="AB414">
        <f>Z414*Return!F418*100</f>
        <v>-236.99999999999832</v>
      </c>
      <c r="AC414">
        <f>AA414*Return!G418*100</f>
        <v>70.000000000001165</v>
      </c>
      <c r="AD414">
        <f>SUM($AB$400:AB414)+SUM($AC$400:AC414)</f>
        <v>466.00000000000193</v>
      </c>
      <c r="AE414">
        <f t="shared" si="85"/>
        <v>2935.4515068493201</v>
      </c>
      <c r="AF414">
        <f t="shared" si="86"/>
        <v>1.0058709030136987</v>
      </c>
      <c r="AG414" s="4">
        <f>(AE414-AE413)/(500000+AE413)-中国_中债国债到期收益率_1年!H414%/252</f>
        <v>-2.5733314713547074E-4</v>
      </c>
      <c r="AH414" s="4">
        <f>MIN((AF414-MAX($AF$401:AF414))/MAX($AF$401:AF414),0)</f>
        <v>-6.6605681008678698E-4</v>
      </c>
    </row>
    <row r="415" spans="1:34" x14ac:dyDescent="0.25">
      <c r="A415" s="6">
        <v>45313</v>
      </c>
      <c r="C415">
        <v>20</v>
      </c>
      <c r="D415">
        <v>20</v>
      </c>
      <c r="E415">
        <v>10</v>
      </c>
      <c r="F415">
        <f t="shared" si="83"/>
        <v>50</v>
      </c>
      <c r="G415">
        <f t="shared" si="87"/>
        <v>0</v>
      </c>
      <c r="H415">
        <f t="shared" si="93"/>
        <v>100</v>
      </c>
      <c r="I415">
        <f t="shared" si="94"/>
        <v>180</v>
      </c>
      <c r="J415">
        <f t="shared" si="95"/>
        <v>160</v>
      </c>
      <c r="K415">
        <f t="shared" si="96"/>
        <v>440</v>
      </c>
      <c r="L415">
        <f>G415*Return!B415*100</f>
        <v>0</v>
      </c>
      <c r="M415">
        <f>H415*Return!C415*100</f>
        <v>173.99999999999861</v>
      </c>
      <c r="N415">
        <f>I415*Return!D415*100</f>
        <v>116.9999999999991</v>
      </c>
      <c r="O415">
        <f>J415*Return!E415*100</f>
        <v>238.39999999999861</v>
      </c>
      <c r="P415">
        <f t="shared" si="97"/>
        <v>529.39999999999634</v>
      </c>
      <c r="Q415">
        <f>SUM($P$400:P415)</f>
        <v>2505.8999999999992</v>
      </c>
      <c r="R415">
        <f>B415*中国_中债国债到期收益率_1年!B414/365*100</f>
        <v>0</v>
      </c>
      <c r="S415">
        <f>C415*中国_中债国债到期收益率_1年!C414/365*100</f>
        <v>13.030136986301372</v>
      </c>
      <c r="T415">
        <f>D415*中国_中债国债到期收益率_1年!D414/365*100</f>
        <v>13.713424657534249</v>
      </c>
      <c r="U415">
        <f>E415*中国_中债国债到期收益率_1年!E414/365*100</f>
        <v>7.5569863013698644</v>
      </c>
      <c r="V415">
        <f t="shared" si="98"/>
        <v>34.30054794520548</v>
      </c>
      <c r="W415">
        <f>SUM($V$400:V415)</f>
        <v>527.25205479452063</v>
      </c>
      <c r="X415">
        <f>MAX(F415-50,0)*中国_中债国债到期收益率_1年!H415*100/365</f>
        <v>0</v>
      </c>
      <c r="Y415">
        <f>SUM($X$400:X415)</f>
        <v>0</v>
      </c>
      <c r="Z415">
        <v>-100</v>
      </c>
      <c r="AA415">
        <v>100</v>
      </c>
      <c r="AB415">
        <f>Z415*Return!F419*100</f>
        <v>-390.00000000000148</v>
      </c>
      <c r="AC415">
        <f>AA415*Return!G419*100</f>
        <v>306.99999999999949</v>
      </c>
      <c r="AD415">
        <f>SUM($AB$400:AB415)+SUM($AC$400:AC415)</f>
        <v>382.99999999999989</v>
      </c>
      <c r="AE415">
        <f t="shared" si="85"/>
        <v>3416.1520547945197</v>
      </c>
      <c r="AF415">
        <f t="shared" si="86"/>
        <v>1.006832304109589</v>
      </c>
      <c r="AG415" s="4">
        <f>(AE415-AE414)/(500000+AE414)-中国_中债国债到期收益率_1年!H415%/252</f>
        <v>8.7245641365103299E-4</v>
      </c>
      <c r="AH415" s="4">
        <f>MIN((AF415-MAX($AF$401:AF415))/MAX($AF$401:AF415),0)</f>
        <v>0</v>
      </c>
    </row>
    <row r="416" spans="1:34" x14ac:dyDescent="0.25">
      <c r="A416" s="6">
        <v>45314</v>
      </c>
      <c r="C416">
        <v>20</v>
      </c>
      <c r="D416">
        <v>20</v>
      </c>
      <c r="E416">
        <v>10</v>
      </c>
      <c r="F416">
        <f t="shared" si="83"/>
        <v>50</v>
      </c>
      <c r="G416">
        <f t="shared" si="87"/>
        <v>0</v>
      </c>
      <c r="H416">
        <f t="shared" si="93"/>
        <v>100</v>
      </c>
      <c r="I416">
        <f t="shared" si="94"/>
        <v>180</v>
      </c>
      <c r="J416">
        <f t="shared" si="95"/>
        <v>160</v>
      </c>
      <c r="K416">
        <f t="shared" si="96"/>
        <v>440</v>
      </c>
      <c r="L416">
        <f>G416*Return!B416*100</f>
        <v>0</v>
      </c>
      <c r="M416">
        <f>H416*Return!C416*100</f>
        <v>71.000000000003283</v>
      </c>
      <c r="N416">
        <f>I416*Return!D416*100</f>
        <v>188.99999999999918</v>
      </c>
      <c r="O416">
        <f>J416*Return!E416*100</f>
        <v>574.40000000000418</v>
      </c>
      <c r="P416">
        <f t="shared" si="97"/>
        <v>834.40000000000668</v>
      </c>
      <c r="Q416">
        <f>SUM($P$400:P416)</f>
        <v>3340.3000000000056</v>
      </c>
      <c r="R416">
        <f>B416*中国_中债国债到期收益率_1年!B415/365*100</f>
        <v>0</v>
      </c>
      <c r="S416">
        <f>C416*中国_中债国债到期收益率_1年!C415/365*100</f>
        <v>12.991232876712328</v>
      </c>
      <c r="T416">
        <f>D416*中国_中债国债到期收益率_1年!D415/365*100</f>
        <v>13.655890410958904</v>
      </c>
      <c r="U416">
        <f>E416*中国_中债国债到期收益率_1年!E415/365*100</f>
        <v>7.4586301369863008</v>
      </c>
      <c r="V416">
        <f t="shared" si="98"/>
        <v>34.105753424657536</v>
      </c>
      <c r="W416">
        <f>SUM($V$400:V416)</f>
        <v>561.3578082191782</v>
      </c>
      <c r="X416">
        <f>MAX(F416-50,0)*中国_中债国债到期收益率_1年!H416*100/365</f>
        <v>0</v>
      </c>
      <c r="Y416">
        <f>SUM($X$400:X416)</f>
        <v>0</v>
      </c>
      <c r="Z416">
        <v>-100</v>
      </c>
      <c r="AA416">
        <v>100</v>
      </c>
      <c r="AB416">
        <f>Z416*Return!F420*100</f>
        <v>-194.99999999999852</v>
      </c>
      <c r="AC416">
        <f>AA416*Return!G420*100</f>
        <v>62.999999999999723</v>
      </c>
      <c r="AD416">
        <f>SUM($AB$400:AB416)+SUM($AC$400:AC416)</f>
        <v>251.00000000000114</v>
      </c>
      <c r="AE416">
        <f t="shared" si="85"/>
        <v>4152.6578082191845</v>
      </c>
      <c r="AF416">
        <f t="shared" si="86"/>
        <v>1.0083053156164383</v>
      </c>
      <c r="AG416" s="4">
        <f>(AE416-AE415)/(500000+AE415)-中国_中债国债到期收益率_1年!H416%/252</f>
        <v>1.3776982780899548E-3</v>
      </c>
      <c r="AH416" s="4">
        <f>MIN((AF416-MAX($AF$401:AF416))/MAX($AF$401:AF416),0)</f>
        <v>0</v>
      </c>
    </row>
    <row r="417" spans="1:34" x14ac:dyDescent="0.25">
      <c r="A417" s="6">
        <v>45315</v>
      </c>
      <c r="C417">
        <v>20</v>
      </c>
      <c r="D417">
        <v>20</v>
      </c>
      <c r="E417">
        <v>10</v>
      </c>
      <c r="F417">
        <f t="shared" si="83"/>
        <v>50</v>
      </c>
      <c r="G417">
        <f t="shared" si="87"/>
        <v>0</v>
      </c>
      <c r="H417">
        <f t="shared" si="93"/>
        <v>100</v>
      </c>
      <c r="I417">
        <f t="shared" si="94"/>
        <v>180</v>
      </c>
      <c r="J417">
        <f t="shared" si="95"/>
        <v>160</v>
      </c>
      <c r="K417">
        <f t="shared" si="96"/>
        <v>440</v>
      </c>
      <c r="L417">
        <f>G417*Return!B417*100</f>
        <v>0</v>
      </c>
      <c r="M417">
        <f>H417*Return!C417*100</f>
        <v>-126.00000000000389</v>
      </c>
      <c r="N417">
        <f>I417*Return!D417*100</f>
        <v>-216.0000000000002</v>
      </c>
      <c r="O417">
        <f>J417*Return!E417*100</f>
        <v>-164.79999999999961</v>
      </c>
      <c r="P417">
        <f t="shared" si="97"/>
        <v>-506.80000000000371</v>
      </c>
      <c r="Q417">
        <f>SUM($P$400:P417)</f>
        <v>2833.5000000000018</v>
      </c>
      <c r="R417">
        <f>B417*中国_中债国债到期收益率_1年!B416/365*100</f>
        <v>0</v>
      </c>
      <c r="S417">
        <f>C417*中国_中债国债到期收益率_1年!C416/365*100</f>
        <v>13.06027397260274</v>
      </c>
      <c r="T417">
        <f>D417*中国_中债国债到期收益率_1年!D416/365*100</f>
        <v>13.72164383561644</v>
      </c>
      <c r="U417">
        <f>E417*中国_中债国债到期收益率_1年!E416/365*100</f>
        <v>7.4868493150684934</v>
      </c>
      <c r="V417">
        <f t="shared" si="98"/>
        <v>34.268767123287674</v>
      </c>
      <c r="W417">
        <f>SUM($V$400:V417)</f>
        <v>595.62657534246591</v>
      </c>
      <c r="X417">
        <f>MAX(F417-50,0)*中国_中债国债到期收益率_1年!H417*100/365</f>
        <v>0</v>
      </c>
      <c r="Y417">
        <f>SUM($X$400:X417)</f>
        <v>0</v>
      </c>
      <c r="Z417">
        <v>-100</v>
      </c>
      <c r="AA417">
        <v>100</v>
      </c>
      <c r="AB417">
        <f>Z417*Return!F421*100</f>
        <v>-63.000000000001947</v>
      </c>
      <c r="AC417">
        <f>AA417*Return!G421*100</f>
        <v>196.00000000000063</v>
      </c>
      <c r="AD417">
        <f>SUM($AB$400:AB417)+SUM($AC$400:AC417)</f>
        <v>383.99999999999989</v>
      </c>
      <c r="AE417">
        <f t="shared" si="85"/>
        <v>3813.1265753424677</v>
      </c>
      <c r="AF417">
        <f t="shared" si="86"/>
        <v>1.007626253150685</v>
      </c>
      <c r="AG417" s="4">
        <f>(AE417-AE416)/(500000+AE416)-中国_中债国债到期收益率_1年!H417%/252</f>
        <v>-7.5759607651025834E-4</v>
      </c>
      <c r="AH417" s="4">
        <f>MIN((AF417-MAX($AF$401:AF417))/MAX($AF$401:AF417),0)</f>
        <v>-6.7346909238317435E-4</v>
      </c>
    </row>
    <row r="418" spans="1:34" x14ac:dyDescent="0.25">
      <c r="A418" s="6">
        <v>45316</v>
      </c>
      <c r="C418">
        <v>20</v>
      </c>
      <c r="D418">
        <v>20</v>
      </c>
      <c r="E418">
        <v>10</v>
      </c>
      <c r="F418">
        <f t="shared" si="83"/>
        <v>50</v>
      </c>
      <c r="G418">
        <f t="shared" si="87"/>
        <v>0</v>
      </c>
      <c r="H418">
        <f t="shared" si="93"/>
        <v>100</v>
      </c>
      <c r="I418">
        <f t="shared" si="94"/>
        <v>180</v>
      </c>
      <c r="J418">
        <f t="shared" si="95"/>
        <v>160</v>
      </c>
      <c r="K418">
        <f t="shared" si="96"/>
        <v>440</v>
      </c>
      <c r="L418">
        <f>G418*Return!B418*100</f>
        <v>0</v>
      </c>
      <c r="M418">
        <f>H418*Return!C418*100</f>
        <v>121.99999999999989</v>
      </c>
      <c r="N418">
        <f>I418*Return!D418*100</f>
        <v>0</v>
      </c>
      <c r="O418">
        <f>J418*Return!E418*100</f>
        <v>-84.800000000001319</v>
      </c>
      <c r="P418">
        <f t="shared" si="97"/>
        <v>37.199999999998568</v>
      </c>
      <c r="Q418">
        <f>SUM($P$400:P418)</f>
        <v>2870.7000000000003</v>
      </c>
      <c r="R418">
        <f>B418*中国_中债国债到期收益率_1年!B417/365*100</f>
        <v>0</v>
      </c>
      <c r="S418">
        <f>C418*中国_中债国债到期收益率_1年!C417/365*100</f>
        <v>12.993424657534247</v>
      </c>
      <c r="T418">
        <f>D418*中国_中债国债到期收益率_1年!D417/365*100</f>
        <v>13.72164383561644</v>
      </c>
      <c r="U418">
        <f>E418*中国_中债国债到期收益率_1年!E417/365*100</f>
        <v>7.5013698630136991</v>
      </c>
      <c r="V418">
        <f t="shared" si="98"/>
        <v>34.216438356164389</v>
      </c>
      <c r="W418">
        <f>SUM($V$400:V418)</f>
        <v>629.84301369863033</v>
      </c>
      <c r="X418">
        <f>MAX(F418-50,0)*中国_中债国债到期收益率_1年!H418*100/365</f>
        <v>0</v>
      </c>
      <c r="Y418">
        <f>SUM($X$400:X418)</f>
        <v>0</v>
      </c>
      <c r="Z418">
        <v>-100</v>
      </c>
      <c r="AA418">
        <v>100</v>
      </c>
      <c r="AB418">
        <f>Z418*Return!F422*100</f>
        <v>-526.99999999999966</v>
      </c>
      <c r="AC418">
        <f>AA418*Return!G422*100</f>
        <v>573.99999999999898</v>
      </c>
      <c r="AD418">
        <f>SUM($AB$400:AB418)+SUM($AC$400:AC418)</f>
        <v>430.99999999999909</v>
      </c>
      <c r="AE418">
        <f t="shared" si="85"/>
        <v>3931.5430136986297</v>
      </c>
      <c r="AF418">
        <f t="shared" si="86"/>
        <v>1.0078630860273972</v>
      </c>
      <c r="AG418" s="4">
        <f>(AE418-AE417)/(500000+AE417)-中国_中债国债到期收益率_1年!H418%/252</f>
        <v>1.4178643087396799E-4</v>
      </c>
      <c r="AH418" s="4">
        <f>MIN((AF418-MAX($AF$401:AF418))/MAX($AF$401:AF418),0)</f>
        <v>-4.3858698569966732E-4</v>
      </c>
    </row>
    <row r="419" spans="1:34" x14ac:dyDescent="0.25">
      <c r="A419" s="6">
        <v>45317</v>
      </c>
      <c r="C419">
        <v>20</v>
      </c>
      <c r="D419">
        <v>20</v>
      </c>
      <c r="E419">
        <v>10</v>
      </c>
      <c r="F419">
        <f t="shared" si="83"/>
        <v>50</v>
      </c>
      <c r="G419">
        <f t="shared" si="87"/>
        <v>0</v>
      </c>
      <c r="H419">
        <f t="shared" si="93"/>
        <v>100</v>
      </c>
      <c r="I419">
        <f t="shared" si="94"/>
        <v>180</v>
      </c>
      <c r="J419">
        <f t="shared" si="95"/>
        <v>160</v>
      </c>
      <c r="K419">
        <f t="shared" si="96"/>
        <v>440</v>
      </c>
      <c r="L419">
        <f>G419*Return!B419*100</f>
        <v>0</v>
      </c>
      <c r="M419">
        <f>H419*Return!C419*100</f>
        <v>399.00000000000267</v>
      </c>
      <c r="N419">
        <f>I419*Return!D419*100</f>
        <v>104.3999999999965</v>
      </c>
      <c r="O419">
        <f>J419*Return!E419*100</f>
        <v>94.400000000000261</v>
      </c>
      <c r="P419">
        <f t="shared" si="97"/>
        <v>597.7999999999995</v>
      </c>
      <c r="Q419">
        <f>SUM($P$400:P419)</f>
        <v>3468.5</v>
      </c>
      <c r="R419">
        <f>B419*中国_中债国债到期收益率_1年!B418/365*100</f>
        <v>0</v>
      </c>
      <c r="S419">
        <f>C419*中国_中债国债到期收益率_1年!C418/365*100</f>
        <v>12.774794520547944</v>
      </c>
      <c r="T419">
        <f>D419*中国_中债国债到期收益率_1年!D418/365*100</f>
        <v>13.689863013698631</v>
      </c>
      <c r="U419">
        <f>E419*中国_中债国债到期收益率_1年!E418/365*100</f>
        <v>7.4852054794520546</v>
      </c>
      <c r="V419">
        <f t="shared" si="98"/>
        <v>33.949863013698632</v>
      </c>
      <c r="W419">
        <f>SUM($V$400:V419)</f>
        <v>663.79287671232896</v>
      </c>
      <c r="X419">
        <f>MAX(F419-50,0)*中国_中债国债到期收益率_1年!H419*100/365</f>
        <v>0</v>
      </c>
      <c r="Y419">
        <f>SUM($X$400:X419)</f>
        <v>0</v>
      </c>
      <c r="Z419">
        <v>-100</v>
      </c>
      <c r="AA419">
        <v>100</v>
      </c>
      <c r="AB419">
        <f>Z419*Return!F423*100</f>
        <v>276.00000000000068</v>
      </c>
      <c r="AC419">
        <f>AA419*Return!G423*100</f>
        <v>51.000000000001044</v>
      </c>
      <c r="AD419">
        <f>SUM($AB$400:AB419)+SUM($AC$400:AC419)</f>
        <v>758.00000000000091</v>
      </c>
      <c r="AE419">
        <f t="shared" si="85"/>
        <v>4890.2928767123294</v>
      </c>
      <c r="AF419">
        <f t="shared" si="86"/>
        <v>1.0097805857534246</v>
      </c>
      <c r="AG419" s="4">
        <f>(AE419-AE418)/(500000+AE418)-中国_中债国债到期收益率_1年!H419%/252</f>
        <v>1.8073017959543032E-3</v>
      </c>
      <c r="AH419" s="4">
        <f>MIN((AF419-MAX($AF$401:AF419))/MAX($AF$401:AF419),0)</f>
        <v>0</v>
      </c>
    </row>
    <row r="420" spans="1:34" x14ac:dyDescent="0.25">
      <c r="A420" s="6">
        <v>45320</v>
      </c>
      <c r="C420">
        <v>20</v>
      </c>
      <c r="D420">
        <v>20</v>
      </c>
      <c r="E420">
        <v>10</v>
      </c>
      <c r="F420">
        <f t="shared" si="83"/>
        <v>50</v>
      </c>
      <c r="G420">
        <f t="shared" si="87"/>
        <v>0</v>
      </c>
      <c r="H420">
        <f t="shared" si="93"/>
        <v>100</v>
      </c>
      <c r="I420">
        <f t="shared" si="94"/>
        <v>180</v>
      </c>
      <c r="J420">
        <f t="shared" si="95"/>
        <v>160</v>
      </c>
      <c r="K420">
        <f t="shared" si="96"/>
        <v>440</v>
      </c>
      <c r="L420">
        <f>G420*Return!B420*100</f>
        <v>0</v>
      </c>
      <c r="M420">
        <f>H420*Return!C420*100</f>
        <v>-127.00000000000156</v>
      </c>
      <c r="N420">
        <f>I420*Return!D420*100</f>
        <v>-17.999999999998018</v>
      </c>
      <c r="O420">
        <f>J420*Return!E420*100</f>
        <v>-15.999999999998238</v>
      </c>
      <c r="P420">
        <f t="shared" si="97"/>
        <v>-160.99999999999781</v>
      </c>
      <c r="Q420">
        <f>SUM($P$400:P420)</f>
        <v>3307.5000000000023</v>
      </c>
      <c r="R420">
        <f>B420*中国_中债国债到期收益率_1年!B419/365*100</f>
        <v>0</v>
      </c>
      <c r="S420">
        <f>C420*中国_中债国债到期收益率_1年!C419/365*100</f>
        <v>12.844383561643838</v>
      </c>
      <c r="T420">
        <f>D420*中国_中债国债到期收益率_1年!D419/365*100</f>
        <v>13.695342465753424</v>
      </c>
      <c r="U420">
        <f>E420*中国_中债国债到期收益率_1年!E419/365*100</f>
        <v>7.487945205479452</v>
      </c>
      <c r="V420">
        <f t="shared" si="98"/>
        <v>34.027671232876713</v>
      </c>
      <c r="W420">
        <f>SUM($V$400:V420)</f>
        <v>697.8205479452057</v>
      </c>
      <c r="X420">
        <f>MAX(F420-50,0)*中国_中债国债到期收益率_1年!H420*100/365</f>
        <v>0</v>
      </c>
      <c r="Y420">
        <f>SUM($X$400:X420)</f>
        <v>0</v>
      </c>
      <c r="Z420">
        <v>-100</v>
      </c>
      <c r="AA420">
        <v>100</v>
      </c>
      <c r="AB420">
        <f>Z420*Return!F424*100</f>
        <v>35.000000000000583</v>
      </c>
      <c r="AC420">
        <f>AA420*Return!G424*100</f>
        <v>-101.99999999999764</v>
      </c>
      <c r="AD420">
        <f>SUM($AB$400:AB420)+SUM($AC$400:AC420)</f>
        <v>691.00000000000375</v>
      </c>
      <c r="AE420">
        <f t="shared" si="85"/>
        <v>4696.3205479452117</v>
      </c>
      <c r="AF420">
        <f t="shared" si="86"/>
        <v>1.0093926410958904</v>
      </c>
      <c r="AG420" s="4">
        <f>(AE420-AE419)/(500000+AE419)-中国_中债国债到期收益率_1年!H420%/252</f>
        <v>-4.8339343203165366E-4</v>
      </c>
      <c r="AH420" s="4">
        <f>MIN((AF420-MAX($AF$401:AF420))/MAX($AF$401:AF420),0)</f>
        <v>-3.8418708282518196E-4</v>
      </c>
    </row>
    <row r="421" spans="1:34" x14ac:dyDescent="0.25">
      <c r="A421" s="6">
        <v>45321</v>
      </c>
      <c r="C421">
        <v>20</v>
      </c>
      <c r="D421">
        <v>20</v>
      </c>
      <c r="E421">
        <v>10</v>
      </c>
      <c r="F421">
        <f t="shared" si="83"/>
        <v>50</v>
      </c>
      <c r="G421">
        <f t="shared" si="87"/>
        <v>0</v>
      </c>
      <c r="H421">
        <f t="shared" si="93"/>
        <v>100</v>
      </c>
      <c r="I421">
        <f t="shared" si="94"/>
        <v>180</v>
      </c>
      <c r="J421">
        <f t="shared" si="95"/>
        <v>160</v>
      </c>
      <c r="K421">
        <f t="shared" si="96"/>
        <v>440</v>
      </c>
      <c r="L421">
        <f>G421*Return!B421*100</f>
        <v>0</v>
      </c>
      <c r="M421">
        <f>H421*Return!C421*100</f>
        <v>219.00000000000031</v>
      </c>
      <c r="N421">
        <f>I421*Return!D421*100</f>
        <v>97.199999999997289</v>
      </c>
      <c r="O421">
        <f>J421*Return!E421*100</f>
        <v>94.400000000000261</v>
      </c>
      <c r="P421">
        <f t="shared" si="97"/>
        <v>410.59999999999786</v>
      </c>
      <c r="Q421">
        <f>SUM($P$400:P421)</f>
        <v>3718.1000000000004</v>
      </c>
      <c r="R421">
        <f>B421*中国_中债国债到期收益率_1年!B420/365*100</f>
        <v>0</v>
      </c>
      <c r="S421">
        <f>C421*中国_中债国债到期收益率_1年!C420/365*100</f>
        <v>12.724383561643837</v>
      </c>
      <c r="T421">
        <f>D421*中国_中债国债到期收益率_1年!D420/365*100</f>
        <v>13.665753424657535</v>
      </c>
      <c r="U421">
        <f>E421*中国_中债国债到期收益率_1年!E420/365*100</f>
        <v>7.4717808219178075</v>
      </c>
      <c r="V421">
        <f t="shared" si="98"/>
        <v>33.861917808219175</v>
      </c>
      <c r="W421">
        <f>SUM($V$400:V421)</f>
        <v>731.68246575342482</v>
      </c>
      <c r="X421">
        <f>MAX(F421-50,0)*中国_中债国债到期收益率_1年!H421*100/365</f>
        <v>0</v>
      </c>
      <c r="Y421">
        <f>SUM($X$400:X421)</f>
        <v>0</v>
      </c>
      <c r="Z421">
        <v>-30</v>
      </c>
      <c r="AA421">
        <v>30</v>
      </c>
      <c r="AB421">
        <f>Z421*Return!F425*100</f>
        <v>-9.300000000000308</v>
      </c>
      <c r="AC421">
        <f>AA421*Return!G425*100</f>
        <v>-10.500000000000842</v>
      </c>
      <c r="AD421">
        <f>SUM($AB$400:AB421)+SUM($AC$400:AC421)</f>
        <v>671.20000000000255</v>
      </c>
      <c r="AE421">
        <f t="shared" si="85"/>
        <v>5120.9824657534282</v>
      </c>
      <c r="AF421">
        <f t="shared" si="86"/>
        <v>1.0102419649315069</v>
      </c>
      <c r="AG421" s="4">
        <f>(AE421-AE420)/(500000+AE420)-中国_中债国债到期收益率_1年!H421%/252</f>
        <v>7.4816670496822603E-4</v>
      </c>
      <c r="AH421" s="4">
        <f>MIN((AF421-MAX($AF$401:AF421))/MAX($AF$401:AF421),0)</f>
        <v>0</v>
      </c>
    </row>
    <row r="422" spans="1:34" x14ac:dyDescent="0.25">
      <c r="A422" s="6">
        <v>45322</v>
      </c>
      <c r="C422">
        <v>20</v>
      </c>
      <c r="D422">
        <v>20</v>
      </c>
      <c r="E422">
        <v>10</v>
      </c>
      <c r="F422">
        <f t="shared" si="83"/>
        <v>50</v>
      </c>
      <c r="G422">
        <f t="shared" si="87"/>
        <v>0</v>
      </c>
      <c r="H422">
        <f t="shared" si="93"/>
        <v>100</v>
      </c>
      <c r="I422">
        <f t="shared" si="94"/>
        <v>180</v>
      </c>
      <c r="J422">
        <f t="shared" si="95"/>
        <v>160</v>
      </c>
      <c r="K422">
        <f t="shared" si="96"/>
        <v>440</v>
      </c>
      <c r="L422">
        <f>G422*Return!B422*100</f>
        <v>0</v>
      </c>
      <c r="M422">
        <f>H422*Return!C422*100</f>
        <v>373.00000000000114</v>
      </c>
      <c r="N422">
        <f>I422*Return!D422*100</f>
        <v>689.4</v>
      </c>
      <c r="O422">
        <f>J422*Return!E422*100</f>
        <v>705.59999999999695</v>
      </c>
      <c r="P422">
        <f t="shared" si="97"/>
        <v>1767.999999999998</v>
      </c>
      <c r="Q422">
        <f>SUM($P$400:P422)</f>
        <v>5486.0999999999985</v>
      </c>
      <c r="R422">
        <f>B422*中国_中债国债到期收益率_1年!B421/365*100</f>
        <v>0</v>
      </c>
      <c r="S422">
        <f>C422*中国_中债国债到期收益率_1年!C421/365*100</f>
        <v>12.520000000000001</v>
      </c>
      <c r="T422">
        <f>D422*中国_中债国债到期收益率_1年!D421/365*100</f>
        <v>13.455890410958904</v>
      </c>
      <c r="U422">
        <f>E422*中国_中债国债到期收益率_1年!E421/365*100</f>
        <v>7.3509589041095893</v>
      </c>
      <c r="V422">
        <f t="shared" si="98"/>
        <v>33.326849315068493</v>
      </c>
      <c r="W422">
        <f>SUM($V$400:V422)</f>
        <v>765.00931506849327</v>
      </c>
      <c r="X422">
        <f>MAX(F422-50,0)*中国_中债国债到期收益率_1年!H422*100/365</f>
        <v>0</v>
      </c>
      <c r="Y422">
        <f>SUM($X$400:X422)</f>
        <v>0</v>
      </c>
      <c r="Z422">
        <v>-30</v>
      </c>
      <c r="AA422">
        <v>30</v>
      </c>
      <c r="AB422">
        <f>Z422*Return!F426*100</f>
        <v>-43.799999999999841</v>
      </c>
      <c r="AC422">
        <f>AA422*Return!G426*100</f>
        <v>46.800000000000175</v>
      </c>
      <c r="AD422">
        <f>SUM($AB$400:AB422)+SUM($AC$400:AC422)</f>
        <v>674.20000000000289</v>
      </c>
      <c r="AE422">
        <f t="shared" si="85"/>
        <v>6925.3093150684945</v>
      </c>
      <c r="AF422">
        <f t="shared" si="86"/>
        <v>1.013850618630137</v>
      </c>
      <c r="AG422" s="4">
        <f>(AE422-AE421)/(500000+AE421)-中国_中债国债到期收益率_1年!H422%/252</f>
        <v>3.4788147280556281E-3</v>
      </c>
      <c r="AH422" s="4">
        <f>MIN((AF422-MAX($AF$401:AF422))/MAX($AF$401:AF422),0)</f>
        <v>0</v>
      </c>
    </row>
    <row r="423" spans="1:34" x14ac:dyDescent="0.25">
      <c r="A423" s="6">
        <v>45323</v>
      </c>
      <c r="C423">
        <v>20</v>
      </c>
      <c r="D423">
        <v>20</v>
      </c>
      <c r="E423">
        <v>10</v>
      </c>
      <c r="F423">
        <f t="shared" si="83"/>
        <v>50</v>
      </c>
      <c r="G423">
        <f t="shared" si="87"/>
        <v>0</v>
      </c>
      <c r="H423">
        <f t="shared" si="93"/>
        <v>100</v>
      </c>
      <c r="I423">
        <f t="shared" si="94"/>
        <v>180</v>
      </c>
      <c r="J423">
        <f t="shared" si="95"/>
        <v>160</v>
      </c>
      <c r="K423">
        <f t="shared" si="96"/>
        <v>440</v>
      </c>
      <c r="L423">
        <f>G423*Return!B423*100</f>
        <v>0</v>
      </c>
      <c r="M423">
        <f>H423*Return!C423*100</f>
        <v>-22.999999999999687</v>
      </c>
      <c r="N423">
        <f>I423*Return!D423*100</f>
        <v>408.60000000000696</v>
      </c>
      <c r="O423">
        <f>J423*Return!E423*100</f>
        <v>558.39999999999895</v>
      </c>
      <c r="P423">
        <f t="shared" si="97"/>
        <v>944.00000000000625</v>
      </c>
      <c r="Q423">
        <f>SUM($P$400:P423)</f>
        <v>6430.1000000000049</v>
      </c>
      <c r="R423">
        <f>B423*中国_中债国债到期收益率_1年!B422/365*100</f>
        <v>0</v>
      </c>
      <c r="S423">
        <f>C423*中国_中债国债到期收益率_1年!C422/365*100</f>
        <v>12.532602739726029</v>
      </c>
      <c r="T423">
        <f>D423*中国_中债国债到期收益率_1年!D422/365*100</f>
        <v>13.331506849315067</v>
      </c>
      <c r="U423">
        <f>E423*中国_中债国债到期收益率_1年!E422/365*100</f>
        <v>7.255342465753424</v>
      </c>
      <c r="V423">
        <f t="shared" si="98"/>
        <v>33.119452054794522</v>
      </c>
      <c r="W423">
        <f>SUM($V$400:V423)</f>
        <v>798.12876712328784</v>
      </c>
      <c r="X423">
        <f>MAX(F423-50,0)*中国_中债国债到期收益率_1年!H423*100/365</f>
        <v>0</v>
      </c>
      <c r="Y423">
        <f>SUM($X$400:X423)</f>
        <v>0</v>
      </c>
      <c r="Z423">
        <v>-30</v>
      </c>
      <c r="AA423">
        <v>30</v>
      </c>
      <c r="AB423">
        <f>Z423*Return!F427*100</f>
        <v>31.199999999999896</v>
      </c>
      <c r="AC423">
        <f>AA423*Return!G427*100</f>
        <v>-6.8999999999999062</v>
      </c>
      <c r="AD423">
        <f>SUM($AB$400:AB423)+SUM($AC$400:AC423)</f>
        <v>698.50000000000296</v>
      </c>
      <c r="AE423">
        <f t="shared" si="85"/>
        <v>7926.7287671232953</v>
      </c>
      <c r="AF423">
        <f t="shared" si="86"/>
        <v>1.0158534575342466</v>
      </c>
      <c r="AG423" s="4">
        <f>(AE423-AE422)/(500000+AE422)-中国_中债国债到期收益率_1年!H423%/252</f>
        <v>1.8980963687413002E-3</v>
      </c>
      <c r="AH423" s="4">
        <f>MIN((AF423-MAX($AF$401:AF423))/MAX($AF$401:AF423),0)</f>
        <v>0</v>
      </c>
    </row>
    <row r="424" spans="1:34" x14ac:dyDescent="0.25">
      <c r="A424" s="6">
        <v>45324</v>
      </c>
      <c r="C424">
        <v>20</v>
      </c>
      <c r="D424">
        <v>20</v>
      </c>
      <c r="E424">
        <v>10</v>
      </c>
      <c r="F424">
        <f t="shared" si="83"/>
        <v>50</v>
      </c>
      <c r="G424">
        <f t="shared" si="87"/>
        <v>0</v>
      </c>
      <c r="H424">
        <f t="shared" si="93"/>
        <v>100</v>
      </c>
      <c r="I424">
        <f t="shared" si="94"/>
        <v>180</v>
      </c>
      <c r="J424">
        <f t="shared" si="95"/>
        <v>160</v>
      </c>
      <c r="K424">
        <f t="shared" si="96"/>
        <v>440</v>
      </c>
      <c r="L424">
        <f>G424*Return!B424*100</f>
        <v>0</v>
      </c>
      <c r="M424">
        <f>H424*Return!C424*100</f>
        <v>-176.00000000000281</v>
      </c>
      <c r="N424">
        <f>I424*Return!D424*100</f>
        <v>-43.200000000003236</v>
      </c>
      <c r="O424">
        <f>J424*Return!E424*100</f>
        <v>15.999999999998238</v>
      </c>
      <c r="P424">
        <f t="shared" si="97"/>
        <v>-203.2000000000078</v>
      </c>
      <c r="Q424">
        <f>SUM($P$400:P424)</f>
        <v>6226.8999999999969</v>
      </c>
      <c r="R424">
        <f>B424*中国_中债国债到期收益率_1年!B423/365*100</f>
        <v>0</v>
      </c>
      <c r="S424">
        <f>C424*中国_中债国债到期收益率_1年!C423/365*100</f>
        <v>12.629041095890411</v>
      </c>
      <c r="T424">
        <f>D424*中国_中债国债到期收益率_1年!D423/365*100</f>
        <v>13.344657534246576</v>
      </c>
      <c r="U424">
        <f>E424*中国_中债国债到期收益率_1年!E423/365*100</f>
        <v>7.2526027397260275</v>
      </c>
      <c r="V424">
        <f t="shared" si="98"/>
        <v>33.226301369863016</v>
      </c>
      <c r="W424">
        <f>SUM($V$400:V424)</f>
        <v>831.35506849315084</v>
      </c>
      <c r="X424">
        <f>MAX(F424-50,0)*中国_中债国债到期收益率_1年!H424*100/365</f>
        <v>0</v>
      </c>
      <c r="Y424">
        <f>SUM($X$400:X424)</f>
        <v>0</v>
      </c>
      <c r="Z424">
        <v>-30</v>
      </c>
      <c r="AA424">
        <v>30</v>
      </c>
      <c r="AB424">
        <f>Z424*Return!F428*100</f>
        <v>41.400000000000105</v>
      </c>
      <c r="AC424">
        <f>AA424*Return!G428*100</f>
        <v>-92.69999999999979</v>
      </c>
      <c r="AD424">
        <f>SUM($AB$400:AB424)+SUM($AC$400:AC424)</f>
        <v>647.20000000000323</v>
      </c>
      <c r="AE424">
        <f t="shared" si="85"/>
        <v>7705.455068493151</v>
      </c>
      <c r="AF424">
        <f t="shared" si="86"/>
        <v>1.0154109101369864</v>
      </c>
      <c r="AG424" s="4">
        <f>(AE424-AE423)/(500000+AE423)-中国_中债国债到期收益率_1年!H424%/252</f>
        <v>-5.2333939415893926E-4</v>
      </c>
      <c r="AH424" s="4">
        <f>MIN((AF424-MAX($AF$401:AF424))/MAX($AF$401:AF424),0)</f>
        <v>-4.3564098146047886E-4</v>
      </c>
    </row>
    <row r="425" spans="1:34" x14ac:dyDescent="0.25">
      <c r="A425" s="6">
        <v>45326</v>
      </c>
      <c r="C425">
        <v>20</v>
      </c>
      <c r="D425">
        <v>20</v>
      </c>
      <c r="E425">
        <v>10</v>
      </c>
      <c r="F425">
        <f t="shared" si="83"/>
        <v>50</v>
      </c>
      <c r="G425">
        <f t="shared" si="87"/>
        <v>0</v>
      </c>
      <c r="H425">
        <f t="shared" si="93"/>
        <v>100</v>
      </c>
      <c r="I425">
        <f t="shared" si="94"/>
        <v>180</v>
      </c>
      <c r="J425">
        <f t="shared" si="95"/>
        <v>160</v>
      </c>
      <c r="K425">
        <f t="shared" si="96"/>
        <v>440</v>
      </c>
      <c r="L425">
        <f>G425*Return!B425*100</f>
        <v>0</v>
      </c>
      <c r="M425">
        <f>H425*Return!C425*100</f>
        <v>249.00000000000145</v>
      </c>
      <c r="N425">
        <f>I425*Return!D425*100</f>
        <v>198.00000000000216</v>
      </c>
      <c r="O425">
        <f>J425*Return!E425*100</f>
        <v>190.4000000000039</v>
      </c>
      <c r="P425">
        <f t="shared" si="97"/>
        <v>637.40000000000759</v>
      </c>
      <c r="Q425">
        <f>SUM($P$400:P425)</f>
        <v>6864.3000000000047</v>
      </c>
      <c r="R425">
        <f>B425*中国_中债国债到期收益率_1年!B424/365*100</f>
        <v>0</v>
      </c>
      <c r="S425">
        <f>C425*中国_中债国债到期收益率_1年!C424/365*100</f>
        <v>12.492602739726028</v>
      </c>
      <c r="T425">
        <f>D425*中国_中债国债到期收益率_1年!D424/365*100</f>
        <v>13.284383561643837</v>
      </c>
      <c r="U425">
        <f>E425*中国_中债国债到期收益率_1年!E424/365*100</f>
        <v>7.22</v>
      </c>
      <c r="V425">
        <f t="shared" si="98"/>
        <v>32.996986301369866</v>
      </c>
      <c r="W425">
        <f>SUM($V$400:V425)</f>
        <v>864.35205479452065</v>
      </c>
      <c r="X425">
        <f>MAX(F425-50,0)*中国_中债国债到期收益率_1年!H425*100/365</f>
        <v>0</v>
      </c>
      <c r="Y425">
        <f>SUM($X$400:X425)</f>
        <v>0</v>
      </c>
      <c r="Z425">
        <v>-30</v>
      </c>
      <c r="AA425">
        <v>30</v>
      </c>
      <c r="AB425">
        <f>Z425*Return!F429*100</f>
        <v>-27.900000000000258</v>
      </c>
      <c r="AC425">
        <f>AA425*Return!G429*100</f>
        <v>-2.1000000000004349</v>
      </c>
      <c r="AD425">
        <f>SUM($AB$400:AB425)+SUM($AC$400:AC425)</f>
        <v>617.20000000000266</v>
      </c>
      <c r="AE425">
        <f t="shared" si="85"/>
        <v>8345.8520547945282</v>
      </c>
      <c r="AF425">
        <f t="shared" si="86"/>
        <v>1.0166917041095891</v>
      </c>
      <c r="AG425" s="4">
        <f>(AE425-AE424)/(500000+AE424)-中国_中债国债到期收益率_1年!H425%/252</f>
        <v>1.1837997832697541E-3</v>
      </c>
      <c r="AH425" s="4">
        <f>MIN((AF425-MAX($AF$401:AF425))/MAX($AF$401:AF425),0)</f>
        <v>0</v>
      </c>
    </row>
    <row r="426" spans="1:34" x14ac:dyDescent="0.25">
      <c r="A426" s="6">
        <v>45327</v>
      </c>
      <c r="C426">
        <v>20</v>
      </c>
      <c r="D426">
        <v>20</v>
      </c>
      <c r="E426">
        <v>10</v>
      </c>
      <c r="F426">
        <f t="shared" si="83"/>
        <v>50</v>
      </c>
      <c r="G426">
        <f t="shared" si="87"/>
        <v>0</v>
      </c>
      <c r="H426">
        <f t="shared" si="93"/>
        <v>100</v>
      </c>
      <c r="I426">
        <f t="shared" si="94"/>
        <v>180</v>
      </c>
      <c r="J426">
        <f t="shared" si="95"/>
        <v>160</v>
      </c>
      <c r="K426">
        <f t="shared" si="96"/>
        <v>440</v>
      </c>
      <c r="L426">
        <f>G426*Return!B426*100</f>
        <v>0</v>
      </c>
      <c r="M426">
        <f>H426*Return!C426*100</f>
        <v>70.999999999998835</v>
      </c>
      <c r="N426">
        <f>I426*Return!D426*100</f>
        <v>343.79999999999814</v>
      </c>
      <c r="O426">
        <f>J426*Return!E426*100</f>
        <v>443.19999999999737</v>
      </c>
      <c r="P426">
        <f t="shared" si="97"/>
        <v>857.99999999999432</v>
      </c>
      <c r="Q426">
        <f>SUM($P$400:P426)</f>
        <v>7722.2999999999993</v>
      </c>
      <c r="R426">
        <f>B426*中国_中债国债到期收益率_1年!B425/365*100</f>
        <v>0</v>
      </c>
      <c r="S426">
        <f>C426*中国_中债国债到期收益率_1年!C425/365*100</f>
        <v>12.453698630136987</v>
      </c>
      <c r="T426">
        <f>D426*中国_中债国债到期收益率_1年!D425/365*100</f>
        <v>13.17972602739726</v>
      </c>
      <c r="U426">
        <f>E426*中国_中债国债到期收益率_1年!E425/365*100</f>
        <v>7.1441095890410962</v>
      </c>
      <c r="V426">
        <f t="shared" si="98"/>
        <v>32.777534246575343</v>
      </c>
      <c r="W426">
        <f>SUM($V$400:V426)</f>
        <v>897.12958904109598</v>
      </c>
      <c r="X426">
        <f>MAX(F426-50,0)*中国_中债国债到期收益率_1年!H426*100/365</f>
        <v>0</v>
      </c>
      <c r="Y426">
        <f>SUM($X$400:X426)</f>
        <v>0</v>
      </c>
      <c r="Z426">
        <v>-30</v>
      </c>
      <c r="AA426">
        <v>30</v>
      </c>
      <c r="AC426">
        <f>AA426*Return!G430*100</f>
        <v>48.90000000000061</v>
      </c>
      <c r="AD426">
        <f>SUM($AB$400:AB426)+SUM($AC$400:AC426)</f>
        <v>666.10000000000321</v>
      </c>
      <c r="AE426">
        <f t="shared" si="85"/>
        <v>9285.5295890410998</v>
      </c>
      <c r="AF426">
        <f t="shared" si="86"/>
        <v>1.0185710591780821</v>
      </c>
      <c r="AG426" s="4">
        <f>(AE426-AE425)/(500000+AE425)-中国_中债国债到期收益率_1年!H426%/252</f>
        <v>1.7718734618750497E-3</v>
      </c>
      <c r="AH426" s="4">
        <f>MIN((AF426-MAX($AF$401:AF426))/MAX($AF$401:AF426),0)</f>
        <v>0</v>
      </c>
    </row>
    <row r="427" spans="1:34" x14ac:dyDescent="0.25">
      <c r="A427" s="6">
        <v>45328</v>
      </c>
      <c r="C427">
        <v>20</v>
      </c>
      <c r="D427">
        <v>20</v>
      </c>
      <c r="E427">
        <v>10</v>
      </c>
      <c r="F427">
        <f t="shared" si="83"/>
        <v>50</v>
      </c>
      <c r="G427">
        <f t="shared" si="87"/>
        <v>0</v>
      </c>
      <c r="H427">
        <f t="shared" si="93"/>
        <v>100</v>
      </c>
      <c r="I427">
        <f t="shared" si="94"/>
        <v>180</v>
      </c>
      <c r="J427">
        <f t="shared" si="95"/>
        <v>160</v>
      </c>
      <c r="K427">
        <f t="shared" si="96"/>
        <v>440</v>
      </c>
      <c r="L427">
        <f>G427*Return!B427*100</f>
        <v>0</v>
      </c>
      <c r="M427">
        <f>H427*Return!C427*100</f>
        <v>-22.999999999999687</v>
      </c>
      <c r="N427">
        <f>I427*Return!D427*100</f>
        <v>91.800000000001887</v>
      </c>
      <c r="O427">
        <f>J427*Return!E427*100</f>
        <v>163.20000000000334</v>
      </c>
      <c r="P427">
        <f t="shared" si="97"/>
        <v>232.00000000000554</v>
      </c>
      <c r="Q427">
        <f>SUM($P$400:P427)</f>
        <v>7954.3000000000047</v>
      </c>
      <c r="R427">
        <f>B427*中国_中债国债到期收益率_1年!B426/365*100</f>
        <v>0</v>
      </c>
      <c r="S427">
        <f>C427*中国_中债国债到期收益率_1年!C426/365*100</f>
        <v>12.466301369863015</v>
      </c>
      <c r="T427">
        <f>D427*中国_中债国债到期收益率_1年!D426/365*100</f>
        <v>13.151780821917807</v>
      </c>
      <c r="U427">
        <f>E427*中国_中债国债到期收益率_1年!E426/365*100</f>
        <v>7.1161643835616433</v>
      </c>
      <c r="V427">
        <f t="shared" si="98"/>
        <v>32.734246575342468</v>
      </c>
      <c r="W427">
        <f>SUM($V$400:V427)</f>
        <v>929.86383561643845</v>
      </c>
      <c r="X427">
        <f>MAX(F427-50,0)*中国_中债国债到期收益率_1年!H427*100/365</f>
        <v>0</v>
      </c>
      <c r="Y427">
        <f>SUM($X$400:X427)</f>
        <v>0</v>
      </c>
      <c r="Z427">
        <v>-100</v>
      </c>
      <c r="AA427">
        <v>100</v>
      </c>
      <c r="AD427">
        <f>SUM($AB$400:AB427)+SUM($AC$400:AC427)</f>
        <v>666.10000000000321</v>
      </c>
      <c r="AE427">
        <f t="shared" si="85"/>
        <v>9550.263835616448</v>
      </c>
      <c r="AF427">
        <f t="shared" si="86"/>
        <v>1.0191005276712328</v>
      </c>
      <c r="AG427" s="4">
        <f>(AE427-AE426)/(500000+AE426)-中国_中债国债到期收益率_1年!H427%/252</f>
        <v>4.4243402604376503E-4</v>
      </c>
      <c r="AH427" s="4">
        <f>MIN((AF427-MAX($AF$401:AF427))/MAX($AF$401:AF427),0)</f>
        <v>0</v>
      </c>
    </row>
    <row r="428" spans="1:34" x14ac:dyDescent="0.25">
      <c r="A428" s="6">
        <v>45329</v>
      </c>
      <c r="C428">
        <v>20</v>
      </c>
      <c r="D428">
        <v>20</v>
      </c>
      <c r="E428">
        <v>10</v>
      </c>
      <c r="F428">
        <f t="shared" si="83"/>
        <v>50</v>
      </c>
      <c r="G428">
        <f t="shared" ref="G428:G459" si="99">B428</f>
        <v>0</v>
      </c>
      <c r="H428">
        <f t="shared" si="93"/>
        <v>100</v>
      </c>
      <c r="I428">
        <f t="shared" si="94"/>
        <v>180</v>
      </c>
      <c r="J428">
        <f t="shared" si="95"/>
        <v>160</v>
      </c>
      <c r="K428">
        <f t="shared" si="96"/>
        <v>440</v>
      </c>
      <c r="L428">
        <f>G428*Return!B428*100</f>
        <v>0</v>
      </c>
      <c r="M428">
        <f>H428*Return!C428*100</f>
        <v>-577.99999999999852</v>
      </c>
      <c r="N428">
        <f>I428*Return!D428*100</f>
        <v>-941.40000000000418</v>
      </c>
      <c r="O428">
        <f>J428*Return!E428*100</f>
        <v>-968.00000000000352</v>
      </c>
      <c r="P428">
        <f t="shared" si="97"/>
        <v>-2487.4000000000065</v>
      </c>
      <c r="Q428">
        <f>SUM($P$400:P428)</f>
        <v>5466.8999999999978</v>
      </c>
      <c r="R428">
        <f>B428*中国_中债国债到期收益率_1年!B427/365*100</f>
        <v>0</v>
      </c>
      <c r="S428">
        <f>C428*中国_中债国债到期收益率_1年!C427/365*100</f>
        <v>12.783013698630139</v>
      </c>
      <c r="T428">
        <f>D428*中国_中债国债到期收益率_1年!D427/365*100</f>
        <v>13.438356164383563</v>
      </c>
      <c r="U428">
        <f>E428*中国_中债国债到期收益率_1年!E427/365*100</f>
        <v>7.2819178082191778</v>
      </c>
      <c r="V428">
        <f t="shared" si="98"/>
        <v>33.503287671232883</v>
      </c>
      <c r="W428">
        <f>SUM($V$400:V428)</f>
        <v>963.36712328767135</v>
      </c>
      <c r="X428">
        <f>MAX(F428-50,0)*中国_中债国债到期收益率_1年!H428*100/365</f>
        <v>0</v>
      </c>
      <c r="Y428">
        <f>SUM($X$400:X428)</f>
        <v>0</v>
      </c>
      <c r="Z428">
        <v>-100</v>
      </c>
      <c r="AA428">
        <v>100</v>
      </c>
      <c r="AD428">
        <f>SUM($AB$400:AB428)+SUM($AC$400:AC428)</f>
        <v>666.10000000000321</v>
      </c>
      <c r="AE428">
        <f t="shared" si="85"/>
        <v>7096.3671232876723</v>
      </c>
      <c r="AF428">
        <f t="shared" si="86"/>
        <v>1.0141927342465753</v>
      </c>
      <c r="AG428" s="4">
        <f>(AE428-AE427)/(500000+AE427)-中国_中债国债到期收益率_1年!H428%/252</f>
        <v>-4.8931898852567386E-3</v>
      </c>
      <c r="AH428" s="4">
        <f>MIN((AF428-MAX($AF$401:AF428))/MAX($AF$401:AF428),0)</f>
        <v>-4.8158089328757614E-3</v>
      </c>
    </row>
    <row r="429" spans="1:34" x14ac:dyDescent="0.25">
      <c r="A429" s="6">
        <v>45330</v>
      </c>
      <c r="C429">
        <v>20</v>
      </c>
      <c r="D429">
        <v>20</v>
      </c>
      <c r="E429">
        <v>10</v>
      </c>
      <c r="F429">
        <f t="shared" si="83"/>
        <v>50</v>
      </c>
      <c r="G429">
        <f t="shared" si="99"/>
        <v>0</v>
      </c>
      <c r="H429">
        <f t="shared" si="93"/>
        <v>100</v>
      </c>
      <c r="I429">
        <f t="shared" si="94"/>
        <v>180</v>
      </c>
      <c r="J429">
        <f t="shared" si="95"/>
        <v>160</v>
      </c>
      <c r="K429">
        <f t="shared" si="96"/>
        <v>440</v>
      </c>
      <c r="L429">
        <f>G429*Return!B429*100</f>
        <v>0</v>
      </c>
      <c r="M429">
        <f>H429*Return!C429*100</f>
        <v>343.99999999999761</v>
      </c>
      <c r="N429">
        <f>I429*Return!D429*100</f>
        <v>669.60000000000616</v>
      </c>
      <c r="O429">
        <f>J429*Return!E429*100</f>
        <v>584.00000000000318</v>
      </c>
      <c r="P429">
        <f t="shared" si="97"/>
        <v>1597.600000000007</v>
      </c>
      <c r="Q429">
        <f>SUM($P$400:P429)</f>
        <v>7064.5000000000045</v>
      </c>
      <c r="R429">
        <f>B429*中国_中债国债到期收益率_1年!B428/365*100</f>
        <v>0</v>
      </c>
      <c r="S429">
        <f>C429*中国_中债国债到期收益率_1年!C428/365*100</f>
        <v>12.594520547945207</v>
      </c>
      <c r="T429">
        <f>D429*中国_中债国债到期收益率_1年!D428/365*100</f>
        <v>13.234520547945205</v>
      </c>
      <c r="U429">
        <f>E429*中国_中债国债到期收益率_1年!E428/365*100</f>
        <v>7.1819178082191781</v>
      </c>
      <c r="V429">
        <f t="shared" si="98"/>
        <v>33.010958904109586</v>
      </c>
      <c r="W429">
        <f>SUM($V$400:V429)</f>
        <v>996.37808219178089</v>
      </c>
      <c r="X429">
        <f>MAX(F429-50,0)*中国_中债国债到期收益率_1年!H429*100/365</f>
        <v>0</v>
      </c>
      <c r="Y429">
        <f>SUM($X$400:X429)</f>
        <v>0</v>
      </c>
      <c r="Z429">
        <v>-100</v>
      </c>
      <c r="AA429">
        <v>100</v>
      </c>
      <c r="AB429">
        <f>Z429*Return!F433*100</f>
        <v>135.99999999999835</v>
      </c>
      <c r="AC429">
        <f>AA429*Return!G433*100</f>
        <v>-57.000000000000384</v>
      </c>
      <c r="AD429">
        <f>SUM($AB$400:AB429)+SUM($AC$400:AC429)</f>
        <v>745.10000000000105</v>
      </c>
      <c r="AE429">
        <f t="shared" si="85"/>
        <v>8805.9780821917866</v>
      </c>
      <c r="AF429">
        <f t="shared" si="86"/>
        <v>1.0176119561643835</v>
      </c>
      <c r="AG429" s="4">
        <f>(AE429-AE428)/(500000+AE428)-中国_中债国债到期收益率_1年!H429%/252</f>
        <v>3.2999443465092644E-3</v>
      </c>
      <c r="AH429" s="4">
        <f>MIN((AF429-MAX($AF$401:AF429))/MAX($AF$401:AF429),0)</f>
        <v>-1.4606719027522232E-3</v>
      </c>
    </row>
    <row r="430" spans="1:34" x14ac:dyDescent="0.25">
      <c r="A430" s="6">
        <v>45331</v>
      </c>
      <c r="C430">
        <v>20</v>
      </c>
      <c r="D430">
        <v>20</v>
      </c>
      <c r="E430">
        <v>10</v>
      </c>
      <c r="F430">
        <f t="shared" si="83"/>
        <v>50</v>
      </c>
      <c r="G430">
        <f t="shared" si="99"/>
        <v>0</v>
      </c>
      <c r="H430">
        <f t="shared" si="93"/>
        <v>100</v>
      </c>
      <c r="I430">
        <f t="shared" si="94"/>
        <v>180</v>
      </c>
      <c r="J430">
        <f t="shared" si="95"/>
        <v>160</v>
      </c>
      <c r="K430">
        <f t="shared" si="96"/>
        <v>440</v>
      </c>
      <c r="L430">
        <f>G430*Return!B430*100</f>
        <v>0</v>
      </c>
      <c r="M430">
        <f>H430*Return!C430*100</f>
        <v>100.0000000000023</v>
      </c>
      <c r="N430">
        <f>I430*Return!D430*100</f>
        <v>-406.80000000000314</v>
      </c>
      <c r="O430">
        <f>J430*Return!E430*100</f>
        <v>-465.60000000000201</v>
      </c>
      <c r="P430">
        <f t="shared" si="97"/>
        <v>-772.40000000000282</v>
      </c>
      <c r="Q430">
        <f>SUM($P$400:P430)</f>
        <v>6292.1000000000022</v>
      </c>
      <c r="R430">
        <f>B430*中国_中债国债到期收益率_1年!B429/365*100</f>
        <v>0</v>
      </c>
      <c r="S430">
        <f>C430*中国_中债国债到期收益率_1年!C429/365*100</f>
        <v>12.539726027397261</v>
      </c>
      <c r="T430">
        <f>D430*中国_中债国债到期收益率_1年!D429/365*100</f>
        <v>13.358356164383562</v>
      </c>
      <c r="U430">
        <f>E430*中国_中债国债到期收益率_1年!E429/365*100</f>
        <v>7.2616438356164394</v>
      </c>
      <c r="V430">
        <f t="shared" si="98"/>
        <v>33.159726027397262</v>
      </c>
      <c r="W430">
        <f>SUM($V$400:V430)</f>
        <v>1029.5378082191783</v>
      </c>
      <c r="X430">
        <f>MAX(F430-50,0)*中国_中债国债到期收益率_1年!H430*100/365</f>
        <v>0</v>
      </c>
      <c r="Y430">
        <f>SUM($X$400:X430)</f>
        <v>0</v>
      </c>
      <c r="Z430">
        <v>-100</v>
      </c>
      <c r="AA430">
        <v>100</v>
      </c>
      <c r="AB430">
        <f>Z430*Return!F434*100</f>
        <v>-150.99999999999892</v>
      </c>
      <c r="AC430">
        <f>AA430*Return!G434*100</f>
        <v>205.00000000000185</v>
      </c>
      <c r="AD430">
        <f>SUM($AB$400:AB430)+SUM($AC$400:AC430)</f>
        <v>799.100000000004</v>
      </c>
      <c r="AE430">
        <f t="shared" si="85"/>
        <v>8120.7378082191844</v>
      </c>
      <c r="AF430">
        <f t="shared" si="86"/>
        <v>1.0162414756164384</v>
      </c>
      <c r="AG430" s="4">
        <f>(AE430-AE429)/(500000+AE429)-中国_中债国债到期收益率_1年!H430%/252</f>
        <v>-1.4201741428348578E-3</v>
      </c>
      <c r="AH430" s="4">
        <f>MIN((AF430-MAX($AF$401:AF430))/MAX($AF$401:AF430),0)</f>
        <v>-2.8054661705726887E-3</v>
      </c>
    </row>
    <row r="431" spans="1:34" x14ac:dyDescent="0.25">
      <c r="A431" s="6">
        <v>45340</v>
      </c>
      <c r="C431">
        <v>20</v>
      </c>
      <c r="D431">
        <v>20</v>
      </c>
      <c r="E431">
        <v>10</v>
      </c>
      <c r="F431">
        <f t="shared" si="83"/>
        <v>50</v>
      </c>
      <c r="G431">
        <f t="shared" si="99"/>
        <v>0</v>
      </c>
      <c r="H431">
        <f t="shared" si="93"/>
        <v>100</v>
      </c>
      <c r="I431">
        <f t="shared" si="94"/>
        <v>180</v>
      </c>
      <c r="J431">
        <f t="shared" si="95"/>
        <v>160</v>
      </c>
      <c r="K431">
        <f t="shared" si="96"/>
        <v>440</v>
      </c>
      <c r="L431">
        <f>G431*Return!B431*100</f>
        <v>0</v>
      </c>
      <c r="M431">
        <f>H431*Return!C431*100</f>
        <v>0</v>
      </c>
      <c r="N431">
        <f>I431*Return!D431*100</f>
        <v>138.59999999999673</v>
      </c>
      <c r="O431">
        <f>J431*Return!E431*100</f>
        <v>0</v>
      </c>
      <c r="P431">
        <f t="shared" si="97"/>
        <v>138.59999999999673</v>
      </c>
      <c r="Q431">
        <f>SUM($P$400:P431)</f>
        <v>6430.6999999999989</v>
      </c>
      <c r="R431">
        <f>B431*中国_中债国债到期收益率_1年!B430/365*100</f>
        <v>0</v>
      </c>
      <c r="S431">
        <f>C431*中国_中债国债到期收益率_1年!C430/365*100</f>
        <v>12.539726027397261</v>
      </c>
      <c r="T431">
        <f>D431*中国_中债国债到期收益率_1年!D430/365*100</f>
        <v>13.316164383561643</v>
      </c>
      <c r="U431">
        <f>E431*中国_中债国债到期收益率_1年!E430/365*100</f>
        <v>7.2616438356164394</v>
      </c>
      <c r="V431">
        <f t="shared" si="98"/>
        <v>33.117534246575346</v>
      </c>
      <c r="W431">
        <f>SUM($V$400:V431)</f>
        <v>1062.6553424657536</v>
      </c>
      <c r="X431">
        <f>MAX(F431-50,0)*中国_中债国债到期收益率_1年!H431*100/365</f>
        <v>0</v>
      </c>
      <c r="Y431">
        <f>SUM($X$400:X431)</f>
        <v>0</v>
      </c>
      <c r="Z431">
        <v>-100</v>
      </c>
      <c r="AA431">
        <v>100</v>
      </c>
      <c r="AB431">
        <f>Z431*Return!F435*100</f>
        <v>-87.000000000001521</v>
      </c>
      <c r="AC431">
        <f>AA431*Return!G435*100</f>
        <v>110.00000000000121</v>
      </c>
      <c r="AD431">
        <f>SUM($AB$400:AB431)+SUM($AC$400:AC431)</f>
        <v>822.10000000000366</v>
      </c>
      <c r="AE431">
        <f t="shared" si="85"/>
        <v>8315.455342465757</v>
      </c>
      <c r="AF431">
        <f t="shared" si="86"/>
        <v>1.0166309106849316</v>
      </c>
      <c r="AG431" s="4">
        <f>(AE431-AE430)/(500000+AE430)-中国_中债国债到期收益率_1年!H431%/252</f>
        <v>3.1138575705603577E-4</v>
      </c>
      <c r="AH431" s="4">
        <f>MIN((AF431-MAX($AF$401:AF431))/MAX($AF$401:AF431),0)</f>
        <v>-2.4233301026195982E-3</v>
      </c>
    </row>
    <row r="432" spans="1:34" x14ac:dyDescent="0.25">
      <c r="A432" s="6">
        <v>45341</v>
      </c>
      <c r="C432">
        <v>20</v>
      </c>
      <c r="D432">
        <v>20</v>
      </c>
      <c r="E432">
        <v>10</v>
      </c>
      <c r="F432">
        <f t="shared" si="83"/>
        <v>50</v>
      </c>
      <c r="G432">
        <f t="shared" si="99"/>
        <v>0</v>
      </c>
      <c r="H432">
        <f t="shared" si="93"/>
        <v>100</v>
      </c>
      <c r="I432">
        <f t="shared" si="94"/>
        <v>180</v>
      </c>
      <c r="J432">
        <f t="shared" si="95"/>
        <v>160</v>
      </c>
      <c r="K432">
        <f t="shared" si="96"/>
        <v>440</v>
      </c>
      <c r="L432">
        <f>G432*Return!B432*100</f>
        <v>0</v>
      </c>
      <c r="M432">
        <f>H432*Return!C432*100</f>
        <v>-87.000000000001521</v>
      </c>
      <c r="N432">
        <f>I432*Return!D432*100</f>
        <v>-163.79999999999396</v>
      </c>
      <c r="O432">
        <f>J432*Return!E432*100</f>
        <v>120.00000000000455</v>
      </c>
      <c r="P432">
        <f t="shared" si="97"/>
        <v>-130.79999999999092</v>
      </c>
      <c r="Q432">
        <f>SUM($P$400:P432)</f>
        <v>6299.9000000000078</v>
      </c>
      <c r="R432">
        <f>B432*中国_中债国债到期收益率_1年!B431/365*100</f>
        <v>0</v>
      </c>
      <c r="S432">
        <f>C432*中国_中债国债到期收益率_1年!C431/365*100</f>
        <v>12.587397260273972</v>
      </c>
      <c r="T432">
        <f>D432*中国_中债国债到期收益率_1年!D431/365*100</f>
        <v>13.366027397260272</v>
      </c>
      <c r="U432">
        <f>E432*中国_中债国债到期收益率_1年!E431/365*100</f>
        <v>7.2410958904109588</v>
      </c>
      <c r="V432">
        <f t="shared" si="98"/>
        <v>33.194520547945203</v>
      </c>
      <c r="W432">
        <f>SUM($V$400:V432)</f>
        <v>1095.8498630136987</v>
      </c>
      <c r="X432">
        <f>MAX(F432-50,0)*中国_中债国债到期收益率_1年!H432*100/365</f>
        <v>0</v>
      </c>
      <c r="Y432">
        <f>SUM($X$400:X432)</f>
        <v>0</v>
      </c>
      <c r="Z432">
        <v>-100</v>
      </c>
      <c r="AA432">
        <v>100</v>
      </c>
      <c r="AB432">
        <f>Z432*Return!F436*100</f>
        <v>-95.999999999998309</v>
      </c>
      <c r="AC432">
        <f>AA432*Return!G436*100</f>
        <v>115.99999999999611</v>
      </c>
      <c r="AD432">
        <f>SUM($AB$400:AB432)+SUM($AC$400:AC432)</f>
        <v>842.1000000000015</v>
      </c>
      <c r="AE432">
        <f t="shared" si="85"/>
        <v>8237.8498630137092</v>
      </c>
      <c r="AF432">
        <f t="shared" si="86"/>
        <v>1.0164756997260274</v>
      </c>
      <c r="AG432" s="4">
        <f>(AE432-AE431)/(500000+AE431)-中国_中债国债到期收益率_1年!H432%/252</f>
        <v>-2.3402109274652807E-4</v>
      </c>
      <c r="AH432" s="4">
        <f>MIN((AF432-MAX($AF$401:AF432))/MAX($AF$401:AF432),0)</f>
        <v>-2.5756320146389415E-3</v>
      </c>
    </row>
    <row r="433" spans="1:34" x14ac:dyDescent="0.25">
      <c r="A433" s="6">
        <v>45342</v>
      </c>
      <c r="C433">
        <v>20</v>
      </c>
      <c r="D433">
        <v>20</v>
      </c>
      <c r="E433">
        <v>10</v>
      </c>
      <c r="F433">
        <f t="shared" si="83"/>
        <v>50</v>
      </c>
      <c r="G433">
        <f t="shared" si="99"/>
        <v>0</v>
      </c>
      <c r="H433">
        <f t="shared" si="93"/>
        <v>100</v>
      </c>
      <c r="I433">
        <f t="shared" si="94"/>
        <v>180</v>
      </c>
      <c r="J433">
        <f t="shared" si="95"/>
        <v>160</v>
      </c>
      <c r="K433">
        <f t="shared" si="96"/>
        <v>440</v>
      </c>
      <c r="L433">
        <f>G433*Return!B433*100</f>
        <v>0</v>
      </c>
      <c r="M433">
        <f>H433*Return!C433*100</f>
        <v>-85.999999999999403</v>
      </c>
      <c r="N433">
        <f>I433*Return!D433*100</f>
        <v>88.199999999994276</v>
      </c>
      <c r="O433">
        <f>J433*Return!E433*100</f>
        <v>256.00000000000023</v>
      </c>
      <c r="P433">
        <f t="shared" si="97"/>
        <v>258.1999999999951</v>
      </c>
      <c r="Q433">
        <f>SUM($P$400:P433)</f>
        <v>6558.1000000000031</v>
      </c>
      <c r="R433">
        <f>B433*中国_中债国债到期收益率_1年!B432/365*100</f>
        <v>0</v>
      </c>
      <c r="S433">
        <f>C433*中国_中债国债到期收益率_1年!C432/365*100</f>
        <v>12.634520547945204</v>
      </c>
      <c r="T433">
        <f>D433*中国_中债国债到期收益率_1年!D432/365*100</f>
        <v>13.339178082191783</v>
      </c>
      <c r="U433">
        <f>E433*中国_中债国债到期收益率_1年!E432/365*100</f>
        <v>7.197260273972601</v>
      </c>
      <c r="V433">
        <f t="shared" si="98"/>
        <v>33.17095890410959</v>
      </c>
      <c r="W433">
        <f>SUM($V$400:V433)</f>
        <v>1129.0208219178082</v>
      </c>
      <c r="X433">
        <f>MAX(F433-50,0)*中国_中债国债到期收益率_1年!H433*100/365</f>
        <v>0</v>
      </c>
      <c r="Y433">
        <f>SUM($X$400:X433)</f>
        <v>0</v>
      </c>
      <c r="Z433">
        <v>-100</v>
      </c>
      <c r="AA433">
        <v>100</v>
      </c>
      <c r="AB433">
        <f>Z433*Return!F437*100</f>
        <v>-191.00000000000117</v>
      </c>
      <c r="AC433">
        <f>AA433*Return!G437*100</f>
        <v>295.0000000000008</v>
      </c>
      <c r="AD433">
        <f>SUM($AB$400:AB433)+SUM($AC$400:AC433)</f>
        <v>946.10000000000127</v>
      </c>
      <c r="AE433">
        <f t="shared" si="85"/>
        <v>8633.2208219178137</v>
      </c>
      <c r="AF433">
        <f t="shared" si="86"/>
        <v>1.0172664416438357</v>
      </c>
      <c r="AG433" s="4">
        <f>(AE433-AE432)/(500000+AE432)-中国_中债国债到期收益率_1年!H433%/252</f>
        <v>7.0054410575997445E-4</v>
      </c>
      <c r="AH433" s="4">
        <f>MIN((AF433-MAX($AF$401:AF433))/MAX($AF$401:AF433),0)</f>
        <v>-1.7997106051825958E-3</v>
      </c>
    </row>
    <row r="434" spans="1:34" x14ac:dyDescent="0.25">
      <c r="A434" s="6">
        <v>45343</v>
      </c>
      <c r="C434">
        <v>20</v>
      </c>
      <c r="D434">
        <v>20</v>
      </c>
      <c r="E434">
        <v>10</v>
      </c>
      <c r="F434">
        <f t="shared" si="83"/>
        <v>50</v>
      </c>
      <c r="G434">
        <f t="shared" si="99"/>
        <v>0</v>
      </c>
      <c r="H434">
        <f t="shared" si="93"/>
        <v>100</v>
      </c>
      <c r="I434">
        <f t="shared" si="94"/>
        <v>180</v>
      </c>
      <c r="J434">
        <f t="shared" si="95"/>
        <v>160</v>
      </c>
      <c r="K434">
        <f t="shared" si="96"/>
        <v>440</v>
      </c>
      <c r="L434">
        <f>G434*Return!B434*100</f>
        <v>0</v>
      </c>
      <c r="M434">
        <f>H434*Return!C434*100</f>
        <v>299.0000000000004</v>
      </c>
      <c r="N434">
        <f>I434*Return!D434*100</f>
        <v>377.99999999999835</v>
      </c>
      <c r="O434">
        <f>J434*Return!E434*100</f>
        <v>425.59999999999576</v>
      </c>
      <c r="P434">
        <f t="shared" si="97"/>
        <v>1102.5999999999945</v>
      </c>
      <c r="Q434">
        <f>SUM($P$400:P434)</f>
        <v>7660.6999999999971</v>
      </c>
      <c r="R434">
        <f>B434*中国_中债国债到期收益率_1年!B433/365*100</f>
        <v>0</v>
      </c>
      <c r="S434">
        <f>C434*中国_中债国债到期收益率_1年!C433/365*100</f>
        <v>12.470684931506849</v>
      </c>
      <c r="T434">
        <f>D434*中国_中债国债到期收益率_1年!D433/365*100</f>
        <v>13.224109589041097</v>
      </c>
      <c r="U434">
        <f>E434*中国_中债国债到期收益率_1年!E433/365*100</f>
        <v>7.1243835616438362</v>
      </c>
      <c r="V434">
        <f t="shared" si="98"/>
        <v>32.819178082191783</v>
      </c>
      <c r="W434">
        <f>SUM($V$400:V434)</f>
        <v>1161.8399999999999</v>
      </c>
      <c r="X434">
        <f>MAX(F434-50,0)*中国_中债国债到期收益率_1年!H434*100/365</f>
        <v>0</v>
      </c>
      <c r="Y434">
        <f>SUM($X$400:X434)</f>
        <v>0</v>
      </c>
      <c r="Z434">
        <v>-100</v>
      </c>
      <c r="AA434">
        <v>100</v>
      </c>
      <c r="AB434">
        <f>Z434*Return!F438*100</f>
        <v>172.00000000000105</v>
      </c>
      <c r="AC434">
        <f>AA434*Return!G438*100</f>
        <v>-44.999999999997264</v>
      </c>
      <c r="AD434">
        <f>SUM($AB$400:AB434)+SUM($AC$400:AC434)</f>
        <v>1073.1000000000051</v>
      </c>
      <c r="AE434">
        <f t="shared" si="85"/>
        <v>9895.6400000000031</v>
      </c>
      <c r="AF434">
        <f t="shared" si="86"/>
        <v>1.01979128</v>
      </c>
      <c r="AG434" s="4">
        <f>(AE434-AE433)/(500000+AE433)-中国_中债国债到期收益率_1年!H434%/252</f>
        <v>2.4026182563718257E-3</v>
      </c>
      <c r="AH434" s="4">
        <f>MIN((AF434-MAX($AF$401:AF434))/MAX($AF$401:AF434),0)</f>
        <v>0</v>
      </c>
    </row>
    <row r="435" spans="1:34" x14ac:dyDescent="0.25">
      <c r="A435" s="6">
        <v>45344</v>
      </c>
      <c r="C435">
        <v>20</v>
      </c>
      <c r="D435">
        <v>20</v>
      </c>
      <c r="E435">
        <v>10</v>
      </c>
      <c r="F435">
        <f t="shared" si="83"/>
        <v>50</v>
      </c>
      <c r="G435">
        <f t="shared" si="99"/>
        <v>0</v>
      </c>
      <c r="H435">
        <f t="shared" si="93"/>
        <v>100</v>
      </c>
      <c r="I435">
        <f t="shared" si="94"/>
        <v>180</v>
      </c>
      <c r="J435">
        <f t="shared" si="95"/>
        <v>160</v>
      </c>
      <c r="K435">
        <f t="shared" si="96"/>
        <v>440</v>
      </c>
      <c r="L435">
        <f>G435*Return!B435*100</f>
        <v>0</v>
      </c>
      <c r="M435">
        <f>H435*Return!C435*100</f>
        <v>76.000000000000512</v>
      </c>
      <c r="N435">
        <f>I435*Return!D435*100</f>
        <v>27.000000000001023</v>
      </c>
      <c r="O435">
        <f>J435*Return!E435*100</f>
        <v>-9.5999999999989427</v>
      </c>
      <c r="P435">
        <f t="shared" si="97"/>
        <v>93.400000000002592</v>
      </c>
      <c r="Q435">
        <f>SUM($P$400:P435)</f>
        <v>7754.0999999999995</v>
      </c>
      <c r="R435">
        <f>B435*中国_中债国债到期收益率_1年!B434/365*100</f>
        <v>0</v>
      </c>
      <c r="S435">
        <f>C435*中国_中债国债到期收益率_1年!C434/365*100</f>
        <v>12.429041095890412</v>
      </c>
      <c r="T435">
        <f>D435*中国_中债国债到期收益率_1年!D434/365*100</f>
        <v>13.215890410958902</v>
      </c>
      <c r="U435">
        <f>E435*中国_中债国债到期收益率_1年!E434/365*100</f>
        <v>7.1260273972602732</v>
      </c>
      <c r="V435">
        <f t="shared" si="98"/>
        <v>32.770958904109591</v>
      </c>
      <c r="W435">
        <f>SUM($V$400:V435)</f>
        <v>1194.6109589041096</v>
      </c>
      <c r="X435">
        <f>MAX(F435-50,0)*中国_中债国债到期收益率_1年!H435*100/365</f>
        <v>0</v>
      </c>
      <c r="Y435">
        <f>SUM($X$400:X435)</f>
        <v>0</v>
      </c>
      <c r="Z435">
        <v>-100</v>
      </c>
      <c r="AA435">
        <v>100</v>
      </c>
      <c r="AB435">
        <f>Z435*Return!F439*100</f>
        <v>56.000000000000497</v>
      </c>
      <c r="AC435">
        <f>AA435*Return!G439*100</f>
        <v>34.999999999998366</v>
      </c>
      <c r="AD435">
        <f>SUM($AB$400:AB435)+SUM($AC$400:AC435)</f>
        <v>1164.1000000000038</v>
      </c>
      <c r="AE435">
        <f t="shared" si="85"/>
        <v>10112.810958904112</v>
      </c>
      <c r="AF435">
        <f t="shared" si="86"/>
        <v>1.0202256219178083</v>
      </c>
      <c r="AG435" s="4">
        <f>(AE435-AE434)/(500000+AE434)-中国_中债国债到期收益率_1年!H435%/252</f>
        <v>3.465474836529321E-4</v>
      </c>
      <c r="AH435" s="4">
        <f>MIN((AF435-MAX($AF$401:AF435))/MAX($AF$401:AF435),0)</f>
        <v>0</v>
      </c>
    </row>
    <row r="436" spans="1:34" x14ac:dyDescent="0.25">
      <c r="A436" s="6">
        <v>45345</v>
      </c>
      <c r="C436">
        <v>20</v>
      </c>
      <c r="D436">
        <v>20</v>
      </c>
      <c r="E436">
        <v>10</v>
      </c>
      <c r="F436">
        <f t="shared" si="83"/>
        <v>50</v>
      </c>
      <c r="G436">
        <f t="shared" si="99"/>
        <v>0</v>
      </c>
      <c r="H436">
        <f t="shared" si="93"/>
        <v>100</v>
      </c>
      <c r="I436">
        <f t="shared" si="94"/>
        <v>180</v>
      </c>
      <c r="J436">
        <f t="shared" si="95"/>
        <v>160</v>
      </c>
      <c r="K436">
        <f t="shared" si="96"/>
        <v>440</v>
      </c>
      <c r="L436">
        <f>G436*Return!B436*100</f>
        <v>0</v>
      </c>
      <c r="M436">
        <f>H436*Return!C436*100</f>
        <v>243.99999999999977</v>
      </c>
      <c r="N436">
        <f>I436*Return!D436*100</f>
        <v>154.79999999999893</v>
      </c>
      <c r="O436">
        <f>J436*Return!E436*100</f>
        <v>159.99999999999659</v>
      </c>
      <c r="P436">
        <f t="shared" si="97"/>
        <v>558.79999999999529</v>
      </c>
      <c r="Q436">
        <f>SUM($P$400:P436)</f>
        <v>8312.8999999999942</v>
      </c>
      <c r="R436">
        <f>B436*中国_中债国债到期收益率_1年!B435/365*100</f>
        <v>0</v>
      </c>
      <c r="S436">
        <f>C436*中国_中债国债到期收益率_1年!C435/365*100</f>
        <v>12.295342465753425</v>
      </c>
      <c r="T436">
        <f>D436*中国_中债国债到期收益率_1年!D435/365*100</f>
        <v>13.168767123287672</v>
      </c>
      <c r="U436">
        <f>E436*中国_中债国债到期收益率_1年!E435/365*100</f>
        <v>7.0986301369863032</v>
      </c>
      <c r="V436">
        <f t="shared" si="98"/>
        <v>32.562739726027402</v>
      </c>
      <c r="W436">
        <f>SUM($V$400:V436)</f>
        <v>1227.1736986301369</v>
      </c>
      <c r="X436">
        <f>MAX(F436-50,0)*中国_中债国债到期收益率_1年!H436*100/365</f>
        <v>0</v>
      </c>
      <c r="Y436">
        <f>SUM($X$400:X436)</f>
        <v>0</v>
      </c>
      <c r="Z436">
        <v>-100</v>
      </c>
      <c r="AA436">
        <v>100</v>
      </c>
      <c r="AB436">
        <f>Z436*Return!F440*100</f>
        <v>-7.0000000000014495</v>
      </c>
      <c r="AC436">
        <f>AA436*Return!G440*100</f>
        <v>-41.000000000002146</v>
      </c>
      <c r="AD436">
        <f>SUM($AB$400:AB436)+SUM($AC$400:AC436)</f>
        <v>1116.1000000000001</v>
      </c>
      <c r="AE436">
        <f t="shared" si="85"/>
        <v>10656.173698630131</v>
      </c>
      <c r="AF436">
        <f t="shared" si="86"/>
        <v>1.0213123473972603</v>
      </c>
      <c r="AG436" s="4">
        <f>(AE436-AE435)/(500000+AE435)-中国_中债国债到期收益率_1年!H436%/252</f>
        <v>9.7787993343813285E-4</v>
      </c>
      <c r="AH436" s="4">
        <f>MIN((AF436-MAX($AF$401:AF436))/MAX($AF$401:AF436),0)</f>
        <v>0</v>
      </c>
    </row>
    <row r="437" spans="1:34" x14ac:dyDescent="0.25">
      <c r="A437" s="6">
        <v>45348</v>
      </c>
      <c r="C437">
        <v>20</v>
      </c>
      <c r="D437">
        <v>20</v>
      </c>
      <c r="E437">
        <v>10</v>
      </c>
      <c r="F437">
        <f t="shared" si="83"/>
        <v>50</v>
      </c>
      <c r="G437">
        <f t="shared" si="99"/>
        <v>0</v>
      </c>
      <c r="H437">
        <f t="shared" si="93"/>
        <v>100</v>
      </c>
      <c r="I437">
        <f t="shared" si="94"/>
        <v>180</v>
      </c>
      <c r="J437">
        <f t="shared" si="95"/>
        <v>160</v>
      </c>
      <c r="K437">
        <f t="shared" si="96"/>
        <v>440</v>
      </c>
      <c r="L437">
        <f>G437*Return!B437*100</f>
        <v>0</v>
      </c>
      <c r="M437">
        <f>H437*Return!C437*100</f>
        <v>-55.999999999998273</v>
      </c>
      <c r="N437">
        <f>I437*Return!D437*100</f>
        <v>43.200000000003236</v>
      </c>
      <c r="O437">
        <f>J437*Return!E437*100</f>
        <v>161.59999999999997</v>
      </c>
      <c r="P437">
        <f t="shared" si="97"/>
        <v>148.80000000000493</v>
      </c>
      <c r="Q437">
        <f>SUM($P$400:P437)</f>
        <v>8461.6999999999989</v>
      </c>
      <c r="R437">
        <f>B437*中国_中债国债到期收益率_1年!B436/365*100</f>
        <v>0</v>
      </c>
      <c r="S437">
        <f>C437*中国_中债国债到期收益率_1年!C436/365*100</f>
        <v>12.326027397260273</v>
      </c>
      <c r="T437">
        <f>D437*中国_中债国债到期收益率_1年!D436/365*100</f>
        <v>13.155616438356166</v>
      </c>
      <c r="U437">
        <f>E437*中国_中债国债到期收益率_1年!E436/365*100</f>
        <v>7.070958904109589</v>
      </c>
      <c r="V437">
        <f t="shared" si="98"/>
        <v>32.552602739726026</v>
      </c>
      <c r="W437">
        <f>SUM($V$400:V437)</f>
        <v>1259.726301369863</v>
      </c>
      <c r="X437">
        <f>MAX(F437-50,0)*中国_中债国债到期收益率_1年!H437*100/365</f>
        <v>0</v>
      </c>
      <c r="Y437">
        <f>SUM($X$400:X437)</f>
        <v>0</v>
      </c>
      <c r="Z437">
        <v>-100</v>
      </c>
      <c r="AA437">
        <v>100</v>
      </c>
      <c r="AB437">
        <f>Z437*Return!F441*100</f>
        <v>-172.99999999999872</v>
      </c>
      <c r="AC437">
        <f>AA437*Return!G441*100</f>
        <v>96.000000000002757</v>
      </c>
      <c r="AD437">
        <f>SUM($AB$400:AB437)+SUM($AC$400:AC437)</f>
        <v>1039.1000000000042</v>
      </c>
      <c r="AE437">
        <f t="shared" si="85"/>
        <v>10760.526301369866</v>
      </c>
      <c r="AF437">
        <f t="shared" si="86"/>
        <v>1.0215210526027398</v>
      </c>
      <c r="AG437" s="4">
        <f>(AE437-AE436)/(500000+AE436)-中国_中债国债到期收益率_1年!H437%/252</f>
        <v>1.1903256640192617E-4</v>
      </c>
      <c r="AH437" s="4">
        <f>MIN((AF437-MAX($AF$401:AF437))/MAX($AF$401:AF437),0)</f>
        <v>0</v>
      </c>
    </row>
    <row r="438" spans="1:34" x14ac:dyDescent="0.25">
      <c r="A438" s="6">
        <v>45349</v>
      </c>
      <c r="C438">
        <v>20</v>
      </c>
      <c r="D438">
        <v>20</v>
      </c>
      <c r="E438">
        <v>10</v>
      </c>
      <c r="F438">
        <f t="shared" si="83"/>
        <v>50</v>
      </c>
      <c r="G438">
        <f t="shared" si="99"/>
        <v>0</v>
      </c>
      <c r="H438">
        <f t="shared" si="93"/>
        <v>100</v>
      </c>
      <c r="I438">
        <f t="shared" si="94"/>
        <v>180</v>
      </c>
      <c r="J438">
        <f t="shared" si="95"/>
        <v>160</v>
      </c>
      <c r="K438">
        <f t="shared" si="96"/>
        <v>440</v>
      </c>
      <c r="L438">
        <f>G438*Return!B438*100</f>
        <v>0</v>
      </c>
      <c r="M438">
        <f>H438*Return!C438*100</f>
        <v>250.99999999999679</v>
      </c>
      <c r="N438">
        <f>I438*Return!D438*100</f>
        <v>396.00000000000432</v>
      </c>
      <c r="O438">
        <f>J438*Return!E438*100</f>
        <v>654.40000000000259</v>
      </c>
      <c r="P438">
        <f t="shared" si="97"/>
        <v>1301.4000000000037</v>
      </c>
      <c r="Q438">
        <f>SUM($P$400:P438)</f>
        <v>9763.1000000000022</v>
      </c>
      <c r="R438">
        <f>B438*中国_中债国债到期收益率_1年!B437/365*100</f>
        <v>0</v>
      </c>
      <c r="S438">
        <f>C438*中国_中债国债到期收益率_1年!C437/365*100</f>
        <v>12.188493150684931</v>
      </c>
      <c r="T438">
        <f>D438*中国_中债国债到期收益率_1年!D437/365*100</f>
        <v>13.035068493150684</v>
      </c>
      <c r="U438">
        <f>E438*中国_中债国债到期收益率_1年!E437/365*100</f>
        <v>6.9589041095890414</v>
      </c>
      <c r="V438">
        <f t="shared" si="98"/>
        <v>32.182465753424658</v>
      </c>
      <c r="W438">
        <f>SUM($V$400:V438)</f>
        <v>1291.9087671232876</v>
      </c>
      <c r="X438">
        <f>MAX(F438-50,0)*中国_中债国债到期收益率_1年!H438*100/365</f>
        <v>0</v>
      </c>
      <c r="Y438">
        <f>SUM($X$400:X438)</f>
        <v>0</v>
      </c>
      <c r="Z438">
        <v>-100</v>
      </c>
      <c r="AA438">
        <v>100</v>
      </c>
      <c r="AB438">
        <f>Z438*Return!F442*100</f>
        <v>183.99999999999972</v>
      </c>
      <c r="AC438">
        <f>AA438*Return!G442*100</f>
        <v>-344.0000000000021</v>
      </c>
      <c r="AD438">
        <f>SUM($AB$400:AB438)+SUM($AC$400:AC438)</f>
        <v>879.10000000000196</v>
      </c>
      <c r="AE438">
        <f t="shared" si="85"/>
        <v>11934.108767123293</v>
      </c>
      <c r="AF438">
        <f t="shared" si="86"/>
        <v>1.0238682175342466</v>
      </c>
      <c r="AG438" s="4">
        <f>(AE438-AE437)/(500000+AE437)-中国_中债国债到期收益率_1年!H438%/252</f>
        <v>2.2123982113532287E-3</v>
      </c>
      <c r="AH438" s="4">
        <f>MIN((AF438-MAX($AF$401:AF438))/MAX($AF$401:AF438),0)</f>
        <v>0</v>
      </c>
    </row>
    <row r="439" spans="1:34" x14ac:dyDescent="0.25">
      <c r="A439" s="6">
        <v>45350</v>
      </c>
      <c r="C439">
        <v>20</v>
      </c>
      <c r="D439">
        <v>20</v>
      </c>
      <c r="E439">
        <v>10</v>
      </c>
      <c r="F439">
        <f t="shared" si="83"/>
        <v>50</v>
      </c>
      <c r="G439">
        <f t="shared" si="99"/>
        <v>0</v>
      </c>
      <c r="H439">
        <f t="shared" si="93"/>
        <v>100</v>
      </c>
      <c r="I439">
        <f t="shared" si="94"/>
        <v>180</v>
      </c>
      <c r="J439">
        <f t="shared" si="95"/>
        <v>160</v>
      </c>
      <c r="K439">
        <f t="shared" si="96"/>
        <v>440</v>
      </c>
      <c r="L439">
        <f>G439*Return!B439*100</f>
        <v>0</v>
      </c>
      <c r="M439">
        <f>H439*Return!C439*100</f>
        <v>-174.99999999999628</v>
      </c>
      <c r="N439">
        <f>I439*Return!D439*100</f>
        <v>-36.000000000004029</v>
      </c>
      <c r="O439">
        <f>J439*Return!E439*100</f>
        <v>281.59999999999741</v>
      </c>
      <c r="P439">
        <f t="shared" si="97"/>
        <v>70.599999999997095</v>
      </c>
      <c r="Q439">
        <f>SUM($P$400:P439)</f>
        <v>9833.6999999999989</v>
      </c>
      <c r="R439">
        <f>B439*中国_中债国债到期收益率_1年!B438/365*100</f>
        <v>0</v>
      </c>
      <c r="S439">
        <f>C439*中国_中债国债到期收益率_1年!C438/365*100</f>
        <v>12.284383561643834</v>
      </c>
      <c r="T439">
        <f>D439*中国_中债国债到期收益率_1年!D438/365*100</f>
        <v>13.046027397260273</v>
      </c>
      <c r="U439">
        <f>E439*中国_中债国债到期收益率_1年!E438/365*100</f>
        <v>6.9106849315068501</v>
      </c>
      <c r="V439">
        <f t="shared" si="98"/>
        <v>32.241095890410961</v>
      </c>
      <c r="W439">
        <f>SUM($V$400:V439)</f>
        <v>1324.1498630136985</v>
      </c>
      <c r="X439">
        <f>MAX(F439-50,0)*中国_中债国债到期收益率_1年!H439*100/365</f>
        <v>0</v>
      </c>
      <c r="Y439">
        <f>SUM($X$400:X439)</f>
        <v>0</v>
      </c>
      <c r="Z439">
        <v>-100</v>
      </c>
      <c r="AA439">
        <v>100</v>
      </c>
      <c r="AB439">
        <f>Z439*Return!F443*100</f>
        <v>24.999999999999467</v>
      </c>
      <c r="AC439">
        <f>AA439*Return!G443*100</f>
        <v>83.999999999999631</v>
      </c>
      <c r="AD439">
        <f>SUM($AB$400:AB439)+SUM($AC$400:AC439)</f>
        <v>988.10000000000105</v>
      </c>
      <c r="AE439">
        <f t="shared" si="85"/>
        <v>12145.949863013697</v>
      </c>
      <c r="AF439">
        <f t="shared" si="86"/>
        <v>1.0242918997260273</v>
      </c>
      <c r="AG439" s="4">
        <f>(AE439-AE438)/(500000+AE438)-中国_中债国债到期收益率_1年!H439%/252</f>
        <v>3.3047206127218573E-4</v>
      </c>
      <c r="AH439" s="4">
        <f>MIN((AF439-MAX($AF$401:AF439))/MAX($AF$401:AF439),0)</f>
        <v>0</v>
      </c>
    </row>
    <row r="440" spans="1:34" x14ac:dyDescent="0.25">
      <c r="A440" s="6">
        <v>45351</v>
      </c>
      <c r="C440">
        <v>20</v>
      </c>
      <c r="D440">
        <v>20</v>
      </c>
      <c r="E440">
        <v>10</v>
      </c>
      <c r="F440">
        <f t="shared" si="83"/>
        <v>50</v>
      </c>
      <c r="G440">
        <f t="shared" si="99"/>
        <v>0</v>
      </c>
      <c r="H440">
        <f t="shared" si="93"/>
        <v>100</v>
      </c>
      <c r="I440">
        <f t="shared" si="94"/>
        <v>180</v>
      </c>
      <c r="J440">
        <f t="shared" si="95"/>
        <v>160</v>
      </c>
      <c r="K440">
        <f t="shared" si="96"/>
        <v>440</v>
      </c>
      <c r="L440">
        <f>G440*Return!B440*100</f>
        <v>0</v>
      </c>
      <c r="M440">
        <f>H440*Return!C440*100</f>
        <v>195.99999999999619</v>
      </c>
      <c r="N440">
        <f>I440*Return!D440*100</f>
        <v>779.39999999999804</v>
      </c>
      <c r="O440">
        <f>J440*Return!E440*100</f>
        <v>569.60000000000127</v>
      </c>
      <c r="P440">
        <f t="shared" si="97"/>
        <v>1544.9999999999955</v>
      </c>
      <c r="Q440">
        <f>SUM($P$400:P440)</f>
        <v>11378.699999999993</v>
      </c>
      <c r="R440">
        <f>B440*中国_中债国债到期收益率_1年!B439/365*100</f>
        <v>0</v>
      </c>
      <c r="S440">
        <f>C440*中国_中债国债到期收益率_1年!C439/365*100</f>
        <v>12.176986301369865</v>
      </c>
      <c r="T440">
        <f>D440*中国_中债国债到期收益率_1年!D439/365*100</f>
        <v>12.808767123287673</v>
      </c>
      <c r="U440">
        <f>E440*中国_中债国债到期收益率_1年!E439/365*100</f>
        <v>6.8131506849315073</v>
      </c>
      <c r="V440">
        <f t="shared" si="98"/>
        <v>31.798904109589046</v>
      </c>
      <c r="W440">
        <f>SUM($V$400:V440)</f>
        <v>1355.9487671232876</v>
      </c>
      <c r="X440">
        <f>MAX(F440-50,0)*中国_中债国债到期收益率_1年!H440*100/365</f>
        <v>0</v>
      </c>
      <c r="Y440">
        <f>SUM($X$400:X440)</f>
        <v>0</v>
      </c>
      <c r="Z440">
        <v>-200</v>
      </c>
      <c r="AA440">
        <v>200</v>
      </c>
      <c r="AB440">
        <f>Z440*Return!F444*100</f>
        <v>161.99999999999991</v>
      </c>
      <c r="AC440">
        <f>AA440*Return!G444*100</f>
        <v>94.00000000000297</v>
      </c>
      <c r="AD440">
        <f>SUM($AB$400:AB440)+SUM($AC$400:AC440)</f>
        <v>1244.100000000004</v>
      </c>
      <c r="AE440">
        <f t="shared" si="85"/>
        <v>13978.748767123285</v>
      </c>
      <c r="AF440">
        <f t="shared" si="86"/>
        <v>1.0279574975342465</v>
      </c>
      <c r="AG440" s="4">
        <f>(AE440-AE439)/(500000+AE439)-中国_中债国债到期收益率_1年!H440%/252</f>
        <v>3.4973160249189821E-3</v>
      </c>
      <c r="AH440" s="4">
        <f>MIN((AF440-MAX($AF$401:AF440))/MAX($AF$401:AF440),0)</f>
        <v>0</v>
      </c>
    </row>
    <row r="441" spans="1:34" x14ac:dyDescent="0.25">
      <c r="A441" s="6">
        <v>45352</v>
      </c>
      <c r="C441">
        <v>20</v>
      </c>
      <c r="D441">
        <v>20</v>
      </c>
      <c r="E441">
        <v>10</v>
      </c>
      <c r="F441">
        <f t="shared" si="83"/>
        <v>50</v>
      </c>
      <c r="G441">
        <f t="shared" si="99"/>
        <v>0</v>
      </c>
      <c r="H441">
        <f t="shared" si="93"/>
        <v>100</v>
      </c>
      <c r="I441">
        <f t="shared" si="94"/>
        <v>180</v>
      </c>
      <c r="J441">
        <f t="shared" si="95"/>
        <v>160</v>
      </c>
      <c r="K441">
        <f t="shared" si="96"/>
        <v>440</v>
      </c>
      <c r="L441">
        <f>G441*Return!B441*100</f>
        <v>0</v>
      </c>
      <c r="M441">
        <f>H441*Return!C441*100</f>
        <v>45.000000000001705</v>
      </c>
      <c r="N441">
        <f>I441*Return!D441*100</f>
        <v>1.8000000000037986</v>
      </c>
      <c r="O441">
        <f>J441*Return!E441*100</f>
        <v>403.20000000000533</v>
      </c>
      <c r="P441">
        <f t="shared" si="97"/>
        <v>450.00000000001086</v>
      </c>
      <c r="Q441">
        <f>SUM($P$400:P441)</f>
        <v>11828.700000000004</v>
      </c>
      <c r="R441">
        <f>B441*中国_中债国债到期收益率_1年!B440/365*100</f>
        <v>0</v>
      </c>
      <c r="S441">
        <f>C441*中国_中债国债到期收益率_1年!C440/365*100</f>
        <v>12.152328767123288</v>
      </c>
      <c r="T441">
        <f>D441*中国_中债国债到期收益率_1年!D440/365*100</f>
        <v>12.808219178082192</v>
      </c>
      <c r="U441">
        <f>E441*中国_中债国债到期收益率_1年!E440/365*100</f>
        <v>6.7441095890410958</v>
      </c>
      <c r="V441">
        <f t="shared" si="98"/>
        <v>31.704657534246575</v>
      </c>
      <c r="W441">
        <f>SUM($V$400:V441)</f>
        <v>1387.6534246575341</v>
      </c>
      <c r="X441">
        <f>MAX(F441-50,0)*中国_中债国债到期收益率_1年!H441*100/365</f>
        <v>0</v>
      </c>
      <c r="Y441">
        <f>SUM($X$400:X441)</f>
        <v>0</v>
      </c>
      <c r="Z441">
        <v>-200</v>
      </c>
      <c r="AA441">
        <v>200</v>
      </c>
      <c r="AB441">
        <f>Z441*Return!F445*100</f>
        <v>-194.00000000000085</v>
      </c>
      <c r="AC441">
        <f>AA441*Return!G445*100</f>
        <v>545.99999999999761</v>
      </c>
      <c r="AD441">
        <f>SUM($AB$400:AB441)+SUM($AC$400:AC441)</f>
        <v>1596.1000000000008</v>
      </c>
      <c r="AE441">
        <f t="shared" si="85"/>
        <v>14812.453424657539</v>
      </c>
      <c r="AF441">
        <f t="shared" si="86"/>
        <v>1.0296249068493151</v>
      </c>
      <c r="AG441" s="4">
        <f>(AE441-AE440)/(500000+AE440)-中国_中债国债到期收益率_1年!H441%/252</f>
        <v>1.5426954815706685E-3</v>
      </c>
      <c r="AH441" s="4">
        <f>MIN((AF441-MAX($AF$401:AF441))/MAX($AF$401:AF441),0)</f>
        <v>0</v>
      </c>
    </row>
    <row r="442" spans="1:34" x14ac:dyDescent="0.25">
      <c r="A442" s="6">
        <v>45355</v>
      </c>
      <c r="C442">
        <v>20</v>
      </c>
      <c r="D442">
        <v>20</v>
      </c>
      <c r="E442">
        <v>10</v>
      </c>
      <c r="F442">
        <f t="shared" si="83"/>
        <v>50</v>
      </c>
      <c r="G442">
        <f t="shared" si="99"/>
        <v>0</v>
      </c>
      <c r="H442">
        <f t="shared" si="93"/>
        <v>100</v>
      </c>
      <c r="I442">
        <f t="shared" si="94"/>
        <v>180</v>
      </c>
      <c r="J442">
        <f t="shared" si="95"/>
        <v>160</v>
      </c>
      <c r="K442">
        <f t="shared" si="96"/>
        <v>440</v>
      </c>
      <c r="L442">
        <f>G442*Return!B442*100</f>
        <v>0</v>
      </c>
      <c r="M442">
        <f>H442*Return!C442*100</f>
        <v>-453.99999999999886</v>
      </c>
      <c r="N442">
        <f>I442*Return!D442*100</f>
        <v>-540.00000000000443</v>
      </c>
      <c r="O442">
        <f>J442*Return!E442*100</f>
        <v>-478.4000000000006</v>
      </c>
      <c r="P442">
        <f t="shared" si="97"/>
        <v>-1472.400000000004</v>
      </c>
      <c r="Q442">
        <f>SUM($P$400:P442)</f>
        <v>10356.300000000001</v>
      </c>
      <c r="R442">
        <f>B442*中国_中债国债到期收益率_1年!B441/365*100</f>
        <v>0</v>
      </c>
      <c r="S442">
        <f>C442*中国_中债国债到期收益率_1年!C441/365*100</f>
        <v>12.401095890410959</v>
      </c>
      <c r="T442">
        <f>D442*中国_中债国债到期收益率_1年!D441/365*100</f>
        <v>12.972602739726028</v>
      </c>
      <c r="U442">
        <f>E442*中国_中债国债到期收益率_1年!E441/365*100</f>
        <v>6.8260273972602734</v>
      </c>
      <c r="V442">
        <f t="shared" si="98"/>
        <v>32.199726027397261</v>
      </c>
      <c r="W442">
        <f>SUM($V$400:V442)</f>
        <v>1419.8531506849313</v>
      </c>
      <c r="X442">
        <f>MAX(F442-50,0)*中国_中债国债到期收益率_1年!H442*100/365</f>
        <v>0</v>
      </c>
      <c r="Y442">
        <f>SUM($X$400:X442)</f>
        <v>0</v>
      </c>
      <c r="Z442">
        <v>-200</v>
      </c>
      <c r="AA442">
        <v>200</v>
      </c>
      <c r="AB442">
        <f>Z442*Return!F446*100</f>
        <v>-295.99999999999847</v>
      </c>
      <c r="AC442">
        <f>AA442*Return!G446*100</f>
        <v>358.00000000000057</v>
      </c>
      <c r="AD442">
        <f>SUM($AB$400:AB442)+SUM($AC$400:AC442)</f>
        <v>1658.1000000000029</v>
      </c>
      <c r="AE442">
        <f t="shared" si="85"/>
        <v>13434.253150684934</v>
      </c>
      <c r="AF442">
        <f t="shared" si="86"/>
        <v>1.0268685063013698</v>
      </c>
      <c r="AG442" s="4">
        <f>(AE442-AE441)/(500000+AE441)-中国_中债国债到期收益率_1年!H442%/252</f>
        <v>-2.7564570277134183E-3</v>
      </c>
      <c r="AH442" s="4">
        <f>MIN((AF442-MAX($AF$401:AF442))/MAX($AF$401:AF442),0)</f>
        <v>-2.677091948348365E-3</v>
      </c>
    </row>
    <row r="443" spans="1:34" x14ac:dyDescent="0.25">
      <c r="A443" s="6">
        <v>45356</v>
      </c>
      <c r="C443">
        <v>20</v>
      </c>
      <c r="D443">
        <v>20</v>
      </c>
      <c r="E443">
        <v>10</v>
      </c>
      <c r="F443">
        <f t="shared" si="83"/>
        <v>50</v>
      </c>
      <c r="G443">
        <f t="shared" si="99"/>
        <v>0</v>
      </c>
      <c r="H443">
        <f t="shared" si="93"/>
        <v>100</v>
      </c>
      <c r="I443">
        <f t="shared" si="94"/>
        <v>180</v>
      </c>
      <c r="J443">
        <f t="shared" si="95"/>
        <v>160</v>
      </c>
      <c r="K443">
        <f t="shared" si="96"/>
        <v>440</v>
      </c>
      <c r="L443">
        <f>G443*Return!B443*100</f>
        <v>0</v>
      </c>
      <c r="M443">
        <f>H443*Return!C443*100</f>
        <v>142.9999999999998</v>
      </c>
      <c r="N443">
        <f>I443*Return!D443*100</f>
        <v>360.00000000000034</v>
      </c>
      <c r="O443">
        <f>J443*Return!E443*100</f>
        <v>283.19999999999368</v>
      </c>
      <c r="P443">
        <f t="shared" si="97"/>
        <v>786.19999999999379</v>
      </c>
      <c r="Q443">
        <f>SUM($P$400:P443)</f>
        <v>11142.499999999995</v>
      </c>
      <c r="R443">
        <f>B443*中国_中债国债到期收益率_1年!B442/365*100</f>
        <v>0</v>
      </c>
      <c r="S443">
        <f>C443*中国_中债国债到期收益率_1年!C442/365*100</f>
        <v>12.322739726027395</v>
      </c>
      <c r="T443">
        <f>D443*中国_中债国债到期收益率_1年!D442/365*100</f>
        <v>12.863013698630137</v>
      </c>
      <c r="U443">
        <f>E443*中国_中债国债到期收益率_1年!E442/365*100</f>
        <v>6.7775342465753434</v>
      </c>
      <c r="V443">
        <f t="shared" si="98"/>
        <v>31.963287671232877</v>
      </c>
      <c r="W443">
        <f>SUM($V$400:V443)</f>
        <v>1451.8164383561641</v>
      </c>
      <c r="X443">
        <f>MAX(F443-50,0)*中国_中债国债到期收益率_1年!H443*100/365</f>
        <v>0</v>
      </c>
      <c r="Y443">
        <f>SUM($X$400:X443)</f>
        <v>0</v>
      </c>
      <c r="Z443">
        <v>-200</v>
      </c>
      <c r="AA443">
        <v>200</v>
      </c>
      <c r="AB443">
        <f>Z443*Return!F447*100</f>
        <v>123.99999999999966</v>
      </c>
      <c r="AC443">
        <f>AA443*Return!G447*100</f>
        <v>-339.99999999999807</v>
      </c>
      <c r="AD443">
        <f>SUM($AB$400:AB443)+SUM($AC$400:AC443)</f>
        <v>1442.1000000000045</v>
      </c>
      <c r="AE443">
        <f t="shared" si="85"/>
        <v>14036.416438356162</v>
      </c>
      <c r="AF443">
        <f t="shared" si="86"/>
        <v>1.0280728328767124</v>
      </c>
      <c r="AG443" s="4">
        <f>(AE443-AE442)/(500000+AE442)-中国_中债国债到期收益率_1年!H443%/252</f>
        <v>1.0918624127160554E-3</v>
      </c>
      <c r="AH443" s="4">
        <f>MIN((AF443-MAX($AF$401:AF443))/MAX($AF$401:AF443),0)</f>
        <v>-1.5074168877208919E-3</v>
      </c>
    </row>
    <row r="444" spans="1:34" x14ac:dyDescent="0.25">
      <c r="A444" s="6">
        <v>45357</v>
      </c>
      <c r="C444">
        <v>20</v>
      </c>
      <c r="D444">
        <v>20</v>
      </c>
      <c r="E444">
        <v>10</v>
      </c>
      <c r="F444">
        <f t="shared" si="83"/>
        <v>50</v>
      </c>
      <c r="G444">
        <f t="shared" si="99"/>
        <v>0</v>
      </c>
      <c r="H444">
        <f t="shared" si="93"/>
        <v>100</v>
      </c>
      <c r="I444">
        <f t="shared" si="94"/>
        <v>180</v>
      </c>
      <c r="J444">
        <f t="shared" si="95"/>
        <v>160</v>
      </c>
      <c r="K444">
        <f t="shared" si="96"/>
        <v>440</v>
      </c>
      <c r="L444">
        <f>G444*Return!B444*100</f>
        <v>0</v>
      </c>
      <c r="M444">
        <f>H444*Return!C444*100</f>
        <v>203.99999999999974</v>
      </c>
      <c r="N444">
        <f>I444*Return!D444*100</f>
        <v>550.80000000000325</v>
      </c>
      <c r="O444">
        <f>J444*Return!E444*100</f>
        <v>-89.599999999997237</v>
      </c>
      <c r="P444">
        <f t="shared" si="97"/>
        <v>665.20000000000573</v>
      </c>
      <c r="Q444">
        <f>SUM($P$400:P444)</f>
        <v>11807.7</v>
      </c>
      <c r="R444">
        <f>B444*中国_中债国债到期收益率_1年!B443/365*100</f>
        <v>0</v>
      </c>
      <c r="S444">
        <f>C444*中国_中债国债到期收益率_1年!C443/365*100</f>
        <v>12.210958904109589</v>
      </c>
      <c r="T444">
        <f>D444*中国_中债国债到期收益率_1年!D443/365*100</f>
        <v>12.695342465753425</v>
      </c>
      <c r="U444">
        <f>E444*中国_中债国债到期收益率_1年!E443/365*100</f>
        <v>6.7928767123287672</v>
      </c>
      <c r="V444">
        <f t="shared" si="98"/>
        <v>31.699178082191782</v>
      </c>
      <c r="W444">
        <f>SUM($V$400:V444)</f>
        <v>1483.5156164383559</v>
      </c>
      <c r="X444">
        <f>MAX(F444-50,0)*中国_中债国债到期收益率_1年!H444*100/365</f>
        <v>0</v>
      </c>
      <c r="Y444">
        <f>SUM($X$400:X444)</f>
        <v>0</v>
      </c>
      <c r="Z444">
        <v>-200</v>
      </c>
      <c r="AA444">
        <v>200</v>
      </c>
      <c r="AB444">
        <f>Z444*Return!F448*100</f>
        <v>261.99999999999778</v>
      </c>
      <c r="AC444">
        <f>AA444*Return!G448*100</f>
        <v>-170.00000000000347</v>
      </c>
      <c r="AD444">
        <f>SUM($AB$400:AB444)+SUM($AC$400:AC444)</f>
        <v>1534.0999999999985</v>
      </c>
      <c r="AE444">
        <f t="shared" si="85"/>
        <v>14825.315616438354</v>
      </c>
      <c r="AF444">
        <f t="shared" si="86"/>
        <v>1.0296506312328768</v>
      </c>
      <c r="AG444" s="4">
        <f>(AE444-AE443)/(500000+AE443)-中国_中债国债到期收益率_1年!H444%/252</f>
        <v>1.4533653641637142E-3</v>
      </c>
      <c r="AH444" s="4">
        <f>MIN((AF444-MAX($AF$401:AF444))/MAX($AF$401:AF444),0)</f>
        <v>0</v>
      </c>
    </row>
    <row r="445" spans="1:34" x14ac:dyDescent="0.25">
      <c r="A445" s="6">
        <v>45358</v>
      </c>
      <c r="C445">
        <v>20</v>
      </c>
      <c r="D445">
        <v>20</v>
      </c>
      <c r="E445">
        <v>10</v>
      </c>
      <c r="F445">
        <f t="shared" si="83"/>
        <v>50</v>
      </c>
      <c r="G445">
        <f t="shared" si="99"/>
        <v>0</v>
      </c>
      <c r="H445">
        <f t="shared" si="93"/>
        <v>100</v>
      </c>
      <c r="I445">
        <f t="shared" si="94"/>
        <v>180</v>
      </c>
      <c r="J445">
        <f t="shared" si="95"/>
        <v>160</v>
      </c>
      <c r="K445">
        <f t="shared" si="96"/>
        <v>440</v>
      </c>
      <c r="L445">
        <f>G445*Return!B445*100</f>
        <v>0</v>
      </c>
      <c r="M445">
        <f>H445*Return!C445*100</f>
        <v>609.99999999999943</v>
      </c>
      <c r="N445">
        <f>I445*Return!D445*100</f>
        <v>934.19999999999709</v>
      </c>
      <c r="O445">
        <f>J445*Return!E445*100</f>
        <v>832.00000000000068</v>
      </c>
      <c r="P445">
        <f t="shared" si="97"/>
        <v>2376.1999999999971</v>
      </c>
      <c r="Q445">
        <f>SUM($P$400:P445)</f>
        <v>14183.899999999998</v>
      </c>
      <c r="R445">
        <f>B445*中国_中债国债到期收益率_1年!B444/365*100</f>
        <v>0</v>
      </c>
      <c r="S445">
        <f>C445*中国_中债国债到期收益率_1年!C444/365*100</f>
        <v>11.876712328767123</v>
      </c>
      <c r="T445">
        <f>D445*中国_中债国债到期收益率_1年!D444/365*100</f>
        <v>12.41095890410959</v>
      </c>
      <c r="U445">
        <f>E445*中国_中债国债到期收益率_1年!E444/365*100</f>
        <v>6.6504109589041098</v>
      </c>
      <c r="V445">
        <f t="shared" si="98"/>
        <v>30.938082191780822</v>
      </c>
      <c r="W445">
        <f>SUM($V$400:V445)</f>
        <v>1514.4536986301366</v>
      </c>
      <c r="X445">
        <f>MAX(F445-50,0)*中国_中债国债到期收益率_1年!H445*100/365</f>
        <v>0</v>
      </c>
      <c r="Y445">
        <f>SUM($X$400:X445)</f>
        <v>0</v>
      </c>
      <c r="Z445">
        <v>-200</v>
      </c>
      <c r="AA445">
        <v>200</v>
      </c>
      <c r="AB445">
        <f>Z445*Return!F449*100</f>
        <v>222.00000000000219</v>
      </c>
      <c r="AC445">
        <f>AA445*Return!G449*100</f>
        <v>-495.99999999999864</v>
      </c>
      <c r="AD445">
        <f>SUM($AB$400:AB445)+SUM($AC$400:AC445)</f>
        <v>1260.1000000000022</v>
      </c>
      <c r="AE445">
        <f t="shared" si="85"/>
        <v>16958.453698630139</v>
      </c>
      <c r="AF445">
        <f t="shared" si="86"/>
        <v>1.0339169073972603</v>
      </c>
      <c r="AG445" s="4">
        <f>(AE445-AE444)/(500000+AE444)-中国_中债国债到期收益率_1年!H445%/252</f>
        <v>4.0640560335567302E-3</v>
      </c>
      <c r="AH445" s="4">
        <f>MIN((AF445-MAX($AF$401:AF445))/MAX($AF$401:AF445),0)</f>
        <v>0</v>
      </c>
    </row>
    <row r="446" spans="1:34" x14ac:dyDescent="0.25">
      <c r="A446" s="6">
        <v>45359</v>
      </c>
      <c r="C446">
        <v>20</v>
      </c>
      <c r="D446">
        <v>20</v>
      </c>
      <c r="E446">
        <v>10</v>
      </c>
      <c r="F446">
        <f t="shared" si="83"/>
        <v>50</v>
      </c>
      <c r="G446">
        <f t="shared" si="99"/>
        <v>0</v>
      </c>
      <c r="H446">
        <f t="shared" si="93"/>
        <v>100</v>
      </c>
      <c r="I446">
        <f t="shared" si="94"/>
        <v>180</v>
      </c>
      <c r="J446">
        <f t="shared" si="95"/>
        <v>160</v>
      </c>
      <c r="K446">
        <f t="shared" si="96"/>
        <v>440</v>
      </c>
      <c r="L446">
        <f>G446*Return!B446*100</f>
        <v>0</v>
      </c>
      <c r="M446">
        <f>H446*Return!C446*100</f>
        <v>-283.99999999999983</v>
      </c>
      <c r="N446">
        <f>I446*Return!D446*100</f>
        <v>-226.79999999999899</v>
      </c>
      <c r="O446">
        <f>J446*Return!E446*100</f>
        <v>-57.600000000000762</v>
      </c>
      <c r="P446">
        <f t="shared" si="97"/>
        <v>-568.39999999999964</v>
      </c>
      <c r="Q446">
        <f>SUM($P$400:P446)</f>
        <v>13615.499999999998</v>
      </c>
      <c r="R446">
        <f>B446*中国_中债国债到期收益率_1年!B445/365*100</f>
        <v>0</v>
      </c>
      <c r="S446">
        <f>C446*中国_中债国债到期收益率_1年!C445/365*100</f>
        <v>12.032328767123287</v>
      </c>
      <c r="T446">
        <f>D446*中国_中债国债到期收益率_1年!D445/365*100</f>
        <v>12.479999999999999</v>
      </c>
      <c r="U446">
        <f>E446*中国_中债国债到期收益率_1年!E445/365*100</f>
        <v>6.6602739726027398</v>
      </c>
      <c r="V446">
        <f t="shared" si="98"/>
        <v>31.172602739726024</v>
      </c>
      <c r="W446">
        <f>SUM($V$400:V446)</f>
        <v>1545.6263013698626</v>
      </c>
      <c r="X446">
        <f>MAX(F446-50,0)*中国_中债国债到期收益率_1年!H446*100/365</f>
        <v>0</v>
      </c>
      <c r="Y446">
        <f>SUM($X$400:X446)</f>
        <v>0</v>
      </c>
      <c r="Z446">
        <v>-200</v>
      </c>
      <c r="AA446">
        <v>200</v>
      </c>
      <c r="AB446">
        <f>Z446*Return!F450*100</f>
        <v>158.00000000000037</v>
      </c>
      <c r="AC446">
        <f>AA446*Return!G450*100</f>
        <v>-135.99999999999392</v>
      </c>
      <c r="AD446">
        <f>SUM($AB$400:AB446)+SUM($AC$400:AC446)</f>
        <v>1282.1000000000085</v>
      </c>
      <c r="AE446">
        <f t="shared" si="85"/>
        <v>16443.226301369868</v>
      </c>
      <c r="AF446">
        <f t="shared" si="86"/>
        <v>1.0328864526027397</v>
      </c>
      <c r="AG446" s="4">
        <f>(AE446-AE445)/(500000+AE445)-中国_中债国债到期收益率_1年!H446%/252</f>
        <v>-1.0760165386342439E-3</v>
      </c>
      <c r="AH446" s="4">
        <f>MIN((AF446-MAX($AF$401:AF446))/MAX($AF$401:AF446),0)</f>
        <v>-9.9665145926919677E-4</v>
      </c>
    </row>
    <row r="447" spans="1:34" x14ac:dyDescent="0.25">
      <c r="A447" s="6">
        <v>45362</v>
      </c>
      <c r="C447">
        <v>20</v>
      </c>
      <c r="D447">
        <v>20</v>
      </c>
      <c r="E447">
        <v>10</v>
      </c>
      <c r="F447">
        <f t="shared" si="83"/>
        <v>50</v>
      </c>
      <c r="G447">
        <f t="shared" si="99"/>
        <v>0</v>
      </c>
      <c r="H447">
        <f t="shared" si="93"/>
        <v>100</v>
      </c>
      <c r="I447">
        <f t="shared" si="94"/>
        <v>180</v>
      </c>
      <c r="J447">
        <f t="shared" si="95"/>
        <v>160</v>
      </c>
      <c r="K447">
        <f t="shared" si="96"/>
        <v>440</v>
      </c>
      <c r="L447">
        <f>G447*Return!B447*100</f>
        <v>0</v>
      </c>
      <c r="M447">
        <f>H447*Return!C447*100</f>
        <v>-129.99999999999901</v>
      </c>
      <c r="N447">
        <f>I447*Return!D447*100</f>
        <v>-88.200000000002277</v>
      </c>
      <c r="O447">
        <f>J447*Return!E447*100</f>
        <v>-39.999999999999147</v>
      </c>
      <c r="P447">
        <f t="shared" si="97"/>
        <v>-258.20000000000044</v>
      </c>
      <c r="Q447">
        <f>SUM($P$400:P447)</f>
        <v>13357.299999999997</v>
      </c>
      <c r="R447">
        <f>B447*中国_中债国债到期收益率_1年!B446/365*100</f>
        <v>0</v>
      </c>
      <c r="S447">
        <f>C447*中国_中债国债到期收益率_1年!C446/365*100</f>
        <v>12.103561643835615</v>
      </c>
      <c r="T447">
        <f>D447*中国_中债国债到期收益率_1年!D446/365*100</f>
        <v>12.506849315068495</v>
      </c>
      <c r="U447">
        <f>E447*中国_中债国债到期收益率_1年!E446/365*100</f>
        <v>6.6671232876712327</v>
      </c>
      <c r="V447">
        <f t="shared" si="98"/>
        <v>31.277534246575343</v>
      </c>
      <c r="W447">
        <f>SUM($V$400:V447)</f>
        <v>1576.9038356164381</v>
      </c>
      <c r="X447">
        <f>MAX(F447-50,0)*中国_中债国债到期收益率_1年!H447*100/365</f>
        <v>0</v>
      </c>
      <c r="Y447">
        <f>SUM($X$400:X447)</f>
        <v>0</v>
      </c>
      <c r="Z447">
        <v>-200</v>
      </c>
      <c r="AA447">
        <v>200</v>
      </c>
      <c r="AB447">
        <f>Z447*Return!F451*100</f>
        <v>80.000000000000071</v>
      </c>
      <c r="AC447">
        <f>AA447*Return!G451*100</f>
        <v>53.999999999998494</v>
      </c>
      <c r="AD447">
        <f>SUM($AB$400:AB447)+SUM($AC$400:AC447)</f>
        <v>1416.1000000000072</v>
      </c>
      <c r="AE447">
        <f t="shared" si="85"/>
        <v>16350.303835616443</v>
      </c>
      <c r="AF447">
        <f t="shared" si="86"/>
        <v>1.0327006076712328</v>
      </c>
      <c r="AG447" s="4">
        <f>(AE447-AE446)/(500000+AE446)-中国_中债国债到期收益率_1年!H447%/252</f>
        <v>-2.5929282557430211E-4</v>
      </c>
      <c r="AH447" s="4">
        <f>MIN((AF447-MAX($AF$401:AF447))/MAX($AF$401:AF447),0)</f>
        <v>-1.1763998802276087E-3</v>
      </c>
    </row>
    <row r="448" spans="1:34" x14ac:dyDescent="0.25">
      <c r="A448" s="6">
        <v>45363</v>
      </c>
      <c r="C448">
        <v>20</v>
      </c>
      <c r="D448">
        <v>20</v>
      </c>
      <c r="E448">
        <v>10</v>
      </c>
      <c r="F448">
        <f t="shared" si="83"/>
        <v>50</v>
      </c>
      <c r="G448">
        <f t="shared" si="99"/>
        <v>0</v>
      </c>
      <c r="H448">
        <f t="shared" si="93"/>
        <v>100</v>
      </c>
      <c r="I448">
        <f t="shared" si="94"/>
        <v>180</v>
      </c>
      <c r="J448">
        <f t="shared" si="95"/>
        <v>160</v>
      </c>
      <c r="K448">
        <f t="shared" si="96"/>
        <v>440</v>
      </c>
      <c r="L448">
        <f>G448*Return!B448*100</f>
        <v>0</v>
      </c>
      <c r="M448">
        <f>H448*Return!C448*100</f>
        <v>-231.00000000000341</v>
      </c>
      <c r="N448">
        <f>I448*Return!D448*100</f>
        <v>-404.99999999999937</v>
      </c>
      <c r="O448">
        <f>J448*Return!E448*100</f>
        <v>-689.59999999999866</v>
      </c>
      <c r="P448">
        <f t="shared" si="97"/>
        <v>-1325.6000000000013</v>
      </c>
      <c r="Q448">
        <f>SUM($P$400:P448)</f>
        <v>12031.699999999997</v>
      </c>
      <c r="R448">
        <f>B448*中国_中债国债到期收益率_1年!B447/365*100</f>
        <v>0</v>
      </c>
      <c r="S448">
        <f>C448*中国_中债国债到期收益率_1年!C447/365*100</f>
        <v>12.230136986301369</v>
      </c>
      <c r="T448">
        <f>D448*中国_中债国债到期收益率_1年!D447/365*100</f>
        <v>12.630136986301371</v>
      </c>
      <c r="U448">
        <f>E448*中国_中债国债到期收益率_1年!E447/365*100</f>
        <v>6.7852054794520544</v>
      </c>
      <c r="V448">
        <f t="shared" si="98"/>
        <v>31.645479452054794</v>
      </c>
      <c r="W448">
        <f>SUM($V$400:V448)</f>
        <v>1608.5493150684929</v>
      </c>
      <c r="X448">
        <f>MAX(F448-50,0)*中国_中债国债到期收益率_1年!H448*100/365</f>
        <v>0</v>
      </c>
      <c r="Y448">
        <f>SUM($X$400:X448)</f>
        <v>0</v>
      </c>
      <c r="Z448">
        <v>-200</v>
      </c>
      <c r="AA448">
        <v>200</v>
      </c>
      <c r="AB448">
        <f>Z448*Return!F452*100</f>
        <v>-49.999999999998934</v>
      </c>
      <c r="AC448">
        <f>AA448*Return!G452*100</f>
        <v>102.00000000000209</v>
      </c>
      <c r="AD448">
        <f>SUM($AB$400:AB448)+SUM($AC$400:AC448)</f>
        <v>1468.1000000000101</v>
      </c>
      <c r="AE448">
        <f t="shared" si="85"/>
        <v>15108.349315068499</v>
      </c>
      <c r="AF448">
        <f t="shared" si="86"/>
        <v>1.0302166986301371</v>
      </c>
      <c r="AG448" s="4">
        <f>(AE448-AE447)/(500000+AE447)-中国_中债国债到期收益率_1年!H448%/252</f>
        <v>-2.4846207968930948E-3</v>
      </c>
      <c r="AH448" s="4">
        <f>MIN((AF448-MAX($AF$401:AF448))/MAX($AF$401:AF448),0)</f>
        <v>-3.578826055217468E-3</v>
      </c>
    </row>
    <row r="449" spans="1:34" x14ac:dyDescent="0.25">
      <c r="A449" s="6">
        <v>45364</v>
      </c>
      <c r="C449">
        <v>20</v>
      </c>
      <c r="D449">
        <v>20</v>
      </c>
      <c r="E449">
        <v>10</v>
      </c>
      <c r="F449">
        <f t="shared" si="83"/>
        <v>50</v>
      </c>
      <c r="G449">
        <f t="shared" si="99"/>
        <v>0</v>
      </c>
      <c r="H449">
        <f t="shared" si="93"/>
        <v>100</v>
      </c>
      <c r="I449">
        <f t="shared" si="94"/>
        <v>180</v>
      </c>
      <c r="J449">
        <f t="shared" si="95"/>
        <v>160</v>
      </c>
      <c r="K449">
        <f t="shared" si="96"/>
        <v>440</v>
      </c>
      <c r="L449">
        <f>G449*Return!B449*100</f>
        <v>0</v>
      </c>
      <c r="M449">
        <f>H449*Return!C449*100</f>
        <v>-395.99999999999636</v>
      </c>
      <c r="N449">
        <f>I449*Return!D449*100</f>
        <v>-766.79999999999552</v>
      </c>
      <c r="O449">
        <f>J449*Return!E449*100</f>
        <v>-1038.4000000000028</v>
      </c>
      <c r="P449">
        <f t="shared" si="97"/>
        <v>-2201.1999999999948</v>
      </c>
      <c r="Q449">
        <f>SUM($P$400:P449)</f>
        <v>9830.5000000000018</v>
      </c>
      <c r="R449">
        <f>B449*中国_中债国债到期收益率_1年!B448/365*100</f>
        <v>0</v>
      </c>
      <c r="S449">
        <f>C449*中国_中债国债到期收益率_1年!C448/365*100</f>
        <v>12.447123287671232</v>
      </c>
      <c r="T449">
        <f>D449*中国_中债国债到期收益率_1年!D448/365*100</f>
        <v>12.863561643835617</v>
      </c>
      <c r="U449">
        <f>E449*中国_中债国债到期收益率_1年!E448/365*100</f>
        <v>6.963013698630137</v>
      </c>
      <c r="V449">
        <f t="shared" si="98"/>
        <v>32.273698630136984</v>
      </c>
      <c r="W449">
        <f>SUM($V$400:V449)</f>
        <v>1640.8230136986299</v>
      </c>
      <c r="X449">
        <f>MAX(F449-50,0)*中国_中债国债到期收益率_1年!H449*100/365</f>
        <v>0</v>
      </c>
      <c r="Y449">
        <f>SUM($X$400:X449)</f>
        <v>0</v>
      </c>
      <c r="Z449">
        <v>-200</v>
      </c>
      <c r="AA449">
        <v>200</v>
      </c>
      <c r="AB449">
        <f>Z449*Return!F453*100</f>
        <v>-94.00000000000297</v>
      </c>
      <c r="AC449">
        <f>AA449*Return!G453*100</f>
        <v>177.99999999999372</v>
      </c>
      <c r="AD449">
        <f>SUM($AB$400:AB449)+SUM($AC$400:AC449)</f>
        <v>1552.100000000001</v>
      </c>
      <c r="AE449">
        <f t="shared" si="85"/>
        <v>13023.423013698632</v>
      </c>
      <c r="AF449">
        <f t="shared" si="86"/>
        <v>1.0260468460273973</v>
      </c>
      <c r="AG449" s="4">
        <f>(AE449-AE448)/(500000+AE448)-中国_中债国债到期收益率_1年!H449%/252</f>
        <v>-4.126914112771665E-3</v>
      </c>
      <c r="AH449" s="4">
        <f>MIN((AF449-MAX($AF$401:AF449))/MAX($AF$401:AF449),0)</f>
        <v>-7.611889614683621E-3</v>
      </c>
    </row>
    <row r="450" spans="1:34" x14ac:dyDescent="0.25">
      <c r="A450" s="6">
        <v>45365</v>
      </c>
      <c r="C450">
        <v>20</v>
      </c>
      <c r="D450">
        <v>20</v>
      </c>
      <c r="E450">
        <v>10</v>
      </c>
      <c r="F450">
        <f t="shared" si="83"/>
        <v>50</v>
      </c>
      <c r="G450">
        <f t="shared" si="99"/>
        <v>0</v>
      </c>
      <c r="H450">
        <f t="shared" si="93"/>
        <v>100</v>
      </c>
      <c r="I450">
        <f t="shared" si="94"/>
        <v>180</v>
      </c>
      <c r="J450">
        <f t="shared" si="95"/>
        <v>160</v>
      </c>
      <c r="K450">
        <f t="shared" si="96"/>
        <v>440</v>
      </c>
      <c r="L450">
        <f>G450*Return!B450*100</f>
        <v>0</v>
      </c>
      <c r="M450">
        <f>H450*Return!C450*100</f>
        <v>128.9999999999969</v>
      </c>
      <c r="N450">
        <f>I450*Return!D450*100</f>
        <v>270.00000000000222</v>
      </c>
      <c r="O450">
        <f>J450*Return!E450*100</f>
        <v>163.20000000000334</v>
      </c>
      <c r="P450">
        <f t="shared" si="97"/>
        <v>562.20000000000243</v>
      </c>
      <c r="Q450">
        <f>SUM($P$400:P450)</f>
        <v>10392.700000000004</v>
      </c>
      <c r="R450">
        <f>B450*中国_中债国债到期收益率_1年!B449/365*100</f>
        <v>0</v>
      </c>
      <c r="S450">
        <f>C450*中国_中债国债到期收益率_1年!C449/365*100</f>
        <v>12.376438356164385</v>
      </c>
      <c r="T450">
        <f>D450*中国_中债国债到期收益率_1年!D449/365*100</f>
        <v>12.781369863013698</v>
      </c>
      <c r="U450">
        <f>E450*中国_中债国债到期收益率_1年!E449/365*100</f>
        <v>6.9350684931506841</v>
      </c>
      <c r="V450">
        <f t="shared" si="98"/>
        <v>32.092876712328767</v>
      </c>
      <c r="W450">
        <f>SUM($V$400:V450)</f>
        <v>1672.9158904109586</v>
      </c>
      <c r="X450">
        <f>MAX(F450-50,0)*中国_中债国债到期收益率_1年!H450*100/365</f>
        <v>0</v>
      </c>
      <c r="Y450">
        <f>SUM($X$400:X450)</f>
        <v>0</v>
      </c>
      <c r="Z450">
        <v>-200</v>
      </c>
      <c r="AA450">
        <v>200</v>
      </c>
      <c r="AB450">
        <f>Z450*Return!F454*100</f>
        <v>-29.999999999996696</v>
      </c>
      <c r="AC450">
        <f>AA450*Return!G454*100</f>
        <v>209.99999999999909</v>
      </c>
      <c r="AD450">
        <f>SUM($AB$400:AB450)+SUM($AC$400:AC450)</f>
        <v>1732.1000000000035</v>
      </c>
      <c r="AE450">
        <f t="shared" si="85"/>
        <v>13797.715890410967</v>
      </c>
      <c r="AF450">
        <f t="shared" si="86"/>
        <v>1.027595431780822</v>
      </c>
      <c r="AG450" s="4">
        <f>(AE450-AE449)/(500000+AE449)-中国_中债国债到期收益率_1年!H450%/252</f>
        <v>1.4299088484486626E-3</v>
      </c>
      <c r="AH450" s="4">
        <f>MIN((AF450-MAX($AF$401:AF450))/MAX($AF$401:AF450),0)</f>
        <v>-6.1141041134066335E-3</v>
      </c>
    </row>
    <row r="451" spans="1:34" x14ac:dyDescent="0.25">
      <c r="A451" s="6">
        <v>45366</v>
      </c>
      <c r="B451">
        <v>10</v>
      </c>
      <c r="C451">
        <v>20</v>
      </c>
      <c r="D451">
        <v>20</v>
      </c>
      <c r="E451">
        <v>10</v>
      </c>
      <c r="F451">
        <f t="shared" ref="F451:F514" si="100">SUM(B451:E451)</f>
        <v>60</v>
      </c>
      <c r="G451">
        <f t="shared" si="99"/>
        <v>10</v>
      </c>
      <c r="H451">
        <f t="shared" si="93"/>
        <v>100</v>
      </c>
      <c r="I451">
        <f t="shared" si="94"/>
        <v>180</v>
      </c>
      <c r="J451">
        <f t="shared" si="95"/>
        <v>160</v>
      </c>
      <c r="K451">
        <f t="shared" si="96"/>
        <v>450</v>
      </c>
      <c r="L451">
        <f>G451*Return!B451*100</f>
        <v>-30.000000000000028</v>
      </c>
      <c r="M451">
        <f>H451*Return!C451*100</f>
        <v>-7.9999999999991189</v>
      </c>
      <c r="N451">
        <f>I451*Return!D451*100</f>
        <v>-178.20000000000036</v>
      </c>
      <c r="O451">
        <f>J451*Return!E451*100</f>
        <v>-48.000000000001819</v>
      </c>
      <c r="P451">
        <f t="shared" si="97"/>
        <v>-264.2000000000013</v>
      </c>
      <c r="Q451">
        <f>SUM($P$400:P451)</f>
        <v>10128.500000000004</v>
      </c>
      <c r="R451">
        <f>B451*中国_中债国债到期收益率_1年!B450/365*100</f>
        <v>5.0616438356164375</v>
      </c>
      <c r="S451">
        <f>C451*中国_中债国债到期收益率_1年!C450/365*100</f>
        <v>12.380821917808218</v>
      </c>
      <c r="T451">
        <f>D451*中国_中债国债到期收益率_1年!D450/365*100</f>
        <v>12.835616438356162</v>
      </c>
      <c r="U451">
        <f>E451*中国_中债国债到期收益率_1年!E450/365*100</f>
        <v>6.943287671232877</v>
      </c>
      <c r="V451">
        <f t="shared" si="98"/>
        <v>37.221369863013692</v>
      </c>
      <c r="W451">
        <f>SUM($V$400:V451)</f>
        <v>1710.1372602739723</v>
      </c>
      <c r="X451">
        <f>MAX(F451-50,0)*中国_中债国债到期收益率_1年!H451*100/365</f>
        <v>5.4794520547945202</v>
      </c>
      <c r="Y451">
        <f>SUM($X$400:X451)</f>
        <v>5.4794520547945202</v>
      </c>
      <c r="Z451">
        <v>-200</v>
      </c>
      <c r="AA451">
        <v>200</v>
      </c>
      <c r="AB451">
        <f>Z451*Return!F455*100</f>
        <v>295.99999999999847</v>
      </c>
      <c r="AC451">
        <f>AA451*Return!G455*100</f>
        <v>-409.99999999999483</v>
      </c>
      <c r="AD451">
        <f>SUM($AB$400:AB451)+SUM($AC$400:AC451)</f>
        <v>1618.1000000000072</v>
      </c>
      <c r="AE451">
        <f t="shared" si="85"/>
        <v>13451.257808219189</v>
      </c>
      <c r="AF451">
        <f t="shared" si="86"/>
        <v>1.0269025156164384</v>
      </c>
      <c r="AG451" s="4">
        <f>(AE451-AE450)/(500000+AE450)-中国_中债国债到期收益率_1年!H451%/252</f>
        <v>-7.5367341409826778E-4</v>
      </c>
      <c r="AH451" s="4">
        <f>MIN((AF451-MAX($AF$401:AF451))/MAX($AF$401:AF451),0)</f>
        <v>-6.7842896567767716E-3</v>
      </c>
    </row>
    <row r="452" spans="1:34" x14ac:dyDescent="0.25">
      <c r="A452" s="6">
        <v>45369</v>
      </c>
      <c r="B452">
        <v>10</v>
      </c>
      <c r="C452">
        <v>20</v>
      </c>
      <c r="D452">
        <v>20</v>
      </c>
      <c r="E452">
        <v>10</v>
      </c>
      <c r="F452">
        <f t="shared" si="100"/>
        <v>60</v>
      </c>
      <c r="G452">
        <f t="shared" si="99"/>
        <v>10</v>
      </c>
      <c r="H452">
        <f t="shared" si="93"/>
        <v>100</v>
      </c>
      <c r="I452">
        <f t="shared" si="94"/>
        <v>180</v>
      </c>
      <c r="J452">
        <f t="shared" si="95"/>
        <v>160</v>
      </c>
      <c r="K452">
        <f t="shared" si="96"/>
        <v>450</v>
      </c>
      <c r="L452">
        <f>G452*Return!B452*100</f>
        <v>14.999999999999902</v>
      </c>
      <c r="M452">
        <f>H452*Return!C452*100</f>
        <v>167.00000000000159</v>
      </c>
      <c r="N452">
        <f>I452*Return!D452*100</f>
        <v>404.99999999999937</v>
      </c>
      <c r="O452">
        <f>J452*Return!E452*100</f>
        <v>398.40000000000231</v>
      </c>
      <c r="P452">
        <f t="shared" si="97"/>
        <v>985.40000000000327</v>
      </c>
      <c r="Q452">
        <f>SUM($P$400:P452)</f>
        <v>11113.900000000007</v>
      </c>
      <c r="R452">
        <f>B452*中国_中债国债到期收益率_1年!B451/365*100</f>
        <v>5.0205479452054798</v>
      </c>
      <c r="S452">
        <f>C452*中国_中债国债到期收益率_1年!C451/365*100</f>
        <v>12.289315068493149</v>
      </c>
      <c r="T452">
        <f>D452*中国_中债国债到期收益率_1年!D451/365*100</f>
        <v>12.712328767123287</v>
      </c>
      <c r="U452">
        <f>E452*中国_中债国债到期收益率_1年!E451/365*100</f>
        <v>6.8750684931506836</v>
      </c>
      <c r="V452">
        <f t="shared" si="98"/>
        <v>36.897260273972599</v>
      </c>
      <c r="W452">
        <f>SUM($V$400:V452)</f>
        <v>1747.0345205479448</v>
      </c>
      <c r="X452">
        <f>MAX(F452-50,0)*中国_中债国债到期收益率_1年!H452*100/365</f>
        <v>5.4794520547945202</v>
      </c>
      <c r="Y452">
        <f>SUM($X$400:X452)</f>
        <v>10.95890410958904</v>
      </c>
      <c r="Z452">
        <v>-200</v>
      </c>
      <c r="AA452">
        <v>200</v>
      </c>
      <c r="AB452">
        <f>Z452*Return!F456*100</f>
        <v>-209.99999999999909</v>
      </c>
      <c r="AC452">
        <f>AA452*Return!G456*100</f>
        <v>171.99999999999881</v>
      </c>
      <c r="AD452">
        <f>SUM($AB$400:AB452)+SUM($AC$400:AC452)</f>
        <v>1580.100000000007</v>
      </c>
      <c r="AE452">
        <f t="shared" ref="AE452:AE515" si="101">Q452+W452+AD452-Y452</f>
        <v>14430.075616438369</v>
      </c>
      <c r="AF452">
        <f t="shared" ref="AF452:AF515" si="102">AE452/$AI$1+1</f>
        <v>1.0288601512328768</v>
      </c>
      <c r="AG452" s="4">
        <f>(AE452-AE451)/(500000+AE451)-中国_中债国债到期收益率_1年!H452%/252</f>
        <v>1.8269849262761225E-3</v>
      </c>
      <c r="AH452" s="4">
        <f>MIN((AF452-MAX($AF$401:AF452))/MAX($AF$401:AF452),0)</f>
        <v>-4.8908728817610419E-3</v>
      </c>
    </row>
    <row r="453" spans="1:34" x14ac:dyDescent="0.25">
      <c r="A453" s="6">
        <v>45370</v>
      </c>
      <c r="B453">
        <v>10</v>
      </c>
      <c r="C453">
        <v>20</v>
      </c>
      <c r="D453">
        <v>20</v>
      </c>
      <c r="E453">
        <v>10</v>
      </c>
      <c r="F453">
        <f t="shared" si="100"/>
        <v>60</v>
      </c>
      <c r="G453">
        <f t="shared" si="99"/>
        <v>10</v>
      </c>
      <c r="H453">
        <f t="shared" si="93"/>
        <v>100</v>
      </c>
      <c r="I453">
        <f t="shared" si="94"/>
        <v>180</v>
      </c>
      <c r="J453">
        <f t="shared" si="95"/>
        <v>160</v>
      </c>
      <c r="K453">
        <f t="shared" si="96"/>
        <v>450</v>
      </c>
      <c r="L453">
        <f>G453*Return!B453*100</f>
        <v>50.000000000000043</v>
      </c>
      <c r="M453">
        <f>H453*Return!C453*100</f>
        <v>259.99999999999801</v>
      </c>
      <c r="N453">
        <f>I453*Return!D453*100</f>
        <v>493.19999999999362</v>
      </c>
      <c r="O453">
        <f>J453*Return!E453*100</f>
        <v>379.19999999999732</v>
      </c>
      <c r="P453">
        <f t="shared" si="97"/>
        <v>1182.3999999999889</v>
      </c>
      <c r="Q453">
        <f>SUM($P$400:P453)</f>
        <v>12296.299999999996</v>
      </c>
      <c r="R453">
        <f>B453*中国_中债国债到期收益率_1年!B452/365*100</f>
        <v>4.8835616438356162</v>
      </c>
      <c r="S453">
        <f>C453*中国_中债国债到期收益率_1年!C452/365*100</f>
        <v>12.146849315068494</v>
      </c>
      <c r="T453">
        <f>D453*中国_中债国债到期收益率_1年!D452/365*100</f>
        <v>12.562191780821919</v>
      </c>
      <c r="U453">
        <f>E453*中国_中债国债到期收益率_1年!E452/365*100</f>
        <v>6.8101369863013694</v>
      </c>
      <c r="V453">
        <f t="shared" si="98"/>
        <v>36.402739726027399</v>
      </c>
      <c r="W453">
        <f>SUM($V$400:V453)</f>
        <v>1783.4372602739722</v>
      </c>
      <c r="X453">
        <f>MAX(F453-50,0)*中国_中债国债到期收益率_1年!H453*100/365</f>
        <v>5.4794520547945202</v>
      </c>
      <c r="Y453">
        <f>SUM($X$400:X453)</f>
        <v>16.43835616438356</v>
      </c>
      <c r="Z453">
        <v>-200</v>
      </c>
      <c r="AA453">
        <v>200</v>
      </c>
      <c r="AB453">
        <f>Z453*Return!F457*100</f>
        <v>78.000000000000284</v>
      </c>
      <c r="AC453">
        <f>AA453*Return!G457*100</f>
        <v>-69.999999999996732</v>
      </c>
      <c r="AD453">
        <f>SUM($AB$400:AB453)+SUM($AC$400:AC453)</f>
        <v>1588.1000000000104</v>
      </c>
      <c r="AE453">
        <f t="shared" si="101"/>
        <v>15651.398904109592</v>
      </c>
      <c r="AF453">
        <f t="shared" si="102"/>
        <v>1.0313027978082192</v>
      </c>
      <c r="AG453" s="4">
        <f>(AE453-AE452)/(500000+AE452)-中国_中债国债到期收益率_1年!H453%/252</f>
        <v>2.2947637781044585E-3</v>
      </c>
      <c r="AH453" s="4">
        <f>MIN((AF453-MAX($AF$401:AF453))/MAX($AF$401:AF453),0)</f>
        <v>-2.5283555867383202E-3</v>
      </c>
    </row>
    <row r="454" spans="1:34" x14ac:dyDescent="0.25">
      <c r="A454" s="6">
        <v>45371</v>
      </c>
      <c r="B454">
        <v>10</v>
      </c>
      <c r="C454">
        <v>20</v>
      </c>
      <c r="D454">
        <v>20</v>
      </c>
      <c r="E454">
        <v>10</v>
      </c>
      <c r="F454">
        <f t="shared" si="100"/>
        <v>60</v>
      </c>
      <c r="G454">
        <f t="shared" si="99"/>
        <v>10</v>
      </c>
      <c r="H454">
        <f t="shared" si="93"/>
        <v>100</v>
      </c>
      <c r="I454">
        <f t="shared" si="94"/>
        <v>180</v>
      </c>
      <c r="J454">
        <f t="shared" si="95"/>
        <v>160</v>
      </c>
      <c r="K454">
        <f t="shared" si="96"/>
        <v>450</v>
      </c>
      <c r="L454">
        <f>G454*Return!B454*100</f>
        <v>10.000000000000009</v>
      </c>
      <c r="M454">
        <f>H454*Return!C454*100</f>
        <v>94.00000000000297</v>
      </c>
      <c r="N454">
        <f>I454*Return!D454*100</f>
        <v>225.00000000000318</v>
      </c>
      <c r="O454">
        <f>J454*Return!E454*100</f>
        <v>595.19999999999845</v>
      </c>
      <c r="P454">
        <f t="shared" si="97"/>
        <v>924.20000000000459</v>
      </c>
      <c r="Q454">
        <f>SUM($P$400:P454)</f>
        <v>13220.5</v>
      </c>
      <c r="R454">
        <f>B454*中国_中债国债到期收益率_1年!B453/365*100</f>
        <v>4.8561643835616444</v>
      </c>
      <c r="S454">
        <f>C454*中国_中债国债到期收益率_1年!C453/365*100</f>
        <v>12.095342465753424</v>
      </c>
      <c r="T454">
        <f>D454*中国_中债国债到期收益率_1年!D453/365*100</f>
        <v>12.493698630136988</v>
      </c>
      <c r="U454">
        <f>E454*中国_中债国债到期收益率_1年!E453/365*100</f>
        <v>6.7082191780821923</v>
      </c>
      <c r="V454">
        <f t="shared" si="98"/>
        <v>36.153424657534245</v>
      </c>
      <c r="W454">
        <f>SUM($V$400:V454)</f>
        <v>1819.5906849315065</v>
      </c>
      <c r="X454">
        <f>MAX(F454-50,0)*中国_中债国债到期收益率_1年!H454*100/365</f>
        <v>5.4794520547945202</v>
      </c>
      <c r="Y454">
        <f>SUM($X$400:X454)</f>
        <v>21.917808219178081</v>
      </c>
      <c r="Z454">
        <v>-200</v>
      </c>
      <c r="AA454">
        <v>200</v>
      </c>
      <c r="AB454">
        <f>Z454*Return!F458*100</f>
        <v>349.99999999999699</v>
      </c>
      <c r="AC454">
        <f>AA454*Return!G458*100</f>
        <v>-248.00000000000821</v>
      </c>
      <c r="AD454">
        <f>SUM($AB$400:AB454)+SUM($AC$400:AC454)</f>
        <v>1690.0999999999992</v>
      </c>
      <c r="AE454">
        <f t="shared" si="101"/>
        <v>16708.272876712326</v>
      </c>
      <c r="AF454">
        <f t="shared" si="102"/>
        <v>1.0334165457534246</v>
      </c>
      <c r="AG454" s="4">
        <f>(AE454-AE453)/(500000+AE453)-中国_中债国债到期收益率_1年!H454%/252</f>
        <v>1.9702249631498065E-3</v>
      </c>
      <c r="AH454" s="4">
        <f>MIN((AF454-MAX($AF$401:AF454))/MAX($AF$401:AF454),0)</f>
        <v>-4.8394763665805742E-4</v>
      </c>
    </row>
    <row r="455" spans="1:34" x14ac:dyDescent="0.25">
      <c r="A455" s="6">
        <v>45372</v>
      </c>
      <c r="B455">
        <v>10</v>
      </c>
      <c r="C455">
        <v>20</v>
      </c>
      <c r="D455">
        <v>20</v>
      </c>
      <c r="E455">
        <v>10</v>
      </c>
      <c r="F455">
        <f t="shared" si="100"/>
        <v>60</v>
      </c>
      <c r="G455">
        <f t="shared" si="99"/>
        <v>10</v>
      </c>
      <c r="H455">
        <f t="shared" si="93"/>
        <v>100</v>
      </c>
      <c r="I455">
        <f t="shared" si="94"/>
        <v>180</v>
      </c>
      <c r="J455">
        <f t="shared" si="95"/>
        <v>160</v>
      </c>
      <c r="K455">
        <f t="shared" si="96"/>
        <v>450</v>
      </c>
      <c r="L455">
        <f>G455*Return!B455*100</f>
        <v>0</v>
      </c>
      <c r="M455">
        <f>H455*Return!C455*100</f>
        <v>-159.00000000000247</v>
      </c>
      <c r="N455">
        <f>I455*Return!D455*100</f>
        <v>-270.00000000000222</v>
      </c>
      <c r="O455">
        <f>J455*Return!E455*100</f>
        <v>-280.00000000000114</v>
      </c>
      <c r="P455">
        <f t="shared" si="97"/>
        <v>-709.0000000000058</v>
      </c>
      <c r="Q455">
        <f>SUM($P$400:P455)</f>
        <v>12511.499999999995</v>
      </c>
      <c r="R455">
        <f>B455*中国_中债国债到期收益率_1年!B454/365*100</f>
        <v>4.8561643835616444</v>
      </c>
      <c r="S455">
        <f>C455*中国_中债国债到期收益率_1年!C454/365*100</f>
        <v>12.182465753424658</v>
      </c>
      <c r="T455">
        <f>D455*中国_中债国债到期收益率_1年!D454/365*100</f>
        <v>12.575890410958904</v>
      </c>
      <c r="U455">
        <f>E455*中国_中债国债到期收益率_1年!E454/365*100</f>
        <v>6.7561643835616438</v>
      </c>
      <c r="V455">
        <f t="shared" si="98"/>
        <v>36.370684931506851</v>
      </c>
      <c r="W455">
        <f>SUM($V$400:V455)</f>
        <v>1855.9613698630135</v>
      </c>
      <c r="X455">
        <f>MAX(F455-50,0)*中国_中债国债到期收益率_1年!H455*100/365</f>
        <v>5.4794520547945202</v>
      </c>
      <c r="Y455">
        <f>SUM($X$400:X455)</f>
        <v>27.397260273972602</v>
      </c>
      <c r="Z455">
        <v>-200</v>
      </c>
      <c r="AA455">
        <v>200</v>
      </c>
      <c r="AB455">
        <f>Z455*Return!F459*100</f>
        <v>228.00000000000153</v>
      </c>
      <c r="AC455">
        <f>AA455*Return!G459*100</f>
        <v>-198.0000000000004</v>
      </c>
      <c r="AD455">
        <f>SUM($AB$400:AB455)+SUM($AC$400:AC455)</f>
        <v>1720.1000000000004</v>
      </c>
      <c r="AE455">
        <f t="shared" si="101"/>
        <v>16060.164109589035</v>
      </c>
      <c r="AF455">
        <f t="shared" si="102"/>
        <v>1.032120328219178</v>
      </c>
      <c r="AG455" s="4">
        <f>(AE455-AE454)/(500000+AE454)-中国_中债国债到期收益率_1年!H455%/252</f>
        <v>-1.3336681380620532E-3</v>
      </c>
      <c r="AH455" s="4">
        <f>MIN((AF455-MAX($AF$401:AF455))/MAX($AF$401:AF455),0)</f>
        <v>-1.7376436783541201E-3</v>
      </c>
    </row>
    <row r="456" spans="1:34" x14ac:dyDescent="0.25">
      <c r="A456" s="6">
        <v>45373</v>
      </c>
      <c r="B456">
        <v>10</v>
      </c>
      <c r="C456">
        <v>20</v>
      </c>
      <c r="D456">
        <v>20</v>
      </c>
      <c r="E456">
        <v>10</v>
      </c>
      <c r="F456">
        <f t="shared" si="100"/>
        <v>60</v>
      </c>
      <c r="G456">
        <f t="shared" si="99"/>
        <v>10</v>
      </c>
      <c r="H456">
        <f t="shared" si="93"/>
        <v>100</v>
      </c>
      <c r="I456">
        <f t="shared" si="94"/>
        <v>180</v>
      </c>
      <c r="J456">
        <f t="shared" si="95"/>
        <v>160</v>
      </c>
      <c r="K456">
        <f t="shared" si="96"/>
        <v>450</v>
      </c>
      <c r="L456">
        <f>G456*Return!B456*100</f>
        <v>10.000000000000009</v>
      </c>
      <c r="M456">
        <f>H456*Return!C456*100</f>
        <v>197.00000000000273</v>
      </c>
      <c r="N456">
        <f>I456*Return!D456*100</f>
        <v>180.00000000000415</v>
      </c>
      <c r="O456">
        <f>J456*Return!E456*100</f>
        <v>72.000000000002728</v>
      </c>
      <c r="P456">
        <f t="shared" si="97"/>
        <v>459.00000000000961</v>
      </c>
      <c r="Q456">
        <f>SUM($P$400:P456)</f>
        <v>12970.500000000004</v>
      </c>
      <c r="R456">
        <f>B456*中国_中债国债到期收益率_1年!B455/365*100</f>
        <v>4.8287671232876717</v>
      </c>
      <c r="S456">
        <f>C456*中国_中债国债到期收益率_1年!C455/365*100</f>
        <v>12.074520547945204</v>
      </c>
      <c r="T456">
        <f>D456*中国_中债国债到期收益率_1年!D455/365*100</f>
        <v>12.521095890410958</v>
      </c>
      <c r="U456">
        <f>E456*中国_中债国债到期收益率_1年!E455/365*100</f>
        <v>6.7438356164383571</v>
      </c>
      <c r="V456">
        <f t="shared" si="98"/>
        <v>36.16821917808219</v>
      </c>
      <c r="W456">
        <f>SUM($V$400:V456)</f>
        <v>1892.1295890410956</v>
      </c>
      <c r="X456">
        <f>MAX(F456-50,0)*中国_中债国债到期收益率_1年!H456*100/365</f>
        <v>5.6164383561643838</v>
      </c>
      <c r="Y456">
        <f>SUM($X$400:X456)</f>
        <v>33.013698630136986</v>
      </c>
      <c r="Z456">
        <v>-200</v>
      </c>
      <c r="AA456">
        <v>200</v>
      </c>
      <c r="AB456">
        <f>Z456*Return!F460*100</f>
        <v>-186.00000000000171</v>
      </c>
      <c r="AC456">
        <f>AA456*Return!G460*100</f>
        <v>168.00000000000813</v>
      </c>
      <c r="AD456">
        <f>SUM($AB$400:AB456)+SUM($AC$400:AC456)</f>
        <v>1702.1000000000067</v>
      </c>
      <c r="AE456">
        <f t="shared" si="101"/>
        <v>16531.715890410967</v>
      </c>
      <c r="AF456">
        <f t="shared" si="102"/>
        <v>1.0330634317808218</v>
      </c>
      <c r="AG456" s="4">
        <f>(AE456-AE455)/(500000+AE455)-中国_中债国债到期收益率_1年!H456%/252</f>
        <v>8.3240429298463224E-4</v>
      </c>
      <c r="AH456" s="4">
        <f>MIN((AF456-MAX($AF$401:AF456))/MAX($AF$401:AF456),0)</f>
        <v>-8.254779570119929E-4</v>
      </c>
    </row>
    <row r="457" spans="1:34" x14ac:dyDescent="0.25">
      <c r="A457" s="6">
        <v>45376</v>
      </c>
      <c r="B457">
        <v>10</v>
      </c>
      <c r="C457">
        <v>10</v>
      </c>
      <c r="D457">
        <v>20</v>
      </c>
      <c r="E457">
        <v>10</v>
      </c>
      <c r="F457">
        <f t="shared" si="100"/>
        <v>50</v>
      </c>
      <c r="G457">
        <f t="shared" si="99"/>
        <v>10</v>
      </c>
      <c r="H457">
        <f t="shared" si="93"/>
        <v>50</v>
      </c>
      <c r="I457">
        <f t="shared" si="94"/>
        <v>180</v>
      </c>
      <c r="J457">
        <f t="shared" si="95"/>
        <v>160</v>
      </c>
      <c r="K457">
        <f t="shared" si="96"/>
        <v>400</v>
      </c>
      <c r="L457">
        <f>G457*Return!B457*100</f>
        <v>0</v>
      </c>
      <c r="M457">
        <f>H457*Return!C457*100</f>
        <v>-53.500000000001876</v>
      </c>
      <c r="N457">
        <f>I457*Return!D457*100</f>
        <v>-360.00000000000034</v>
      </c>
      <c r="O457">
        <f>J457*Return!E457*100</f>
        <v>-347.20000000000084</v>
      </c>
      <c r="P457">
        <f t="shared" si="97"/>
        <v>-760.700000000003</v>
      </c>
      <c r="Q457">
        <f>SUM($P$400:P457)</f>
        <v>12209.800000000001</v>
      </c>
      <c r="R457">
        <f>B457*中国_中债国债到期收益率_1年!B456/365*100</f>
        <v>4.8287671232876717</v>
      </c>
      <c r="S457">
        <f>C457*中国_中债国债到期收益率_1年!C456/365*100</f>
        <v>6.0665753424657538</v>
      </c>
      <c r="T457">
        <f>D457*中国_中债国债到期收益率_1年!D456/365*100</f>
        <v>12.630684931506849</v>
      </c>
      <c r="U457">
        <f>E457*中国_中债国债到期收益率_1年!E456/365*100</f>
        <v>6.8032876712328774</v>
      </c>
      <c r="V457">
        <f t="shared" si="98"/>
        <v>30.329315068493152</v>
      </c>
      <c r="W457">
        <f>SUM($V$400:V457)</f>
        <v>1922.4589041095887</v>
      </c>
      <c r="X457">
        <f>MAX(F457-50,0)*中国_中债国债到期收益率_1年!H457*100/365</f>
        <v>0</v>
      </c>
      <c r="Y457">
        <f>SUM($X$400:X457)</f>
        <v>33.013698630136986</v>
      </c>
      <c r="Z457">
        <v>-200</v>
      </c>
      <c r="AA457">
        <v>200</v>
      </c>
      <c r="AB457">
        <f>Z457*Return!F461*100</f>
        <v>-236.00000000000065</v>
      </c>
      <c r="AC457">
        <f>AA457*Return!G461*100</f>
        <v>233.99999999999642</v>
      </c>
      <c r="AD457">
        <f>SUM($AB$400:AB457)+SUM($AC$400:AC457)</f>
        <v>1700.1000000000024</v>
      </c>
      <c r="AE457">
        <f t="shared" si="101"/>
        <v>15799.345205479454</v>
      </c>
      <c r="AF457">
        <f t="shared" si="102"/>
        <v>1.0315986904109589</v>
      </c>
      <c r="AG457" s="4">
        <f>(AE457-AE456)/(500000+AE456)-中国_中债国债到期收益率_1年!H457%/252</f>
        <v>-1.5131000820263281E-3</v>
      </c>
      <c r="AH457" s="4">
        <f>MIN((AF457-MAX($AF$401:AF457))/MAX($AF$401:AF457),0)</f>
        <v>-2.2421695299839881E-3</v>
      </c>
    </row>
    <row r="458" spans="1:34" x14ac:dyDescent="0.25">
      <c r="A458" s="6">
        <v>45377</v>
      </c>
      <c r="B458">
        <v>10</v>
      </c>
      <c r="C458">
        <v>10</v>
      </c>
      <c r="D458">
        <v>20</v>
      </c>
      <c r="E458">
        <v>10</v>
      </c>
      <c r="F458">
        <f t="shared" si="100"/>
        <v>50</v>
      </c>
      <c r="G458">
        <f t="shared" si="99"/>
        <v>10</v>
      </c>
      <c r="H458">
        <f t="shared" si="93"/>
        <v>50</v>
      </c>
      <c r="I458">
        <f t="shared" si="94"/>
        <v>180</v>
      </c>
      <c r="J458">
        <f t="shared" si="95"/>
        <v>160</v>
      </c>
      <c r="K458">
        <f t="shared" si="96"/>
        <v>400</v>
      </c>
      <c r="L458">
        <f>G458*Return!B458*100</f>
        <v>-25.000000000000135</v>
      </c>
      <c r="M458">
        <f>H458*Return!C458*100</f>
        <v>-68.999999999999062</v>
      </c>
      <c r="N458">
        <f>I458*Return!D458*100</f>
        <v>-180.00000000000415</v>
      </c>
      <c r="O458">
        <f>J458*Return!E458*100</f>
        <v>-207.99999999999841</v>
      </c>
      <c r="P458">
        <f t="shared" si="97"/>
        <v>-482.00000000000176</v>
      </c>
      <c r="Q458">
        <f>SUM($P$400:P458)</f>
        <v>11727.8</v>
      </c>
      <c r="R458">
        <f>B458*中国_中债国债到期收益率_1年!B457/365*100</f>
        <v>4.897260273972603</v>
      </c>
      <c r="S458">
        <f>C458*中国_中债国债到期收益率_1年!C457/365*100</f>
        <v>6.1043835616438349</v>
      </c>
      <c r="T458">
        <f>D458*中国_中债国债到期收益率_1年!D457/365*100</f>
        <v>12.685479452054796</v>
      </c>
      <c r="U458">
        <f>E458*中国_中债国债到期收益率_1年!E457/365*100</f>
        <v>6.8389041095890404</v>
      </c>
      <c r="V458">
        <f t="shared" si="98"/>
        <v>30.526027397260275</v>
      </c>
      <c r="W458">
        <f>SUM($V$400:V458)</f>
        <v>1952.9849315068491</v>
      </c>
      <c r="X458">
        <f>MAX(F458-50,0)*中国_中债国债到期收益率_1年!H458*100/365</f>
        <v>0</v>
      </c>
      <c r="Y458">
        <f>SUM($X$400:X458)</f>
        <v>33.013698630136986</v>
      </c>
      <c r="Z458">
        <v>-200</v>
      </c>
      <c r="AA458">
        <v>200</v>
      </c>
      <c r="AB458">
        <f>Z458*Return!F462*100</f>
        <v>-487.99999999999955</v>
      </c>
      <c r="AC458">
        <f>AA458*Return!G462*100</f>
        <v>317.99999999999608</v>
      </c>
      <c r="AD458">
        <f>SUM($AB$400:AB458)+SUM($AC$400:AC458)</f>
        <v>1530.0999999999988</v>
      </c>
      <c r="AE458">
        <f t="shared" si="101"/>
        <v>15177.871232876711</v>
      </c>
      <c r="AF458">
        <f t="shared" si="102"/>
        <v>1.0303557424657535</v>
      </c>
      <c r="AG458" s="4">
        <f>(AE458-AE457)/(500000+AE457)-中国_中债国债到期收益率_1年!H458%/252</f>
        <v>-1.300113553843353E-3</v>
      </c>
      <c r="AH458" s="4">
        <f>MIN((AF458-MAX($AF$401:AF458))/MAX($AF$401:AF458),0)</f>
        <v>-3.4443434535484591E-3</v>
      </c>
    </row>
    <row r="459" spans="1:34" x14ac:dyDescent="0.25">
      <c r="A459" s="6">
        <v>45378</v>
      </c>
      <c r="B459">
        <v>10</v>
      </c>
      <c r="C459">
        <v>20</v>
      </c>
      <c r="D459">
        <v>20</v>
      </c>
      <c r="E459">
        <v>10</v>
      </c>
      <c r="F459">
        <f t="shared" si="100"/>
        <v>60</v>
      </c>
      <c r="G459">
        <f t="shared" si="99"/>
        <v>10</v>
      </c>
      <c r="H459">
        <f t="shared" si="93"/>
        <v>100</v>
      </c>
      <c r="I459">
        <f t="shared" si="94"/>
        <v>180</v>
      </c>
      <c r="J459">
        <f t="shared" si="95"/>
        <v>160</v>
      </c>
      <c r="K459">
        <f t="shared" si="96"/>
        <v>450</v>
      </c>
      <c r="L459">
        <f>G459*Return!B459*100</f>
        <v>-2.4999999999999467</v>
      </c>
      <c r="M459">
        <f>H459*Return!C459*100</f>
        <v>1.9999999999997797</v>
      </c>
      <c r="N459">
        <f>I459*Return!D459*100</f>
        <v>-43.199999999995242</v>
      </c>
      <c r="O459">
        <f>J459*Return!E459*100</f>
        <v>-32.000000000003581</v>
      </c>
      <c r="P459">
        <f t="shared" si="97"/>
        <v>-75.699999999998994</v>
      </c>
      <c r="Q459">
        <f>SUM($P$400:P459)</f>
        <v>11652.1</v>
      </c>
      <c r="R459">
        <f>B459*中国_中债国债到期收益率_1年!B458/365*100</f>
        <v>4.9041095890410951</v>
      </c>
      <c r="S459">
        <f>C459*中国_中债国债到期收益率_1年!C458/365*100</f>
        <v>12.207671232876713</v>
      </c>
      <c r="T459">
        <f>D459*中国_中债国债到期收益率_1年!D458/365*100</f>
        <v>12.698630136986299</v>
      </c>
      <c r="U459">
        <f>E459*中国_中债国债到期收益率_1年!E458/365*100</f>
        <v>6.8443835616438369</v>
      </c>
      <c r="V459">
        <f t="shared" si="98"/>
        <v>36.654794520547945</v>
      </c>
      <c r="W459">
        <f>SUM($V$400:V459)</f>
        <v>1989.639726027397</v>
      </c>
      <c r="X459">
        <f>MAX(F459-50,0)*中国_中债国债到期收益率_1年!H459*100/365</f>
        <v>6.7123287671232879</v>
      </c>
      <c r="Y459">
        <f>SUM($X$400:X459)</f>
        <v>39.726027397260275</v>
      </c>
      <c r="Z459">
        <v>-200</v>
      </c>
      <c r="AA459">
        <v>200</v>
      </c>
      <c r="AB459">
        <f>Z459*Return!F463*100</f>
        <v>136.00000000000279</v>
      </c>
      <c r="AC459">
        <f>AA459*Return!G463*100</f>
        <v>-157.99999999999591</v>
      </c>
      <c r="AD459">
        <f>SUM($AB$400:AB459)+SUM($AC$400:AC459)</f>
        <v>1508.1000000000056</v>
      </c>
      <c r="AE459">
        <f t="shared" si="101"/>
        <v>15110.113698630143</v>
      </c>
      <c r="AF459">
        <f t="shared" si="102"/>
        <v>1.0302202273972603</v>
      </c>
      <c r="AG459" s="4">
        <f>(AE459-AE458)/(500000+AE458)-中国_中债国债到期收益率_1年!H459%/252</f>
        <v>-2.2874482447300757E-4</v>
      </c>
      <c r="AH459" s="4">
        <f>MIN((AF459-MAX($AF$401:AF459))/MAX($AF$401:AF459),0)</f>
        <v>-3.5754130467852367E-3</v>
      </c>
    </row>
    <row r="460" spans="1:34" x14ac:dyDescent="0.25">
      <c r="A460" s="6">
        <v>45379</v>
      </c>
      <c r="B460">
        <v>10</v>
      </c>
      <c r="C460">
        <v>20</v>
      </c>
      <c r="D460">
        <v>20</v>
      </c>
      <c r="E460">
        <v>10</v>
      </c>
      <c r="F460">
        <f t="shared" si="100"/>
        <v>60</v>
      </c>
      <c r="G460">
        <f t="shared" ref="G460:G481" si="103">B460</f>
        <v>10</v>
      </c>
      <c r="H460">
        <f t="shared" si="93"/>
        <v>100</v>
      </c>
      <c r="I460">
        <f t="shared" si="94"/>
        <v>180</v>
      </c>
      <c r="J460">
        <f t="shared" si="95"/>
        <v>160</v>
      </c>
      <c r="K460">
        <f t="shared" si="96"/>
        <v>450</v>
      </c>
      <c r="L460">
        <f>G460*Return!B460*100</f>
        <v>37.500000000000085</v>
      </c>
      <c r="M460">
        <f>H460*Return!C460*100</f>
        <v>331.00000000000131</v>
      </c>
      <c r="N460">
        <f>I460*Return!D460*100</f>
        <v>538.20000000000073</v>
      </c>
      <c r="O460">
        <f>J460*Return!E460*100</f>
        <v>553.60000000000298</v>
      </c>
      <c r="P460">
        <f t="shared" si="97"/>
        <v>1460.3000000000052</v>
      </c>
      <c r="Q460">
        <f>SUM($P$400:P460)</f>
        <v>13112.400000000005</v>
      </c>
      <c r="R460">
        <f>B460*中国_中债国债到期收益率_1年!B459/365*100</f>
        <v>4.8013698630136981</v>
      </c>
      <c r="S460">
        <f>C460*中国_中债国债到期收益率_1年!C459/365*100</f>
        <v>12.026301369863015</v>
      </c>
      <c r="T460">
        <f>D460*中国_中债国债到期收益率_1年!D459/365*100</f>
        <v>12.534794520547942</v>
      </c>
      <c r="U460">
        <f>E460*中国_中债国债到期收益率_1年!E459/365*100</f>
        <v>6.7495890410958905</v>
      </c>
      <c r="V460">
        <f t="shared" si="98"/>
        <v>36.112054794520546</v>
      </c>
      <c r="W460">
        <f>SUM($V$400:V460)</f>
        <v>2025.7517808219177</v>
      </c>
      <c r="X460">
        <f>MAX(F460-50,0)*中国_中债国债到期收益率_1年!H460*100/365</f>
        <v>6.4383561643835616</v>
      </c>
      <c r="Y460">
        <f>SUM($X$400:X460)</f>
        <v>46.164383561643838</v>
      </c>
      <c r="Z460">
        <v>-200</v>
      </c>
      <c r="AA460">
        <v>200</v>
      </c>
      <c r="AB460">
        <f>Z460*Return!F464*100</f>
        <v>169.99999999999903</v>
      </c>
      <c r="AC460">
        <f>AA460*Return!G464*100</f>
        <v>86.000000000003851</v>
      </c>
      <c r="AD460">
        <f>SUM($AB$400:AB460)+SUM($AC$400:AC460)</f>
        <v>1764.1000000000083</v>
      </c>
      <c r="AE460">
        <f t="shared" si="101"/>
        <v>16856.087397260286</v>
      </c>
      <c r="AF460">
        <f t="shared" si="102"/>
        <v>1.0337121747945206</v>
      </c>
      <c r="AG460" s="4">
        <f>(AE460-AE459)/(500000+AE459)-中国_中债国债到期收益率_1年!H460%/252</f>
        <v>3.2962615007660037E-3</v>
      </c>
      <c r="AH460" s="4">
        <f>MIN((AF460-MAX($AF$401:AF460))/MAX($AF$401:AF460),0)</f>
        <v>-1.9801649559543635E-4</v>
      </c>
    </row>
    <row r="461" spans="1:34" x14ac:dyDescent="0.25">
      <c r="A461" s="6">
        <v>45380</v>
      </c>
      <c r="B461">
        <v>10</v>
      </c>
      <c r="C461">
        <v>20</v>
      </c>
      <c r="D461">
        <v>20</v>
      </c>
      <c r="E461">
        <v>10</v>
      </c>
      <c r="F461">
        <f t="shared" si="100"/>
        <v>60</v>
      </c>
      <c r="G461">
        <f t="shared" si="103"/>
        <v>10</v>
      </c>
      <c r="H461">
        <f t="shared" si="93"/>
        <v>100</v>
      </c>
      <c r="I461">
        <f t="shared" si="94"/>
        <v>180</v>
      </c>
      <c r="J461">
        <f t="shared" si="95"/>
        <v>160</v>
      </c>
      <c r="K461">
        <f t="shared" si="96"/>
        <v>450</v>
      </c>
      <c r="L461">
        <f>G461*Return!B461*100</f>
        <v>0</v>
      </c>
      <c r="M461">
        <f>H461*Return!C461*100</f>
        <v>-163.99999999999972</v>
      </c>
      <c r="N461">
        <f>I461*Return!D461*100</f>
        <v>-270.00000000000222</v>
      </c>
      <c r="O461">
        <f>J461*Return!E461*100</f>
        <v>-44.800000000002171</v>
      </c>
      <c r="P461">
        <f t="shared" si="97"/>
        <v>-478.8000000000041</v>
      </c>
      <c r="Q461">
        <f>SUM($P$400:P461)</f>
        <v>12633.6</v>
      </c>
      <c r="R461">
        <f>B461*中国_中债国债到期收益率_1年!B460/365*100</f>
        <v>4.8013698630136981</v>
      </c>
      <c r="S461">
        <f>C461*中国_中债国债到期收益率_1年!C460/365*100</f>
        <v>12.116164383561642</v>
      </c>
      <c r="T461">
        <f>D461*中国_中债国债到期收益率_1年!D460/365*100</f>
        <v>12.616986301369861</v>
      </c>
      <c r="U461">
        <f>E461*中国_中债国债到期收益率_1年!E460/365*100</f>
        <v>6.7572602739726024</v>
      </c>
      <c r="V461">
        <f t="shared" si="98"/>
        <v>36.291780821917804</v>
      </c>
      <c r="W461">
        <f>SUM($V$400:V461)</f>
        <v>2062.0435616438353</v>
      </c>
      <c r="X461">
        <f>MAX(F461-50,0)*中国_中债国债到期收益率_1年!H461*100/365</f>
        <v>6.3013698630136989</v>
      </c>
      <c r="Y461">
        <f>SUM($X$400:X461)</f>
        <v>52.465753424657535</v>
      </c>
      <c r="Z461">
        <v>-200</v>
      </c>
      <c r="AA461">
        <v>200</v>
      </c>
      <c r="AD461">
        <f>SUM($AB$400:AB461)+SUM($AC$400:AC461)</f>
        <v>1764.1000000000083</v>
      </c>
      <c r="AE461">
        <f t="shared" si="101"/>
        <v>16407.277808219187</v>
      </c>
      <c r="AF461">
        <f t="shared" si="102"/>
        <v>1.0328145556164383</v>
      </c>
      <c r="AG461" s="4">
        <f>(AE461-AE460)/(500000+AE460)-中国_中债国债到期收益率_1年!H461%/252</f>
        <v>-9.5961520854833391E-4</v>
      </c>
      <c r="AH461" s="4">
        <f>MIN((AF461-MAX($AF$401:AF461))/MAX($AF$401:AF461),0)</f>
        <v>-1.0661899161674209E-3</v>
      </c>
    </row>
    <row r="462" spans="1:34" x14ac:dyDescent="0.25">
      <c r="A462" s="6">
        <v>45383</v>
      </c>
      <c r="B462">
        <v>10</v>
      </c>
      <c r="C462">
        <v>20</v>
      </c>
      <c r="D462">
        <v>20</v>
      </c>
      <c r="E462">
        <v>10</v>
      </c>
      <c r="F462">
        <f t="shared" si="100"/>
        <v>60</v>
      </c>
      <c r="G462">
        <f t="shared" si="103"/>
        <v>10</v>
      </c>
      <c r="H462">
        <f t="shared" si="93"/>
        <v>100</v>
      </c>
      <c r="I462">
        <f t="shared" si="94"/>
        <v>180</v>
      </c>
      <c r="J462">
        <f t="shared" si="95"/>
        <v>160</v>
      </c>
      <c r="K462">
        <f t="shared" si="96"/>
        <v>450</v>
      </c>
      <c r="L462">
        <f>G462*Return!B462*100</f>
        <v>30.000000000000028</v>
      </c>
      <c r="M462">
        <f>H462*Return!C462*100</f>
        <v>137.99999999999812</v>
      </c>
      <c r="N462">
        <f>I462*Return!D462*100</f>
        <v>225.00000000000318</v>
      </c>
      <c r="O462">
        <f>J462*Return!E462*100</f>
        <v>112.00000000000188</v>
      </c>
      <c r="P462">
        <f t="shared" si="97"/>
        <v>505.00000000000324</v>
      </c>
      <c r="Q462">
        <f>SUM($P$400:P462)</f>
        <v>13138.600000000004</v>
      </c>
      <c r="R462">
        <f>B462*中国_中债国债到期收益率_1年!B461/365*100</f>
        <v>4.7191780821917799</v>
      </c>
      <c r="S462">
        <f>C462*中国_中债国债到期收益率_1年!C461/365*100</f>
        <v>12.040547945205478</v>
      </c>
      <c r="T462">
        <f>D462*中国_中债国债到期收益率_1年!D461/365*100</f>
        <v>12.54849315068493</v>
      </c>
      <c r="U462">
        <f>E462*中国_中债国债到期收益率_1年!E461/365*100</f>
        <v>6.7380821917808227</v>
      </c>
      <c r="V462">
        <f t="shared" si="98"/>
        <v>36.046301369863009</v>
      </c>
      <c r="W462">
        <f>SUM($V$400:V462)</f>
        <v>2098.0898630136985</v>
      </c>
      <c r="X462">
        <f>MAX(F462-50,0)*中国_中债国债到期收益率_1年!H462*100/365</f>
        <v>5.6164383561643838</v>
      </c>
      <c r="Y462">
        <f>SUM($X$400:X462)</f>
        <v>58.082191780821915</v>
      </c>
      <c r="Z462">
        <v>-100</v>
      </c>
      <c r="AA462">
        <v>100</v>
      </c>
      <c r="AD462">
        <f>SUM($AB$400:AB462)+SUM($AC$400:AC462)</f>
        <v>1764.1000000000083</v>
      </c>
      <c r="AE462">
        <f t="shared" si="101"/>
        <v>16942.707671232889</v>
      </c>
      <c r="AF462">
        <f t="shared" si="102"/>
        <v>1.0338854153424657</v>
      </c>
      <c r="AG462" s="4">
        <f>(AE462-AE461)/(500000+AE461)-中国_中债国债到期收益率_1年!H462%/252</f>
        <v>9.5548719395525874E-4</v>
      </c>
      <c r="AH462" s="4">
        <f>MIN((AF462-MAX($AF$401:AF462))/MAX($AF$401:AF462),0)</f>
        <v>-3.0458980377694386E-5</v>
      </c>
    </row>
    <row r="463" spans="1:34" x14ac:dyDescent="0.25">
      <c r="A463" s="6">
        <v>45384</v>
      </c>
      <c r="B463">
        <v>10</v>
      </c>
      <c r="C463">
        <v>20</v>
      </c>
      <c r="D463">
        <v>20</v>
      </c>
      <c r="E463">
        <v>10</v>
      </c>
      <c r="F463">
        <f t="shared" si="100"/>
        <v>60</v>
      </c>
      <c r="G463">
        <f t="shared" si="103"/>
        <v>10</v>
      </c>
      <c r="H463">
        <f t="shared" si="93"/>
        <v>100</v>
      </c>
      <c r="I463">
        <f t="shared" si="94"/>
        <v>180</v>
      </c>
      <c r="J463">
        <f t="shared" si="95"/>
        <v>160</v>
      </c>
      <c r="K463">
        <f t="shared" si="96"/>
        <v>450</v>
      </c>
      <c r="L463">
        <f>G463*Return!B463*100</f>
        <v>-20.000000000000018</v>
      </c>
      <c r="M463">
        <f>H463*Return!C463*100</f>
        <v>-198.0000000000004</v>
      </c>
      <c r="N463">
        <f>I463*Return!D463*100</f>
        <v>-325.80000000000007</v>
      </c>
      <c r="O463">
        <f>J463*Return!E463*100</f>
        <v>-406.39999999999787</v>
      </c>
      <c r="P463">
        <f t="shared" si="97"/>
        <v>-950.19999999999845</v>
      </c>
      <c r="Q463">
        <f>SUM($P$400:P463)</f>
        <v>12188.400000000005</v>
      </c>
      <c r="R463">
        <f>B463*中国_中债国债到期收益率_1年!B462/365*100</f>
        <v>4.7739726027397262</v>
      </c>
      <c r="S463">
        <f>C463*中国_中债国债到期收益率_1年!C462/365*100</f>
        <v>12.149041095890411</v>
      </c>
      <c r="T463">
        <f>D463*中国_中债国债到期收益率_1年!D462/365*100</f>
        <v>12.647671232876711</v>
      </c>
      <c r="U463">
        <f>E463*中国_中债国债到期收益率_1年!E462/365*100</f>
        <v>6.8076712328767126</v>
      </c>
      <c r="V463">
        <f t="shared" si="98"/>
        <v>36.378356164383561</v>
      </c>
      <c r="W463">
        <f>SUM($V$400:V463)</f>
        <v>2134.4682191780821</v>
      </c>
      <c r="X463">
        <f>MAX(F463-50,0)*中国_中债国债到期收益率_1年!H463*100/365</f>
        <v>5.7534246575342465</v>
      </c>
      <c r="Y463">
        <f>SUM($X$400:X463)</f>
        <v>63.835616438356162</v>
      </c>
      <c r="Z463">
        <v>-100</v>
      </c>
      <c r="AA463">
        <v>100</v>
      </c>
      <c r="AD463">
        <f>SUM($AB$400:AB463)+SUM($AC$400:AC463)</f>
        <v>1764.1000000000083</v>
      </c>
      <c r="AE463">
        <f t="shared" si="101"/>
        <v>16023.132602739737</v>
      </c>
      <c r="AF463">
        <f t="shared" si="102"/>
        <v>1.0320462652054794</v>
      </c>
      <c r="AG463" s="4">
        <f>(AE463-AE462)/(500000+AE462)-中国_中债国债到期收益率_1年!H463%/252</f>
        <v>-1.862205643256673E-3</v>
      </c>
      <c r="AH463" s="4">
        <f>MIN((AF463-MAX($AF$401:AF463))/MAX($AF$401:AF463),0)</f>
        <v>-1.8092771076642705E-3</v>
      </c>
    </row>
    <row r="464" spans="1:34" x14ac:dyDescent="0.25">
      <c r="A464" s="6">
        <v>45385</v>
      </c>
      <c r="B464">
        <v>10</v>
      </c>
      <c r="C464">
        <v>20</v>
      </c>
      <c r="D464">
        <v>20</v>
      </c>
      <c r="E464">
        <v>10</v>
      </c>
      <c r="F464">
        <f t="shared" si="100"/>
        <v>60</v>
      </c>
      <c r="G464">
        <f t="shared" si="103"/>
        <v>10</v>
      </c>
      <c r="H464">
        <f t="shared" si="93"/>
        <v>100</v>
      </c>
      <c r="I464">
        <f t="shared" si="94"/>
        <v>180</v>
      </c>
      <c r="J464">
        <f t="shared" si="95"/>
        <v>160</v>
      </c>
      <c r="K464">
        <f t="shared" si="96"/>
        <v>450</v>
      </c>
      <c r="L464">
        <f>G464*Return!B464*100</f>
        <v>14.999999999999902</v>
      </c>
      <c r="M464">
        <f>H464*Return!C464*100</f>
        <v>205.00000000000185</v>
      </c>
      <c r="N464">
        <f>I464*Return!D464*100</f>
        <v>278.99999999999727</v>
      </c>
      <c r="O464">
        <f>J464*Return!E464*100</f>
        <v>156.79999999999694</v>
      </c>
      <c r="P464">
        <f t="shared" si="97"/>
        <v>655.79999999999598</v>
      </c>
      <c r="Q464">
        <f>SUM($P$400:P464)</f>
        <v>12844.2</v>
      </c>
      <c r="R464">
        <f>B464*中国_中债国债到期收益率_1年!B463/365*100</f>
        <v>4.7328767123287667</v>
      </c>
      <c r="S464">
        <f>C464*中国_中债国债到期收益率_1年!C463/365*100</f>
        <v>12.036712328767123</v>
      </c>
      <c r="T464">
        <f>D464*中国_中债国债到期收益率_1年!D463/365*100</f>
        <v>12.562739726027397</v>
      </c>
      <c r="U464">
        <f>E464*中国_中债国债到期收益率_1年!E463/365*100</f>
        <v>6.7808219178082192</v>
      </c>
      <c r="V464">
        <f t="shared" si="98"/>
        <v>36.113150684931504</v>
      </c>
      <c r="W464">
        <f>SUM($V$400:V464)</f>
        <v>2170.5813698630136</v>
      </c>
      <c r="X464">
        <f>MAX(F464-50,0)*中国_中债国债到期收益率_1年!H464*100/365</f>
        <v>5.4794520547945202</v>
      </c>
      <c r="Y464">
        <f>SUM($X$400:X464)</f>
        <v>69.315068493150676</v>
      </c>
      <c r="Z464">
        <v>-100</v>
      </c>
      <c r="AA464">
        <v>100</v>
      </c>
      <c r="AB464">
        <f>Z464*Return!F468*100</f>
        <v>-32.999999999998586</v>
      </c>
      <c r="AC464">
        <f>AA464*Return!G468*100</f>
        <v>37.000000000002586</v>
      </c>
      <c r="AD464">
        <f>SUM($AB$400:AB464)+SUM($AC$400:AC464)</f>
        <v>1768.1000000000124</v>
      </c>
      <c r="AE464">
        <f t="shared" si="101"/>
        <v>16713.566301369876</v>
      </c>
      <c r="AF464">
        <f t="shared" si="102"/>
        <v>1.0334271326027398</v>
      </c>
      <c r="AG464" s="4">
        <f>(AE464-AE463)/(500000+AE463)-中国_中债国债到期收益率_1年!H464%/252</f>
        <v>1.2586247412611773E-3</v>
      </c>
      <c r="AH464" s="4">
        <f>MIN((AF464-MAX($AF$401:AF464))/MAX($AF$401:AF464),0)</f>
        <v>-4.7370808139064307E-4</v>
      </c>
    </row>
    <row r="465" spans="1:34" x14ac:dyDescent="0.25">
      <c r="A465" s="6">
        <v>45389</v>
      </c>
      <c r="B465">
        <v>10</v>
      </c>
      <c r="C465">
        <v>20</v>
      </c>
      <c r="D465">
        <v>20</v>
      </c>
      <c r="E465">
        <v>10</v>
      </c>
      <c r="F465">
        <f t="shared" si="100"/>
        <v>60</v>
      </c>
      <c r="G465">
        <f t="shared" si="103"/>
        <v>10</v>
      </c>
      <c r="H465">
        <f t="shared" si="93"/>
        <v>100</v>
      </c>
      <c r="I465">
        <f t="shared" si="94"/>
        <v>180</v>
      </c>
      <c r="J465">
        <f t="shared" si="95"/>
        <v>160</v>
      </c>
      <c r="K465">
        <f t="shared" si="96"/>
        <v>450</v>
      </c>
      <c r="L465">
        <f>G465*Return!B465*100</f>
        <v>5.0000000000001155</v>
      </c>
      <c r="M465">
        <f>H465*Return!C465*100</f>
        <v>69.999999999996732</v>
      </c>
      <c r="N465">
        <f>I465*Return!D465*100</f>
        <v>161.99999999999815</v>
      </c>
      <c r="O465">
        <f>J465*Return!E465*100</f>
        <v>184.0000000000046</v>
      </c>
      <c r="P465">
        <f t="shared" si="97"/>
        <v>420.9999999999996</v>
      </c>
      <c r="Q465">
        <f>SUM($P$400:P465)</f>
        <v>13265.2</v>
      </c>
      <c r="R465">
        <f>B465*中国_中债国债到期收益率_1年!B464/365*100</f>
        <v>4.7191780821917799</v>
      </c>
      <c r="S465">
        <f>C465*中国_中债国债到期收益率_1年!C464/365*100</f>
        <v>11.998356164383562</v>
      </c>
      <c r="T465">
        <f>D465*中国_中债国债到期收益率_1年!D464/365*100</f>
        <v>12.513424657534248</v>
      </c>
      <c r="U465">
        <f>E465*中国_中债国债到期收益率_1年!E464/365*100</f>
        <v>6.74931506849315</v>
      </c>
      <c r="V465">
        <f t="shared" si="98"/>
        <v>35.980273972602738</v>
      </c>
      <c r="W465">
        <f>SUM($V$400:V465)</f>
        <v>2206.5616438356165</v>
      </c>
      <c r="X465">
        <f>MAX(F465-50,0)*中国_中债国债到期收益率_1年!H465*100/365</f>
        <v>5.0684931506849313</v>
      </c>
      <c r="Y465">
        <f>SUM($X$400:X465)</f>
        <v>74.383561643835606</v>
      </c>
      <c r="Z465">
        <v>-100</v>
      </c>
      <c r="AA465">
        <v>100</v>
      </c>
      <c r="AB465">
        <f>Z465*Return!F469*100</f>
        <v>-122.99999999999977</v>
      </c>
      <c r="AC465">
        <f>AA465*Return!G469*100</f>
        <v>-11.000000000001009</v>
      </c>
      <c r="AD465">
        <f>SUM($AB$400:AB465)+SUM($AC$400:AC465)</f>
        <v>1634.1000000000117</v>
      </c>
      <c r="AE465">
        <f t="shared" si="101"/>
        <v>17031.478082191792</v>
      </c>
      <c r="AF465">
        <f t="shared" si="102"/>
        <v>1.0340629561643835</v>
      </c>
      <c r="AG465" s="4">
        <f>(AE465-AE464)/(500000+AE464)-中国_中债国债到期收益率_1年!H465%/252</f>
        <v>5.41844576710781E-4</v>
      </c>
      <c r="AH465" s="4">
        <f>MIN((AF465-MAX($AF$401:AF465))/MAX($AF$401:AF465),0)</f>
        <v>0</v>
      </c>
    </row>
    <row r="466" spans="1:34" x14ac:dyDescent="0.25">
      <c r="A466" s="6">
        <v>45390</v>
      </c>
      <c r="B466">
        <v>10</v>
      </c>
      <c r="C466">
        <v>20</v>
      </c>
      <c r="D466">
        <v>20</v>
      </c>
      <c r="E466">
        <v>10</v>
      </c>
      <c r="F466">
        <f t="shared" si="100"/>
        <v>60</v>
      </c>
      <c r="G466">
        <f t="shared" si="103"/>
        <v>10</v>
      </c>
      <c r="H466">
        <f t="shared" si="93"/>
        <v>100</v>
      </c>
      <c r="I466">
        <f t="shared" si="94"/>
        <v>180</v>
      </c>
      <c r="J466">
        <f t="shared" si="95"/>
        <v>160</v>
      </c>
      <c r="K466">
        <f t="shared" si="96"/>
        <v>450</v>
      </c>
      <c r="L466">
        <f>G466*Return!B466*100</f>
        <v>0</v>
      </c>
      <c r="M466">
        <f>H466*Return!C466*100</f>
        <v>-48.999999999996824</v>
      </c>
      <c r="N466">
        <f>I466*Return!D466*100</f>
        <v>-179.99999999999616</v>
      </c>
      <c r="O466">
        <f>J466*Return!E466*100</f>
        <v>-225.60000000000002</v>
      </c>
      <c r="P466">
        <f t="shared" si="97"/>
        <v>-454.59999999999297</v>
      </c>
      <c r="Q466">
        <f>SUM($P$400:P466)</f>
        <v>12810.600000000008</v>
      </c>
      <c r="R466">
        <f>B466*中国_中债国债到期收益率_1年!B465/365*100</f>
        <v>4.7191780821917799</v>
      </c>
      <c r="S466">
        <f>C466*中国_中债国债到期收益率_1年!C465/365*100</f>
        <v>12.025205479452053</v>
      </c>
      <c r="T466">
        <f>D466*中国_中债国债到期收益率_1年!D465/365*100</f>
        <v>12.56821917808219</v>
      </c>
      <c r="U466">
        <f>E466*中国_中债国债到期收益率_1年!E465/365*100</f>
        <v>6.7879452054794509</v>
      </c>
      <c r="V466">
        <f t="shared" si="98"/>
        <v>36.100547945205477</v>
      </c>
      <c r="W466">
        <f>SUM($V$400:V466)</f>
        <v>2242.662191780822</v>
      </c>
      <c r="X466">
        <f>MAX(F466-50,0)*中国_中债国债到期收益率_1年!H466*100/365</f>
        <v>5.4794520547945202</v>
      </c>
      <c r="Y466">
        <f>SUM($X$400:X466)</f>
        <v>79.863013698630127</v>
      </c>
      <c r="Z466">
        <v>-100</v>
      </c>
      <c r="AA466">
        <v>100</v>
      </c>
      <c r="AB466">
        <f>Z466*Return!F470*100</f>
        <v>-100.99999999999997</v>
      </c>
      <c r="AC466">
        <f>AA466*Return!G470*100</f>
        <v>49.999999999998934</v>
      </c>
      <c r="AD466">
        <f>SUM($AB$400:AB466)+SUM($AC$400:AC466)</f>
        <v>1583.1000000000108</v>
      </c>
      <c r="AE466">
        <f t="shared" si="101"/>
        <v>16556.499178082213</v>
      </c>
      <c r="AF466">
        <f t="shared" si="102"/>
        <v>1.0331129983561644</v>
      </c>
      <c r="AG466" s="4">
        <f>(AE466-AE465)/(500000+AE465)-中国_中债国债到期收益率_1年!H466%/252</f>
        <v>-9.9803043001530116E-4</v>
      </c>
      <c r="AH466" s="4">
        <f>MIN((AF466-MAX($AF$401:AF466))/MAX($AF$401:AF466),0)</f>
        <v>-9.1866535065011565E-4</v>
      </c>
    </row>
    <row r="467" spans="1:34" x14ac:dyDescent="0.25">
      <c r="A467" s="6">
        <v>45391</v>
      </c>
      <c r="B467">
        <v>10</v>
      </c>
      <c r="C467">
        <v>20</v>
      </c>
      <c r="D467">
        <v>20</v>
      </c>
      <c r="E467">
        <v>10</v>
      </c>
      <c r="F467">
        <f t="shared" si="100"/>
        <v>60</v>
      </c>
      <c r="G467">
        <f t="shared" si="103"/>
        <v>10</v>
      </c>
      <c r="H467">
        <f t="shared" si="93"/>
        <v>100</v>
      </c>
      <c r="I467">
        <f t="shared" si="94"/>
        <v>180</v>
      </c>
      <c r="J467">
        <f t="shared" si="95"/>
        <v>160</v>
      </c>
      <c r="K467">
        <f t="shared" si="96"/>
        <v>450</v>
      </c>
      <c r="L467">
        <f>G467*Return!B467*100</f>
        <v>20.000000000000018</v>
      </c>
      <c r="M467">
        <f>H467*Return!C467*100</f>
        <v>255.99999999999847</v>
      </c>
      <c r="N467">
        <f>I467*Return!D467*100</f>
        <v>206.99999999999719</v>
      </c>
      <c r="O467">
        <f>J467*Return!E467*100</f>
        <v>192.00000000000017</v>
      </c>
      <c r="P467">
        <f t="shared" si="97"/>
        <v>674.99999999999591</v>
      </c>
      <c r="Q467">
        <f>SUM($P$400:P467)</f>
        <v>13485.600000000004</v>
      </c>
      <c r="R467">
        <f>B467*中国_中债国债到期收益率_1年!B466/365*100</f>
        <v>4.6643835616438354</v>
      </c>
      <c r="S467">
        <f>C467*中国_中债国债到期收益率_1年!C466/365*100</f>
        <v>11.884931506849314</v>
      </c>
      <c r="T467">
        <f>D467*中国_中债国债到期收益率_1年!D466/365*100</f>
        <v>12.505205479452055</v>
      </c>
      <c r="U467">
        <f>E467*中国_中债国债到期收益率_1年!E466/365*100</f>
        <v>6.7550684931506844</v>
      </c>
      <c r="V467">
        <f t="shared" si="98"/>
        <v>35.80958904109589</v>
      </c>
      <c r="W467">
        <f>SUM($V$400:V467)</f>
        <v>2278.4717808219179</v>
      </c>
      <c r="X467">
        <f>MAX(F467-50,0)*中国_中债国债到期收益率_1年!H467*100/365</f>
        <v>5.3424657534246576</v>
      </c>
      <c r="Y467">
        <f>SUM($X$400:X467)</f>
        <v>85.205479452054789</v>
      </c>
      <c r="Z467">
        <v>-100</v>
      </c>
      <c r="AA467">
        <v>100</v>
      </c>
      <c r="AB467">
        <f>Z467*Return!F471*100</f>
        <v>-185.00000000000182</v>
      </c>
      <c r="AC467">
        <f>AA467*Return!G471*100</f>
        <v>203.00000000000207</v>
      </c>
      <c r="AD467">
        <f>SUM($AB$400:AB467)+SUM($AC$400:AC467)</f>
        <v>1601.1000000000113</v>
      </c>
      <c r="AE467">
        <f t="shared" si="101"/>
        <v>17279.966301369877</v>
      </c>
      <c r="AF467">
        <f t="shared" si="102"/>
        <v>1.0345599326027397</v>
      </c>
      <c r="AG467" s="4">
        <f>(AE467-AE466)/(500000+AE466)-中国_中债国债到期收益率_1年!H467%/252</f>
        <v>1.3231766331664322E-3</v>
      </c>
      <c r="AH467" s="4">
        <f>MIN((AF467-MAX($AF$401:AF467))/MAX($AF$401:AF467),0)</f>
        <v>0</v>
      </c>
    </row>
    <row r="468" spans="1:34" x14ac:dyDescent="0.25">
      <c r="A468" s="6">
        <v>45392</v>
      </c>
      <c r="B468">
        <v>10</v>
      </c>
      <c r="C468">
        <v>20</v>
      </c>
      <c r="D468">
        <v>20</v>
      </c>
      <c r="E468">
        <v>10</v>
      </c>
      <c r="F468">
        <f t="shared" si="100"/>
        <v>60</v>
      </c>
      <c r="G468">
        <f t="shared" si="103"/>
        <v>10</v>
      </c>
      <c r="H468">
        <f t="shared" si="93"/>
        <v>100</v>
      </c>
      <c r="I468">
        <f t="shared" si="94"/>
        <v>180</v>
      </c>
      <c r="J468">
        <f t="shared" si="95"/>
        <v>160</v>
      </c>
      <c r="K468">
        <f t="shared" si="96"/>
        <v>450</v>
      </c>
      <c r="L468">
        <f>G468*Return!B468*100</f>
        <v>10.000000000000009</v>
      </c>
      <c r="M468">
        <f>H468*Return!C468*100</f>
        <v>156.99999999999824</v>
      </c>
      <c r="N468">
        <f>I468*Return!D468*100</f>
        <v>36.000000000004029</v>
      </c>
      <c r="O468">
        <f>J468*Return!E468*100</f>
        <v>30.400000000000205</v>
      </c>
      <c r="P468">
        <f t="shared" si="97"/>
        <v>233.40000000000248</v>
      </c>
      <c r="Q468">
        <f>SUM($P$400:P468)</f>
        <v>13719.000000000007</v>
      </c>
      <c r="R468">
        <f>B468*中国_中债国债到期收益率_1年!B467/365*100</f>
        <v>4.6369863013698627</v>
      </c>
      <c r="S468">
        <f>C468*中国_中债国债到期收益率_1年!C467/365*100</f>
        <v>11.798904109589042</v>
      </c>
      <c r="T468">
        <f>D468*中国_中债国债到期收益率_1年!D467/365*100</f>
        <v>12.494246575342466</v>
      </c>
      <c r="U468">
        <f>E468*中国_中债国债到期收益率_1年!E467/365*100</f>
        <v>6.7498630136986284</v>
      </c>
      <c r="V468">
        <f t="shared" si="98"/>
        <v>35.68</v>
      </c>
      <c r="W468">
        <f>SUM($V$400:V468)</f>
        <v>2314.1517808219178</v>
      </c>
      <c r="X468">
        <f>MAX(F468-50,0)*中国_中债国债到期收益率_1年!H468*100/365</f>
        <v>5.2054794520547949</v>
      </c>
      <c r="Y468">
        <f>SUM($X$400:X468)</f>
        <v>90.410958904109577</v>
      </c>
      <c r="Z468">
        <v>-100</v>
      </c>
      <c r="AA468">
        <v>100</v>
      </c>
      <c r="AB468">
        <f>Z468*Return!F472*100</f>
        <v>86.000000000001634</v>
      </c>
      <c r="AC468">
        <f>AA468*Return!G472*100</f>
        <v>-3.9999999999995595</v>
      </c>
      <c r="AD468">
        <f>SUM($AB$400:AB468)+SUM($AC$400:AC468)</f>
        <v>1683.1000000000133</v>
      </c>
      <c r="AE468">
        <f t="shared" si="101"/>
        <v>17625.840821917827</v>
      </c>
      <c r="AF468">
        <f t="shared" si="102"/>
        <v>1.0352516816438357</v>
      </c>
      <c r="AG468" s="4">
        <f>(AE468-AE467)/(500000+AE467)-中国_中债国债到期收益率_1年!H468%/252</f>
        <v>5.9324403270754928E-4</v>
      </c>
      <c r="AH468" s="4">
        <f>MIN((AF468-MAX($AF$401:AF468))/MAX($AF$401:AF468),0)</f>
        <v>0</v>
      </c>
    </row>
    <row r="469" spans="1:34" x14ac:dyDescent="0.25">
      <c r="A469" s="6">
        <v>45393</v>
      </c>
      <c r="B469">
        <v>10</v>
      </c>
      <c r="C469">
        <v>20</v>
      </c>
      <c r="D469">
        <v>20</v>
      </c>
      <c r="E469">
        <v>10</v>
      </c>
      <c r="F469">
        <f t="shared" si="100"/>
        <v>60</v>
      </c>
      <c r="G469">
        <f t="shared" si="103"/>
        <v>10</v>
      </c>
      <c r="H469">
        <f t="shared" si="93"/>
        <v>100</v>
      </c>
      <c r="I469">
        <f t="shared" si="94"/>
        <v>180</v>
      </c>
      <c r="J469">
        <f t="shared" si="95"/>
        <v>160</v>
      </c>
      <c r="K469">
        <f t="shared" si="96"/>
        <v>450</v>
      </c>
      <c r="L469">
        <f>G469*Return!B469*100</f>
        <v>-10.800000000000143</v>
      </c>
      <c r="M469">
        <f>H469*Return!C469*100</f>
        <v>-57.999999999998053</v>
      </c>
      <c r="N469">
        <f>I469*Return!D469*100</f>
        <v>-306.00000000000625</v>
      </c>
      <c r="O469">
        <f>J469*Return!E469*100</f>
        <v>-406.40000000000498</v>
      </c>
      <c r="P469">
        <f t="shared" si="97"/>
        <v>-781.20000000000937</v>
      </c>
      <c r="Q469">
        <f>SUM($P$400:P469)</f>
        <v>12937.799999999997</v>
      </c>
      <c r="R469">
        <f>B469*中国_中债国债到期收益率_1年!B468/365*100</f>
        <v>4.6665753424657535</v>
      </c>
      <c r="S469">
        <f>C469*中国_中债国债到期收益率_1年!C468/365*100</f>
        <v>11.83068493150685</v>
      </c>
      <c r="T469">
        <f>D469*中国_中债国债到期收益率_1年!D468/365*100</f>
        <v>12.587397260273972</v>
      </c>
      <c r="U469">
        <f>E469*中国_中债国债到期收益率_1年!E468/365*100</f>
        <v>6.819452054794521</v>
      </c>
      <c r="V469">
        <f t="shared" si="98"/>
        <v>35.904109589041099</v>
      </c>
      <c r="W469">
        <f>SUM($V$400:V469)</f>
        <v>2350.0558904109589</v>
      </c>
      <c r="X469">
        <f>MAX(F469-50,0)*中国_中债国债到期收益率_1年!H469*100/365</f>
        <v>5.2602739726027394</v>
      </c>
      <c r="Y469">
        <f>SUM($X$400:X469)</f>
        <v>95.67123287671231</v>
      </c>
      <c r="Z469">
        <v>-100</v>
      </c>
      <c r="AA469">
        <v>100</v>
      </c>
      <c r="AB469">
        <f>Z469*Return!F473*100</f>
        <v>98.000000000000313</v>
      </c>
      <c r="AC469">
        <f>AA469*Return!G473*100</f>
        <v>-51.000000000001044</v>
      </c>
      <c r="AD469">
        <f>SUM($AB$400:AB469)+SUM($AC$400:AC469)</f>
        <v>1730.1000000000126</v>
      </c>
      <c r="AE469">
        <f t="shared" si="101"/>
        <v>16922.284657534256</v>
      </c>
      <c r="AF469">
        <f t="shared" si="102"/>
        <v>1.0338445693150684</v>
      </c>
      <c r="AG469" s="4">
        <f>(AE469-AE468)/(500000+AE468)-中国_中债国债到期收益率_1年!H469%/252</f>
        <v>-1.435388779092863E-3</v>
      </c>
      <c r="AH469" s="4">
        <f>MIN((AF469-MAX($AF$401:AF469))/MAX($AF$401:AF469),0)</f>
        <v>-1.3591983029025716E-3</v>
      </c>
    </row>
    <row r="470" spans="1:34" x14ac:dyDescent="0.25">
      <c r="A470" s="6">
        <v>45394</v>
      </c>
      <c r="B470">
        <v>10</v>
      </c>
      <c r="C470">
        <v>20</v>
      </c>
      <c r="D470">
        <v>20</v>
      </c>
      <c r="E470">
        <v>10</v>
      </c>
      <c r="F470">
        <f t="shared" si="100"/>
        <v>60</v>
      </c>
      <c r="G470">
        <f t="shared" si="103"/>
        <v>10</v>
      </c>
      <c r="H470">
        <f t="shared" si="93"/>
        <v>100</v>
      </c>
      <c r="I470">
        <f t="shared" si="94"/>
        <v>180</v>
      </c>
      <c r="J470">
        <f t="shared" si="95"/>
        <v>160</v>
      </c>
      <c r="K470">
        <f t="shared" si="96"/>
        <v>450</v>
      </c>
      <c r="L470">
        <f>G470*Return!B470*100</f>
        <v>0</v>
      </c>
      <c r="M470">
        <f>H470*Return!C470*100</f>
        <v>213.00000000000097</v>
      </c>
      <c r="N470">
        <f>I470*Return!D470*100</f>
        <v>79.199999999999278</v>
      </c>
      <c r="O470">
        <f>J470*Return!E470*100</f>
        <v>-59.199999999997033</v>
      </c>
      <c r="P470">
        <f t="shared" si="97"/>
        <v>233.00000000000324</v>
      </c>
      <c r="Q470">
        <f>SUM($P$400:P470)</f>
        <v>13170.800000000001</v>
      </c>
      <c r="R470">
        <f>B470*中国_中债国债到期收益率_1年!B469/365*100</f>
        <v>4.6665753424657535</v>
      </c>
      <c r="S470">
        <f>C470*中国_中债国债到期收益率_1年!C469/365*100</f>
        <v>11.713972602739727</v>
      </c>
      <c r="T470">
        <f>D470*中国_中债国债到期收益率_1年!D469/365*100</f>
        <v>12.563287671232878</v>
      </c>
      <c r="U470">
        <f>E470*中国_中债国债到期收益率_1年!E469/365*100</f>
        <v>6.8295890410958888</v>
      </c>
      <c r="V470">
        <f t="shared" si="98"/>
        <v>35.773424657534242</v>
      </c>
      <c r="W470">
        <f>SUM($V$400:V470)</f>
        <v>2385.8293150684931</v>
      </c>
      <c r="X470">
        <f>MAX(F470-50,0)*中国_中债国债到期收益率_1年!H470*100/365</f>
        <v>5.2054794520547949</v>
      </c>
      <c r="Y470">
        <f>SUM($X$400:X470)</f>
        <v>100.8767123287671</v>
      </c>
      <c r="Z470">
        <v>-100</v>
      </c>
      <c r="AA470">
        <v>100</v>
      </c>
      <c r="AB470">
        <f>Z470*Return!F474*100</f>
        <v>67.999999999999176</v>
      </c>
      <c r="AC470">
        <f>AA470*Return!G474*100</f>
        <v>17.000000000000348</v>
      </c>
      <c r="AD470">
        <f>SUM($AB$400:AB470)+SUM($AC$400:AC470)</f>
        <v>1815.1000000000124</v>
      </c>
      <c r="AE470">
        <f t="shared" si="101"/>
        <v>17270.852602739738</v>
      </c>
      <c r="AF470">
        <f t="shared" si="102"/>
        <v>1.0345417052054795</v>
      </c>
      <c r="AG470" s="4">
        <f>(AE470-AE469)/(500000+AE469)-中国_中债国债到期收益率_1年!H470%/252</f>
        <v>5.9891719733177931E-4</v>
      </c>
      <c r="AH470" s="4">
        <f>MIN((AF470-MAX($AF$401:AF470))/MAX($AF$401:AF470),0)</f>
        <v>-6.8580080664915933E-4</v>
      </c>
    </row>
    <row r="471" spans="1:34" x14ac:dyDescent="0.25">
      <c r="A471" s="6">
        <v>45397</v>
      </c>
      <c r="B471">
        <v>10</v>
      </c>
      <c r="C471">
        <v>20</v>
      </c>
      <c r="D471">
        <v>20</v>
      </c>
      <c r="E471">
        <v>10</v>
      </c>
      <c r="F471">
        <f t="shared" si="100"/>
        <v>60</v>
      </c>
      <c r="G471">
        <f t="shared" si="103"/>
        <v>10</v>
      </c>
      <c r="H471">
        <f t="shared" si="93"/>
        <v>100</v>
      </c>
      <c r="I471">
        <f t="shared" si="94"/>
        <v>180</v>
      </c>
      <c r="J471">
        <f t="shared" si="95"/>
        <v>160</v>
      </c>
      <c r="K471">
        <f t="shared" si="96"/>
        <v>450</v>
      </c>
      <c r="L471">
        <f>G471*Return!B471*100</f>
        <v>7.5000000000000622</v>
      </c>
      <c r="M471">
        <f>H471*Return!C471*100</f>
        <v>259.00000000000034</v>
      </c>
      <c r="N471">
        <f>I471*Return!D471*100</f>
        <v>163.80000000000194</v>
      </c>
      <c r="O471">
        <f>J471*Return!E471*100</f>
        <v>92.799999999996885</v>
      </c>
      <c r="P471">
        <f t="shared" si="97"/>
        <v>523.09999999999923</v>
      </c>
      <c r="Q471">
        <f>SUM($P$400:P471)</f>
        <v>13693.9</v>
      </c>
      <c r="R471">
        <f>B471*中国_中债国债到期收益率_1年!B470/365*100</f>
        <v>4.6460273972602737</v>
      </c>
      <c r="S471">
        <f>C471*中国_中债国债到期收益率_1年!C470/365*100</f>
        <v>11.572054794520547</v>
      </c>
      <c r="T471">
        <f>D471*中国_中债国债到期收益率_1年!D470/365*100</f>
        <v>12.513424657534248</v>
      </c>
      <c r="U471">
        <f>E471*中国_中债国债到期收益率_1年!E470/365*100</f>
        <v>6.8136986301369866</v>
      </c>
      <c r="V471">
        <f t="shared" si="98"/>
        <v>35.545205479452051</v>
      </c>
      <c r="W471">
        <f>SUM($V$400:V471)</f>
        <v>2421.3745205479449</v>
      </c>
      <c r="X471">
        <f>MAX(F471-50,0)*中国_中债国债到期收益率_1年!H471*100/365</f>
        <v>5.2054794520547949</v>
      </c>
      <c r="Y471">
        <f>SUM($X$400:X471)</f>
        <v>106.08219178082189</v>
      </c>
      <c r="Z471">
        <v>-100</v>
      </c>
      <c r="AA471">
        <v>100</v>
      </c>
      <c r="AB471">
        <f>Z471*Return!F475*100</f>
        <v>-64.999999999999503</v>
      </c>
      <c r="AC471">
        <f>AA471*Return!G475*100</f>
        <v>139.00000000000023</v>
      </c>
      <c r="AD471">
        <f>SUM($AB$400:AB471)+SUM($AC$400:AC471)</f>
        <v>1889.1000000000133</v>
      </c>
      <c r="AE471">
        <f t="shared" si="101"/>
        <v>17898.292328767136</v>
      </c>
      <c r="AF471">
        <f t="shared" si="102"/>
        <v>1.0357965846575343</v>
      </c>
      <c r="AG471" s="4">
        <f>(AE471-AE470)/(500000+AE470)-中国_中债国债到期收益率_1年!H471%/252</f>
        <v>1.1375841938705935E-3</v>
      </c>
      <c r="AH471" s="4">
        <f>MIN((AF471-MAX($AF$401:AF471))/MAX($AF$401:AF471),0)</f>
        <v>0</v>
      </c>
    </row>
    <row r="472" spans="1:34" x14ac:dyDescent="0.25">
      <c r="A472" s="6">
        <v>45398</v>
      </c>
      <c r="B472">
        <v>10</v>
      </c>
      <c r="C472">
        <v>20</v>
      </c>
      <c r="D472">
        <v>20</v>
      </c>
      <c r="E472">
        <v>10</v>
      </c>
      <c r="F472">
        <f t="shared" si="100"/>
        <v>60</v>
      </c>
      <c r="G472">
        <f t="shared" si="103"/>
        <v>10</v>
      </c>
      <c r="H472">
        <f t="shared" si="93"/>
        <v>100</v>
      </c>
      <c r="I472">
        <f t="shared" si="94"/>
        <v>180</v>
      </c>
      <c r="J472">
        <f t="shared" si="95"/>
        <v>160</v>
      </c>
      <c r="K472">
        <f t="shared" si="96"/>
        <v>450</v>
      </c>
      <c r="L472">
        <f>G472*Return!B472*100</f>
        <v>-7.5000000000000622</v>
      </c>
      <c r="M472">
        <f>H472*Return!C472*100</f>
        <v>-144.0000000000019</v>
      </c>
      <c r="N472">
        <f>I472*Return!D472*100</f>
        <v>70.200000000004252</v>
      </c>
      <c r="O472">
        <f>J472*Return!E472*100</f>
        <v>11.200000000002319</v>
      </c>
      <c r="P472">
        <f t="shared" si="97"/>
        <v>-70.09999999999539</v>
      </c>
      <c r="Q472">
        <f>SUM($P$400:P472)</f>
        <v>13623.800000000005</v>
      </c>
      <c r="R472">
        <f>B472*中国_中债国债到期收益率_1年!B471/365*100</f>
        <v>4.6665753424657535</v>
      </c>
      <c r="S472">
        <f>C472*中国_中债国债到期收益率_1年!C471/365*100</f>
        <v>11.65095890410959</v>
      </c>
      <c r="T472">
        <f>D472*中国_中债国债到期收益率_1年!D471/365*100</f>
        <v>12.492054794520548</v>
      </c>
      <c r="U472">
        <f>E472*中国_中债国债到期收益率_1年!E471/365*100</f>
        <v>6.8117808219178082</v>
      </c>
      <c r="V472">
        <f t="shared" si="98"/>
        <v>35.621369863013697</v>
      </c>
      <c r="W472">
        <f>SUM($V$400:V472)</f>
        <v>2456.9958904109585</v>
      </c>
      <c r="X472">
        <f>MAX(F472-50,0)*中国_中债国债到期收益率_1年!H472*100/365</f>
        <v>5.2054794520547949</v>
      </c>
      <c r="Y472">
        <f>SUM($X$400:X472)</f>
        <v>111.28767123287668</v>
      </c>
      <c r="Z472">
        <v>-100</v>
      </c>
      <c r="AA472">
        <v>100</v>
      </c>
      <c r="AB472">
        <f>Z472*Return!F476*100</f>
        <v>-31.000000000001027</v>
      </c>
      <c r="AC472">
        <f>AA472*Return!G476*100</f>
        <v>68.999999999999062</v>
      </c>
      <c r="AD472">
        <f>SUM($AB$400:AB472)+SUM($AC$400:AC472)</f>
        <v>1927.1000000000113</v>
      </c>
      <c r="AE472">
        <f t="shared" si="101"/>
        <v>17896.608219178099</v>
      </c>
      <c r="AF472">
        <f t="shared" si="102"/>
        <v>1.0357932164383561</v>
      </c>
      <c r="AG472" s="4">
        <f>(AE472-AE471)/(500000+AE471)-中国_中债国债到期收益率_1年!H472%/252</f>
        <v>-7.864864069334813E-5</v>
      </c>
      <c r="AH472" s="4">
        <f>MIN((AF472-MAX($AF$401:AF472))/MAX($AF$401:AF472),0)</f>
        <v>-3.2518152966765628E-6</v>
      </c>
    </row>
    <row r="473" spans="1:34" x14ac:dyDescent="0.25">
      <c r="A473" s="6">
        <v>45399</v>
      </c>
      <c r="B473">
        <v>10</v>
      </c>
      <c r="C473">
        <v>20</v>
      </c>
      <c r="D473">
        <v>20</v>
      </c>
      <c r="E473">
        <v>10</v>
      </c>
      <c r="F473">
        <f t="shared" si="100"/>
        <v>60</v>
      </c>
      <c r="G473">
        <f t="shared" si="103"/>
        <v>10</v>
      </c>
      <c r="H473">
        <f t="shared" si="93"/>
        <v>100</v>
      </c>
      <c r="I473">
        <f t="shared" si="94"/>
        <v>180</v>
      </c>
      <c r="J473">
        <f t="shared" si="95"/>
        <v>160</v>
      </c>
      <c r="K473">
        <f t="shared" si="96"/>
        <v>450</v>
      </c>
      <c r="L473">
        <f>G473*Return!B473*100</f>
        <v>-20.000000000000018</v>
      </c>
      <c r="M473">
        <f>H473*Return!C473*100</f>
        <v>-24.999999999999467</v>
      </c>
      <c r="N473">
        <f>I473*Return!D473*100</f>
        <v>134.99999999999713</v>
      </c>
      <c r="O473">
        <f>J473*Return!E473*100</f>
        <v>233.60000000000269</v>
      </c>
      <c r="P473">
        <f t="shared" si="97"/>
        <v>323.60000000000036</v>
      </c>
      <c r="Q473">
        <f>SUM($P$400:P473)</f>
        <v>13947.400000000005</v>
      </c>
      <c r="R473">
        <f>B473*中国_中债国债到期收益率_1年!B472/365*100</f>
        <v>4.7213698630136989</v>
      </c>
      <c r="S473">
        <f>C473*中国_中债国债到期收益率_1年!C472/365*100</f>
        <v>11.664657534246576</v>
      </c>
      <c r="T473">
        <f>D473*中国_中债国债到期收益率_1年!D472/365*100</f>
        <v>12.450958904109587</v>
      </c>
      <c r="U473">
        <f>E473*中国_中债国债到期收益率_1年!E472/365*100</f>
        <v>6.7717808219178082</v>
      </c>
      <c r="V473">
        <f t="shared" si="98"/>
        <v>35.60876712328767</v>
      </c>
      <c r="W473">
        <f>SUM($V$400:V473)</f>
        <v>2492.6046575342461</v>
      </c>
      <c r="X473">
        <f>MAX(F473-50,0)*中国_中债国债到期收益率_1年!H473*100/365</f>
        <v>5.3424657534246576</v>
      </c>
      <c r="Y473">
        <f>SUM($X$400:X473)</f>
        <v>116.63013698630134</v>
      </c>
      <c r="Z473">
        <v>-100</v>
      </c>
      <c r="AA473">
        <v>100</v>
      </c>
      <c r="AB473">
        <f>Z473*Return!F477*100</f>
        <v>-10.999999999998789</v>
      </c>
      <c r="AC473">
        <f>AA473*Return!G477*100</f>
        <v>22.999999999999687</v>
      </c>
      <c r="AD473">
        <f>SUM($AB$400:AB473)+SUM($AC$400:AC473)</f>
        <v>1939.1000000000122</v>
      </c>
      <c r="AE473">
        <f t="shared" si="101"/>
        <v>18262.474520547959</v>
      </c>
      <c r="AF473">
        <f t="shared" si="102"/>
        <v>1.0365249490410959</v>
      </c>
      <c r="AG473" s="4">
        <f>(AE473-AE472)/(500000+AE472)-中国_中债国债到期收益率_1年!H473%/252</f>
        <v>6.2906565407186107E-4</v>
      </c>
      <c r="AH473" s="4">
        <f>MIN((AF473-MAX($AF$401:AF473))/MAX($AF$401:AF473),0)</f>
        <v>0</v>
      </c>
    </row>
    <row r="474" spans="1:34" x14ac:dyDescent="0.25">
      <c r="A474" s="6">
        <v>45400</v>
      </c>
      <c r="B474">
        <v>10</v>
      </c>
      <c r="C474">
        <v>30</v>
      </c>
      <c r="D474">
        <v>20</v>
      </c>
      <c r="E474">
        <v>10</v>
      </c>
      <c r="F474">
        <f t="shared" si="100"/>
        <v>70</v>
      </c>
      <c r="G474">
        <f t="shared" si="103"/>
        <v>10</v>
      </c>
      <c r="H474">
        <f t="shared" si="93"/>
        <v>150</v>
      </c>
      <c r="I474">
        <f t="shared" si="94"/>
        <v>180</v>
      </c>
      <c r="J474">
        <f t="shared" si="95"/>
        <v>160</v>
      </c>
      <c r="K474">
        <f t="shared" si="96"/>
        <v>500</v>
      </c>
      <c r="L474">
        <f>G474*Return!B474*100</f>
        <v>10.000000000000009</v>
      </c>
      <c r="M474">
        <f>H474*Return!C474*100</f>
        <v>352.49999999999784</v>
      </c>
      <c r="N474">
        <f>I474*Return!D474*100</f>
        <v>206.99999999999719</v>
      </c>
      <c r="O474">
        <f>J474*Return!E474*100</f>
        <v>257.5999999999965</v>
      </c>
      <c r="P474">
        <f t="shared" si="97"/>
        <v>827.0999999999915</v>
      </c>
      <c r="Q474">
        <f>SUM($P$400:P474)</f>
        <v>14774.499999999996</v>
      </c>
      <c r="R474">
        <f>B474*中国_中债国债到期收益率_1年!B473/365*100</f>
        <v>4.6939726027397262</v>
      </c>
      <c r="S474">
        <f>C474*中国_中债国债到期收益率_1年!C473/365*100</f>
        <v>17.303835616438356</v>
      </c>
      <c r="T474">
        <f>D474*中国_中债国债到期收益率_1年!D473/365*100</f>
        <v>12.387945205479452</v>
      </c>
      <c r="U474">
        <f>E474*中国_中债国债到期收益率_1年!E473/365*100</f>
        <v>6.7276712328767125</v>
      </c>
      <c r="V474">
        <f t="shared" si="98"/>
        <v>41.113424657534253</v>
      </c>
      <c r="W474">
        <f>SUM($V$400:V474)</f>
        <v>2533.7180821917805</v>
      </c>
      <c r="X474">
        <f>MAX(F474-50,0)*中国_中债国债到期收益率_1年!H474*100/365</f>
        <v>10.41095890410959</v>
      </c>
      <c r="Y474">
        <f>SUM($X$400:X474)</f>
        <v>127.04109589041093</v>
      </c>
      <c r="Z474">
        <v>-100</v>
      </c>
      <c r="AA474">
        <v>100</v>
      </c>
      <c r="AB474">
        <f>Z474*Return!F478*100</f>
        <v>-65.00000000000172</v>
      </c>
      <c r="AC474">
        <f>AA474*Return!G478*100</f>
        <v>106.00000000000165</v>
      </c>
      <c r="AD474">
        <f>SUM($AB$400:AB474)+SUM($AC$400:AC474)</f>
        <v>1980.1000000000122</v>
      </c>
      <c r="AE474">
        <f t="shared" si="101"/>
        <v>19161.276986301378</v>
      </c>
      <c r="AF474">
        <f t="shared" si="102"/>
        <v>1.0383225539726029</v>
      </c>
      <c r="AG474" s="4">
        <f>(AE474-AE473)/(500000+AE473)-中国_中债国债到期收益率_1年!H474%/252</f>
        <v>1.6588643066384697E-3</v>
      </c>
      <c r="AH474" s="4">
        <f>MIN((AF474-MAX($AF$401:AF474))/MAX($AF$401:AF474),0)</f>
        <v>0</v>
      </c>
    </row>
    <row r="475" spans="1:34" x14ac:dyDescent="0.25">
      <c r="A475" s="6">
        <v>45401</v>
      </c>
      <c r="B475">
        <v>10</v>
      </c>
      <c r="C475">
        <v>30</v>
      </c>
      <c r="D475">
        <v>20</v>
      </c>
      <c r="E475">
        <v>5</v>
      </c>
      <c r="F475">
        <f t="shared" si="100"/>
        <v>65</v>
      </c>
      <c r="G475">
        <f t="shared" si="103"/>
        <v>10</v>
      </c>
      <c r="H475">
        <f t="shared" si="93"/>
        <v>150</v>
      </c>
      <c r="I475">
        <f t="shared" si="94"/>
        <v>180</v>
      </c>
      <c r="J475">
        <f t="shared" si="95"/>
        <v>80</v>
      </c>
      <c r="K475">
        <f t="shared" si="96"/>
        <v>420</v>
      </c>
      <c r="L475">
        <f>G475*Return!B475*100</f>
        <v>15.000000000000124</v>
      </c>
      <c r="M475">
        <f>H475*Return!C475*100</f>
        <v>373.50000000000216</v>
      </c>
      <c r="N475">
        <f>I475*Return!D475*100</f>
        <v>127.80000000000591</v>
      </c>
      <c r="O475">
        <f>J475*Return!E475*100</f>
        <v>71.999999999999176</v>
      </c>
      <c r="P475">
        <f t="shared" si="97"/>
        <v>588.30000000000734</v>
      </c>
      <c r="Q475">
        <f>SUM($P$400:P475)</f>
        <v>15362.800000000003</v>
      </c>
      <c r="R475">
        <f>B475*中国_中债国债到期收益率_1年!B474/365*100</f>
        <v>4.6528767123287667</v>
      </c>
      <c r="S475">
        <f>C475*中国_中债国债到期收益率_1年!C474/365*100</f>
        <v>17.099178082191781</v>
      </c>
      <c r="T475">
        <f>D475*中国_中债国债到期收益率_1年!D474/365*100</f>
        <v>12.34904109589041</v>
      </c>
      <c r="U475">
        <f>E475*中国_中债国债到期收益率_1年!E474/365*100</f>
        <v>3.351506849315069</v>
      </c>
      <c r="V475">
        <f t="shared" si="98"/>
        <v>37.452602739726032</v>
      </c>
      <c r="W475">
        <f>SUM($V$400:V475)</f>
        <v>2571.1706849315065</v>
      </c>
      <c r="X475">
        <f>MAX(F475-50,0)*中国_中债国债到期收益率_1年!H475*100/365</f>
        <v>7.8082191780821919</v>
      </c>
      <c r="Y475">
        <f>SUM($X$400:X475)</f>
        <v>134.84931506849313</v>
      </c>
      <c r="Z475">
        <v>-100</v>
      </c>
      <c r="AA475">
        <v>100</v>
      </c>
      <c r="AB475">
        <f>Z475*Return!F479*100</f>
        <v>70.000000000001165</v>
      </c>
      <c r="AC475">
        <f>AA475*Return!G479*100</f>
        <v>-165.99999999999949</v>
      </c>
      <c r="AD475">
        <f>SUM($AB$400:AB475)+SUM($AC$400:AC475)</f>
        <v>1884.100000000014</v>
      </c>
      <c r="AE475">
        <f t="shared" si="101"/>
        <v>19683.221369863029</v>
      </c>
      <c r="AF475">
        <f t="shared" si="102"/>
        <v>1.039366442739726</v>
      </c>
      <c r="AG475" s="4">
        <f>(AE475-AE474)/(500000+AE474)-中国_中债国债到期收益率_1年!H475%/252</f>
        <v>9.2996394918078878E-4</v>
      </c>
      <c r="AH475" s="4">
        <f>MIN((AF475-MAX($AF$401:AF475))/MAX($AF$401:AF475),0)</f>
        <v>0</v>
      </c>
    </row>
    <row r="476" spans="1:34" x14ac:dyDescent="0.25">
      <c r="A476" s="6">
        <v>45404</v>
      </c>
      <c r="B476">
        <v>10</v>
      </c>
      <c r="C476">
        <v>30</v>
      </c>
      <c r="D476">
        <v>20</v>
      </c>
      <c r="E476">
        <v>5</v>
      </c>
      <c r="F476">
        <f t="shared" si="100"/>
        <v>65</v>
      </c>
      <c r="G476">
        <f t="shared" si="103"/>
        <v>10</v>
      </c>
      <c r="H476">
        <f t="shared" si="93"/>
        <v>150</v>
      </c>
      <c r="I476">
        <f t="shared" si="94"/>
        <v>180</v>
      </c>
      <c r="J476">
        <f t="shared" si="95"/>
        <v>80</v>
      </c>
      <c r="K476">
        <f t="shared" si="96"/>
        <v>420</v>
      </c>
      <c r="L476">
        <f>G476*Return!B476*100</f>
        <v>4.9999999999998934</v>
      </c>
      <c r="M476">
        <f>H476*Return!C476*100</f>
        <v>73.500000000001904</v>
      </c>
      <c r="N476">
        <f>I476*Return!D476*100</f>
        <v>-5.4000000000034021</v>
      </c>
      <c r="O476">
        <f>J476*Return!E476*100</f>
        <v>44.000000000000483</v>
      </c>
      <c r="P476">
        <f t="shared" si="97"/>
        <v>117.09999999999887</v>
      </c>
      <c r="Q476">
        <f>SUM($P$400:P476)</f>
        <v>15479.900000000001</v>
      </c>
      <c r="R476">
        <f>B476*中国_中债国债到期收益率_1年!B475/365*100</f>
        <v>4.6391780821917807</v>
      </c>
      <c r="S476">
        <f>C476*中国_中债国债到期收益率_1年!C475/365*100</f>
        <v>17.05890410958904</v>
      </c>
      <c r="T476">
        <f>D476*中国_中债国债到期收益率_1年!D475/365*100</f>
        <v>12.350684931506848</v>
      </c>
      <c r="U476">
        <f>E476*中国_中债国债到期收益率_1年!E475/365*100</f>
        <v>3.3439726027397261</v>
      </c>
      <c r="V476">
        <f t="shared" si="98"/>
        <v>37.392739726027393</v>
      </c>
      <c r="W476">
        <f>SUM($V$400:V476)</f>
        <v>2608.5634246575337</v>
      </c>
      <c r="X476">
        <f>MAX(F476-50,0)*中国_中债国债到期收益率_1年!H476*100/365</f>
        <v>7.8082191780821919</v>
      </c>
      <c r="Y476">
        <f>SUM($X$400:X476)</f>
        <v>142.65753424657532</v>
      </c>
      <c r="Z476">
        <v>-100</v>
      </c>
      <c r="AA476">
        <v>100</v>
      </c>
      <c r="AD476">
        <f>SUM($AB$400:AB476)+SUM($AC$400:AC476)</f>
        <v>1884.100000000014</v>
      </c>
      <c r="AE476">
        <f t="shared" si="101"/>
        <v>19829.905890410973</v>
      </c>
      <c r="AF476">
        <f t="shared" si="102"/>
        <v>1.039659811780822</v>
      </c>
      <c r="AG476" s="4">
        <f>(AE476-AE475)/(500000+AE475)-中国_中债国债到期收益率_1年!H476%/252</f>
        <v>2.0686073943524628E-4</v>
      </c>
      <c r="AH476" s="4">
        <f>MIN((AF476-MAX($AF$401:AF476))/MAX($AF$401:AF476),0)</f>
        <v>0</v>
      </c>
    </row>
    <row r="477" spans="1:34" x14ac:dyDescent="0.25">
      <c r="A477" s="6">
        <v>45405</v>
      </c>
      <c r="B477">
        <v>10</v>
      </c>
      <c r="C477">
        <v>30</v>
      </c>
      <c r="D477">
        <v>10</v>
      </c>
      <c r="E477">
        <v>5</v>
      </c>
      <c r="F477">
        <f t="shared" si="100"/>
        <v>55</v>
      </c>
      <c r="G477">
        <f t="shared" si="103"/>
        <v>10</v>
      </c>
      <c r="H477">
        <f t="shared" si="93"/>
        <v>150</v>
      </c>
      <c r="I477">
        <f t="shared" si="94"/>
        <v>90</v>
      </c>
      <c r="J477">
        <f t="shared" si="95"/>
        <v>80</v>
      </c>
      <c r="K477">
        <f t="shared" si="96"/>
        <v>330</v>
      </c>
      <c r="L477">
        <f>G477*Return!B477*100</f>
        <v>10.000000000000009</v>
      </c>
      <c r="M477">
        <f>H477*Return!C477*100</f>
        <v>29.999999999996696</v>
      </c>
      <c r="N477">
        <f>I477*Return!D477*100</f>
        <v>94.499999999999588</v>
      </c>
      <c r="O477">
        <f>J477*Return!E477*100</f>
        <v>56.000000000000938</v>
      </c>
      <c r="P477">
        <f t="shared" si="97"/>
        <v>190.49999999999724</v>
      </c>
      <c r="Q477">
        <f>SUM($P$400:P477)</f>
        <v>15670.399999999998</v>
      </c>
      <c r="R477">
        <f>B477*中国_中债国债到期收益率_1年!B476/365*100</f>
        <v>4.6117808219178071</v>
      </c>
      <c r="S477">
        <f>C477*中国_中债国债到期收益率_1年!C476/365*100</f>
        <v>17.042465753424661</v>
      </c>
      <c r="T477">
        <f>D477*中国_中债国债到期收益率_1年!D476/365*100</f>
        <v>6.1465753424657539</v>
      </c>
      <c r="U477">
        <f>E477*中国_中债国债到期收益率_1年!E476/365*100</f>
        <v>3.3343835616438362</v>
      </c>
      <c r="V477">
        <f t="shared" si="98"/>
        <v>31.135205479452058</v>
      </c>
      <c r="W477">
        <f>SUM($V$400:V477)</f>
        <v>2639.6986301369857</v>
      </c>
      <c r="X477">
        <f>MAX(F477-50,0)*中国_中债国债到期收益率_1年!H477*100/365</f>
        <v>2.6027397260273974</v>
      </c>
      <c r="Y477">
        <f>SUM($X$400:X477)</f>
        <v>145.26027397260273</v>
      </c>
      <c r="Z477">
        <v>-100</v>
      </c>
      <c r="AA477">
        <v>100</v>
      </c>
      <c r="AD477">
        <f>SUM($AB$400:AB477)+SUM($AC$400:AC477)</f>
        <v>1884.100000000014</v>
      </c>
      <c r="AE477">
        <f t="shared" si="101"/>
        <v>20048.938356164395</v>
      </c>
      <c r="AF477">
        <f t="shared" si="102"/>
        <v>1.0400978767123288</v>
      </c>
      <c r="AG477" s="4">
        <f>(AE477-AE476)/(500000+AE476)-中国_中债国债到期收益率_1年!H477%/252</f>
        <v>3.4595728153598689E-4</v>
      </c>
      <c r="AH477" s="4">
        <f>MIN((AF477-MAX($AF$401:AF477))/MAX($AF$401:AF477),0)</f>
        <v>0</v>
      </c>
    </row>
    <row r="478" spans="1:34" x14ac:dyDescent="0.25">
      <c r="A478" s="6">
        <v>45406</v>
      </c>
      <c r="B478">
        <v>10</v>
      </c>
      <c r="C478">
        <v>30</v>
      </c>
      <c r="D478">
        <v>10</v>
      </c>
      <c r="E478">
        <v>5</v>
      </c>
      <c r="F478">
        <f t="shared" si="100"/>
        <v>55</v>
      </c>
      <c r="G478">
        <f t="shared" si="103"/>
        <v>10</v>
      </c>
      <c r="H478">
        <f t="shared" ref="H478:H541" si="104">5*C478</f>
        <v>150</v>
      </c>
      <c r="I478">
        <f t="shared" ref="I478:I541" si="105">9*D478</f>
        <v>90</v>
      </c>
      <c r="J478">
        <f t="shared" ref="J478:J541" si="106">16*E478</f>
        <v>80</v>
      </c>
      <c r="K478">
        <f t="shared" ref="K478:K541" si="107">SUM(G478:J478)</f>
        <v>330</v>
      </c>
      <c r="L478">
        <f>G478*Return!B478*100</f>
        <v>20.000000000000018</v>
      </c>
      <c r="M478">
        <f>H478*Return!C478*100</f>
        <v>258.00000000000489</v>
      </c>
      <c r="N478">
        <f>I478*Return!D478*100</f>
        <v>157.50000000000063</v>
      </c>
      <c r="O478">
        <f>J478*Return!E478*100</f>
        <v>103.9999999999992</v>
      </c>
      <c r="P478">
        <f t="shared" ref="P478:P541" si="108">SUM(L478:O478)</f>
        <v>539.50000000000477</v>
      </c>
      <c r="Q478">
        <f>SUM($P$400:P478)</f>
        <v>16209.900000000003</v>
      </c>
      <c r="R478">
        <f>B478*中国_中债国债到期收益率_1年!B477/365*100</f>
        <v>4.5569863013698626</v>
      </c>
      <c r="S478">
        <f>C478*中国_中债国债到期收益率_1年!C477/365*100</f>
        <v>16.901095890410957</v>
      </c>
      <c r="T478">
        <f>D478*中国_中债国债到期收益率_1年!D477/365*100</f>
        <v>6.0986301369863005</v>
      </c>
      <c r="U478">
        <f>E478*中国_中债国债到期收益率_1年!E477/365*100</f>
        <v>3.3165753424657529</v>
      </c>
      <c r="V478">
        <f t="shared" ref="V478:V541" si="109">SUM(R478:U478)</f>
        <v>30.873287671232873</v>
      </c>
      <c r="W478">
        <f>SUM($V$400:V478)</f>
        <v>2670.5719178082186</v>
      </c>
      <c r="X478">
        <f>MAX(F478-50,0)*中国_中债国债到期收益率_1年!H478*100/365</f>
        <v>2.6027397260273974</v>
      </c>
      <c r="Y478">
        <f>SUM($X$400:X478)</f>
        <v>147.86301369863014</v>
      </c>
      <c r="Z478">
        <v>-30</v>
      </c>
      <c r="AA478">
        <v>30</v>
      </c>
      <c r="AD478">
        <f>SUM($AB$400:AB478)+SUM($AC$400:AC478)</f>
        <v>1884.100000000014</v>
      </c>
      <c r="AE478">
        <f t="shared" si="101"/>
        <v>20616.708904109608</v>
      </c>
      <c r="AF478">
        <f t="shared" si="102"/>
        <v>1.0412334178082192</v>
      </c>
      <c r="AG478" s="4">
        <f>(AE478-AE477)/(500000+AE477)-中国_中债国债到期收益率_1年!H478%/252</f>
        <v>1.0163668646510622E-3</v>
      </c>
      <c r="AH478" s="4">
        <f>MIN((AF478-MAX($AF$401:AF478))/MAX($AF$401:AF478),0)</f>
        <v>0</v>
      </c>
    </row>
    <row r="479" spans="1:34" x14ac:dyDescent="0.25">
      <c r="A479" s="6">
        <v>45407</v>
      </c>
      <c r="B479">
        <v>10</v>
      </c>
      <c r="C479">
        <v>30</v>
      </c>
      <c r="D479">
        <v>10</v>
      </c>
      <c r="E479">
        <v>0</v>
      </c>
      <c r="F479">
        <f t="shared" si="100"/>
        <v>50</v>
      </c>
      <c r="G479">
        <f t="shared" si="103"/>
        <v>10</v>
      </c>
      <c r="H479">
        <f t="shared" si="104"/>
        <v>150</v>
      </c>
      <c r="I479">
        <f t="shared" si="105"/>
        <v>90</v>
      </c>
      <c r="J479">
        <f t="shared" si="106"/>
        <v>0</v>
      </c>
      <c r="K479">
        <f t="shared" si="107"/>
        <v>250</v>
      </c>
      <c r="L479">
        <f>G479*Return!B479*100</f>
        <v>-6.2999999999999723</v>
      </c>
      <c r="M479">
        <f>H479*Return!C479*100</f>
        <v>-603.00000000000023</v>
      </c>
      <c r="N479">
        <f>I479*Return!D479*100</f>
        <v>-420.29999999999967</v>
      </c>
      <c r="O479">
        <f>J479*Return!E479*100</f>
        <v>0</v>
      </c>
      <c r="P479">
        <f t="shared" si="108"/>
        <v>-1029.5999999999999</v>
      </c>
      <c r="Q479">
        <f>SUM($P$400:P479)</f>
        <v>15180.300000000003</v>
      </c>
      <c r="R479">
        <f>B479*中国_中债国债到期收益率_1年!B478/365*100</f>
        <v>4.5742465753424648</v>
      </c>
      <c r="S479">
        <f>C479*中国_中债国债到期收益率_1年!C478/365*100</f>
        <v>17.231506849315068</v>
      </c>
      <c r="T479">
        <f>D479*中国_中债国债到期收益率_1年!D478/365*100</f>
        <v>6.2265753424657539</v>
      </c>
      <c r="U479">
        <f>E479*中国_中债国债到期收益率_1年!E478/365*100</f>
        <v>0</v>
      </c>
      <c r="V479">
        <f t="shared" si="109"/>
        <v>28.032328767123285</v>
      </c>
      <c r="W479">
        <f>SUM($V$400:V479)</f>
        <v>2698.6042465753417</v>
      </c>
      <c r="X479">
        <f>MAX(F479-50,0)*中国_中债国债到期收益率_1年!H479*100/365</f>
        <v>0</v>
      </c>
      <c r="Y479">
        <f>SUM($X$400:X479)</f>
        <v>147.86301369863014</v>
      </c>
      <c r="Z479">
        <v>-30</v>
      </c>
      <c r="AA479">
        <v>30</v>
      </c>
      <c r="AD479">
        <f>SUM($AB$400:AB479)+SUM($AC$400:AC479)</f>
        <v>1884.100000000014</v>
      </c>
      <c r="AE479">
        <f t="shared" si="101"/>
        <v>19615.141232876729</v>
      </c>
      <c r="AF479">
        <f t="shared" si="102"/>
        <v>1.0392302824657536</v>
      </c>
      <c r="AG479" s="4">
        <f>(AE479-AE478)/(500000+AE478)-中国_中债国债到期收益率_1年!H479%/252</f>
        <v>-2.0023815063178068E-3</v>
      </c>
      <c r="AH479" s="4">
        <f>MIN((AF479-MAX($AF$401:AF479))/MAX($AF$401:AF479),0)</f>
        <v>-1.9238100777462812E-3</v>
      </c>
    </row>
    <row r="480" spans="1:34" x14ac:dyDescent="0.25">
      <c r="A480" s="6">
        <v>45408</v>
      </c>
      <c r="B480">
        <v>10</v>
      </c>
      <c r="C480">
        <v>30</v>
      </c>
      <c r="D480">
        <v>10</v>
      </c>
      <c r="E480">
        <v>0</v>
      </c>
      <c r="F480">
        <f t="shared" si="100"/>
        <v>50</v>
      </c>
      <c r="G480">
        <f t="shared" si="103"/>
        <v>10</v>
      </c>
      <c r="H480">
        <f t="shared" si="104"/>
        <v>150</v>
      </c>
      <c r="I480">
        <f t="shared" si="105"/>
        <v>90</v>
      </c>
      <c r="J480">
        <f t="shared" si="106"/>
        <v>0</v>
      </c>
      <c r="K480">
        <f t="shared" si="107"/>
        <v>250</v>
      </c>
      <c r="L480">
        <f>G480*Return!B480*100</f>
        <v>64.999999999999943</v>
      </c>
      <c r="M480">
        <f>H480*Return!C480*100</f>
        <v>445.49999999999426</v>
      </c>
      <c r="N480">
        <f>I480*Return!D480*100</f>
        <v>103.49999999999859</v>
      </c>
      <c r="O480">
        <f>J480*Return!E480*100</f>
        <v>0</v>
      </c>
      <c r="P480">
        <f t="shared" si="108"/>
        <v>613.99999999999284</v>
      </c>
      <c r="Q480">
        <f>SUM($P$400:P480)</f>
        <v>15794.299999999996</v>
      </c>
      <c r="R480">
        <f>B480*中国_中债国债到期收益率_1年!B479/365*100</f>
        <v>4.3961643835616435</v>
      </c>
      <c r="S480">
        <f>C480*中国_中债国债到期收益率_1年!C479/365*100</f>
        <v>16.987397260273973</v>
      </c>
      <c r="T480">
        <f>D480*中国_中债国债到期收益率_1年!D479/365*100</f>
        <v>6.1950684931506856</v>
      </c>
      <c r="U480">
        <f>E480*中国_中债国债到期收益率_1年!E479/365*100</f>
        <v>0</v>
      </c>
      <c r="V480">
        <f t="shared" si="109"/>
        <v>27.578630136986302</v>
      </c>
      <c r="W480">
        <f>SUM($V$400:V480)</f>
        <v>2726.1828767123279</v>
      </c>
      <c r="X480">
        <f>MAX(F480-50,0)*中国_中债国债到期收益率_1年!H480*100/365</f>
        <v>0</v>
      </c>
      <c r="Y480">
        <f>SUM($X$400:X480)</f>
        <v>147.86301369863014</v>
      </c>
      <c r="Z480">
        <v>-30</v>
      </c>
      <c r="AA480">
        <v>30</v>
      </c>
      <c r="AB480">
        <f>Z480*Return!F484*100</f>
        <v>-85.199999999999946</v>
      </c>
      <c r="AC480">
        <f>AA480*Return!G484*100</f>
        <v>82.499999999999574</v>
      </c>
      <c r="AD480">
        <f>SUM($AB$400:AB480)+SUM($AC$400:AC480)</f>
        <v>1881.4000000000135</v>
      </c>
      <c r="AE480">
        <f t="shared" si="101"/>
        <v>20254.019863013709</v>
      </c>
      <c r="AF480">
        <f t="shared" si="102"/>
        <v>1.0405080397260273</v>
      </c>
      <c r="AG480" s="4">
        <f>(AE480-AE479)/(500000+AE479)-中国_中债国债到期收益率_1年!H480%/252</f>
        <v>1.1521417836600528E-3</v>
      </c>
      <c r="AH480" s="4">
        <f>MIN((AF480-MAX($AF$401:AF480))/MAX($AF$401:AF480),0)</f>
        <v>-6.9665270993585009E-4</v>
      </c>
    </row>
    <row r="481" spans="1:34" x14ac:dyDescent="0.25">
      <c r="A481" s="6">
        <v>45410</v>
      </c>
      <c r="B481">
        <v>10</v>
      </c>
      <c r="C481">
        <v>30</v>
      </c>
      <c r="D481">
        <v>10</v>
      </c>
      <c r="E481">
        <v>0</v>
      </c>
      <c r="F481">
        <f t="shared" si="100"/>
        <v>50</v>
      </c>
      <c r="G481">
        <f t="shared" si="103"/>
        <v>10</v>
      </c>
      <c r="H481">
        <f t="shared" si="104"/>
        <v>150</v>
      </c>
      <c r="I481">
        <f t="shared" si="105"/>
        <v>90</v>
      </c>
      <c r="J481">
        <f t="shared" si="106"/>
        <v>0</v>
      </c>
      <c r="K481">
        <f t="shared" si="107"/>
        <v>250</v>
      </c>
      <c r="L481">
        <f>G481*Return!B481*100</f>
        <v>-60.000000000000057</v>
      </c>
      <c r="M481">
        <f>H481*Return!C481*100</f>
        <v>-865.49999999999466</v>
      </c>
      <c r="N481">
        <f>I481*Return!D481*100</f>
        <v>-424.79999999999717</v>
      </c>
      <c r="O481">
        <f>J481*Return!E481*100</f>
        <v>0</v>
      </c>
      <c r="P481">
        <f t="shared" si="108"/>
        <v>-1350.299999999992</v>
      </c>
      <c r="Q481">
        <f>SUM($P$400:P481)</f>
        <v>14444.000000000004</v>
      </c>
      <c r="R481">
        <f>B481*中国_中债国债到期收益率_1年!B480/365*100</f>
        <v>4.5605479452054798</v>
      </c>
      <c r="S481">
        <f>C481*中国_中债国债到期收益率_1年!C480/365*100</f>
        <v>17.461643835616435</v>
      </c>
      <c r="T481">
        <f>D481*中国_中债国债到期收益率_1年!D480/365*100</f>
        <v>6.3243835616438346</v>
      </c>
      <c r="U481">
        <f>E481*中国_中债国债到期收益率_1年!E480/365*100</f>
        <v>0</v>
      </c>
      <c r="V481">
        <f t="shared" si="109"/>
        <v>28.346575342465748</v>
      </c>
      <c r="W481">
        <f>SUM($V$400:V481)</f>
        <v>2754.5294520547936</v>
      </c>
      <c r="X481">
        <f>MAX(F481-50,0)*中国_中债国债到期收益率_1年!H481*100/365</f>
        <v>0</v>
      </c>
      <c r="Y481">
        <f>SUM($X$400:X481)</f>
        <v>147.86301369863014</v>
      </c>
      <c r="Z481">
        <v>-30</v>
      </c>
      <c r="AA481">
        <v>30</v>
      </c>
      <c r="AB481">
        <f>Z481*Return!F485*100</f>
        <v>-109.19999999999996</v>
      </c>
      <c r="AC481">
        <f>AA481*Return!G485*100</f>
        <v>54.300000000000011</v>
      </c>
      <c r="AD481">
        <f>SUM($AB$400:AB481)+SUM($AC$400:AC481)</f>
        <v>1826.5000000000136</v>
      </c>
      <c r="AE481">
        <f t="shared" si="101"/>
        <v>18877.166438356184</v>
      </c>
      <c r="AF481">
        <f t="shared" si="102"/>
        <v>1.0377543328767125</v>
      </c>
      <c r="AG481" s="4">
        <f>(AE481-AE480)/(500000+AE480)-中国_中债国债到期收益率_1年!H481%/252</f>
        <v>-2.7250736603467063E-3</v>
      </c>
      <c r="AH481" s="4">
        <f>MIN((AF481-MAX($AF$401:AF481))/MAX($AF$401:AF481),0)</f>
        <v>-3.34131124875933E-3</v>
      </c>
    </row>
    <row r="482" spans="1:34" x14ac:dyDescent="0.25">
      <c r="A482" s="6">
        <v>45411</v>
      </c>
      <c r="B482">
        <v>10</v>
      </c>
      <c r="C482">
        <v>30</v>
      </c>
      <c r="D482">
        <v>10</v>
      </c>
      <c r="E482">
        <v>5</v>
      </c>
      <c r="F482">
        <f t="shared" si="100"/>
        <v>55</v>
      </c>
      <c r="G482">
        <f t="shared" ref="G482:G508" si="110">B482</f>
        <v>10</v>
      </c>
      <c r="H482">
        <f t="shared" si="104"/>
        <v>150</v>
      </c>
      <c r="I482">
        <f t="shared" si="105"/>
        <v>90</v>
      </c>
      <c r="J482">
        <f t="shared" si="106"/>
        <v>80</v>
      </c>
      <c r="K482">
        <f t="shared" si="107"/>
        <v>330</v>
      </c>
      <c r="L482">
        <f>G482*Return!B482*100</f>
        <v>-28.599999999999959</v>
      </c>
      <c r="M482">
        <f>H482*Return!C482*100</f>
        <v>-495.00000000000546</v>
      </c>
      <c r="N482">
        <f>I482*Return!D482*100</f>
        <v>-144.00000000000011</v>
      </c>
      <c r="O482">
        <f>J482*Return!E482*100</f>
        <v>-188.80000000000052</v>
      </c>
      <c r="P482">
        <f t="shared" si="108"/>
        <v>-856.400000000006</v>
      </c>
      <c r="Q482">
        <f>SUM($P$400:P482)</f>
        <v>13587.599999999999</v>
      </c>
      <c r="R482">
        <f>B482*中国_中债国债到期收益率_1年!B481/365*100</f>
        <v>4.638904109589042</v>
      </c>
      <c r="S482">
        <f>C482*中国_中债国债到期收益率_1年!C481/365*100</f>
        <v>17.732876712328768</v>
      </c>
      <c r="T482">
        <f>D482*中国_中债国债到期收益率_1年!D481/365*100</f>
        <v>6.3682191780821924</v>
      </c>
      <c r="U482">
        <f>E482*中国_中债国债到期收益率_1年!E481/365*100</f>
        <v>3.4921917808219183</v>
      </c>
      <c r="V482">
        <f t="shared" si="109"/>
        <v>32.232191780821921</v>
      </c>
      <c r="W482">
        <f>SUM($V$400:V482)</f>
        <v>2786.7616438356154</v>
      </c>
      <c r="X482">
        <f>MAX(F482-50,0)*中国_中债国债到期收益率_1年!H482*100/365</f>
        <v>2.8493150684931505</v>
      </c>
      <c r="Y482">
        <f>SUM($X$400:X482)</f>
        <v>150.7123287671233</v>
      </c>
      <c r="Z482">
        <v>-30</v>
      </c>
      <c r="AA482">
        <v>30</v>
      </c>
      <c r="AB482">
        <f>Z482*Return!F486*100</f>
        <v>-95.39999999999948</v>
      </c>
      <c r="AC482">
        <f>AA482*Return!G486*100</f>
        <v>86.399999999999807</v>
      </c>
      <c r="AD482">
        <f>SUM($AB$400:AB482)+SUM($AC$400:AC482)</f>
        <v>1817.5000000000139</v>
      </c>
      <c r="AE482">
        <f t="shared" si="101"/>
        <v>18041.149315068506</v>
      </c>
      <c r="AF482">
        <f t="shared" si="102"/>
        <v>1.036082298630137</v>
      </c>
      <c r="AG482" s="4">
        <f>(AE482-AE481)/(500000+AE481)-中国_中债国债到期收益率_1年!H482%/252</f>
        <v>-1.6937439855276403E-3</v>
      </c>
      <c r="AH482" s="4">
        <f>MIN((AF482-MAX($AF$401:AF482))/MAX($AF$401:AF482),0)</f>
        <v>-4.9471320166857751E-3</v>
      </c>
    </row>
    <row r="483" spans="1:34" x14ac:dyDescent="0.25">
      <c r="A483" s="6">
        <v>45412</v>
      </c>
      <c r="B483">
        <v>10</v>
      </c>
      <c r="C483">
        <v>30</v>
      </c>
      <c r="D483">
        <v>10</v>
      </c>
      <c r="E483">
        <v>5</v>
      </c>
      <c r="F483">
        <f t="shared" si="100"/>
        <v>55</v>
      </c>
      <c r="G483">
        <f t="shared" si="110"/>
        <v>10</v>
      </c>
      <c r="H483">
        <f t="shared" si="104"/>
        <v>150</v>
      </c>
      <c r="I483">
        <f t="shared" si="105"/>
        <v>90</v>
      </c>
      <c r="J483">
        <f t="shared" si="106"/>
        <v>80</v>
      </c>
      <c r="K483">
        <f t="shared" si="107"/>
        <v>330</v>
      </c>
      <c r="L483">
        <f>G483*Return!B483*100</f>
        <v>-89.899999999999864</v>
      </c>
      <c r="M483">
        <f>H483*Return!C483*100</f>
        <v>-451.50000000000023</v>
      </c>
      <c r="N483">
        <f>I483*Return!D483*100</f>
        <v>-257.40000000000362</v>
      </c>
      <c r="O483">
        <f>J483*Return!E483*100</f>
        <v>-271.99999999999847</v>
      </c>
      <c r="P483">
        <f t="shared" si="108"/>
        <v>-1070.8000000000022</v>
      </c>
      <c r="Q483">
        <f>SUM($P$400:P483)</f>
        <v>12516.799999999996</v>
      </c>
      <c r="R483">
        <f>B483*中国_中债国债到期收益率_1年!B482/365*100</f>
        <v>4.885205479452055</v>
      </c>
      <c r="S483">
        <f>C483*中国_中债国债到期收益率_1年!C482/365*100</f>
        <v>17.980273972602738</v>
      </c>
      <c r="T483">
        <f>D483*中国_中债国债到期收益率_1年!D482/365*100</f>
        <v>6.4465753424657528</v>
      </c>
      <c r="U483">
        <f>E483*中国_中债国债到期收益率_1年!E482/365*100</f>
        <v>3.5387671232876712</v>
      </c>
      <c r="V483">
        <f t="shared" si="109"/>
        <v>32.850821917808219</v>
      </c>
      <c r="W483">
        <f>SUM($V$400:V483)</f>
        <v>2819.6124657534237</v>
      </c>
      <c r="X483">
        <f>MAX(F483-50,0)*中国_中债国债到期收益率_1年!H483*100/365</f>
        <v>2.8767123287671232</v>
      </c>
      <c r="Y483">
        <f>SUM($X$400:X483)</f>
        <v>153.58904109589042</v>
      </c>
      <c r="Z483">
        <v>-30</v>
      </c>
      <c r="AA483">
        <v>30</v>
      </c>
      <c r="AB483">
        <f>Z483*Return!F487*100</f>
        <v>-22.500000000000185</v>
      </c>
      <c r="AC483">
        <f>AA483*Return!G487*100</f>
        <v>29.70000000000006</v>
      </c>
      <c r="AD483">
        <f>SUM($AB$400:AB483)+SUM($AC$400:AC483)</f>
        <v>1824.7000000000139</v>
      </c>
      <c r="AE483">
        <f t="shared" si="101"/>
        <v>17007.523424657546</v>
      </c>
      <c r="AF483">
        <f t="shared" si="102"/>
        <v>1.034015046849315</v>
      </c>
      <c r="AG483" s="4">
        <f>(AE483-AE482)/(500000+AE482)-中国_中债国债到期收益率_1年!H483%/252</f>
        <v>-2.0785916092011386E-3</v>
      </c>
      <c r="AH483" s="4">
        <f>MIN((AF483-MAX($AF$401:AF483))/MAX($AF$401:AF483),0)</f>
        <v>-6.932519486455564E-3</v>
      </c>
    </row>
    <row r="484" spans="1:34" x14ac:dyDescent="0.25">
      <c r="A484" s="6">
        <v>45418</v>
      </c>
      <c r="B484">
        <v>10</v>
      </c>
      <c r="C484">
        <v>30</v>
      </c>
      <c r="D484">
        <v>20</v>
      </c>
      <c r="E484">
        <v>5</v>
      </c>
      <c r="F484">
        <f t="shared" si="100"/>
        <v>65</v>
      </c>
      <c r="G484">
        <f t="shared" si="110"/>
        <v>10</v>
      </c>
      <c r="H484">
        <f t="shared" si="104"/>
        <v>150</v>
      </c>
      <c r="I484">
        <f t="shared" si="105"/>
        <v>180</v>
      </c>
      <c r="J484">
        <f t="shared" si="106"/>
        <v>80</v>
      </c>
      <c r="K484">
        <f t="shared" si="107"/>
        <v>420</v>
      </c>
      <c r="L484">
        <f>G484*Return!B484*100</f>
        <v>90.299999999999827</v>
      </c>
      <c r="M484">
        <f>H484*Return!C484*100</f>
        <v>588.00000000000182</v>
      </c>
      <c r="N484">
        <f>I484*Return!D484*100</f>
        <v>903.60000000000446</v>
      </c>
      <c r="O484">
        <f>J484*Return!E484*100</f>
        <v>360.80000000000109</v>
      </c>
      <c r="P484">
        <f t="shared" si="108"/>
        <v>1942.7000000000071</v>
      </c>
      <c r="Q484">
        <f>SUM($P$400:P484)</f>
        <v>14459.500000000004</v>
      </c>
      <c r="R484">
        <f>B484*中国_中债国债到期收益率_1年!B483/365*100</f>
        <v>4.6378082191780825</v>
      </c>
      <c r="S484">
        <f>C484*中国_中债国债到期收益率_1年!C483/365*100</f>
        <v>17.658082191780821</v>
      </c>
      <c r="T484">
        <f>D484*中国_中债国债到期收益率_1年!D483/365*100</f>
        <v>12.618082191780822</v>
      </c>
      <c r="U484">
        <f>E484*中国_中债国债到期收益率_1年!E483/365*100</f>
        <v>3.476986301369863</v>
      </c>
      <c r="V484">
        <f t="shared" si="109"/>
        <v>38.390958904109588</v>
      </c>
      <c r="W484">
        <f>SUM($V$400:V484)</f>
        <v>2858.0034246575333</v>
      </c>
      <c r="X484">
        <f>MAX(F484-50,0)*中国_中债国债到期收益率_1年!H484*100/365</f>
        <v>8.0136986301369859</v>
      </c>
      <c r="Y484">
        <f>SUM($X$400:X484)</f>
        <v>161.60273972602741</v>
      </c>
      <c r="Z484">
        <v>-30</v>
      </c>
      <c r="AA484">
        <v>30</v>
      </c>
      <c r="AB484">
        <f>Z484*Return!F488*100</f>
        <v>33.599999999999632</v>
      </c>
      <c r="AC484">
        <f>AA484*Return!G488*100</f>
        <v>-50.999999999999716</v>
      </c>
      <c r="AD484">
        <f>SUM($AB$400:AB484)+SUM($AC$400:AC484)</f>
        <v>1807.3000000000141</v>
      </c>
      <c r="AE484">
        <f t="shared" si="101"/>
        <v>18963.200684931526</v>
      </c>
      <c r="AF484">
        <f t="shared" si="102"/>
        <v>1.037926401369863</v>
      </c>
      <c r="AG484" s="4">
        <f>(AE484-AE483)/(500000+AE483)-中国_中债国债到期收益率_1年!H484%/252</f>
        <v>3.70530531748138E-3</v>
      </c>
      <c r="AH484" s="4">
        <f>MIN((AF484-MAX($AF$401:AF484))/MAX($AF$401:AF484),0)</f>
        <v>-3.176056762870136E-3</v>
      </c>
    </row>
    <row r="485" spans="1:34" x14ac:dyDescent="0.25">
      <c r="A485" s="6">
        <v>45419</v>
      </c>
      <c r="B485">
        <v>10</v>
      </c>
      <c r="C485">
        <v>30</v>
      </c>
      <c r="D485">
        <v>20</v>
      </c>
      <c r="E485">
        <v>5</v>
      </c>
      <c r="F485">
        <f t="shared" si="100"/>
        <v>65</v>
      </c>
      <c r="G485">
        <f t="shared" si="110"/>
        <v>10</v>
      </c>
      <c r="H485">
        <f t="shared" si="104"/>
        <v>150</v>
      </c>
      <c r="I485">
        <f t="shared" si="105"/>
        <v>180</v>
      </c>
      <c r="J485">
        <f t="shared" si="106"/>
        <v>80</v>
      </c>
      <c r="K485">
        <f t="shared" si="107"/>
        <v>420</v>
      </c>
      <c r="L485">
        <f>G485*Return!B485*100</f>
        <v>-9.3999999999998529</v>
      </c>
      <c r="M485">
        <f>H485*Return!C485*100</f>
        <v>324.00000000000426</v>
      </c>
      <c r="N485">
        <f>I485*Return!D485*100</f>
        <v>-95.400000000001484</v>
      </c>
      <c r="O485">
        <f>J485*Return!E485*100</f>
        <v>-164.00000000000148</v>
      </c>
      <c r="P485">
        <f t="shared" si="108"/>
        <v>55.200000000001438</v>
      </c>
      <c r="Q485">
        <f>SUM($P$400:P485)</f>
        <v>14514.700000000004</v>
      </c>
      <c r="R485">
        <f>B485*中国_中债国债到期收益率_1年!B484/365*100</f>
        <v>4.6635616438356164</v>
      </c>
      <c r="S485">
        <f>C485*中国_中债国债到期收益率_1年!C484/365*100</f>
        <v>17.480547945205476</v>
      </c>
      <c r="T485">
        <f>D485*中国_中债国债到期收益率_1年!D484/365*100</f>
        <v>12.647123287671233</v>
      </c>
      <c r="U485">
        <f>E485*中国_中债国债到期收益率_1年!E484/365*100</f>
        <v>3.5050684931506848</v>
      </c>
      <c r="V485">
        <f t="shared" si="109"/>
        <v>38.296301369863016</v>
      </c>
      <c r="W485">
        <f>SUM($V$400:V485)</f>
        <v>2896.2997260273964</v>
      </c>
      <c r="X485">
        <f>MAX(F485-50,0)*中国_中债国债到期收益率_1年!H485*100/365</f>
        <v>7.8082191780821919</v>
      </c>
      <c r="Y485">
        <f>SUM($X$400:X485)</f>
        <v>169.41095890410961</v>
      </c>
      <c r="Z485">
        <v>-30</v>
      </c>
      <c r="AA485">
        <v>30</v>
      </c>
      <c r="AB485">
        <f>Z485*Return!F489*100</f>
        <v>-21.599999999999618</v>
      </c>
      <c r="AC485">
        <f>AA485*Return!G489*100</f>
        <v>-21.600000000000286</v>
      </c>
      <c r="AD485">
        <f>SUM($AB$400:AB485)+SUM($AC$400:AC485)</f>
        <v>1764.100000000014</v>
      </c>
      <c r="AE485">
        <f t="shared" si="101"/>
        <v>19005.688767123302</v>
      </c>
      <c r="AF485">
        <f t="shared" si="102"/>
        <v>1.0380113775342465</v>
      </c>
      <c r="AG485" s="4">
        <f>(AE485-AE484)/(500000+AE484)-中国_中债国债到期收益率_1年!H485%/252</f>
        <v>6.4742632192841979E-6</v>
      </c>
      <c r="AH485" s="4">
        <f>MIN((AF485-MAX($AF$401:AF485))/MAX($AF$401:AF485),0)</f>
        <v>-3.0944457014787387E-3</v>
      </c>
    </row>
    <row r="486" spans="1:34" x14ac:dyDescent="0.25">
      <c r="A486" s="6">
        <v>45420</v>
      </c>
      <c r="B486">
        <v>10</v>
      </c>
      <c r="C486">
        <v>30</v>
      </c>
      <c r="D486">
        <v>20</v>
      </c>
      <c r="E486">
        <v>5</v>
      </c>
      <c r="F486">
        <f t="shared" si="100"/>
        <v>65</v>
      </c>
      <c r="G486">
        <f t="shared" si="110"/>
        <v>10</v>
      </c>
      <c r="H486">
        <f t="shared" si="104"/>
        <v>150</v>
      </c>
      <c r="I486">
        <f t="shared" si="105"/>
        <v>180</v>
      </c>
      <c r="J486">
        <f t="shared" si="106"/>
        <v>80</v>
      </c>
      <c r="K486">
        <f t="shared" si="107"/>
        <v>420</v>
      </c>
      <c r="L486">
        <f>G486*Return!B486*100</f>
        <v>-0.60000000000015596</v>
      </c>
      <c r="M486">
        <f>H486*Return!C486*100</f>
        <v>410.99999999999471</v>
      </c>
      <c r="N486">
        <f>I486*Return!D486*100</f>
        <v>332.99999999999932</v>
      </c>
      <c r="O486">
        <f>J486*Return!E486*100</f>
        <v>139.19999999999888</v>
      </c>
      <c r="P486">
        <f t="shared" si="108"/>
        <v>882.59999999999286</v>
      </c>
      <c r="Q486">
        <f>SUM($P$400:P486)</f>
        <v>15397.299999999997</v>
      </c>
      <c r="R486">
        <f>B486*中国_中债国债到期收益率_1年!B485/365*100</f>
        <v>4.6652054794520552</v>
      </c>
      <c r="S486">
        <f>C486*中国_中债国债到期收益率_1年!C485/365*100</f>
        <v>17.255342465753426</v>
      </c>
      <c r="T486">
        <f>D486*中国_中债国债到期收益率_1年!D485/365*100</f>
        <v>12.545753424657535</v>
      </c>
      <c r="U486">
        <f>E486*中国_中债国债到期收益率_1年!E485/365*100</f>
        <v>3.4812328767123284</v>
      </c>
      <c r="V486">
        <f t="shared" si="109"/>
        <v>37.947534246575344</v>
      </c>
      <c r="W486">
        <f>SUM($V$400:V486)</f>
        <v>2934.2472602739717</v>
      </c>
      <c r="X486">
        <f>MAX(F486-50,0)*中国_中债国债到期收益率_1年!H486*100/365</f>
        <v>7.8082191780821919</v>
      </c>
      <c r="Y486">
        <f>SUM($X$400:X486)</f>
        <v>177.2191780821918</v>
      </c>
      <c r="Z486">
        <v>-30</v>
      </c>
      <c r="AA486">
        <v>30</v>
      </c>
      <c r="AB486">
        <f>Z486*Return!F490*100</f>
        <v>26.399999999999757</v>
      </c>
      <c r="AC486">
        <f>AA486*Return!G490*100</f>
        <v>-69.299999999999699</v>
      </c>
      <c r="AD486">
        <f>SUM($AB$400:AB486)+SUM($AC$400:AC486)</f>
        <v>1721.2000000000141</v>
      </c>
      <c r="AE486">
        <f t="shared" si="101"/>
        <v>19875.528082191791</v>
      </c>
      <c r="AF486">
        <f t="shared" si="102"/>
        <v>1.0397510561643837</v>
      </c>
      <c r="AG486" s="4">
        <f>(AE486-AE485)/(500000+AE485)-中国_中债国债到期收益率_1年!H486%/252</f>
        <v>1.6005757773982559E-3</v>
      </c>
      <c r="AH486" s="4">
        <f>MIN((AF486-MAX($AF$401:AF486))/MAX($AF$401:AF486),0)</f>
        <v>-1.4236593049000263E-3</v>
      </c>
    </row>
    <row r="487" spans="1:34" x14ac:dyDescent="0.25">
      <c r="A487" s="6">
        <v>45421</v>
      </c>
      <c r="B487">
        <v>10</v>
      </c>
      <c r="C487">
        <v>30</v>
      </c>
      <c r="D487">
        <v>20</v>
      </c>
      <c r="E487">
        <v>5</v>
      </c>
      <c r="F487">
        <f t="shared" si="100"/>
        <v>65</v>
      </c>
      <c r="G487">
        <f t="shared" si="110"/>
        <v>10</v>
      </c>
      <c r="H487">
        <f t="shared" si="104"/>
        <v>150</v>
      </c>
      <c r="I487">
        <f t="shared" si="105"/>
        <v>180</v>
      </c>
      <c r="J487">
        <f t="shared" si="106"/>
        <v>80</v>
      </c>
      <c r="K487">
        <f t="shared" si="107"/>
        <v>420</v>
      </c>
      <c r="L487">
        <f>G487*Return!B487*100</f>
        <v>-4.2999999999999705</v>
      </c>
      <c r="M487">
        <f>H487*Return!C487*100</f>
        <v>-110.99999999999443</v>
      </c>
      <c r="N487">
        <f>I487*Return!D487*100</f>
        <v>-106.2000000000003</v>
      </c>
      <c r="O487">
        <f>J487*Return!E487*100</f>
        <v>-69.599999999997664</v>
      </c>
      <c r="P487">
        <f t="shared" si="108"/>
        <v>-291.09999999999241</v>
      </c>
      <c r="Q487">
        <f>SUM($P$400:P487)</f>
        <v>15106.200000000004</v>
      </c>
      <c r="R487">
        <f>B487*中国_中债国债到期收益率_1年!B486/365*100</f>
        <v>4.6769863013698636</v>
      </c>
      <c r="S487">
        <f>C487*中国_中债国债到期收益率_1年!C486/365*100</f>
        <v>17.316164383561642</v>
      </c>
      <c r="T487">
        <f>D487*中国_中债国债到期收益率_1年!D486/365*100</f>
        <v>12.578082191780823</v>
      </c>
      <c r="U487">
        <f>E487*中国_中债国债到期收益率_1年!E486/365*100</f>
        <v>3.493150684931507</v>
      </c>
      <c r="V487">
        <f t="shared" si="109"/>
        <v>38.064383561643837</v>
      </c>
      <c r="W487">
        <f>SUM($V$400:V487)</f>
        <v>2972.3116438356155</v>
      </c>
      <c r="X487">
        <f>MAX(F487-50,0)*中国_中债国债到期收益率_1年!H487*100/365</f>
        <v>7.8082191780821919</v>
      </c>
      <c r="Y487">
        <f>SUM($X$400:X487)</f>
        <v>185.027397260274</v>
      </c>
      <c r="Z487">
        <v>-30</v>
      </c>
      <c r="AA487">
        <v>30</v>
      </c>
      <c r="AB487">
        <f>Z487*Return!F491*100</f>
        <v>-162.00000000000014</v>
      </c>
      <c r="AC487">
        <f>AA487*Return!G491*100</f>
        <v>177.60000000000042</v>
      </c>
      <c r="AD487">
        <f>SUM($AB$400:AB487)+SUM($AC$400:AC487)</f>
        <v>1736.8000000000143</v>
      </c>
      <c r="AE487">
        <f t="shared" si="101"/>
        <v>19630.28424657536</v>
      </c>
      <c r="AF487">
        <f t="shared" si="102"/>
        <v>1.0392605684931506</v>
      </c>
      <c r="AG487" s="4">
        <f>(AE487-AE486)/(500000+AE486)-中国_中债国债到期收益率_1年!H487%/252</f>
        <v>-5.4713250512987562E-4</v>
      </c>
      <c r="AH487" s="4">
        <f>MIN((AF487-MAX($AF$401:AF487))/MAX($AF$401:AF487),0)</f>
        <v>-1.8947233937433544E-3</v>
      </c>
    </row>
    <row r="488" spans="1:34" x14ac:dyDescent="0.25">
      <c r="A488" s="6">
        <v>45422</v>
      </c>
      <c r="B488">
        <v>10</v>
      </c>
      <c r="C488">
        <v>30</v>
      </c>
      <c r="D488">
        <v>20</v>
      </c>
      <c r="E488">
        <v>5</v>
      </c>
      <c r="F488">
        <f t="shared" si="100"/>
        <v>65</v>
      </c>
      <c r="G488">
        <f t="shared" si="110"/>
        <v>10</v>
      </c>
      <c r="H488">
        <f t="shared" si="104"/>
        <v>150</v>
      </c>
      <c r="I488">
        <f t="shared" si="105"/>
        <v>180</v>
      </c>
      <c r="J488">
        <f t="shared" si="106"/>
        <v>80</v>
      </c>
      <c r="K488">
        <f t="shared" si="107"/>
        <v>420</v>
      </c>
      <c r="L488">
        <f>G488*Return!B488*100</f>
        <v>-13.399999999999856</v>
      </c>
      <c r="M488">
        <f>H488*Return!C488*100</f>
        <v>-340.5000000000058</v>
      </c>
      <c r="N488">
        <f>I488*Return!D488*100</f>
        <v>-415.79999999999819</v>
      </c>
      <c r="O488">
        <f>J488*Return!E488*100</f>
        <v>-180.8000000000014</v>
      </c>
      <c r="P488">
        <f t="shared" si="108"/>
        <v>-950.50000000000534</v>
      </c>
      <c r="Q488">
        <f>SUM($P$400:P488)</f>
        <v>14155.699999999999</v>
      </c>
      <c r="R488">
        <f>B488*中国_中债国债到期收益率_1年!B487/365*100</f>
        <v>4.7136986301369861</v>
      </c>
      <c r="S488">
        <f>C488*中国_中债国债到期收益率_1年!C487/365*100</f>
        <v>17.5027397260274</v>
      </c>
      <c r="T488">
        <f>D488*中国_中债国债到期收益率_1年!D487/365*100</f>
        <v>12.704657534246575</v>
      </c>
      <c r="U488">
        <f>E488*中国_中债国债到期收益率_1年!E487/365*100</f>
        <v>3.5241095890410961</v>
      </c>
      <c r="V488">
        <f t="shared" si="109"/>
        <v>38.445205479452056</v>
      </c>
      <c r="W488">
        <f>SUM($V$400:V488)</f>
        <v>3010.7568493150675</v>
      </c>
      <c r="X488">
        <f>MAX(F488-50,0)*中国_中债国债到期收益率_1年!H488*100/365</f>
        <v>7.6849315068493151</v>
      </c>
      <c r="Y488">
        <f>SUM($X$400:X488)</f>
        <v>192.71232876712332</v>
      </c>
      <c r="Z488">
        <v>-30</v>
      </c>
      <c r="AA488">
        <v>30</v>
      </c>
      <c r="AB488">
        <f>Z488*Return!F492*100</f>
        <v>-56.099999999999817</v>
      </c>
      <c r="AC488">
        <f>AA488*Return!G492*100</f>
        <v>119.09999999999954</v>
      </c>
      <c r="AD488">
        <f>SUM($AB$400:AB488)+SUM($AC$400:AC488)</f>
        <v>1799.8000000000138</v>
      </c>
      <c r="AE488">
        <f t="shared" si="101"/>
        <v>18773.544520547955</v>
      </c>
      <c r="AF488">
        <f t="shared" si="102"/>
        <v>1.0375470890410958</v>
      </c>
      <c r="AG488" s="4">
        <f>(AE488-AE487)/(500000+AE487)-中国_中债国债到期收益率_1年!H488%/252</f>
        <v>-1.7229549922335979E-3</v>
      </c>
      <c r="AH488" s="4">
        <f>MIN((AF488-MAX($AF$401:AF488))/MAX($AF$401:AF488),0)</f>
        <v>-3.540348114146248E-3</v>
      </c>
    </row>
    <row r="489" spans="1:34" x14ac:dyDescent="0.25">
      <c r="A489" s="6">
        <v>45423</v>
      </c>
      <c r="B489">
        <v>10</v>
      </c>
      <c r="C489">
        <v>30</v>
      </c>
      <c r="D489">
        <v>20</v>
      </c>
      <c r="E489">
        <v>5</v>
      </c>
      <c r="F489">
        <f t="shared" si="100"/>
        <v>65</v>
      </c>
      <c r="G489">
        <f t="shared" si="110"/>
        <v>10</v>
      </c>
      <c r="H489">
        <f t="shared" si="104"/>
        <v>150</v>
      </c>
      <c r="I489">
        <f t="shared" si="105"/>
        <v>180</v>
      </c>
      <c r="J489">
        <f t="shared" si="106"/>
        <v>80</v>
      </c>
      <c r="K489">
        <f t="shared" si="107"/>
        <v>420</v>
      </c>
      <c r="L489">
        <f>G489*Return!B489*100</f>
        <v>16.100000000000001</v>
      </c>
      <c r="M489">
        <f>H489*Return!C489*100</f>
        <v>-8.9999999999990088</v>
      </c>
      <c r="N489">
        <f>I489*Return!D489*100</f>
        <v>115.2000000000033</v>
      </c>
      <c r="O489">
        <f>J489*Return!E489*100</f>
        <v>-79.999999999998295</v>
      </c>
      <c r="P489">
        <f t="shared" si="108"/>
        <v>42.300000000005994</v>
      </c>
      <c r="Q489">
        <f>SUM($P$400:P489)</f>
        <v>14198.000000000005</v>
      </c>
      <c r="R489">
        <f>B489*中国_中债国债到期收益率_1年!B488/365*100</f>
        <v>4.6695890410958905</v>
      </c>
      <c r="S489">
        <f>C489*中国_中债国债到期收益率_1年!C488/365*100</f>
        <v>17.507671232876714</v>
      </c>
      <c r="T489">
        <f>D489*中国_中债国债到期收益率_1年!D488/365*100</f>
        <v>12.669589041095891</v>
      </c>
      <c r="U489">
        <f>E489*中国_中债国债到期收益率_1年!E488/365*100</f>
        <v>3.537808219178082</v>
      </c>
      <c r="V489">
        <f t="shared" si="109"/>
        <v>38.384657534246578</v>
      </c>
      <c r="W489">
        <f>SUM($V$400:V489)</f>
        <v>3049.1415068493143</v>
      </c>
      <c r="X489">
        <f>MAX(F489-50,0)*中国_中债国债到期收益率_1年!H489*100/365</f>
        <v>7.602739726027397</v>
      </c>
      <c r="Y489">
        <f>SUM($X$400:X489)</f>
        <v>200.31506849315073</v>
      </c>
      <c r="Z489">
        <v>-30</v>
      </c>
      <c r="AA489">
        <v>30</v>
      </c>
      <c r="AB489">
        <f>Z489*Return!F493*100</f>
        <v>42.000000000000036</v>
      </c>
      <c r="AC489">
        <f>AA489*Return!G493*100</f>
        <v>-41.999999999999375</v>
      </c>
      <c r="AD489">
        <f>SUM($AB$400:AB489)+SUM($AC$400:AC489)</f>
        <v>1799.8000000000143</v>
      </c>
      <c r="AE489">
        <f t="shared" si="101"/>
        <v>18846.626438356183</v>
      </c>
      <c r="AF489">
        <f t="shared" si="102"/>
        <v>1.0376932528767124</v>
      </c>
      <c r="AG489" s="4">
        <f>(AE489-AE488)/(500000+AE488)-中国_中债国债到期收益率_1年!H489%/252</f>
        <v>6.7461713129952561E-5</v>
      </c>
      <c r="AH489" s="4">
        <f>MIN((AF489-MAX($AF$401:AF489))/MAX($AF$401:AF489),0)</f>
        <v>-3.399972447060686E-3</v>
      </c>
    </row>
    <row r="490" spans="1:34" x14ac:dyDescent="0.25">
      <c r="A490" s="6">
        <v>45425</v>
      </c>
      <c r="B490">
        <v>10</v>
      </c>
      <c r="C490">
        <v>30</v>
      </c>
      <c r="D490">
        <v>20</v>
      </c>
      <c r="E490">
        <v>5</v>
      </c>
      <c r="F490">
        <f t="shared" si="100"/>
        <v>65</v>
      </c>
      <c r="G490">
        <f t="shared" si="110"/>
        <v>10</v>
      </c>
      <c r="H490">
        <f t="shared" si="104"/>
        <v>150</v>
      </c>
      <c r="I490">
        <f t="shared" si="105"/>
        <v>180</v>
      </c>
      <c r="J490">
        <f t="shared" si="106"/>
        <v>80</v>
      </c>
      <c r="K490">
        <f t="shared" si="107"/>
        <v>420</v>
      </c>
      <c r="L490">
        <f>G490*Return!B490*100</f>
        <v>-4.8000000000001375</v>
      </c>
      <c r="M490">
        <f>H490*Return!C490*100</f>
        <v>-382.50000000000119</v>
      </c>
      <c r="N490">
        <f>I490*Return!D490*100</f>
        <v>-430.20000000000459</v>
      </c>
      <c r="O490">
        <f>J490*Return!E490*100</f>
        <v>-240.00000000000199</v>
      </c>
      <c r="P490">
        <f t="shared" si="108"/>
        <v>-1057.500000000008</v>
      </c>
      <c r="Q490">
        <f>SUM($P$400:P490)</f>
        <v>13140.499999999998</v>
      </c>
      <c r="R490">
        <f>B490*中国_中债国债到期收益率_1年!B489/365*100</f>
        <v>4.6827397260273971</v>
      </c>
      <c r="S490">
        <f>C490*中国_中债国债到期收益率_1年!C489/365*100</f>
        <v>17.717260273972606</v>
      </c>
      <c r="T490">
        <f>D490*中国_中债国债到期收益率_1年!D489/365*100</f>
        <v>12.800547945205478</v>
      </c>
      <c r="U490">
        <f>E490*中国_中债国债到期收益率_1年!E489/365*100</f>
        <v>3.5789041095890415</v>
      </c>
      <c r="V490">
        <f t="shared" si="109"/>
        <v>38.779452054794518</v>
      </c>
      <c r="W490">
        <f>SUM($V$400:V490)</f>
        <v>3087.9209589041088</v>
      </c>
      <c r="X490">
        <f>MAX(F490-50,0)*中国_中债国债到期收益率_1年!H490*100/365</f>
        <v>7.7260273972602738</v>
      </c>
      <c r="Y490">
        <f>SUM($X$400:X490)</f>
        <v>208.04109589041101</v>
      </c>
      <c r="Z490">
        <v>-30</v>
      </c>
      <c r="AA490">
        <v>30</v>
      </c>
      <c r="AB490">
        <f>Z490*Return!F494*100</f>
        <v>8.4000000000004071</v>
      </c>
      <c r="AC490">
        <f>AA490*Return!G494*100</f>
        <v>-60.300000000000686</v>
      </c>
      <c r="AD490">
        <f>SUM($AB$400:AB490)+SUM($AC$400:AC490)</f>
        <v>1747.900000000014</v>
      </c>
      <c r="AE490">
        <f t="shared" si="101"/>
        <v>17768.279863013711</v>
      </c>
      <c r="AF490">
        <f t="shared" si="102"/>
        <v>1.0355365597260273</v>
      </c>
      <c r="AG490" s="4">
        <f>(AE490-AE489)/(500000+AE489)-中国_中债国债到期收益率_1年!H490%/252</f>
        <v>-2.1529564304484054E-3</v>
      </c>
      <c r="AH490" s="4">
        <f>MIN((AF490-MAX($AF$401:AF490))/MAX($AF$401:AF490),0)</f>
        <v>-5.4712593591009521E-3</v>
      </c>
    </row>
    <row r="491" spans="1:34" x14ac:dyDescent="0.25">
      <c r="A491" s="6">
        <v>45426</v>
      </c>
      <c r="B491">
        <v>10</v>
      </c>
      <c r="C491">
        <v>30</v>
      </c>
      <c r="D491">
        <v>20</v>
      </c>
      <c r="E491">
        <v>5</v>
      </c>
      <c r="F491">
        <f t="shared" si="100"/>
        <v>65</v>
      </c>
      <c r="G491">
        <f t="shared" si="110"/>
        <v>10</v>
      </c>
      <c r="H491">
        <f t="shared" si="104"/>
        <v>150</v>
      </c>
      <c r="I491">
        <f t="shared" si="105"/>
        <v>180</v>
      </c>
      <c r="J491">
        <f t="shared" si="106"/>
        <v>80</v>
      </c>
      <c r="K491">
        <f t="shared" si="107"/>
        <v>420</v>
      </c>
      <c r="L491">
        <f>G491*Return!B491*100</f>
        <v>67.500000000000114</v>
      </c>
      <c r="M491">
        <f>H491*Return!C491*100</f>
        <v>894.00000000000159</v>
      </c>
      <c r="N491">
        <f>I491*Return!D491*100</f>
        <v>829.80000000000052</v>
      </c>
      <c r="O491">
        <f>J491*Return!E491*100</f>
        <v>371.99999999999989</v>
      </c>
      <c r="P491">
        <f t="shared" si="108"/>
        <v>2163.300000000002</v>
      </c>
      <c r="Q491">
        <f>SUM($P$400:P491)</f>
        <v>15303.8</v>
      </c>
      <c r="R491">
        <f>B491*中国_中债国债到期收益率_1年!B490/365*100</f>
        <v>4.4978082191780819</v>
      </c>
      <c r="S491">
        <f>C491*中国_中债国债到期收益率_1年!C490/365*100</f>
        <v>17.227397260273975</v>
      </c>
      <c r="T491">
        <f>D491*中国_中债国债到期收益率_1年!D490/365*100</f>
        <v>12.547945205479452</v>
      </c>
      <c r="U491">
        <f>E491*中国_中债国债到期收益率_1年!E490/365*100</f>
        <v>3.5152054794520549</v>
      </c>
      <c r="V491">
        <f t="shared" si="109"/>
        <v>37.788356164383565</v>
      </c>
      <c r="W491">
        <f>SUM($V$400:V491)</f>
        <v>3125.7093150684923</v>
      </c>
      <c r="X491">
        <f>MAX(F491-50,0)*中国_中债国债到期收益率_1年!H491*100/365</f>
        <v>7.602739726027397</v>
      </c>
      <c r="Y491">
        <f>SUM($X$400:X491)</f>
        <v>215.64383561643842</v>
      </c>
      <c r="Z491">
        <v>-30</v>
      </c>
      <c r="AA491">
        <v>30</v>
      </c>
      <c r="AB491">
        <f>Z491*Return!F495*100</f>
        <v>-44.400000000000439</v>
      </c>
      <c r="AC491">
        <f>AA491*Return!G495*100</f>
        <v>-12.000000000000011</v>
      </c>
      <c r="AD491">
        <f>SUM($AB$400:AB491)+SUM($AC$400:AC491)</f>
        <v>1691.5000000000134</v>
      </c>
      <c r="AE491">
        <f t="shared" si="101"/>
        <v>19905.365479452066</v>
      </c>
      <c r="AF491">
        <f t="shared" si="102"/>
        <v>1.0398107309589042</v>
      </c>
      <c r="AG491" s="4">
        <f>(AE491-AE490)/(500000+AE490)-中国_中债国债到期收益率_1年!H491%/252</f>
        <v>4.054081587262285E-3</v>
      </c>
      <c r="AH491" s="4">
        <f>MIN((AF491-MAX($AF$401:AF491))/MAX($AF$401:AF491),0)</f>
        <v>-1.3663476651659414E-3</v>
      </c>
    </row>
    <row r="492" spans="1:34" x14ac:dyDescent="0.25">
      <c r="A492" s="6">
        <v>45427</v>
      </c>
      <c r="B492">
        <v>10</v>
      </c>
      <c r="C492">
        <v>30</v>
      </c>
      <c r="D492">
        <v>20</v>
      </c>
      <c r="E492">
        <v>5</v>
      </c>
      <c r="F492">
        <f t="shared" si="100"/>
        <v>65</v>
      </c>
      <c r="G492">
        <f t="shared" si="110"/>
        <v>10</v>
      </c>
      <c r="H492">
        <f t="shared" si="104"/>
        <v>150</v>
      </c>
      <c r="I492">
        <f t="shared" si="105"/>
        <v>180</v>
      </c>
      <c r="J492">
        <f t="shared" si="106"/>
        <v>80</v>
      </c>
      <c r="K492">
        <f t="shared" si="107"/>
        <v>420</v>
      </c>
      <c r="L492">
        <f>G492*Return!B492*100</f>
        <v>28.499999999999972</v>
      </c>
      <c r="M492">
        <f>H492*Return!C492*100</f>
        <v>150.00000000000347</v>
      </c>
      <c r="N492">
        <f>I492*Return!D492*100</f>
        <v>-68.40000000000046</v>
      </c>
      <c r="O492">
        <f>J492*Return!E492*100</f>
        <v>24.000000000000909</v>
      </c>
      <c r="P492">
        <f t="shared" si="108"/>
        <v>134.10000000000389</v>
      </c>
      <c r="Q492">
        <f>SUM($P$400:P492)</f>
        <v>15437.900000000003</v>
      </c>
      <c r="R492">
        <f>B492*中国_中债国债到期收益率_1年!B491/365*100</f>
        <v>4.4197260273972594</v>
      </c>
      <c r="S492">
        <f>C492*中国_中债国债到期收益率_1年!C491/365*100</f>
        <v>17.145205479452056</v>
      </c>
      <c r="T492">
        <f>D492*中国_中债国债到期收益率_1年!D491/365*100</f>
        <v>12.568767123287671</v>
      </c>
      <c r="U492">
        <f>E492*中国_中债国债到期收益率_1年!E491/365*100</f>
        <v>3.5110958904109593</v>
      </c>
      <c r="V492">
        <f t="shared" si="109"/>
        <v>37.644794520547947</v>
      </c>
      <c r="W492">
        <f>SUM($V$400:V492)</f>
        <v>3163.35410958904</v>
      </c>
      <c r="X492">
        <f>MAX(F492-50,0)*中国_中债国债到期收益率_1年!H492*100/365</f>
        <v>7.4794520547945202</v>
      </c>
      <c r="Y492">
        <f>SUM($X$400:X492)</f>
        <v>223.12328767123293</v>
      </c>
      <c r="Z492">
        <v>-30</v>
      </c>
      <c r="AA492">
        <v>30</v>
      </c>
      <c r="AB492">
        <f>Z492*Return!F496*100</f>
        <v>-51.899999999999615</v>
      </c>
      <c r="AC492">
        <f>AA492*Return!G496*100</f>
        <v>94.80000000000021</v>
      </c>
      <c r="AD492">
        <f>SUM($AB$400:AB492)+SUM($AC$400:AC492)</f>
        <v>1734.400000000014</v>
      </c>
      <c r="AE492">
        <f t="shared" si="101"/>
        <v>20112.530821917822</v>
      </c>
      <c r="AF492">
        <f t="shared" si="102"/>
        <v>1.0402250616438355</v>
      </c>
      <c r="AG492" s="4">
        <f>(AE492-AE491)/(500000+AE491)-中国_中债国债到期收益率_1年!H492%/252</f>
        <v>3.2624518400412071E-4</v>
      </c>
      <c r="AH492" s="4">
        <f>MIN((AF492-MAX($AF$401:AF492))/MAX($AF$401:AF492),0)</f>
        <v>-9.6842470394989443E-4</v>
      </c>
    </row>
    <row r="493" spans="1:34" x14ac:dyDescent="0.25">
      <c r="A493" s="6">
        <v>45428</v>
      </c>
      <c r="B493">
        <v>10</v>
      </c>
      <c r="C493">
        <v>30</v>
      </c>
      <c r="D493">
        <v>20</v>
      </c>
      <c r="E493">
        <v>5</v>
      </c>
      <c r="F493">
        <f t="shared" si="100"/>
        <v>65</v>
      </c>
      <c r="G493">
        <f t="shared" si="110"/>
        <v>10</v>
      </c>
      <c r="H493">
        <f t="shared" si="104"/>
        <v>150</v>
      </c>
      <c r="I493">
        <f t="shared" si="105"/>
        <v>180</v>
      </c>
      <c r="J493">
        <f t="shared" si="106"/>
        <v>80</v>
      </c>
      <c r="K493">
        <f t="shared" si="107"/>
        <v>420</v>
      </c>
      <c r="L493">
        <f>G493*Return!B493*100</f>
        <v>-0.19999999999997797</v>
      </c>
      <c r="M493">
        <f>H493*Return!C493*100</f>
        <v>-84.000000000004064</v>
      </c>
      <c r="N493">
        <f>I493*Return!D493*100</f>
        <v>-147.59999999999974</v>
      </c>
      <c r="O493">
        <f>J493*Return!E493*100</f>
        <v>-39.999999999999147</v>
      </c>
      <c r="P493">
        <f t="shared" si="108"/>
        <v>-271.80000000000291</v>
      </c>
      <c r="Q493">
        <f>SUM($P$400:P493)</f>
        <v>15166.1</v>
      </c>
      <c r="R493">
        <f>B493*中国_中债国债到期收益率_1年!B492/365*100</f>
        <v>4.4202739726027396</v>
      </c>
      <c r="S493">
        <f>C493*中国_中债国债到期收益率_1年!C492/365*100</f>
        <v>17.191232876712331</v>
      </c>
      <c r="T493">
        <f>D493*中国_中债国债到期收益率_1年!D492/365*100</f>
        <v>12.613698630136986</v>
      </c>
      <c r="U493">
        <f>E493*中国_中债国债到期收益率_1年!E492/365*100</f>
        <v>3.5179452054794518</v>
      </c>
      <c r="V493">
        <f t="shared" si="109"/>
        <v>37.743150684931507</v>
      </c>
      <c r="W493">
        <f>SUM($V$400:V493)</f>
        <v>3201.0972602739716</v>
      </c>
      <c r="X493">
        <f>MAX(F493-50,0)*中国_中债国债到期收益率_1年!H493*100/365</f>
        <v>7.4794520547945202</v>
      </c>
      <c r="Y493">
        <f>SUM($X$400:X493)</f>
        <v>230.60273972602744</v>
      </c>
      <c r="Z493">
        <v>-30</v>
      </c>
      <c r="AA493">
        <v>30</v>
      </c>
      <c r="AB493">
        <f>Z493*Return!F497*100</f>
        <v>50.09999999999981</v>
      </c>
      <c r="AC493">
        <f>AA493*Return!G497*100</f>
        <v>-25.199999999999889</v>
      </c>
      <c r="AD493">
        <f>SUM($AB$400:AB493)+SUM($AC$400:AC493)</f>
        <v>1759.3000000000141</v>
      </c>
      <c r="AE493">
        <f t="shared" si="101"/>
        <v>19895.894520547961</v>
      </c>
      <c r="AF493">
        <f t="shared" si="102"/>
        <v>1.0397917890410959</v>
      </c>
      <c r="AG493" s="4">
        <f>(AE493-AE492)/(500000+AE492)-中国_中债国债到期收益率_1年!H493%/252</f>
        <v>-4.887403573025622E-4</v>
      </c>
      <c r="AH493" s="4">
        <f>MIN((AF493-MAX($AF$401:AF493))/MAX($AF$401:AF493),0)</f>
        <v>-1.3845394725784819E-3</v>
      </c>
    </row>
    <row r="494" spans="1:34" x14ac:dyDescent="0.25">
      <c r="A494" s="6">
        <v>45429</v>
      </c>
      <c r="B494">
        <v>10</v>
      </c>
      <c r="C494">
        <v>30</v>
      </c>
      <c r="D494">
        <v>20</v>
      </c>
      <c r="E494">
        <v>5</v>
      </c>
      <c r="F494">
        <f t="shared" si="100"/>
        <v>65</v>
      </c>
      <c r="G494">
        <f t="shared" si="110"/>
        <v>10</v>
      </c>
      <c r="H494">
        <f t="shared" si="104"/>
        <v>150</v>
      </c>
      <c r="I494">
        <f t="shared" si="105"/>
        <v>180</v>
      </c>
      <c r="J494">
        <f t="shared" si="106"/>
        <v>80</v>
      </c>
      <c r="K494">
        <f t="shared" si="107"/>
        <v>420</v>
      </c>
      <c r="L494">
        <f>G494*Return!B494*100</f>
        <v>-14.599999999999946</v>
      </c>
      <c r="M494">
        <f>H494*Return!C494*100</f>
        <v>-178.49999999999699</v>
      </c>
      <c r="N494">
        <f>I494*Return!D494*100</f>
        <v>-228.60000000000281</v>
      </c>
      <c r="O494">
        <f>J494*Return!E494*100</f>
        <v>-104.00000000000276</v>
      </c>
      <c r="P494">
        <f t="shared" si="108"/>
        <v>-525.70000000000243</v>
      </c>
      <c r="Q494">
        <f>SUM($P$400:P494)</f>
        <v>14640.399999999998</v>
      </c>
      <c r="R494">
        <f>B494*中国_中债国债到期收益率_1年!B493/365*100</f>
        <v>4.4602739726027396</v>
      </c>
      <c r="S494">
        <f>C494*中国_中债国债到期收益率_1年!C493/365*100</f>
        <v>17.289041095890408</v>
      </c>
      <c r="T494">
        <f>D494*中国_中债国债到期收益率_1年!D493/365*100</f>
        <v>12.683287671232879</v>
      </c>
      <c r="U494">
        <f>E494*中国_中债国债到期收益率_1年!E493/365*100</f>
        <v>3.5357534246575337</v>
      </c>
      <c r="V494">
        <f t="shared" si="109"/>
        <v>37.968356164383557</v>
      </c>
      <c r="W494">
        <f>SUM($V$400:V494)</f>
        <v>3239.0656164383554</v>
      </c>
      <c r="X494">
        <f>MAX(F494-50,0)*中国_中债国债到期收益率_1年!H494*100/365</f>
        <v>7.397260273972603</v>
      </c>
      <c r="Y494">
        <f>SUM($X$400:X494)</f>
        <v>238.00000000000003</v>
      </c>
      <c r="Z494">
        <v>-30</v>
      </c>
      <c r="AA494">
        <v>30</v>
      </c>
      <c r="AB494">
        <f>Z494*Return!F498*100</f>
        <v>-18.899999999999917</v>
      </c>
      <c r="AC494">
        <f>AA494*Return!G498*100</f>
        <v>46.200000000000244</v>
      </c>
      <c r="AD494">
        <f>SUM($AB$400:AB494)+SUM($AC$400:AC494)</f>
        <v>1786.6000000000145</v>
      </c>
      <c r="AE494">
        <f t="shared" si="101"/>
        <v>19428.065616438365</v>
      </c>
      <c r="AF494">
        <f t="shared" si="102"/>
        <v>1.0388561312328768</v>
      </c>
      <c r="AG494" s="4">
        <f>(AE494-AE493)/(500000+AE493)-中国_中债国债到期收益率_1年!H494%/252</f>
        <v>-9.7127969362493225E-4</v>
      </c>
      <c r="AH494" s="4">
        <f>MIN((AF494-MAX($AF$401:AF494))/MAX($AF$401:AF494),0)</f>
        <v>-2.283144715376665E-3</v>
      </c>
    </row>
    <row r="495" spans="1:34" x14ac:dyDescent="0.25">
      <c r="A495" s="6">
        <v>45432</v>
      </c>
      <c r="B495">
        <v>10</v>
      </c>
      <c r="C495">
        <v>30</v>
      </c>
      <c r="D495">
        <v>20</v>
      </c>
      <c r="E495">
        <v>5</v>
      </c>
      <c r="F495">
        <f t="shared" si="100"/>
        <v>65</v>
      </c>
      <c r="G495">
        <f t="shared" si="110"/>
        <v>10</v>
      </c>
      <c r="H495">
        <f t="shared" si="104"/>
        <v>150</v>
      </c>
      <c r="I495">
        <f t="shared" si="105"/>
        <v>180</v>
      </c>
      <c r="J495">
        <f t="shared" si="106"/>
        <v>80</v>
      </c>
      <c r="K495">
        <f t="shared" si="107"/>
        <v>420</v>
      </c>
      <c r="L495">
        <f>G495*Return!B495*100</f>
        <v>20.699999999999939</v>
      </c>
      <c r="M495">
        <f>H495*Return!C495*100</f>
        <v>160.49999999999898</v>
      </c>
      <c r="N495">
        <f>I495*Return!D495*100</f>
        <v>126.0000000000021</v>
      </c>
      <c r="O495">
        <f>J495*Return!E495*100</f>
        <v>-44.799999999998619</v>
      </c>
      <c r="P495">
        <f t="shared" si="108"/>
        <v>262.40000000000236</v>
      </c>
      <c r="Q495">
        <f>SUM($P$400:P495)</f>
        <v>14902.8</v>
      </c>
      <c r="R495">
        <f>B495*中国_中债国债到期收益率_1年!B494/365*100</f>
        <v>4.4035616438356167</v>
      </c>
      <c r="S495">
        <f>C495*中国_中债国债到期收益率_1年!C494/365*100</f>
        <v>17.201095890410958</v>
      </c>
      <c r="T495">
        <f>D495*中国_中债国债到期收益率_1年!D494/365*100</f>
        <v>12.644931506849316</v>
      </c>
      <c r="U495">
        <f>E495*中国_中债国债到期收益率_1年!E494/365*100</f>
        <v>3.5434246575342465</v>
      </c>
      <c r="V495">
        <f t="shared" si="109"/>
        <v>37.793013698630133</v>
      </c>
      <c r="W495">
        <f>SUM($V$400:V495)</f>
        <v>3276.8586301369855</v>
      </c>
      <c r="X495">
        <f>MAX(F495-50,0)*中国_中债国债到期收益率_1年!H495*100/365</f>
        <v>7.4383561643835616</v>
      </c>
      <c r="Y495">
        <f>SUM($X$400:X495)</f>
        <v>245.43835616438358</v>
      </c>
      <c r="Z495">
        <v>-30</v>
      </c>
      <c r="AA495">
        <v>30</v>
      </c>
      <c r="AB495">
        <f>Z495*Return!F499*100</f>
        <v>-12.299999999999978</v>
      </c>
      <c r="AC495">
        <f>AA495*Return!G499*100</f>
        <v>22.20000000000022</v>
      </c>
      <c r="AD495">
        <f>SUM($AB$400:AB495)+SUM($AC$400:AC495)</f>
        <v>1796.5000000000148</v>
      </c>
      <c r="AE495">
        <f t="shared" si="101"/>
        <v>19730.720273972616</v>
      </c>
      <c r="AF495">
        <f t="shared" si="102"/>
        <v>1.0394614405479452</v>
      </c>
      <c r="AG495" s="4">
        <f>(AE495-AE494)/(500000+AE494)-中国_中债国债到期收益率_1年!H495%/252</f>
        <v>5.1084365317110528E-4</v>
      </c>
      <c r="AH495" s="4">
        <f>MIN((AF495-MAX($AF$401:AF495))/MAX($AF$401:AF495),0)</f>
        <v>-1.7018059831425602E-3</v>
      </c>
    </row>
    <row r="496" spans="1:34" x14ac:dyDescent="0.25">
      <c r="A496" s="6">
        <v>45433</v>
      </c>
      <c r="B496">
        <v>10</v>
      </c>
      <c r="C496">
        <v>30</v>
      </c>
      <c r="D496">
        <v>20</v>
      </c>
      <c r="E496">
        <v>5</v>
      </c>
      <c r="F496">
        <f t="shared" si="100"/>
        <v>65</v>
      </c>
      <c r="G496">
        <f t="shared" si="110"/>
        <v>10</v>
      </c>
      <c r="H496">
        <f t="shared" si="104"/>
        <v>150</v>
      </c>
      <c r="I496">
        <f t="shared" si="105"/>
        <v>180</v>
      </c>
      <c r="J496">
        <f t="shared" si="106"/>
        <v>80</v>
      </c>
      <c r="K496">
        <f t="shared" si="107"/>
        <v>420</v>
      </c>
      <c r="L496">
        <f>G496*Return!B496*100</f>
        <v>-6.2999999999999723</v>
      </c>
      <c r="M496">
        <f>H496*Return!C496*100</f>
        <v>-82.500000000000909</v>
      </c>
      <c r="N496">
        <f>I496*Return!D496*100</f>
        <v>-50.400000000002443</v>
      </c>
      <c r="O496">
        <f>J496*Return!E496*100</f>
        <v>-39.999999999999147</v>
      </c>
      <c r="P496">
        <f t="shared" si="108"/>
        <v>-179.20000000000246</v>
      </c>
      <c r="Q496">
        <f>SUM($P$400:P496)</f>
        <v>14723.599999999997</v>
      </c>
      <c r="R496">
        <f>B496*中国_中债国债到期收益率_1年!B495/365*100</f>
        <v>4.4208219178082189</v>
      </c>
      <c r="S496">
        <f>C496*中国_中债国债到期收益率_1年!C495/365*100</f>
        <v>17.246301369863012</v>
      </c>
      <c r="T496">
        <f>D496*中国_中债国债到期收益率_1年!D495/365*100</f>
        <v>12.660273972602742</v>
      </c>
      <c r="U496">
        <f>E496*中国_中债国债到期收益率_1年!E495/365*100</f>
        <v>3.5502739726027395</v>
      </c>
      <c r="V496">
        <f t="shared" si="109"/>
        <v>37.877671232876708</v>
      </c>
      <c r="W496">
        <f>SUM($V$400:V496)</f>
        <v>3314.7363013698623</v>
      </c>
      <c r="X496">
        <f>MAX(F496-50,0)*中国_中债国债到期收益率_1年!H496*100/365</f>
        <v>7.602739726027397</v>
      </c>
      <c r="Y496">
        <f>SUM($X$400:X496)</f>
        <v>253.04109589041099</v>
      </c>
      <c r="Z496">
        <v>-30</v>
      </c>
      <c r="AA496">
        <v>30</v>
      </c>
      <c r="AB496">
        <f>Z496*Return!F500*100</f>
        <v>6.5999999999999392</v>
      </c>
      <c r="AC496">
        <f>AA496*Return!G500*100</f>
        <v>-16.800000000000814</v>
      </c>
      <c r="AD496">
        <f>SUM($AB$400:AB496)+SUM($AC$400:AC496)</f>
        <v>1786.3000000000141</v>
      </c>
      <c r="AE496">
        <f t="shared" si="101"/>
        <v>19571.595205479462</v>
      </c>
      <c r="AF496">
        <f t="shared" si="102"/>
        <v>1.0391431904109589</v>
      </c>
      <c r="AG496" s="4">
        <f>(AE496-AE495)/(500000+AE495)-中国_中债国债到期收益率_1年!H496%/252</f>
        <v>-3.7958099342761108E-4</v>
      </c>
      <c r="AH496" s="4">
        <f>MIN((AF496-MAX($AF$401:AF496))/MAX($AF$401:AF496),0)</f>
        <v>-2.0074532391211354E-3</v>
      </c>
    </row>
    <row r="497" spans="1:34" x14ac:dyDescent="0.25">
      <c r="A497" s="6">
        <v>45434</v>
      </c>
      <c r="B497">
        <v>10</v>
      </c>
      <c r="C497">
        <v>30</v>
      </c>
      <c r="D497">
        <v>20</v>
      </c>
      <c r="E497">
        <v>5</v>
      </c>
      <c r="F497">
        <f t="shared" si="100"/>
        <v>65</v>
      </c>
      <c r="G497">
        <f t="shared" si="110"/>
        <v>10</v>
      </c>
      <c r="H497">
        <f t="shared" si="104"/>
        <v>150</v>
      </c>
      <c r="I497">
        <f t="shared" si="105"/>
        <v>180</v>
      </c>
      <c r="J497">
        <f t="shared" si="106"/>
        <v>80</v>
      </c>
      <c r="K497">
        <f t="shared" si="107"/>
        <v>420</v>
      </c>
      <c r="L497">
        <f>G497*Return!B497*100</f>
        <v>0.69999999999992291</v>
      </c>
      <c r="M497">
        <f>H497*Return!C497*100</f>
        <v>-67.499999999995893</v>
      </c>
      <c r="N497">
        <f>I497*Return!D497*100</f>
        <v>-64.799999999992863</v>
      </c>
      <c r="O497">
        <f>J497*Return!E497*100</f>
        <v>-7.9999999999991189</v>
      </c>
      <c r="P497">
        <f t="shared" si="108"/>
        <v>-139.59999999998794</v>
      </c>
      <c r="Q497">
        <f>SUM($P$400:P497)</f>
        <v>14584.000000000009</v>
      </c>
      <c r="R497">
        <f>B497*中国_中债国债到期收益率_1年!B496/365*100</f>
        <v>4.4189041095890413</v>
      </c>
      <c r="S497">
        <f>C497*中国_中债国债到期收益率_1年!C496/365*100</f>
        <v>17.283287671232873</v>
      </c>
      <c r="T497">
        <f>D497*中国_中债国债到期收益率_1年!D496/365*100</f>
        <v>12.68</v>
      </c>
      <c r="U497">
        <f>E497*中国_中债国债到期收益率_1年!E496/365*100</f>
        <v>3.5516438356164381</v>
      </c>
      <c r="V497">
        <f t="shared" si="109"/>
        <v>37.933835616438351</v>
      </c>
      <c r="W497">
        <f>SUM($V$400:V497)</f>
        <v>3352.6701369863008</v>
      </c>
      <c r="X497">
        <f>MAX(F497-50,0)*中国_中债国债到期收益率_1年!H497*100/365</f>
        <v>7.602739726027397</v>
      </c>
      <c r="Y497">
        <f>SUM($X$400:X497)</f>
        <v>260.64383561643837</v>
      </c>
      <c r="Z497">
        <v>-100</v>
      </c>
      <c r="AA497">
        <v>100</v>
      </c>
      <c r="AB497">
        <f>Z497*Return!F501*100</f>
        <v>154.99999999999847</v>
      </c>
      <c r="AC497">
        <f>AA497*Return!G501*100</f>
        <v>-69.999999999996732</v>
      </c>
      <c r="AD497">
        <f>SUM($AB$400:AB497)+SUM($AC$400:AC497)</f>
        <v>1871.3000000000156</v>
      </c>
      <c r="AE497">
        <f t="shared" si="101"/>
        <v>19547.326301369885</v>
      </c>
      <c r="AF497">
        <f t="shared" si="102"/>
        <v>1.0390946526027398</v>
      </c>
      <c r="AG497" s="4">
        <f>(AE497-AE496)/(500000+AE496)-中国_中债国债到期收益率_1年!H497%/252</f>
        <v>-1.2012214968664376E-4</v>
      </c>
      <c r="AH497" s="4">
        <f>MIN((AF497-MAX($AF$401:AF497))/MAX($AF$401:AF497),0)</f>
        <v>-2.0540689233557899E-3</v>
      </c>
    </row>
    <row r="498" spans="1:34" x14ac:dyDescent="0.25">
      <c r="A498" s="6">
        <v>45435</v>
      </c>
      <c r="B498">
        <v>10</v>
      </c>
      <c r="C498">
        <v>30</v>
      </c>
      <c r="D498">
        <v>20</v>
      </c>
      <c r="E498">
        <v>5</v>
      </c>
      <c r="F498">
        <f t="shared" si="100"/>
        <v>65</v>
      </c>
      <c r="G498">
        <f t="shared" si="110"/>
        <v>10</v>
      </c>
      <c r="H498">
        <f t="shared" si="104"/>
        <v>150</v>
      </c>
      <c r="I498">
        <f t="shared" si="105"/>
        <v>180</v>
      </c>
      <c r="J498">
        <f t="shared" si="106"/>
        <v>80</v>
      </c>
      <c r="K498">
        <f t="shared" si="107"/>
        <v>420</v>
      </c>
      <c r="L498">
        <f>G498*Return!B498*100</f>
        <v>7.7000000000000401</v>
      </c>
      <c r="M498">
        <f>H498*Return!C498*100</f>
        <v>103.49999999999859</v>
      </c>
      <c r="N498">
        <f>I498*Return!D498*100</f>
        <v>32.399999999996432</v>
      </c>
      <c r="O498">
        <f>J498*Return!E498*100</f>
        <v>181.59999999999954</v>
      </c>
      <c r="P498">
        <f t="shared" si="108"/>
        <v>325.19999999999459</v>
      </c>
      <c r="Q498">
        <f>SUM($P$400:P498)</f>
        <v>14909.200000000004</v>
      </c>
      <c r="R498">
        <f>B498*中国_中债国债到期收益率_1年!B497/365*100</f>
        <v>4.3978082191780823</v>
      </c>
      <c r="S498">
        <f>C498*中国_中债国债到期收益率_1年!C497/365*100</f>
        <v>17.226575342465754</v>
      </c>
      <c r="T498">
        <f>D498*中国_中债国债到期收益率_1年!D497/365*100</f>
        <v>12.670136986301369</v>
      </c>
      <c r="U498">
        <f>E498*中国_中债国债到期收益率_1年!E497/365*100</f>
        <v>3.5205479452054793</v>
      </c>
      <c r="V498">
        <f t="shared" si="109"/>
        <v>37.815068493150683</v>
      </c>
      <c r="W498">
        <f>SUM($V$400:V498)</f>
        <v>3390.4852054794515</v>
      </c>
      <c r="X498">
        <f>MAX(F498-50,0)*中国_中债国债到期收益率_1年!H498*100/365</f>
        <v>7.5205479452054806</v>
      </c>
      <c r="Y498">
        <f>SUM($X$400:X498)</f>
        <v>268.16438356164383</v>
      </c>
      <c r="Z498">
        <v>-100</v>
      </c>
      <c r="AA498">
        <v>100</v>
      </c>
      <c r="AB498">
        <f>Z498*Return!F502*100</f>
        <v>-128.99999999999912</v>
      </c>
      <c r="AC498">
        <f>AA498*Return!G502*100</f>
        <v>177.99999999999815</v>
      </c>
      <c r="AD498">
        <f>SUM($AB$400:AB498)+SUM($AC$400:AC498)</f>
        <v>1920.3000000000147</v>
      </c>
      <c r="AE498">
        <f t="shared" si="101"/>
        <v>19951.820821917823</v>
      </c>
      <c r="AF498">
        <f t="shared" si="102"/>
        <v>1.0399036416438356</v>
      </c>
      <c r="AG498" s="4">
        <f>(AE498-AE497)/(500000+AE497)-中国_中债国债到期收益率_1年!H498%/252</f>
        <v>7.0593278023369736E-4</v>
      </c>
      <c r="AH498" s="4">
        <f>MIN((AF498-MAX($AF$401:AF498))/MAX($AF$401:AF498),0)</f>
        <v>-1.2771162946179024E-3</v>
      </c>
    </row>
    <row r="499" spans="1:34" x14ac:dyDescent="0.25">
      <c r="A499" s="6">
        <v>45436</v>
      </c>
      <c r="B499">
        <v>10</v>
      </c>
      <c r="C499">
        <v>30</v>
      </c>
      <c r="D499">
        <v>20</v>
      </c>
      <c r="E499">
        <v>5</v>
      </c>
      <c r="F499">
        <f t="shared" si="100"/>
        <v>65</v>
      </c>
      <c r="G499">
        <f t="shared" si="110"/>
        <v>10</v>
      </c>
      <c r="H499">
        <f t="shared" si="104"/>
        <v>150</v>
      </c>
      <c r="I499">
        <f t="shared" si="105"/>
        <v>180</v>
      </c>
      <c r="J499">
        <f t="shared" si="106"/>
        <v>80</v>
      </c>
      <c r="K499">
        <f t="shared" si="107"/>
        <v>420</v>
      </c>
      <c r="L499">
        <f>G499*Return!B499*100</f>
        <v>-3.3000000000000806</v>
      </c>
      <c r="M499">
        <f>H499*Return!C499*100</f>
        <v>112.4999999999976</v>
      </c>
      <c r="N499">
        <f>I499*Return!D499*100</f>
        <v>108.00000000000409</v>
      </c>
      <c r="O499">
        <f>J499*Return!E499*100</f>
        <v>199.1999999999976</v>
      </c>
      <c r="P499">
        <f t="shared" si="108"/>
        <v>416.39999999999918</v>
      </c>
      <c r="Q499">
        <f>SUM($P$400:P499)</f>
        <v>15325.600000000004</v>
      </c>
      <c r="R499">
        <f>B499*中国_中债国债到期收益率_1年!B498/365*100</f>
        <v>4.4068493150684933</v>
      </c>
      <c r="S499">
        <f>C499*中国_中债国债到期收益率_1年!C498/365*100</f>
        <v>17.164931506849314</v>
      </c>
      <c r="T499">
        <f>D499*中国_中债国债到期收益率_1年!D498/365*100</f>
        <v>12.637260273972602</v>
      </c>
      <c r="U499">
        <f>E499*中国_中债国债到期收益率_1年!E498/365*100</f>
        <v>3.4864383561643835</v>
      </c>
      <c r="V499">
        <f t="shared" si="109"/>
        <v>37.695479452054791</v>
      </c>
      <c r="W499">
        <f>SUM($V$400:V499)</f>
        <v>3428.1806849315062</v>
      </c>
      <c r="X499">
        <f>MAX(F499-50,0)*中国_中债国债到期收益率_1年!H499*100/365</f>
        <v>7.4794520547945202</v>
      </c>
      <c r="Y499">
        <f>SUM($X$400:X499)</f>
        <v>275.64383561643837</v>
      </c>
      <c r="Z499">
        <v>-100</v>
      </c>
      <c r="AA499">
        <v>100</v>
      </c>
      <c r="AB499">
        <f>Z499*Return!F503*100</f>
        <v>-88.999999999999076</v>
      </c>
      <c r="AC499">
        <f>AA499*Return!G503*100</f>
        <v>184.00000000000193</v>
      </c>
      <c r="AD499">
        <f>SUM($AB$400:AB499)+SUM($AC$400:AC499)</f>
        <v>2015.3000000000175</v>
      </c>
      <c r="AE499">
        <f t="shared" si="101"/>
        <v>20493.436849315087</v>
      </c>
      <c r="AF499">
        <f t="shared" si="102"/>
        <v>1.0409868736986301</v>
      </c>
      <c r="AG499" s="4">
        <f>(AE499-AE498)/(500000+AE498)-中国_中债国债到期收益率_1年!H499%/252</f>
        <v>9.6944357393000591E-4</v>
      </c>
      <c r="AH499" s="4">
        <f>MIN((AF499-MAX($AF$401:AF499))/MAX($AF$401:AF499),0)</f>
        <v>-2.3678082682757379E-4</v>
      </c>
    </row>
    <row r="500" spans="1:34" x14ac:dyDescent="0.25">
      <c r="A500" s="6">
        <v>45439</v>
      </c>
      <c r="B500">
        <v>10</v>
      </c>
      <c r="C500">
        <v>30</v>
      </c>
      <c r="D500">
        <v>20</v>
      </c>
      <c r="E500">
        <v>5</v>
      </c>
      <c r="F500">
        <f t="shared" si="100"/>
        <v>65</v>
      </c>
      <c r="G500">
        <f t="shared" si="110"/>
        <v>10</v>
      </c>
      <c r="H500">
        <f t="shared" si="104"/>
        <v>150</v>
      </c>
      <c r="I500">
        <f t="shared" si="105"/>
        <v>180</v>
      </c>
      <c r="J500">
        <f t="shared" si="106"/>
        <v>80</v>
      </c>
      <c r="K500">
        <f t="shared" si="107"/>
        <v>420</v>
      </c>
      <c r="L500">
        <f>G500*Return!B500*100</f>
        <v>-28.999999999999915</v>
      </c>
      <c r="M500">
        <f>H500*Return!C500*100</f>
        <v>-114.00000000000077</v>
      </c>
      <c r="N500">
        <f>I500*Return!D500*100</f>
        <v>-127.80000000000591</v>
      </c>
      <c r="O500">
        <f>J500*Return!E500*100</f>
        <v>-51.199999999997914</v>
      </c>
      <c r="P500">
        <f t="shared" si="108"/>
        <v>-322.00000000000455</v>
      </c>
      <c r="Q500">
        <f>SUM($P$400:P500)</f>
        <v>15003.599999999999</v>
      </c>
      <c r="R500">
        <f>B500*中国_中债国债到期收益率_1年!B499/365*100</f>
        <v>4.4863013698630141</v>
      </c>
      <c r="S500">
        <f>C500*中国_中债国债到期收益率_1年!C499/365*100</f>
        <v>17.227397260273975</v>
      </c>
      <c r="T500">
        <f>D500*中国_中债国债到期收益率_1年!D499/365*100</f>
        <v>12.676164383561645</v>
      </c>
      <c r="U500">
        <f>E500*中国_中债国债到期收益率_1年!E499/365*100</f>
        <v>3.4952054794520548</v>
      </c>
      <c r="V500">
        <f t="shared" si="109"/>
        <v>37.885068493150683</v>
      </c>
      <c r="W500">
        <f>SUM($V$400:V500)</f>
        <v>3466.065753424657</v>
      </c>
      <c r="X500">
        <f>MAX(F500-50,0)*中国_中债国债到期收益率_1年!H500*100/365</f>
        <v>8.0136986301369859</v>
      </c>
      <c r="Y500">
        <f>SUM($X$400:X500)</f>
        <v>283.65753424657532</v>
      </c>
      <c r="Z500">
        <v>-100</v>
      </c>
      <c r="AA500">
        <v>100</v>
      </c>
      <c r="AB500">
        <f>Z500*Return!F504*100</f>
        <v>-60.000000000000057</v>
      </c>
      <c r="AC500">
        <f>AA500*Return!G504*100</f>
        <v>-69.000000000003496</v>
      </c>
      <c r="AD500">
        <f>SUM($AB$400:AB500)+SUM($AC$400:AC500)</f>
        <v>1886.3000000000138</v>
      </c>
      <c r="AE500">
        <f t="shared" si="101"/>
        <v>20072.308219178092</v>
      </c>
      <c r="AF500">
        <f t="shared" si="102"/>
        <v>1.0401446164383561</v>
      </c>
      <c r="AG500" s="4">
        <f>(AE500-AE499)/(500000+AE499)-中国_中债国债到期收益率_1年!H500%/252</f>
        <v>-8.8647593864283106E-4</v>
      </c>
      <c r="AH500" s="4">
        <f>MIN((AF500-MAX($AF$401:AF500))/MAX($AF$401:AF500),0)</f>
        <v>-1.0456842349096163E-3</v>
      </c>
    </row>
    <row r="501" spans="1:34" x14ac:dyDescent="0.25">
      <c r="A501" s="6">
        <v>45440</v>
      </c>
      <c r="B501">
        <v>10</v>
      </c>
      <c r="C501">
        <v>30</v>
      </c>
      <c r="D501">
        <v>20</v>
      </c>
      <c r="E501">
        <v>5</v>
      </c>
      <c r="F501">
        <f t="shared" si="100"/>
        <v>65</v>
      </c>
      <c r="G501">
        <f t="shared" si="110"/>
        <v>10</v>
      </c>
      <c r="H501">
        <f t="shared" si="104"/>
        <v>150</v>
      </c>
      <c r="I501">
        <f t="shared" si="105"/>
        <v>180</v>
      </c>
      <c r="J501">
        <f t="shared" si="106"/>
        <v>80</v>
      </c>
      <c r="K501">
        <f t="shared" si="107"/>
        <v>420</v>
      </c>
      <c r="L501">
        <f>G501*Return!B501*100</f>
        <v>-23.700000000000053</v>
      </c>
      <c r="M501">
        <f>H501*Return!C501*100</f>
        <v>-1.4999999999965041</v>
      </c>
      <c r="N501">
        <f>I501*Return!D501*100</f>
        <v>90.000000000006082</v>
      </c>
      <c r="O501">
        <f>J501*Return!E501*100</f>
        <v>50.399999999999778</v>
      </c>
      <c r="P501">
        <f t="shared" si="108"/>
        <v>115.20000000000931</v>
      </c>
      <c r="Q501">
        <f>SUM($P$400:P501)</f>
        <v>15118.800000000008</v>
      </c>
      <c r="R501">
        <f>B501*中国_中债国债到期收益率_1年!B500/365*100</f>
        <v>4.5512328767123291</v>
      </c>
      <c r="S501">
        <f>C501*中国_中债国债到期收益率_1年!C500/365*100</f>
        <v>17.228219178082192</v>
      </c>
      <c r="T501">
        <f>D501*中国_中债国债到期收益率_1年!D500/365*100</f>
        <v>12.648767123287669</v>
      </c>
      <c r="U501">
        <f>E501*中国_中债国债到期收益率_1年!E500/365*100</f>
        <v>3.4865753424657528</v>
      </c>
      <c r="V501">
        <f t="shared" si="109"/>
        <v>37.914794520547943</v>
      </c>
      <c r="W501">
        <f>SUM($V$400:V501)</f>
        <v>3503.9805479452048</v>
      </c>
      <c r="X501">
        <f>MAX(F501-50,0)*中国_中债国债到期收益率_1年!H501*100/365</f>
        <v>8.0136986301369859</v>
      </c>
      <c r="Y501">
        <f>SUM($X$400:X501)</f>
        <v>291.67123287671234</v>
      </c>
      <c r="Z501">
        <v>-100</v>
      </c>
      <c r="AA501">
        <v>100</v>
      </c>
      <c r="AB501">
        <f>Z501*Return!F505*100</f>
        <v>-45.000000000001705</v>
      </c>
      <c r="AC501">
        <f>AA501*Return!G505*100</f>
        <v>-59.000000000000163</v>
      </c>
      <c r="AD501">
        <f>SUM($AB$400:AB501)+SUM($AC$400:AC501)</f>
        <v>1782.300000000012</v>
      </c>
      <c r="AE501">
        <f t="shared" si="101"/>
        <v>20113.409315068511</v>
      </c>
      <c r="AF501">
        <f t="shared" si="102"/>
        <v>1.0402268186301371</v>
      </c>
      <c r="AG501" s="4">
        <f>(AE501-AE500)/(500000+AE500)-中国_中债国债到期收益率_1年!H501%/252</f>
        <v>1.6486272387673361E-6</v>
      </c>
      <c r="AH501" s="4">
        <f>MIN((AF501-MAX($AF$401:AF501))/MAX($AF$401:AF501),0)</f>
        <v>-9.6673729527523022E-4</v>
      </c>
    </row>
    <row r="502" spans="1:34" x14ac:dyDescent="0.25">
      <c r="A502" s="6">
        <v>45441</v>
      </c>
      <c r="B502">
        <v>10</v>
      </c>
      <c r="C502">
        <v>30</v>
      </c>
      <c r="D502">
        <v>20</v>
      </c>
      <c r="E502">
        <v>5</v>
      </c>
      <c r="F502">
        <f t="shared" si="100"/>
        <v>65</v>
      </c>
      <c r="G502">
        <f t="shared" si="110"/>
        <v>10</v>
      </c>
      <c r="H502">
        <f t="shared" si="104"/>
        <v>150</v>
      </c>
      <c r="I502">
        <f t="shared" si="105"/>
        <v>180</v>
      </c>
      <c r="J502">
        <f t="shared" si="106"/>
        <v>80</v>
      </c>
      <c r="K502">
        <f t="shared" si="107"/>
        <v>420</v>
      </c>
      <c r="L502">
        <f>G502*Return!B502*100</f>
        <v>6.0000000000000053</v>
      </c>
      <c r="M502">
        <f>H502*Return!C502*100</f>
        <v>134.99999999999847</v>
      </c>
      <c r="N502">
        <f>I502*Return!D502*100</f>
        <v>161.99999999999815</v>
      </c>
      <c r="O502">
        <f>J502*Return!E502*100</f>
        <v>120.00000000000099</v>
      </c>
      <c r="P502">
        <f t="shared" si="108"/>
        <v>422.99999999999761</v>
      </c>
      <c r="Q502">
        <f>SUM($P$400:P502)</f>
        <v>15541.800000000007</v>
      </c>
      <c r="R502">
        <f>B502*中国_中债国债到期收益率_1年!B501/365*100</f>
        <v>4.534794520547945</v>
      </c>
      <c r="S502">
        <f>C502*中国_中债国债到期收益率_1年!C501/365*100</f>
        <v>17.154246575342466</v>
      </c>
      <c r="T502">
        <f>D502*中国_中债国债到期收益率_1年!D501/365*100</f>
        <v>12.599452054794522</v>
      </c>
      <c r="U502">
        <f>E502*中国_中债国债到期收益率_1年!E501/365*100</f>
        <v>3.466027397260274</v>
      </c>
      <c r="V502">
        <f t="shared" si="109"/>
        <v>37.754520547945205</v>
      </c>
      <c r="W502">
        <f>SUM($V$400:V502)</f>
        <v>3541.7350684931498</v>
      </c>
      <c r="X502">
        <f>MAX(F502-50,0)*中国_中债国债到期收益率_1年!H502*100/365</f>
        <v>8.1369863013698627</v>
      </c>
      <c r="Y502">
        <f>SUM($X$400:X502)</f>
        <v>299.8082191780822</v>
      </c>
      <c r="Z502">
        <v>-100</v>
      </c>
      <c r="AA502">
        <v>100</v>
      </c>
      <c r="AB502">
        <f>Z502*Return!F506*100</f>
        <v>-78.999999999997954</v>
      </c>
      <c r="AC502">
        <f>AA502*Return!G506*100</f>
        <v>55.000000000000604</v>
      </c>
      <c r="AD502">
        <f>SUM($AB$400:AB502)+SUM($AC$400:AC502)</f>
        <v>1758.3000000000145</v>
      </c>
      <c r="AE502">
        <f t="shared" si="101"/>
        <v>20542.026849315087</v>
      </c>
      <c r="AF502">
        <f t="shared" si="102"/>
        <v>1.0410840536986301</v>
      </c>
      <c r="AG502" s="4">
        <f>(AE502-AE501)/(500000+AE501)-中国_中债国债到期收益率_1年!H502%/252</f>
        <v>7.4551333173309309E-4</v>
      </c>
      <c r="AH502" s="4">
        <f>MIN((AF502-MAX($AF$401:AF502))/MAX($AF$401:AF502),0)</f>
        <v>-1.4344920844310775E-4</v>
      </c>
    </row>
    <row r="503" spans="1:34" x14ac:dyDescent="0.25">
      <c r="A503" s="6">
        <v>45442</v>
      </c>
      <c r="B503">
        <v>10</v>
      </c>
      <c r="C503">
        <v>30</v>
      </c>
      <c r="D503">
        <v>15</v>
      </c>
      <c r="E503">
        <v>5</v>
      </c>
      <c r="F503">
        <f t="shared" si="100"/>
        <v>60</v>
      </c>
      <c r="G503">
        <f t="shared" si="110"/>
        <v>10</v>
      </c>
      <c r="H503">
        <f t="shared" si="104"/>
        <v>150</v>
      </c>
      <c r="I503">
        <f t="shared" si="105"/>
        <v>135</v>
      </c>
      <c r="J503">
        <f t="shared" si="106"/>
        <v>80</v>
      </c>
      <c r="K503">
        <f t="shared" si="107"/>
        <v>375</v>
      </c>
      <c r="L503">
        <f>G503*Return!B503*100</f>
        <v>-1.5000000000000568</v>
      </c>
      <c r="M503">
        <f>H503*Return!C503*100</f>
        <v>34.499999999999531</v>
      </c>
      <c r="N503">
        <f>I503*Return!D503*100</f>
        <v>294.29999999999757</v>
      </c>
      <c r="O503">
        <f>J503*Return!E503*100</f>
        <v>47.999999999998266</v>
      </c>
      <c r="P503">
        <f t="shared" si="108"/>
        <v>375.29999999999529</v>
      </c>
      <c r="Q503">
        <f>SUM($P$400:P503)</f>
        <v>15917.100000000002</v>
      </c>
      <c r="R503">
        <f>B503*中国_中债国债到期收益率_1年!B502/365*100</f>
        <v>4.5389041095890414</v>
      </c>
      <c r="S503">
        <f>C503*中国_中债国债到期收益率_1年!C502/365*100</f>
        <v>17.135342465753421</v>
      </c>
      <c r="T503">
        <f>D503*中国_中债国债到期收益率_1年!D502/365*100</f>
        <v>9.36</v>
      </c>
      <c r="U503">
        <f>E503*中国_中债国债到期收益率_1年!E502/365*100</f>
        <v>3.4578082191780823</v>
      </c>
      <c r="V503">
        <f t="shared" si="109"/>
        <v>34.492054794520541</v>
      </c>
      <c r="W503">
        <f>SUM($V$400:V503)</f>
        <v>3576.2271232876706</v>
      </c>
      <c r="X503">
        <f>MAX(F503-50,0)*中国_中债国债到期收益率_1年!H503*100/365</f>
        <v>5.3424657534246576</v>
      </c>
      <c r="Y503">
        <f>SUM($X$400:X503)</f>
        <v>305.15068493150687</v>
      </c>
      <c r="Z503">
        <v>-100</v>
      </c>
      <c r="AA503">
        <v>100</v>
      </c>
      <c r="AB503">
        <f>Z503*Return!F507*100</f>
        <v>17.999999999998018</v>
      </c>
      <c r="AC503">
        <f>AA503*Return!G507*100</f>
        <v>58.000000000002494</v>
      </c>
      <c r="AD503">
        <f>SUM($AB$400:AB503)+SUM($AC$400:AC503)</f>
        <v>1834.3000000000147</v>
      </c>
      <c r="AE503">
        <f t="shared" si="101"/>
        <v>21022.476438356178</v>
      </c>
      <c r="AF503">
        <f t="shared" si="102"/>
        <v>1.0420449528767124</v>
      </c>
      <c r="AG503" s="4">
        <f>(AE503-AE502)/(500000+AE502)-中国_中债国债到期收益率_1年!H503%/252</f>
        <v>8.4559848877792615E-4</v>
      </c>
      <c r="AH503" s="4">
        <f>MIN((AF503-MAX($AF$401:AF503))/MAX($AF$401:AF503),0)</f>
        <v>0</v>
      </c>
    </row>
    <row r="504" spans="1:34" x14ac:dyDescent="0.25">
      <c r="A504" s="6">
        <v>45443</v>
      </c>
      <c r="B504">
        <v>10</v>
      </c>
      <c r="C504">
        <v>30</v>
      </c>
      <c r="D504">
        <v>15</v>
      </c>
      <c r="E504">
        <v>5</v>
      </c>
      <c r="F504">
        <f t="shared" si="100"/>
        <v>60</v>
      </c>
      <c r="G504">
        <f t="shared" si="110"/>
        <v>10</v>
      </c>
      <c r="H504">
        <f t="shared" si="104"/>
        <v>150</v>
      </c>
      <c r="I504">
        <f t="shared" si="105"/>
        <v>135</v>
      </c>
      <c r="J504">
        <f t="shared" si="106"/>
        <v>80</v>
      </c>
      <c r="K504">
        <f t="shared" si="107"/>
        <v>375</v>
      </c>
      <c r="L504">
        <f>G504*Return!B504*100</f>
        <v>3.6000000000000476</v>
      </c>
      <c r="M504">
        <f>H504*Return!C504*100</f>
        <v>-20.999999999997687</v>
      </c>
      <c r="N504">
        <f>I504*Return!D504*100</f>
        <v>-67.499999999998565</v>
      </c>
      <c r="O504">
        <f>J504*Return!E504*100</f>
        <v>-68.000000000001393</v>
      </c>
      <c r="P504">
        <f t="shared" si="108"/>
        <v>-152.89999999999759</v>
      </c>
      <c r="Q504">
        <f>SUM($P$400:P504)</f>
        <v>15764.200000000004</v>
      </c>
      <c r="R504">
        <f>B504*中国_中债国债到期收益率_1年!B503/365*100</f>
        <v>4.5290410958904106</v>
      </c>
      <c r="S504">
        <f>C504*中国_中债国债到期收益率_1年!C503/365*100</f>
        <v>17.146849315068494</v>
      </c>
      <c r="T504">
        <f>D504*中国_中债国债到期收益率_1年!D503/365*100</f>
        <v>9.3805479452054801</v>
      </c>
      <c r="U504">
        <f>E504*中国_中债国债到期收益率_1年!E503/365*100</f>
        <v>3.4694520547945209</v>
      </c>
      <c r="V504">
        <f t="shared" si="109"/>
        <v>34.525890410958908</v>
      </c>
      <c r="W504">
        <f>SUM($V$400:V504)</f>
        <v>3610.7530136986293</v>
      </c>
      <c r="X504">
        <f>MAX(F504-50,0)*中国_中债国债到期收益率_1年!H504*100/365</f>
        <v>5.1506849315068486</v>
      </c>
      <c r="Y504">
        <f>SUM($X$400:X504)</f>
        <v>310.30136986301375</v>
      </c>
      <c r="Z504">
        <v>-100</v>
      </c>
      <c r="AA504">
        <v>100</v>
      </c>
      <c r="AB504">
        <f>Z504*Return!F508*100</f>
        <v>-76.999999999998181</v>
      </c>
      <c r="AC504">
        <f>AA504*Return!G508*100</f>
        <v>142.9999999999998</v>
      </c>
      <c r="AD504">
        <f>SUM($AB$400:AB504)+SUM($AC$400:AC504)</f>
        <v>1900.3000000000166</v>
      </c>
      <c r="AE504">
        <f t="shared" si="101"/>
        <v>20964.951643835637</v>
      </c>
      <c r="AF504">
        <f t="shared" si="102"/>
        <v>1.0419299032876712</v>
      </c>
      <c r="AG504" s="4">
        <f>(AE504-AE503)/(500000+AE503)-中国_中债国债到期收益率_1年!H504%/252</f>
        <v>-1.8501068506946632E-4</v>
      </c>
      <c r="AH504" s="4">
        <f>MIN((AF504-MAX($AF$401:AF504))/MAX($AF$401:AF504),0)</f>
        <v>-1.1040751046638847E-4</v>
      </c>
    </row>
    <row r="505" spans="1:34" x14ac:dyDescent="0.25">
      <c r="A505" s="6">
        <v>45446</v>
      </c>
      <c r="B505">
        <v>10</v>
      </c>
      <c r="C505">
        <v>30</v>
      </c>
      <c r="D505">
        <v>15</v>
      </c>
      <c r="E505">
        <v>5</v>
      </c>
      <c r="F505">
        <f t="shared" si="100"/>
        <v>60</v>
      </c>
      <c r="G505">
        <f t="shared" si="110"/>
        <v>10</v>
      </c>
      <c r="H505">
        <f t="shared" si="104"/>
        <v>150</v>
      </c>
      <c r="I505">
        <f t="shared" si="105"/>
        <v>135</v>
      </c>
      <c r="J505">
        <f t="shared" si="106"/>
        <v>80</v>
      </c>
      <c r="K505">
        <f t="shared" si="107"/>
        <v>375</v>
      </c>
      <c r="L505">
        <f>G505*Return!B505*100</f>
        <v>8.69999999999993</v>
      </c>
      <c r="M505">
        <f>H505*Return!C505*100</f>
        <v>17.999999999998018</v>
      </c>
      <c r="N505">
        <f>I505*Return!D505*100</f>
        <v>-135.00000000000313</v>
      </c>
      <c r="O505">
        <f>J505*Return!E505*100</f>
        <v>-179.99999999999972</v>
      </c>
      <c r="P505">
        <f t="shared" si="108"/>
        <v>-288.3000000000049</v>
      </c>
      <c r="Q505">
        <f>SUM($P$400:P505)</f>
        <v>15475.9</v>
      </c>
      <c r="R505">
        <f>B505*中国_中债国债到期收益率_1年!B504/365*100</f>
        <v>4.5052054794520551</v>
      </c>
      <c r="S505">
        <f>C505*中国_中债国债到期收益率_1年!C504/365*100</f>
        <v>17.136986301369859</v>
      </c>
      <c r="T505">
        <f>D505*中国_中债国债到期收益率_1年!D504/365*100</f>
        <v>9.4216438356164396</v>
      </c>
      <c r="U505">
        <f>E505*中国_中债国债到期收益率_1年!E504/365*100</f>
        <v>3.5002739726027396</v>
      </c>
      <c r="V505">
        <f t="shared" si="109"/>
        <v>34.564109589041095</v>
      </c>
      <c r="W505">
        <f>SUM($V$400:V505)</f>
        <v>3645.3171232876703</v>
      </c>
      <c r="X505">
        <f>MAX(F505-50,0)*中国_中债国债到期收益率_1年!H505*100/365</f>
        <v>5.0410958904109595</v>
      </c>
      <c r="Y505">
        <f>SUM($X$400:X505)</f>
        <v>315.34246575342473</v>
      </c>
      <c r="Z505">
        <v>-100</v>
      </c>
      <c r="AA505">
        <v>100</v>
      </c>
      <c r="AB505">
        <f>Z505*Return!F509*100</f>
        <v>-19.000000000000128</v>
      </c>
      <c r="AC505">
        <f>AA505*Return!G509*100</f>
        <v>38.000000000000256</v>
      </c>
      <c r="AD505">
        <f>SUM($AB$400:AB505)+SUM($AC$400:AC505)</f>
        <v>1919.3000000000168</v>
      </c>
      <c r="AE505">
        <f t="shared" si="101"/>
        <v>20725.174657534266</v>
      </c>
      <c r="AF505">
        <f t="shared" si="102"/>
        <v>1.0414503493150686</v>
      </c>
      <c r="AG505" s="4">
        <f>(AE505-AE504)/(500000+AE504)-中国_中债国债到期收益率_1年!H505%/252</f>
        <v>-5.3327137685502091E-4</v>
      </c>
      <c r="AH505" s="4">
        <f>MIN((AF505-MAX($AF$401:AF505))/MAX($AF$401:AF505),0)</f>
        <v>-5.706121986410195E-4</v>
      </c>
    </row>
    <row r="506" spans="1:34" x14ac:dyDescent="0.25">
      <c r="A506" s="6">
        <v>45447</v>
      </c>
      <c r="B506">
        <v>10</v>
      </c>
      <c r="C506">
        <v>30</v>
      </c>
      <c r="D506">
        <v>15</v>
      </c>
      <c r="E506">
        <v>5</v>
      </c>
      <c r="F506">
        <f t="shared" si="100"/>
        <v>60</v>
      </c>
      <c r="G506">
        <f t="shared" si="110"/>
        <v>10</v>
      </c>
      <c r="H506">
        <f t="shared" si="104"/>
        <v>150</v>
      </c>
      <c r="I506">
        <f t="shared" si="105"/>
        <v>135</v>
      </c>
      <c r="J506">
        <f t="shared" si="106"/>
        <v>80</v>
      </c>
      <c r="K506">
        <f t="shared" si="107"/>
        <v>375</v>
      </c>
      <c r="L506">
        <f>G506*Return!B506*100</f>
        <v>-1.2999999999998568</v>
      </c>
      <c r="M506">
        <f>H506*Return!C506*100</f>
        <v>226.49999999999838</v>
      </c>
      <c r="N506">
        <f>I506*Return!D506*100</f>
        <v>98.550000000004133</v>
      </c>
      <c r="O506">
        <f>J506*Return!E506*100</f>
        <v>63.200000000001921</v>
      </c>
      <c r="P506">
        <f t="shared" si="108"/>
        <v>386.95000000000454</v>
      </c>
      <c r="Q506">
        <f>SUM($P$400:P506)</f>
        <v>15862.850000000004</v>
      </c>
      <c r="R506">
        <f>B506*中国_中债国债到期收益率_1年!B505/365*100</f>
        <v>4.5087671232876714</v>
      </c>
      <c r="S506">
        <f>C506*中国_中债国债到期收益率_1年!C505/365*100</f>
        <v>17.012876712328769</v>
      </c>
      <c r="T506">
        <f>D506*中国_中债国债到期收益率_1年!D505/365*100</f>
        <v>9.3916438356164385</v>
      </c>
      <c r="U506">
        <f>E506*中国_中债国债到期收益率_1年!E505/365*100</f>
        <v>3.48945205479452</v>
      </c>
      <c r="V506">
        <f t="shared" si="109"/>
        <v>34.402739726027399</v>
      </c>
      <c r="W506">
        <f>SUM($V$400:V506)</f>
        <v>3679.7198630136977</v>
      </c>
      <c r="X506">
        <f>MAX(F506-50,0)*中国_中债国债到期收益率_1年!H506*100/365</f>
        <v>5.0136986301369859</v>
      </c>
      <c r="Y506">
        <f>SUM($X$400:X506)</f>
        <v>320.35616438356169</v>
      </c>
      <c r="Z506">
        <v>-100</v>
      </c>
      <c r="AA506">
        <v>100</v>
      </c>
      <c r="AB506">
        <f>Z506*Return!F510*100</f>
        <v>-13.000000000000789</v>
      </c>
      <c r="AC506">
        <f>AA506*Return!G510*100</f>
        <v>51.999999999998714</v>
      </c>
      <c r="AD506">
        <f>SUM($AB$400:AB506)+SUM($AC$400:AC506)</f>
        <v>1958.3000000000147</v>
      </c>
      <c r="AE506">
        <f t="shared" si="101"/>
        <v>21180.513698630155</v>
      </c>
      <c r="AF506">
        <f t="shared" si="102"/>
        <v>1.0423610273972603</v>
      </c>
      <c r="AG506" s="4">
        <f>(AE506-AE505)/(500000+AE505)-中国_中债国债到期收益率_1年!H506%/252</f>
        <v>8.0181350002060182E-4</v>
      </c>
      <c r="AH506" s="4">
        <f>MIN((AF506-MAX($AF$401:AF506))/MAX($AF$401:AF506),0)</f>
        <v>0</v>
      </c>
    </row>
    <row r="507" spans="1:34" x14ac:dyDescent="0.25">
      <c r="A507" s="6">
        <v>45448</v>
      </c>
      <c r="B507">
        <v>10</v>
      </c>
      <c r="C507">
        <v>30</v>
      </c>
      <c r="D507">
        <v>15</v>
      </c>
      <c r="E507">
        <v>5</v>
      </c>
      <c r="F507">
        <f t="shared" si="100"/>
        <v>60</v>
      </c>
      <c r="G507">
        <f t="shared" si="110"/>
        <v>10</v>
      </c>
      <c r="H507">
        <f t="shared" si="104"/>
        <v>150</v>
      </c>
      <c r="I507">
        <f t="shared" si="105"/>
        <v>135</v>
      </c>
      <c r="J507">
        <f t="shared" si="106"/>
        <v>80</v>
      </c>
      <c r="K507">
        <f t="shared" si="107"/>
        <v>375</v>
      </c>
      <c r="L507">
        <f>G507*Return!B507*100</f>
        <v>-0.39999999999995595</v>
      </c>
      <c r="M507">
        <f>H507*Return!C507*100</f>
        <v>-13.500000000001844</v>
      </c>
      <c r="N507">
        <f>I507*Return!D507*100</f>
        <v>-1.3500000000028489</v>
      </c>
      <c r="O507">
        <f>J507*Return!E507*100</f>
        <v>15.999999999998238</v>
      </c>
      <c r="P507">
        <f t="shared" si="108"/>
        <v>0.74999999999358913</v>
      </c>
      <c r="Q507">
        <f>SUM($P$400:P507)</f>
        <v>15863.599999999997</v>
      </c>
      <c r="R507">
        <f>B507*中国_中债国债到期收益率_1年!B506/365*100</f>
        <v>4.50986301369863</v>
      </c>
      <c r="S507">
        <f>C507*中国_中债国债到期收益率_1年!C506/365*100</f>
        <v>17.020273972602741</v>
      </c>
      <c r="T507">
        <f>D507*中国_中债国债到期收益率_1年!D506/365*100</f>
        <v>9.392054794520547</v>
      </c>
      <c r="U507">
        <f>E507*中国_中债国债到期收益率_1年!E506/365*100</f>
        <v>3.4867123287671236</v>
      </c>
      <c r="V507">
        <f t="shared" si="109"/>
        <v>34.408904109589045</v>
      </c>
      <c r="W507">
        <f>SUM($V$400:V507)</f>
        <v>3714.1287671232867</v>
      </c>
      <c r="X507">
        <f>MAX(F507-50,0)*中国_中债国债到期收益率_1年!H507*100/365</f>
        <v>5.0410958904109595</v>
      </c>
      <c r="Y507">
        <f>SUM($X$400:X507)</f>
        <v>325.39726027397268</v>
      </c>
      <c r="Z507">
        <v>-100</v>
      </c>
      <c r="AA507">
        <v>100</v>
      </c>
      <c r="AB507">
        <f>Z507*Return!F511*100</f>
        <v>-12.000000000000899</v>
      </c>
      <c r="AC507">
        <f>AA507*Return!G511*100</f>
        <v>114.99999999999844</v>
      </c>
      <c r="AD507">
        <f>SUM($AB$400:AB507)+SUM($AC$400:AC507)</f>
        <v>2061.3000000000125</v>
      </c>
      <c r="AE507">
        <f t="shared" si="101"/>
        <v>21313.631506849324</v>
      </c>
      <c r="AF507">
        <f t="shared" si="102"/>
        <v>1.0426272630136986</v>
      </c>
      <c r="AG507" s="4">
        <f>(AE507-AE506)/(500000+AE506)-中国_中债国债到期收益率_1年!H507%/252</f>
        <v>1.8240006200149746E-4</v>
      </c>
      <c r="AH507" s="4">
        <f>MIN((AF507-MAX($AF$401:AF507))/MAX($AF$401:AF507),0)</f>
        <v>0</v>
      </c>
    </row>
    <row r="508" spans="1:34" x14ac:dyDescent="0.25">
      <c r="A508" s="6">
        <v>45449</v>
      </c>
      <c r="B508">
        <v>10</v>
      </c>
      <c r="C508">
        <v>30</v>
      </c>
      <c r="D508">
        <v>15</v>
      </c>
      <c r="E508">
        <v>5</v>
      </c>
      <c r="F508">
        <f t="shared" si="100"/>
        <v>60</v>
      </c>
      <c r="G508">
        <f t="shared" si="110"/>
        <v>10</v>
      </c>
      <c r="H508">
        <f t="shared" si="104"/>
        <v>150</v>
      </c>
      <c r="I508">
        <f t="shared" si="105"/>
        <v>135</v>
      </c>
      <c r="J508">
        <f t="shared" si="106"/>
        <v>80</v>
      </c>
      <c r="K508">
        <f t="shared" si="107"/>
        <v>375</v>
      </c>
      <c r="L508">
        <f>G508*Return!B508*100</f>
        <v>14.19999999999999</v>
      </c>
      <c r="M508">
        <f>H508*Return!C508*100</f>
        <v>202.50000000000102</v>
      </c>
      <c r="N508">
        <f>I508*Return!D508*100</f>
        <v>62.099999999999156</v>
      </c>
      <c r="O508">
        <f>J508*Return!E508*100</f>
        <v>60.000000000002274</v>
      </c>
      <c r="P508">
        <f t="shared" si="108"/>
        <v>338.80000000000246</v>
      </c>
      <c r="Q508">
        <f>SUM($P$400:P508)</f>
        <v>16202.4</v>
      </c>
      <c r="R508">
        <f>B508*中国_中债国债到期收益率_1年!B507/365*100</f>
        <v>4.4709589041095885</v>
      </c>
      <c r="S508">
        <f>C508*中国_中债国债到期收益率_1年!C507/365*100</f>
        <v>16.90931506849315</v>
      </c>
      <c r="T508">
        <f>D508*中国_中债国债到期收益率_1年!D507/365*100</f>
        <v>9.3731506849315078</v>
      </c>
      <c r="U508">
        <f>E508*中国_中债国债到期收益率_1年!E507/365*100</f>
        <v>3.4764383561643837</v>
      </c>
      <c r="V508">
        <f t="shared" si="109"/>
        <v>34.229863013698633</v>
      </c>
      <c r="W508">
        <f>SUM($V$400:V508)</f>
        <v>3748.3586301369855</v>
      </c>
      <c r="X508">
        <f>MAX(F508-50,0)*中国_中债国债到期收益率_1年!H508*100/365</f>
        <v>5.0410958904109595</v>
      </c>
      <c r="Y508">
        <f>SUM($X$400:X508)</f>
        <v>330.43835616438366</v>
      </c>
      <c r="Z508">
        <v>-100</v>
      </c>
      <c r="AA508">
        <v>100</v>
      </c>
      <c r="AB508">
        <f>Z508*Return!F512*100</f>
        <v>58.00000000000027</v>
      </c>
      <c r="AC508">
        <f>AA508*Return!G512*100</f>
        <v>-65.999999999997172</v>
      </c>
      <c r="AD508">
        <f>SUM($AB$400:AB508)+SUM($AC$400:AC508)</f>
        <v>2053.3000000000156</v>
      </c>
      <c r="AE508">
        <f t="shared" si="101"/>
        <v>21673.620273972614</v>
      </c>
      <c r="AF508">
        <f t="shared" si="102"/>
        <v>1.0433472405479451</v>
      </c>
      <c r="AG508" s="4">
        <f>(AE508-AE507)/(500000+AE507)-中国_中债国债到期收益率_1年!H508%/252</f>
        <v>6.1752576136024694E-4</v>
      </c>
      <c r="AH508" s="4">
        <f>MIN((AF508-MAX($AF$401:AF508))/MAX($AF$401:AF508),0)</f>
        <v>0</v>
      </c>
    </row>
    <row r="509" spans="1:34" x14ac:dyDescent="0.25">
      <c r="A509" s="6">
        <v>45450</v>
      </c>
      <c r="B509">
        <v>0</v>
      </c>
      <c r="C509">
        <v>30</v>
      </c>
      <c r="D509">
        <v>15</v>
      </c>
      <c r="E509">
        <v>5</v>
      </c>
      <c r="F509">
        <f t="shared" si="100"/>
        <v>50</v>
      </c>
      <c r="G509">
        <f t="shared" ref="G509:G572" si="111">B509</f>
        <v>0</v>
      </c>
      <c r="H509">
        <f t="shared" si="104"/>
        <v>150</v>
      </c>
      <c r="I509">
        <f t="shared" si="105"/>
        <v>135</v>
      </c>
      <c r="J509">
        <f t="shared" si="106"/>
        <v>80</v>
      </c>
      <c r="K509">
        <f t="shared" si="107"/>
        <v>365</v>
      </c>
      <c r="L509">
        <f>G509*Return!B509*100</f>
        <v>0</v>
      </c>
      <c r="M509">
        <f>H509*Return!C509*100</f>
        <v>-32.999999999996362</v>
      </c>
      <c r="N509">
        <f>I509*Return!D509*100</f>
        <v>-26.999999999997026</v>
      </c>
      <c r="O509">
        <f>J509*Return!E509*100</f>
        <v>0</v>
      </c>
      <c r="P509">
        <f t="shared" si="108"/>
        <v>-59.999999999993392</v>
      </c>
      <c r="Q509">
        <f>SUM($P$400:P509)</f>
        <v>16142.400000000007</v>
      </c>
      <c r="R509">
        <f>B509*中国_中债国债到期收益率_1年!B508/365*100</f>
        <v>0</v>
      </c>
      <c r="S509">
        <f>C509*中国_中债国债到期收益率_1年!C508/365*100</f>
        <v>16.92739726027397</v>
      </c>
      <c r="T509">
        <f>D509*中国_中债国债到期收益率_1年!D508/365*100</f>
        <v>9.381369863013699</v>
      </c>
      <c r="U509">
        <f>E509*中国_中债国债到期收益率_1年!E508/365*100</f>
        <v>3.4764383561643837</v>
      </c>
      <c r="V509">
        <f t="shared" si="109"/>
        <v>29.785205479452053</v>
      </c>
      <c r="W509">
        <f>SUM($V$400:V509)</f>
        <v>3778.1438356164376</v>
      </c>
      <c r="X509">
        <f>MAX(F509-50,0)*中国_中债国债到期收益率_1年!H509*100/365</f>
        <v>0</v>
      </c>
      <c r="Y509">
        <f>SUM($X$400:X509)</f>
        <v>330.43835616438366</v>
      </c>
      <c r="Z509">
        <v>-100</v>
      </c>
      <c r="AA509">
        <v>100</v>
      </c>
      <c r="AB509">
        <f>Z509*Return!F513*100</f>
        <v>126.00000000000166</v>
      </c>
      <c r="AC509">
        <f>AA509*Return!G513*100</f>
        <v>-83.999999999999631</v>
      </c>
      <c r="AD509">
        <f>SUM($AB$400:AB509)+SUM($AC$400:AC509)</f>
        <v>2095.3000000000175</v>
      </c>
      <c r="AE509">
        <f t="shared" si="101"/>
        <v>21685.405479452078</v>
      </c>
      <c r="AF509">
        <f t="shared" si="102"/>
        <v>1.0433708109589042</v>
      </c>
      <c r="AG509" s="4">
        <f>(AE509-AE508)/(500000+AE508)-中国_中债国债到期收益率_1年!H509%/252</f>
        <v>-5.0821551340177187E-5</v>
      </c>
      <c r="AH509" s="4">
        <f>MIN((AF509-MAX($AF$401:AF509))/MAX($AF$401:AF509),0)</f>
        <v>0</v>
      </c>
    </row>
    <row r="510" spans="1:34" x14ac:dyDescent="0.25">
      <c r="A510" s="6">
        <v>45454</v>
      </c>
      <c r="B510">
        <v>0</v>
      </c>
      <c r="C510">
        <v>30</v>
      </c>
      <c r="D510">
        <v>15</v>
      </c>
      <c r="E510">
        <v>5</v>
      </c>
      <c r="F510">
        <f t="shared" si="100"/>
        <v>50</v>
      </c>
      <c r="G510">
        <f t="shared" si="111"/>
        <v>0</v>
      </c>
      <c r="H510">
        <f t="shared" si="104"/>
        <v>150</v>
      </c>
      <c r="I510">
        <f t="shared" si="105"/>
        <v>135</v>
      </c>
      <c r="J510">
        <f t="shared" si="106"/>
        <v>80</v>
      </c>
      <c r="K510">
        <f t="shared" si="107"/>
        <v>365</v>
      </c>
      <c r="L510">
        <f>G510*Return!B510*100</f>
        <v>0</v>
      </c>
      <c r="M510">
        <f>H510*Return!C510*100</f>
        <v>-4.5000000000028351</v>
      </c>
      <c r="N510">
        <f>I510*Return!D510*100</f>
        <v>-6.7500000000022542</v>
      </c>
      <c r="O510">
        <f>J510*Return!E510*100</f>
        <v>59.999999999998721</v>
      </c>
      <c r="P510">
        <f t="shared" si="108"/>
        <v>48.749999999993634</v>
      </c>
      <c r="Q510">
        <f>SUM($P$400:P510)</f>
        <v>16191.150000000001</v>
      </c>
      <c r="R510">
        <f>B510*中国_中债国债到期收益率_1年!B509/365*100</f>
        <v>0</v>
      </c>
      <c r="S510">
        <f>C510*中国_中债国债到期收益率_1年!C509/365*100</f>
        <v>16.929863013698633</v>
      </c>
      <c r="T510">
        <f>D510*中国_中债国债到期收益率_1年!D509/365*100</f>
        <v>9.3834246575342473</v>
      </c>
      <c r="U510">
        <f>E510*中国_中债国债到期收益率_1年!E509/365*100</f>
        <v>3.4661643835616438</v>
      </c>
      <c r="V510">
        <f t="shared" si="109"/>
        <v>29.779452054794522</v>
      </c>
      <c r="W510">
        <f>SUM($V$400:V510)</f>
        <v>3807.9232876712322</v>
      </c>
      <c r="X510">
        <f>MAX(F510-50,0)*中国_中债国债到期收益率_1年!H510*100/365</f>
        <v>0</v>
      </c>
      <c r="Y510">
        <f>SUM($X$400:X510)</f>
        <v>330.43835616438366</v>
      </c>
      <c r="Z510">
        <v>-100</v>
      </c>
      <c r="AA510">
        <v>100</v>
      </c>
      <c r="AB510">
        <f>Z510*Return!F514*100</f>
        <v>-16.000000000000458</v>
      </c>
      <c r="AC510">
        <f>AA510*Return!G514*100</f>
        <v>10.999999999996568</v>
      </c>
      <c r="AD510">
        <f>SUM($AB$400:AB510)+SUM($AC$400:AC510)</f>
        <v>2090.3000000000134</v>
      </c>
      <c r="AE510">
        <f t="shared" si="101"/>
        <v>21758.934931506865</v>
      </c>
      <c r="AF510">
        <f t="shared" si="102"/>
        <v>1.0435178698630136</v>
      </c>
      <c r="AG510" s="4">
        <f>(AE510-AE509)/(500000+AE509)-中国_中债国债到期收益率_1年!H510%/252</f>
        <v>6.8326915757501089E-5</v>
      </c>
      <c r="AH510" s="4">
        <f>MIN((AF510-MAX($AF$401:AF510))/MAX($AF$401:AF510),0)</f>
        <v>0</v>
      </c>
    </row>
    <row r="511" spans="1:34" x14ac:dyDescent="0.25">
      <c r="A511" s="6">
        <v>45455</v>
      </c>
      <c r="B511">
        <v>0</v>
      </c>
      <c r="C511">
        <v>30</v>
      </c>
      <c r="D511">
        <v>15</v>
      </c>
      <c r="E511">
        <v>5</v>
      </c>
      <c r="F511">
        <f t="shared" si="100"/>
        <v>50</v>
      </c>
      <c r="G511">
        <f t="shared" si="111"/>
        <v>0</v>
      </c>
      <c r="H511">
        <f t="shared" si="104"/>
        <v>150</v>
      </c>
      <c r="I511">
        <f t="shared" si="105"/>
        <v>135</v>
      </c>
      <c r="J511">
        <f t="shared" si="106"/>
        <v>80</v>
      </c>
      <c r="K511">
        <f t="shared" si="107"/>
        <v>365</v>
      </c>
      <c r="L511">
        <f>G511*Return!B511*100</f>
        <v>0</v>
      </c>
      <c r="M511">
        <f>H511*Return!C511*100</f>
        <v>64.500000000002885</v>
      </c>
      <c r="N511">
        <f>I511*Return!D511*100</f>
        <v>56.699999999999747</v>
      </c>
      <c r="O511">
        <f>J511*Return!E511*100</f>
        <v>86.400000000001143</v>
      </c>
      <c r="P511">
        <f t="shared" si="108"/>
        <v>207.60000000000377</v>
      </c>
      <c r="Q511">
        <f>SUM($P$400:P511)</f>
        <v>16398.750000000004</v>
      </c>
      <c r="R511">
        <f>B511*中国_中债国债到期收益率_1年!B510/365*100</f>
        <v>0</v>
      </c>
      <c r="S511">
        <f>C511*中国_中债国债到期收益率_1年!C510/365*100</f>
        <v>16.894520547945206</v>
      </c>
      <c r="T511">
        <f>D511*中国_中债国债到期收益率_1年!D510/365*100</f>
        <v>9.3661643835616442</v>
      </c>
      <c r="U511">
        <f>E511*中国_中债国债到期收益率_1年!E510/365*100</f>
        <v>3.4513698630136989</v>
      </c>
      <c r="V511">
        <f t="shared" si="109"/>
        <v>29.712054794520551</v>
      </c>
      <c r="W511">
        <f>SUM($V$400:V511)</f>
        <v>3837.6353424657527</v>
      </c>
      <c r="X511">
        <f>MAX(F511-50,0)*中国_中债国债到期收益率_1年!H511*100/365</f>
        <v>0</v>
      </c>
      <c r="Y511">
        <f>SUM($X$400:X511)</f>
        <v>330.43835616438366</v>
      </c>
      <c r="Z511">
        <v>-100</v>
      </c>
      <c r="AA511">
        <v>100</v>
      </c>
      <c r="AB511">
        <f>Z511*Return!F515*100</f>
        <v>106.99999999999932</v>
      </c>
      <c r="AC511">
        <f>AA511*Return!G515*100</f>
        <v>-63.999999999997392</v>
      </c>
      <c r="AD511">
        <f>SUM($AB$400:AB511)+SUM($AC$400:AC511)</f>
        <v>2133.3000000000156</v>
      </c>
      <c r="AE511">
        <f t="shared" si="101"/>
        <v>22039.24698630139</v>
      </c>
      <c r="AF511">
        <f t="shared" si="102"/>
        <v>1.0440784939726029</v>
      </c>
      <c r="AG511" s="4">
        <f>(AE511-AE510)/(500000+AE510)-中国_中债国债到期收益率_1年!H511%/252</f>
        <v>4.6462533101593068E-4</v>
      </c>
      <c r="AH511" s="4">
        <f>MIN((AF511-MAX($AF$401:AF511))/MAX($AF$401:AF511),0)</f>
        <v>0</v>
      </c>
    </row>
    <row r="512" spans="1:34" x14ac:dyDescent="0.25">
      <c r="A512" s="8">
        <v>45456</v>
      </c>
      <c r="B512">
        <v>0</v>
      </c>
      <c r="C512">
        <v>30</v>
      </c>
      <c r="D512">
        <v>15</v>
      </c>
      <c r="E512">
        <v>5</v>
      </c>
      <c r="F512">
        <f t="shared" si="100"/>
        <v>50</v>
      </c>
      <c r="G512">
        <f t="shared" si="111"/>
        <v>0</v>
      </c>
      <c r="H512">
        <f t="shared" si="104"/>
        <v>150</v>
      </c>
      <c r="I512">
        <f t="shared" si="105"/>
        <v>135</v>
      </c>
      <c r="J512">
        <f t="shared" si="106"/>
        <v>80</v>
      </c>
      <c r="K512">
        <f t="shared" si="107"/>
        <v>365</v>
      </c>
      <c r="L512">
        <f>G512*Return!B512*100</f>
        <v>0</v>
      </c>
      <c r="M512">
        <f>H512*Return!C512*100</f>
        <v>-118.50000000000361</v>
      </c>
      <c r="N512">
        <f>I512*Return!D512*100</f>
        <v>41.850000000004385</v>
      </c>
      <c r="O512">
        <f>J512*Return!E512*100</f>
        <v>-32.000000000000028</v>
      </c>
      <c r="P512">
        <f t="shared" si="108"/>
        <v>-108.64999999999925</v>
      </c>
      <c r="Q512">
        <f>SUM($P$400:P512)</f>
        <v>16290.100000000004</v>
      </c>
      <c r="R512">
        <f>B512*中国_中债国债到期收益率_1年!B511/365*100</f>
        <v>0</v>
      </c>
      <c r="S512">
        <f>C512*中国_中债国债到期收益率_1年!C511/365*100</f>
        <v>16.959452054794522</v>
      </c>
      <c r="T512">
        <f>D512*中国_中债国债到期收益率_1年!D511/365*100</f>
        <v>9.3534246575342461</v>
      </c>
      <c r="U512">
        <f>E512*中国_中债国债到期收益率_1年!E511/365*100</f>
        <v>3.4568493150684927</v>
      </c>
      <c r="V512">
        <f t="shared" si="109"/>
        <v>29.769726027397258</v>
      </c>
      <c r="W512">
        <f>SUM($V$400:V512)</f>
        <v>3867.4050684931499</v>
      </c>
      <c r="X512">
        <f>MAX(F512-50,0)*中国_中债国债到期收益率_1年!H512*100/365</f>
        <v>0</v>
      </c>
      <c r="Y512">
        <f>SUM($X$400:X512)</f>
        <v>330.43835616438366</v>
      </c>
      <c r="Z512">
        <v>-100</v>
      </c>
      <c r="AA512">
        <v>100</v>
      </c>
      <c r="AB512">
        <f>Z512*Return!F516*100</f>
        <v>14.000000000000679</v>
      </c>
      <c r="AC512">
        <f>AA512*Return!G516*100</f>
        <v>45.999999999999375</v>
      </c>
      <c r="AD512">
        <f>SUM($AB$400:AB512)+SUM($AC$400:AC512)</f>
        <v>2193.3000000000156</v>
      </c>
      <c r="AE512">
        <f t="shared" si="101"/>
        <v>22020.366712328789</v>
      </c>
      <c r="AF512">
        <f t="shared" si="102"/>
        <v>1.0440407334246575</v>
      </c>
      <c r="AG512" s="4">
        <f>(AE512-AE511)/(500000+AE511)-中国_中债国债到期收益率_1年!H512%/252</f>
        <v>-1.0878543564752665E-4</v>
      </c>
      <c r="AH512" s="4">
        <f>MIN((AF512-MAX($AF$401:AF512))/MAX($AF$401:AF512),0)</f>
        <v>-3.6166388028623073E-5</v>
      </c>
    </row>
    <row r="513" spans="1:34" ht="14.5" x14ac:dyDescent="0.35">
      <c r="A513" s="9">
        <v>45457</v>
      </c>
      <c r="B513">
        <v>0</v>
      </c>
      <c r="C513">
        <v>30</v>
      </c>
      <c r="D513">
        <v>15</v>
      </c>
      <c r="E513">
        <v>5</v>
      </c>
      <c r="F513">
        <f t="shared" si="100"/>
        <v>50</v>
      </c>
      <c r="G513">
        <f t="shared" si="111"/>
        <v>0</v>
      </c>
      <c r="H513">
        <f t="shared" si="104"/>
        <v>150</v>
      </c>
      <c r="I513">
        <f t="shared" si="105"/>
        <v>135</v>
      </c>
      <c r="J513">
        <f t="shared" si="106"/>
        <v>80</v>
      </c>
      <c r="K513">
        <f t="shared" si="107"/>
        <v>365</v>
      </c>
      <c r="L513">
        <f>G513*Return!B513*100</f>
        <v>0</v>
      </c>
      <c r="M513">
        <f>H513*Return!C513*100</f>
        <v>-31.499999999999861</v>
      </c>
      <c r="N513">
        <f>I513*Return!D513*100</f>
        <v>110.6999999999998</v>
      </c>
      <c r="O513">
        <f>J513*Return!E513*100</f>
        <v>47.999999999998266</v>
      </c>
      <c r="P513">
        <f t="shared" si="108"/>
        <v>127.19999999999821</v>
      </c>
      <c r="Q513">
        <f>SUM($P$400:P513)</f>
        <v>16417.300000000003</v>
      </c>
      <c r="R513">
        <f>B513*中国_中债国债到期收益率_1年!B512/365*100</f>
        <v>0</v>
      </c>
      <c r="S513">
        <f>C513*中国_中债国债到期收益率_1年!C512/365*100</f>
        <v>16.976712328767125</v>
      </c>
      <c r="T513">
        <f>D513*中国_中债国债到期收益率_1年!D512/365*100</f>
        <v>9.3197260273972589</v>
      </c>
      <c r="U513">
        <f>E513*中国_中债国债到期收益率_1年!E512/365*100</f>
        <v>3.4486301369863011</v>
      </c>
      <c r="V513">
        <f t="shared" si="109"/>
        <v>29.745068493150683</v>
      </c>
      <c r="W513">
        <f>SUM($V$400:V513)</f>
        <v>3897.1501369863004</v>
      </c>
      <c r="X513">
        <f>MAX(F513-50,0)*中国_中债国债到期收益率_1年!H513*100/365</f>
        <v>0</v>
      </c>
      <c r="Y513">
        <f>SUM($X$400:X513)</f>
        <v>330.43835616438366</v>
      </c>
      <c r="Z513">
        <v>-100</v>
      </c>
      <c r="AA513">
        <v>100</v>
      </c>
      <c r="AB513">
        <f>Z513*Return!F517*100</f>
        <v>-44.999999999999488</v>
      </c>
      <c r="AC513">
        <f>AA513*Return!G517*100</f>
        <v>97.000000000000426</v>
      </c>
      <c r="AD513">
        <f>SUM($AB$400:AB513)+SUM($AC$400:AC513)</f>
        <v>2245.3000000000166</v>
      </c>
      <c r="AE513">
        <f t="shared" si="101"/>
        <v>22229.311780821936</v>
      </c>
      <c r="AF513">
        <f t="shared" si="102"/>
        <v>1.0444586235616438</v>
      </c>
      <c r="AG513" s="4">
        <f>(AE513-AE512)/(500000+AE512)-中国_中债国债到期收益率_1年!H513%/252</f>
        <v>3.2764324446177273E-4</v>
      </c>
      <c r="AH513" s="4">
        <f>MIN((AF513-MAX($AF$401:AF513))/MAX($AF$401:AF513),0)</f>
        <v>0</v>
      </c>
    </row>
    <row r="514" spans="1:34" x14ac:dyDescent="0.25">
      <c r="A514" s="8">
        <v>45460</v>
      </c>
      <c r="B514">
        <v>0</v>
      </c>
      <c r="C514">
        <v>30</v>
      </c>
      <c r="D514">
        <v>15</v>
      </c>
      <c r="E514">
        <v>5</v>
      </c>
      <c r="F514">
        <f t="shared" si="100"/>
        <v>50</v>
      </c>
      <c r="G514">
        <f t="shared" si="111"/>
        <v>0</v>
      </c>
      <c r="H514">
        <f t="shared" si="104"/>
        <v>150</v>
      </c>
      <c r="I514">
        <f t="shared" si="105"/>
        <v>135</v>
      </c>
      <c r="J514">
        <f t="shared" si="106"/>
        <v>80</v>
      </c>
      <c r="K514">
        <f t="shared" si="107"/>
        <v>365</v>
      </c>
      <c r="L514">
        <f>G514*Return!B514*100</f>
        <v>0</v>
      </c>
      <c r="M514">
        <f>H514*Return!C514*100</f>
        <v>100.49999999999892</v>
      </c>
      <c r="N514">
        <f>I514*Return!D514*100</f>
        <v>162.00000000000014</v>
      </c>
      <c r="O514">
        <f>J514*Return!E514*100</f>
        <v>147.99999999999969</v>
      </c>
      <c r="P514">
        <f t="shared" si="108"/>
        <v>410.49999999999875</v>
      </c>
      <c r="Q514">
        <f>SUM($P$400:P514)</f>
        <v>16827.800000000003</v>
      </c>
      <c r="R514">
        <f>B514*中国_中债国债到期收益率_1年!B513/365*100</f>
        <v>0</v>
      </c>
      <c r="S514">
        <f>C514*中国_中债国债到期收益率_1年!C513/365*100</f>
        <v>16.92164383561644</v>
      </c>
      <c r="T514">
        <f>D514*中国_中债国债到期收益率_1年!D513/365*100</f>
        <v>9.2704109589041082</v>
      </c>
      <c r="U514">
        <f>E514*中国_中债国债到期收益率_1年!E513/365*100</f>
        <v>3.4232876712328766</v>
      </c>
      <c r="V514">
        <f t="shared" si="109"/>
        <v>29.615342465753425</v>
      </c>
      <c r="W514">
        <f>SUM($V$400:V514)</f>
        <v>3926.7654794520536</v>
      </c>
      <c r="X514">
        <f>MAX(F514-50,0)*中国_中债国债到期收益率_1年!H514*100/365</f>
        <v>0</v>
      </c>
      <c r="Y514">
        <f>SUM($X$400:X514)</f>
        <v>330.43835616438366</v>
      </c>
      <c r="Z514">
        <v>-100</v>
      </c>
      <c r="AA514">
        <v>100</v>
      </c>
      <c r="AB514">
        <f>Z514*Return!F518*100</f>
        <v>-104.00000000000188</v>
      </c>
      <c r="AC514">
        <f>AA514*Return!G518*100</f>
        <v>99.999999999997868</v>
      </c>
      <c r="AD514">
        <f>SUM($AB$400:AB514)+SUM($AC$400:AC514)</f>
        <v>2241.3000000000125</v>
      </c>
      <c r="AE514">
        <f t="shared" si="101"/>
        <v>22665.427123287685</v>
      </c>
      <c r="AF514">
        <f t="shared" si="102"/>
        <v>1.0453308542465753</v>
      </c>
      <c r="AG514" s="4">
        <f>(AE514-AE513)/(500000+AE513)-中国_中债国债到期收益率_1年!H514%/252</f>
        <v>7.616904500080203E-4</v>
      </c>
      <c r="AH514" s="4">
        <f>MIN((AF514-MAX($AF$401:AF514))/MAX($AF$401:AF514),0)</f>
        <v>0</v>
      </c>
    </row>
    <row r="515" spans="1:34" x14ac:dyDescent="0.25">
      <c r="A515" s="8">
        <v>45461</v>
      </c>
      <c r="B515">
        <v>0</v>
      </c>
      <c r="C515">
        <v>30</v>
      </c>
      <c r="D515">
        <v>15</v>
      </c>
      <c r="E515">
        <v>5</v>
      </c>
      <c r="F515">
        <f t="shared" ref="F515:F578" si="112">SUM(B515:E515)</f>
        <v>50</v>
      </c>
      <c r="G515">
        <f t="shared" si="111"/>
        <v>0</v>
      </c>
      <c r="H515">
        <f t="shared" si="104"/>
        <v>150</v>
      </c>
      <c r="I515">
        <f t="shared" si="105"/>
        <v>135</v>
      </c>
      <c r="J515">
        <f t="shared" si="106"/>
        <v>80</v>
      </c>
      <c r="K515">
        <f t="shared" si="107"/>
        <v>365</v>
      </c>
      <c r="L515">
        <f>G515*Return!B515*100</f>
        <v>0</v>
      </c>
      <c r="M515">
        <f>H515*Return!C515*100</f>
        <v>-106.49999999999827</v>
      </c>
      <c r="N515">
        <f>I515*Return!D515*100</f>
        <v>-68.850000000001415</v>
      </c>
      <c r="O515">
        <f>J515*Return!E515*100</f>
        <v>-53.599999999999426</v>
      </c>
      <c r="P515">
        <f t="shared" si="108"/>
        <v>-228.94999999999911</v>
      </c>
      <c r="Q515">
        <f>SUM($P$400:P515)</f>
        <v>16598.850000000002</v>
      </c>
      <c r="R515">
        <f>B515*中国_中债国债到期收益率_1年!B514/365*100</f>
        <v>0</v>
      </c>
      <c r="S515">
        <f>C515*中国_中债国债到期收益率_1年!C514/365*100</f>
        <v>16.98</v>
      </c>
      <c r="T515">
        <f>D515*中国_中债国债到期收益率_1年!D514/365*100</f>
        <v>9.2913698630136992</v>
      </c>
      <c r="U515">
        <f>E515*中国_中债国债到期收益率_1年!E514/365*100</f>
        <v>3.4324657534246579</v>
      </c>
      <c r="V515">
        <f t="shared" si="109"/>
        <v>29.703835616438358</v>
      </c>
      <c r="W515">
        <f>SUM($V$400:V515)</f>
        <v>3956.4693150684921</v>
      </c>
      <c r="X515">
        <f>MAX(F515-50,0)*中国_中债国债到期收益率_1年!H515*100/365</f>
        <v>0</v>
      </c>
      <c r="Y515">
        <f>SUM($X$400:X515)</f>
        <v>330.43835616438366</v>
      </c>
      <c r="Z515">
        <v>-100</v>
      </c>
      <c r="AA515">
        <v>100</v>
      </c>
      <c r="AB515">
        <f>Z515*Return!F519*100</f>
        <v>184.00000000000193</v>
      </c>
      <c r="AC515">
        <f>AA515*Return!G519*100</f>
        <v>-109.99999999999676</v>
      </c>
      <c r="AD515">
        <f>SUM($AB$400:AB515)+SUM($AC$400:AC515)</f>
        <v>2315.3000000000175</v>
      </c>
      <c r="AE515">
        <f t="shared" si="101"/>
        <v>22540.180958904126</v>
      </c>
      <c r="AF515">
        <f t="shared" si="102"/>
        <v>1.0450803619178082</v>
      </c>
      <c r="AG515" s="4">
        <f>(AE515-AE514)/(500000+AE514)-中国_中债国债到期收益率_1年!H515%/252</f>
        <v>-3.1462970933988357E-4</v>
      </c>
      <c r="AH515" s="4">
        <f>MIN((AF515-MAX($AF$401:AF515))/MAX($AF$401:AF515),0)</f>
        <v>-2.3962970933993346E-4</v>
      </c>
    </row>
    <row r="516" spans="1:34" x14ac:dyDescent="0.25">
      <c r="A516" s="8">
        <v>45462</v>
      </c>
      <c r="B516">
        <v>0</v>
      </c>
      <c r="C516">
        <v>30</v>
      </c>
      <c r="D516">
        <v>15</v>
      </c>
      <c r="E516">
        <v>5</v>
      </c>
      <c r="F516">
        <f t="shared" si="112"/>
        <v>50</v>
      </c>
      <c r="G516">
        <f t="shared" si="111"/>
        <v>0</v>
      </c>
      <c r="H516">
        <f t="shared" si="104"/>
        <v>150</v>
      </c>
      <c r="I516">
        <f t="shared" si="105"/>
        <v>135</v>
      </c>
      <c r="J516">
        <f t="shared" si="106"/>
        <v>80</v>
      </c>
      <c r="K516">
        <f t="shared" si="107"/>
        <v>365</v>
      </c>
      <c r="L516">
        <f>G516*Return!B516*100</f>
        <v>0</v>
      </c>
      <c r="M516">
        <f>H516*Return!C516*100</f>
        <v>136.50000000000162</v>
      </c>
      <c r="N516">
        <f>I516*Return!D516*100</f>
        <v>97.200000000001282</v>
      </c>
      <c r="O516">
        <f>J516*Return!E516*100</f>
        <v>135.99999999999923</v>
      </c>
      <c r="P516">
        <f t="shared" si="108"/>
        <v>369.70000000000209</v>
      </c>
      <c r="Q516">
        <f>SUM($P$400:P516)</f>
        <v>16968.550000000003</v>
      </c>
      <c r="R516">
        <f>B516*中国_中债国债到期收益率_1年!B515/365*100</f>
        <v>0</v>
      </c>
      <c r="S516">
        <f>C516*中国_中债国债到期收益率_1年!C515/365*100</f>
        <v>16.905205479452054</v>
      </c>
      <c r="T516">
        <f>D516*中国_中债国债到期收益率_1年!D515/365*100</f>
        <v>9.2617808219178066</v>
      </c>
      <c r="U516">
        <f>E516*中国_中债国债到期收益率_1年!E515/365*100</f>
        <v>3.4091780821917808</v>
      </c>
      <c r="V516">
        <f t="shared" si="109"/>
        <v>29.57616438356164</v>
      </c>
      <c r="W516">
        <f>SUM($V$400:V516)</f>
        <v>3986.0454794520538</v>
      </c>
      <c r="X516">
        <f>MAX(F516-50,0)*中国_中债国债到期收益率_1年!H516*100/365</f>
        <v>0</v>
      </c>
      <c r="Y516">
        <f>SUM($X$400:X516)</f>
        <v>330.43835616438366</v>
      </c>
      <c r="Z516">
        <v>-100</v>
      </c>
      <c r="AA516">
        <v>100</v>
      </c>
      <c r="AB516">
        <f>Z516*Return!F520*100</f>
        <v>30.999999999998806</v>
      </c>
      <c r="AC516">
        <f>AA516*Return!G520*100</f>
        <v>59.999999999997833</v>
      </c>
      <c r="AD516">
        <f>SUM($AB$400:AB516)+SUM($AC$400:AC516)</f>
        <v>2406.3000000000138</v>
      </c>
      <c r="AE516">
        <f t="shared" ref="AE516:AE579" si="113">Q516+W516+AD516-Y516</f>
        <v>23030.457123287688</v>
      </c>
      <c r="AF516">
        <f t="shared" ref="AF516:AF579" si="114">AE516/$AI$1+1</f>
        <v>1.0460609142465753</v>
      </c>
      <c r="AG516" s="4">
        <f>(AE516-AE515)/(500000+AE515)-中国_中债国债到期收益率_1年!H516%/252</f>
        <v>8.6246178342743612E-4</v>
      </c>
      <c r="AH516" s="4">
        <f>MIN((AF516-MAX($AF$401:AF516))/MAX($AF$401:AF516),0)</f>
        <v>0</v>
      </c>
    </row>
    <row r="517" spans="1:34" x14ac:dyDescent="0.25">
      <c r="A517" s="8">
        <v>45463</v>
      </c>
      <c r="B517">
        <v>0</v>
      </c>
      <c r="C517">
        <v>30</v>
      </c>
      <c r="D517">
        <v>15</v>
      </c>
      <c r="E517">
        <v>5</v>
      </c>
      <c r="F517">
        <f t="shared" si="112"/>
        <v>50</v>
      </c>
      <c r="G517">
        <f t="shared" si="111"/>
        <v>0</v>
      </c>
      <c r="H517">
        <f t="shared" si="104"/>
        <v>150</v>
      </c>
      <c r="I517">
        <f t="shared" si="105"/>
        <v>135</v>
      </c>
      <c r="J517">
        <f t="shared" si="106"/>
        <v>80</v>
      </c>
      <c r="K517">
        <f t="shared" si="107"/>
        <v>365</v>
      </c>
      <c r="L517">
        <f>G517*Return!B517*100</f>
        <v>0</v>
      </c>
      <c r="M517">
        <f>H517*Return!C517*100</f>
        <v>497.99999999999847</v>
      </c>
      <c r="N517">
        <f>I517*Return!D517*100</f>
        <v>145.79999999999592</v>
      </c>
      <c r="O517">
        <f>J517*Return!E517*100</f>
        <v>72.000000000002728</v>
      </c>
      <c r="P517">
        <f t="shared" si="108"/>
        <v>715.79999999999711</v>
      </c>
      <c r="Q517">
        <f>SUM($P$400:P517)</f>
        <v>17684.349999999999</v>
      </c>
      <c r="R517">
        <f>B517*中国_中债国债到期收益率_1年!B516/365*100</f>
        <v>0</v>
      </c>
      <c r="S517">
        <f>C517*中国_中债国债到期收益率_1年!C516/365*100</f>
        <v>16.632328767123287</v>
      </c>
      <c r="T517">
        <f>D517*中国_中债国债到期收益率_1年!D516/365*100</f>
        <v>9.2173972602739731</v>
      </c>
      <c r="U517">
        <f>E517*中国_中债国债到期收益率_1年!E516/365*100</f>
        <v>3.3968493150684926</v>
      </c>
      <c r="V517">
        <f t="shared" si="109"/>
        <v>29.246575342465754</v>
      </c>
      <c r="W517">
        <f>SUM($V$400:V517)</f>
        <v>4015.2920547945196</v>
      </c>
      <c r="X517">
        <f>MAX(F517-50,0)*中国_中债国债到期收益率_1年!H517*100/365</f>
        <v>0</v>
      </c>
      <c r="Y517">
        <f>SUM($X$400:X517)</f>
        <v>330.43835616438366</v>
      </c>
      <c r="Z517">
        <v>-100</v>
      </c>
      <c r="AA517">
        <v>100</v>
      </c>
      <c r="AB517">
        <f>Z517*Return!F521*100</f>
        <v>-177.00000000000048</v>
      </c>
      <c r="AC517">
        <f>AA517*Return!G521*100</f>
        <v>235.00000000000077</v>
      </c>
      <c r="AD517">
        <f>SUM($AB$400:AB517)+SUM($AC$400:AC517)</f>
        <v>2464.3000000000147</v>
      </c>
      <c r="AE517">
        <f t="shared" si="113"/>
        <v>23833.503698630146</v>
      </c>
      <c r="AF517">
        <f t="shared" si="114"/>
        <v>1.0476670073972603</v>
      </c>
      <c r="AG517" s="4">
        <f>(AE517-AE516)/(500000+AE516)-中国_中债国债到期收益率_1年!H517%/252</f>
        <v>1.4599756646858416E-3</v>
      </c>
      <c r="AH517" s="4">
        <f>MIN((AF517-MAX($AF$401:AF517))/MAX($AF$401:AF517),0)</f>
        <v>0</v>
      </c>
    </row>
    <row r="518" spans="1:34" x14ac:dyDescent="0.25">
      <c r="A518" s="8">
        <v>45464</v>
      </c>
      <c r="B518">
        <v>0</v>
      </c>
      <c r="C518">
        <v>30</v>
      </c>
      <c r="D518">
        <v>15</v>
      </c>
      <c r="E518">
        <v>5</v>
      </c>
      <c r="F518">
        <f t="shared" si="112"/>
        <v>50</v>
      </c>
      <c r="G518">
        <f t="shared" si="111"/>
        <v>0</v>
      </c>
      <c r="H518">
        <f t="shared" si="104"/>
        <v>150</v>
      </c>
      <c r="I518">
        <f t="shared" si="105"/>
        <v>135</v>
      </c>
      <c r="J518">
        <f t="shared" si="106"/>
        <v>80</v>
      </c>
      <c r="K518">
        <f t="shared" si="107"/>
        <v>365</v>
      </c>
      <c r="L518">
        <f>G518*Return!B518*100</f>
        <v>0</v>
      </c>
      <c r="M518">
        <f>H518*Return!C518*100</f>
        <v>-79.500000000001236</v>
      </c>
      <c r="N518">
        <f>I518*Return!D518*100</f>
        <v>-21.599999999997621</v>
      </c>
      <c r="O518">
        <f>J518*Return!E518*100</f>
        <v>71.199999999997488</v>
      </c>
      <c r="P518">
        <f t="shared" si="108"/>
        <v>-29.90000000000137</v>
      </c>
      <c r="Q518">
        <f>SUM($P$400:P518)</f>
        <v>17654.449999999997</v>
      </c>
      <c r="R518">
        <f>B518*中国_中债国债到期收益率_1年!B517/365*100</f>
        <v>0</v>
      </c>
      <c r="S518">
        <f>C518*中国_中债国债到期收益率_1年!C517/365*100</f>
        <v>16.675890410958903</v>
      </c>
      <c r="T518">
        <f>D518*中国_中债国债到期收益率_1年!D517/365*100</f>
        <v>9.2239726027397246</v>
      </c>
      <c r="U518">
        <f>E518*中国_中债国债到期收益率_1年!E517/365*100</f>
        <v>3.3846575342465752</v>
      </c>
      <c r="V518">
        <f t="shared" si="109"/>
        <v>29.284520547945203</v>
      </c>
      <c r="W518">
        <f>SUM($V$400:V518)</f>
        <v>4044.5765753424648</v>
      </c>
      <c r="X518">
        <f>MAX(F518-50,0)*中国_中债国债到期收益率_1年!H518*100/365</f>
        <v>0</v>
      </c>
      <c r="Y518">
        <f>SUM($X$400:X518)</f>
        <v>330.43835616438366</v>
      </c>
      <c r="Z518">
        <v>-100</v>
      </c>
      <c r="AA518">
        <v>100</v>
      </c>
      <c r="AB518">
        <f>Z518*Return!F522*100</f>
        <v>40.999999999999929</v>
      </c>
      <c r="AC518">
        <f>AA518*Return!G522*100</f>
        <v>8.9999999999990088</v>
      </c>
      <c r="AD518">
        <f>SUM($AB$400:AB518)+SUM($AC$400:AC518)</f>
        <v>2514.3000000000138</v>
      </c>
      <c r="AE518">
        <f t="shared" si="113"/>
        <v>23882.88821917809</v>
      </c>
      <c r="AF518">
        <f t="shared" si="114"/>
        <v>1.0477657764383561</v>
      </c>
      <c r="AG518" s="4">
        <f>(AE518-AE517)/(500000+AE517)-中国_中债国债到期收益率_1年!H518%/252</f>
        <v>1.371966777257356E-5</v>
      </c>
      <c r="AH518" s="4">
        <f>MIN((AF518-MAX($AF$401:AF518))/MAX($AF$401:AF518),0)</f>
        <v>0</v>
      </c>
    </row>
    <row r="519" spans="1:34" x14ac:dyDescent="0.25">
      <c r="A519" s="8">
        <v>45467</v>
      </c>
      <c r="B519">
        <v>0</v>
      </c>
      <c r="C519">
        <v>30</v>
      </c>
      <c r="D519">
        <v>15</v>
      </c>
      <c r="E519">
        <v>5</v>
      </c>
      <c r="F519">
        <f t="shared" si="112"/>
        <v>50</v>
      </c>
      <c r="G519">
        <f t="shared" si="111"/>
        <v>0</v>
      </c>
      <c r="H519">
        <f t="shared" si="104"/>
        <v>150</v>
      </c>
      <c r="I519">
        <f t="shared" si="105"/>
        <v>135</v>
      </c>
      <c r="J519">
        <f t="shared" si="106"/>
        <v>80</v>
      </c>
      <c r="K519">
        <f t="shared" si="107"/>
        <v>365</v>
      </c>
      <c r="L519">
        <f>G519*Return!B519*100</f>
        <v>0</v>
      </c>
      <c r="M519">
        <f>H519*Return!C519*100</f>
        <v>-151.49999999999997</v>
      </c>
      <c r="N519">
        <f>I519*Return!D519*100</f>
        <v>-170.09999999999926</v>
      </c>
      <c r="O519">
        <f>J519*Return!E519*100</f>
        <v>-71.199999999997488</v>
      </c>
      <c r="P519">
        <f t="shared" si="108"/>
        <v>-392.79999999999671</v>
      </c>
      <c r="Q519">
        <f>SUM($P$400:P519)</f>
        <v>17261.650000000001</v>
      </c>
      <c r="R519">
        <f>B519*中国_中债国债到期收益率_1年!B518/365*100</f>
        <v>0</v>
      </c>
      <c r="S519">
        <f>C519*中国_中债国债到期收益率_1年!C518/365*100</f>
        <v>16.758904109589043</v>
      </c>
      <c r="T519">
        <f>D519*中国_中债国债到期收益率_1年!D518/365*100</f>
        <v>9.2757534246575339</v>
      </c>
      <c r="U519">
        <f>E519*中国_中债国债到期收益率_1年!E518/365*100</f>
        <v>3.3968493150684926</v>
      </c>
      <c r="V519">
        <f t="shared" si="109"/>
        <v>29.43150684931507</v>
      </c>
      <c r="W519">
        <f>SUM($V$400:V519)</f>
        <v>4074.00808219178</v>
      </c>
      <c r="X519">
        <f>MAX(F519-50,0)*中国_中债国债到期收益率_1年!H519*100/365</f>
        <v>0</v>
      </c>
      <c r="Y519">
        <f>SUM($X$400:X519)</f>
        <v>330.43835616438366</v>
      </c>
      <c r="Z519">
        <v>-100</v>
      </c>
      <c r="AA519">
        <v>100</v>
      </c>
      <c r="AB519">
        <f>Z519*Return!F523*100</f>
        <v>-167.99999999999926</v>
      </c>
      <c r="AC519">
        <f>AA519*Return!G523*100</f>
        <v>181.00000000000006</v>
      </c>
      <c r="AD519">
        <f>SUM($AB$400:AB519)+SUM($AC$400:AC519)</f>
        <v>2527.3000000000147</v>
      </c>
      <c r="AE519">
        <f t="shared" si="113"/>
        <v>23532.519726027411</v>
      </c>
      <c r="AF519">
        <f t="shared" si="114"/>
        <v>1.0470650394520549</v>
      </c>
      <c r="AG519" s="4">
        <f>(AE519-AE518)/(500000+AE518)-中国_中债国债到期收益率_1年!H519%/252</f>
        <v>-7.6204560285321693E-4</v>
      </c>
      <c r="AH519" s="4">
        <f>MIN((AF519-MAX($AF$401:AF519))/MAX($AF$401:AF519),0)</f>
        <v>-6.6879163459913731E-4</v>
      </c>
    </row>
    <row r="520" spans="1:34" x14ac:dyDescent="0.25">
      <c r="A520" s="8">
        <v>45468</v>
      </c>
      <c r="B520">
        <v>0</v>
      </c>
      <c r="C520">
        <v>30</v>
      </c>
      <c r="D520">
        <v>15</v>
      </c>
      <c r="E520">
        <v>5</v>
      </c>
      <c r="F520">
        <f t="shared" si="112"/>
        <v>50</v>
      </c>
      <c r="G520">
        <f t="shared" si="111"/>
        <v>0</v>
      </c>
      <c r="H520">
        <f t="shared" si="104"/>
        <v>150</v>
      </c>
      <c r="I520">
        <f t="shared" si="105"/>
        <v>135</v>
      </c>
      <c r="J520">
        <f t="shared" si="106"/>
        <v>80</v>
      </c>
      <c r="K520">
        <f t="shared" si="107"/>
        <v>365</v>
      </c>
      <c r="L520">
        <f>G520*Return!B520*100</f>
        <v>0</v>
      </c>
      <c r="M520">
        <f>H520*Return!C520*100</f>
        <v>202.50000000000102</v>
      </c>
      <c r="N520">
        <f>I520*Return!D520*100</f>
        <v>162.00000000000014</v>
      </c>
      <c r="O520">
        <f>J520*Return!E520*100</f>
        <v>151.99999999999747</v>
      </c>
      <c r="P520">
        <f t="shared" si="108"/>
        <v>516.49999999999864</v>
      </c>
      <c r="Q520">
        <f>SUM($P$400:P520)</f>
        <v>17778.150000000001</v>
      </c>
      <c r="R520">
        <f>B520*中国_中债国债到期收益率_1年!B519/365*100</f>
        <v>0</v>
      </c>
      <c r="S520">
        <f>C520*中国_中债国债到期收益率_1年!C519/365*100</f>
        <v>16.647945205479452</v>
      </c>
      <c r="T520">
        <f>D520*中国_中债国债到期收益率_1年!D519/365*100</f>
        <v>9.2264383561643832</v>
      </c>
      <c r="U520">
        <f>E520*中国_中债国债到期收益率_1年!E519/365*100</f>
        <v>3.370821917808219</v>
      </c>
      <c r="V520">
        <f t="shared" si="109"/>
        <v>29.245205479452054</v>
      </c>
      <c r="W520">
        <f>SUM($V$400:V520)</f>
        <v>4103.2532876712321</v>
      </c>
      <c r="X520">
        <f>MAX(F520-50,0)*中国_中债国债到期收益率_1年!H520*100/365</f>
        <v>0</v>
      </c>
      <c r="Y520">
        <f>SUM($X$400:X520)</f>
        <v>330.43835616438366</v>
      </c>
      <c r="Z520">
        <v>-100</v>
      </c>
      <c r="AA520">
        <v>100</v>
      </c>
      <c r="AB520">
        <f>Z520*Return!F524*100</f>
        <v>34.000000000000696</v>
      </c>
      <c r="AC520">
        <f>AA520*Return!G524*100</f>
        <v>-16.000000000000458</v>
      </c>
      <c r="AD520">
        <f>SUM($AB$400:AB520)+SUM($AC$400:AC520)</f>
        <v>2545.3000000000147</v>
      </c>
      <c r="AE520">
        <f t="shared" si="113"/>
        <v>24096.264931506863</v>
      </c>
      <c r="AF520">
        <f t="shared" si="114"/>
        <v>1.0481925298630137</v>
      </c>
      <c r="AG520" s="4">
        <f>(AE520-AE519)/(500000+AE519)-中国_中债国债到期收益率_1年!H520%/252</f>
        <v>9.8554045080994908E-4</v>
      </c>
      <c r="AH520" s="4">
        <f>MIN((AF520-MAX($AF$401:AF520))/MAX($AF$401:AF520),0)</f>
        <v>0</v>
      </c>
    </row>
    <row r="521" spans="1:34" x14ac:dyDescent="0.25">
      <c r="A521" s="8">
        <v>45469</v>
      </c>
      <c r="B521">
        <v>0</v>
      </c>
      <c r="C521">
        <v>30</v>
      </c>
      <c r="D521">
        <v>15</v>
      </c>
      <c r="E521">
        <v>5</v>
      </c>
      <c r="F521">
        <f t="shared" si="112"/>
        <v>50</v>
      </c>
      <c r="G521">
        <f t="shared" si="111"/>
        <v>0</v>
      </c>
      <c r="H521">
        <f t="shared" si="104"/>
        <v>150</v>
      </c>
      <c r="I521">
        <f t="shared" si="105"/>
        <v>135</v>
      </c>
      <c r="J521">
        <f t="shared" si="106"/>
        <v>80</v>
      </c>
      <c r="K521">
        <f t="shared" si="107"/>
        <v>365</v>
      </c>
      <c r="L521">
        <f>G521*Return!B521*100</f>
        <v>0</v>
      </c>
      <c r="M521">
        <f>H521*Return!C521*100</f>
        <v>144.00000000000412</v>
      </c>
      <c r="N521">
        <f>I521*Return!D521*100</f>
        <v>136.34999999999997</v>
      </c>
      <c r="O521">
        <f>J521*Return!E521*100</f>
        <v>103.9999999999992</v>
      </c>
      <c r="P521">
        <f t="shared" si="108"/>
        <v>384.35000000000332</v>
      </c>
      <c r="Q521">
        <f>SUM($P$400:P521)</f>
        <v>18162.500000000004</v>
      </c>
      <c r="R521">
        <f>B521*中国_中债国债到期收益率_1年!B520/365*100</f>
        <v>0</v>
      </c>
      <c r="S521">
        <f>C521*中国_中债国债到期收益率_1年!C520/365*100</f>
        <v>16.569041095890409</v>
      </c>
      <c r="T521">
        <f>D521*中国_中债国债到期收益率_1年!D520/365*100</f>
        <v>9.1849315068493134</v>
      </c>
      <c r="U521">
        <f>E521*中国_中债国债到期收益率_1年!E520/365*100</f>
        <v>3.3530136986301375</v>
      </c>
      <c r="V521">
        <f t="shared" si="109"/>
        <v>29.106986301369858</v>
      </c>
      <c r="W521">
        <f>SUM($V$400:V521)</f>
        <v>4132.360273972602</v>
      </c>
      <c r="X521">
        <f>MAX(F521-50,0)*中国_中债国债到期收益率_1年!H521*100/365</f>
        <v>0</v>
      </c>
      <c r="Y521">
        <f>SUM($X$400:X521)</f>
        <v>330.43835616438366</v>
      </c>
      <c r="Z521">
        <v>-100</v>
      </c>
      <c r="AA521">
        <v>100</v>
      </c>
      <c r="AB521">
        <f>Z521*Return!F525*100</f>
        <v>107.9999999999992</v>
      </c>
      <c r="AC521">
        <f>AA521*Return!G525*100</f>
        <v>-260.00000000000023</v>
      </c>
      <c r="AD521">
        <f>SUM($AB$400:AB521)+SUM($AC$400:AC521)</f>
        <v>2393.3000000000138</v>
      </c>
      <c r="AE521">
        <f t="shared" si="113"/>
        <v>24357.721917808234</v>
      </c>
      <c r="AF521">
        <f t="shared" si="114"/>
        <v>1.0487154438356165</v>
      </c>
      <c r="AG521" s="4">
        <f>(AE521-AE520)/(500000+AE520)-中国_中债国债到期收益率_1年!H521%/252</f>
        <v>4.0760222440981112E-4</v>
      </c>
      <c r="AH521" s="4">
        <f>MIN((AF521-MAX($AF$401:AF521))/MAX($AF$401:AF521),0)</f>
        <v>0</v>
      </c>
    </row>
    <row r="522" spans="1:34" x14ac:dyDescent="0.25">
      <c r="A522" s="8">
        <v>45470</v>
      </c>
      <c r="B522">
        <v>0</v>
      </c>
      <c r="C522">
        <v>30</v>
      </c>
      <c r="D522">
        <v>15</v>
      </c>
      <c r="E522">
        <v>5</v>
      </c>
      <c r="F522">
        <f t="shared" si="112"/>
        <v>50</v>
      </c>
      <c r="G522">
        <f t="shared" si="111"/>
        <v>0</v>
      </c>
      <c r="H522">
        <f t="shared" si="104"/>
        <v>150</v>
      </c>
      <c r="I522">
        <f t="shared" si="105"/>
        <v>135</v>
      </c>
      <c r="J522">
        <f t="shared" si="106"/>
        <v>80</v>
      </c>
      <c r="K522">
        <f t="shared" si="107"/>
        <v>365</v>
      </c>
      <c r="L522">
        <f>G522*Return!B522*100</f>
        <v>0</v>
      </c>
      <c r="M522">
        <f>H522*Return!C522*100</f>
        <v>257.99999999999824</v>
      </c>
      <c r="N522">
        <f>I522*Return!D522*100</f>
        <v>168.74999999999639</v>
      </c>
      <c r="O522">
        <f>J522*Return!E522*100</f>
        <v>28.000000000002245</v>
      </c>
      <c r="P522">
        <f t="shared" si="108"/>
        <v>454.74999999999693</v>
      </c>
      <c r="Q522">
        <f>SUM($P$400:P522)</f>
        <v>18617.25</v>
      </c>
      <c r="R522">
        <f>B522*中国_中债国债到期收益率_1年!B521/365*100</f>
        <v>0</v>
      </c>
      <c r="S522">
        <f>C522*中国_中债国债到期收益率_1年!C521/365*100</f>
        <v>16.427671232876712</v>
      </c>
      <c r="T522">
        <f>D522*中国_中债国债到期收益率_1年!D521/365*100</f>
        <v>9.133561643835618</v>
      </c>
      <c r="U522">
        <f>E522*中国_中债国债到期收益率_1年!E521/365*100</f>
        <v>3.3482191780821915</v>
      </c>
      <c r="V522">
        <f t="shared" si="109"/>
        <v>28.909452054794524</v>
      </c>
      <c r="W522">
        <f>SUM($V$400:V522)</f>
        <v>4161.2697260273962</v>
      </c>
      <c r="X522">
        <f>MAX(F522-50,0)*中国_中债国债到期收益率_1年!H522*100/365</f>
        <v>0</v>
      </c>
      <c r="Y522">
        <f>SUM($X$400:X522)</f>
        <v>330.43835616438366</v>
      </c>
      <c r="Z522">
        <v>-100</v>
      </c>
      <c r="AA522">
        <v>100</v>
      </c>
      <c r="AB522">
        <f>Z522*Return!F526*100</f>
        <v>55.000000000000604</v>
      </c>
      <c r="AC522">
        <f>AA522*Return!G526*100</f>
        <v>-23.999999999999577</v>
      </c>
      <c r="AD522">
        <f>SUM($AB$400:AB522)+SUM($AC$400:AC522)</f>
        <v>2424.3000000000147</v>
      </c>
      <c r="AE522">
        <f t="shared" si="113"/>
        <v>24872.381369863026</v>
      </c>
      <c r="AF522">
        <f t="shared" si="114"/>
        <v>1.0497447627397261</v>
      </c>
      <c r="AG522" s="4">
        <f>(AE522-AE521)/(500000+AE521)-中国_中债国债到期收益率_1年!H522%/252</f>
        <v>8.882505095907634E-4</v>
      </c>
      <c r="AH522" s="4">
        <f>MIN((AF522-MAX($AF$401:AF522))/MAX($AF$401:AF522),0)</f>
        <v>0</v>
      </c>
    </row>
    <row r="523" spans="1:34" x14ac:dyDescent="0.25">
      <c r="A523" s="8">
        <v>45471</v>
      </c>
      <c r="B523">
        <v>0</v>
      </c>
      <c r="C523">
        <v>30</v>
      </c>
      <c r="D523">
        <v>15</v>
      </c>
      <c r="E523">
        <v>5</v>
      </c>
      <c r="F523">
        <f t="shared" si="112"/>
        <v>50</v>
      </c>
      <c r="G523">
        <f t="shared" si="111"/>
        <v>0</v>
      </c>
      <c r="H523">
        <f t="shared" si="104"/>
        <v>150</v>
      </c>
      <c r="I523">
        <f t="shared" si="105"/>
        <v>135</v>
      </c>
      <c r="J523">
        <f t="shared" si="106"/>
        <v>80</v>
      </c>
      <c r="K523">
        <f t="shared" si="107"/>
        <v>365</v>
      </c>
      <c r="L523">
        <f>G523*Return!B523*100</f>
        <v>0</v>
      </c>
      <c r="M523">
        <f>H523*Return!C523*100</f>
        <v>326.99999999999727</v>
      </c>
      <c r="N523">
        <f>I523*Return!D523*100</f>
        <v>194.40000000000256</v>
      </c>
      <c r="O523">
        <f>J523*Return!E523*100</f>
        <v>128.00000000000011</v>
      </c>
      <c r="P523">
        <f t="shared" si="108"/>
        <v>649.4</v>
      </c>
      <c r="Q523">
        <f>SUM($P$400:P523)</f>
        <v>19266.650000000001</v>
      </c>
      <c r="R523">
        <f>B523*中国_中债国债到期收益率_1年!B522/365*100</f>
        <v>0</v>
      </c>
      <c r="S523">
        <f>C523*中国_中债国债到期收益率_1年!C522/365*100</f>
        <v>16.248493150684933</v>
      </c>
      <c r="T523">
        <f>D523*中国_中债国债到期收益率_1年!D522/365*100</f>
        <v>9.0743835616438346</v>
      </c>
      <c r="U523">
        <f>E523*中国_中债国债到期收益率_1年!E522/365*100</f>
        <v>3.3263013698630135</v>
      </c>
      <c r="V523">
        <f t="shared" si="109"/>
        <v>28.649178082191781</v>
      </c>
      <c r="W523">
        <f>SUM($V$400:V523)</f>
        <v>4189.9189041095879</v>
      </c>
      <c r="X523">
        <f>MAX(F523-50,0)*中国_中债国债到期收益率_1年!H523*100/365</f>
        <v>0</v>
      </c>
      <c r="Y523">
        <f>SUM($X$400:X523)</f>
        <v>330.43835616438366</v>
      </c>
      <c r="Z523">
        <v>-100</v>
      </c>
      <c r="AA523">
        <v>100</v>
      </c>
      <c r="AB523">
        <f>Z523*Return!F527*100</f>
        <v>8.9999999999990088</v>
      </c>
      <c r="AC523">
        <f>AA523*Return!G527*100</f>
        <v>150.00000000000125</v>
      </c>
      <c r="AD523">
        <f>SUM($AB$400:AB523)+SUM($AC$400:AC523)</f>
        <v>2583.3000000000156</v>
      </c>
      <c r="AE523">
        <f t="shared" si="113"/>
        <v>25709.430547945223</v>
      </c>
      <c r="AF523">
        <f t="shared" si="114"/>
        <v>1.0514188610958906</v>
      </c>
      <c r="AG523" s="4">
        <f>(AE523-AE522)/(500000+AE522)-中国_中债国债到期收益率_1年!H523%/252</f>
        <v>1.5034972064791471E-3</v>
      </c>
      <c r="AH523" s="4">
        <f>MIN((AF523-MAX($AF$401:AF523))/MAX($AF$401:AF523),0)</f>
        <v>0</v>
      </c>
    </row>
    <row r="524" spans="1:34" x14ac:dyDescent="0.25">
      <c r="A524" s="8">
        <v>45474</v>
      </c>
      <c r="B524">
        <v>0</v>
      </c>
      <c r="C524">
        <v>30</v>
      </c>
      <c r="D524">
        <v>15</v>
      </c>
      <c r="E524">
        <v>5</v>
      </c>
      <c r="F524">
        <f t="shared" si="112"/>
        <v>50</v>
      </c>
      <c r="G524">
        <f t="shared" si="111"/>
        <v>0</v>
      </c>
      <c r="H524">
        <f t="shared" si="104"/>
        <v>150</v>
      </c>
      <c r="I524">
        <f t="shared" si="105"/>
        <v>135</v>
      </c>
      <c r="J524">
        <f t="shared" si="106"/>
        <v>80</v>
      </c>
      <c r="K524">
        <f t="shared" si="107"/>
        <v>365</v>
      </c>
      <c r="L524">
        <f>G524*Return!B524*100</f>
        <v>0</v>
      </c>
      <c r="M524">
        <f>H524*Return!C524*100</f>
        <v>-19.499999999997854</v>
      </c>
      <c r="N524">
        <f>I524*Return!D524*100</f>
        <v>31.049999999999578</v>
      </c>
      <c r="O524">
        <f>J524*Return!E524*100</f>
        <v>0</v>
      </c>
      <c r="P524">
        <f t="shared" si="108"/>
        <v>11.550000000001724</v>
      </c>
      <c r="Q524">
        <f>SUM($P$400:P524)</f>
        <v>19278.200000000004</v>
      </c>
      <c r="R524">
        <f>B524*中国_中债国债到期收益率_1年!B523/365*100</f>
        <v>0</v>
      </c>
      <c r="S524">
        <f>C524*中国_中债国债到期收益率_1年!C523/365*100</f>
        <v>16.259178082191781</v>
      </c>
      <c r="T524">
        <f>D524*中国_中债国债到期收益率_1年!D523/365*100</f>
        <v>9.0649315068493159</v>
      </c>
      <c r="U524">
        <f>E524*中国_中债国债到期收益率_1年!E523/365*100</f>
        <v>3.3263013698630135</v>
      </c>
      <c r="V524">
        <f t="shared" si="109"/>
        <v>28.650410958904111</v>
      </c>
      <c r="W524">
        <f>SUM($V$400:V524)</f>
        <v>4218.569315068492</v>
      </c>
      <c r="X524">
        <f>MAX(F524-50,0)*中国_中债国债到期收益率_1年!H524*100/365</f>
        <v>0</v>
      </c>
      <c r="Y524">
        <f>SUM($X$400:X524)</f>
        <v>330.43835616438366</v>
      </c>
      <c r="Z524">
        <v>-100</v>
      </c>
      <c r="AA524">
        <v>100</v>
      </c>
      <c r="AB524">
        <f>Z524*Return!F528*100</f>
        <v>5.9999999999993392</v>
      </c>
      <c r="AC524">
        <f>AA524*Return!G528*100</f>
        <v>-102.99999999999976</v>
      </c>
      <c r="AD524">
        <f>SUM($AB$400:AB524)+SUM($AC$400:AC524)</f>
        <v>2486.3000000000152</v>
      </c>
      <c r="AE524">
        <f t="shared" si="113"/>
        <v>25652.630958904127</v>
      </c>
      <c r="AF524">
        <f t="shared" si="114"/>
        <v>1.0513052619178083</v>
      </c>
      <c r="AG524" s="4">
        <f>(AE524-AE523)/(500000+AE523)-中国_中债国债到期收益率_1年!H524%/252</f>
        <v>-1.8542464675009199E-4</v>
      </c>
      <c r="AH524" s="4">
        <f>MIN((AF524-MAX($AF$401:AF524))/MAX($AF$401:AF524),0)</f>
        <v>-1.080436943692325E-4</v>
      </c>
    </row>
    <row r="525" spans="1:34" x14ac:dyDescent="0.25">
      <c r="A525" s="8">
        <v>45475</v>
      </c>
      <c r="B525">
        <v>0</v>
      </c>
      <c r="C525">
        <v>30</v>
      </c>
      <c r="D525">
        <v>15</v>
      </c>
      <c r="E525">
        <v>5</v>
      </c>
      <c r="F525">
        <f t="shared" si="112"/>
        <v>50</v>
      </c>
      <c r="G525">
        <f t="shared" si="111"/>
        <v>0</v>
      </c>
      <c r="H525">
        <f t="shared" si="104"/>
        <v>150</v>
      </c>
      <c r="I525">
        <f t="shared" si="105"/>
        <v>135</v>
      </c>
      <c r="J525">
        <f t="shared" si="106"/>
        <v>80</v>
      </c>
      <c r="K525">
        <f t="shared" si="107"/>
        <v>365</v>
      </c>
      <c r="L525">
        <f>G525*Return!B525*100</f>
        <v>0</v>
      </c>
      <c r="M525">
        <f>H525*Return!C525*100</f>
        <v>-627.0000000000008</v>
      </c>
      <c r="N525">
        <f>I525*Return!D525*100</f>
        <v>-577.80000000000234</v>
      </c>
      <c r="O525">
        <f>J525*Return!E525*100</f>
        <v>-400.00000000000216</v>
      </c>
      <c r="P525">
        <f t="shared" si="108"/>
        <v>-1604.8000000000052</v>
      </c>
      <c r="Q525">
        <f>SUM($P$400:P525)</f>
        <v>17673.399999999998</v>
      </c>
      <c r="R525">
        <f>B525*中国_中债国债到期收益率_1年!B524/365*100</f>
        <v>0</v>
      </c>
      <c r="S525">
        <f>C525*中国_中债国债到期收益率_1年!C524/365*100</f>
        <v>16.602739726027398</v>
      </c>
      <c r="T525">
        <f>D525*中国_中债国债到期收益率_1年!D524/365*100</f>
        <v>9.2408219178082192</v>
      </c>
      <c r="U525">
        <f>E525*中国_中债国债到期收益率_1年!E524/365*100</f>
        <v>3.3947945205479462</v>
      </c>
      <c r="V525">
        <f t="shared" si="109"/>
        <v>29.238356164383564</v>
      </c>
      <c r="W525">
        <f>SUM($V$400:V525)</f>
        <v>4247.8076712328757</v>
      </c>
      <c r="X525">
        <f>MAX(F525-50,0)*中国_中债国债到期收益率_1年!H525*100/365</f>
        <v>0</v>
      </c>
      <c r="Y525">
        <f>SUM($X$400:X525)</f>
        <v>330.43835616438366</v>
      </c>
      <c r="Z525">
        <v>-100</v>
      </c>
      <c r="AA525">
        <v>100</v>
      </c>
      <c r="AB525">
        <f>Z525*Return!F529*100</f>
        <v>145.00000000000179</v>
      </c>
      <c r="AC525">
        <f>AA525*Return!G529*100</f>
        <v>-204.99999999999963</v>
      </c>
      <c r="AD525">
        <f>SUM($AB$400:AB525)+SUM($AC$400:AC525)</f>
        <v>2426.3000000000175</v>
      </c>
      <c r="AE525">
        <f t="shared" si="113"/>
        <v>24017.069315068507</v>
      </c>
      <c r="AF525">
        <f t="shared" si="114"/>
        <v>1.0480341386301371</v>
      </c>
      <c r="AG525" s="4">
        <f>(AE525-AE524)/(500000+AE524)-中国_中债国债到期收益率_1年!H525%/252</f>
        <v>-3.1849002997436397E-3</v>
      </c>
      <c r="AH525" s="4">
        <f>MIN((AF525-MAX($AF$401:AF525))/MAX($AF$401:AF525),0)</f>
        <v>-3.2191951190847124E-3</v>
      </c>
    </row>
    <row r="526" spans="1:34" x14ac:dyDescent="0.25">
      <c r="A526" s="8">
        <v>45476</v>
      </c>
      <c r="B526">
        <v>0</v>
      </c>
      <c r="C526">
        <v>30</v>
      </c>
      <c r="D526">
        <v>15</v>
      </c>
      <c r="E526">
        <v>5</v>
      </c>
      <c r="F526">
        <f t="shared" si="112"/>
        <v>50</v>
      </c>
      <c r="G526">
        <f t="shared" si="111"/>
        <v>0</v>
      </c>
      <c r="H526">
        <f t="shared" si="104"/>
        <v>150</v>
      </c>
      <c r="I526">
        <f t="shared" si="105"/>
        <v>135</v>
      </c>
      <c r="J526">
        <f t="shared" si="106"/>
        <v>80</v>
      </c>
      <c r="K526">
        <f t="shared" si="107"/>
        <v>365</v>
      </c>
      <c r="L526">
        <f>G526*Return!B526*100</f>
        <v>0</v>
      </c>
      <c r="M526">
        <f>H526*Return!C526*100</f>
        <v>487.49999999999966</v>
      </c>
      <c r="N526">
        <f>I526*Return!D526*100</f>
        <v>157.9500000000036</v>
      </c>
      <c r="O526">
        <f>J526*Return!E526*100</f>
        <v>72.000000000002728</v>
      </c>
      <c r="P526">
        <f t="shared" si="108"/>
        <v>717.45000000000596</v>
      </c>
      <c r="Q526">
        <f>SUM($P$400:P526)</f>
        <v>18390.850000000002</v>
      </c>
      <c r="R526">
        <f>B526*中国_中债国债到期收益率_1年!B525/365*100</f>
        <v>0</v>
      </c>
      <c r="S526">
        <f>C526*中国_中债国债到期收益率_1年!C525/365*100</f>
        <v>16.335616438356166</v>
      </c>
      <c r="T526">
        <f>D526*中国_中债国债到期收益率_1年!D525/365*100</f>
        <v>9.1927397260273978</v>
      </c>
      <c r="U526">
        <f>E526*中国_中债国债到期收益率_1年!E525/365*100</f>
        <v>3.3824657534246581</v>
      </c>
      <c r="V526">
        <f t="shared" si="109"/>
        <v>28.910821917808221</v>
      </c>
      <c r="W526">
        <f>SUM($V$400:V526)</f>
        <v>4276.7184931506836</v>
      </c>
      <c r="X526">
        <f>MAX(F526-50,0)*中国_中债国债到期收益率_1年!H526*100/365</f>
        <v>0</v>
      </c>
      <c r="Y526">
        <f>SUM($X$400:X526)</f>
        <v>330.43835616438366</v>
      </c>
      <c r="Z526">
        <v>-100</v>
      </c>
      <c r="AA526">
        <v>100</v>
      </c>
      <c r="AB526">
        <f>Z526*Return!F530*100</f>
        <v>252.99999999999878</v>
      </c>
      <c r="AC526">
        <f>AA526*Return!G530*100</f>
        <v>-388.00000000000171</v>
      </c>
      <c r="AD526">
        <f>SUM($AB$400:AB526)+SUM($AC$400:AC526)</f>
        <v>2291.3000000000147</v>
      </c>
      <c r="AE526">
        <f t="shared" si="113"/>
        <v>24628.430136986313</v>
      </c>
      <c r="AF526">
        <f t="shared" si="114"/>
        <v>1.0492568602739727</v>
      </c>
      <c r="AG526" s="4">
        <f>(AE526-AE525)/(500000+AE525)-中国_中债国债到期收益率_1年!H526%/252</f>
        <v>1.0932684227135704E-3</v>
      </c>
      <c r="AH526" s="4">
        <f>MIN((AF526-MAX($AF$401:AF526))/MAX($AF$401:AF526),0)</f>
        <v>-2.0562697721290806E-3</v>
      </c>
    </row>
    <row r="527" spans="1:34" x14ac:dyDescent="0.25">
      <c r="A527" s="8">
        <v>45477</v>
      </c>
      <c r="B527">
        <v>0</v>
      </c>
      <c r="C527">
        <v>30</v>
      </c>
      <c r="D527">
        <v>15</v>
      </c>
      <c r="E527">
        <v>5</v>
      </c>
      <c r="F527">
        <f t="shared" si="112"/>
        <v>50</v>
      </c>
      <c r="G527">
        <f t="shared" si="111"/>
        <v>0</v>
      </c>
      <c r="H527">
        <f t="shared" si="104"/>
        <v>150</v>
      </c>
      <c r="I527">
        <f t="shared" si="105"/>
        <v>135</v>
      </c>
      <c r="J527">
        <f t="shared" si="106"/>
        <v>80</v>
      </c>
      <c r="K527">
        <f t="shared" si="107"/>
        <v>365</v>
      </c>
      <c r="L527">
        <f>G527*Return!B527*100</f>
        <v>0</v>
      </c>
      <c r="M527">
        <f>H527*Return!C527*100</f>
        <v>428.99999999999937</v>
      </c>
      <c r="N527">
        <f>I527*Return!D527*100</f>
        <v>-76.950000000000514</v>
      </c>
      <c r="O527">
        <f>J527*Return!E527*100</f>
        <v>-36.800000000003052</v>
      </c>
      <c r="P527">
        <f t="shared" si="108"/>
        <v>315.24999999999579</v>
      </c>
      <c r="Q527">
        <f>SUM($P$400:P527)</f>
        <v>18706.099999999999</v>
      </c>
      <c r="R527">
        <f>B527*中国_中债国债到期收益率_1年!B526/365*100</f>
        <v>0</v>
      </c>
      <c r="S527">
        <f>C527*中国_中债国债到期收益率_1年!C526/365*100</f>
        <v>16.100547945205477</v>
      </c>
      <c r="T527">
        <f>D527*中国_中债国债到期收益率_1年!D526/365*100</f>
        <v>9.216164383561642</v>
      </c>
      <c r="U527">
        <f>E527*中国_中债国债到期收益率_1年!E526/365*100</f>
        <v>3.3887671232876717</v>
      </c>
      <c r="V527">
        <f t="shared" si="109"/>
        <v>28.705479452054789</v>
      </c>
      <c r="W527">
        <f>SUM($V$400:V527)</f>
        <v>4305.4239726027381</v>
      </c>
      <c r="X527">
        <f>MAX(F527-50,0)*中国_中债国债到期收益率_1年!H527*100/365</f>
        <v>0</v>
      </c>
      <c r="Y527">
        <f>SUM($X$400:X527)</f>
        <v>330.43835616438366</v>
      </c>
      <c r="Z527">
        <v>-100</v>
      </c>
      <c r="AA527">
        <v>100</v>
      </c>
      <c r="AB527">
        <f>Z527*Return!F531*100</f>
        <v>-189.99999999999906</v>
      </c>
      <c r="AC527">
        <f>AA527*Return!G531*100</f>
        <v>312.99999999999886</v>
      </c>
      <c r="AD527">
        <f>SUM($AB$400:AB527)+SUM($AC$400:AC527)</f>
        <v>2414.3000000000147</v>
      </c>
      <c r="AE527">
        <f t="shared" si="113"/>
        <v>25095.385616438365</v>
      </c>
      <c r="AF527">
        <f t="shared" si="114"/>
        <v>1.0501907712328766</v>
      </c>
      <c r="AG527" s="4">
        <f>(AE527-AE526)/(500000+AE526)-中国_中债国债到期收益率_1年!H527%/252</f>
        <v>8.1744990905210447E-4</v>
      </c>
      <c r="AH527" s="4">
        <f>MIN((AF527-MAX($AF$401:AF527))/MAX($AF$401:AF527),0)</f>
        <v>-1.1680310373487991E-3</v>
      </c>
    </row>
    <row r="528" spans="1:34" x14ac:dyDescent="0.25">
      <c r="A528" s="8">
        <v>45478</v>
      </c>
      <c r="B528">
        <v>0</v>
      </c>
      <c r="C528">
        <v>30</v>
      </c>
      <c r="D528">
        <v>15</v>
      </c>
      <c r="E528">
        <v>5</v>
      </c>
      <c r="F528">
        <f t="shared" si="112"/>
        <v>50</v>
      </c>
      <c r="G528">
        <f t="shared" si="111"/>
        <v>0</v>
      </c>
      <c r="H528">
        <f t="shared" si="104"/>
        <v>150</v>
      </c>
      <c r="I528">
        <f t="shared" si="105"/>
        <v>135</v>
      </c>
      <c r="J528">
        <f t="shared" si="106"/>
        <v>80</v>
      </c>
      <c r="K528">
        <f t="shared" si="107"/>
        <v>365</v>
      </c>
      <c r="L528">
        <f>G528*Return!B528*100</f>
        <v>0</v>
      </c>
      <c r="M528">
        <f>H528*Return!C528*100</f>
        <v>-182.99999999999983</v>
      </c>
      <c r="N528">
        <f>I528*Return!D528*100</f>
        <v>-102.60000000000069</v>
      </c>
      <c r="O528">
        <f>J528*Return!E528*100</f>
        <v>-47.999999999998266</v>
      </c>
      <c r="P528">
        <f t="shared" si="108"/>
        <v>-333.59999999999877</v>
      </c>
      <c r="Q528">
        <f>SUM($P$400:P528)</f>
        <v>18372.5</v>
      </c>
      <c r="R528">
        <f>B528*中国_中债国债到期收益率_1年!B527/365*100</f>
        <v>0</v>
      </c>
      <c r="S528">
        <f>C528*中国_中债国债到期收益率_1年!C527/365*100</f>
        <v>16.20082191780822</v>
      </c>
      <c r="T528">
        <f>D528*中国_中债国债到期收益率_1年!D527/365*100</f>
        <v>9.2473972602739725</v>
      </c>
      <c r="U528">
        <f>E528*中国_中债国债到期收益率_1年!E527/365*100</f>
        <v>3.3969863013698633</v>
      </c>
      <c r="V528">
        <f t="shared" si="109"/>
        <v>28.845205479452055</v>
      </c>
      <c r="W528">
        <f>SUM($V$400:V528)</f>
        <v>4334.2691780821906</v>
      </c>
      <c r="X528">
        <f>MAX(F528-50,0)*中国_中债国债到期收益率_1年!H528*100/365</f>
        <v>0</v>
      </c>
      <c r="Y528">
        <f>SUM($X$400:X528)</f>
        <v>330.43835616438366</v>
      </c>
      <c r="Z528">
        <v>-100</v>
      </c>
      <c r="AA528">
        <v>100</v>
      </c>
      <c r="AB528">
        <f>Z528*Return!F532*100</f>
        <v>-90.000000000001194</v>
      </c>
      <c r="AC528">
        <f>AA528*Return!G532*100</f>
        <v>100.0000000000023</v>
      </c>
      <c r="AD528">
        <f>SUM($AB$400:AB528)+SUM($AC$400:AC528)</f>
        <v>2424.3000000000156</v>
      </c>
      <c r="AE528">
        <f t="shared" si="113"/>
        <v>24800.630821917825</v>
      </c>
      <c r="AF528">
        <f t="shared" si="114"/>
        <v>1.0496012616438357</v>
      </c>
      <c r="AG528" s="4">
        <f>(AE528-AE527)/(500000+AE527)-中国_中债国债到期收益率_1年!H528%/252</f>
        <v>-6.3474841492163663E-4</v>
      </c>
      <c r="AH528" s="4">
        <f>MIN((AF528-MAX($AF$401:AF528))/MAX($AF$401:AF528),0)</f>
        <v>-1.7287110963183244E-3</v>
      </c>
    </row>
    <row r="529" spans="1:34" x14ac:dyDescent="0.25">
      <c r="A529" s="8">
        <v>45481</v>
      </c>
      <c r="B529">
        <v>0</v>
      </c>
      <c r="C529">
        <v>30</v>
      </c>
      <c r="D529">
        <v>15</v>
      </c>
      <c r="E529">
        <v>5</v>
      </c>
      <c r="F529">
        <f t="shared" si="112"/>
        <v>50</v>
      </c>
      <c r="G529">
        <f t="shared" si="111"/>
        <v>0</v>
      </c>
      <c r="H529">
        <f t="shared" si="104"/>
        <v>150</v>
      </c>
      <c r="I529">
        <f t="shared" si="105"/>
        <v>135</v>
      </c>
      <c r="J529">
        <f t="shared" si="106"/>
        <v>80</v>
      </c>
      <c r="K529">
        <f t="shared" si="107"/>
        <v>365</v>
      </c>
      <c r="L529">
        <f>G529*Return!B529*100</f>
        <v>0</v>
      </c>
      <c r="M529">
        <f>H529*Return!C529*100</f>
        <v>-425.99999999999972</v>
      </c>
      <c r="N529">
        <f>I529*Return!D529*100</f>
        <v>-340.19999999999851</v>
      </c>
      <c r="O529">
        <f>J529*Return!E529*100</f>
        <v>-265.59999999999917</v>
      </c>
      <c r="P529">
        <f t="shared" si="108"/>
        <v>-1031.7999999999975</v>
      </c>
      <c r="Q529">
        <f>SUM($P$400:P529)</f>
        <v>17340.700000000004</v>
      </c>
      <c r="R529">
        <f>B529*中国_中债国债到期收益率_1年!B528/365*100</f>
        <v>0</v>
      </c>
      <c r="S529">
        <f>C529*中国_中债国债到期收益率_1年!C528/365*100</f>
        <v>16.434246575342463</v>
      </c>
      <c r="T529">
        <f>D529*中国_中债国债到期收益率_1年!D528/365*100</f>
        <v>9.3509589041095893</v>
      </c>
      <c r="U529">
        <f>E529*中国_中债国债到期收益率_1年!E528/365*100</f>
        <v>3.4424657534246577</v>
      </c>
      <c r="V529">
        <f t="shared" si="109"/>
        <v>29.227671232876709</v>
      </c>
      <c r="W529">
        <f>SUM($V$400:V529)</f>
        <v>4363.4968493150673</v>
      </c>
      <c r="X529">
        <f>MAX(F529-50,0)*中国_中债国债到期收益率_1年!H529*100/365</f>
        <v>0</v>
      </c>
      <c r="Y529">
        <f>SUM($X$400:X529)</f>
        <v>330.43835616438366</v>
      </c>
      <c r="Z529">
        <v>-100</v>
      </c>
      <c r="AA529">
        <v>100</v>
      </c>
      <c r="AB529">
        <f>Z529*Return!F533*100</f>
        <v>-103.99999999999964</v>
      </c>
      <c r="AC529">
        <f>AA529*Return!G533*100</f>
        <v>121</v>
      </c>
      <c r="AD529">
        <f>SUM($AB$400:AB529)+SUM($AC$400:AC529)</f>
        <v>2441.3000000000161</v>
      </c>
      <c r="AE529">
        <f t="shared" si="113"/>
        <v>23815.058493150704</v>
      </c>
      <c r="AF529">
        <f t="shared" si="114"/>
        <v>1.0476301169863014</v>
      </c>
      <c r="AG529" s="4">
        <f>(AE529-AE528)/(500000+AE528)-中国_中债国债到期收益率_1年!H529%/252</f>
        <v>-1.9522001451047349E-3</v>
      </c>
      <c r="AH529" s="4">
        <f>MIN((AF529-MAX($AF$401:AF529))/MAX($AF$401:AF529),0)</f>
        <v>-3.6034583835030175E-3</v>
      </c>
    </row>
    <row r="530" spans="1:34" x14ac:dyDescent="0.25">
      <c r="A530" s="8">
        <v>45482</v>
      </c>
      <c r="B530">
        <v>0</v>
      </c>
      <c r="C530">
        <v>30</v>
      </c>
      <c r="D530">
        <v>15</v>
      </c>
      <c r="E530">
        <v>5</v>
      </c>
      <c r="F530">
        <f t="shared" si="112"/>
        <v>50</v>
      </c>
      <c r="G530">
        <f t="shared" si="111"/>
        <v>0</v>
      </c>
      <c r="H530">
        <f t="shared" si="104"/>
        <v>150</v>
      </c>
      <c r="I530">
        <f t="shared" si="105"/>
        <v>135</v>
      </c>
      <c r="J530">
        <f t="shared" si="106"/>
        <v>80</v>
      </c>
      <c r="K530">
        <f t="shared" si="107"/>
        <v>365</v>
      </c>
      <c r="L530">
        <f>G530*Return!B530*100</f>
        <v>0</v>
      </c>
      <c r="M530">
        <f>H530*Return!C530*100</f>
        <v>-527.99999999999852</v>
      </c>
      <c r="N530">
        <f>I530*Return!D530*100</f>
        <v>-202.50000000000168</v>
      </c>
      <c r="O530">
        <f>J530*Return!E530*100</f>
        <v>-60.000000000002274</v>
      </c>
      <c r="P530">
        <f t="shared" si="108"/>
        <v>-790.5000000000025</v>
      </c>
      <c r="Q530">
        <f>SUM($P$400:P530)</f>
        <v>16550.2</v>
      </c>
      <c r="R530">
        <f>B530*中国_中债国债到期收益率_1年!B529/365*100</f>
        <v>0</v>
      </c>
      <c r="S530">
        <f>C530*中国_中债国债到期收益率_1年!C529/365*100</f>
        <v>16.723561643835616</v>
      </c>
      <c r="T530">
        <f>D530*中国_中债国债到期收益率_1年!D529/365*100</f>
        <v>9.4126027397260277</v>
      </c>
      <c r="U530">
        <f>E530*中国_中债国债到期收益率_1年!E529/365*100</f>
        <v>3.4527397260273975</v>
      </c>
      <c r="V530">
        <f t="shared" si="109"/>
        <v>29.588904109589038</v>
      </c>
      <c r="W530">
        <f>SUM($V$400:V530)</f>
        <v>4393.0857534246561</v>
      </c>
      <c r="X530">
        <f>MAX(F530-50,0)*中国_中债国债到期收益率_1年!H530*100/365</f>
        <v>0</v>
      </c>
      <c r="Y530">
        <f>SUM($X$400:X530)</f>
        <v>330.43835616438366</v>
      </c>
      <c r="Z530">
        <v>-100</v>
      </c>
      <c r="AA530">
        <v>100</v>
      </c>
      <c r="AB530">
        <f>Z530*Return!F534*100</f>
        <v>-110.99999999999888</v>
      </c>
      <c r="AC530">
        <f>AA530*Return!G534*100</f>
        <v>166.99999999999937</v>
      </c>
      <c r="AD530">
        <f>SUM($AB$400:AB530)+SUM($AC$400:AC530)</f>
        <v>2497.3000000000166</v>
      </c>
      <c r="AE530">
        <f t="shared" si="113"/>
        <v>23110.147397260291</v>
      </c>
      <c r="AF530">
        <f t="shared" si="114"/>
        <v>1.0462202947945205</v>
      </c>
      <c r="AG530" s="4">
        <f>(AE530-AE529)/(500000+AE529)-中国_中债国债到期收益率_1年!H530%/252</f>
        <v>-1.4199314948679076E-3</v>
      </c>
      <c r="AH530" s="4">
        <f>MIN((AF530-MAX($AF$401:AF530))/MAX($AF$401:AF530),0)</f>
        <v>-4.9443342646065969E-3</v>
      </c>
    </row>
    <row r="531" spans="1:34" x14ac:dyDescent="0.25">
      <c r="A531" s="8">
        <v>45483</v>
      </c>
      <c r="B531">
        <v>0</v>
      </c>
      <c r="C531">
        <v>30</v>
      </c>
      <c r="D531">
        <v>15</v>
      </c>
      <c r="E531">
        <v>5</v>
      </c>
      <c r="F531">
        <f t="shared" si="112"/>
        <v>50</v>
      </c>
      <c r="G531">
        <f t="shared" si="111"/>
        <v>0</v>
      </c>
      <c r="H531">
        <f t="shared" si="104"/>
        <v>150</v>
      </c>
      <c r="I531">
        <f t="shared" si="105"/>
        <v>135</v>
      </c>
      <c r="J531">
        <f t="shared" si="106"/>
        <v>80</v>
      </c>
      <c r="K531">
        <f t="shared" si="107"/>
        <v>365</v>
      </c>
      <c r="L531">
        <f>G531*Return!B531*100</f>
        <v>0</v>
      </c>
      <c r="M531">
        <f>H531*Return!C531*100</f>
        <v>409.49999999999818</v>
      </c>
      <c r="N531">
        <f>I531*Return!D531*100</f>
        <v>278.09999999999934</v>
      </c>
      <c r="O531">
        <f>J531*Return!E531*100</f>
        <v>150.4000000000012</v>
      </c>
      <c r="P531">
        <f t="shared" si="108"/>
        <v>837.99999999999875</v>
      </c>
      <c r="Q531">
        <f>SUM($P$400:P531)</f>
        <v>17388.2</v>
      </c>
      <c r="R531">
        <f>B531*中国_中债国债到期收益率_1年!B530/365*100</f>
        <v>0</v>
      </c>
      <c r="S531">
        <f>C531*中国_中债国债到期收益率_1年!C530/365*100</f>
        <v>16.499178082191783</v>
      </c>
      <c r="T531">
        <f>D531*中国_中债国债到期收益率_1年!D530/365*100</f>
        <v>9.3279452054794518</v>
      </c>
      <c r="U531">
        <f>E531*中国_中债国债到期收益率_1年!E530/365*100</f>
        <v>3.4269863013698632</v>
      </c>
      <c r="V531">
        <f t="shared" si="109"/>
        <v>29.254109589041096</v>
      </c>
      <c r="W531">
        <f>SUM($V$400:V531)</f>
        <v>4422.3398630136971</v>
      </c>
      <c r="X531">
        <f>MAX(F531-50,0)*中国_中债国债到期收益率_1年!H531*100/365</f>
        <v>0</v>
      </c>
      <c r="Y531">
        <f>SUM($X$400:X531)</f>
        <v>330.43835616438366</v>
      </c>
      <c r="Z531">
        <v>-100</v>
      </c>
      <c r="AA531">
        <v>100</v>
      </c>
      <c r="AB531">
        <f>Z531*Return!F535*100</f>
        <v>48.999999999999048</v>
      </c>
      <c r="AC531">
        <f>AA531*Return!G535*100</f>
        <v>21.999999999999797</v>
      </c>
      <c r="AD531">
        <f>SUM($AB$400:AB531)+SUM($AC$400:AC531)</f>
        <v>2568.3000000000156</v>
      </c>
      <c r="AE531">
        <f t="shared" si="113"/>
        <v>24048.401506849332</v>
      </c>
      <c r="AF531">
        <f t="shared" si="114"/>
        <v>1.0480968030136986</v>
      </c>
      <c r="AG531" s="4">
        <f>(AE531-AE530)/(500000+AE530)-中国_中债国债到期收益率_1年!H531%/252</f>
        <v>1.7201944687534015E-3</v>
      </c>
      <c r="AH531" s="4">
        <f>MIN((AF531-MAX($AF$401:AF531))/MAX($AF$401:AF531),0)</f>
        <v>-3.1595952908143776E-3</v>
      </c>
    </row>
    <row r="532" spans="1:34" x14ac:dyDescent="0.25">
      <c r="A532" s="8">
        <v>45484</v>
      </c>
      <c r="B532">
        <v>0</v>
      </c>
      <c r="C532">
        <v>30</v>
      </c>
      <c r="D532">
        <v>15</v>
      </c>
      <c r="E532">
        <v>5</v>
      </c>
      <c r="F532">
        <f t="shared" si="112"/>
        <v>50</v>
      </c>
      <c r="G532">
        <f t="shared" si="111"/>
        <v>0</v>
      </c>
      <c r="H532">
        <f t="shared" si="104"/>
        <v>150</v>
      </c>
      <c r="I532">
        <f t="shared" si="105"/>
        <v>135</v>
      </c>
      <c r="J532">
        <f t="shared" si="106"/>
        <v>80</v>
      </c>
      <c r="K532">
        <f t="shared" si="107"/>
        <v>365</v>
      </c>
      <c r="L532">
        <f>G532*Return!B532*100</f>
        <v>0</v>
      </c>
      <c r="M532">
        <f>H532*Return!C532*100</f>
        <v>-85.500000000000568</v>
      </c>
      <c r="N532">
        <f>I532*Return!D532*100</f>
        <v>-12.150000000001659</v>
      </c>
      <c r="O532">
        <f>J532*Return!E532*100</f>
        <v>-40.800000000000836</v>
      </c>
      <c r="P532">
        <f t="shared" si="108"/>
        <v>-138.45000000000306</v>
      </c>
      <c r="Q532">
        <f>SUM($P$400:P532)</f>
        <v>17249.749999999996</v>
      </c>
      <c r="R532">
        <f>B532*中国_中债国债到期收益率_1年!B531/365*100</f>
        <v>0</v>
      </c>
      <c r="S532">
        <f>C532*中国_中债国债到期收益率_1年!C531/365*100</f>
        <v>16.546027397260275</v>
      </c>
      <c r="T532">
        <f>D532*中国_中债国债到期收益率_1年!D531/365*100</f>
        <v>9.3316438356164397</v>
      </c>
      <c r="U532">
        <f>E532*中国_中债国债到期收益率_1年!E531/365*100</f>
        <v>3.4339726027397259</v>
      </c>
      <c r="V532">
        <f t="shared" si="109"/>
        <v>29.31164383561644</v>
      </c>
      <c r="W532">
        <f>SUM($V$400:V532)</f>
        <v>4451.6515068493136</v>
      </c>
      <c r="X532">
        <f>MAX(F532-50,0)*中国_中债国债到期收益率_1年!H532*100/365</f>
        <v>0</v>
      </c>
      <c r="Y532">
        <f>SUM($X$400:X532)</f>
        <v>330.43835616438366</v>
      </c>
      <c r="Z532">
        <v>-100</v>
      </c>
      <c r="AA532">
        <v>100</v>
      </c>
      <c r="AB532">
        <f>Z532*Return!F536*100</f>
        <v>39.000000000000142</v>
      </c>
      <c r="AC532">
        <f>AA532*Return!G536*100</f>
        <v>-88.999999999999076</v>
      </c>
      <c r="AD532">
        <f>SUM($AB$400:AB532)+SUM($AC$400:AC532)</f>
        <v>2518.300000000017</v>
      </c>
      <c r="AE532">
        <f t="shared" si="113"/>
        <v>23889.263150684943</v>
      </c>
      <c r="AF532">
        <f t="shared" si="114"/>
        <v>1.0477785263013699</v>
      </c>
      <c r="AG532" s="4">
        <f>(AE532-AE531)/(500000+AE531)-中国_中债国债到期收益率_1年!H532%/252</f>
        <v>-3.7629015072097914E-4</v>
      </c>
      <c r="AH532" s="4">
        <f>MIN((AF532-MAX($AF$401:AF532))/MAX($AF$401:AF532),0)</f>
        <v>-3.4623069161288673E-3</v>
      </c>
    </row>
    <row r="533" spans="1:34" x14ac:dyDescent="0.25">
      <c r="A533" s="8">
        <v>45485</v>
      </c>
      <c r="B533">
        <v>0</v>
      </c>
      <c r="C533">
        <v>30</v>
      </c>
      <c r="D533">
        <v>15</v>
      </c>
      <c r="E533">
        <v>5</v>
      </c>
      <c r="F533">
        <f t="shared" si="112"/>
        <v>50</v>
      </c>
      <c r="G533">
        <f t="shared" si="111"/>
        <v>0</v>
      </c>
      <c r="H533">
        <f t="shared" si="104"/>
        <v>150</v>
      </c>
      <c r="I533">
        <f t="shared" si="105"/>
        <v>135</v>
      </c>
      <c r="J533">
        <f t="shared" si="106"/>
        <v>80</v>
      </c>
      <c r="K533">
        <f t="shared" si="107"/>
        <v>365</v>
      </c>
      <c r="L533">
        <f>G533*Return!B533*100</f>
        <v>0</v>
      </c>
      <c r="M533">
        <f>H533*Return!C533*100</f>
        <v>100.49999999999892</v>
      </c>
      <c r="N533">
        <f>I533*Return!D533*100</f>
        <v>79.650000000000219</v>
      </c>
      <c r="O533">
        <f>J533*Return!E533*100</f>
        <v>34.40000000000154</v>
      </c>
      <c r="P533">
        <f t="shared" si="108"/>
        <v>214.55000000000067</v>
      </c>
      <c r="Q533">
        <f>SUM($P$400:P533)</f>
        <v>17464.299999999996</v>
      </c>
      <c r="R533">
        <f>B533*中国_中债国债到期收益率_1年!B532/365*100</f>
        <v>0</v>
      </c>
      <c r="S533">
        <f>C533*中国_中债国债到期收益率_1年!C532/365*100</f>
        <v>16.49095890410959</v>
      </c>
      <c r="T533">
        <f>D533*中国_中债国债到期收益率_1年!D532/365*100</f>
        <v>9.307397260273973</v>
      </c>
      <c r="U533">
        <f>E533*中国_中债国债到期收益率_1年!E532/365*100</f>
        <v>3.4280821917808213</v>
      </c>
      <c r="V533">
        <f t="shared" si="109"/>
        <v>29.226438356164383</v>
      </c>
      <c r="W533">
        <f>SUM($V$400:V533)</f>
        <v>4480.8779452054778</v>
      </c>
      <c r="X533">
        <f>MAX(F533-50,0)*中国_中债国债到期收益率_1年!H533*100/365</f>
        <v>0</v>
      </c>
      <c r="Y533">
        <f>SUM($X$400:X533)</f>
        <v>330.43835616438366</v>
      </c>
      <c r="Z533">
        <v>-100</v>
      </c>
      <c r="AA533">
        <v>100</v>
      </c>
      <c r="AB533">
        <f>Z533*Return!F537*100</f>
        <v>-19.000000000000128</v>
      </c>
      <c r="AC533">
        <f>AA533*Return!G537*100</f>
        <v>49.999999999998934</v>
      </c>
      <c r="AD533">
        <f>SUM($AB$400:AB533)+SUM($AC$400:AC533)</f>
        <v>2549.3000000000156</v>
      </c>
      <c r="AE533">
        <f t="shared" si="113"/>
        <v>24164.039589041102</v>
      </c>
      <c r="AF533">
        <f t="shared" si="114"/>
        <v>1.0483280791780822</v>
      </c>
      <c r="AG533" s="4">
        <f>(AE533-AE532)/(500000+AE532)-中国_中债国债到期收益率_1年!H533%/252</f>
        <v>4.5147748404139051E-4</v>
      </c>
      <c r="AH533" s="4">
        <f>MIN((AF533-MAX($AF$401:AF533))/MAX($AF$401:AF533),0)</f>
        <v>-2.9396295160492025E-3</v>
      </c>
    </row>
    <row r="534" spans="1:34" x14ac:dyDescent="0.25">
      <c r="A534" s="8">
        <v>45488</v>
      </c>
      <c r="B534">
        <v>0</v>
      </c>
      <c r="C534">
        <v>30</v>
      </c>
      <c r="D534">
        <v>15</v>
      </c>
      <c r="E534">
        <v>5</v>
      </c>
      <c r="F534">
        <f t="shared" si="112"/>
        <v>50</v>
      </c>
      <c r="G534">
        <f t="shared" si="111"/>
        <v>0</v>
      </c>
      <c r="H534">
        <f t="shared" si="104"/>
        <v>150</v>
      </c>
      <c r="I534">
        <f t="shared" si="105"/>
        <v>135</v>
      </c>
      <c r="J534">
        <f t="shared" si="106"/>
        <v>80</v>
      </c>
      <c r="K534">
        <f t="shared" si="107"/>
        <v>365</v>
      </c>
      <c r="L534">
        <f>G534*Return!B534*100</f>
        <v>0</v>
      </c>
      <c r="M534">
        <f>H534*Return!C534*100</f>
        <v>72.0000000000054</v>
      </c>
      <c r="N534">
        <f>I534*Return!D534*100</f>
        <v>59.399999999999451</v>
      </c>
      <c r="O534">
        <f>J534*Return!E534*100</f>
        <v>83.199999999997942</v>
      </c>
      <c r="P534">
        <f t="shared" si="108"/>
        <v>214.60000000000281</v>
      </c>
      <c r="Q534">
        <f>SUM($P$400:P534)</f>
        <v>17678.899999999998</v>
      </c>
      <c r="R534">
        <f>B534*中国_中债国债到期收益率_1年!B533/365*100</f>
        <v>0</v>
      </c>
      <c r="S534">
        <f>C534*中国_中债国债到期收益率_1年!C533/365*100</f>
        <v>16.451506849315066</v>
      </c>
      <c r="T534">
        <f>D534*中国_中债国债到期收益率_1年!D533/365*100</f>
        <v>9.2893150684931527</v>
      </c>
      <c r="U534">
        <f>E534*中国_中债国债到期收益率_1年!E533/365*100</f>
        <v>3.4138356164383565</v>
      </c>
      <c r="V534">
        <f t="shared" si="109"/>
        <v>29.154657534246574</v>
      </c>
      <c r="W534">
        <f>SUM($V$400:V534)</f>
        <v>4510.0326027397241</v>
      </c>
      <c r="X534">
        <f>MAX(F534-50,0)*中国_中债国债到期收益率_1年!H534*100/365</f>
        <v>0</v>
      </c>
      <c r="Y534">
        <f>SUM($X$400:X534)</f>
        <v>330.43835616438366</v>
      </c>
      <c r="Z534">
        <v>-100</v>
      </c>
      <c r="AA534">
        <v>100</v>
      </c>
      <c r="AB534">
        <f>Z534*Return!F538*100</f>
        <v>-34.000000000000696</v>
      </c>
      <c r="AC534">
        <f>AA534*Return!G538*100</f>
        <v>-20.000000000000018</v>
      </c>
      <c r="AD534">
        <f>SUM($AB$400:AB534)+SUM($AC$400:AC534)</f>
        <v>2495.3000000000152</v>
      </c>
      <c r="AE534">
        <f t="shared" si="113"/>
        <v>24353.794246575351</v>
      </c>
      <c r="AF534">
        <f t="shared" si="114"/>
        <v>1.0487075884931507</v>
      </c>
      <c r="AG534" s="4">
        <f>(AE534-AE533)/(500000+AE533)-中国_中债国债到期收益率_1年!H534%/252</f>
        <v>2.8860118121746897E-4</v>
      </c>
      <c r="AH534" s="4">
        <f>MIN((AF534-MAX($AF$401:AF534))/MAX($AF$401:AF534),0)</f>
        <v>-2.5786798231048412E-3</v>
      </c>
    </row>
    <row r="535" spans="1:34" x14ac:dyDescent="0.25">
      <c r="A535" s="8">
        <v>45489</v>
      </c>
      <c r="B535">
        <v>0</v>
      </c>
      <c r="C535">
        <v>30</v>
      </c>
      <c r="D535">
        <v>15</v>
      </c>
      <c r="E535">
        <v>5</v>
      </c>
      <c r="F535">
        <f t="shared" si="112"/>
        <v>50</v>
      </c>
      <c r="G535">
        <f t="shared" si="111"/>
        <v>0</v>
      </c>
      <c r="H535">
        <f t="shared" si="104"/>
        <v>150</v>
      </c>
      <c r="I535">
        <f t="shared" si="105"/>
        <v>135</v>
      </c>
      <c r="J535">
        <f t="shared" si="106"/>
        <v>80</v>
      </c>
      <c r="K535">
        <f t="shared" si="107"/>
        <v>365</v>
      </c>
      <c r="L535">
        <f>G535*Return!B535*100</f>
        <v>0</v>
      </c>
      <c r="M535">
        <f>H535*Return!C535*100</f>
        <v>187.49999999999599</v>
      </c>
      <c r="N535">
        <f>I535*Return!D535*100</f>
        <v>85.049999999999628</v>
      </c>
      <c r="O535">
        <f>J535*Return!E535*100</f>
        <v>119.20000000000286</v>
      </c>
      <c r="P535">
        <f t="shared" si="108"/>
        <v>391.74999999999852</v>
      </c>
      <c r="Q535">
        <f>SUM($P$400:P535)</f>
        <v>18070.649999999998</v>
      </c>
      <c r="R535">
        <f>B535*中国_中债国债到期收益率_1年!B534/365*100</f>
        <v>0</v>
      </c>
      <c r="S535">
        <f>C535*中国_中债国债到期收益率_1年!C534/365*100</f>
        <v>16.348767123287672</v>
      </c>
      <c r="T535">
        <f>D535*中国_中债国债到期收益率_1年!D534/365*100</f>
        <v>9.263424657534248</v>
      </c>
      <c r="U535">
        <f>E535*中国_中债国债到期收益率_1年!E534/365*100</f>
        <v>3.3934246575342462</v>
      </c>
      <c r="V535">
        <f t="shared" si="109"/>
        <v>29.005616438356167</v>
      </c>
      <c r="W535">
        <f>SUM($V$400:V535)</f>
        <v>4539.03821917808</v>
      </c>
      <c r="X535">
        <f>MAX(F535-50,0)*中国_中债国债到期收益率_1年!H535*100/365</f>
        <v>0</v>
      </c>
      <c r="Y535">
        <f>SUM($X$400:X535)</f>
        <v>330.43835616438366</v>
      </c>
      <c r="Z535">
        <v>-100</v>
      </c>
      <c r="AA535">
        <v>100</v>
      </c>
      <c r="AB535">
        <f>Z535*Return!F539*100</f>
        <v>-90.999999999998863</v>
      </c>
      <c r="AC535">
        <f>AA535*Return!G539*100</f>
        <v>131.00000000000111</v>
      </c>
      <c r="AD535">
        <f>SUM($AB$400:AB535)+SUM($AC$400:AC535)</f>
        <v>2535.3000000000175</v>
      </c>
      <c r="AE535">
        <f t="shared" si="113"/>
        <v>24814.549863013712</v>
      </c>
      <c r="AF535">
        <f t="shared" si="114"/>
        <v>1.0496290997260274</v>
      </c>
      <c r="AG535" s="4">
        <f>(AE535-AE534)/(500000+AE534)-中国_中债国债到期收益率_1年!H535%/252</f>
        <v>8.0252084714495079E-4</v>
      </c>
      <c r="AH535" s="4">
        <f>MIN((AF535-MAX($AF$401:AF535))/MAX($AF$401:AF535),0)</f>
        <v>-1.7022344149293022E-3</v>
      </c>
    </row>
    <row r="536" spans="1:34" x14ac:dyDescent="0.25">
      <c r="A536" s="8">
        <v>45490</v>
      </c>
      <c r="B536">
        <v>0</v>
      </c>
      <c r="C536">
        <v>30</v>
      </c>
      <c r="D536">
        <v>15</v>
      </c>
      <c r="E536">
        <v>5</v>
      </c>
      <c r="F536">
        <f t="shared" si="112"/>
        <v>50</v>
      </c>
      <c r="G536">
        <f t="shared" si="111"/>
        <v>0</v>
      </c>
      <c r="H536">
        <f t="shared" si="104"/>
        <v>150</v>
      </c>
      <c r="I536">
        <f t="shared" si="105"/>
        <v>135</v>
      </c>
      <c r="J536">
        <f t="shared" si="106"/>
        <v>80</v>
      </c>
      <c r="K536">
        <f t="shared" si="107"/>
        <v>365</v>
      </c>
      <c r="L536">
        <f>G536*Return!B536*100</f>
        <v>0</v>
      </c>
      <c r="M536">
        <f>H536*Return!C536*100</f>
        <v>75.000000000001734</v>
      </c>
      <c r="N536">
        <f>I536*Return!D536*100</f>
        <v>-97.199999999995285</v>
      </c>
      <c r="O536">
        <f>J536*Return!E536*100</f>
        <v>-23.200000000002774</v>
      </c>
      <c r="P536">
        <f t="shared" si="108"/>
        <v>-45.399999999996325</v>
      </c>
      <c r="Q536">
        <f>SUM($P$400:P536)</f>
        <v>18025.25</v>
      </c>
      <c r="R536">
        <f>B536*中国_中债国债到期收益率_1年!B535/365*100</f>
        <v>0</v>
      </c>
      <c r="S536">
        <f>C536*中国_中债国债到期收益率_1年!C535/365*100</f>
        <v>16.307671232876711</v>
      </c>
      <c r="T536">
        <f>D536*中国_中债国债到期收益率_1年!D535/365*100</f>
        <v>9.293013698630137</v>
      </c>
      <c r="U536">
        <f>E536*中国_中债国债到期收益率_1年!E535/365*100</f>
        <v>3.3973972602739733</v>
      </c>
      <c r="V536">
        <f t="shared" si="109"/>
        <v>28.998082191780821</v>
      </c>
      <c r="W536">
        <f>SUM($V$400:V536)</f>
        <v>4568.0363013698607</v>
      </c>
      <c r="X536">
        <f>MAX(F536-50,0)*中国_中债国债到期收益率_1年!H536*100/365</f>
        <v>0</v>
      </c>
      <c r="Y536">
        <f>SUM($X$400:X536)</f>
        <v>330.43835616438366</v>
      </c>
      <c r="Z536">
        <v>-100</v>
      </c>
      <c r="AA536">
        <v>100</v>
      </c>
      <c r="AB536">
        <f>Z536*Return!F540*100</f>
        <v>-644.00000000000011</v>
      </c>
      <c r="AC536">
        <f>AA536*Return!G540*100</f>
        <v>504.99999999999989</v>
      </c>
      <c r="AD536">
        <f>SUM($AB$400:AB536)+SUM($AC$400:AC536)</f>
        <v>2396.300000000017</v>
      </c>
      <c r="AE536">
        <f t="shared" si="113"/>
        <v>24659.147945205492</v>
      </c>
      <c r="AF536">
        <f t="shared" si="114"/>
        <v>1.049318295890411</v>
      </c>
      <c r="AG536" s="4">
        <f>(AE536-AE535)/(500000+AE535)-中国_中债国债到期收益率_1年!H536%/252</f>
        <v>-3.7150507515625503E-4</v>
      </c>
      <c r="AH536" s="4">
        <f>MIN((AF536-MAX($AF$401:AF536))/MAX($AF$401:AF536),0)</f>
        <v>-1.9978386190353374E-3</v>
      </c>
    </row>
    <row r="537" spans="1:34" x14ac:dyDescent="0.25">
      <c r="A537" s="8">
        <v>45491</v>
      </c>
      <c r="B537">
        <v>0</v>
      </c>
      <c r="C537">
        <v>30</v>
      </c>
      <c r="D537">
        <v>15</v>
      </c>
      <c r="E537">
        <v>5</v>
      </c>
      <c r="F537">
        <f t="shared" si="112"/>
        <v>50</v>
      </c>
      <c r="G537">
        <f t="shared" si="111"/>
        <v>0</v>
      </c>
      <c r="H537">
        <f t="shared" si="104"/>
        <v>150</v>
      </c>
      <c r="I537">
        <f t="shared" si="105"/>
        <v>135</v>
      </c>
      <c r="J537">
        <f t="shared" si="106"/>
        <v>80</v>
      </c>
      <c r="K537">
        <f t="shared" si="107"/>
        <v>365</v>
      </c>
      <c r="L537">
        <f>G537*Return!B537*100</f>
        <v>0</v>
      </c>
      <c r="M537">
        <f>H537*Return!C537*100</f>
        <v>393</v>
      </c>
      <c r="N537">
        <f>I537*Return!D537*100</f>
        <v>20.250000000000767</v>
      </c>
      <c r="O537">
        <f>J537*Return!E537*100</f>
        <v>-8.7999999999972545</v>
      </c>
      <c r="P537">
        <f t="shared" si="108"/>
        <v>404.45000000000357</v>
      </c>
      <c r="Q537">
        <f>SUM($P$400:P537)</f>
        <v>18429.700000000004</v>
      </c>
      <c r="R537">
        <f>B537*中国_中债国债到期收益率_1年!B536/365*100</f>
        <v>0</v>
      </c>
      <c r="S537">
        <f>C537*中国_中债国债到期收益率_1年!C536/365*100</f>
        <v>16.092328767123288</v>
      </c>
      <c r="T537">
        <f>D537*中国_中债国债到期收益率_1年!D536/365*100</f>
        <v>9.2868493150684941</v>
      </c>
      <c r="U537">
        <f>E537*中国_中债国债到期收益率_1年!E536/365*100</f>
        <v>3.3989041095890404</v>
      </c>
      <c r="V537">
        <f t="shared" si="109"/>
        <v>28.778082191780822</v>
      </c>
      <c r="W537">
        <f>SUM($V$400:V537)</f>
        <v>4596.8143835616411</v>
      </c>
      <c r="X537">
        <f>MAX(F537-50,0)*中国_中债国债到期收益率_1年!H537*100/365</f>
        <v>0</v>
      </c>
      <c r="Y537">
        <f>SUM($X$400:X537)</f>
        <v>330.43835616438366</v>
      </c>
      <c r="Z537">
        <v>-100</v>
      </c>
      <c r="AA537">
        <v>100</v>
      </c>
      <c r="AB537">
        <f>Z537*Return!F541*100</f>
        <v>-102.99999999999976</v>
      </c>
      <c r="AC537">
        <f>AA537*Return!G541*100</f>
        <v>200.00000000000017</v>
      </c>
      <c r="AD537">
        <f>SUM($AB$400:AB537)+SUM($AC$400:AC537)</f>
        <v>2493.3000000000175</v>
      </c>
      <c r="AE537">
        <f t="shared" si="113"/>
        <v>25189.37602739728</v>
      </c>
      <c r="AF537">
        <f t="shared" si="114"/>
        <v>1.0503787520547945</v>
      </c>
      <c r="AG537" s="4">
        <f>(AE537-AE536)/(500000+AE536)-中国_中债国债到期收益率_1年!H537%/252</f>
        <v>9.3521755971090286E-4</v>
      </c>
      <c r="AH537" s="4">
        <f>MIN((AF537-MAX($AF$401:AF537))/MAX($AF$401:AF537),0)</f>
        <v>-9.8924327837526132E-4</v>
      </c>
    </row>
    <row r="538" spans="1:34" x14ac:dyDescent="0.25">
      <c r="A538" s="8">
        <v>45492</v>
      </c>
      <c r="B538">
        <v>0</v>
      </c>
      <c r="C538">
        <v>30</v>
      </c>
      <c r="D538">
        <v>15</v>
      </c>
      <c r="E538">
        <v>5</v>
      </c>
      <c r="F538">
        <f t="shared" si="112"/>
        <v>50</v>
      </c>
      <c r="G538">
        <f t="shared" si="111"/>
        <v>0</v>
      </c>
      <c r="H538">
        <f t="shared" si="104"/>
        <v>150</v>
      </c>
      <c r="I538">
        <f t="shared" si="105"/>
        <v>135</v>
      </c>
      <c r="J538">
        <f t="shared" si="106"/>
        <v>80</v>
      </c>
      <c r="K538">
        <f t="shared" si="107"/>
        <v>365</v>
      </c>
      <c r="L538">
        <f>G538*Return!B538*100</f>
        <v>0</v>
      </c>
      <c r="M538">
        <f>H538*Return!C538*100</f>
        <v>-42.000000000002032</v>
      </c>
      <c r="N538">
        <f>I538*Return!D538*100</f>
        <v>-101.25000000000384</v>
      </c>
      <c r="O538">
        <f>J538*Return!E538*100</f>
        <v>-71.20000000000104</v>
      </c>
      <c r="P538">
        <f t="shared" si="108"/>
        <v>-214.4500000000069</v>
      </c>
      <c r="Q538">
        <f>SUM($P$400:P538)</f>
        <v>18215.249999999996</v>
      </c>
      <c r="R538">
        <f>B538*中国_中债国债到期收益率_1年!B537/365*100</f>
        <v>0</v>
      </c>
      <c r="S538">
        <f>C538*中国_中债国债到期收益率_1年!C537/365*100</f>
        <v>16.115342465753425</v>
      </c>
      <c r="T538">
        <f>D538*中国_中债国债到期收益率_1年!D537/365*100</f>
        <v>9.3176712328767142</v>
      </c>
      <c r="U538">
        <f>E538*中国_中债国债到期收益率_1年!E537/365*100</f>
        <v>3.4110958904109587</v>
      </c>
      <c r="V538">
        <f t="shared" si="109"/>
        <v>28.8441095890411</v>
      </c>
      <c r="W538">
        <f>SUM($V$400:V538)</f>
        <v>4625.6584931506823</v>
      </c>
      <c r="X538">
        <f>MAX(F538-50,0)*中国_中债国债到期收益率_1年!H538*100/365</f>
        <v>0</v>
      </c>
      <c r="Y538">
        <f>SUM($X$400:X538)</f>
        <v>330.43835616438366</v>
      </c>
      <c r="Z538">
        <v>-100</v>
      </c>
      <c r="AA538">
        <v>100</v>
      </c>
      <c r="AB538">
        <f>Z538*Return!F542*100</f>
        <v>-41.999999999999815</v>
      </c>
      <c r="AC538">
        <f>AA538*Return!G542*100</f>
        <v>77.999999999998067</v>
      </c>
      <c r="AD538">
        <f>SUM($AB$400:AB538)+SUM($AC$400:AC538)</f>
        <v>2529.3000000000156</v>
      </c>
      <c r="AE538">
        <f t="shared" si="113"/>
        <v>25039.770136986313</v>
      </c>
      <c r="AF538">
        <f t="shared" si="114"/>
        <v>1.0500795402739727</v>
      </c>
      <c r="AG538" s="4">
        <f>(AE538-AE537)/(500000+AE537)-中国_中债国债到期收益率_1年!H538%/252</f>
        <v>-3.6025767224526282E-4</v>
      </c>
      <c r="AH538" s="4">
        <f>MIN((AF538-MAX($AF$401:AF538))/MAX($AF$401:AF538),0)</f>
        <v>-1.2738223285455711E-3</v>
      </c>
    </row>
    <row r="539" spans="1:34" x14ac:dyDescent="0.25">
      <c r="A539" s="8">
        <v>45495</v>
      </c>
      <c r="B539">
        <v>0</v>
      </c>
      <c r="C539">
        <v>30</v>
      </c>
      <c r="D539">
        <v>15</v>
      </c>
      <c r="E539">
        <v>5</v>
      </c>
      <c r="F539">
        <f t="shared" si="112"/>
        <v>50</v>
      </c>
      <c r="G539">
        <f t="shared" si="111"/>
        <v>0</v>
      </c>
      <c r="H539">
        <f t="shared" si="104"/>
        <v>150</v>
      </c>
      <c r="I539">
        <f t="shared" si="105"/>
        <v>135</v>
      </c>
      <c r="J539">
        <f t="shared" si="106"/>
        <v>80</v>
      </c>
      <c r="K539">
        <f t="shared" si="107"/>
        <v>365</v>
      </c>
      <c r="L539">
        <f>G539*Return!B539*100</f>
        <v>0</v>
      </c>
      <c r="M539">
        <f>H539*Return!C539*100</f>
        <v>109.50000000000126</v>
      </c>
      <c r="N539">
        <f>I539*Return!D539*100</f>
        <v>79.650000000000219</v>
      </c>
      <c r="O539">
        <f>J539*Return!E539*100</f>
        <v>47.200000000000131</v>
      </c>
      <c r="P539">
        <f t="shared" si="108"/>
        <v>236.35000000000161</v>
      </c>
      <c r="Q539">
        <f>SUM($P$400:P539)</f>
        <v>18451.599999999999</v>
      </c>
      <c r="R539">
        <f>B539*中国_中债国债到期收益率_1年!B538/365*100</f>
        <v>0</v>
      </c>
      <c r="S539">
        <f>C539*中国_中债国债到期收益率_1年!C538/365*100</f>
        <v>16.055342465753426</v>
      </c>
      <c r="T539">
        <f>D539*中国_中债国债到期收益率_1年!D538/365*100</f>
        <v>9.2934246575342474</v>
      </c>
      <c r="U539">
        <f>E539*中国_中债国债到期收益率_1年!E538/365*100</f>
        <v>3.4030136986301369</v>
      </c>
      <c r="V539">
        <f t="shared" si="109"/>
        <v>28.751780821917809</v>
      </c>
      <c r="W539">
        <f>SUM($V$400:V539)</f>
        <v>4654.4102739726004</v>
      </c>
      <c r="X539">
        <f>MAX(F539-50,0)*中国_中债国债到期收益率_1年!H539*100/365</f>
        <v>0</v>
      </c>
      <c r="Y539">
        <f>SUM($X$400:X539)</f>
        <v>330.43835616438366</v>
      </c>
      <c r="Z539">
        <v>-100</v>
      </c>
      <c r="AA539">
        <v>100</v>
      </c>
      <c r="AB539">
        <f>Z539*Return!F543*100</f>
        <v>-48.000000000001378</v>
      </c>
      <c r="AC539">
        <f>AA539*Return!G543*100</f>
        <v>213.00000000000097</v>
      </c>
      <c r="AD539">
        <f>SUM($AB$400:AB539)+SUM($AC$400:AC539)</f>
        <v>2694.3000000000152</v>
      </c>
      <c r="AE539">
        <f t="shared" si="113"/>
        <v>25469.871917808228</v>
      </c>
      <c r="AF539">
        <f t="shared" si="114"/>
        <v>1.0509397438356165</v>
      </c>
      <c r="AG539" s="4">
        <f>(AE539-AE538)/(500000+AE538)-中国_中债国债到期收益率_1年!H539%/252</f>
        <v>7.4576673386097202E-4</v>
      </c>
      <c r="AH539" s="4">
        <f>MIN((AF539-MAX($AF$401:AF539))/MAX($AF$401:AF539),0)</f>
        <v>-4.556863853238005E-4</v>
      </c>
    </row>
    <row r="540" spans="1:34" x14ac:dyDescent="0.25">
      <c r="A540" s="8">
        <v>45496</v>
      </c>
      <c r="B540">
        <v>0</v>
      </c>
      <c r="C540">
        <v>30</v>
      </c>
      <c r="D540">
        <v>15</v>
      </c>
      <c r="E540">
        <v>5</v>
      </c>
      <c r="F540">
        <f t="shared" si="112"/>
        <v>50</v>
      </c>
      <c r="G540">
        <f t="shared" si="111"/>
        <v>0</v>
      </c>
      <c r="H540">
        <f t="shared" si="104"/>
        <v>150</v>
      </c>
      <c r="I540">
        <f t="shared" si="105"/>
        <v>135</v>
      </c>
      <c r="J540">
        <f t="shared" si="106"/>
        <v>80</v>
      </c>
      <c r="K540">
        <f t="shared" si="107"/>
        <v>365</v>
      </c>
      <c r="L540">
        <f>G540*Return!B540*100</f>
        <v>0</v>
      </c>
      <c r="M540">
        <f>H540*Return!C540*100</f>
        <v>589.50000000000171</v>
      </c>
      <c r="N540">
        <f>I540*Return!D540*100</f>
        <v>206.54999999999825</v>
      </c>
      <c r="O540">
        <f>J540*Return!E540*100</f>
        <v>103.9999999999992</v>
      </c>
      <c r="P540">
        <f t="shared" si="108"/>
        <v>900.04999999999916</v>
      </c>
      <c r="Q540">
        <f>SUM($P$400:P540)</f>
        <v>19351.649999999998</v>
      </c>
      <c r="R540">
        <f>B540*中国_中债国债到期收益率_1年!B539/365*100</f>
        <v>0</v>
      </c>
      <c r="S540">
        <f>C540*中国_中债国债到期收益率_1年!C539/365*100</f>
        <v>15.732328767123285</v>
      </c>
      <c r="T540">
        <f>D540*中国_中债国债到期收益率_1年!D539/365*100</f>
        <v>9.2305479452054797</v>
      </c>
      <c r="U540">
        <f>E540*中国_中债国债到期收益率_1年!E539/365*100</f>
        <v>3.3852054794520545</v>
      </c>
      <c r="V540">
        <f t="shared" si="109"/>
        <v>28.348082191780819</v>
      </c>
      <c r="W540">
        <f>SUM($V$400:V540)</f>
        <v>4682.7583561643814</v>
      </c>
      <c r="X540">
        <f>MAX(F540-50,0)*中国_中债国债到期收益率_1年!H540*100/365</f>
        <v>0</v>
      </c>
      <c r="Y540">
        <f>SUM($X$400:X540)</f>
        <v>330.43835616438366</v>
      </c>
      <c r="Z540">
        <v>-100</v>
      </c>
      <c r="AA540">
        <v>100</v>
      </c>
      <c r="AB540">
        <f>Z540*Return!F544*100</f>
        <v>-18.000000000000238</v>
      </c>
      <c r="AC540">
        <f>AA540*Return!G544*100</f>
        <v>1.9999999999997797</v>
      </c>
      <c r="AD540">
        <f>SUM($AB$400:AB540)+SUM($AC$400:AC540)</f>
        <v>2678.3000000000147</v>
      </c>
      <c r="AE540">
        <f t="shared" si="113"/>
        <v>26382.270000000008</v>
      </c>
      <c r="AF540">
        <f t="shared" si="114"/>
        <v>1.0527645400000001</v>
      </c>
      <c r="AG540" s="4">
        <f>(AE540-AE539)/(500000+AE539)-中国_中债国债到期收益率_1年!H540%/252</f>
        <v>1.6629343900736475E-3</v>
      </c>
      <c r="AH540" s="4">
        <f>MIN((AF540-MAX($AF$401:AF540))/MAX($AF$401:AF540),0)</f>
        <v>0</v>
      </c>
    </row>
    <row r="541" spans="1:34" x14ac:dyDescent="0.25">
      <c r="A541" s="8">
        <v>45497</v>
      </c>
      <c r="B541">
        <v>0</v>
      </c>
      <c r="C541">
        <v>30</v>
      </c>
      <c r="D541">
        <v>15</v>
      </c>
      <c r="E541">
        <v>5</v>
      </c>
      <c r="F541">
        <f t="shared" si="112"/>
        <v>50</v>
      </c>
      <c r="G541">
        <f t="shared" si="111"/>
        <v>0</v>
      </c>
      <c r="H541">
        <f t="shared" si="104"/>
        <v>150</v>
      </c>
      <c r="I541">
        <f t="shared" si="105"/>
        <v>135</v>
      </c>
      <c r="J541">
        <f t="shared" si="106"/>
        <v>80</v>
      </c>
      <c r="K541">
        <f t="shared" si="107"/>
        <v>365</v>
      </c>
      <c r="L541">
        <f>G541*Return!B541*100</f>
        <v>0</v>
      </c>
      <c r="M541">
        <f>H541*Return!C541*100</f>
        <v>334.49999999999977</v>
      </c>
      <c r="N541">
        <f>I541*Return!D541*100</f>
        <v>187.65000000000032</v>
      </c>
      <c r="O541">
        <f>J541*Return!E541*100</f>
        <v>16.799999999999926</v>
      </c>
      <c r="P541">
        <f t="shared" si="108"/>
        <v>538.95000000000005</v>
      </c>
      <c r="Q541">
        <f>SUM($P$400:P541)</f>
        <v>19890.599999999999</v>
      </c>
      <c r="R541">
        <f>B541*中国_中债国债到期收益率_1年!B540/365*100</f>
        <v>0</v>
      </c>
      <c r="S541">
        <f>C541*中国_中债国债到期收益率_1年!C540/365*100</f>
        <v>15.549041095890409</v>
      </c>
      <c r="T541">
        <f>D541*中国_中债国债到期收益率_1年!D540/365*100</f>
        <v>9.1734246575342482</v>
      </c>
      <c r="U541">
        <f>E541*中国_中债国债到期收益率_1年!E540/365*100</f>
        <v>3.3823287671232882</v>
      </c>
      <c r="V541">
        <f t="shared" si="109"/>
        <v>28.104794520547944</v>
      </c>
      <c r="W541">
        <f>SUM($V$400:V541)</f>
        <v>4710.8631506849297</v>
      </c>
      <c r="X541">
        <f>MAX(F541-50,0)*中国_中债国债到期收益率_1年!H541*100/365</f>
        <v>0</v>
      </c>
      <c r="Y541">
        <f>SUM($X$400:X541)</f>
        <v>330.43835616438366</v>
      </c>
      <c r="Z541">
        <v>-100</v>
      </c>
      <c r="AA541">
        <v>100</v>
      </c>
      <c r="AB541">
        <f>Z541*Return!F545*100</f>
        <v>-7.9999999999991189</v>
      </c>
      <c r="AC541">
        <f>AA541*Return!G545*100</f>
        <v>25.999999999999357</v>
      </c>
      <c r="AD541">
        <f>SUM($AB$400:AB541)+SUM($AC$400:AC541)</f>
        <v>2696.3000000000147</v>
      </c>
      <c r="AE541">
        <f t="shared" si="113"/>
        <v>26967.324794520558</v>
      </c>
      <c r="AF541">
        <f t="shared" si="114"/>
        <v>1.0539346495890412</v>
      </c>
      <c r="AG541" s="4">
        <f>(AE541-AE540)/(500000+AE540)-中国_中债国债到期收益率_1年!H541%/252</f>
        <v>1.0380510188598281E-3</v>
      </c>
      <c r="AH541" s="4">
        <f>MIN((AF541-MAX($AF$401:AF541))/MAX($AF$401:AF541),0)</f>
        <v>0</v>
      </c>
    </row>
    <row r="542" spans="1:34" x14ac:dyDescent="0.25">
      <c r="A542" s="8">
        <v>45498</v>
      </c>
      <c r="B542">
        <v>0</v>
      </c>
      <c r="C542">
        <v>30</v>
      </c>
      <c r="D542">
        <v>15</v>
      </c>
      <c r="E542">
        <v>5</v>
      </c>
      <c r="F542">
        <f t="shared" si="112"/>
        <v>50</v>
      </c>
      <c r="G542">
        <f t="shared" si="111"/>
        <v>0</v>
      </c>
      <c r="H542">
        <f t="shared" ref="H542:H605" si="115">5*C542</f>
        <v>150</v>
      </c>
      <c r="I542">
        <f t="shared" ref="I542:I605" si="116">9*D542</f>
        <v>135</v>
      </c>
      <c r="J542">
        <f t="shared" ref="J542:J605" si="117">16*E542</f>
        <v>80</v>
      </c>
      <c r="K542">
        <f t="shared" ref="K542:K605" si="118">SUM(G542:J542)</f>
        <v>365</v>
      </c>
      <c r="L542">
        <f>G542*Return!B542*100</f>
        <v>0</v>
      </c>
      <c r="M542">
        <f>H542*Return!C542*100</f>
        <v>-81.000000000001066</v>
      </c>
      <c r="N542">
        <f>I542*Return!D542*100</f>
        <v>-79.650000000000219</v>
      </c>
      <c r="O542">
        <f>J542*Return!E542*100</f>
        <v>12.000000000000455</v>
      </c>
      <c r="P542">
        <f t="shared" ref="P542:P605" si="119">SUM(L542:O542)</f>
        <v>-148.65000000000083</v>
      </c>
      <c r="Q542">
        <f>SUM($P$400:P542)</f>
        <v>19741.949999999997</v>
      </c>
      <c r="R542">
        <f>B542*中国_中债国债到期收益率_1年!B541/365*100</f>
        <v>0</v>
      </c>
      <c r="S542">
        <f>C542*中国_中债国债到期收益率_1年!C541/365*100</f>
        <v>15.593424657534246</v>
      </c>
      <c r="T542">
        <f>D542*中国_中债国债到期收益率_1年!D541/365*100</f>
        <v>9.1976712328767132</v>
      </c>
      <c r="U542">
        <f>E542*中国_中债国债到期收益率_1年!E541/365*100</f>
        <v>3.3802739726027404</v>
      </c>
      <c r="V542">
        <f t="shared" ref="V542:V605" si="120">SUM(R542:U542)</f>
        <v>28.171369863013698</v>
      </c>
      <c r="W542">
        <f>SUM($V$400:V542)</f>
        <v>4739.0345205479434</v>
      </c>
      <c r="X542">
        <f>MAX(F542-50,0)*中国_中债国债到期收益率_1年!H542*100/365</f>
        <v>0</v>
      </c>
      <c r="Y542">
        <f>SUM($X$400:X542)</f>
        <v>330.43835616438366</v>
      </c>
      <c r="Z542">
        <v>-100</v>
      </c>
      <c r="AA542">
        <v>100</v>
      </c>
      <c r="AB542">
        <f>Z542*Return!F546*100</f>
        <v>-102.99999999999976</v>
      </c>
      <c r="AC542">
        <f>AA542*Return!G546*100</f>
        <v>75.000000000000625</v>
      </c>
      <c r="AD542">
        <f>SUM($AB$400:AB542)+SUM($AC$400:AC542)</f>
        <v>2668.3000000000161</v>
      </c>
      <c r="AE542">
        <f t="shared" si="113"/>
        <v>26818.846164383573</v>
      </c>
      <c r="AF542">
        <f t="shared" si="114"/>
        <v>1.0536376923287671</v>
      </c>
      <c r="AG542" s="4">
        <f>(AE542-AE541)/(500000+AE541)-中国_中债国债到期收益率_1年!H542%/252</f>
        <v>-3.6112568035657708E-4</v>
      </c>
      <c r="AH542" s="4">
        <f>MIN((AF542-MAX($AF$401:AF542))/MAX($AF$401:AF542),0)</f>
        <v>-2.8176060099153506E-4</v>
      </c>
    </row>
    <row r="543" spans="1:34" x14ac:dyDescent="0.25">
      <c r="A543" s="8">
        <v>45499</v>
      </c>
      <c r="B543">
        <v>0</v>
      </c>
      <c r="C543">
        <v>30</v>
      </c>
      <c r="D543">
        <v>15</v>
      </c>
      <c r="E543">
        <v>3</v>
      </c>
      <c r="F543">
        <f t="shared" si="112"/>
        <v>48</v>
      </c>
      <c r="G543">
        <f t="shared" si="111"/>
        <v>0</v>
      </c>
      <c r="H543">
        <f t="shared" si="115"/>
        <v>150</v>
      </c>
      <c r="I543">
        <f t="shared" si="116"/>
        <v>135</v>
      </c>
      <c r="J543">
        <f t="shared" si="117"/>
        <v>48</v>
      </c>
      <c r="K543">
        <f t="shared" si="118"/>
        <v>333</v>
      </c>
      <c r="L543">
        <f>G543*Return!B543*100</f>
        <v>0</v>
      </c>
      <c r="M543">
        <f>H543*Return!C543*100</f>
        <v>73.499999999998565</v>
      </c>
      <c r="N543">
        <f>I543*Return!D543*100</f>
        <v>287.55000000000132</v>
      </c>
      <c r="O543">
        <f>J543*Return!E543*100</f>
        <v>153.11999999999912</v>
      </c>
      <c r="P543">
        <f t="shared" si="119"/>
        <v>514.16999999999905</v>
      </c>
      <c r="Q543">
        <f>SUM($P$400:P543)</f>
        <v>20256.119999999995</v>
      </c>
      <c r="R543">
        <f>B543*中国_中债国债到期收益率_1年!B542/365*100</f>
        <v>0</v>
      </c>
      <c r="S543">
        <f>C543*中国_中债国债到期收益率_1年!C542/365*100</f>
        <v>15.553150684931508</v>
      </c>
      <c r="T543">
        <f>D543*中国_中债国债到期收益率_1年!D542/365*100</f>
        <v>9.1101369863013701</v>
      </c>
      <c r="U543">
        <f>E543*中国_中债国债到期收益率_1年!E542/365*100</f>
        <v>2.0019452054794518</v>
      </c>
      <c r="V543">
        <f t="shared" si="120"/>
        <v>26.665232876712331</v>
      </c>
      <c r="W543">
        <f>SUM($V$400:V543)</f>
        <v>4765.6997534246557</v>
      </c>
      <c r="X543">
        <f>MAX(F543-50,0)*中国_中债国债到期收益率_1年!H543*100/365</f>
        <v>0</v>
      </c>
      <c r="Y543">
        <f>SUM($X$400:X543)</f>
        <v>330.43835616438366</v>
      </c>
      <c r="Z543">
        <v>-100</v>
      </c>
      <c r="AA543">
        <v>100</v>
      </c>
      <c r="AB543">
        <f>Z543*Return!F547*100</f>
        <v>-214.00000000000085</v>
      </c>
      <c r="AC543">
        <f>AA543*Return!G547*100</f>
        <v>216.00000000000063</v>
      </c>
      <c r="AD543">
        <f>SUM($AB$400:AB543)+SUM($AC$400:AC543)</f>
        <v>2670.3000000000161</v>
      </c>
      <c r="AE543">
        <f t="shared" si="113"/>
        <v>27361.681397260283</v>
      </c>
      <c r="AF543">
        <f t="shared" si="114"/>
        <v>1.0547233627945205</v>
      </c>
      <c r="AG543" s="4">
        <f>(AE543-AE542)/(500000+AE542)-中国_中债国债到期收益率_1年!H543%/252</f>
        <v>9.5143382224625048E-4</v>
      </c>
      <c r="AH543" s="4">
        <f>MIN((AF543-MAX($AF$401:AF543))/MAX($AF$401:AF543),0)</f>
        <v>0</v>
      </c>
    </row>
    <row r="544" spans="1:34" x14ac:dyDescent="0.25">
      <c r="A544" s="8">
        <v>45502</v>
      </c>
      <c r="B544">
        <v>0</v>
      </c>
      <c r="C544">
        <v>30</v>
      </c>
      <c r="D544">
        <v>15</v>
      </c>
      <c r="E544">
        <v>3</v>
      </c>
      <c r="F544">
        <f t="shared" si="112"/>
        <v>48</v>
      </c>
      <c r="G544">
        <f t="shared" si="111"/>
        <v>0</v>
      </c>
      <c r="H544">
        <f t="shared" si="115"/>
        <v>150</v>
      </c>
      <c r="I544">
        <f t="shared" si="116"/>
        <v>135</v>
      </c>
      <c r="J544">
        <f t="shared" si="117"/>
        <v>48</v>
      </c>
      <c r="K544">
        <f t="shared" si="118"/>
        <v>333</v>
      </c>
      <c r="L544">
        <f>G544*Return!B544*100</f>
        <v>0</v>
      </c>
      <c r="M544">
        <f>H544*Return!C544*100</f>
        <v>-79.499999999997911</v>
      </c>
      <c r="N544">
        <f>I544*Return!D544*100</f>
        <v>302.40000000000265</v>
      </c>
      <c r="O544">
        <f>J544*Return!E544*100</f>
        <v>62.880000000000535</v>
      </c>
      <c r="P544">
        <f t="shared" si="119"/>
        <v>285.78000000000532</v>
      </c>
      <c r="Q544">
        <f>SUM($P$400:P544)</f>
        <v>20541.900000000001</v>
      </c>
      <c r="R544">
        <f>B544*中国_中债国债到期收益率_1年!B543/365*100</f>
        <v>0</v>
      </c>
      <c r="S544">
        <f>C544*中国_中债国债到期收益率_1年!C543/365*100</f>
        <v>15.596712328767124</v>
      </c>
      <c r="T544">
        <f>D544*中国_中债国债到期收益率_1年!D543/365*100</f>
        <v>9.018082191780822</v>
      </c>
      <c r="U544">
        <f>E544*中国_中债国债到期收益率_1年!E543/365*100</f>
        <v>1.9911780821917808</v>
      </c>
      <c r="V544">
        <f t="shared" si="120"/>
        <v>26.605972602739726</v>
      </c>
      <c r="W544">
        <f>SUM($V$400:V544)</f>
        <v>4792.3057260273954</v>
      </c>
      <c r="X544">
        <f>MAX(F544-50,0)*中国_中债国债到期收益率_1年!H544*100/365</f>
        <v>0</v>
      </c>
      <c r="Y544">
        <f>SUM($X$400:X544)</f>
        <v>330.43835616438366</v>
      </c>
      <c r="Z544">
        <v>-100</v>
      </c>
      <c r="AA544">
        <v>100</v>
      </c>
      <c r="AB544">
        <f>Z544*Return!F548*100</f>
        <v>3.00000000000189</v>
      </c>
      <c r="AC544">
        <f>AA544*Return!G548*100</f>
        <v>87.99999999999919</v>
      </c>
      <c r="AD544">
        <f>SUM($AB$400:AB544)+SUM($AC$400:AC544)</f>
        <v>2761.300000000017</v>
      </c>
      <c r="AE544">
        <f t="shared" si="113"/>
        <v>27765.067369863031</v>
      </c>
      <c r="AF544">
        <f t="shared" si="114"/>
        <v>1.0555301347397261</v>
      </c>
      <c r="AG544" s="4">
        <f>(AE544-AE543)/(500000+AE543)-中国_中债国债到期收益率_1年!H544%/252</f>
        <v>6.8753236391075215E-4</v>
      </c>
      <c r="AH544" s="4">
        <f>MIN((AF544-MAX($AF$401:AF544))/MAX($AF$401:AF544),0)</f>
        <v>0</v>
      </c>
    </row>
    <row r="545" spans="1:34" x14ac:dyDescent="0.25">
      <c r="A545" s="8">
        <v>45503</v>
      </c>
      <c r="B545">
        <v>0</v>
      </c>
      <c r="C545">
        <v>30</v>
      </c>
      <c r="D545">
        <v>15</v>
      </c>
      <c r="E545">
        <v>3</v>
      </c>
      <c r="F545">
        <f t="shared" si="112"/>
        <v>48</v>
      </c>
      <c r="G545">
        <f t="shared" si="111"/>
        <v>0</v>
      </c>
      <c r="H545">
        <f t="shared" si="115"/>
        <v>150</v>
      </c>
      <c r="I545">
        <f t="shared" si="116"/>
        <v>135</v>
      </c>
      <c r="J545">
        <f t="shared" si="117"/>
        <v>48</v>
      </c>
      <c r="K545">
        <f t="shared" si="118"/>
        <v>333</v>
      </c>
      <c r="L545">
        <f>G545*Return!B545*100</f>
        <v>0</v>
      </c>
      <c r="M545">
        <f>H545*Return!C545*100</f>
        <v>64.499999999999559</v>
      </c>
      <c r="N545">
        <f>I545*Return!D545*100</f>
        <v>499.49999999999892</v>
      </c>
      <c r="O545">
        <f>J545*Return!E545*100</f>
        <v>156.47999999999982</v>
      </c>
      <c r="P545">
        <f t="shared" si="119"/>
        <v>720.47999999999831</v>
      </c>
      <c r="Q545">
        <f>SUM($P$400:P545)</f>
        <v>21262.38</v>
      </c>
      <c r="R545">
        <f>B545*中国_中债国债到期收益率_1年!B544/365*100</f>
        <v>0</v>
      </c>
      <c r="S545">
        <f>C545*中国_中债国债到期收益率_1年!C544/365*100</f>
        <v>15.561369863013699</v>
      </c>
      <c r="T545">
        <f>D545*中国_中债国债到期收益率_1年!D544/365*100</f>
        <v>8.8660273972602734</v>
      </c>
      <c r="U545">
        <f>E545*中国_中债国债到期收益率_1年!E544/365*100</f>
        <v>1.9643835616438357</v>
      </c>
      <c r="V545">
        <f t="shared" si="120"/>
        <v>26.391780821917806</v>
      </c>
      <c r="W545">
        <f>SUM($V$400:V545)</f>
        <v>4818.697506849313</v>
      </c>
      <c r="X545">
        <f>MAX(F545-50,0)*中国_中债国债到期收益率_1年!H545*100/365</f>
        <v>0</v>
      </c>
      <c r="Y545">
        <f>SUM($X$400:X545)</f>
        <v>330.43835616438366</v>
      </c>
      <c r="Z545">
        <v>-100</v>
      </c>
      <c r="AA545">
        <v>100</v>
      </c>
      <c r="AB545">
        <f>Z545*Return!F549*100</f>
        <v>-53.000000000000824</v>
      </c>
      <c r="AC545">
        <f>AA545*Return!G549*100</f>
        <v>89.000000000001307</v>
      </c>
      <c r="AD545">
        <f>SUM($AB$400:AB545)+SUM($AC$400:AC545)</f>
        <v>2797.300000000017</v>
      </c>
      <c r="AE545">
        <f t="shared" si="113"/>
        <v>28547.939150684946</v>
      </c>
      <c r="AF545">
        <f t="shared" si="114"/>
        <v>1.05709587830137</v>
      </c>
      <c r="AG545" s="4">
        <f>(AE545-AE544)/(500000+AE544)-中国_中债国债到期收益率_1年!H545%/252</f>
        <v>1.4067844280411601E-3</v>
      </c>
      <c r="AH545" s="4">
        <f>MIN((AF545-MAX($AF$401:AF545))/MAX($AF$401:AF545),0)</f>
        <v>0</v>
      </c>
    </row>
    <row r="546" spans="1:34" x14ac:dyDescent="0.25">
      <c r="A546" s="8">
        <v>45504</v>
      </c>
      <c r="B546">
        <v>0</v>
      </c>
      <c r="C546">
        <v>30</v>
      </c>
      <c r="D546">
        <v>15</v>
      </c>
      <c r="E546">
        <v>3</v>
      </c>
      <c r="F546">
        <f t="shared" si="112"/>
        <v>48</v>
      </c>
      <c r="G546">
        <f t="shared" si="111"/>
        <v>0</v>
      </c>
      <c r="H546">
        <f t="shared" si="115"/>
        <v>150</v>
      </c>
      <c r="I546">
        <f t="shared" si="116"/>
        <v>135</v>
      </c>
      <c r="J546">
        <f t="shared" si="117"/>
        <v>48</v>
      </c>
      <c r="K546">
        <f t="shared" si="118"/>
        <v>333</v>
      </c>
      <c r="L546">
        <f>G546*Return!B546*100</f>
        <v>0</v>
      </c>
      <c r="M546">
        <f>H546*Return!C546*100</f>
        <v>145.50000000000063</v>
      </c>
      <c r="N546">
        <f>I546*Return!D546*100</f>
        <v>126.89999999999802</v>
      </c>
      <c r="O546">
        <f>J546*Return!E546*100</f>
        <v>64.800000000000324</v>
      </c>
      <c r="P546">
        <f t="shared" si="119"/>
        <v>337.19999999999891</v>
      </c>
      <c r="Q546">
        <f>SUM($P$400:P546)</f>
        <v>21599.58</v>
      </c>
      <c r="R546">
        <f>B546*中国_中债国债到期收益率_1年!B545/365*100</f>
        <v>0</v>
      </c>
      <c r="S546">
        <f>C546*中国_中债国债到期收益率_1年!C545/365*100</f>
        <v>15.481643835616438</v>
      </c>
      <c r="T546">
        <f>D546*中国_中债国债到期收益率_1年!D545/365*100</f>
        <v>8.8273972602739725</v>
      </c>
      <c r="U546">
        <f>E546*中国_中债国债到期收益率_1年!E545/365*100</f>
        <v>1.9532876712328766</v>
      </c>
      <c r="V546">
        <f t="shared" si="120"/>
        <v>26.262328767123286</v>
      </c>
      <c r="W546">
        <f>SUM($V$400:V546)</f>
        <v>4844.9598356164361</v>
      </c>
      <c r="X546">
        <f>MAX(F546-50,0)*中国_中债国债到期收益率_1年!H546*100/365</f>
        <v>0</v>
      </c>
      <c r="Y546">
        <f>SUM($X$400:X546)</f>
        <v>330.43835616438366</v>
      </c>
      <c r="Z546">
        <v>-100</v>
      </c>
      <c r="AA546">
        <v>100</v>
      </c>
      <c r="AB546">
        <f>Z546*Return!F550*100</f>
        <v>-13.000000000000789</v>
      </c>
      <c r="AC546">
        <f>AA546*Return!G550*100</f>
        <v>115.99999999999832</v>
      </c>
      <c r="AD546">
        <f>SUM($AB$400:AB546)+SUM($AC$400:AC546)</f>
        <v>2900.3000000000143</v>
      </c>
      <c r="AE546">
        <f t="shared" si="113"/>
        <v>29014.401479452066</v>
      </c>
      <c r="AF546">
        <f t="shared" si="114"/>
        <v>1.0580288029589042</v>
      </c>
      <c r="AG546" s="4">
        <f>(AE546-AE545)/(500000+AE545)-中国_中债国债到期收益率_1年!H546%/252</f>
        <v>8.0713869165896122E-4</v>
      </c>
      <c r="AH546" s="4">
        <f>MIN((AF546-MAX($AF$401:AF546))/MAX($AF$401:AF546),0)</f>
        <v>0</v>
      </c>
    </row>
    <row r="547" spans="1:34" x14ac:dyDescent="0.25">
      <c r="A547" s="8">
        <v>45505</v>
      </c>
      <c r="B547">
        <v>0</v>
      </c>
      <c r="C547">
        <v>30</v>
      </c>
      <c r="D547">
        <v>15</v>
      </c>
      <c r="E547">
        <v>3</v>
      </c>
      <c r="F547">
        <f t="shared" si="112"/>
        <v>48</v>
      </c>
      <c r="G547">
        <f t="shared" si="111"/>
        <v>0</v>
      </c>
      <c r="H547">
        <f t="shared" si="115"/>
        <v>150</v>
      </c>
      <c r="I547">
        <f t="shared" si="116"/>
        <v>135</v>
      </c>
      <c r="J547">
        <f t="shared" si="117"/>
        <v>48</v>
      </c>
      <c r="K547">
        <f t="shared" si="118"/>
        <v>333</v>
      </c>
      <c r="L547">
        <f>G547*Return!B547*100</f>
        <v>0</v>
      </c>
      <c r="M547">
        <f>H547*Return!C547*100</f>
        <v>518.99999999999943</v>
      </c>
      <c r="N547">
        <f>I547*Return!D547*100</f>
        <v>-18.899999999997917</v>
      </c>
      <c r="O547">
        <f>J547*Return!E547*100</f>
        <v>-28.79999999999896</v>
      </c>
      <c r="P547">
        <f t="shared" si="119"/>
        <v>471.30000000000257</v>
      </c>
      <c r="Q547">
        <f>SUM($P$400:P547)</f>
        <v>22070.880000000005</v>
      </c>
      <c r="R547">
        <f>B547*中国_中债国债到期收益率_1年!B546/365*100</f>
        <v>0</v>
      </c>
      <c r="S547">
        <f>C547*中国_中债国债到期收益率_1年!C546/365*100</f>
        <v>15.197260273972601</v>
      </c>
      <c r="T547">
        <f>D547*中国_中债国债到期收益率_1年!D546/365*100</f>
        <v>8.8331506849315069</v>
      </c>
      <c r="U547">
        <f>E547*中国_中债国债到期收益率_1年!E546/365*100</f>
        <v>1.9582191780821916</v>
      </c>
      <c r="V547">
        <f t="shared" si="120"/>
        <v>25.988630136986298</v>
      </c>
      <c r="W547">
        <f>SUM($V$400:V547)</f>
        <v>4870.9484657534222</v>
      </c>
      <c r="X547">
        <f>MAX(F547-50,0)*中国_中债国债到期收益率_1年!H547*100/365</f>
        <v>0</v>
      </c>
      <c r="Y547">
        <f>SUM($X$400:X547)</f>
        <v>330.43835616438366</v>
      </c>
      <c r="Z547">
        <v>-100</v>
      </c>
      <c r="AA547">
        <v>100</v>
      </c>
      <c r="AB547">
        <f>Z547*Return!F551*100</f>
        <v>142.9999999999998</v>
      </c>
      <c r="AC547">
        <f>AA547*Return!G551*100</f>
        <v>-272.99999999999881</v>
      </c>
      <c r="AD547">
        <f>SUM($AB$400:AB547)+SUM($AC$400:AC547)</f>
        <v>2770.3000000000152</v>
      </c>
      <c r="AE547">
        <f t="shared" si="113"/>
        <v>29381.690109589057</v>
      </c>
      <c r="AF547">
        <f t="shared" si="114"/>
        <v>1.058763380219178</v>
      </c>
      <c r="AG547" s="4">
        <f>(AE547-AE546)/(500000+AE546)-中国_中债国债到期收益率_1年!H547%/252</f>
        <v>6.2087582966862461E-4</v>
      </c>
      <c r="AH547" s="4">
        <f>MIN((AF547-MAX($AF$401:AF547))/MAX($AF$401:AF547),0)</f>
        <v>0</v>
      </c>
    </row>
    <row r="548" spans="1:34" x14ac:dyDescent="0.25">
      <c r="A548" s="8">
        <v>45506</v>
      </c>
      <c r="B548">
        <v>0</v>
      </c>
      <c r="C548">
        <v>30</v>
      </c>
      <c r="D548">
        <v>15</v>
      </c>
      <c r="E548">
        <v>3</v>
      </c>
      <c r="F548">
        <f t="shared" si="112"/>
        <v>48</v>
      </c>
      <c r="G548">
        <f t="shared" si="111"/>
        <v>0</v>
      </c>
      <c r="H548">
        <f t="shared" si="115"/>
        <v>150</v>
      </c>
      <c r="I548">
        <f t="shared" si="116"/>
        <v>135</v>
      </c>
      <c r="J548">
        <f t="shared" si="117"/>
        <v>48</v>
      </c>
      <c r="K548">
        <f t="shared" si="118"/>
        <v>333</v>
      </c>
      <c r="L548">
        <f>G548*Return!B548*100</f>
        <v>0</v>
      </c>
      <c r="M548">
        <f>H548*Return!C548*100</f>
        <v>341.99999999999898</v>
      </c>
      <c r="N548">
        <f>I548*Return!D548*100</f>
        <v>265.94999999999771</v>
      </c>
      <c r="O548">
        <f>J548*Return!E548*100</f>
        <v>83.519999999999328</v>
      </c>
      <c r="P548">
        <f t="shared" si="119"/>
        <v>691.46999999999593</v>
      </c>
      <c r="Q548">
        <f>SUM($P$400:P548)</f>
        <v>22762.350000000002</v>
      </c>
      <c r="R548">
        <f>B548*中国_中债国债到期收益率_1年!B547/365*100</f>
        <v>0</v>
      </c>
      <c r="S548">
        <f>C548*中国_中债国债到期收益率_1年!C547/365*100</f>
        <v>15.009863013698629</v>
      </c>
      <c r="T548">
        <f>D548*中国_中债国债到期收益率_1年!D547/365*100</f>
        <v>8.752191780821919</v>
      </c>
      <c r="U548">
        <f>E548*中国_中债国债到期收益率_1年!E547/365*100</f>
        <v>1.9439178082191779</v>
      </c>
      <c r="V548">
        <f t="shared" si="120"/>
        <v>25.705972602739728</v>
      </c>
      <c r="W548">
        <f>SUM($V$400:V548)</f>
        <v>4896.6544383561622</v>
      </c>
      <c r="X548">
        <f>MAX(F548-50,0)*中国_中债国债到期收益率_1年!H548*100/365</f>
        <v>0</v>
      </c>
      <c r="Y548">
        <f>SUM($X$400:X548)</f>
        <v>330.43835616438366</v>
      </c>
      <c r="Z548">
        <v>-100</v>
      </c>
      <c r="AA548">
        <v>100</v>
      </c>
      <c r="AB548">
        <f>Z548*Return!F552*100</f>
        <v>-22.999999999999687</v>
      </c>
      <c r="AC548">
        <f>AA548*Return!G552*100</f>
        <v>128.99999999999912</v>
      </c>
      <c r="AD548">
        <f>SUM($AB$400:AB548)+SUM($AC$400:AC548)</f>
        <v>2876.3000000000147</v>
      </c>
      <c r="AE548">
        <f t="shared" si="113"/>
        <v>30204.866082191795</v>
      </c>
      <c r="AF548">
        <f t="shared" si="114"/>
        <v>1.0604097321643835</v>
      </c>
      <c r="AG548" s="4">
        <f>(AE548-AE547)/(500000+AE547)-中国_中债国债到期收益率_1年!H548%/252</f>
        <v>1.4827540604526268E-3</v>
      </c>
      <c r="AH548" s="4">
        <f>MIN((AF548-MAX($AF$401:AF548))/MAX($AF$401:AF548),0)</f>
        <v>0</v>
      </c>
    </row>
    <row r="549" spans="1:34" x14ac:dyDescent="0.25">
      <c r="A549" s="8">
        <v>45509</v>
      </c>
      <c r="B549">
        <v>0</v>
      </c>
      <c r="C549">
        <v>30</v>
      </c>
      <c r="D549">
        <v>15</v>
      </c>
      <c r="E549">
        <v>3</v>
      </c>
      <c r="F549">
        <f t="shared" si="112"/>
        <v>48</v>
      </c>
      <c r="G549">
        <f t="shared" si="111"/>
        <v>0</v>
      </c>
      <c r="H549">
        <f t="shared" si="115"/>
        <v>150</v>
      </c>
      <c r="I549">
        <f t="shared" si="116"/>
        <v>135</v>
      </c>
      <c r="J549">
        <f t="shared" si="117"/>
        <v>48</v>
      </c>
      <c r="K549">
        <f t="shared" si="118"/>
        <v>333</v>
      </c>
      <c r="L549">
        <f>G549*Return!B549*100</f>
        <v>0</v>
      </c>
      <c r="M549">
        <f>H549*Return!C549*100</f>
        <v>111.00000000000109</v>
      </c>
      <c r="N549">
        <f>I549*Return!D549*100</f>
        <v>27.00000000000302</v>
      </c>
      <c r="O549">
        <f>J549*Return!E549*100</f>
        <v>89.280000000000825</v>
      </c>
      <c r="P549">
        <f t="shared" si="119"/>
        <v>227.28000000000495</v>
      </c>
      <c r="Q549">
        <f>SUM($P$400:P549)</f>
        <v>22989.630000000008</v>
      </c>
      <c r="R549">
        <f>B549*中国_中债国债到期收益率_1年!B548/365*100</f>
        <v>0</v>
      </c>
      <c r="S549">
        <f>C549*中国_中债国债到期收益率_1年!C548/365*100</f>
        <v>14.949041095890411</v>
      </c>
      <c r="T549">
        <f>D549*中国_中债国债到期收益率_1年!D548/365*100</f>
        <v>8.743972602739726</v>
      </c>
      <c r="U549">
        <f>E549*中国_中债国债到期收益率_1年!E548/365*100</f>
        <v>1.928630136986301</v>
      </c>
      <c r="V549">
        <f t="shared" si="120"/>
        <v>25.621643835616439</v>
      </c>
      <c r="W549">
        <f>SUM($V$400:V549)</f>
        <v>4922.2760821917791</v>
      </c>
      <c r="X549">
        <f>MAX(F549-50,0)*中国_中债国债到期收益率_1年!H549*100/365</f>
        <v>0</v>
      </c>
      <c r="Y549">
        <f>SUM($X$400:X549)</f>
        <v>330.43835616438366</v>
      </c>
      <c r="Z549">
        <v>-100</v>
      </c>
      <c r="AA549">
        <v>100</v>
      </c>
      <c r="AB549">
        <f>Z549*Return!F553*100</f>
        <v>188.00000000000151</v>
      </c>
      <c r="AC549">
        <f>AA549*Return!G553*100</f>
        <v>-259.00000000000034</v>
      </c>
      <c r="AD549">
        <f>SUM($AB$400:AB549)+SUM($AC$400:AC549)</f>
        <v>2805.3000000000161</v>
      </c>
      <c r="AE549">
        <f t="shared" si="113"/>
        <v>30386.767726027421</v>
      </c>
      <c r="AF549">
        <f t="shared" si="114"/>
        <v>1.0607735354520549</v>
      </c>
      <c r="AG549" s="4">
        <f>(AE549-AE548)/(500000+AE548)-中国_中债国债到期收益率_1年!H549%/252</f>
        <v>2.716494640103345E-4</v>
      </c>
      <c r="AH549" s="4">
        <f>MIN((AF549-MAX($AF$401:AF549))/MAX($AF$401:AF549),0)</f>
        <v>0</v>
      </c>
    </row>
    <row r="550" spans="1:34" x14ac:dyDescent="0.25">
      <c r="A550" s="8">
        <v>45510</v>
      </c>
      <c r="B550">
        <v>0</v>
      </c>
      <c r="C550">
        <v>30</v>
      </c>
      <c r="D550">
        <v>15</v>
      </c>
      <c r="E550">
        <v>3</v>
      </c>
      <c r="F550">
        <f t="shared" si="112"/>
        <v>48</v>
      </c>
      <c r="G550">
        <f t="shared" si="111"/>
        <v>0</v>
      </c>
      <c r="H550">
        <f t="shared" si="115"/>
        <v>150</v>
      </c>
      <c r="I550">
        <f t="shared" si="116"/>
        <v>135</v>
      </c>
      <c r="J550">
        <f t="shared" si="117"/>
        <v>48</v>
      </c>
      <c r="K550">
        <f t="shared" si="118"/>
        <v>333</v>
      </c>
      <c r="L550">
        <f>G550*Return!B550*100</f>
        <v>0</v>
      </c>
      <c r="M550">
        <f>H550*Return!C550*100</f>
        <v>65.999999999999389</v>
      </c>
      <c r="N550">
        <f>I550*Return!D550*100</f>
        <v>-133.65000000000026</v>
      </c>
      <c r="O550">
        <f>J550*Return!E550*100</f>
        <v>43.199999999999505</v>
      </c>
      <c r="P550">
        <f t="shared" si="119"/>
        <v>-24.450000000001367</v>
      </c>
      <c r="Q550">
        <f>SUM($P$400:P550)</f>
        <v>22965.180000000008</v>
      </c>
      <c r="R550">
        <f>B550*中国_中债国债到期收益率_1年!B549/365*100</f>
        <v>0</v>
      </c>
      <c r="S550">
        <f>C550*中国_中债国债到期收益率_1年!C549/365*100</f>
        <v>14.912876712328767</v>
      </c>
      <c r="T550">
        <f>D550*中国_中债国债到期收益率_1年!D549/365*100</f>
        <v>8.7846575342465769</v>
      </c>
      <c r="U550">
        <f>E550*中国_中债国债到期收益率_1年!E549/365*100</f>
        <v>1.9212328767123286</v>
      </c>
      <c r="V550">
        <f t="shared" si="120"/>
        <v>25.618767123287672</v>
      </c>
      <c r="W550">
        <f>SUM($V$400:V550)</f>
        <v>4947.8948493150665</v>
      </c>
      <c r="X550">
        <f>MAX(F550-50,0)*中国_中债国债到期收益率_1年!H550*100/365</f>
        <v>0</v>
      </c>
      <c r="Y550">
        <f>SUM($X$400:X550)</f>
        <v>330.43835616438366</v>
      </c>
      <c r="Z550">
        <v>-100</v>
      </c>
      <c r="AA550">
        <v>100</v>
      </c>
      <c r="AB550">
        <f>Z550*Return!F554*100</f>
        <v>143.99999999999969</v>
      </c>
      <c r="AC550">
        <f>AA550*Return!G554*100</f>
        <v>-195.99999999999841</v>
      </c>
      <c r="AD550">
        <f>SUM($AB$400:AB550)+SUM($AC$400:AC550)</f>
        <v>2753.3000000000175</v>
      </c>
      <c r="AE550">
        <f t="shared" si="113"/>
        <v>30335.936493150708</v>
      </c>
      <c r="AF550">
        <f t="shared" si="114"/>
        <v>1.0606718729863014</v>
      </c>
      <c r="AG550" s="4">
        <f>(AE550-AE549)/(500000+AE549)-中国_中债国债到期收益率_1年!H550%/252</f>
        <v>-1.6885392171879678E-4</v>
      </c>
      <c r="AH550" s="4">
        <f>MIN((AF550-MAX($AF$401:AF550))/MAX($AF$401:AF550),0)</f>
        <v>-9.5838048702986955E-5</v>
      </c>
    </row>
    <row r="551" spans="1:34" x14ac:dyDescent="0.25">
      <c r="A551" s="8">
        <v>45511</v>
      </c>
      <c r="B551">
        <v>0</v>
      </c>
      <c r="C551">
        <v>30</v>
      </c>
      <c r="D551">
        <v>15</v>
      </c>
      <c r="E551">
        <v>3</v>
      </c>
      <c r="F551">
        <f t="shared" si="112"/>
        <v>48</v>
      </c>
      <c r="G551">
        <f t="shared" si="111"/>
        <v>0</v>
      </c>
      <c r="H551">
        <f t="shared" si="115"/>
        <v>150</v>
      </c>
      <c r="I551">
        <f t="shared" si="116"/>
        <v>135</v>
      </c>
      <c r="J551">
        <f t="shared" si="117"/>
        <v>48</v>
      </c>
      <c r="K551">
        <f t="shared" si="118"/>
        <v>333</v>
      </c>
      <c r="L551">
        <f>G551*Return!B551*100</f>
        <v>0</v>
      </c>
      <c r="M551">
        <f>H551*Return!C551*100</f>
        <v>-38.999999999999034</v>
      </c>
      <c r="N551">
        <f>I551*Return!D551*100</f>
        <v>-155.2499999999979</v>
      </c>
      <c r="O551">
        <f>J551*Return!E551*100</f>
        <v>-84.000000000000341</v>
      </c>
      <c r="P551">
        <f t="shared" si="119"/>
        <v>-278.24999999999727</v>
      </c>
      <c r="Q551">
        <f>SUM($P$400:P551)</f>
        <v>22686.930000000011</v>
      </c>
      <c r="R551">
        <f>B551*中国_中债国债到期收益率_1年!B550/365*100</f>
        <v>0</v>
      </c>
      <c r="S551">
        <f>C551*中国_中债国债到期收益率_1年!C550/365*100</f>
        <v>14.934246575342467</v>
      </c>
      <c r="T551">
        <f>D551*中国_中债国债到期收益率_1年!D550/365*100</f>
        <v>8.8319178082191776</v>
      </c>
      <c r="U551">
        <f>E551*中国_中债国债到期收益率_1年!E550/365*100</f>
        <v>1.9356164383561643</v>
      </c>
      <c r="V551">
        <f t="shared" si="120"/>
        <v>25.701780821917808</v>
      </c>
      <c r="W551">
        <f>SUM($V$400:V551)</f>
        <v>4973.5966301369845</v>
      </c>
      <c r="X551">
        <f>MAX(F551-50,0)*中国_中债国债到期收益率_1年!H551*100/365</f>
        <v>0</v>
      </c>
      <c r="Y551">
        <f>SUM($X$400:X551)</f>
        <v>330.43835616438366</v>
      </c>
      <c r="Z551">
        <v>-100</v>
      </c>
      <c r="AA551">
        <v>100</v>
      </c>
      <c r="AB551">
        <f>Z551*Return!F555*100</f>
        <v>336.99999999999841</v>
      </c>
      <c r="AC551">
        <f>AA551*Return!G555*100</f>
        <v>-333.00000000000108</v>
      </c>
      <c r="AD551">
        <f>SUM($AB$400:AB551)+SUM($AC$400:AC551)</f>
        <v>2757.3000000000147</v>
      </c>
      <c r="AE551">
        <f t="shared" si="113"/>
        <v>30087.388273972625</v>
      </c>
      <c r="AF551">
        <f t="shared" si="114"/>
        <v>1.0601747765479452</v>
      </c>
      <c r="AG551" s="4">
        <f>(AE551-AE550)/(500000+AE550)-中国_中债国债到期收益率_1年!H551%/252</f>
        <v>-5.4128089396046175E-4</v>
      </c>
      <c r="AH551" s="4">
        <f>MIN((AF551-MAX($AF$401:AF551))/MAX($AF$401:AF551),0)</f>
        <v>-5.6445497940754003E-4</v>
      </c>
    </row>
    <row r="552" spans="1:34" x14ac:dyDescent="0.25">
      <c r="A552" s="8">
        <v>45512</v>
      </c>
      <c r="B552">
        <v>0</v>
      </c>
      <c r="C552">
        <v>30</v>
      </c>
      <c r="D552">
        <v>15</v>
      </c>
      <c r="E552">
        <v>3</v>
      </c>
      <c r="F552">
        <f t="shared" si="112"/>
        <v>48</v>
      </c>
      <c r="G552">
        <f t="shared" si="111"/>
        <v>0</v>
      </c>
      <c r="H552">
        <f t="shared" si="115"/>
        <v>150</v>
      </c>
      <c r="I552">
        <f t="shared" si="116"/>
        <v>135</v>
      </c>
      <c r="J552">
        <f t="shared" si="117"/>
        <v>48</v>
      </c>
      <c r="K552">
        <f t="shared" si="118"/>
        <v>333</v>
      </c>
      <c r="L552">
        <f>G552*Return!B552*100</f>
        <v>0</v>
      </c>
      <c r="M552">
        <f>H552*Return!C552*100</f>
        <v>262.49999999999773</v>
      </c>
      <c r="N552">
        <f>I552*Return!D552*100</f>
        <v>103.94999999999754</v>
      </c>
      <c r="O552">
        <f>J552*Return!E552*100</f>
        <v>96.000000000000085</v>
      </c>
      <c r="P552">
        <f t="shared" si="119"/>
        <v>462.44999999999538</v>
      </c>
      <c r="Q552">
        <f>SUM($P$400:P552)</f>
        <v>23149.380000000008</v>
      </c>
      <c r="R552">
        <f>B552*中国_中债国债到期收益率_1年!B551/365*100</f>
        <v>0</v>
      </c>
      <c r="S552">
        <f>C552*中国_中债国债到期收益率_1年!C551/365*100</f>
        <v>14.79041095890411</v>
      </c>
      <c r="T552">
        <f>D552*中国_中债国债到期收益率_1年!D551/365*100</f>
        <v>8.8002739726027404</v>
      </c>
      <c r="U552">
        <f>E552*中国_中债国债到期收益率_1年!E551/365*100</f>
        <v>1.9191780821917808</v>
      </c>
      <c r="V552">
        <f t="shared" si="120"/>
        <v>25.509863013698631</v>
      </c>
      <c r="W552">
        <f>SUM($V$400:V552)</f>
        <v>4999.1064931506835</v>
      </c>
      <c r="X552">
        <f>MAX(F552-50,0)*中国_中债国债到期收益率_1年!H552*100/365</f>
        <v>0</v>
      </c>
      <c r="Y552">
        <f>SUM($X$400:X552)</f>
        <v>330.43835616438366</v>
      </c>
      <c r="Z552">
        <v>-100</v>
      </c>
      <c r="AA552">
        <v>100</v>
      </c>
      <c r="AB552">
        <f>Z552*Return!F556*100</f>
        <v>-232.99999999999875</v>
      </c>
      <c r="AC552">
        <f>AA552*Return!G556*100</f>
        <v>348.99999999999932</v>
      </c>
      <c r="AD552">
        <f>SUM($AB$400:AB552)+SUM($AC$400:AC552)</f>
        <v>2873.3000000000152</v>
      </c>
      <c r="AE552">
        <f t="shared" si="113"/>
        <v>30691.348136986322</v>
      </c>
      <c r="AF552">
        <f t="shared" si="114"/>
        <v>1.0613826962739727</v>
      </c>
      <c r="AG552" s="4">
        <f>(AE552-AE551)/(500000+AE551)-中国_中债国债到期收益率_1年!H552%/252</f>
        <v>1.0659463513852262E-3</v>
      </c>
      <c r="AH552" s="4">
        <f>MIN((AF552-MAX($AF$401:AF552))/MAX($AF$401:AF552),0)</f>
        <v>0</v>
      </c>
    </row>
    <row r="553" spans="1:34" x14ac:dyDescent="0.25">
      <c r="A553" s="8">
        <v>45513</v>
      </c>
      <c r="B553">
        <v>0</v>
      </c>
      <c r="C553">
        <v>30</v>
      </c>
      <c r="D553">
        <v>15</v>
      </c>
      <c r="E553">
        <v>3</v>
      </c>
      <c r="F553">
        <f t="shared" si="112"/>
        <v>48</v>
      </c>
      <c r="G553">
        <f t="shared" si="111"/>
        <v>0</v>
      </c>
      <c r="H553">
        <f t="shared" si="115"/>
        <v>150</v>
      </c>
      <c r="I553">
        <f t="shared" si="116"/>
        <v>135</v>
      </c>
      <c r="J553">
        <f t="shared" si="117"/>
        <v>48</v>
      </c>
      <c r="K553">
        <f t="shared" si="118"/>
        <v>333</v>
      </c>
      <c r="L553">
        <f>G553*Return!B553*100</f>
        <v>0</v>
      </c>
      <c r="M553">
        <f>H553*Return!C553*100</f>
        <v>-530.99999999999807</v>
      </c>
      <c r="N553">
        <f>I553*Return!D553*100</f>
        <v>-534.60000000000105</v>
      </c>
      <c r="O553">
        <f>J553*Return!E553*100</f>
        <v>-168.00000000000068</v>
      </c>
      <c r="P553">
        <f t="shared" si="119"/>
        <v>-1233.5999999999997</v>
      </c>
      <c r="Q553">
        <f>SUM($P$400:P553)</f>
        <v>21915.78000000001</v>
      </c>
      <c r="R553">
        <f>B553*中国_中债国债到期收益率_1年!B552/365*100</f>
        <v>0</v>
      </c>
      <c r="S553">
        <f>C553*中国_中债国债到期收益率_1年!C552/365*100</f>
        <v>15.081369863013697</v>
      </c>
      <c r="T553">
        <f>D553*中国_中债国债到期收益率_1年!D552/365*100</f>
        <v>8.963013698630137</v>
      </c>
      <c r="U553">
        <f>E553*中国_中债国债到期收益率_1年!E552/365*100</f>
        <v>1.9479452054794522</v>
      </c>
      <c r="V553">
        <f t="shared" si="120"/>
        <v>25.992328767123286</v>
      </c>
      <c r="W553">
        <f>SUM($V$400:V553)</f>
        <v>5025.0988219178071</v>
      </c>
      <c r="X553">
        <f>MAX(F553-50,0)*中国_中债国债到期收益率_1年!H553*100/365</f>
        <v>0</v>
      </c>
      <c r="Y553">
        <f>SUM($X$400:X553)</f>
        <v>330.43835616438366</v>
      </c>
      <c r="Z553">
        <v>-100</v>
      </c>
      <c r="AA553">
        <v>100</v>
      </c>
      <c r="AB553">
        <f>Z553*Return!F557*100</f>
        <v>-289.00000000000148</v>
      </c>
      <c r="AC553">
        <f>AA553*Return!G557*100</f>
        <v>356.00000000000074</v>
      </c>
      <c r="AD553">
        <f>SUM($AB$400:AB553)+SUM($AC$400:AC553)</f>
        <v>2940.3000000000147</v>
      </c>
      <c r="AE553">
        <f t="shared" si="113"/>
        <v>29550.740465753446</v>
      </c>
      <c r="AF553">
        <f t="shared" si="114"/>
        <v>1.0591014809315069</v>
      </c>
      <c r="AG553" s="4">
        <f>(AE553-AE552)/(500000+AE552)-中国_中债国债到期收益率_1年!H553%/252</f>
        <v>-2.2230958749758383E-3</v>
      </c>
      <c r="AH553" s="4">
        <f>MIN((AF553-MAX($AF$401:AF553))/MAX($AF$401:AF553),0)</f>
        <v>-2.1492863511663948E-3</v>
      </c>
    </row>
    <row r="554" spans="1:34" x14ac:dyDescent="0.25">
      <c r="A554" s="8">
        <v>45516</v>
      </c>
      <c r="B554">
        <v>0</v>
      </c>
      <c r="C554">
        <v>30</v>
      </c>
      <c r="D554">
        <v>15</v>
      </c>
      <c r="E554">
        <v>3</v>
      </c>
      <c r="F554">
        <f t="shared" si="112"/>
        <v>48</v>
      </c>
      <c r="G554">
        <f t="shared" si="111"/>
        <v>0</v>
      </c>
      <c r="H554">
        <f t="shared" si="115"/>
        <v>150</v>
      </c>
      <c r="I554">
        <f t="shared" si="116"/>
        <v>135</v>
      </c>
      <c r="J554">
        <f t="shared" si="117"/>
        <v>48</v>
      </c>
      <c r="K554">
        <f t="shared" si="118"/>
        <v>333</v>
      </c>
      <c r="L554">
        <f>G554*Return!B554*100</f>
        <v>0</v>
      </c>
      <c r="M554">
        <f>H554*Return!C554*100</f>
        <v>-535.50000000000091</v>
      </c>
      <c r="N554">
        <f>I554*Return!D554*100</f>
        <v>-237.59999999999781</v>
      </c>
      <c r="O554">
        <f>J554*Return!E554*100</f>
        <v>-47.999999999998977</v>
      </c>
      <c r="P554">
        <f t="shared" si="119"/>
        <v>-821.09999999999775</v>
      </c>
      <c r="Q554">
        <f>SUM($P$400:P554)</f>
        <v>21094.680000000011</v>
      </c>
      <c r="R554">
        <f>B554*中国_中债国债到期收益率_1年!B553/365*100</f>
        <v>0</v>
      </c>
      <c r="S554">
        <f>C554*中国_中债国债到期收益率_1年!C553/365*100</f>
        <v>15.374794520547946</v>
      </c>
      <c r="T554">
        <f>D554*中国_中债国债到期收益率_1年!D553/365*100</f>
        <v>9.0353424657534251</v>
      </c>
      <c r="U554">
        <f>E554*中国_中债国债到期收益率_1年!E553/365*100</f>
        <v>1.9561643835616438</v>
      </c>
      <c r="V554">
        <f t="shared" si="120"/>
        <v>26.366301369863013</v>
      </c>
      <c r="W554">
        <f>SUM($V$400:V554)</f>
        <v>5051.4651232876704</v>
      </c>
      <c r="X554">
        <f>MAX(F554-50,0)*中国_中债国债到期收益率_1年!H554*100/365</f>
        <v>0</v>
      </c>
      <c r="Y554">
        <f>SUM($X$400:X554)</f>
        <v>330.43835616438366</v>
      </c>
      <c r="Z554">
        <v>-100</v>
      </c>
      <c r="AA554">
        <v>100</v>
      </c>
      <c r="AB554">
        <f>Z554*Return!F558*100</f>
        <v>135.00000000000068</v>
      </c>
      <c r="AC554">
        <f>AA554*Return!G558*100</f>
        <v>-88.999999999999076</v>
      </c>
      <c r="AD554">
        <f>SUM($AB$400:AB554)+SUM($AC$400:AC554)</f>
        <v>2986.3000000000166</v>
      </c>
      <c r="AE554">
        <f t="shared" si="113"/>
        <v>28802.006767123316</v>
      </c>
      <c r="AF554">
        <f t="shared" si="114"/>
        <v>1.0576040135342466</v>
      </c>
      <c r="AG554" s="4">
        <f>(AE554-AE553)/(500000+AE553)-中国_中债国债到期收益率_1年!H554%/252</f>
        <v>-1.4900940767625388E-3</v>
      </c>
      <c r="AH554" s="4">
        <f>MIN((AF554-MAX($AF$401:AF554))/MAX($AF$401:AF554),0)</f>
        <v>-3.5601510680279289E-3</v>
      </c>
    </row>
    <row r="555" spans="1:34" x14ac:dyDescent="0.25">
      <c r="A555" s="8">
        <v>45517</v>
      </c>
      <c r="B555">
        <v>0</v>
      </c>
      <c r="C555">
        <v>30</v>
      </c>
      <c r="D555">
        <v>15</v>
      </c>
      <c r="E555">
        <v>3</v>
      </c>
      <c r="F555">
        <f t="shared" si="112"/>
        <v>48</v>
      </c>
      <c r="G555">
        <f t="shared" si="111"/>
        <v>0</v>
      </c>
      <c r="H555">
        <f t="shared" si="115"/>
        <v>150</v>
      </c>
      <c r="I555">
        <f t="shared" si="116"/>
        <v>135</v>
      </c>
      <c r="J555">
        <f t="shared" si="117"/>
        <v>48</v>
      </c>
      <c r="K555">
        <f t="shared" si="118"/>
        <v>333</v>
      </c>
      <c r="L555">
        <f>G555*Return!B555*100</f>
        <v>0</v>
      </c>
      <c r="M555">
        <f>H555*Return!C555*100</f>
        <v>-977.99999999999886</v>
      </c>
      <c r="N555">
        <f>I555*Return!D555*100</f>
        <v>-704.70000000000027</v>
      </c>
      <c r="O555">
        <f>J555*Return!E555*100</f>
        <v>-264.0000000000008</v>
      </c>
      <c r="P555">
        <f t="shared" si="119"/>
        <v>-1946.6999999999998</v>
      </c>
      <c r="Q555">
        <f>SUM($P$400:P555)</f>
        <v>19147.98000000001</v>
      </c>
      <c r="R555">
        <f>B555*中国_中债国债到期收益率_1年!B554/365*100</f>
        <v>0</v>
      </c>
      <c r="S555">
        <f>C555*中国_中债国债到期收益率_1年!C554/365*100</f>
        <v>15.91068493150685</v>
      </c>
      <c r="T555">
        <f>D555*中国_中债国债到期收益率_1年!D554/365*100</f>
        <v>9.2498630136986311</v>
      </c>
      <c r="U555">
        <f>E555*中国_中债国债到期收益率_1年!E554/365*100</f>
        <v>2.0013698630136982</v>
      </c>
      <c r="V555">
        <f t="shared" si="120"/>
        <v>27.161917808219179</v>
      </c>
      <c r="W555">
        <f>SUM($V$400:V555)</f>
        <v>5078.6270410958896</v>
      </c>
      <c r="X555">
        <f>MAX(F555-50,0)*中国_中债国债到期收益率_1年!H555*100/365</f>
        <v>0</v>
      </c>
      <c r="Y555">
        <f>SUM($X$400:X555)</f>
        <v>330.43835616438366</v>
      </c>
      <c r="Z555">
        <v>-100</v>
      </c>
      <c r="AA555">
        <v>100</v>
      </c>
      <c r="AB555">
        <f>Z555*Return!F559*100</f>
        <v>-23.999999999999577</v>
      </c>
      <c r="AC555">
        <f>AA555*Return!G559*100</f>
        <v>40.000000000000036</v>
      </c>
      <c r="AD555">
        <f>SUM($AB$400:AB555)+SUM($AC$400:AC555)</f>
        <v>3002.300000000017</v>
      </c>
      <c r="AE555">
        <f t="shared" si="113"/>
        <v>26898.468684931533</v>
      </c>
      <c r="AF555">
        <f t="shared" si="114"/>
        <v>1.053796937369863</v>
      </c>
      <c r="AG555" s="4">
        <f>(AE555-AE554)/(500000+AE554)-中国_中债国债到期收益率_1年!H555%/252</f>
        <v>-3.6770989145521373E-3</v>
      </c>
      <c r="AH555" s="4">
        <f>MIN((AF555-MAX($AF$401:AF555))/MAX($AF$401:AF555),0)</f>
        <v>-7.147053490451508E-3</v>
      </c>
    </row>
    <row r="556" spans="1:34" x14ac:dyDescent="0.25">
      <c r="A556" s="8">
        <v>45518</v>
      </c>
      <c r="B556">
        <v>0</v>
      </c>
      <c r="C556">
        <v>30</v>
      </c>
      <c r="D556">
        <v>15</v>
      </c>
      <c r="E556">
        <v>3</v>
      </c>
      <c r="F556">
        <f t="shared" si="112"/>
        <v>48</v>
      </c>
      <c r="G556">
        <f t="shared" si="111"/>
        <v>0</v>
      </c>
      <c r="H556">
        <f t="shared" si="115"/>
        <v>150</v>
      </c>
      <c r="I556">
        <f t="shared" si="116"/>
        <v>135</v>
      </c>
      <c r="J556">
        <f t="shared" si="117"/>
        <v>48</v>
      </c>
      <c r="K556">
        <f t="shared" si="118"/>
        <v>333</v>
      </c>
      <c r="L556">
        <f>G556*Return!B556*100</f>
        <v>0</v>
      </c>
      <c r="M556">
        <f>H556*Return!C556*100</f>
        <v>520.49999999999932</v>
      </c>
      <c r="N556">
        <f>I556*Return!D556*100</f>
        <v>341.55000000000138</v>
      </c>
      <c r="O556">
        <f>J556*Return!E556*100</f>
        <v>131.99999999999932</v>
      </c>
      <c r="P556">
        <f t="shared" si="119"/>
        <v>994.05</v>
      </c>
      <c r="Q556">
        <f>SUM($P$400:P556)</f>
        <v>20142.03000000001</v>
      </c>
      <c r="R556">
        <f>B556*中国_中债国债到期收益率_1年!B555/365*100</f>
        <v>0</v>
      </c>
      <c r="S556">
        <f>C556*中国_中债国债到期收益率_1年!C555/365*100</f>
        <v>15.625479452054794</v>
      </c>
      <c r="T556">
        <f>D556*中国_中债国债到期收益率_1年!D555/365*100</f>
        <v>9.1458904109589039</v>
      </c>
      <c r="U556">
        <f>E556*中国_中债国债到期收益率_1年!E555/365*100</f>
        <v>1.9787671232876713</v>
      </c>
      <c r="V556">
        <f t="shared" si="120"/>
        <v>26.750136986301367</v>
      </c>
      <c r="W556">
        <f>SUM($V$400:V556)</f>
        <v>5105.3771780821908</v>
      </c>
      <c r="X556">
        <f>MAX(F556-50,0)*中国_中债国债到期收益率_1年!H556*100/365</f>
        <v>0</v>
      </c>
      <c r="Y556">
        <f>SUM($X$400:X556)</f>
        <v>330.43835616438366</v>
      </c>
      <c r="Z556">
        <v>-100</v>
      </c>
      <c r="AA556">
        <v>100</v>
      </c>
      <c r="AB556">
        <f>Z556*Return!F560*100</f>
        <v>5.9999999999993392</v>
      </c>
      <c r="AC556">
        <f>AA556*Return!G560*100</f>
        <v>38.000000000000256</v>
      </c>
      <c r="AD556">
        <f>SUM($AB$400:AB556)+SUM($AC$400:AC556)</f>
        <v>3046.3000000000166</v>
      </c>
      <c r="AE556">
        <f t="shared" si="113"/>
        <v>27963.268821917834</v>
      </c>
      <c r="AF556">
        <f t="shared" si="114"/>
        <v>1.0559265376438356</v>
      </c>
      <c r="AG556" s="4">
        <f>(AE556-AE555)/(500000+AE555)-中国_中债国债到期收益率_1年!H556%/252</f>
        <v>1.9446924837541613E-3</v>
      </c>
      <c r="AH556" s="4">
        <f>MIN((AF556-MAX($AF$401:AF556))/MAX($AF$401:AF556),0)</f>
        <v>-5.1406138891195614E-3</v>
      </c>
    </row>
    <row r="557" spans="1:34" x14ac:dyDescent="0.25">
      <c r="A557" s="8">
        <v>45519</v>
      </c>
      <c r="B557">
        <v>0</v>
      </c>
      <c r="C557">
        <v>30</v>
      </c>
      <c r="D557">
        <v>15</v>
      </c>
      <c r="E557">
        <v>3</v>
      </c>
      <c r="F557">
        <f t="shared" si="112"/>
        <v>48</v>
      </c>
      <c r="G557">
        <f t="shared" si="111"/>
        <v>0</v>
      </c>
      <c r="H557">
        <f t="shared" si="115"/>
        <v>150</v>
      </c>
      <c r="I557">
        <f t="shared" si="116"/>
        <v>135</v>
      </c>
      <c r="J557">
        <f t="shared" si="117"/>
        <v>48</v>
      </c>
      <c r="K557">
        <f t="shared" si="118"/>
        <v>333</v>
      </c>
      <c r="L557">
        <f>G557*Return!B557*100</f>
        <v>0</v>
      </c>
      <c r="M557">
        <f>H557*Return!C557*100</f>
        <v>229.50000000000136</v>
      </c>
      <c r="N557">
        <f>I557*Return!D557*100</f>
        <v>390.149999999996</v>
      </c>
      <c r="O557">
        <f>J557*Return!E557*100</f>
        <v>155.51999999999992</v>
      </c>
      <c r="P557">
        <f t="shared" si="119"/>
        <v>775.16999999999734</v>
      </c>
      <c r="Q557">
        <f>SUM($P$400:P557)</f>
        <v>20917.200000000008</v>
      </c>
      <c r="R557">
        <f>B557*中国_中债国债到期收益率_1年!B556/365*100</f>
        <v>0</v>
      </c>
      <c r="S557">
        <f>C557*中国_中债国债到期收益率_1年!C556/365*100</f>
        <v>15.499726027397259</v>
      </c>
      <c r="T557">
        <f>D557*中国_中债国债到期收益率_1年!D556/365*100</f>
        <v>9.0271232876712322</v>
      </c>
      <c r="U557">
        <f>E557*中国_中债国债到期收益率_1年!E556/365*100</f>
        <v>1.9521369863013702</v>
      </c>
      <c r="V557">
        <f t="shared" si="120"/>
        <v>26.478986301369858</v>
      </c>
      <c r="W557">
        <f>SUM($V$400:V557)</f>
        <v>5131.856164383561</v>
      </c>
      <c r="X557">
        <f>MAX(F557-50,0)*中国_中债国债到期收益率_1年!H557*100/365</f>
        <v>0</v>
      </c>
      <c r="Y557">
        <f>SUM($X$400:X557)</f>
        <v>330.43835616438366</v>
      </c>
      <c r="Z557">
        <v>-100</v>
      </c>
      <c r="AA557">
        <v>100</v>
      </c>
      <c r="AB557">
        <f>Z557*Return!F561*100</f>
        <v>55.000000000000604</v>
      </c>
      <c r="AC557">
        <f>AA557*Return!G561*100</f>
        <v>61.999999999999829</v>
      </c>
      <c r="AD557">
        <f>SUM($AB$400:AB557)+SUM($AC$400:AC557)</f>
        <v>3163.300000000017</v>
      </c>
      <c r="AE557">
        <f t="shared" si="113"/>
        <v>28881.917808219201</v>
      </c>
      <c r="AF557">
        <f t="shared" si="114"/>
        <v>1.0577638356164385</v>
      </c>
      <c r="AG557" s="4">
        <f>(AE557-AE556)/(500000+AE556)-中国_中债国债到期收益率_1年!H557%/252</f>
        <v>1.6645897239538781E-3</v>
      </c>
      <c r="AH557" s="4">
        <f>MIN((AF557-MAX($AF$401:AF557))/MAX($AF$401:AF557),0)</f>
        <v>-3.4095719387911721E-3</v>
      </c>
    </row>
    <row r="558" spans="1:34" x14ac:dyDescent="0.25">
      <c r="A558" s="8">
        <v>45520</v>
      </c>
      <c r="B558">
        <v>0</v>
      </c>
      <c r="C558">
        <v>30</v>
      </c>
      <c r="D558">
        <v>15</v>
      </c>
      <c r="E558">
        <v>3</v>
      </c>
      <c r="F558">
        <f t="shared" si="112"/>
        <v>48</v>
      </c>
      <c r="G558">
        <f t="shared" si="111"/>
        <v>0</v>
      </c>
      <c r="H558">
        <f t="shared" si="115"/>
        <v>150</v>
      </c>
      <c r="I558">
        <f t="shared" si="116"/>
        <v>135</v>
      </c>
      <c r="J558">
        <f t="shared" si="117"/>
        <v>48</v>
      </c>
      <c r="K558">
        <f t="shared" si="118"/>
        <v>333</v>
      </c>
      <c r="L558">
        <f>G558*Return!B558*100</f>
        <v>0</v>
      </c>
      <c r="M558">
        <f>H558*Return!C558*100</f>
        <v>-300.00000000000028</v>
      </c>
      <c r="N558">
        <f>I558*Return!D558*100</f>
        <v>-113.39999999999949</v>
      </c>
      <c r="O558">
        <f>J558*Return!E558*100</f>
        <v>-71.519999999999584</v>
      </c>
      <c r="P558">
        <f t="shared" si="119"/>
        <v>-484.91999999999933</v>
      </c>
      <c r="Q558">
        <f>SUM($P$400:P558)</f>
        <v>20432.28000000001</v>
      </c>
      <c r="R558">
        <f>B558*中国_中债国债到期收益率_1年!B557/365*100</f>
        <v>0</v>
      </c>
      <c r="S558">
        <f>C558*中国_中债国债到期收益率_1年!C557/365*100</f>
        <v>15.664109589041095</v>
      </c>
      <c r="T558">
        <f>D558*中国_中债国债到期收益率_1年!D557/365*100</f>
        <v>9.0616438356164402</v>
      </c>
      <c r="U558">
        <f>E558*中国_中债国债到期收益率_1年!E557/365*100</f>
        <v>1.9643835616438357</v>
      </c>
      <c r="V558">
        <f t="shared" si="120"/>
        <v>26.690136986301368</v>
      </c>
      <c r="W558">
        <f>SUM($V$400:V558)</f>
        <v>5158.5463013698627</v>
      </c>
      <c r="X558">
        <f>MAX(F558-50,0)*中国_中债国债到期收益率_1年!H558*100/365</f>
        <v>0</v>
      </c>
      <c r="Y558">
        <f>SUM($X$400:X558)</f>
        <v>330.43835616438366</v>
      </c>
      <c r="Z558">
        <v>-100</v>
      </c>
      <c r="AA558">
        <v>100</v>
      </c>
      <c r="AB558">
        <f>Z558*Return!F562*100</f>
        <v>264.99999999999966</v>
      </c>
      <c r="AC558">
        <f>AA558*Return!G562*100</f>
        <v>-200.00000000000017</v>
      </c>
      <c r="AD558">
        <f>SUM($AB$400:AB558)+SUM($AC$400:AC558)</f>
        <v>3228.3000000000166</v>
      </c>
      <c r="AE558">
        <f t="shared" si="113"/>
        <v>28488.687945205507</v>
      </c>
      <c r="AF558">
        <f t="shared" si="114"/>
        <v>1.0569773758904111</v>
      </c>
      <c r="AG558" s="4">
        <f>(AE558-AE557)/(500000+AE557)-中国_中债国债到期收益率_1年!H558%/252</f>
        <v>-8.1732116558262203E-4</v>
      </c>
      <c r="AH558" s="4">
        <f>MIN((AF558-MAX($AF$401:AF558))/MAX($AF$401:AF558),0)</f>
        <v>-4.1505485241343483E-3</v>
      </c>
    </row>
    <row r="559" spans="1:34" x14ac:dyDescent="0.25">
      <c r="A559" s="8">
        <v>45523</v>
      </c>
      <c r="B559">
        <v>0</v>
      </c>
      <c r="C559">
        <v>30</v>
      </c>
      <c r="D559">
        <v>15</v>
      </c>
      <c r="E559">
        <v>3</v>
      </c>
      <c r="F559">
        <f t="shared" si="112"/>
        <v>48</v>
      </c>
      <c r="G559">
        <f t="shared" si="111"/>
        <v>0</v>
      </c>
      <c r="H559">
        <f t="shared" si="115"/>
        <v>150</v>
      </c>
      <c r="I559">
        <f t="shared" si="116"/>
        <v>135</v>
      </c>
      <c r="J559">
        <f t="shared" si="117"/>
        <v>48</v>
      </c>
      <c r="K559">
        <f t="shared" si="118"/>
        <v>333</v>
      </c>
      <c r="L559">
        <f>G559*Return!B559*100</f>
        <v>0</v>
      </c>
      <c r="M559">
        <f>H559*Return!C559*100</f>
        <v>235.50000000000071</v>
      </c>
      <c r="N559">
        <f>I559*Return!D559*100</f>
        <v>97.200000000001282</v>
      </c>
      <c r="O559">
        <f>J559*Return!E559*100</f>
        <v>0</v>
      </c>
      <c r="P559">
        <f t="shared" si="119"/>
        <v>332.70000000000198</v>
      </c>
      <c r="Q559">
        <f>SUM($P$400:P559)</f>
        <v>20764.98000000001</v>
      </c>
      <c r="R559">
        <f>B559*中国_中债国债到期收益率_1年!B558/365*100</f>
        <v>0</v>
      </c>
      <c r="S559">
        <f>C559*中国_中债国债到期收益率_1年!C558/365*100</f>
        <v>15.535068493150684</v>
      </c>
      <c r="T559">
        <f>D559*中国_中债国债到期收益率_1年!D558/365*100</f>
        <v>9.0320547945205476</v>
      </c>
      <c r="U559">
        <f>E559*中国_中债国债到期收益率_1年!E558/365*100</f>
        <v>1.9643835616438357</v>
      </c>
      <c r="V559">
        <f t="shared" si="120"/>
        <v>26.531506849315065</v>
      </c>
      <c r="W559">
        <f>SUM($V$400:V559)</f>
        <v>5185.0778082191773</v>
      </c>
      <c r="X559">
        <f>MAX(F559-50,0)*中国_中债国债到期收益率_1年!H559*100/365</f>
        <v>0</v>
      </c>
      <c r="Y559">
        <f>SUM($X$400:X559)</f>
        <v>330.43835616438366</v>
      </c>
      <c r="Z559">
        <v>-100</v>
      </c>
      <c r="AA559">
        <v>100</v>
      </c>
      <c r="AB559">
        <f>Z559*Return!F563*100</f>
        <v>-9.9999999999988987</v>
      </c>
      <c r="AC559">
        <f>AA559*Return!G563*100</f>
        <v>150.99999999999892</v>
      </c>
      <c r="AD559">
        <f>SUM($AB$400:AB559)+SUM($AC$400:AC559)</f>
        <v>3369.3000000000166</v>
      </c>
      <c r="AE559">
        <f t="shared" si="113"/>
        <v>28988.919452054819</v>
      </c>
      <c r="AF559">
        <f t="shared" si="114"/>
        <v>1.0579778389041097</v>
      </c>
      <c r="AG559" s="4">
        <f>(AE559-AE558)/(500000+AE558)-中国_中债国债到期收益率_1年!H559%/252</f>
        <v>8.7311940011573113E-4</v>
      </c>
      <c r="AH559" s="4">
        <f>MIN((AF559-MAX($AF$401:AF559))/MAX($AF$401:AF559),0)</f>
        <v>-3.2079450530105294E-3</v>
      </c>
    </row>
    <row r="560" spans="1:34" x14ac:dyDescent="0.25">
      <c r="A560" s="8">
        <v>45524</v>
      </c>
      <c r="B560">
        <v>0</v>
      </c>
      <c r="C560">
        <v>30</v>
      </c>
      <c r="D560">
        <v>15</v>
      </c>
      <c r="E560">
        <v>3</v>
      </c>
      <c r="F560">
        <f t="shared" si="112"/>
        <v>48</v>
      </c>
      <c r="G560">
        <f t="shared" si="111"/>
        <v>0</v>
      </c>
      <c r="H560">
        <f t="shared" si="115"/>
        <v>150</v>
      </c>
      <c r="I560">
        <f t="shared" si="116"/>
        <v>135</v>
      </c>
      <c r="J560">
        <f t="shared" si="117"/>
        <v>48</v>
      </c>
      <c r="K560">
        <f t="shared" si="118"/>
        <v>333</v>
      </c>
      <c r="L560">
        <f>G560*Return!B560*100</f>
        <v>0</v>
      </c>
      <c r="M560">
        <f>H560*Return!C560*100</f>
        <v>100.49999999999892</v>
      </c>
      <c r="N560">
        <f>I560*Return!D560*100</f>
        <v>218.6999999999999</v>
      </c>
      <c r="O560">
        <f>J560*Return!E560*100</f>
        <v>107.99999999999983</v>
      </c>
      <c r="P560">
        <f t="shared" si="119"/>
        <v>427.19999999999862</v>
      </c>
      <c r="Q560">
        <f>SUM($P$400:P560)</f>
        <v>21192.180000000008</v>
      </c>
      <c r="R560">
        <f>B560*中国_中债国债到期收益率_1年!B559/365*100</f>
        <v>0</v>
      </c>
      <c r="S560">
        <f>C560*中国_中债国债到期收益率_1年!C559/365*100</f>
        <v>15.479999999999999</v>
      </c>
      <c r="T560">
        <f>D560*中国_中债国债到期收益率_1年!D559/365*100</f>
        <v>8.9654794520547938</v>
      </c>
      <c r="U560">
        <f>E560*中国_中债国债到期收益率_1年!E559/365*100</f>
        <v>1.9458904109589046</v>
      </c>
      <c r="V560">
        <f t="shared" si="120"/>
        <v>26.391369863013693</v>
      </c>
      <c r="W560">
        <f>SUM($V$400:V560)</f>
        <v>5211.4691780821913</v>
      </c>
      <c r="X560">
        <f>MAX(F560-50,0)*中国_中债国债到期收益率_1年!H560*100/365</f>
        <v>0</v>
      </c>
      <c r="Y560">
        <f>SUM($X$400:X560)</f>
        <v>330.43835616438366</v>
      </c>
      <c r="Z560">
        <v>-100</v>
      </c>
      <c r="AA560">
        <v>100</v>
      </c>
      <c r="AB560">
        <f>Z560*Return!F564*100</f>
        <v>23.999999999999577</v>
      </c>
      <c r="AC560">
        <f>AA560*Return!G564*100</f>
        <v>-81.999999999999858</v>
      </c>
      <c r="AD560">
        <f>SUM($AB$400:AB560)+SUM($AC$400:AC560)</f>
        <v>3311.3000000000161</v>
      </c>
      <c r="AE560">
        <f t="shared" si="113"/>
        <v>29384.510821917833</v>
      </c>
      <c r="AF560">
        <f t="shared" si="114"/>
        <v>1.0587690216438357</v>
      </c>
      <c r="AG560" s="4">
        <f>(AE560-AE559)/(500000+AE559)-中国_中债国债到期收益率_1年!H560%/252</f>
        <v>6.7401591320110613E-4</v>
      </c>
      <c r="AH560" s="4">
        <f>MIN((AF560-MAX($AF$401:AF560))/MAX($AF$401:AF560),0)</f>
        <v>-2.4625185989110951E-3</v>
      </c>
    </row>
    <row r="561" spans="1:34" x14ac:dyDescent="0.25">
      <c r="A561" s="8">
        <v>45525</v>
      </c>
      <c r="B561">
        <v>0</v>
      </c>
      <c r="C561">
        <v>30</v>
      </c>
      <c r="D561">
        <v>15</v>
      </c>
      <c r="E561">
        <v>3</v>
      </c>
      <c r="F561">
        <f t="shared" si="112"/>
        <v>48</v>
      </c>
      <c r="G561">
        <f t="shared" si="111"/>
        <v>0</v>
      </c>
      <c r="H561">
        <f t="shared" si="115"/>
        <v>150</v>
      </c>
      <c r="I561">
        <f t="shared" si="116"/>
        <v>135</v>
      </c>
      <c r="J561">
        <f t="shared" si="117"/>
        <v>48</v>
      </c>
      <c r="K561">
        <f t="shared" si="118"/>
        <v>333</v>
      </c>
      <c r="L561">
        <f>G561*Return!B561*100</f>
        <v>0</v>
      </c>
      <c r="M561">
        <f>H561*Return!C561*100</f>
        <v>-37.499999999999204</v>
      </c>
      <c r="N561">
        <f>I561*Return!D561*100</f>
        <v>143.10000000000224</v>
      </c>
      <c r="O561">
        <f>J561*Return!E561*100</f>
        <v>36.000000000001364</v>
      </c>
      <c r="P561">
        <f t="shared" si="119"/>
        <v>141.6000000000044</v>
      </c>
      <c r="Q561">
        <f>SUM($P$400:P561)</f>
        <v>21333.780000000013</v>
      </c>
      <c r="R561">
        <f>B561*中国_中债国债到期收益率_1年!B560/365*100</f>
        <v>0</v>
      </c>
      <c r="S561">
        <f>C561*中国_中债国债到期收益率_1年!C560/365*100</f>
        <v>15.500547945205479</v>
      </c>
      <c r="T561">
        <f>D561*中国_中债国债到期收益率_1年!D560/365*100</f>
        <v>8.9219178082191775</v>
      </c>
      <c r="U561">
        <f>E561*中国_中债国债到期收益率_1年!E560/365*100</f>
        <v>1.9397260273972605</v>
      </c>
      <c r="V561">
        <f t="shared" si="120"/>
        <v>26.362191780821917</v>
      </c>
      <c r="W561">
        <f>SUM($V$400:V561)</f>
        <v>5237.8313698630136</v>
      </c>
      <c r="X561">
        <f>MAX(F561-50,0)*中国_中债国债到期收益率_1年!H561*100/365</f>
        <v>0</v>
      </c>
      <c r="Y561">
        <f>SUM($X$400:X561)</f>
        <v>330.43835616438366</v>
      </c>
      <c r="Z561">
        <v>-100</v>
      </c>
      <c r="AA561">
        <v>100</v>
      </c>
      <c r="AB561">
        <f>Z561*Return!F565*100</f>
        <v>-256.00000000000068</v>
      </c>
      <c r="AC561">
        <f>AA561*Return!G565*100</f>
        <v>95.000000000000639</v>
      </c>
      <c r="AD561">
        <f>SUM($AB$400:AB561)+SUM($AC$400:AC561)</f>
        <v>3150.3000000000166</v>
      </c>
      <c r="AE561">
        <f t="shared" si="113"/>
        <v>29391.473013698662</v>
      </c>
      <c r="AF561">
        <f t="shared" si="114"/>
        <v>1.0587829460273974</v>
      </c>
      <c r="AG561" s="4">
        <f>(AE561-AE560)/(500000+AE560)-中国_中债国债到期收益率_1年!H561%/252</f>
        <v>-6.145169087347577E-5</v>
      </c>
      <c r="AH561" s="4">
        <f>MIN((AF561-MAX($AF$401:AF561))/MAX($AF$401:AF561),0)</f>
        <v>-2.4493995009546104E-3</v>
      </c>
    </row>
    <row r="562" spans="1:34" x14ac:dyDescent="0.25">
      <c r="A562" s="8">
        <v>45526</v>
      </c>
      <c r="B562">
        <v>0</v>
      </c>
      <c r="C562">
        <v>30</v>
      </c>
      <c r="D562">
        <v>15</v>
      </c>
      <c r="E562">
        <v>3</v>
      </c>
      <c r="F562">
        <f t="shared" si="112"/>
        <v>48</v>
      </c>
      <c r="G562">
        <f t="shared" si="111"/>
        <v>0</v>
      </c>
      <c r="H562">
        <f t="shared" si="115"/>
        <v>150</v>
      </c>
      <c r="I562">
        <f t="shared" si="116"/>
        <v>135</v>
      </c>
      <c r="J562">
        <f t="shared" si="117"/>
        <v>48</v>
      </c>
      <c r="K562">
        <f t="shared" si="118"/>
        <v>333</v>
      </c>
      <c r="L562">
        <f>G562*Return!B562*100</f>
        <v>0</v>
      </c>
      <c r="M562">
        <f>H562*Return!C562*100</f>
        <v>146.99999999999713</v>
      </c>
      <c r="N562">
        <f>I562*Return!D562*100</f>
        <v>54.00000000000005</v>
      </c>
      <c r="O562">
        <f>J562*Return!E562*100</f>
        <v>23.519999999998475</v>
      </c>
      <c r="P562">
        <f t="shared" si="119"/>
        <v>224.51999999999566</v>
      </c>
      <c r="Q562">
        <f>SUM($P$400:P562)</f>
        <v>21558.30000000001</v>
      </c>
      <c r="R562">
        <f>B562*中国_中债国债到期收益率_1年!B561/365*100</f>
        <v>0</v>
      </c>
      <c r="S562">
        <f>C562*中国_中债国债到期收益率_1年!C561/365*100</f>
        <v>15.42</v>
      </c>
      <c r="T562">
        <f>D562*中国_中债国债到期收益率_1年!D561/365*100</f>
        <v>8.9054794520547933</v>
      </c>
      <c r="U562">
        <f>E562*中国_中债国债到期收益率_1年!E561/365*100</f>
        <v>1.9356986301369865</v>
      </c>
      <c r="V562">
        <f t="shared" si="120"/>
        <v>26.26117808219178</v>
      </c>
      <c r="W562">
        <f>SUM($V$400:V562)</f>
        <v>5264.0925479452053</v>
      </c>
      <c r="X562">
        <f>MAX(F562-50,0)*中国_中债国债到期收益率_1年!H562*100/365</f>
        <v>0</v>
      </c>
      <c r="Y562">
        <f>SUM($X$400:X562)</f>
        <v>330.43835616438366</v>
      </c>
      <c r="Z562">
        <v>-100</v>
      </c>
      <c r="AA562">
        <v>100</v>
      </c>
      <c r="AB562">
        <f>Z562*Return!F566*100</f>
        <v>92.000000000000966</v>
      </c>
      <c r="AC562">
        <f>AA562*Return!G566*100</f>
        <v>-200.00000000000017</v>
      </c>
      <c r="AD562">
        <f>SUM($AB$400:AB562)+SUM($AC$400:AC562)</f>
        <v>3042.3000000000175</v>
      </c>
      <c r="AE562">
        <f t="shared" si="113"/>
        <v>29534.254191780848</v>
      </c>
      <c r="AF562">
        <f t="shared" si="114"/>
        <v>1.0590685083835616</v>
      </c>
      <c r="AG562" s="4">
        <f>(AE562-AE561)/(500000+AE561)-中国_中债国债到期收益率_1年!H562%/252</f>
        <v>1.9391446760381347E-4</v>
      </c>
      <c r="AH562" s="4">
        <f>MIN((AF562-MAX($AF$401:AF562))/MAX($AF$401:AF562),0)</f>
        <v>-2.180352005487943E-3</v>
      </c>
    </row>
    <row r="563" spans="1:34" x14ac:dyDescent="0.25">
      <c r="A563" s="8">
        <v>45527</v>
      </c>
      <c r="B563">
        <v>0</v>
      </c>
      <c r="C563">
        <v>30</v>
      </c>
      <c r="D563">
        <v>15</v>
      </c>
      <c r="E563">
        <v>3</v>
      </c>
      <c r="F563">
        <f t="shared" si="112"/>
        <v>48</v>
      </c>
      <c r="G563">
        <f t="shared" si="111"/>
        <v>0</v>
      </c>
      <c r="H563">
        <f t="shared" si="115"/>
        <v>150</v>
      </c>
      <c r="I563">
        <f t="shared" si="116"/>
        <v>135</v>
      </c>
      <c r="J563">
        <f t="shared" si="117"/>
        <v>48</v>
      </c>
      <c r="K563">
        <f t="shared" si="118"/>
        <v>333</v>
      </c>
      <c r="L563">
        <f>G563*Return!B563*100</f>
        <v>0</v>
      </c>
      <c r="M563">
        <f>H563*Return!C563*100</f>
        <v>52.500000000000881</v>
      </c>
      <c r="N563">
        <f>I563*Return!D563*100</f>
        <v>118.7999999999989</v>
      </c>
      <c r="O563">
        <f>J563*Return!E563*100</f>
        <v>36.000000000001364</v>
      </c>
      <c r="P563">
        <f t="shared" si="119"/>
        <v>207.30000000000115</v>
      </c>
      <c r="Q563">
        <f>SUM($P$400:P563)</f>
        <v>21765.600000000013</v>
      </c>
      <c r="R563">
        <f>B563*中国_中债国债到期收益率_1年!B562/365*100</f>
        <v>0</v>
      </c>
      <c r="S563">
        <f>C563*中国_中债国债到期收益率_1年!C562/365*100</f>
        <v>15.39123287671233</v>
      </c>
      <c r="T563">
        <f>D563*中国_中债国债到期收益率_1年!D562/365*100</f>
        <v>8.8693150684931492</v>
      </c>
      <c r="U563">
        <f>E563*中国_中债国债到期收益率_1年!E562/365*100</f>
        <v>1.9295342465753424</v>
      </c>
      <c r="V563">
        <f t="shared" si="120"/>
        <v>26.190082191780824</v>
      </c>
      <c r="W563">
        <f>SUM($V$400:V563)</f>
        <v>5290.282630136986</v>
      </c>
      <c r="X563">
        <f>MAX(F563-50,0)*中国_中债国债到期收益率_1年!H563*100/365</f>
        <v>0</v>
      </c>
      <c r="Y563">
        <f>SUM($X$400:X563)</f>
        <v>330.43835616438366</v>
      </c>
      <c r="Z563">
        <v>-100</v>
      </c>
      <c r="AA563">
        <v>100</v>
      </c>
      <c r="AB563">
        <f>Z563*Return!F567*100</f>
        <v>-46.000000000001592</v>
      </c>
      <c r="AC563">
        <f>AA563*Return!G567*100</f>
        <v>22.999999999999687</v>
      </c>
      <c r="AD563">
        <f>SUM($AB$400:AB563)+SUM($AC$400:AC563)</f>
        <v>3019.3000000000156</v>
      </c>
      <c r="AE563">
        <f t="shared" si="113"/>
        <v>29744.744273972632</v>
      </c>
      <c r="AF563">
        <f t="shared" si="114"/>
        <v>1.0594894885479453</v>
      </c>
      <c r="AG563" s="4">
        <f>(AE563-AE562)/(500000+AE562)-中国_中债国债到期收益率_1年!H563%/252</f>
        <v>3.2130993199945492E-4</v>
      </c>
      <c r="AH563" s="4">
        <f>MIN((AF563-MAX($AF$401:AF563))/MAX($AF$401:AF563),0)</f>
        <v>-1.7837182881100244E-3</v>
      </c>
    </row>
    <row r="564" spans="1:34" x14ac:dyDescent="0.25">
      <c r="A564" s="8">
        <v>45530</v>
      </c>
      <c r="B564">
        <v>0</v>
      </c>
      <c r="C564">
        <v>30</v>
      </c>
      <c r="D564">
        <v>15</v>
      </c>
      <c r="E564">
        <v>3</v>
      </c>
      <c r="F564">
        <f t="shared" si="112"/>
        <v>48</v>
      </c>
      <c r="G564">
        <f t="shared" si="111"/>
        <v>0</v>
      </c>
      <c r="H564">
        <f t="shared" si="115"/>
        <v>150</v>
      </c>
      <c r="I564">
        <f t="shared" si="116"/>
        <v>135</v>
      </c>
      <c r="J564">
        <f t="shared" si="117"/>
        <v>48</v>
      </c>
      <c r="K564">
        <f t="shared" si="118"/>
        <v>333</v>
      </c>
      <c r="L564">
        <f>G564*Return!B564*100</f>
        <v>0</v>
      </c>
      <c r="M564">
        <f>H564*Return!C564*100</f>
        <v>358.50000000000051</v>
      </c>
      <c r="N564">
        <f>I564*Return!D564*100</f>
        <v>47.249999999997797</v>
      </c>
      <c r="O564">
        <f>J564*Return!E564*100</f>
        <v>35.999999999999233</v>
      </c>
      <c r="P564">
        <f t="shared" si="119"/>
        <v>441.7499999999975</v>
      </c>
      <c r="Q564">
        <f>SUM($P$400:P564)</f>
        <v>22207.350000000009</v>
      </c>
      <c r="R564">
        <f>B564*中国_中债国债到期收益率_1年!B563/365*100</f>
        <v>0</v>
      </c>
      <c r="S564">
        <f>C564*中国_中债国债到期收益率_1年!C563/365*100</f>
        <v>15.194794520547944</v>
      </c>
      <c r="T564">
        <f>D564*中国_中债国债到期收益率_1年!D563/365*100</f>
        <v>8.8549315068493151</v>
      </c>
      <c r="U564">
        <f>E564*中国_中债国债到期收益率_1年!E563/365*100</f>
        <v>1.9233698630136988</v>
      </c>
      <c r="V564">
        <f t="shared" si="120"/>
        <v>25.97309589041096</v>
      </c>
      <c r="W564">
        <f>SUM($V$400:V564)</f>
        <v>5316.255726027397</v>
      </c>
      <c r="X564">
        <f>MAX(F564-50,0)*中国_中债国债到期收益率_1年!H564*100/365</f>
        <v>0</v>
      </c>
      <c r="Y564">
        <f>SUM($X$400:X564)</f>
        <v>330.43835616438366</v>
      </c>
      <c r="Z564">
        <v>-30</v>
      </c>
      <c r="AA564">
        <v>30</v>
      </c>
      <c r="AB564">
        <f>Z564*Return!F568*100</f>
        <v>-20.699999999999719</v>
      </c>
      <c r="AC564">
        <f>AA564*Return!G568*100</f>
        <v>20.39999999999975</v>
      </c>
      <c r="AD564">
        <f>SUM($AB$400:AB564)+SUM($AC$400:AC564)</f>
        <v>3019.0000000000155</v>
      </c>
      <c r="AE564">
        <f t="shared" si="113"/>
        <v>30212.167369863037</v>
      </c>
      <c r="AF564">
        <f t="shared" si="114"/>
        <v>1.060424334739726</v>
      </c>
      <c r="AG564" s="4">
        <f>(AE564-AE563)/(500000+AE563)-中国_中债国债到期收益率_1年!H564%/252</f>
        <v>8.0100611844220553E-4</v>
      </c>
      <c r="AH564" s="4">
        <f>MIN((AF564-MAX($AF$401:AF564))/MAX($AF$401:AF564),0)</f>
        <v>-9.029368366482173E-4</v>
      </c>
    </row>
    <row r="565" spans="1:34" x14ac:dyDescent="0.25">
      <c r="A565" s="8">
        <v>45531</v>
      </c>
      <c r="B565">
        <v>0</v>
      </c>
      <c r="C565">
        <v>30</v>
      </c>
      <c r="D565">
        <v>15</v>
      </c>
      <c r="E565">
        <v>3</v>
      </c>
      <c r="F565">
        <f t="shared" si="112"/>
        <v>48</v>
      </c>
      <c r="G565">
        <f t="shared" si="111"/>
        <v>0</v>
      </c>
      <c r="H565">
        <f t="shared" si="115"/>
        <v>150</v>
      </c>
      <c r="I565">
        <f t="shared" si="116"/>
        <v>135</v>
      </c>
      <c r="J565">
        <f t="shared" si="117"/>
        <v>48</v>
      </c>
      <c r="K565">
        <f t="shared" si="118"/>
        <v>333</v>
      </c>
      <c r="L565">
        <f>G565*Return!B565*100</f>
        <v>0</v>
      </c>
      <c r="M565">
        <f>H565*Return!C565*100</f>
        <v>60.000000000000057</v>
      </c>
      <c r="N565">
        <f>I565*Return!D565*100</f>
        <v>-109.34999999999695</v>
      </c>
      <c r="O565">
        <f>J565*Return!E565*100</f>
        <v>-35.520000000000351</v>
      </c>
      <c r="P565">
        <f t="shared" si="119"/>
        <v>-84.869999999997248</v>
      </c>
      <c r="Q565">
        <f>SUM($P$400:P565)</f>
        <v>22122.48000000001</v>
      </c>
      <c r="R565">
        <f>B565*中国_中债国债到期收益率_1年!B564/365*100</f>
        <v>0</v>
      </c>
      <c r="S565">
        <f>C565*中国_中债国债到期收益率_1年!C564/365*100</f>
        <v>15.161917808219178</v>
      </c>
      <c r="T565">
        <f>D565*中国_中债国债到期收益率_1年!D564/365*100</f>
        <v>8.888219178082192</v>
      </c>
      <c r="U565">
        <f>E565*中国_中债国债到期收益率_1年!E564/365*100</f>
        <v>1.9294520547945206</v>
      </c>
      <c r="V565">
        <f t="shared" si="120"/>
        <v>25.979589041095888</v>
      </c>
      <c r="W565">
        <f>SUM($V$400:V565)</f>
        <v>5342.235315068493</v>
      </c>
      <c r="X565">
        <f>MAX(F565-50,0)*中国_中债国债到期收益率_1年!H565*100/365</f>
        <v>0</v>
      </c>
      <c r="Y565">
        <f>SUM($X$400:X565)</f>
        <v>330.43835616438366</v>
      </c>
      <c r="Z565">
        <v>-30</v>
      </c>
      <c r="AA565">
        <v>30</v>
      </c>
      <c r="AB565">
        <f>Z565*Return!F569*100</f>
        <v>-6.8999999999999062</v>
      </c>
      <c r="AC565">
        <f>AA565*Return!G569*100</f>
        <v>-44.999999999999709</v>
      </c>
      <c r="AD565">
        <f>SUM($AB$400:AB565)+SUM($AC$400:AC565)</f>
        <v>2967.1000000000154</v>
      </c>
      <c r="AE565">
        <f t="shared" si="113"/>
        <v>30101.376958904137</v>
      </c>
      <c r="AF565">
        <f t="shared" si="114"/>
        <v>1.0602027539178083</v>
      </c>
      <c r="AG565" s="4">
        <f>(AE565-AE564)/(500000+AE564)-中国_中债国债到期收益率_1年!H565%/252</f>
        <v>-2.8831994267664723E-4</v>
      </c>
      <c r="AH565" s="4">
        <f>MIN((AF565-MAX($AF$401:AF565))/MAX($AF$401:AF565),0)</f>
        <v>-1.11170302691641E-3</v>
      </c>
    </row>
    <row r="566" spans="1:34" x14ac:dyDescent="0.25">
      <c r="A566" s="8">
        <v>45532</v>
      </c>
      <c r="B566">
        <v>0</v>
      </c>
      <c r="C566">
        <v>30</v>
      </c>
      <c r="D566">
        <v>15</v>
      </c>
      <c r="E566">
        <v>3</v>
      </c>
      <c r="F566">
        <f t="shared" si="112"/>
        <v>48</v>
      </c>
      <c r="G566">
        <f t="shared" si="111"/>
        <v>0</v>
      </c>
      <c r="H566">
        <f t="shared" si="115"/>
        <v>150</v>
      </c>
      <c r="I566">
        <f t="shared" si="116"/>
        <v>135</v>
      </c>
      <c r="J566">
        <f t="shared" si="117"/>
        <v>48</v>
      </c>
      <c r="K566">
        <f t="shared" si="118"/>
        <v>333</v>
      </c>
      <c r="L566">
        <f>G566*Return!B566*100</f>
        <v>0</v>
      </c>
      <c r="M566">
        <f>H566*Return!C566*100</f>
        <v>-316.49999999999847</v>
      </c>
      <c r="N566">
        <f>I566*Return!D566*100</f>
        <v>-371.25000000000409</v>
      </c>
      <c r="O566">
        <f>J566*Return!E566*100</f>
        <v>-167.99999999999855</v>
      </c>
      <c r="P566">
        <f t="shared" si="119"/>
        <v>-855.75000000000102</v>
      </c>
      <c r="Q566">
        <f>SUM($P$400:P566)</f>
        <v>21266.73000000001</v>
      </c>
      <c r="R566">
        <f>B566*中国_中债国债到期收益率_1年!B565/365*100</f>
        <v>0</v>
      </c>
      <c r="S566">
        <f>C566*中国_中债国债到期收益率_1年!C565/365*100</f>
        <v>15.335342465753424</v>
      </c>
      <c r="T566">
        <f>D566*中国_中债国债到期收益率_1年!D565/365*100</f>
        <v>9.0012328767123293</v>
      </c>
      <c r="U566">
        <f>E566*中国_中债国债到期收益率_1年!E565/365*100</f>
        <v>1.9582191780821916</v>
      </c>
      <c r="V566">
        <f t="shared" si="120"/>
        <v>26.294794520547946</v>
      </c>
      <c r="W566">
        <f>SUM($V$400:V566)</f>
        <v>5368.5301095890409</v>
      </c>
      <c r="X566">
        <f>MAX(F566-50,0)*中国_中债国债到期收益率_1年!H566*100/365</f>
        <v>0</v>
      </c>
      <c r="Y566">
        <f>SUM($X$400:X566)</f>
        <v>330.43835616438366</v>
      </c>
      <c r="Z566">
        <v>-30</v>
      </c>
      <c r="AA566">
        <v>30</v>
      </c>
      <c r="AB566">
        <f>Z566*Return!F570*100</f>
        <v>-108.30000000000007</v>
      </c>
      <c r="AC566">
        <f>AA566*Return!G570*100</f>
        <v>138.00000000000011</v>
      </c>
      <c r="AD566">
        <f>SUM($AB$400:AB566)+SUM($AC$400:AC566)</f>
        <v>2996.8000000000152</v>
      </c>
      <c r="AE566">
        <f t="shared" si="113"/>
        <v>29301.621753424679</v>
      </c>
      <c r="AF566">
        <f t="shared" si="114"/>
        <v>1.0586032435068493</v>
      </c>
      <c r="AG566" s="4">
        <f>(AE566-AE565)/(500000+AE565)-中国_中债国债到期收益率_1年!H566%/252</f>
        <v>-1.584080334327719E-3</v>
      </c>
      <c r="AH566" s="4">
        <f>MIN((AF566-MAX($AF$401:AF566))/MAX($AF$401:AF566),0)</f>
        <v>-2.6187093278238079E-3</v>
      </c>
    </row>
    <row r="567" spans="1:34" x14ac:dyDescent="0.25">
      <c r="A567" s="8">
        <v>45533</v>
      </c>
      <c r="B567">
        <v>0</v>
      </c>
      <c r="C567">
        <v>30</v>
      </c>
      <c r="D567">
        <v>15</v>
      </c>
      <c r="E567">
        <v>3</v>
      </c>
      <c r="F567">
        <f t="shared" si="112"/>
        <v>48</v>
      </c>
      <c r="G567">
        <f t="shared" si="111"/>
        <v>0</v>
      </c>
      <c r="H567">
        <f t="shared" si="115"/>
        <v>150</v>
      </c>
      <c r="I567">
        <f t="shared" si="116"/>
        <v>135</v>
      </c>
      <c r="J567">
        <f t="shared" si="117"/>
        <v>48</v>
      </c>
      <c r="K567">
        <f t="shared" si="118"/>
        <v>333</v>
      </c>
      <c r="L567">
        <f>G567*Return!B567*100</f>
        <v>0</v>
      </c>
      <c r="M567">
        <f>H567*Return!C567*100</f>
        <v>158.99999999999915</v>
      </c>
      <c r="N567">
        <f>I567*Return!D567*100</f>
        <v>310.50000000000176</v>
      </c>
      <c r="O567">
        <f>J567*Return!E567*100</f>
        <v>131.99999999999932</v>
      </c>
      <c r="P567">
        <f t="shared" si="119"/>
        <v>601.50000000000023</v>
      </c>
      <c r="Q567">
        <f>SUM($P$400:P567)</f>
        <v>21868.23000000001</v>
      </c>
      <c r="R567">
        <f>B567*中国_中债国债到期收益率_1年!B566/365*100</f>
        <v>0</v>
      </c>
      <c r="S567">
        <f>C567*中国_中债国债到期收益率_1年!C566/365*100</f>
        <v>15.248219178082193</v>
      </c>
      <c r="T567">
        <f>D567*中国_中债国债到期收益率_1年!D566/365*100</f>
        <v>8.9067123287671244</v>
      </c>
      <c r="U567">
        <f>E567*中国_中债国债到期收益率_1年!E566/365*100</f>
        <v>1.9356164383561643</v>
      </c>
      <c r="V567">
        <f t="shared" si="120"/>
        <v>26.090547945205479</v>
      </c>
      <c r="W567">
        <f>SUM($V$400:V567)</f>
        <v>5394.6206575342467</v>
      </c>
      <c r="X567">
        <f>MAX(F567-50,0)*中国_中债国债到期收益率_1年!H567*100/365</f>
        <v>0</v>
      </c>
      <c r="Y567">
        <f>SUM($X$400:X567)</f>
        <v>330.43835616438366</v>
      </c>
      <c r="Z567">
        <v>-30</v>
      </c>
      <c r="AA567">
        <v>30</v>
      </c>
      <c r="AB567">
        <f>Z567*Return!F571*100</f>
        <v>-20.999999999999687</v>
      </c>
      <c r="AC567">
        <f>AA567*Return!G571*100</f>
        <v>60.599999999999987</v>
      </c>
      <c r="AD567">
        <f>SUM($AB$400:AB567)+SUM($AC$400:AC567)</f>
        <v>3036.400000000016</v>
      </c>
      <c r="AE567">
        <f t="shared" si="113"/>
        <v>29968.81230136989</v>
      </c>
      <c r="AF567">
        <f t="shared" si="114"/>
        <v>1.0599376246027399</v>
      </c>
      <c r="AG567" s="4">
        <f>(AE567-AE566)/(500000+AE566)-中国_中债国债到期收益率_1年!H567%/252</f>
        <v>1.1851142339401922E-3</v>
      </c>
      <c r="AH567" s="4">
        <f>MIN((AF567-MAX($AF$401:AF567))/MAX($AF$401:AF567),0)</f>
        <v>-1.3614991805555622E-3</v>
      </c>
    </row>
    <row r="568" spans="1:34" x14ac:dyDescent="0.25">
      <c r="A568" s="8">
        <v>45534</v>
      </c>
      <c r="B568">
        <v>0</v>
      </c>
      <c r="C568">
        <v>30</v>
      </c>
      <c r="D568">
        <v>15</v>
      </c>
      <c r="E568">
        <v>3</v>
      </c>
      <c r="F568">
        <f t="shared" si="112"/>
        <v>48</v>
      </c>
      <c r="G568">
        <f t="shared" si="111"/>
        <v>0</v>
      </c>
      <c r="H568">
        <f t="shared" si="115"/>
        <v>150</v>
      </c>
      <c r="I568">
        <f t="shared" si="116"/>
        <v>135</v>
      </c>
      <c r="J568">
        <f t="shared" si="117"/>
        <v>48</v>
      </c>
      <c r="K568">
        <f t="shared" si="118"/>
        <v>333</v>
      </c>
      <c r="L568">
        <f>G568*Return!B568*100</f>
        <v>0</v>
      </c>
      <c r="M568">
        <f>H568*Return!C568*100</f>
        <v>-178.50000000000031</v>
      </c>
      <c r="N568">
        <f>I568*Return!D568*100</f>
        <v>-40.500000000001535</v>
      </c>
      <c r="O568">
        <f>J568*Return!E568*100</f>
        <v>-48.000000000001108</v>
      </c>
      <c r="P568">
        <f t="shared" si="119"/>
        <v>-267.00000000000296</v>
      </c>
      <c r="Q568">
        <f>SUM($P$400:P568)</f>
        <v>21601.230000000007</v>
      </c>
      <c r="R568">
        <f>B568*中国_中债国债到期收益率_1年!B567/365*100</f>
        <v>0</v>
      </c>
      <c r="S568">
        <f>C568*中国_中债国债到期收益率_1年!C567/365*100</f>
        <v>15.346027397260272</v>
      </c>
      <c r="T568">
        <f>D568*中国_中债国债到期收益率_1年!D567/365*100</f>
        <v>8.9190410958904121</v>
      </c>
      <c r="U568">
        <f>E568*中国_中债国债到期收益率_1年!E567/365*100</f>
        <v>1.9438356164383563</v>
      </c>
      <c r="V568">
        <f t="shared" si="120"/>
        <v>26.208904109589042</v>
      </c>
      <c r="W568">
        <f>SUM($V$400:V568)</f>
        <v>5420.8295616438354</v>
      </c>
      <c r="X568">
        <f>MAX(F568-50,0)*中国_中债国债到期收益率_1年!H568*100/365</f>
        <v>0</v>
      </c>
      <c r="Y568">
        <f>SUM($X$400:X568)</f>
        <v>330.43835616438366</v>
      </c>
      <c r="Z568">
        <v>-30</v>
      </c>
      <c r="AA568">
        <v>30</v>
      </c>
      <c r="AB568">
        <f>Z568*Return!F572*100</f>
        <v>-10.500000000000176</v>
      </c>
      <c r="AC568">
        <f>AA568*Return!G572*100</f>
        <v>66.899999999999963</v>
      </c>
      <c r="AD568">
        <f>SUM($AB$400:AB568)+SUM($AC$400:AC568)</f>
        <v>3092.8000000000156</v>
      </c>
      <c r="AE568">
        <f t="shared" si="113"/>
        <v>29784.421205479477</v>
      </c>
      <c r="AF568">
        <f t="shared" si="114"/>
        <v>1.0595688424109591</v>
      </c>
      <c r="AG568" s="4">
        <f>(AE568-AE567)/(500000+AE567)-中国_中债国债到期收益率_1年!H568%/252</f>
        <v>-4.2213455103713444E-4</v>
      </c>
      <c r="AH568" s="4">
        <f>MIN((AF568-MAX($AF$401:AF568))/MAX($AF$401:AF568),0)</f>
        <v>-1.7089536784246628E-3</v>
      </c>
    </row>
    <row r="569" spans="1:34" x14ac:dyDescent="0.25">
      <c r="A569" s="8">
        <v>45537</v>
      </c>
      <c r="B569">
        <v>10</v>
      </c>
      <c r="C569">
        <v>40</v>
      </c>
      <c r="D569">
        <v>15</v>
      </c>
      <c r="E569">
        <v>3</v>
      </c>
      <c r="F569">
        <f t="shared" si="112"/>
        <v>68</v>
      </c>
      <c r="G569">
        <f t="shared" si="111"/>
        <v>10</v>
      </c>
      <c r="H569">
        <f t="shared" si="115"/>
        <v>200</v>
      </c>
      <c r="I569">
        <f t="shared" si="116"/>
        <v>135</v>
      </c>
      <c r="J569">
        <f t="shared" si="117"/>
        <v>48</v>
      </c>
      <c r="K569">
        <f t="shared" si="118"/>
        <v>393</v>
      </c>
      <c r="L569">
        <f>G569*Return!B569*100</f>
        <v>1.2000000000000899</v>
      </c>
      <c r="M569">
        <f>H569*Return!C569*100</f>
        <v>297.99999999999829</v>
      </c>
      <c r="N569">
        <f>I569*Return!D569*100</f>
        <v>-1.3499999999968537</v>
      </c>
      <c r="O569">
        <f>J569*Return!E569*100</f>
        <v>-0.47999999999888132</v>
      </c>
      <c r="P569">
        <f t="shared" si="119"/>
        <v>297.37000000000268</v>
      </c>
      <c r="Q569">
        <f>SUM($P$400:P569)</f>
        <v>21898.600000000009</v>
      </c>
      <c r="R569">
        <f>B569*中国_中债国债到期收益率_1年!B568/365*100</f>
        <v>4.0821917808219181</v>
      </c>
      <c r="S569">
        <f>C569*中国_中债国债到期收益率_1年!C568/365*100</f>
        <v>20.298082191780825</v>
      </c>
      <c r="T569">
        <f>D569*中国_中债国债到期收益率_1年!D568/365*100</f>
        <v>8.9194520547945206</v>
      </c>
      <c r="U569">
        <f>E569*中国_中债国债到期收益率_1年!E568/365*100</f>
        <v>1.9439178082191779</v>
      </c>
      <c r="V569">
        <f t="shared" si="120"/>
        <v>35.243643835616439</v>
      </c>
      <c r="W569">
        <f>SUM($V$400:V569)</f>
        <v>5456.0732054794516</v>
      </c>
      <c r="X569">
        <f>MAX(F569-50,0)*中国_中债国债到期收益率_1年!H569*100/365</f>
        <v>9.1232876712328785</v>
      </c>
      <c r="Y569">
        <f>SUM($X$400:X569)</f>
        <v>339.56164383561656</v>
      </c>
      <c r="Z569">
        <v>-30</v>
      </c>
      <c r="AA569">
        <v>30</v>
      </c>
      <c r="AB569">
        <f>Z569*Return!F573*100</f>
        <v>-24.000000000000021</v>
      </c>
      <c r="AC569">
        <f>AA569*Return!G573*100</f>
        <v>56.999999999999716</v>
      </c>
      <c r="AD569">
        <f>SUM($AB$400:AB569)+SUM($AC$400:AC569)</f>
        <v>3125.8000000000156</v>
      </c>
      <c r="AE569">
        <f t="shared" si="113"/>
        <v>30140.911561643865</v>
      </c>
      <c r="AF569">
        <f t="shared" si="114"/>
        <v>1.0602818231232878</v>
      </c>
      <c r="AG569" s="4">
        <f>(AE569-AE568)/(500000+AE568)-中国_中债国债到期收益率_1年!H569%/252</f>
        <v>5.9948431760982685E-4</v>
      </c>
      <c r="AH569" s="4">
        <f>MIN((AF569-MAX($AF$401:AF569))/MAX($AF$401:AF569),0)</f>
        <v>-1.0372066122329173E-3</v>
      </c>
    </row>
    <row r="570" spans="1:34" x14ac:dyDescent="0.25">
      <c r="A570" s="8">
        <v>45538</v>
      </c>
      <c r="B570">
        <v>10</v>
      </c>
      <c r="C570">
        <v>40</v>
      </c>
      <c r="D570">
        <v>15</v>
      </c>
      <c r="E570">
        <v>3</v>
      </c>
      <c r="F570">
        <f t="shared" si="112"/>
        <v>68</v>
      </c>
      <c r="G570">
        <f t="shared" si="111"/>
        <v>10</v>
      </c>
      <c r="H570">
        <f t="shared" si="115"/>
        <v>200</v>
      </c>
      <c r="I570">
        <f t="shared" si="116"/>
        <v>135</v>
      </c>
      <c r="J570">
        <f t="shared" si="117"/>
        <v>48</v>
      </c>
      <c r="K570">
        <f t="shared" si="118"/>
        <v>393</v>
      </c>
      <c r="L570">
        <f>G570*Return!B570*100</f>
        <v>24.999999999999911</v>
      </c>
      <c r="M570">
        <f>H570*Return!C570*100</f>
        <v>874.00000000000148</v>
      </c>
      <c r="N570">
        <f>I570*Return!D570*100</f>
        <v>333.44999999999624</v>
      </c>
      <c r="O570">
        <f>J570*Return!E570*100</f>
        <v>108.48000000000084</v>
      </c>
      <c r="P570">
        <f t="shared" si="119"/>
        <v>1340.9299999999985</v>
      </c>
      <c r="Q570">
        <f>SUM($P$400:P570)</f>
        <v>23239.530000000006</v>
      </c>
      <c r="R570">
        <f>B570*中国_中债国债到期收益率_1年!B569/365*100</f>
        <v>4.0136986301369868</v>
      </c>
      <c r="S570">
        <f>C570*中国_中债国债到期收益率_1年!C569/365*100</f>
        <v>19.819178082191783</v>
      </c>
      <c r="T570">
        <f>D570*中国_中债国债到期收益率_1年!D569/365*100</f>
        <v>8.8179452054794538</v>
      </c>
      <c r="U570">
        <f>E570*中国_中债国债到期收益率_1年!E569/365*100</f>
        <v>1.9253424657534248</v>
      </c>
      <c r="V570">
        <f t="shared" si="120"/>
        <v>34.576164383561647</v>
      </c>
      <c r="W570">
        <f>SUM($V$400:V570)</f>
        <v>5490.6493698630129</v>
      </c>
      <c r="X570">
        <f>MAX(F570-50,0)*中国_中债国债到期收益率_1年!H570*100/365</f>
        <v>9.1726027397260292</v>
      </c>
      <c r="Y570">
        <f>SUM($X$400:X570)</f>
        <v>348.73424657534258</v>
      </c>
      <c r="Z570">
        <v>-30</v>
      </c>
      <c r="AA570">
        <v>30</v>
      </c>
      <c r="AB570">
        <f>Z570*Return!F574*100</f>
        <v>-10.200000000000209</v>
      </c>
      <c r="AC570">
        <f>AA570*Return!G574*100</f>
        <v>-13.799999999999812</v>
      </c>
      <c r="AD570">
        <f>SUM($AB$400:AB570)+SUM($AC$400:AC570)</f>
        <v>3101.8000000000152</v>
      </c>
      <c r="AE570">
        <f t="shared" si="113"/>
        <v>31483.245123287692</v>
      </c>
      <c r="AF570">
        <f t="shared" si="114"/>
        <v>1.0629664902465754</v>
      </c>
      <c r="AG570" s="4">
        <f>(AE570-AE569)/(500000+AE569)-中国_中债国债到期收益率_1年!H570%/252</f>
        <v>2.4582221160231684E-3</v>
      </c>
      <c r="AH570" s="4">
        <f>MIN((AF570-MAX($AF$401:AF570))/MAX($AF$401:AF570),0)</f>
        <v>0</v>
      </c>
    </row>
    <row r="571" spans="1:34" x14ac:dyDescent="0.25">
      <c r="A571" s="8">
        <v>45539</v>
      </c>
      <c r="B571">
        <v>10</v>
      </c>
      <c r="C571">
        <v>40</v>
      </c>
      <c r="D571">
        <v>15</v>
      </c>
      <c r="E571">
        <v>3</v>
      </c>
      <c r="F571">
        <f t="shared" si="112"/>
        <v>68</v>
      </c>
      <c r="G571">
        <f t="shared" si="111"/>
        <v>10</v>
      </c>
      <c r="H571">
        <f t="shared" si="115"/>
        <v>200</v>
      </c>
      <c r="I571">
        <f t="shared" si="116"/>
        <v>135</v>
      </c>
      <c r="J571">
        <f t="shared" si="117"/>
        <v>48</v>
      </c>
      <c r="K571">
        <f t="shared" si="118"/>
        <v>393</v>
      </c>
      <c r="L571">
        <f>G571*Return!B571*100</f>
        <v>35.000000000000142</v>
      </c>
      <c r="M571">
        <f>H571*Return!C571*100</f>
        <v>463.99999999999773</v>
      </c>
      <c r="N571">
        <f>I571*Return!D571*100</f>
        <v>33.749999999999282</v>
      </c>
      <c r="O571">
        <f>J571*Return!E571*100</f>
        <v>16.799999999999216</v>
      </c>
      <c r="P571">
        <f t="shared" si="119"/>
        <v>549.54999999999632</v>
      </c>
      <c r="Q571">
        <f>SUM($P$400:P571)</f>
        <v>23789.08</v>
      </c>
      <c r="R571">
        <f>B571*中国_中债国债到期收益率_1年!B570/365*100</f>
        <v>3.9178082191780819</v>
      </c>
      <c r="S571">
        <f>C571*中国_中债国债到期收益率_1年!C570/365*100</f>
        <v>19.564931506849316</v>
      </c>
      <c r="T571">
        <f>D571*中国_中债国债到期收益率_1年!D570/365*100</f>
        <v>8.8076712328767126</v>
      </c>
      <c r="U571">
        <f>E571*中国_中债国债到期收益率_1年!E570/365*100</f>
        <v>1.9224657534246574</v>
      </c>
      <c r="V571">
        <f t="shared" si="120"/>
        <v>34.212876712328772</v>
      </c>
      <c r="W571">
        <f>SUM($V$400:V571)</f>
        <v>5524.8622465753415</v>
      </c>
      <c r="X571">
        <f>MAX(F571-50,0)*中国_中债国债到期收益率_1年!H571*100/365</f>
        <v>9.3698630136986285</v>
      </c>
      <c r="Y571">
        <f>SUM($X$400:X571)</f>
        <v>358.10410958904123</v>
      </c>
      <c r="Z571">
        <v>-30</v>
      </c>
      <c r="AA571">
        <v>30</v>
      </c>
      <c r="AB571">
        <f>Z571*Return!F575*100</f>
        <v>19.199999999999882</v>
      </c>
      <c r="AC571">
        <f>AA571*Return!G575*100</f>
        <v>33.300000000000331</v>
      </c>
      <c r="AD571">
        <f>SUM($AB$400:AB571)+SUM($AC$400:AC571)</f>
        <v>3154.3000000000152</v>
      </c>
      <c r="AE571">
        <f t="shared" si="113"/>
        <v>32110.138136986319</v>
      </c>
      <c r="AF571">
        <f t="shared" si="114"/>
        <v>1.0642202762739728</v>
      </c>
      <c r="AG571" s="4">
        <f>(AE571-AE570)/(500000+AE570)-中国_中债国债到期收益率_1年!H571%/252</f>
        <v>1.104119216643611E-3</v>
      </c>
      <c r="AH571" s="4">
        <f>MIN((AF571-MAX($AF$401:AF571))/MAX($AF$401:AF571),0)</f>
        <v>0</v>
      </c>
    </row>
    <row r="572" spans="1:34" x14ac:dyDescent="0.25">
      <c r="A572" s="8">
        <v>45540</v>
      </c>
      <c r="B572">
        <v>10</v>
      </c>
      <c r="C572">
        <v>40</v>
      </c>
      <c r="D572">
        <v>15</v>
      </c>
      <c r="E572">
        <v>3</v>
      </c>
      <c r="F572">
        <f t="shared" si="112"/>
        <v>68</v>
      </c>
      <c r="G572">
        <f t="shared" si="111"/>
        <v>10</v>
      </c>
      <c r="H572">
        <f t="shared" si="115"/>
        <v>200</v>
      </c>
      <c r="I572">
        <f t="shared" si="116"/>
        <v>135</v>
      </c>
      <c r="J572">
        <f t="shared" si="117"/>
        <v>48</v>
      </c>
      <c r="K572">
        <f t="shared" si="118"/>
        <v>393</v>
      </c>
      <c r="L572">
        <f>G572*Return!B572*100</f>
        <v>-25.000000000000135</v>
      </c>
      <c r="M572">
        <f>H572*Return!C572*100</f>
        <v>206.00000000000395</v>
      </c>
      <c r="N572">
        <f>I572*Return!D572*100</f>
        <v>129.60000000000372</v>
      </c>
      <c r="O572">
        <f>J572*Return!E572*100</f>
        <v>79.20000000000087</v>
      </c>
      <c r="P572">
        <f t="shared" si="119"/>
        <v>389.80000000000837</v>
      </c>
      <c r="Q572">
        <f>SUM($P$400:P572)</f>
        <v>24178.880000000012</v>
      </c>
      <c r="R572">
        <f>B572*中国_中债国债到期收益率_1年!B571/365*100</f>
        <v>3.9863013698630136</v>
      </c>
      <c r="S572">
        <f>C572*中国_中债国债到期收益率_1年!C571/365*100</f>
        <v>19.452054794520549</v>
      </c>
      <c r="T572">
        <f>D572*中国_中债国债到期收益率_1年!D571/365*100</f>
        <v>8.768219178082191</v>
      </c>
      <c r="U572">
        <f>E572*中国_中债国债到期收益率_1年!E571/365*100</f>
        <v>1.9089041095890407</v>
      </c>
      <c r="V572">
        <f t="shared" si="120"/>
        <v>34.115479452054792</v>
      </c>
      <c r="W572">
        <f>SUM($V$400:V572)</f>
        <v>5558.9777260273959</v>
      </c>
      <c r="X572">
        <f>MAX(F572-50,0)*中国_中债国债到期收益率_1年!H572*100/365</f>
        <v>9.3205479452054778</v>
      </c>
      <c r="Y572">
        <f>SUM($X$400:X572)</f>
        <v>367.42465753424671</v>
      </c>
      <c r="Z572">
        <v>-50</v>
      </c>
      <c r="AA572">
        <v>50</v>
      </c>
      <c r="AB572">
        <f>Z572*Return!F576*100</f>
        <v>-26.499999999999304</v>
      </c>
      <c r="AC572">
        <f>AA572*Return!G576*100</f>
        <v>108.49999999999915</v>
      </c>
      <c r="AD572">
        <f>SUM($AB$400:AB572)+SUM($AC$400:AC572)</f>
        <v>3236.3000000000152</v>
      </c>
      <c r="AE572">
        <f t="shared" si="113"/>
        <v>32606.733068493173</v>
      </c>
      <c r="AF572">
        <f t="shared" si="114"/>
        <v>1.0652134661369863</v>
      </c>
      <c r="AG572" s="4">
        <f>(AE572-AE571)/(500000+AE571)-中国_中债国债到期收益率_1年!H572%/252</f>
        <v>8.5825591060061796E-4</v>
      </c>
      <c r="AH572" s="4">
        <f>MIN((AF572-MAX($AF$401:AF572))/MAX($AF$401:AF572),0)</f>
        <v>0</v>
      </c>
    </row>
    <row r="573" spans="1:34" x14ac:dyDescent="0.25">
      <c r="A573" s="8">
        <v>45541</v>
      </c>
      <c r="B573">
        <v>10</v>
      </c>
      <c r="C573">
        <v>40</v>
      </c>
      <c r="D573">
        <v>15</v>
      </c>
      <c r="E573">
        <v>3</v>
      </c>
      <c r="F573">
        <f t="shared" si="112"/>
        <v>68</v>
      </c>
      <c r="G573">
        <f t="shared" ref="G573:G620" si="121">B573</f>
        <v>10</v>
      </c>
      <c r="H573">
        <f t="shared" si="115"/>
        <v>200</v>
      </c>
      <c r="I573">
        <f t="shared" si="116"/>
        <v>135</v>
      </c>
      <c r="J573">
        <f t="shared" si="117"/>
        <v>48</v>
      </c>
      <c r="K573">
        <f t="shared" si="118"/>
        <v>393</v>
      </c>
      <c r="L573">
        <f>G573*Return!B573*100</f>
        <v>7.5000000000000622</v>
      </c>
      <c r="M573">
        <f>H573*Return!C573*100</f>
        <v>-22.000000000002018</v>
      </c>
      <c r="N573">
        <f>I573*Return!D573*100</f>
        <v>-2.6999999999997026</v>
      </c>
      <c r="O573">
        <f>J573*Return!E573*100</f>
        <v>47.999999999998977</v>
      </c>
      <c r="P573">
        <f t="shared" si="119"/>
        <v>30.799999999997318</v>
      </c>
      <c r="Q573">
        <f>SUM($P$400:P573)</f>
        <v>24209.680000000008</v>
      </c>
      <c r="R573">
        <f>B573*中国_中债国债到期收益率_1年!B572/365*100</f>
        <v>3.9657534246575343</v>
      </c>
      <c r="S573">
        <f>C573*中国_中债国债到期收益率_1年!C572/365*100</f>
        <v>19.464109589041094</v>
      </c>
      <c r="T573">
        <f>D573*中国_中债国债到期收益率_1年!D572/365*100</f>
        <v>8.7690410958904099</v>
      </c>
      <c r="U573">
        <f>E573*中国_中债国债到期收益率_1年!E572/365*100</f>
        <v>1.9006849315068495</v>
      </c>
      <c r="V573">
        <f t="shared" si="120"/>
        <v>34.099589041095889</v>
      </c>
      <c r="W573">
        <f>SUM($V$400:V573)</f>
        <v>5593.0773150684918</v>
      </c>
      <c r="X573">
        <f>MAX(F573-50,0)*中国_中债国债到期收益率_1年!H573*100/365</f>
        <v>9.3698630136986285</v>
      </c>
      <c r="Y573">
        <f>SUM($X$400:X573)</f>
        <v>376.79452054794535</v>
      </c>
      <c r="Z573">
        <v>-50</v>
      </c>
      <c r="AA573">
        <v>50</v>
      </c>
      <c r="AB573">
        <f>Z573*Return!F577*100</f>
        <v>9.000000000000119</v>
      </c>
      <c r="AC573">
        <f>AA573*Return!G577*100</f>
        <v>45.000000000000597</v>
      </c>
      <c r="AD573">
        <f>SUM($AB$400:AB573)+SUM($AC$400:AC573)</f>
        <v>3290.3000000000161</v>
      </c>
      <c r="AE573">
        <f t="shared" si="113"/>
        <v>32716.262794520571</v>
      </c>
      <c r="AF573">
        <f t="shared" si="114"/>
        <v>1.0654325255890411</v>
      </c>
      <c r="AG573" s="4">
        <f>(AE573-AE572)/(500000+AE572)-中国_中债国债到期收益率_1年!H573%/252</f>
        <v>1.3025158125467813E-4</v>
      </c>
      <c r="AH573" s="4">
        <f>MIN((AF573-MAX($AF$401:AF573))/MAX($AF$401:AF573),0)</f>
        <v>0</v>
      </c>
    </row>
    <row r="574" spans="1:34" x14ac:dyDescent="0.25">
      <c r="A574" s="8">
        <v>45544</v>
      </c>
      <c r="B574">
        <v>50</v>
      </c>
      <c r="C574">
        <v>30</v>
      </c>
      <c r="D574">
        <v>15</v>
      </c>
      <c r="E574">
        <v>3</v>
      </c>
      <c r="F574">
        <f t="shared" si="112"/>
        <v>98</v>
      </c>
      <c r="G574">
        <f t="shared" si="121"/>
        <v>50</v>
      </c>
      <c r="H574">
        <f t="shared" si="115"/>
        <v>150</v>
      </c>
      <c r="I574">
        <f t="shared" si="116"/>
        <v>135</v>
      </c>
      <c r="J574">
        <f t="shared" si="117"/>
        <v>48</v>
      </c>
      <c r="K574">
        <f t="shared" si="118"/>
        <v>383</v>
      </c>
      <c r="L574">
        <f>G574*Return!B574*100</f>
        <v>61.499999999999886</v>
      </c>
      <c r="M574">
        <f>H574*Return!C574*100</f>
        <v>-43.499999999998536</v>
      </c>
      <c r="N574">
        <f>I574*Return!D574*100</f>
        <v>-67.499999999998565</v>
      </c>
      <c r="O574">
        <f>J574*Return!E574*100</f>
        <v>16.799999999999216</v>
      </c>
      <c r="P574">
        <f t="shared" si="119"/>
        <v>-32.699999999997999</v>
      </c>
      <c r="Q574">
        <f>SUM($P$400:P574)</f>
        <v>24176.98000000001</v>
      </c>
      <c r="R574">
        <f>B574*中国_中债国债到期收益率_1年!B573/365*100</f>
        <v>19.660273972602742</v>
      </c>
      <c r="S574">
        <f>C574*中国_中债国债到期收益率_1年!C573/365*100</f>
        <v>14.621917808219179</v>
      </c>
      <c r="T574">
        <f>D574*中国_中债国债到期收益率_1年!D573/365*100</f>
        <v>8.7895890410958888</v>
      </c>
      <c r="U574">
        <f>E574*中国_中债国债到期收益率_1年!E573/365*100</f>
        <v>1.8978082191780825</v>
      </c>
      <c r="V574">
        <f t="shared" si="120"/>
        <v>44.969589041095887</v>
      </c>
      <c r="W574">
        <f>SUM($V$400:V574)</f>
        <v>5638.0469041095876</v>
      </c>
      <c r="X574">
        <f>MAX(F574-50,0)*中国_中债国债到期收益率_1年!H574*100/365</f>
        <v>25.38082191780822</v>
      </c>
      <c r="Y574">
        <f>SUM($X$400:X574)</f>
        <v>402.1753424657536</v>
      </c>
      <c r="Z574">
        <v>-50</v>
      </c>
      <c r="AA574">
        <v>50</v>
      </c>
      <c r="AD574">
        <f>SUM($AB$400:AB574)+SUM($AC$400:AC574)</f>
        <v>3290.3000000000161</v>
      </c>
      <c r="AE574">
        <f t="shared" si="113"/>
        <v>32703.151561643859</v>
      </c>
      <c r="AF574">
        <f t="shared" si="114"/>
        <v>1.0654063031232877</v>
      </c>
      <c r="AG574" s="4">
        <f>(AE574-AE573)/(500000+AE573)-中国_中债国债到期收益率_1年!H574%/252</f>
        <v>-1.0119933953773567E-4</v>
      </c>
      <c r="AH574" s="4">
        <f>MIN((AF574-MAX($AF$401:AF574))/MAX($AF$401:AF574),0)</f>
        <v>-2.4612037950463817E-5</v>
      </c>
    </row>
    <row r="575" spans="1:34" x14ac:dyDescent="0.25">
      <c r="A575" s="8">
        <v>45545</v>
      </c>
      <c r="B575">
        <v>50</v>
      </c>
      <c r="C575">
        <v>30</v>
      </c>
      <c r="D575">
        <v>15</v>
      </c>
      <c r="E575">
        <v>0</v>
      </c>
      <c r="F575">
        <f t="shared" si="112"/>
        <v>95</v>
      </c>
      <c r="G575">
        <f t="shared" si="121"/>
        <v>50</v>
      </c>
      <c r="H575">
        <f t="shared" si="115"/>
        <v>150</v>
      </c>
      <c r="I575">
        <f t="shared" si="116"/>
        <v>135</v>
      </c>
      <c r="J575">
        <f t="shared" si="117"/>
        <v>0</v>
      </c>
      <c r="K575">
        <f t="shared" si="118"/>
        <v>335</v>
      </c>
      <c r="L575">
        <f>G575*Return!B575*100</f>
        <v>100.00000000000009</v>
      </c>
      <c r="M575">
        <f>H575*Return!C575*100</f>
        <v>134.99999999999847</v>
      </c>
      <c r="N575">
        <f>I575*Return!D575*100</f>
        <v>163.34999999999701</v>
      </c>
      <c r="O575">
        <f>J575*Return!E575*100</f>
        <v>0</v>
      </c>
      <c r="P575">
        <f t="shared" si="119"/>
        <v>398.34999999999559</v>
      </c>
      <c r="Q575">
        <f>SUM($P$400:P575)</f>
        <v>24575.330000000005</v>
      </c>
      <c r="R575">
        <f>B575*中国_中债国债到期收益率_1年!B574/365*100</f>
        <v>19.386301369863016</v>
      </c>
      <c r="S575">
        <f>C575*中国_中债国债到期收益率_1年!C574/365*100</f>
        <v>14.547945205479451</v>
      </c>
      <c r="T575">
        <f>D575*中国_中债国债到期收益率_1年!D574/365*100</f>
        <v>8.7398630136986295</v>
      </c>
      <c r="U575">
        <f>E575*中国_中债国债到期收益率_1年!E574/365*100</f>
        <v>0</v>
      </c>
      <c r="V575">
        <f t="shared" si="120"/>
        <v>42.674109589041102</v>
      </c>
      <c r="W575">
        <f>SUM($V$400:V575)</f>
        <v>5680.7210136986287</v>
      </c>
      <c r="X575">
        <f>MAX(F575-50,0)*中国_中债国债到期收益率_1年!H575*100/365</f>
        <v>24.041095890410958</v>
      </c>
      <c r="Y575">
        <f>SUM($X$400:X575)</f>
        <v>426.21643835616453</v>
      </c>
      <c r="Z575">
        <v>-50</v>
      </c>
      <c r="AA575">
        <v>50</v>
      </c>
      <c r="AD575">
        <f>SUM($AB$400:AB575)+SUM($AC$400:AC575)</f>
        <v>3290.3000000000161</v>
      </c>
      <c r="AE575">
        <f t="shared" si="113"/>
        <v>33120.13457534249</v>
      </c>
      <c r="AF575">
        <f t="shared" si="114"/>
        <v>1.0662402691506849</v>
      </c>
      <c r="AG575" s="4">
        <f>(AE575-AE574)/(500000+AE574)-中国_中债国债到期收益率_1年!H575%/252</f>
        <v>7.0538710986201773E-4</v>
      </c>
      <c r="AH575" s="4">
        <f>MIN((AF575-MAX($AF$401:AF575))/MAX($AF$401:AF575),0)</f>
        <v>0</v>
      </c>
    </row>
    <row r="576" spans="1:34" x14ac:dyDescent="0.25">
      <c r="A576" s="8">
        <v>45546</v>
      </c>
      <c r="B576">
        <v>50</v>
      </c>
      <c r="C576">
        <v>30</v>
      </c>
      <c r="D576">
        <v>15</v>
      </c>
      <c r="E576">
        <v>0</v>
      </c>
      <c r="F576">
        <f t="shared" si="112"/>
        <v>95</v>
      </c>
      <c r="G576">
        <f t="shared" si="121"/>
        <v>50</v>
      </c>
      <c r="H576">
        <f t="shared" si="115"/>
        <v>150</v>
      </c>
      <c r="I576">
        <f t="shared" si="116"/>
        <v>135</v>
      </c>
      <c r="J576">
        <f t="shared" si="117"/>
        <v>0</v>
      </c>
      <c r="K576">
        <f t="shared" si="118"/>
        <v>335</v>
      </c>
      <c r="L576">
        <f>G576*Return!B576*100</f>
        <v>300.00000000000028</v>
      </c>
      <c r="M576">
        <f>H576*Return!C576*100</f>
        <v>304.49999999999977</v>
      </c>
      <c r="N576">
        <f>I576*Return!D576*100</f>
        <v>167.39999999999955</v>
      </c>
      <c r="O576">
        <f>J576*Return!E576*100</f>
        <v>0</v>
      </c>
      <c r="P576">
        <f t="shared" si="119"/>
        <v>771.89999999999952</v>
      </c>
      <c r="Q576">
        <f>SUM($P$400:P576)</f>
        <v>25347.230000000003</v>
      </c>
      <c r="R576">
        <f>B576*中国_中债国债到期收益率_1年!B575/365*100</f>
        <v>18.564383561643833</v>
      </c>
      <c r="S576">
        <f>C576*中国_中债国债到期收益率_1年!C575/365*100</f>
        <v>14.381095890410958</v>
      </c>
      <c r="T576">
        <f>D576*中国_中债国债到期收益率_1年!D575/365*100</f>
        <v>8.6889041095890409</v>
      </c>
      <c r="U576">
        <f>E576*中国_中债国债到期收益率_1年!E575/365*100</f>
        <v>0</v>
      </c>
      <c r="V576">
        <f t="shared" si="120"/>
        <v>41.63438356164383</v>
      </c>
      <c r="W576">
        <f>SUM($V$400:V576)</f>
        <v>5722.3553972602722</v>
      </c>
      <c r="X576">
        <f>MAX(F576-50,0)*中国_中债国债到期收益率_1年!H576*100/365</f>
        <v>23.917808219178081</v>
      </c>
      <c r="Y576">
        <f>SUM($X$400:X576)</f>
        <v>450.13424657534262</v>
      </c>
      <c r="Z576">
        <v>-50</v>
      </c>
      <c r="AA576">
        <v>50</v>
      </c>
      <c r="AD576">
        <f>SUM($AB$400:AB576)+SUM($AC$400:AC576)</f>
        <v>3290.3000000000161</v>
      </c>
      <c r="AE576">
        <f t="shared" si="113"/>
        <v>33909.751150684948</v>
      </c>
      <c r="AF576">
        <f t="shared" si="114"/>
        <v>1.0678195023013699</v>
      </c>
      <c r="AG576" s="4">
        <f>(AE576-AE575)/(500000+AE575)-中国_中债国债到期收益率_1年!H576%/252</f>
        <v>1.4041390273147208E-3</v>
      </c>
      <c r="AH576" s="4">
        <f>MIN((AF576-MAX($AF$401:AF576))/MAX($AF$401:AF576),0)</f>
        <v>0</v>
      </c>
    </row>
    <row r="577" spans="1:34" x14ac:dyDescent="0.25">
      <c r="A577" s="8">
        <v>45547</v>
      </c>
      <c r="B577">
        <v>50</v>
      </c>
      <c r="C577">
        <v>30</v>
      </c>
      <c r="D577">
        <v>10</v>
      </c>
      <c r="E577">
        <v>0</v>
      </c>
      <c r="F577">
        <f t="shared" si="112"/>
        <v>90</v>
      </c>
      <c r="G577">
        <f t="shared" si="121"/>
        <v>50</v>
      </c>
      <c r="H577">
        <f t="shared" si="115"/>
        <v>150</v>
      </c>
      <c r="I577">
        <f t="shared" si="116"/>
        <v>90</v>
      </c>
      <c r="J577">
        <f t="shared" si="117"/>
        <v>0</v>
      </c>
      <c r="K577">
        <f t="shared" si="118"/>
        <v>290</v>
      </c>
      <c r="L577">
        <f>G577*Return!B577*100</f>
        <v>133.49999999999972</v>
      </c>
      <c r="M577">
        <f>H577*Return!C577*100</f>
        <v>483.00000000000011</v>
      </c>
      <c r="N577">
        <f>I577*Return!D577*100</f>
        <v>89.100000000000179</v>
      </c>
      <c r="O577">
        <f>J577*Return!E577*100</f>
        <v>0</v>
      </c>
      <c r="P577">
        <f t="shared" si="119"/>
        <v>705.59999999999991</v>
      </c>
      <c r="Q577">
        <f>SUM($P$400:P577)</f>
        <v>26052.83</v>
      </c>
      <c r="R577">
        <f>B577*中国_中债国债到期收益率_1年!B576/365*100</f>
        <v>18.198630136986303</v>
      </c>
      <c r="S577">
        <f>C577*中国_中债国债到期收益率_1年!C576/365*100</f>
        <v>14.116438356164382</v>
      </c>
      <c r="T577">
        <f>D577*中国_中债国债到期收益率_1年!D576/365*100</f>
        <v>5.7654794520547945</v>
      </c>
      <c r="U577">
        <f>E577*中国_中债国债到期收益率_1年!E576/365*100</f>
        <v>0</v>
      </c>
      <c r="V577">
        <f t="shared" si="120"/>
        <v>38.080547945205481</v>
      </c>
      <c r="W577">
        <f>SUM($V$400:V577)</f>
        <v>5760.4359452054778</v>
      </c>
      <c r="X577">
        <f>MAX(F577-50,0)*中国_中债国债到期收益率_1年!H577*100/365</f>
        <v>20.82191780821918</v>
      </c>
      <c r="Y577">
        <f>SUM($X$400:X577)</f>
        <v>470.95616438356177</v>
      </c>
      <c r="Z577">
        <v>-50</v>
      </c>
      <c r="AA577">
        <v>50</v>
      </c>
      <c r="AD577">
        <f>SUM($AB$400:AB577)+SUM($AC$400:AC577)</f>
        <v>3290.3000000000161</v>
      </c>
      <c r="AE577">
        <f t="shared" si="113"/>
        <v>34632.609780821935</v>
      </c>
      <c r="AF577">
        <f t="shared" si="114"/>
        <v>1.0692652195616439</v>
      </c>
      <c r="AG577" s="4">
        <f>(AE577-AE576)/(500000+AE576)-中国_中债国债到期收益率_1年!H577%/252</f>
        <v>1.278499837061724E-3</v>
      </c>
      <c r="AH577" s="4">
        <f>MIN((AF577-MAX($AF$401:AF577))/MAX($AF$401:AF577),0)</f>
        <v>0</v>
      </c>
    </row>
    <row r="578" spans="1:34" x14ac:dyDescent="0.25">
      <c r="A578" s="8">
        <v>45548</v>
      </c>
      <c r="B578">
        <v>50</v>
      </c>
      <c r="C578">
        <v>30</v>
      </c>
      <c r="D578">
        <v>10</v>
      </c>
      <c r="E578">
        <v>0</v>
      </c>
      <c r="F578">
        <f t="shared" si="112"/>
        <v>90</v>
      </c>
      <c r="G578">
        <f t="shared" si="121"/>
        <v>50</v>
      </c>
      <c r="H578">
        <f t="shared" si="115"/>
        <v>150</v>
      </c>
      <c r="I578">
        <f t="shared" si="116"/>
        <v>90</v>
      </c>
      <c r="J578">
        <f t="shared" si="117"/>
        <v>0</v>
      </c>
      <c r="K578">
        <f t="shared" si="118"/>
        <v>290</v>
      </c>
      <c r="L578">
        <f>G578*Return!B578*100</f>
        <v>12.499999999999734</v>
      </c>
      <c r="M578">
        <f>H578*Return!C578*100</f>
        <v>-85.500000000000568</v>
      </c>
      <c r="N578">
        <f>I578*Return!D578*100</f>
        <v>41.399999999999437</v>
      </c>
      <c r="O578">
        <f>J578*Return!E578*100</f>
        <v>0</v>
      </c>
      <c r="P578">
        <f t="shared" si="119"/>
        <v>-31.600000000001401</v>
      </c>
      <c r="Q578">
        <f>SUM($P$400:P578)</f>
        <v>26021.23</v>
      </c>
      <c r="R578">
        <f>B578*中国_中债国债到期收益率_1年!B577/365*100</f>
        <v>18.164383561643834</v>
      </c>
      <c r="S578">
        <f>C578*中国_中债国债到期收益率_1年!C577/365*100</f>
        <v>14.163287671232878</v>
      </c>
      <c r="T578">
        <f>D578*中国_中债国债到期收益率_1年!D577/365*100</f>
        <v>5.7528767123287672</v>
      </c>
      <c r="U578">
        <f>E578*中国_中债国债到期收益率_1年!E577/365*100</f>
        <v>0</v>
      </c>
      <c r="V578">
        <f t="shared" si="120"/>
        <v>38.080547945205481</v>
      </c>
      <c r="W578">
        <f>SUM($V$400:V578)</f>
        <v>5798.5164931506833</v>
      </c>
      <c r="X578">
        <f>MAX(F578-50,0)*中国_中债国债到期收益率_1年!H578*100/365</f>
        <v>21.36986301369863</v>
      </c>
      <c r="Y578">
        <f>SUM($X$400:X578)</f>
        <v>492.32602739726042</v>
      </c>
      <c r="Z578">
        <v>-50</v>
      </c>
      <c r="AA578">
        <v>50</v>
      </c>
      <c r="AB578">
        <f>Z578*Return!F582*100</f>
        <v>46.999999999999261</v>
      </c>
      <c r="AC578">
        <f>AA578*Return!G582*100</f>
        <v>-46.000000000000483</v>
      </c>
      <c r="AD578">
        <f>SUM($AB$400:AB578)+SUM($AC$400:AC578)</f>
        <v>3291.3000000000143</v>
      </c>
      <c r="AE578">
        <f t="shared" si="113"/>
        <v>34618.720465753438</v>
      </c>
      <c r="AF578">
        <f t="shared" si="114"/>
        <v>1.0692374409315069</v>
      </c>
      <c r="AG578" s="4">
        <f>(AE578-AE577)/(500000+AE577)-中国_中债国债到期收益率_1年!H578%/252</f>
        <v>-1.0336012913597726E-4</v>
      </c>
      <c r="AH578" s="4">
        <f>MIN((AF578-MAX($AF$401:AF578))/MAX($AF$401:AF578),0)</f>
        <v>-2.5979176755061854E-5</v>
      </c>
    </row>
    <row r="579" spans="1:34" x14ac:dyDescent="0.25">
      <c r="A579" s="8">
        <v>45549</v>
      </c>
      <c r="B579">
        <v>50</v>
      </c>
      <c r="C579">
        <v>30</v>
      </c>
      <c r="D579">
        <v>0</v>
      </c>
      <c r="E579">
        <v>0</v>
      </c>
      <c r="F579">
        <f t="shared" ref="F579:F620" si="122">SUM(B579:E579)</f>
        <v>80</v>
      </c>
      <c r="G579">
        <f t="shared" si="121"/>
        <v>50</v>
      </c>
      <c r="H579">
        <f t="shared" si="115"/>
        <v>150</v>
      </c>
      <c r="I579">
        <f t="shared" si="116"/>
        <v>0</v>
      </c>
      <c r="J579">
        <f t="shared" si="117"/>
        <v>0</v>
      </c>
      <c r="K579">
        <f t="shared" si="118"/>
        <v>200</v>
      </c>
      <c r="L579">
        <f>G579*Return!B579*100</f>
        <v>0</v>
      </c>
      <c r="M579">
        <f>H579*Return!C579*100</f>
        <v>40.500000000002203</v>
      </c>
      <c r="N579">
        <f>I579*Return!D579*100</f>
        <v>0</v>
      </c>
      <c r="O579">
        <f>J579*Return!E579*100</f>
        <v>0</v>
      </c>
      <c r="P579">
        <f t="shared" si="119"/>
        <v>40.500000000002203</v>
      </c>
      <c r="Q579">
        <f>SUM($P$400:P579)</f>
        <v>26061.730000000003</v>
      </c>
      <c r="R579">
        <f>B579*中国_中债国债到期收益率_1年!B578/365*100</f>
        <v>18.164383561643834</v>
      </c>
      <c r="S579">
        <f>C579*中国_中债国债到期收益率_1年!C578/365*100</f>
        <v>14.141095890410957</v>
      </c>
      <c r="T579">
        <f>D579*中国_中债国债到期收益率_1年!D578/365*100</f>
        <v>0</v>
      </c>
      <c r="U579">
        <f>E579*中国_中债国债到期收益率_1年!E578/365*100</f>
        <v>0</v>
      </c>
      <c r="V579">
        <f t="shared" si="120"/>
        <v>32.30547945205479</v>
      </c>
      <c r="W579">
        <f>SUM($V$400:V579)</f>
        <v>5830.8219726027382</v>
      </c>
      <c r="X579">
        <f>MAX(F579-50,0)*中国_中债国债到期收益率_1年!H579*100/365</f>
        <v>14.794520547945206</v>
      </c>
      <c r="Y579">
        <f>SUM($X$400:X579)</f>
        <v>507.1205479452056</v>
      </c>
      <c r="Z579">
        <v>-50</v>
      </c>
      <c r="AA579">
        <v>50</v>
      </c>
      <c r="AB579">
        <f>Z579*Return!F583*100</f>
        <v>0</v>
      </c>
      <c r="AC579">
        <f>AA579*Return!G583*100</f>
        <v>17.500000000000291</v>
      </c>
      <c r="AD579">
        <f>SUM($AB$400:AB579)+SUM($AC$400:AC579)</f>
        <v>3308.8000000000143</v>
      </c>
      <c r="AE579">
        <f t="shared" si="113"/>
        <v>34694.231424657555</v>
      </c>
      <c r="AF579">
        <f t="shared" si="114"/>
        <v>1.0693884628493151</v>
      </c>
      <c r="AG579" s="4">
        <f>(AE579-AE578)/(500000+AE578)-中国_中债国债到期收益率_1年!H579%/252</f>
        <v>6.9814067509198013E-5</v>
      </c>
      <c r="AH579" s="4">
        <f>MIN((AF579-MAX($AF$401:AF579))/MAX($AF$401:AF579),0)</f>
        <v>0</v>
      </c>
    </row>
    <row r="580" spans="1:34" x14ac:dyDescent="0.25">
      <c r="A580" s="8">
        <v>45553</v>
      </c>
      <c r="B580">
        <v>50</v>
      </c>
      <c r="C580">
        <v>30</v>
      </c>
      <c r="D580">
        <v>0</v>
      </c>
      <c r="E580">
        <v>0</v>
      </c>
      <c r="F580">
        <f t="shared" si="122"/>
        <v>80</v>
      </c>
      <c r="G580">
        <f t="shared" si="121"/>
        <v>50</v>
      </c>
      <c r="H580">
        <f t="shared" si="115"/>
        <v>150</v>
      </c>
      <c r="I580">
        <f t="shared" si="116"/>
        <v>0</v>
      </c>
      <c r="J580">
        <f t="shared" si="117"/>
        <v>0</v>
      </c>
      <c r="K580">
        <f t="shared" si="118"/>
        <v>200</v>
      </c>
      <c r="L580">
        <f>G580*Return!B580*100</f>
        <v>-24.999999999999467</v>
      </c>
      <c r="M580">
        <f>H580*Return!C580*100</f>
        <v>293.99999999999761</v>
      </c>
      <c r="N580">
        <f>I580*Return!D580*100</f>
        <v>0</v>
      </c>
      <c r="O580">
        <f>J580*Return!E580*100</f>
        <v>0</v>
      </c>
      <c r="P580">
        <f t="shared" si="119"/>
        <v>268.99999999999812</v>
      </c>
      <c r="Q580">
        <f>SUM($P$400:P580)</f>
        <v>26330.73</v>
      </c>
      <c r="R580">
        <f>B580*中国_中债国债到期收益率_1年!B579/365*100</f>
        <v>18.232876712328768</v>
      </c>
      <c r="S580">
        <f>C580*中国_中债国债到期收益率_1年!C579/365*100</f>
        <v>13.98</v>
      </c>
      <c r="T580">
        <f>D580*中国_中债国债到期收益率_1年!D579/365*100</f>
        <v>0</v>
      </c>
      <c r="U580">
        <f>E580*中国_中债国债到期收益率_1年!E579/365*100</f>
        <v>0</v>
      </c>
      <c r="V580">
        <f t="shared" si="120"/>
        <v>32.212876712328764</v>
      </c>
      <c r="W580">
        <f>SUM($V$400:V580)</f>
        <v>5863.0348493150668</v>
      </c>
      <c r="X580">
        <f>MAX(F580-50,0)*中国_中债国债到期收益率_1年!H580*100/365</f>
        <v>15.616438356164384</v>
      </c>
      <c r="Y580">
        <f>SUM($X$400:X580)</f>
        <v>522.73698630136994</v>
      </c>
      <c r="Z580">
        <v>-30</v>
      </c>
      <c r="AA580">
        <v>30</v>
      </c>
      <c r="AB580">
        <f>Z580*Return!F584*100</f>
        <v>21.600000000000286</v>
      </c>
      <c r="AC580">
        <f>AA580*Return!G584*100</f>
        <v>-2.1000000000004349</v>
      </c>
      <c r="AD580">
        <f>SUM($AB$400:AB580)+SUM($AC$400:AC580)</f>
        <v>3328.3000000000143</v>
      </c>
      <c r="AE580">
        <f t="shared" ref="AE580:AE622" si="123">Q580+W580+AD580-Y580</f>
        <v>34999.327863013714</v>
      </c>
      <c r="AF580">
        <f t="shared" ref="AF580:AF622" si="124">AE580/$AI$1+1</f>
        <v>1.0699986557260275</v>
      </c>
      <c r="AG580" s="4">
        <f>(AE580-AE579)/(500000+AE579)-中国_中债国债到期收益率_1年!H580%/252</f>
        <v>4.9520300610546948E-4</v>
      </c>
      <c r="AH580" s="4">
        <f>MIN((AF580-MAX($AF$401:AF580))/MAX($AF$401:AF580),0)</f>
        <v>0</v>
      </c>
    </row>
    <row r="581" spans="1:34" x14ac:dyDescent="0.25">
      <c r="A581" s="8">
        <v>45554</v>
      </c>
      <c r="B581">
        <v>50</v>
      </c>
      <c r="C581">
        <v>30</v>
      </c>
      <c r="D581">
        <v>0</v>
      </c>
      <c r="E581">
        <v>0</v>
      </c>
      <c r="F581">
        <f t="shared" si="122"/>
        <v>80</v>
      </c>
      <c r="G581">
        <f t="shared" si="121"/>
        <v>50</v>
      </c>
      <c r="H581">
        <f t="shared" si="115"/>
        <v>150</v>
      </c>
      <c r="I581">
        <f t="shared" si="116"/>
        <v>0</v>
      </c>
      <c r="J581">
        <f t="shared" si="117"/>
        <v>0</v>
      </c>
      <c r="K581">
        <f t="shared" si="118"/>
        <v>200</v>
      </c>
      <c r="L581">
        <f>G581*Return!B581*100</f>
        <v>-175.00000000000071</v>
      </c>
      <c r="M581">
        <f>H581*Return!C581*100</f>
        <v>-311.99999999999892</v>
      </c>
      <c r="N581">
        <f>I581*Return!D581*100</f>
        <v>0</v>
      </c>
      <c r="O581">
        <f>J581*Return!E581*100</f>
        <v>0</v>
      </c>
      <c r="P581">
        <f t="shared" si="119"/>
        <v>-486.99999999999966</v>
      </c>
      <c r="Q581">
        <f>SUM($P$400:P581)</f>
        <v>25843.73</v>
      </c>
      <c r="R581">
        <f>B581*中国_中债国债到期收益率_1年!B580/365*100</f>
        <v>18.712328767123289</v>
      </c>
      <c r="S581">
        <f>C581*中国_中债国债到期收益率_1年!C580/365*100</f>
        <v>14.15095890410959</v>
      </c>
      <c r="T581">
        <f>D581*中国_中债国债到期收益率_1年!D580/365*100</f>
        <v>0</v>
      </c>
      <c r="U581">
        <f>E581*中国_中债国债到期收益率_1年!E580/365*100</f>
        <v>0</v>
      </c>
      <c r="V581">
        <f t="shared" si="120"/>
        <v>32.863287671232882</v>
      </c>
      <c r="W581">
        <f>SUM($V$400:V581)</f>
        <v>5895.8981369862995</v>
      </c>
      <c r="X581">
        <f>MAX(F581-50,0)*中国_中债国债到期收益率_1年!H581*100/365</f>
        <v>16.438356164383563</v>
      </c>
      <c r="Y581">
        <f>SUM($X$400:X581)</f>
        <v>539.17534246575349</v>
      </c>
      <c r="Z581">
        <v>-30</v>
      </c>
      <c r="AA581">
        <v>30</v>
      </c>
      <c r="AB581">
        <f>Z581*Return!F585*100</f>
        <v>-179.40000000000023</v>
      </c>
      <c r="AC581">
        <f>AA581*Return!G585*100</f>
        <v>29.70000000000006</v>
      </c>
      <c r="AD581">
        <f>SUM($AB$400:AB581)+SUM($AC$400:AC581)</f>
        <v>3178.600000000014</v>
      </c>
      <c r="AE581">
        <f t="shared" si="123"/>
        <v>34379.052794520561</v>
      </c>
      <c r="AF581">
        <f t="shared" si="124"/>
        <v>1.0687581055890412</v>
      </c>
      <c r="AG581" s="4">
        <f>(AE581-AE580)/(500000+AE580)-中国_中债国债到期收益率_1年!H581%/252</f>
        <v>-1.2387591873366946E-3</v>
      </c>
      <c r="AH581" s="4">
        <f>MIN((AF581-MAX($AF$401:AF581))/MAX($AF$401:AF581),0)</f>
        <v>-1.1593941079716275E-3</v>
      </c>
    </row>
    <row r="582" spans="1:34" x14ac:dyDescent="0.25">
      <c r="A582" s="8">
        <v>45555</v>
      </c>
      <c r="B582">
        <v>50</v>
      </c>
      <c r="C582">
        <v>30</v>
      </c>
      <c r="D582">
        <v>0</v>
      </c>
      <c r="E582">
        <v>0</v>
      </c>
      <c r="F582">
        <f t="shared" si="122"/>
        <v>80</v>
      </c>
      <c r="G582">
        <f t="shared" si="121"/>
        <v>50</v>
      </c>
      <c r="H582">
        <f t="shared" si="115"/>
        <v>150</v>
      </c>
      <c r="I582">
        <f t="shared" si="116"/>
        <v>0</v>
      </c>
      <c r="J582">
        <f t="shared" si="117"/>
        <v>0</v>
      </c>
      <c r="K582">
        <f t="shared" si="118"/>
        <v>200</v>
      </c>
      <c r="L582">
        <f>G582*Return!B582*100</f>
        <v>-124.99999999999956</v>
      </c>
      <c r="M582">
        <f>H582*Return!C582*100</f>
        <v>-291.00000000000125</v>
      </c>
      <c r="N582">
        <f>I582*Return!D582*100</f>
        <v>0</v>
      </c>
      <c r="O582">
        <f>J582*Return!E582*100</f>
        <v>0</v>
      </c>
      <c r="P582">
        <f t="shared" si="119"/>
        <v>-416.0000000000008</v>
      </c>
      <c r="Q582">
        <f>SUM($P$400:P582)</f>
        <v>25427.73</v>
      </c>
      <c r="R582">
        <f>B582*中国_中债国债到期收益率_1年!B581/365*100</f>
        <v>19.054794520547944</v>
      </c>
      <c r="S582">
        <f>C582*中国_中债国债到期收益率_1年!C581/365*100</f>
        <v>14.310410958904111</v>
      </c>
      <c r="T582">
        <f>D582*中国_中债国债到期收益率_1年!D581/365*100</f>
        <v>0</v>
      </c>
      <c r="U582">
        <f>E582*中国_中债国债到期收益率_1年!E581/365*100</f>
        <v>0</v>
      </c>
      <c r="V582">
        <f t="shared" si="120"/>
        <v>33.365205479452058</v>
      </c>
      <c r="W582">
        <f>SUM($V$400:V582)</f>
        <v>5929.2633424657515</v>
      </c>
      <c r="X582">
        <f>MAX(F582-50,0)*中国_中债国债到期收益率_1年!H582*100/365</f>
        <v>16.438356164383563</v>
      </c>
      <c r="Y582">
        <f>SUM($X$400:X582)</f>
        <v>555.61369863013704</v>
      </c>
      <c r="Z582">
        <v>-30</v>
      </c>
      <c r="AA582">
        <v>30</v>
      </c>
      <c r="AB582">
        <f>Z582*Return!F586*100</f>
        <v>-126.00000000000011</v>
      </c>
      <c r="AC582">
        <f>AA582*Return!G586*100</f>
        <v>29.400000000000091</v>
      </c>
      <c r="AD582">
        <f>SUM($AB$400:AB582)+SUM($AC$400:AC582)</f>
        <v>3082.0000000000136</v>
      </c>
      <c r="AE582">
        <f t="shared" si="123"/>
        <v>33883.379643835629</v>
      </c>
      <c r="AF582">
        <f t="shared" si="124"/>
        <v>1.0677667592876712</v>
      </c>
      <c r="AG582" s="4">
        <f>(AE582-AE581)/(500000+AE581)-中国_中债国债到期收益率_1年!H582%/252</f>
        <v>-1.0069335311837329E-3</v>
      </c>
      <c r="AH582" s="4">
        <f>MIN((AF582-MAX($AF$401:AF582))/MAX($AF$401:AF582),0)</f>
        <v>-2.0858871423926183E-3</v>
      </c>
    </row>
    <row r="583" spans="1:34" x14ac:dyDescent="0.25">
      <c r="A583" s="8">
        <v>45558</v>
      </c>
      <c r="B583">
        <v>50</v>
      </c>
      <c r="C583">
        <v>30</v>
      </c>
      <c r="D583">
        <v>0</v>
      </c>
      <c r="E583">
        <v>0</v>
      </c>
      <c r="F583">
        <f t="shared" si="122"/>
        <v>80</v>
      </c>
      <c r="G583">
        <f t="shared" si="121"/>
        <v>50</v>
      </c>
      <c r="H583">
        <f t="shared" si="115"/>
        <v>150</v>
      </c>
      <c r="I583">
        <f t="shared" si="116"/>
        <v>0</v>
      </c>
      <c r="J583">
        <f t="shared" si="117"/>
        <v>0</v>
      </c>
      <c r="K583">
        <f t="shared" si="118"/>
        <v>200</v>
      </c>
      <c r="L583">
        <f>G583*Return!B583*100</f>
        <v>0</v>
      </c>
      <c r="M583">
        <f>H583*Return!C583*100</f>
        <v>195.00000000000185</v>
      </c>
      <c r="N583">
        <f>I583*Return!D583*100</f>
        <v>0</v>
      </c>
      <c r="O583">
        <f>J583*Return!E583*100</f>
        <v>0</v>
      </c>
      <c r="P583">
        <f t="shared" si="119"/>
        <v>195.00000000000185</v>
      </c>
      <c r="Q583">
        <f>SUM($P$400:P583)</f>
        <v>25622.730000000003</v>
      </c>
      <c r="R583">
        <f>B583*中国_中债国债到期收益率_1年!B582/365*100</f>
        <v>19.054794520547944</v>
      </c>
      <c r="S583">
        <f>C583*中国_中债国债到期收益率_1年!C582/365*100</f>
        <v>14.203561643835616</v>
      </c>
      <c r="T583">
        <f>D583*中国_中债国债到期收益率_1年!D582/365*100</f>
        <v>0</v>
      </c>
      <c r="U583">
        <f>E583*中国_中债国债到期收益率_1年!E582/365*100</f>
        <v>0</v>
      </c>
      <c r="V583">
        <f t="shared" si="120"/>
        <v>33.258356164383557</v>
      </c>
      <c r="W583">
        <f>SUM($V$400:V583)</f>
        <v>5962.5216986301348</v>
      </c>
      <c r="X583">
        <f>MAX(F583-50,0)*中国_中债国债到期收益率_1年!H583*100/365</f>
        <v>16.438356164383563</v>
      </c>
      <c r="Y583">
        <f>SUM($X$400:X583)</f>
        <v>572.05205479452059</v>
      </c>
      <c r="Z583">
        <v>-30</v>
      </c>
      <c r="AA583">
        <v>30</v>
      </c>
      <c r="AB583">
        <f>Z583*Return!F587*100</f>
        <v>-39.599999999999639</v>
      </c>
      <c r="AC583">
        <f>AA583*Return!G587*100</f>
        <v>19.800000000000484</v>
      </c>
      <c r="AD583">
        <f>SUM($AB$400:AB583)+SUM($AC$400:AC583)</f>
        <v>3062.2000000000144</v>
      </c>
      <c r="AE583">
        <f t="shared" si="123"/>
        <v>34075.399643835633</v>
      </c>
      <c r="AF583">
        <f t="shared" si="124"/>
        <v>1.0681507992876713</v>
      </c>
      <c r="AG583" s="4">
        <f>(AE583-AE582)/(500000+AE582)-中国_中债国债到期收益率_1年!H583%/252</f>
        <v>2.8030148326158358E-4</v>
      </c>
      <c r="AH583" s="4">
        <f>MIN((AF583-MAX($AF$401:AF583))/MAX($AF$401:AF583),0)</f>
        <v>-1.726970803624363E-3</v>
      </c>
    </row>
    <row r="584" spans="1:34" x14ac:dyDescent="0.25">
      <c r="A584" s="8">
        <v>45559</v>
      </c>
      <c r="B584">
        <v>50</v>
      </c>
      <c r="C584">
        <v>30</v>
      </c>
      <c r="D584">
        <v>0</v>
      </c>
      <c r="E584">
        <v>0</v>
      </c>
      <c r="F584">
        <f t="shared" si="122"/>
        <v>80</v>
      </c>
      <c r="G584">
        <f t="shared" si="121"/>
        <v>50</v>
      </c>
      <c r="H584">
        <f t="shared" si="115"/>
        <v>150</v>
      </c>
      <c r="I584">
        <f t="shared" si="116"/>
        <v>0</v>
      </c>
      <c r="J584">
        <f t="shared" si="117"/>
        <v>0</v>
      </c>
      <c r="K584">
        <f t="shared" si="118"/>
        <v>200</v>
      </c>
      <c r="L584">
        <f>G584*Return!B584*100</f>
        <v>15.500000000000513</v>
      </c>
      <c r="M584">
        <f>H584*Return!C584*100</f>
        <v>-49.500000000001208</v>
      </c>
      <c r="N584">
        <f>I584*Return!D584*100</f>
        <v>0</v>
      </c>
      <c r="O584">
        <f>J584*Return!E584*100</f>
        <v>0</v>
      </c>
      <c r="P584">
        <f t="shared" si="119"/>
        <v>-34.000000000000696</v>
      </c>
      <c r="Q584">
        <f>SUM($P$400:P584)</f>
        <v>25588.730000000003</v>
      </c>
      <c r="R584">
        <f>B584*中国_中债国债到期收益率_1年!B583/365*100</f>
        <v>19.012328767123286</v>
      </c>
      <c r="S584">
        <f>C584*中国_中债国债到期收益率_1年!C583/365*100</f>
        <v>14.230684931506849</v>
      </c>
      <c r="T584">
        <f>D584*中国_中债国债到期收益率_1年!D583/365*100</f>
        <v>0</v>
      </c>
      <c r="U584">
        <f>E584*中国_中债国债到期收益率_1年!E583/365*100</f>
        <v>0</v>
      </c>
      <c r="V584">
        <f t="shared" si="120"/>
        <v>33.243013698630136</v>
      </c>
      <c r="W584">
        <f>SUM($V$400:V584)</f>
        <v>5995.7647123287652</v>
      </c>
      <c r="X584">
        <f>MAX(F584-50,0)*中国_中债国债到期收益率_1年!H584*100/365</f>
        <v>16.849315068493148</v>
      </c>
      <c r="Y584">
        <f>SUM($X$400:X584)</f>
        <v>588.90136986301377</v>
      </c>
      <c r="Z584">
        <v>-30</v>
      </c>
      <c r="AA584">
        <v>30</v>
      </c>
      <c r="AB584">
        <f>Z584*Return!F588*100</f>
        <v>2.3999999999997357</v>
      </c>
      <c r="AC584">
        <f>AA584*Return!G588*100</f>
        <v>-257.70000000000027</v>
      </c>
      <c r="AD584">
        <f>SUM($AB$400:AB584)+SUM($AC$400:AC584)</f>
        <v>2806.9000000000142</v>
      </c>
      <c r="AE584">
        <f t="shared" si="123"/>
        <v>33802.493342465765</v>
      </c>
      <c r="AF584">
        <f t="shared" si="124"/>
        <v>1.0676049866849315</v>
      </c>
      <c r="AG584" s="4">
        <f>(AE584-AE583)/(500000+AE583)-中国_中债国债到期收益率_1年!H584%/252</f>
        <v>-5.923375453587631E-4</v>
      </c>
      <c r="AH584" s="4">
        <f>MIN((AF584-MAX($AF$401:AF584))/MAX($AF$401:AF584),0)</f>
        <v>-2.2370766806914986E-3</v>
      </c>
    </row>
    <row r="585" spans="1:34" x14ac:dyDescent="0.25">
      <c r="A585" s="8">
        <v>45560</v>
      </c>
      <c r="B585">
        <v>50</v>
      </c>
      <c r="C585">
        <v>30</v>
      </c>
      <c r="D585">
        <v>0</v>
      </c>
      <c r="E585">
        <v>0</v>
      </c>
      <c r="F585">
        <f t="shared" si="122"/>
        <v>80</v>
      </c>
      <c r="G585">
        <f t="shared" si="121"/>
        <v>50</v>
      </c>
      <c r="H585">
        <f t="shared" si="115"/>
        <v>150</v>
      </c>
      <c r="I585">
        <f t="shared" si="116"/>
        <v>0</v>
      </c>
      <c r="J585">
        <f t="shared" si="117"/>
        <v>0</v>
      </c>
      <c r="K585">
        <f t="shared" si="118"/>
        <v>200</v>
      </c>
      <c r="L585">
        <f>G585*Return!B585*100</f>
        <v>-150.00000000000014</v>
      </c>
      <c r="M585">
        <f>H585*Return!C585*100</f>
        <v>-310.49999999999909</v>
      </c>
      <c r="N585">
        <f>I585*Return!D585*100</f>
        <v>0</v>
      </c>
      <c r="O585">
        <f>J585*Return!E585*100</f>
        <v>0</v>
      </c>
      <c r="P585">
        <f t="shared" si="119"/>
        <v>-460.4999999999992</v>
      </c>
      <c r="Q585">
        <f>SUM($P$400:P585)</f>
        <v>25128.230000000003</v>
      </c>
      <c r="R585">
        <f>B585*中国_中债国债到期收益率_1年!B584/365*100</f>
        <v>19.423287671232874</v>
      </c>
      <c r="S585">
        <f>C585*中国_中债国债到期收益率_1年!C584/365*100</f>
        <v>14.400821917808221</v>
      </c>
      <c r="T585">
        <f>D585*中国_中债国债到期收益率_1年!D584/365*100</f>
        <v>0</v>
      </c>
      <c r="U585">
        <f>E585*中国_中债国债到期收益率_1年!E584/365*100</f>
        <v>0</v>
      </c>
      <c r="V585">
        <f t="shared" si="120"/>
        <v>33.824109589041093</v>
      </c>
      <c r="W585">
        <f>SUM($V$400:V585)</f>
        <v>6029.5888219178059</v>
      </c>
      <c r="X585">
        <f>MAX(F585-50,0)*中国_中债国债到期收益率_1年!H585*100/365</f>
        <v>16.438356164383563</v>
      </c>
      <c r="Y585">
        <f>SUM($X$400:X585)</f>
        <v>605.33972602739732</v>
      </c>
      <c r="Z585">
        <v>-30</v>
      </c>
      <c r="AA585">
        <v>30</v>
      </c>
      <c r="AB585">
        <f>Z585*Return!F589*100</f>
        <v>144.3000000000001</v>
      </c>
      <c r="AC585">
        <f>AA585*Return!G589*100</f>
        <v>-381</v>
      </c>
      <c r="AD585">
        <f>SUM($AB$400:AB585)+SUM($AC$400:AC585)</f>
        <v>2570.2000000000144</v>
      </c>
      <c r="AE585">
        <f t="shared" si="123"/>
        <v>33122.679095890424</v>
      </c>
      <c r="AF585">
        <f t="shared" si="124"/>
        <v>1.0662453581917808</v>
      </c>
      <c r="AG585" s="4">
        <f>(AE585-AE584)/(500000+AE584)-中国_中债国债到期收益率_1年!H585%/252</f>
        <v>-1.3528964979214178E-3</v>
      </c>
      <c r="AH585" s="4">
        <f>MIN((AF585-MAX($AF$401:AF585))/MAX($AF$401:AF585),0)</f>
        <v>-3.5077591118093149E-3</v>
      </c>
    </row>
    <row r="586" spans="1:34" x14ac:dyDescent="0.25">
      <c r="A586" s="8">
        <v>45561</v>
      </c>
      <c r="B586">
        <v>30</v>
      </c>
      <c r="C586">
        <v>30</v>
      </c>
      <c r="D586">
        <v>0</v>
      </c>
      <c r="E586">
        <v>0</v>
      </c>
      <c r="F586">
        <f t="shared" si="122"/>
        <v>60</v>
      </c>
      <c r="G586">
        <f t="shared" si="121"/>
        <v>30</v>
      </c>
      <c r="H586">
        <f t="shared" si="115"/>
        <v>150</v>
      </c>
      <c r="I586">
        <f t="shared" si="116"/>
        <v>0</v>
      </c>
      <c r="J586">
        <f t="shared" si="117"/>
        <v>0</v>
      </c>
      <c r="K586">
        <f t="shared" si="118"/>
        <v>180</v>
      </c>
      <c r="L586">
        <f>G586*Return!B586*100</f>
        <v>90.000000000000085</v>
      </c>
      <c r="M586">
        <f>H586*Return!C586*100</f>
        <v>788.99999999999966</v>
      </c>
      <c r="N586">
        <f>I586*Return!D586*100</f>
        <v>0</v>
      </c>
      <c r="O586">
        <f>J586*Return!E586*100</f>
        <v>0</v>
      </c>
      <c r="P586">
        <f t="shared" si="119"/>
        <v>878.99999999999977</v>
      </c>
      <c r="Q586">
        <f>SUM($P$400:P586)</f>
        <v>26007.230000000003</v>
      </c>
      <c r="R586">
        <f>B586*中国_中债国债到期收益率_1年!B585/365*100</f>
        <v>11.407397260273973</v>
      </c>
      <c r="S586">
        <f>C586*中国_中债国债到期收益率_1年!C585/365*100</f>
        <v>13.968493150684932</v>
      </c>
      <c r="T586">
        <f>D586*中国_中债国债到期收益率_1年!D585/365*100</f>
        <v>0</v>
      </c>
      <c r="U586">
        <f>E586*中国_中债国债到期收益率_1年!E585/365*100</f>
        <v>0</v>
      </c>
      <c r="V586">
        <f t="shared" si="120"/>
        <v>25.375890410958903</v>
      </c>
      <c r="W586">
        <f>SUM($V$400:V586)</f>
        <v>6054.964712328765</v>
      </c>
      <c r="X586">
        <f>MAX(F586-50,0)*中国_中债国债到期收益率_1年!H586*100/365</f>
        <v>5.6164383561643838</v>
      </c>
      <c r="Y586">
        <f>SUM($X$400:X586)</f>
        <v>610.95616438356171</v>
      </c>
      <c r="Z586">
        <v>-50</v>
      </c>
      <c r="AA586">
        <v>50</v>
      </c>
      <c r="AB586">
        <f>Z586*Return!F590*100</f>
        <v>-90.500000000000028</v>
      </c>
      <c r="AC586">
        <f>AA586*Return!G590*100</f>
        <v>249.50000000000028</v>
      </c>
      <c r="AD586">
        <f>SUM($AB$400:AB586)+SUM($AC$400:AC586)</f>
        <v>2729.2000000000144</v>
      </c>
      <c r="AE586">
        <f t="shared" si="123"/>
        <v>34180.438547945218</v>
      </c>
      <c r="AF586">
        <f t="shared" si="124"/>
        <v>1.0683608770958903</v>
      </c>
      <c r="AG586" s="4">
        <f>(AE586-AE585)/(500000+AE585)-中国_中债国债到期收益率_1年!H586%/252</f>
        <v>1.9027334326573015E-3</v>
      </c>
      <c r="AH586" s="4">
        <f>MIN((AF586-MAX($AF$401:AF586))/MAX($AF$401:AF586),0)</f>
        <v>-1.5306361567584022E-3</v>
      </c>
    </row>
    <row r="587" spans="1:34" x14ac:dyDescent="0.25">
      <c r="A587" s="8">
        <v>45562</v>
      </c>
      <c r="B587">
        <v>30</v>
      </c>
      <c r="C587">
        <v>30</v>
      </c>
      <c r="D587">
        <v>0</v>
      </c>
      <c r="E587">
        <v>0</v>
      </c>
      <c r="F587">
        <f t="shared" si="122"/>
        <v>60</v>
      </c>
      <c r="G587">
        <f t="shared" si="121"/>
        <v>30</v>
      </c>
      <c r="H587">
        <f t="shared" si="115"/>
        <v>150</v>
      </c>
      <c r="I587">
        <f t="shared" si="116"/>
        <v>0</v>
      </c>
      <c r="J587">
        <f t="shared" si="117"/>
        <v>0</v>
      </c>
      <c r="K587">
        <f t="shared" si="118"/>
        <v>180</v>
      </c>
      <c r="L587">
        <f>G587*Return!B587*100</f>
        <v>-45.000000000000369</v>
      </c>
      <c r="M587">
        <f>H587*Return!C587*100</f>
        <v>-481.50000000000028</v>
      </c>
      <c r="N587">
        <f>I587*Return!D587*100</f>
        <v>0</v>
      </c>
      <c r="O587">
        <f>J587*Return!E587*100</f>
        <v>0</v>
      </c>
      <c r="P587">
        <f t="shared" si="119"/>
        <v>-526.50000000000068</v>
      </c>
      <c r="Q587">
        <f>SUM($P$400:P587)</f>
        <v>25480.730000000003</v>
      </c>
      <c r="R587">
        <f>B587*中国_中债国债到期收益率_1年!B586/365*100</f>
        <v>11.530684931506849</v>
      </c>
      <c r="S587">
        <f>C587*中国_中债国债到期收益率_1年!C586/365*100</f>
        <v>14.232328767123287</v>
      </c>
      <c r="T587">
        <f>D587*中国_中债国债到期收益率_1年!D586/365*100</f>
        <v>0</v>
      </c>
      <c r="U587">
        <f>E587*中国_中债国债到期收益率_1年!E586/365*100</f>
        <v>0</v>
      </c>
      <c r="V587">
        <f t="shared" si="120"/>
        <v>25.763013698630136</v>
      </c>
      <c r="W587">
        <f>SUM($V$400:V587)</f>
        <v>6080.727726027395</v>
      </c>
      <c r="X587">
        <f>MAX(F587-50,0)*中国_中债国债到期收益率_1年!H587*100/365</f>
        <v>5.2054794520547949</v>
      </c>
      <c r="Y587">
        <f>SUM($X$400:X587)</f>
        <v>616.16164383561647</v>
      </c>
      <c r="Z587">
        <v>-50</v>
      </c>
      <c r="AA587">
        <v>50</v>
      </c>
      <c r="AB587">
        <f>Z587*Return!F591*100</f>
        <v>111.99999999999987</v>
      </c>
      <c r="AC587">
        <f>AA587*Return!G591*100</f>
        <v>-0.99999999999988987</v>
      </c>
      <c r="AD587">
        <f>SUM($AB$400:AB587)+SUM($AC$400:AC587)</f>
        <v>2840.2000000000144</v>
      </c>
      <c r="AE587">
        <f t="shared" si="123"/>
        <v>33785.496082191799</v>
      </c>
      <c r="AF587">
        <f t="shared" si="124"/>
        <v>1.0675709921643837</v>
      </c>
      <c r="AG587" s="4">
        <f>(AE587-AE586)/(500000+AE586)-中国_中债国债到期收益率_1年!H587%/252</f>
        <v>-8.1473963403089753E-4</v>
      </c>
      <c r="AH587" s="4">
        <f>MIN((AF587-MAX($AF$401:AF587))/MAX($AF$401:AF587),0)</f>
        <v>-2.2688473005571825E-3</v>
      </c>
    </row>
    <row r="588" spans="1:34" x14ac:dyDescent="0.25">
      <c r="A588" s="8">
        <v>45564</v>
      </c>
      <c r="B588">
        <v>30</v>
      </c>
      <c r="C588">
        <v>30</v>
      </c>
      <c r="D588">
        <v>0</v>
      </c>
      <c r="E588">
        <v>0</v>
      </c>
      <c r="F588">
        <f t="shared" si="122"/>
        <v>60</v>
      </c>
      <c r="G588">
        <f t="shared" si="121"/>
        <v>30</v>
      </c>
      <c r="H588">
        <f t="shared" si="115"/>
        <v>150</v>
      </c>
      <c r="I588">
        <f t="shared" si="116"/>
        <v>0</v>
      </c>
      <c r="J588">
        <f t="shared" si="117"/>
        <v>0</v>
      </c>
      <c r="K588">
        <f t="shared" si="118"/>
        <v>180</v>
      </c>
      <c r="L588">
        <f>G588*Return!B588*100</f>
        <v>-104.99999999999976</v>
      </c>
      <c r="M588">
        <f>H588*Return!C588*100</f>
        <v>-1493.9999999999986</v>
      </c>
      <c r="N588">
        <f>I588*Return!D588*100</f>
        <v>0</v>
      </c>
      <c r="O588">
        <f>J588*Return!E588*100</f>
        <v>0</v>
      </c>
      <c r="P588">
        <f t="shared" si="119"/>
        <v>-1598.9999999999984</v>
      </c>
      <c r="Q588">
        <f>SUM($P$400:P588)</f>
        <v>23881.730000000003</v>
      </c>
      <c r="R588">
        <f>B588*中国_中债国债到期收益率_1年!B587/365*100</f>
        <v>11.818356164383562</v>
      </c>
      <c r="S588">
        <f>C588*中国_中债国债到期收益率_1年!C587/365*100</f>
        <v>15.05095890410959</v>
      </c>
      <c r="T588">
        <f>D588*中国_中债国债到期收益率_1年!D587/365*100</f>
        <v>0</v>
      </c>
      <c r="U588">
        <f>E588*中国_中债国债到期收益率_1年!E587/365*100</f>
        <v>0</v>
      </c>
      <c r="V588">
        <f t="shared" si="120"/>
        <v>26.869315068493151</v>
      </c>
      <c r="W588">
        <f>SUM($V$400:V588)</f>
        <v>6107.597041095888</v>
      </c>
      <c r="X588">
        <f>MAX(F588-50,0)*中国_中债国债到期收益率_1年!H588*100/365</f>
        <v>4.9315068493150687</v>
      </c>
      <c r="Y588">
        <f>SUM($X$400:X588)</f>
        <v>621.09315068493152</v>
      </c>
      <c r="Z588">
        <v>-50</v>
      </c>
      <c r="AA588">
        <v>50</v>
      </c>
      <c r="AB588">
        <f>Z588*Return!F592*100</f>
        <v>235.4999999999996</v>
      </c>
      <c r="AC588">
        <f>AA588*Return!G592*100</f>
        <v>-29.000000000000135</v>
      </c>
      <c r="AD588">
        <f>SUM($AB$400:AB588)+SUM($AC$400:AC588)</f>
        <v>3046.7000000000139</v>
      </c>
      <c r="AE588">
        <f t="shared" si="123"/>
        <v>32414.933890410975</v>
      </c>
      <c r="AF588">
        <f t="shared" si="124"/>
        <v>1.0648298677808219</v>
      </c>
      <c r="AG588" s="4">
        <f>(AE588-AE587)/(500000+AE587)-中国_中债国债到期收益率_1年!H588%/252</f>
        <v>-2.6390558333910918E-3</v>
      </c>
      <c r="AH588" s="4">
        <f>MIN((AF588-MAX($AF$401:AF588))/MAX($AF$401:AF588),0)</f>
        <v>-4.8306490083376832E-3</v>
      </c>
    </row>
    <row r="589" spans="1:34" x14ac:dyDescent="0.25">
      <c r="A589" s="8">
        <v>45565</v>
      </c>
      <c r="B589">
        <v>30</v>
      </c>
      <c r="C589">
        <v>30</v>
      </c>
      <c r="D589">
        <v>0</v>
      </c>
      <c r="E589">
        <v>0</v>
      </c>
      <c r="F589">
        <f t="shared" si="122"/>
        <v>60</v>
      </c>
      <c r="G589">
        <f t="shared" si="121"/>
        <v>30</v>
      </c>
      <c r="H589">
        <f t="shared" si="115"/>
        <v>150</v>
      </c>
      <c r="I589">
        <f t="shared" si="116"/>
        <v>0</v>
      </c>
      <c r="J589">
        <f t="shared" si="117"/>
        <v>0</v>
      </c>
      <c r="K589">
        <f t="shared" si="118"/>
        <v>180</v>
      </c>
      <c r="L589">
        <f>G589*Return!B589*100</f>
        <v>0</v>
      </c>
      <c r="M589">
        <f>H589*Return!C589*100</f>
        <v>-1500.0000000000014</v>
      </c>
      <c r="N589">
        <f>I589*Return!D589*100</f>
        <v>0</v>
      </c>
      <c r="O589">
        <f>J589*Return!E589*100</f>
        <v>0</v>
      </c>
      <c r="P589">
        <f t="shared" si="119"/>
        <v>-1500.0000000000014</v>
      </c>
      <c r="Q589">
        <f>SUM($P$400:P589)</f>
        <v>22381.730000000003</v>
      </c>
      <c r="R589">
        <f>B589*中国_中债国债到期收益率_1年!B588/365*100</f>
        <v>11.818356164383562</v>
      </c>
      <c r="S589">
        <f>C589*中国_中债国债到期收益率_1年!C588/365*100</f>
        <v>15.872876712328768</v>
      </c>
      <c r="T589">
        <f>D589*中国_中债国债到期收益率_1年!D588/365*100</f>
        <v>0</v>
      </c>
      <c r="U589">
        <f>E589*中国_中债国债到期收益率_1年!E588/365*100</f>
        <v>0</v>
      </c>
      <c r="V589">
        <f t="shared" si="120"/>
        <v>27.691232876712331</v>
      </c>
      <c r="W589">
        <f>SUM($V$400:V589)</f>
        <v>6135.2882739726001</v>
      </c>
      <c r="X589">
        <f>MAX(F589-50,0)*中国_中债国债到期收益率_1年!H589*100/365</f>
        <v>6.5753424657534243</v>
      </c>
      <c r="Y589">
        <f>SUM($X$400:X589)</f>
        <v>627.66849315068498</v>
      </c>
      <c r="Z589">
        <v>-50</v>
      </c>
      <c r="AA589">
        <v>50</v>
      </c>
      <c r="AB589">
        <f>Z589*Return!F593*100</f>
        <v>-120.50000000000006</v>
      </c>
      <c r="AC589">
        <f>AA589*Return!G593*100</f>
        <v>256.99999999999943</v>
      </c>
      <c r="AD589">
        <f>SUM($AB$400:AB589)+SUM($AC$400:AC589)</f>
        <v>3183.200000000013</v>
      </c>
      <c r="AE589">
        <f t="shared" si="123"/>
        <v>31072.54978082193</v>
      </c>
      <c r="AF589">
        <f t="shared" si="124"/>
        <v>1.0621450995616439</v>
      </c>
      <c r="AG589" s="4">
        <f>(AE589-AE588)/(500000+AE588)-中国_中债国债到期收益率_1年!H589%/252</f>
        <v>-2.6165499971791363E-3</v>
      </c>
      <c r="AH589" s="4">
        <f>MIN((AF589-MAX($AF$401:AF589))/MAX($AF$401:AF589),0)</f>
        <v>-7.3397813374397776E-3</v>
      </c>
    </row>
    <row r="590" spans="1:34" x14ac:dyDescent="0.25">
      <c r="A590" s="8">
        <v>45573</v>
      </c>
      <c r="B590">
        <v>10</v>
      </c>
      <c r="C590">
        <v>30</v>
      </c>
      <c r="D590">
        <v>0</v>
      </c>
      <c r="E590">
        <v>0</v>
      </c>
      <c r="F590">
        <f t="shared" si="122"/>
        <v>40</v>
      </c>
      <c r="G590">
        <f t="shared" si="121"/>
        <v>10</v>
      </c>
      <c r="H590">
        <f t="shared" si="115"/>
        <v>150</v>
      </c>
      <c r="I590">
        <f t="shared" si="116"/>
        <v>0</v>
      </c>
      <c r="J590">
        <f t="shared" si="117"/>
        <v>0</v>
      </c>
      <c r="K590">
        <f t="shared" si="118"/>
        <v>160</v>
      </c>
      <c r="L590">
        <f>G590*Return!B590*100</f>
        <v>70.000000000000057</v>
      </c>
      <c r="M590">
        <f>H590*Return!C590*100</f>
        <v>1386.0000000000007</v>
      </c>
      <c r="N590">
        <f>I590*Return!D590*100</f>
        <v>0</v>
      </c>
      <c r="O590">
        <f>J590*Return!E590*100</f>
        <v>0</v>
      </c>
      <c r="P590">
        <f t="shared" si="119"/>
        <v>1456.0000000000007</v>
      </c>
      <c r="Q590">
        <f>SUM($P$400:P590)</f>
        <v>23837.730000000003</v>
      </c>
      <c r="R590">
        <f>B590*中国_中债国债到期收益率_1年!B589/365*100</f>
        <v>3.7476712328767121</v>
      </c>
      <c r="S590">
        <f>C590*中国_中债国债到期收益率_1年!C589/365*100</f>
        <v>15.113424657534246</v>
      </c>
      <c r="T590">
        <f>D590*中国_中债国债到期收益率_1年!D589/365*100</f>
        <v>0</v>
      </c>
      <c r="U590">
        <f>E590*中国_中债国债到期收益率_1年!E589/365*100</f>
        <v>0</v>
      </c>
      <c r="V590">
        <f t="shared" si="120"/>
        <v>18.861095890410958</v>
      </c>
      <c r="W590">
        <f>SUM($V$400:V590)</f>
        <v>6154.1493698630111</v>
      </c>
      <c r="X590">
        <f>MAX(F590-50,0)*中国_中债国债到期收益率_1年!H590*100/365</f>
        <v>0</v>
      </c>
      <c r="Y590">
        <f>SUM($X$400:X590)</f>
        <v>627.66849315068498</v>
      </c>
      <c r="Z590">
        <v>-50</v>
      </c>
      <c r="AA590">
        <v>50</v>
      </c>
      <c r="AB590">
        <f>Z590*Return!F594*100</f>
        <v>-167.99999999999926</v>
      </c>
      <c r="AC590">
        <f>AA590*Return!G594*100</f>
        <v>135.50000000000063</v>
      </c>
      <c r="AD590">
        <f>SUM($AB$400:AB590)+SUM($AC$400:AC590)</f>
        <v>3150.7000000000148</v>
      </c>
      <c r="AE590">
        <f t="shared" si="123"/>
        <v>32514.910876712343</v>
      </c>
      <c r="AF590">
        <f t="shared" si="124"/>
        <v>1.0650298217534246</v>
      </c>
      <c r="AG590" s="4">
        <f>(AE590-AE589)/(500000+AE589)-中国_中债国债到期收益率_1年!H590%/252</f>
        <v>2.6405430146225622E-3</v>
      </c>
      <c r="AH590" s="4">
        <f>MIN((AF590-MAX($AF$401:AF590))/MAX($AF$401:AF590),0)</f>
        <v>-4.6437759019718845E-3</v>
      </c>
    </row>
    <row r="591" spans="1:34" x14ac:dyDescent="0.25">
      <c r="A591" s="8">
        <v>45574</v>
      </c>
      <c r="B591">
        <v>10</v>
      </c>
      <c r="C591">
        <v>30</v>
      </c>
      <c r="D591">
        <v>0</v>
      </c>
      <c r="E591">
        <v>0</v>
      </c>
      <c r="F591">
        <f t="shared" si="122"/>
        <v>40</v>
      </c>
      <c r="G591">
        <f t="shared" si="121"/>
        <v>10</v>
      </c>
      <c r="H591">
        <f t="shared" si="115"/>
        <v>150</v>
      </c>
      <c r="I591">
        <f t="shared" si="116"/>
        <v>0</v>
      </c>
      <c r="J591">
        <f t="shared" si="117"/>
        <v>0</v>
      </c>
      <c r="K591">
        <f t="shared" si="118"/>
        <v>160</v>
      </c>
      <c r="L591">
        <f>G591*Return!B591*100</f>
        <v>-5.0000000000001155</v>
      </c>
      <c r="M591">
        <f>H591*Return!C591*100</f>
        <v>-1077.0000000000014</v>
      </c>
      <c r="N591">
        <f>I591*Return!D591*100</f>
        <v>0</v>
      </c>
      <c r="O591">
        <f>J591*Return!E591*100</f>
        <v>0</v>
      </c>
      <c r="P591">
        <f t="shared" si="119"/>
        <v>-1082.0000000000016</v>
      </c>
      <c r="Q591">
        <f>SUM($P$400:P591)</f>
        <v>22755.730000000003</v>
      </c>
      <c r="R591">
        <f>B591*中国_中债国债到期收益率_1年!B590/365*100</f>
        <v>3.7613698630136985</v>
      </c>
      <c r="S591">
        <f>C591*中国_中债国债到期收益率_1年!C590/365*100</f>
        <v>15.703561643835616</v>
      </c>
      <c r="T591">
        <f>D591*中国_中债国债到期收益率_1年!D590/365*100</f>
        <v>0</v>
      </c>
      <c r="U591">
        <f>E591*中国_中债国债到期收益率_1年!E590/365*100</f>
        <v>0</v>
      </c>
      <c r="V591">
        <f t="shared" si="120"/>
        <v>19.464931506849315</v>
      </c>
      <c r="W591">
        <f>SUM($V$400:V591)</f>
        <v>6173.6143013698602</v>
      </c>
      <c r="X591">
        <f>MAX(F591-50,0)*中国_中债国债到期收益率_1年!H591*100/365</f>
        <v>0</v>
      </c>
      <c r="Y591">
        <f>SUM($X$400:X591)</f>
        <v>627.66849315068498</v>
      </c>
      <c r="Z591">
        <v>-100</v>
      </c>
      <c r="AA591">
        <v>100</v>
      </c>
      <c r="AB591">
        <f>Z591*Return!F595*100</f>
        <v>87.99999999999919</v>
      </c>
      <c r="AC591">
        <f>AA591*Return!G595*100</f>
        <v>-129.00000000000134</v>
      </c>
      <c r="AD591">
        <f>SUM($AB$400:AB591)+SUM($AC$400:AC591)</f>
        <v>3109.700000000013</v>
      </c>
      <c r="AE591">
        <f t="shared" si="123"/>
        <v>31411.375808219189</v>
      </c>
      <c r="AF591">
        <f t="shared" si="124"/>
        <v>1.0628227516164384</v>
      </c>
      <c r="AG591" s="4">
        <f>(AE591-AE590)/(500000+AE590)-中国_中债国债到期收益率_1年!H591%/252</f>
        <v>-2.1536575041137449E-3</v>
      </c>
      <c r="AH591" s="4">
        <f>MIN((AF591-MAX($AF$401:AF591))/MAX($AF$401:AF591),0)</f>
        <v>-6.7064608644017889E-3</v>
      </c>
    </row>
    <row r="592" spans="1:34" x14ac:dyDescent="0.25">
      <c r="A592" s="8">
        <v>45575</v>
      </c>
      <c r="B592">
        <v>10</v>
      </c>
      <c r="C592">
        <v>30</v>
      </c>
      <c r="D592">
        <v>10</v>
      </c>
      <c r="E592">
        <v>10</v>
      </c>
      <c r="F592">
        <f t="shared" si="122"/>
        <v>60</v>
      </c>
      <c r="G592">
        <f t="shared" si="121"/>
        <v>10</v>
      </c>
      <c r="H592">
        <f t="shared" si="115"/>
        <v>150</v>
      </c>
      <c r="I592">
        <f t="shared" si="116"/>
        <v>90</v>
      </c>
      <c r="J592">
        <f t="shared" si="117"/>
        <v>160</v>
      </c>
      <c r="K592">
        <f t="shared" si="118"/>
        <v>410</v>
      </c>
      <c r="L592">
        <f>G592*Return!B592*100</f>
        <v>-54.999999999999936</v>
      </c>
      <c r="M592">
        <f>H592*Return!C592*100</f>
        <v>330.00000000000028</v>
      </c>
      <c r="N592">
        <f>I592*Return!D592*100</f>
        <v>151.19999999999933</v>
      </c>
      <c r="O592">
        <f>J592*Return!E592*100</f>
        <v>358.39999999999606</v>
      </c>
      <c r="P592">
        <f t="shared" si="119"/>
        <v>784.59999999999582</v>
      </c>
      <c r="Q592">
        <f>SUM($P$400:P592)</f>
        <v>23540.329999999998</v>
      </c>
      <c r="R592">
        <f>B592*中国_中债国债到期收益率_1年!B591/365*100</f>
        <v>3.9120547945205484</v>
      </c>
      <c r="S592">
        <f>C592*中国_中债国债到期收益率_1年!C591/365*100</f>
        <v>15.522739726027398</v>
      </c>
      <c r="T592">
        <f>D592*中国_中债国债到期收益率_1年!D591/365*100</f>
        <v>5.9616438356164387</v>
      </c>
      <c r="U592">
        <f>E592*中国_中债国债到期收益率_1年!E591/365*100</f>
        <v>6.459178082191781</v>
      </c>
      <c r="V592">
        <f t="shared" si="120"/>
        <v>31.855616438356165</v>
      </c>
      <c r="W592">
        <f>SUM($V$400:V592)</f>
        <v>6205.4699178082165</v>
      </c>
      <c r="X592">
        <f>MAX(F592-50,0)*中国_中债国债到期收益率_1年!H592*100/365</f>
        <v>5.7534246575342465</v>
      </c>
      <c r="Y592">
        <f>SUM($X$400:X592)</f>
        <v>633.42191780821918</v>
      </c>
      <c r="Z592">
        <v>-100</v>
      </c>
      <c r="AA592">
        <v>100</v>
      </c>
      <c r="AB592">
        <f>Z592*Return!F596*100</f>
        <v>-76.000000000000512</v>
      </c>
      <c r="AC592">
        <f>AA592*Return!G596*100</f>
        <v>111.00000000000109</v>
      </c>
      <c r="AD592">
        <f>SUM($AB$400:AB592)+SUM($AC$400:AC592)</f>
        <v>3144.7000000000135</v>
      </c>
      <c r="AE592">
        <f t="shared" si="123"/>
        <v>32257.078000000009</v>
      </c>
      <c r="AF592">
        <f t="shared" si="124"/>
        <v>1.064514156</v>
      </c>
      <c r="AG592" s="4">
        <f>(AE592-AE591)/(500000+AE591)-中国_中债国债到期收益率_1年!H592%/252</f>
        <v>1.5080932530746039E-3</v>
      </c>
      <c r="AH592" s="4">
        <f>MIN((AF592-MAX($AF$401:AF592))/MAX($AF$401:AF592),0)</f>
        <v>-5.1257071181141697E-3</v>
      </c>
    </row>
    <row r="593" spans="1:34" x14ac:dyDescent="0.25">
      <c r="A593" s="8">
        <v>45576</v>
      </c>
      <c r="B593">
        <v>0</v>
      </c>
      <c r="C593">
        <v>30</v>
      </c>
      <c r="D593">
        <v>10</v>
      </c>
      <c r="E593">
        <v>10</v>
      </c>
      <c r="F593">
        <f t="shared" si="122"/>
        <v>50</v>
      </c>
      <c r="G593">
        <f t="shared" si="121"/>
        <v>0</v>
      </c>
      <c r="H593">
        <f t="shared" si="115"/>
        <v>150</v>
      </c>
      <c r="I593">
        <f t="shared" si="116"/>
        <v>90</v>
      </c>
      <c r="J593">
        <f t="shared" si="117"/>
        <v>160</v>
      </c>
      <c r="K593">
        <f t="shared" si="118"/>
        <v>400</v>
      </c>
      <c r="L593">
        <f>G593*Return!B593*100</f>
        <v>0</v>
      </c>
      <c r="M593">
        <f>H593*Return!C593*100</f>
        <v>840.0000000000008</v>
      </c>
      <c r="N593">
        <f>I593*Return!D593*100</f>
        <v>287.10000000000235</v>
      </c>
      <c r="O593">
        <f>J593*Return!E593*100</f>
        <v>1081.6000000000017</v>
      </c>
      <c r="P593">
        <f t="shared" si="119"/>
        <v>2208.7000000000048</v>
      </c>
      <c r="Q593">
        <f>SUM($P$400:P593)</f>
        <v>25749.030000000002</v>
      </c>
      <c r="R593">
        <f>B593*中国_中债国债到期收益率_1年!B592/365*100</f>
        <v>0</v>
      </c>
      <c r="S593">
        <f>C593*中国_中债国债到期收益率_1年!C592/365*100</f>
        <v>15.062465753424659</v>
      </c>
      <c r="T593">
        <f>D593*中国_中债国债到期收益率_1年!D592/365*100</f>
        <v>5.8742465753424655</v>
      </c>
      <c r="U593">
        <f>E593*中国_中债国债到期收益率_1年!E592/365*100</f>
        <v>6.2739726027397262</v>
      </c>
      <c r="V593">
        <f t="shared" si="120"/>
        <v>27.210684931506851</v>
      </c>
      <c r="W593">
        <f>SUM($V$400:V593)</f>
        <v>6232.6806027397233</v>
      </c>
      <c r="X593">
        <f>MAX(F593-50,0)*中国_中债国债到期收益率_1年!H593*100/365</f>
        <v>0</v>
      </c>
      <c r="Y593">
        <f>SUM($X$400:X593)</f>
        <v>633.42191780821918</v>
      </c>
      <c r="Z593">
        <v>-100</v>
      </c>
      <c r="AA593">
        <v>100</v>
      </c>
      <c r="AB593">
        <f>Z593*Return!F597*100</f>
        <v>105.00000000000176</v>
      </c>
      <c r="AC593">
        <f>AA593*Return!G597*100</f>
        <v>70.999999999998835</v>
      </c>
      <c r="AD593">
        <f>SUM($AB$400:AB593)+SUM($AC$400:AC593)</f>
        <v>3320.7000000000144</v>
      </c>
      <c r="AE593">
        <f t="shared" si="123"/>
        <v>34668.988684931515</v>
      </c>
      <c r="AF593">
        <f t="shared" si="124"/>
        <v>1.069337977369863</v>
      </c>
      <c r="AG593" s="4">
        <f>(AE593-AE592)/(500000+AE592)-中国_中债国债到期收益率_1年!H593%/252</f>
        <v>4.4560801330580258E-3</v>
      </c>
      <c r="AH593" s="4">
        <f>MIN((AF593-MAX($AF$401:AF593))/MAX($AF$401:AF593),0)</f>
        <v>-6.174571833608202E-4</v>
      </c>
    </row>
    <row r="594" spans="1:34" x14ac:dyDescent="0.25">
      <c r="A594" s="8">
        <v>45577</v>
      </c>
      <c r="B594">
        <v>0</v>
      </c>
      <c r="C594">
        <v>30</v>
      </c>
      <c r="D594">
        <v>10</v>
      </c>
      <c r="E594">
        <v>10</v>
      </c>
      <c r="F594">
        <f t="shared" si="122"/>
        <v>50</v>
      </c>
      <c r="G594">
        <f t="shared" si="121"/>
        <v>0</v>
      </c>
      <c r="H594">
        <f t="shared" si="115"/>
        <v>150</v>
      </c>
      <c r="I594">
        <f t="shared" si="116"/>
        <v>90</v>
      </c>
      <c r="J594">
        <f t="shared" si="117"/>
        <v>160</v>
      </c>
      <c r="K594">
        <f t="shared" si="118"/>
        <v>400</v>
      </c>
      <c r="L594">
        <f>G594*Return!B594*100</f>
        <v>0</v>
      </c>
      <c r="M594">
        <f>H594*Return!C594*100</f>
        <v>232.50000000000105</v>
      </c>
      <c r="N594">
        <f>I594*Return!D594*100</f>
        <v>44.099999999997138</v>
      </c>
      <c r="O594">
        <f>J594*Return!E594*100</f>
        <v>-159.99999999999659</v>
      </c>
      <c r="P594">
        <f t="shared" si="119"/>
        <v>116.60000000000161</v>
      </c>
      <c r="Q594">
        <f>SUM($P$400:P594)</f>
        <v>25865.630000000005</v>
      </c>
      <c r="R594">
        <f>B594*中国_中债国债到期收益率_1年!B593/365*100</f>
        <v>0</v>
      </c>
      <c r="S594">
        <f>C594*中国_中债国债到期收益率_1年!C593/365*100</f>
        <v>14.935068493150686</v>
      </c>
      <c r="T594">
        <f>D594*中国_中债国债到期收益率_1年!D593/365*100</f>
        <v>5.8608219178082201</v>
      </c>
      <c r="U594">
        <f>E594*中国_中债国债到期收益率_1年!E593/365*100</f>
        <v>6.3013698630136989</v>
      </c>
      <c r="V594">
        <f t="shared" si="120"/>
        <v>27.097260273972601</v>
      </c>
      <c r="W594">
        <f>SUM($V$400:V594)</f>
        <v>6259.7778630136963</v>
      </c>
      <c r="X594">
        <f>MAX(F594-50,0)*中国_中债国债到期收益率_1年!H594*100/365</f>
        <v>0</v>
      </c>
      <c r="Y594">
        <f>SUM($X$400:X594)</f>
        <v>633.42191780821918</v>
      </c>
      <c r="Z594">
        <v>-100</v>
      </c>
      <c r="AA594">
        <v>100</v>
      </c>
      <c r="AB594">
        <f>Z594*Return!F598*100</f>
        <v>134.99999999999847</v>
      </c>
      <c r="AC594">
        <f>AA594*Return!G598*100</f>
        <v>113.00000000000088</v>
      </c>
      <c r="AD594">
        <f>SUM($AB$400:AB594)+SUM($AC$400:AC594)</f>
        <v>3568.7000000000139</v>
      </c>
      <c r="AE594">
        <f t="shared" si="123"/>
        <v>35060.685945205492</v>
      </c>
      <c r="AF594">
        <f t="shared" si="124"/>
        <v>1.070121371890411</v>
      </c>
      <c r="AG594" s="4">
        <f>(AE594-AE593)/(500000+AE593)-中国_中债国债到期收益率_1年!H594%/252</f>
        <v>6.7029609194177615E-4</v>
      </c>
      <c r="AH594" s="4">
        <f>MIN((AF594-MAX($AF$401:AF594))/MAX($AF$401:AF594),0)</f>
        <v>0</v>
      </c>
    </row>
    <row r="595" spans="1:34" x14ac:dyDescent="0.25">
      <c r="A595" s="8">
        <v>45579</v>
      </c>
      <c r="B595">
        <v>0</v>
      </c>
      <c r="C595">
        <v>30</v>
      </c>
      <c r="D595">
        <v>10</v>
      </c>
      <c r="E595">
        <v>10</v>
      </c>
      <c r="F595">
        <f t="shared" si="122"/>
        <v>50</v>
      </c>
      <c r="G595">
        <f t="shared" si="121"/>
        <v>0</v>
      </c>
      <c r="H595">
        <f t="shared" si="115"/>
        <v>150</v>
      </c>
      <c r="I595">
        <f t="shared" si="116"/>
        <v>90</v>
      </c>
      <c r="J595">
        <f t="shared" si="117"/>
        <v>160</v>
      </c>
      <c r="K595">
        <f t="shared" si="118"/>
        <v>400</v>
      </c>
      <c r="L595">
        <f>G595*Return!B595*100</f>
        <v>0</v>
      </c>
      <c r="M595">
        <f>H595*Return!C595*100</f>
        <v>73.499999999998565</v>
      </c>
      <c r="N595">
        <f>I595*Return!D595*100</f>
        <v>-44.099999999997138</v>
      </c>
      <c r="O595">
        <f>J595*Return!E595*100</f>
        <v>0</v>
      </c>
      <c r="P595">
        <f t="shared" si="119"/>
        <v>29.400000000001427</v>
      </c>
      <c r="Q595">
        <f>SUM($P$400:P595)</f>
        <v>25895.030000000006</v>
      </c>
      <c r="R595">
        <f>B595*中国_中债国债到期收益率_1年!B594/365*100</f>
        <v>0</v>
      </c>
      <c r="S595">
        <f>C595*中国_中债国债到期收益率_1年!C594/365*100</f>
        <v>14.894794520547944</v>
      </c>
      <c r="T595">
        <f>D595*中国_中债国债到期收益率_1年!D594/365*100</f>
        <v>5.8742465753424655</v>
      </c>
      <c r="U595">
        <f>E595*中国_中债国债到期收益率_1年!E594/365*100</f>
        <v>6.3013698630136989</v>
      </c>
      <c r="V595">
        <f t="shared" si="120"/>
        <v>27.070410958904105</v>
      </c>
      <c r="W595">
        <f>SUM($V$400:V595)</f>
        <v>6286.8482739726005</v>
      </c>
      <c r="X595">
        <f>MAX(F595-50,0)*中国_中债国债到期收益率_1年!H595*100/365</f>
        <v>0</v>
      </c>
      <c r="Y595">
        <f>SUM($X$400:X595)</f>
        <v>633.42191780821918</v>
      </c>
      <c r="Z595">
        <v>-100</v>
      </c>
      <c r="AA595">
        <v>100</v>
      </c>
      <c r="AB595">
        <f>Z595*Return!F599*100</f>
        <v>90.000000000001194</v>
      </c>
      <c r="AC595">
        <f>AA595*Return!G599*100</f>
        <v>141.99999999999991</v>
      </c>
      <c r="AD595">
        <f>SUM($AB$400:AB595)+SUM($AC$400:AC595)</f>
        <v>3800.7000000000153</v>
      </c>
      <c r="AE595">
        <f t="shared" si="123"/>
        <v>35349.156356164407</v>
      </c>
      <c r="AF595">
        <f t="shared" si="124"/>
        <v>1.0706983127123288</v>
      </c>
      <c r="AG595" s="4">
        <f>(AE595-AE594)/(500000+AE594)-中国_中债国债到期收益率_1年!H595%/252</f>
        <v>4.6294539855487262E-4</v>
      </c>
      <c r="AH595" s="4">
        <f>MIN((AF595-MAX($AF$401:AF595))/MAX($AF$401:AF595),0)</f>
        <v>0</v>
      </c>
    </row>
    <row r="596" spans="1:34" x14ac:dyDescent="0.25">
      <c r="A596" s="8">
        <v>45580</v>
      </c>
      <c r="B596">
        <v>0</v>
      </c>
      <c r="C596">
        <v>40</v>
      </c>
      <c r="D596">
        <v>10</v>
      </c>
      <c r="E596">
        <v>10</v>
      </c>
      <c r="F596">
        <f t="shared" si="122"/>
        <v>60</v>
      </c>
      <c r="G596">
        <f t="shared" si="121"/>
        <v>0</v>
      </c>
      <c r="H596">
        <f t="shared" si="115"/>
        <v>200</v>
      </c>
      <c r="I596">
        <f t="shared" si="116"/>
        <v>90</v>
      </c>
      <c r="J596">
        <f t="shared" si="117"/>
        <v>160</v>
      </c>
      <c r="K596">
        <f t="shared" si="118"/>
        <v>450</v>
      </c>
      <c r="L596">
        <f>G596*Return!B596*100</f>
        <v>0</v>
      </c>
      <c r="M596">
        <f>H596*Return!C596*100</f>
        <v>-135.99999999999835</v>
      </c>
      <c r="N596">
        <f>I596*Return!D596*100</f>
        <v>65.699999999998766</v>
      </c>
      <c r="O596">
        <f>J596*Return!E596*100</f>
        <v>-201.60000000000622</v>
      </c>
      <c r="P596">
        <f t="shared" si="119"/>
        <v>-271.90000000000578</v>
      </c>
      <c r="Q596">
        <f>SUM($P$400:P596)</f>
        <v>25623.13</v>
      </c>
      <c r="R596">
        <f>B596*中国_中债国债到期收益率_1年!B595/365*100</f>
        <v>0</v>
      </c>
      <c r="S596">
        <f>C596*中国_中债国债到期收益率_1年!C595/365*100</f>
        <v>19.934246575342463</v>
      </c>
      <c r="T596">
        <f>D596*中国_中债国债到期收益率_1年!D595/365*100</f>
        <v>5.8542465753424668</v>
      </c>
      <c r="U596">
        <f>E596*中国_中债国债到期收益率_1年!E595/365*100</f>
        <v>6.3358904109589043</v>
      </c>
      <c r="V596">
        <f t="shared" si="120"/>
        <v>32.124383561643832</v>
      </c>
      <c r="W596">
        <f>SUM($V$400:V596)</f>
        <v>6318.9726575342447</v>
      </c>
      <c r="X596">
        <f>MAX(F596-50,0)*中国_中债国债到期收益率_1年!H596*100/365</f>
        <v>5.1506849315068486</v>
      </c>
      <c r="Y596">
        <f>SUM($X$400:X596)</f>
        <v>638.57260273972599</v>
      </c>
      <c r="Z596">
        <v>-100</v>
      </c>
      <c r="AA596">
        <v>100</v>
      </c>
      <c r="AB596">
        <f>Z596*Return!F600*100</f>
        <v>8.9999999999990088</v>
      </c>
      <c r="AC596">
        <f>AA596*Return!G600*100</f>
        <v>-20.999999999999908</v>
      </c>
      <c r="AD596">
        <f>SUM($AB$400:AB596)+SUM($AC$400:AC596)</f>
        <v>3788.7000000000144</v>
      </c>
      <c r="AE596">
        <f t="shared" si="123"/>
        <v>35092.230054794534</v>
      </c>
      <c r="AF596">
        <f t="shared" si="124"/>
        <v>1.0701844601095891</v>
      </c>
      <c r="AG596" s="4">
        <f>(AE596-AE595)/(500000+AE595)-中国_中债国债到期收益率_1年!H596%/252</f>
        <v>-5.5452604049248096E-4</v>
      </c>
      <c r="AH596" s="4">
        <f>MIN((AF596-MAX($AF$401:AF596))/MAX($AF$401:AF596),0)</f>
        <v>-4.799228658892902E-4</v>
      </c>
    </row>
    <row r="597" spans="1:34" x14ac:dyDescent="0.25">
      <c r="A597" s="8">
        <v>45581</v>
      </c>
      <c r="B597">
        <v>0</v>
      </c>
      <c r="C597">
        <v>40</v>
      </c>
      <c r="D597">
        <v>10</v>
      </c>
      <c r="E597">
        <v>10</v>
      </c>
      <c r="F597">
        <f t="shared" si="122"/>
        <v>60</v>
      </c>
      <c r="G597">
        <f t="shared" si="121"/>
        <v>0</v>
      </c>
      <c r="H597">
        <f t="shared" si="115"/>
        <v>200</v>
      </c>
      <c r="I597">
        <f t="shared" si="116"/>
        <v>90</v>
      </c>
      <c r="J597">
        <f t="shared" si="117"/>
        <v>160</v>
      </c>
      <c r="K597">
        <f t="shared" si="118"/>
        <v>450</v>
      </c>
      <c r="L597">
        <f>G597*Return!B597*100</f>
        <v>0</v>
      </c>
      <c r="M597">
        <f>H597*Return!C597*100</f>
        <v>249.99999999999912</v>
      </c>
      <c r="N597">
        <f>I597*Return!D597*100</f>
        <v>102.60000000000069</v>
      </c>
      <c r="O597">
        <f>J597*Return!E597*100</f>
        <v>1.6000000000033765</v>
      </c>
      <c r="P597">
        <f t="shared" si="119"/>
        <v>354.20000000000317</v>
      </c>
      <c r="Q597">
        <f>SUM($P$400:P597)</f>
        <v>25977.330000000005</v>
      </c>
      <c r="R597">
        <f>B597*中国_中债国债到期收益率_1年!B596/365*100</f>
        <v>0</v>
      </c>
      <c r="S597">
        <f>C597*中国_中债国债到期收益率_1年!C596/365*100</f>
        <v>19.797260273972604</v>
      </c>
      <c r="T597">
        <f>D597*中国_中债国债到期收益率_1年!D596/365*100</f>
        <v>5.8230136986301364</v>
      </c>
      <c r="U597">
        <f>E597*中国_中债国债到期收益率_1年!E596/365*100</f>
        <v>6.3356164383561646</v>
      </c>
      <c r="V597">
        <f t="shared" si="120"/>
        <v>31.955890410958904</v>
      </c>
      <c r="W597">
        <f>SUM($V$400:V597)</f>
        <v>6350.9285479452037</v>
      </c>
      <c r="X597">
        <f>MAX(F597-50,0)*中国_中债国债到期收益率_1年!H597*100/365</f>
        <v>5.2054794520547949</v>
      </c>
      <c r="Y597">
        <f>SUM($X$400:X597)</f>
        <v>643.77808219178075</v>
      </c>
      <c r="Z597">
        <v>-100</v>
      </c>
      <c r="AA597">
        <v>100</v>
      </c>
      <c r="AB597">
        <f>Z597*Return!F601*100</f>
        <v>60.000000000000057</v>
      </c>
      <c r="AC597">
        <f>AA597*Return!G601*100</f>
        <v>-175.00000000000071</v>
      </c>
      <c r="AD597">
        <f>SUM($AB$400:AB597)+SUM($AC$400:AC597)</f>
        <v>3673.7000000000135</v>
      </c>
      <c r="AE597">
        <f t="shared" si="123"/>
        <v>35358.180465753438</v>
      </c>
      <c r="AF597">
        <f t="shared" si="124"/>
        <v>1.0707163609315069</v>
      </c>
      <c r="AG597" s="4">
        <f>(AE597-AE596)/(500000+AE596)-中国_中债国债到期收益率_1年!H597%/252</f>
        <v>4.2162106426991394E-4</v>
      </c>
      <c r="AH597" s="4">
        <f>MIN((AF597-MAX($AF$401:AF597))/MAX($AF$401:AF597),0)</f>
        <v>0</v>
      </c>
    </row>
    <row r="598" spans="1:34" x14ac:dyDescent="0.25">
      <c r="A598" s="8">
        <v>45582</v>
      </c>
      <c r="B598">
        <v>0</v>
      </c>
      <c r="C598">
        <v>40</v>
      </c>
      <c r="D598">
        <v>10</v>
      </c>
      <c r="E598">
        <v>10</v>
      </c>
      <c r="F598">
        <f t="shared" si="122"/>
        <v>60</v>
      </c>
      <c r="G598">
        <f t="shared" si="121"/>
        <v>0</v>
      </c>
      <c r="H598">
        <f t="shared" si="115"/>
        <v>200</v>
      </c>
      <c r="I598">
        <f t="shared" si="116"/>
        <v>90</v>
      </c>
      <c r="J598">
        <f t="shared" si="117"/>
        <v>160</v>
      </c>
      <c r="K598">
        <f t="shared" si="118"/>
        <v>450</v>
      </c>
      <c r="L598">
        <f>G598*Return!B598*100</f>
        <v>0</v>
      </c>
      <c r="M598">
        <f>H598*Return!C598*100</f>
        <v>-299.99999999999807</v>
      </c>
      <c r="N598">
        <f>I598*Return!D598*100</f>
        <v>-69.300000000002356</v>
      </c>
      <c r="O598">
        <f>J598*Return!E598*100</f>
        <v>-247.99999999999756</v>
      </c>
      <c r="P598">
        <f t="shared" si="119"/>
        <v>-617.29999999999791</v>
      </c>
      <c r="Q598">
        <f>SUM($P$400:P598)</f>
        <v>25360.030000000006</v>
      </c>
      <c r="R598">
        <f>B598*中国_中债国债到期收益率_1年!B597/365*100</f>
        <v>0</v>
      </c>
      <c r="S598">
        <f>C598*中国_中债国债到期收益率_1年!C597/365*100</f>
        <v>19.961643835616439</v>
      </c>
      <c r="T598">
        <f>D598*中国_中债国债到期收益率_1年!D597/365*100</f>
        <v>5.8441095890410963</v>
      </c>
      <c r="U598">
        <f>E598*中国_中债国债到期收益率_1年!E597/365*100</f>
        <v>6.3780821917808206</v>
      </c>
      <c r="V598">
        <f t="shared" si="120"/>
        <v>32.183835616438358</v>
      </c>
      <c r="W598">
        <f>SUM($V$400:V598)</f>
        <v>6383.1123835616418</v>
      </c>
      <c r="X598">
        <f>MAX(F598-50,0)*中国_中债国债到期收益率_1年!H598*100/365</f>
        <v>5.1506849315068486</v>
      </c>
      <c r="Y598">
        <f>SUM($X$400:X598)</f>
        <v>648.92876712328757</v>
      </c>
      <c r="Z598">
        <v>-100</v>
      </c>
      <c r="AA598">
        <v>100</v>
      </c>
      <c r="AB598">
        <f>Z598*Return!F602*100</f>
        <v>231.00000000000119</v>
      </c>
      <c r="AC598">
        <f>AA598*Return!G602*100</f>
        <v>-221.00000000000009</v>
      </c>
      <c r="AD598">
        <f>SUM($AB$400:AB598)+SUM($AC$400:AC598)</f>
        <v>3683.7000000000148</v>
      </c>
      <c r="AE598">
        <f t="shared" si="123"/>
        <v>34777.913616438374</v>
      </c>
      <c r="AF598">
        <f t="shared" si="124"/>
        <v>1.0695558272328767</v>
      </c>
      <c r="AG598" s="4">
        <f>(AE598-AE597)/(500000+AE597)-中国_中债国债到期收益率_1年!H598%/252</f>
        <v>-1.1584884508312129E-3</v>
      </c>
      <c r="AH598" s="4">
        <f>MIN((AF598-MAX($AF$401:AF598))/MAX($AF$401:AF598),0)</f>
        <v>-1.0838852762281336E-3</v>
      </c>
    </row>
    <row r="599" spans="1:34" x14ac:dyDescent="0.25">
      <c r="A599" s="8">
        <v>45583</v>
      </c>
      <c r="B599">
        <v>0</v>
      </c>
      <c r="C599">
        <v>40</v>
      </c>
      <c r="D599">
        <v>10</v>
      </c>
      <c r="E599">
        <v>10</v>
      </c>
      <c r="F599">
        <f t="shared" si="122"/>
        <v>60</v>
      </c>
      <c r="G599">
        <f t="shared" si="121"/>
        <v>0</v>
      </c>
      <c r="H599">
        <f t="shared" si="115"/>
        <v>200</v>
      </c>
      <c r="I599">
        <f t="shared" si="116"/>
        <v>90</v>
      </c>
      <c r="J599">
        <f t="shared" si="117"/>
        <v>160</v>
      </c>
      <c r="K599">
        <f t="shared" si="118"/>
        <v>450</v>
      </c>
      <c r="L599">
        <f>G599*Return!B599*100</f>
        <v>0</v>
      </c>
      <c r="M599">
        <f>H599*Return!C599*100</f>
        <v>819.99999999999852</v>
      </c>
      <c r="N599">
        <f>I599*Return!D599*100</f>
        <v>222.30000000000149</v>
      </c>
      <c r="O599">
        <f>J599*Return!E599*100</f>
        <v>527.99999999999864</v>
      </c>
      <c r="P599">
        <f t="shared" si="119"/>
        <v>1570.2999999999986</v>
      </c>
      <c r="Q599">
        <f>SUM($P$400:P599)</f>
        <v>26930.330000000005</v>
      </c>
      <c r="R599">
        <f>B599*中国_中债国债到期收益率_1年!B598/365*100</f>
        <v>0</v>
      </c>
      <c r="S599">
        <f>C599*中国_中债国债到期收益率_1年!C598/365*100</f>
        <v>19.512328767123289</v>
      </c>
      <c r="T599">
        <f>D599*中国_中债国债到期收益率_1年!D598/365*100</f>
        <v>5.7764383561643831</v>
      </c>
      <c r="U599">
        <f>E599*中国_中债国债到期收益率_1年!E598/365*100</f>
        <v>6.287671232876713</v>
      </c>
      <c r="V599">
        <f t="shared" si="120"/>
        <v>31.576438356164388</v>
      </c>
      <c r="W599">
        <f>SUM($V$400:V599)</f>
        <v>6414.6888219178063</v>
      </c>
      <c r="X599">
        <f>MAX(F599-50,0)*中国_中债国债到期收益率_1年!H599*100/365</f>
        <v>5.0684931506849313</v>
      </c>
      <c r="Y599">
        <f>SUM($X$400:X599)</f>
        <v>653.99726027397253</v>
      </c>
      <c r="Z599">
        <v>-100</v>
      </c>
      <c r="AA599">
        <v>100</v>
      </c>
      <c r="AB599">
        <f>Z599*Return!F603*100</f>
        <v>179.00000000000028</v>
      </c>
      <c r="AC599">
        <f>AA599*Return!G603*100</f>
        <v>-326.99999999999949</v>
      </c>
      <c r="AD599">
        <f>SUM($AB$400:AB599)+SUM($AC$400:AC599)</f>
        <v>3535.7000000000162</v>
      </c>
      <c r="AE599">
        <f t="shared" si="123"/>
        <v>36226.721561643855</v>
      </c>
      <c r="AF599">
        <f t="shared" si="124"/>
        <v>1.0724534431232877</v>
      </c>
      <c r="AG599" s="4">
        <f>(AE599-AE598)/(500000+AE598)-中国_中债国债到期收益率_1年!H599%/252</f>
        <v>2.6357641548494523E-3</v>
      </c>
      <c r="AH599" s="4">
        <f>MIN((AF599-MAX($AF$401:AF599))/MAX($AF$401:AF599),0)</f>
        <v>0</v>
      </c>
    </row>
    <row r="600" spans="1:34" x14ac:dyDescent="0.25">
      <c r="A600" s="8">
        <v>45586</v>
      </c>
      <c r="B600">
        <v>0</v>
      </c>
      <c r="C600">
        <v>40</v>
      </c>
      <c r="D600">
        <v>10</v>
      </c>
      <c r="E600">
        <v>10</v>
      </c>
      <c r="F600">
        <f t="shared" si="122"/>
        <v>60</v>
      </c>
      <c r="G600">
        <f t="shared" si="121"/>
        <v>0</v>
      </c>
      <c r="H600">
        <f t="shared" si="115"/>
        <v>200</v>
      </c>
      <c r="I600">
        <f t="shared" si="116"/>
        <v>90</v>
      </c>
      <c r="J600">
        <f t="shared" si="117"/>
        <v>160</v>
      </c>
      <c r="K600">
        <f t="shared" si="118"/>
        <v>450</v>
      </c>
      <c r="L600">
        <f>G600*Return!B600*100</f>
        <v>0</v>
      </c>
      <c r="M600">
        <f>H600*Return!C600*100</f>
        <v>-154.0000000000008</v>
      </c>
      <c r="N600">
        <f>I600*Return!D600*100</f>
        <v>-112.4999999999976</v>
      </c>
      <c r="O600">
        <f>J600*Return!E600*100</f>
        <v>-160.00000000000369</v>
      </c>
      <c r="P600">
        <f t="shared" si="119"/>
        <v>-426.5000000000021</v>
      </c>
      <c r="Q600">
        <f>SUM($P$400:P600)</f>
        <v>26503.83</v>
      </c>
      <c r="R600">
        <f>B600*中国_中债国债到期收益率_1年!B599/365*100</f>
        <v>0</v>
      </c>
      <c r="S600">
        <f>C600*中国_中债国债到期收益率_1年!C599/365*100</f>
        <v>19.596712328767126</v>
      </c>
      <c r="T600">
        <f>D600*中国_中债国债到期收益率_1年!D599/365*100</f>
        <v>5.8106849315068478</v>
      </c>
      <c r="U600">
        <f>E600*中国_中债国债到期收益率_1年!E599/365*100</f>
        <v>6.3150684931506857</v>
      </c>
      <c r="V600">
        <f t="shared" si="120"/>
        <v>31.722465753424661</v>
      </c>
      <c r="W600">
        <f>SUM($V$400:V600)</f>
        <v>6446.4112876712306</v>
      </c>
      <c r="X600">
        <f>MAX(F600-50,0)*中国_中债国债到期收益率_1年!H600*100/365</f>
        <v>5.2602739726027394</v>
      </c>
      <c r="Y600">
        <f>SUM($X$400:X600)</f>
        <v>659.25753424657523</v>
      </c>
      <c r="Z600">
        <v>-100</v>
      </c>
      <c r="AA600">
        <v>100</v>
      </c>
      <c r="AB600">
        <f>Z600*Return!F604*100</f>
        <v>-73.000000000000838</v>
      </c>
      <c r="AC600">
        <f>AA600*Return!G604*100</f>
        <v>-15.000000000000568</v>
      </c>
      <c r="AD600">
        <f>SUM($AB$400:AB600)+SUM($AC$400:AC600)</f>
        <v>3447.7000000000144</v>
      </c>
      <c r="AE600">
        <f t="shared" si="123"/>
        <v>35738.683753424673</v>
      </c>
      <c r="AF600">
        <f t="shared" si="124"/>
        <v>1.0714773675068494</v>
      </c>
      <c r="AG600" s="4">
        <f>(AE600-AE599)/(500000+AE599)-中国_中债国债到期收益率_1年!H600%/252</f>
        <v>-9.863237996434323E-4</v>
      </c>
      <c r="AH600" s="4">
        <f>MIN((AF600-MAX($AF$401:AF600))/MAX($AF$401:AF600),0)</f>
        <v>-9.1013332345290599E-4</v>
      </c>
    </row>
    <row r="601" spans="1:34" x14ac:dyDescent="0.25">
      <c r="A601" s="8">
        <v>45587</v>
      </c>
      <c r="B601">
        <v>0</v>
      </c>
      <c r="C601">
        <v>40</v>
      </c>
      <c r="D601">
        <v>10</v>
      </c>
      <c r="E601">
        <v>10</v>
      </c>
      <c r="F601">
        <f t="shared" si="122"/>
        <v>60</v>
      </c>
      <c r="G601">
        <f t="shared" si="121"/>
        <v>0</v>
      </c>
      <c r="H601">
        <f t="shared" si="115"/>
        <v>200</v>
      </c>
      <c r="I601">
        <f t="shared" si="116"/>
        <v>90</v>
      </c>
      <c r="J601">
        <f t="shared" si="117"/>
        <v>160</v>
      </c>
      <c r="K601">
        <f t="shared" si="118"/>
        <v>450</v>
      </c>
      <c r="L601">
        <f>G601*Return!B601*100</f>
        <v>0</v>
      </c>
      <c r="M601">
        <f>H601*Return!C601*100</f>
        <v>-112.00000000000099</v>
      </c>
      <c r="N601">
        <f>I601*Return!D601*100</f>
        <v>-1.8000000000037986</v>
      </c>
      <c r="O601">
        <f>J601*Return!E601*100</f>
        <v>-39.999999999999147</v>
      </c>
      <c r="P601">
        <f t="shared" si="119"/>
        <v>-153.80000000000393</v>
      </c>
      <c r="Q601">
        <f>SUM($P$400:P601)</f>
        <v>26350.03</v>
      </c>
      <c r="R601">
        <f>B601*中国_中债国债到期收益率_1年!B600/365*100</f>
        <v>0</v>
      </c>
      <c r="S601">
        <f>C601*中国_中债国债到期收益率_1年!C600/365*100</f>
        <v>19.658082191780824</v>
      </c>
      <c r="T601">
        <f>D601*中国_中债国债到期收益率_1年!D600/365*100</f>
        <v>5.8112328767123289</v>
      </c>
      <c r="U601">
        <f>E601*中国_中债国债到期收益率_1年!E600/365*100</f>
        <v>6.3219178082191778</v>
      </c>
      <c r="V601">
        <f t="shared" si="120"/>
        <v>31.791232876712328</v>
      </c>
      <c r="W601">
        <f>SUM($V$400:V601)</f>
        <v>6478.2025205479431</v>
      </c>
      <c r="X601">
        <f>MAX(F601-50,0)*中国_中债国债到期收益率_1年!H601*100/365</f>
        <v>5.2602739726027394</v>
      </c>
      <c r="Y601">
        <f>SUM($X$400:X601)</f>
        <v>664.51780821917794</v>
      </c>
      <c r="Z601">
        <v>-100</v>
      </c>
      <c r="AA601">
        <v>100</v>
      </c>
      <c r="AB601">
        <f>Z601*Return!F605*100</f>
        <v>18.000000000000238</v>
      </c>
      <c r="AC601">
        <f>AA601*Return!G605*100</f>
        <v>-97.000000000000426</v>
      </c>
      <c r="AD601">
        <f>SUM($AB$400:AB601)+SUM($AC$400:AC601)</f>
        <v>3368.7000000000144</v>
      </c>
      <c r="AE601">
        <f t="shared" si="123"/>
        <v>35532.414712328777</v>
      </c>
      <c r="AF601">
        <f t="shared" si="124"/>
        <v>1.0710648294246576</v>
      </c>
      <c r="AG601" s="4">
        <f>(AE601-AE600)/(500000+AE600)-中国_中债国债到期收益率_1年!H601%/252</f>
        <v>-4.6120848469186082E-4</v>
      </c>
      <c r="AH601" s="4">
        <f>MIN((AF601-MAX($AF$401:AF601))/MAX($AF$401:AF601),0)</f>
        <v>-1.2948009142346034E-3</v>
      </c>
    </row>
    <row r="602" spans="1:34" x14ac:dyDescent="0.25">
      <c r="A602" s="8">
        <v>45588</v>
      </c>
      <c r="B602">
        <v>0</v>
      </c>
      <c r="C602">
        <v>40</v>
      </c>
      <c r="D602">
        <v>10</v>
      </c>
      <c r="E602">
        <v>10</v>
      </c>
      <c r="F602">
        <f t="shared" si="122"/>
        <v>60</v>
      </c>
      <c r="G602">
        <f t="shared" si="121"/>
        <v>0</v>
      </c>
      <c r="H602">
        <f t="shared" si="115"/>
        <v>200</v>
      </c>
      <c r="I602">
        <f t="shared" si="116"/>
        <v>90</v>
      </c>
      <c r="J602">
        <f t="shared" si="117"/>
        <v>160</v>
      </c>
      <c r="K602">
        <f t="shared" si="118"/>
        <v>450</v>
      </c>
      <c r="L602">
        <f>G602*Return!B602*100</f>
        <v>0</v>
      </c>
      <c r="M602">
        <f>H602*Return!C602*100</f>
        <v>-755.9999999999967</v>
      </c>
      <c r="N602">
        <f>I602*Return!D602*100</f>
        <v>-222.29999999999751</v>
      </c>
      <c r="O602">
        <f>J602*Return!E602*100</f>
        <v>-519.99999999999602</v>
      </c>
      <c r="P602">
        <f t="shared" si="119"/>
        <v>-1498.2999999999902</v>
      </c>
      <c r="Q602">
        <f>SUM($P$400:P602)</f>
        <v>24851.73000000001</v>
      </c>
      <c r="R602">
        <f>B602*中国_中债国债到期收益率_1年!B601/365*100</f>
        <v>0</v>
      </c>
      <c r="S602">
        <f>C602*中国_中债国债到期收益率_1年!C601/365*100</f>
        <v>20.072328767123288</v>
      </c>
      <c r="T602">
        <f>D602*中国_中债国债到期收益率_1年!D601/365*100</f>
        <v>5.8789041095890404</v>
      </c>
      <c r="U602">
        <f>E602*中国_中债国债到期收益率_1年!E601/365*100</f>
        <v>6.4109589041095889</v>
      </c>
      <c r="V602">
        <f t="shared" si="120"/>
        <v>32.362191780821917</v>
      </c>
      <c r="W602">
        <f>SUM($V$400:V602)</f>
        <v>6510.5647123287654</v>
      </c>
      <c r="X602">
        <f>MAX(F602-50,0)*中国_中债国债到期收益率_1年!H602*100/365</f>
        <v>5.2054794520547949</v>
      </c>
      <c r="Y602">
        <f>SUM($X$400:X602)</f>
        <v>669.7232876712327</v>
      </c>
      <c r="Z602">
        <v>-100</v>
      </c>
      <c r="AA602">
        <v>100</v>
      </c>
      <c r="AB602">
        <f>Z602*Return!F606*100</f>
        <v>-173.00000000000094</v>
      </c>
      <c r="AC602">
        <f>AA602*Return!G606*100</f>
        <v>103.00000000000198</v>
      </c>
      <c r="AD602">
        <f>SUM($AB$400:AB602)+SUM($AC$400:AC602)</f>
        <v>3298.7000000000153</v>
      </c>
      <c r="AE602">
        <f t="shared" si="123"/>
        <v>33991.271424657556</v>
      </c>
      <c r="AF602">
        <f t="shared" si="124"/>
        <v>1.067982542849315</v>
      </c>
      <c r="AG602" s="4">
        <f>(AE602-AE601)/(500000+AE601)-中国_中债国债到期收益率_1年!H602%/252</f>
        <v>-2.9531746131318112E-3</v>
      </c>
      <c r="AH602" s="4">
        <f>MIN((AF602-MAX($AF$401:AF602))/MAX($AF$401:AF602),0)</f>
        <v>-4.1688525526592107E-3</v>
      </c>
    </row>
    <row r="603" spans="1:34" x14ac:dyDescent="0.25">
      <c r="A603" s="8">
        <v>45589</v>
      </c>
      <c r="B603">
        <v>0</v>
      </c>
      <c r="C603">
        <v>40</v>
      </c>
      <c r="D603">
        <v>5</v>
      </c>
      <c r="E603">
        <v>10</v>
      </c>
      <c r="F603">
        <f t="shared" si="122"/>
        <v>55</v>
      </c>
      <c r="G603">
        <f t="shared" si="121"/>
        <v>0</v>
      </c>
      <c r="H603">
        <f t="shared" si="115"/>
        <v>200</v>
      </c>
      <c r="I603">
        <f t="shared" si="116"/>
        <v>45</v>
      </c>
      <c r="J603">
        <f t="shared" si="117"/>
        <v>160</v>
      </c>
      <c r="K603">
        <f t="shared" si="118"/>
        <v>405</v>
      </c>
      <c r="L603">
        <f>G603*Return!B603*100</f>
        <v>0</v>
      </c>
      <c r="M603">
        <f>H603*Return!C603*100</f>
        <v>-254.00000000000313</v>
      </c>
      <c r="N603">
        <f>I603*Return!D603*100</f>
        <v>-45.449999999999989</v>
      </c>
      <c r="O603">
        <f>J603*Return!E603*100</f>
        <v>-240.00000000000199</v>
      </c>
      <c r="P603">
        <f t="shared" si="119"/>
        <v>-539.45000000000505</v>
      </c>
      <c r="Q603">
        <f>SUM($P$400:P603)</f>
        <v>24312.280000000006</v>
      </c>
      <c r="R603">
        <f>B603*中国_中债国债到期收益率_1年!B602/365*100</f>
        <v>0</v>
      </c>
      <c r="S603">
        <f>C603*中国_中债国债到期收益率_1年!C602/365*100</f>
        <v>20.211506849315068</v>
      </c>
      <c r="T603">
        <f>D603*中国_中债国债到期收益率_1年!D602/365*100</f>
        <v>2.9532876712328764</v>
      </c>
      <c r="U603">
        <f>E603*中国_中债国债到期收益率_1年!E602/365*100</f>
        <v>6.4520547945205484</v>
      </c>
      <c r="V603">
        <f t="shared" si="120"/>
        <v>29.616849315068492</v>
      </c>
      <c r="W603">
        <f>SUM($V$400:V603)</f>
        <v>6540.1815616438334</v>
      </c>
      <c r="X603">
        <f>MAX(F603-50,0)*中国_中债国债到期收益率_1年!H603*100/365</f>
        <v>2.6027397260273974</v>
      </c>
      <c r="Y603">
        <f>SUM($X$400:X603)</f>
        <v>672.32602739726008</v>
      </c>
      <c r="Z603">
        <v>-100</v>
      </c>
      <c r="AA603">
        <v>100</v>
      </c>
      <c r="AB603">
        <f>Z603*Return!F607*100</f>
        <v>-78.000000000000284</v>
      </c>
      <c r="AC603">
        <f>AA603*Return!G607*100</f>
        <v>128.99999999999912</v>
      </c>
      <c r="AD603">
        <f>SUM($AB$400:AB603)+SUM($AC$400:AC603)</f>
        <v>3349.7000000000139</v>
      </c>
      <c r="AE603">
        <f t="shared" si="123"/>
        <v>33529.835534246587</v>
      </c>
      <c r="AF603">
        <f t="shared" si="124"/>
        <v>1.0670596710684932</v>
      </c>
      <c r="AG603" s="4">
        <f>(AE603-AE602)/(500000+AE602)-中国_中债国债到期收益率_1年!H603%/252</f>
        <v>-9.3952310442735061E-4</v>
      </c>
      <c r="AH603" s="4">
        <f>MIN((AF603-MAX($AF$401:AF603))/MAX($AF$401:AF603),0)</f>
        <v>-5.0293764166454927E-3</v>
      </c>
    </row>
    <row r="604" spans="1:34" x14ac:dyDescent="0.25">
      <c r="A604" s="8">
        <v>45590</v>
      </c>
      <c r="B604">
        <v>0</v>
      </c>
      <c r="C604">
        <v>40</v>
      </c>
      <c r="D604">
        <v>5</v>
      </c>
      <c r="E604">
        <v>10</v>
      </c>
      <c r="F604">
        <f t="shared" si="122"/>
        <v>55</v>
      </c>
      <c r="G604">
        <f t="shared" si="121"/>
        <v>0</v>
      </c>
      <c r="H604">
        <f t="shared" si="115"/>
        <v>200</v>
      </c>
      <c r="I604">
        <f t="shared" si="116"/>
        <v>45</v>
      </c>
      <c r="J604">
        <f t="shared" si="117"/>
        <v>160</v>
      </c>
      <c r="K604">
        <f t="shared" si="118"/>
        <v>405</v>
      </c>
      <c r="L604">
        <f>G604*Return!B604*100</f>
        <v>0</v>
      </c>
      <c r="M604">
        <f>H604*Return!C604*100</f>
        <v>-156.00000000000057</v>
      </c>
      <c r="N604">
        <f>I604*Return!D604*100</f>
        <v>-45.900000000000944</v>
      </c>
      <c r="O604">
        <f>J604*Return!E604*100</f>
        <v>0</v>
      </c>
      <c r="P604">
        <f t="shared" si="119"/>
        <v>-201.90000000000151</v>
      </c>
      <c r="Q604">
        <f>SUM($P$400:P604)</f>
        <v>24110.380000000005</v>
      </c>
      <c r="R604">
        <f>B604*中国_中债国债到期收益率_1年!B603/365*100</f>
        <v>0</v>
      </c>
      <c r="S604">
        <f>C604*中国_中债国债到期收益率_1年!C603/365*100</f>
        <v>20.296986301369863</v>
      </c>
      <c r="T604">
        <f>D604*中国_中债国债到期收益率_1年!D603/365*100</f>
        <v>2.9672602739726028</v>
      </c>
      <c r="U604">
        <f>E604*中国_中债国债到期收益率_1年!E603/365*100</f>
        <v>6.4520547945205484</v>
      </c>
      <c r="V604">
        <f t="shared" si="120"/>
        <v>29.716301369863015</v>
      </c>
      <c r="W604">
        <f>SUM($V$400:V604)</f>
        <v>6569.8978630136962</v>
      </c>
      <c r="X604">
        <f>MAX(F604-50,0)*中国_中债国债到期收益率_1年!H604*100/365</f>
        <v>2.7397260273972601</v>
      </c>
      <c r="Y604">
        <f>SUM($X$400:X604)</f>
        <v>675.06575342465737</v>
      </c>
      <c r="Z604">
        <v>-100</v>
      </c>
      <c r="AA604">
        <v>100</v>
      </c>
      <c r="AB604">
        <f>Z604*Return!F608*100</f>
        <v>51.000000000001044</v>
      </c>
      <c r="AC604">
        <f>AA604*Return!G608*100</f>
        <v>33.00000000000081</v>
      </c>
      <c r="AD604">
        <f>SUM($AB$400:AB604)+SUM($AC$400:AC604)</f>
        <v>3433.7000000000157</v>
      </c>
      <c r="AE604">
        <f t="shared" si="123"/>
        <v>33438.912109589059</v>
      </c>
      <c r="AF604">
        <f t="shared" si="124"/>
        <v>1.0668778242191781</v>
      </c>
      <c r="AG604" s="4">
        <f>(AE604-AE603)/(500000+AE603)-中国_中债国债到期收益率_1年!H604%/252</f>
        <v>-2.4978371127998104E-4</v>
      </c>
      <c r="AH604" s="4">
        <f>MIN((AF604-MAX($AF$401:AF604))/MAX($AF$401:AF604),0)</f>
        <v>-5.1989379491121273E-3</v>
      </c>
    </row>
    <row r="605" spans="1:34" x14ac:dyDescent="0.25">
      <c r="A605" s="8">
        <v>45593</v>
      </c>
      <c r="B605">
        <v>0</v>
      </c>
      <c r="C605">
        <v>40</v>
      </c>
      <c r="D605">
        <v>5</v>
      </c>
      <c r="E605">
        <v>10</v>
      </c>
      <c r="F605">
        <f t="shared" si="122"/>
        <v>55</v>
      </c>
      <c r="G605">
        <f t="shared" si="121"/>
        <v>0</v>
      </c>
      <c r="H605">
        <f t="shared" si="115"/>
        <v>200</v>
      </c>
      <c r="I605">
        <f t="shared" si="116"/>
        <v>45</v>
      </c>
      <c r="J605">
        <f t="shared" si="117"/>
        <v>160</v>
      </c>
      <c r="K605">
        <f t="shared" si="118"/>
        <v>405</v>
      </c>
      <c r="L605">
        <f>G605*Return!B605*100</f>
        <v>0</v>
      </c>
      <c r="M605">
        <f>H605*Return!C605*100</f>
        <v>186.00000000000171</v>
      </c>
      <c r="N605">
        <f>I605*Return!D605*100</f>
        <v>54.899999999999949</v>
      </c>
      <c r="O605">
        <f>J605*Return!E605*100</f>
        <v>-79.999999999998295</v>
      </c>
      <c r="P605">
        <f t="shared" si="119"/>
        <v>160.90000000000336</v>
      </c>
      <c r="Q605">
        <f>SUM($P$400:P605)</f>
        <v>24271.28000000001</v>
      </c>
      <c r="R605">
        <f>B605*中国_中债国债到期收益率_1年!B604/365*100</f>
        <v>0</v>
      </c>
      <c r="S605">
        <f>C605*中国_中债国债到期收益率_1年!C604/365*100</f>
        <v>20.195068493150686</v>
      </c>
      <c r="T605">
        <f>D605*中国_中债国债到期收益率_1年!D604/365*100</f>
        <v>2.9505479452054799</v>
      </c>
      <c r="U605">
        <f>E605*中国_中债国债到期收益率_1年!E604/365*100</f>
        <v>6.4657534246575334</v>
      </c>
      <c r="V605">
        <f t="shared" si="120"/>
        <v>29.611369863013699</v>
      </c>
      <c r="W605">
        <f>SUM($V$400:V605)</f>
        <v>6599.5092328767096</v>
      </c>
      <c r="X605">
        <f>MAX(F605-50,0)*中国_中债国债到期收益率_1年!H605*100/365</f>
        <v>2.6438356164383561</v>
      </c>
      <c r="Y605">
        <f>SUM($X$400:X605)</f>
        <v>677.70958904109568</v>
      </c>
      <c r="Z605">
        <v>-100</v>
      </c>
      <c r="AA605">
        <v>100</v>
      </c>
      <c r="AB605">
        <f>Z605*Return!F609*100</f>
        <v>40.999999999999929</v>
      </c>
      <c r="AC605">
        <f>AA605*Return!G609*100</f>
        <v>-46.000000000001592</v>
      </c>
      <c r="AD605">
        <f>SUM($AB$400:AB605)+SUM($AC$400:AC605)</f>
        <v>3428.7000000000139</v>
      </c>
      <c r="AE605">
        <f t="shared" si="123"/>
        <v>33621.779643835638</v>
      </c>
      <c r="AF605">
        <f t="shared" si="124"/>
        <v>1.0672435592876712</v>
      </c>
      <c r="AG605" s="4">
        <f>(AE605-AE604)/(500000+AE604)-中国_中债国债到期收益率_1年!H605%/252</f>
        <v>2.6622146263162992E-4</v>
      </c>
      <c r="AH605" s="4">
        <f>MIN((AF605-MAX($AF$401:AF605))/MAX($AF$401:AF605),0)</f>
        <v>-4.8579114263868056E-3</v>
      </c>
    </row>
    <row r="606" spans="1:34" x14ac:dyDescent="0.25">
      <c r="A606" s="8">
        <v>45594</v>
      </c>
      <c r="B606">
        <v>0</v>
      </c>
      <c r="C606">
        <v>40</v>
      </c>
      <c r="D606">
        <v>5</v>
      </c>
      <c r="E606">
        <v>10</v>
      </c>
      <c r="F606">
        <f t="shared" si="122"/>
        <v>55</v>
      </c>
      <c r="G606">
        <f t="shared" si="121"/>
        <v>0</v>
      </c>
      <c r="H606">
        <f t="shared" ref="H606:H620" si="125">5*C606</f>
        <v>200</v>
      </c>
      <c r="I606">
        <f t="shared" ref="I606:I620" si="126">9*D606</f>
        <v>45</v>
      </c>
      <c r="J606">
        <f t="shared" ref="J606:J620" si="127">16*E606</f>
        <v>160</v>
      </c>
      <c r="K606">
        <f t="shared" ref="K606:K620" si="128">SUM(G606:J606)</f>
        <v>405</v>
      </c>
      <c r="L606">
        <f>G606*Return!B606*100</f>
        <v>0</v>
      </c>
      <c r="M606">
        <f>H606*Return!C606*100</f>
        <v>184.00000000000193</v>
      </c>
      <c r="N606">
        <f>I606*Return!D606*100</f>
        <v>-35.100000000000129</v>
      </c>
      <c r="O606">
        <f>J606*Return!E606*100</f>
        <v>-320.00000000000028</v>
      </c>
      <c r="P606">
        <f t="shared" ref="P606:P618" si="129">SUM(L606:O606)</f>
        <v>-171.09999999999849</v>
      </c>
      <c r="Q606">
        <f>SUM($P$400:P606)</f>
        <v>24100.180000000011</v>
      </c>
      <c r="R606">
        <f>B606*中国_中债国债到期收益率_1年!B605/365*100</f>
        <v>0</v>
      </c>
      <c r="S606">
        <f>C606*中国_中债国债到期收益率_1年!C605/365*100</f>
        <v>20.094246575342464</v>
      </c>
      <c r="T606">
        <f>D606*中国_中债国债到期收益率_1年!D605/365*100</f>
        <v>2.9612328767123288</v>
      </c>
      <c r="U606">
        <f>E606*中国_中债国债到期收益率_1年!E605/365*100</f>
        <v>6.5205479452054789</v>
      </c>
      <c r="V606">
        <f t="shared" ref="V606:V620" si="130">SUM(R606:U606)</f>
        <v>29.576027397260273</v>
      </c>
      <c r="W606">
        <f>SUM($V$400:V606)</f>
        <v>6629.0852602739697</v>
      </c>
      <c r="X606">
        <f>MAX(F606-50,0)*中国_中债国债到期收益率_1年!H606*100/365</f>
        <v>2.6027397260273974</v>
      </c>
      <c r="Y606">
        <f>SUM($X$400:X606)</f>
        <v>680.31232876712306</v>
      </c>
      <c r="Z606">
        <v>-100</v>
      </c>
      <c r="AA606">
        <v>100</v>
      </c>
      <c r="AB606">
        <f>Z606*Return!F610*100</f>
        <v>-315.00000000000085</v>
      </c>
      <c r="AC606">
        <f>AA606*Return!G610*100</f>
        <v>179.00000000000028</v>
      </c>
      <c r="AD606">
        <f>SUM($AB$400:AB606)+SUM($AC$400:AC606)</f>
        <v>3292.700000000013</v>
      </c>
      <c r="AE606">
        <f t="shared" si="123"/>
        <v>33341.652931506869</v>
      </c>
      <c r="AF606">
        <f t="shared" si="124"/>
        <v>1.0666833058630139</v>
      </c>
      <c r="AG606" s="4">
        <f>(AE606-AE605)/(500000+AE605)-中国_中债国债到期收益率_1年!H606%/252</f>
        <v>-6.0035049673261439E-4</v>
      </c>
      <c r="AH606" s="4">
        <f>MIN((AF606-MAX($AF$401:AF606))/MAX($AF$401:AF606),0)</f>
        <v>-5.3803149192841373E-3</v>
      </c>
    </row>
    <row r="607" spans="1:34" x14ac:dyDescent="0.25">
      <c r="A607" s="8">
        <v>45595</v>
      </c>
      <c r="B607">
        <v>0</v>
      </c>
      <c r="C607">
        <v>40</v>
      </c>
      <c r="D607">
        <v>5</v>
      </c>
      <c r="E607">
        <v>5</v>
      </c>
      <c r="F607">
        <f t="shared" si="122"/>
        <v>50</v>
      </c>
      <c r="G607">
        <f t="shared" si="121"/>
        <v>0</v>
      </c>
      <c r="H607">
        <f t="shared" si="125"/>
        <v>200</v>
      </c>
      <c r="I607">
        <f t="shared" si="126"/>
        <v>45</v>
      </c>
      <c r="J607">
        <f t="shared" si="127"/>
        <v>80</v>
      </c>
      <c r="K607">
        <f t="shared" si="128"/>
        <v>325</v>
      </c>
      <c r="L607">
        <f>G607*Return!B607*100</f>
        <v>0</v>
      </c>
      <c r="M607">
        <f>H607*Return!C607*100</f>
        <v>89.999999999998977</v>
      </c>
      <c r="N607">
        <f>I607*Return!D607*100</f>
        <v>8.5500000000000576</v>
      </c>
      <c r="O607">
        <f>J607*Return!E607*100</f>
        <v>111.99999999999832</v>
      </c>
      <c r="P607">
        <f t="shared" si="129"/>
        <v>210.54999999999734</v>
      </c>
      <c r="Q607">
        <f>SUM($P$400:P607)</f>
        <v>24310.730000000007</v>
      </c>
      <c r="R607">
        <f>B607*中国_中债国债到期收益率_1年!B606/365*100</f>
        <v>0</v>
      </c>
      <c r="S607">
        <f>C607*中国_中债国债到期收益率_1年!C606/365*100</f>
        <v>20.044931506849313</v>
      </c>
      <c r="T607">
        <f>D607*中国_中债国债到期收益率_1年!D606/365*100</f>
        <v>2.9586301369863017</v>
      </c>
      <c r="U607">
        <f>E607*中国_中债国债到期收益率_1年!E606/365*100</f>
        <v>3.2410958904109588</v>
      </c>
      <c r="V607">
        <f t="shared" si="130"/>
        <v>26.244657534246571</v>
      </c>
      <c r="W607">
        <f>SUM($V$400:V607)</f>
        <v>6655.3299178082161</v>
      </c>
      <c r="X607">
        <f>MAX(F607-50,0)*中国_中债国债到期收益率_1年!H607*100/365</f>
        <v>0</v>
      </c>
      <c r="Y607">
        <f>SUM($X$400:X607)</f>
        <v>680.31232876712306</v>
      </c>
      <c r="Z607">
        <v>-100</v>
      </c>
      <c r="AA607">
        <v>100</v>
      </c>
      <c r="AB607">
        <f>Z607*Return!F611*100</f>
        <v>-112.99999999999866</v>
      </c>
      <c r="AC607">
        <f>AA607*Return!G611*100</f>
        <v>80.000000000000071</v>
      </c>
      <c r="AD607">
        <f>SUM($AB$400:AB607)+SUM($AC$400:AC607)</f>
        <v>3259.7000000000144</v>
      </c>
      <c r="AE607">
        <f t="shared" si="123"/>
        <v>33545.447589041112</v>
      </c>
      <c r="AF607">
        <f t="shared" si="124"/>
        <v>1.0670908951780822</v>
      </c>
      <c r="AG607" s="4">
        <f>(AE607-AE606)/(500000+AE606)-中国_中债国债到期收益率_1年!H607%/252</f>
        <v>3.0671219686702328E-4</v>
      </c>
      <c r="AH607" s="4">
        <f>MIN((AF607-MAX($AF$401:AF607))/MAX($AF$401:AF607),0)</f>
        <v>-5.0002617638936981E-3</v>
      </c>
    </row>
    <row r="608" spans="1:34" x14ac:dyDescent="0.25">
      <c r="A608" s="8">
        <v>45596</v>
      </c>
      <c r="B608">
        <v>0</v>
      </c>
      <c r="C608">
        <v>40</v>
      </c>
      <c r="D608">
        <v>5</v>
      </c>
      <c r="E608">
        <v>5</v>
      </c>
      <c r="F608">
        <f t="shared" si="122"/>
        <v>50</v>
      </c>
      <c r="G608">
        <f t="shared" si="121"/>
        <v>0</v>
      </c>
      <c r="H608">
        <f t="shared" si="125"/>
        <v>200</v>
      </c>
      <c r="I608">
        <f t="shared" si="126"/>
        <v>45</v>
      </c>
      <c r="J608">
        <f t="shared" si="127"/>
        <v>80</v>
      </c>
      <c r="K608">
        <f t="shared" si="128"/>
        <v>325</v>
      </c>
      <c r="L608">
        <f>G608*Return!B608*100</f>
        <v>0</v>
      </c>
      <c r="M608">
        <f>H608*Return!C608*100</f>
        <v>141.99999999999767</v>
      </c>
      <c r="N608">
        <f>I608*Return!D608*100</f>
        <v>0.45000000000094964</v>
      </c>
      <c r="O608">
        <f>J608*Return!E608*100</f>
        <v>48.000000000001819</v>
      </c>
      <c r="P608">
        <f t="shared" si="129"/>
        <v>190.45000000000044</v>
      </c>
      <c r="Q608">
        <f>SUM($P$400:P608)</f>
        <v>24501.180000000008</v>
      </c>
      <c r="R608">
        <f>B608*中国_中债国债到期收益率_1年!B607/365*100</f>
        <v>0</v>
      </c>
      <c r="S608">
        <f>C608*中国_中债国债到期收益率_1年!C607/365*100</f>
        <v>19.967123287671232</v>
      </c>
      <c r="T608">
        <f>D608*中国_中债国债到期收益率_1年!D607/365*100</f>
        <v>2.9584931506849319</v>
      </c>
      <c r="U608">
        <f>E608*中国_中债国债到期收益率_1年!E607/365*100</f>
        <v>3.2328767123287667</v>
      </c>
      <c r="V608">
        <f t="shared" si="130"/>
        <v>26.158493150684933</v>
      </c>
      <c r="W608">
        <f>SUM($V$400:V608)</f>
        <v>6681.4884109589011</v>
      </c>
      <c r="X608">
        <f>MAX(F608-50,0)*中国_中债国债到期收益率_1年!H608*100/365</f>
        <v>0</v>
      </c>
      <c r="Y608">
        <f>SUM($X$400:X608)</f>
        <v>680.31232876712306</v>
      </c>
      <c r="Z608">
        <v>-100</v>
      </c>
      <c r="AA608">
        <v>100</v>
      </c>
      <c r="AB608">
        <f>Z608*Return!F612*100</f>
        <v>-2.9999999999996696</v>
      </c>
      <c r="AC608">
        <f>AA608*Return!G612*100</f>
        <v>39.000000000000142</v>
      </c>
      <c r="AD608">
        <f>SUM($AB$400:AB608)+SUM($AC$400:AC608)</f>
        <v>3295.7000000000148</v>
      </c>
      <c r="AE608">
        <f t="shared" si="123"/>
        <v>33798.056082191797</v>
      </c>
      <c r="AF608">
        <f t="shared" si="124"/>
        <v>1.0675961121643835</v>
      </c>
      <c r="AG608" s="4">
        <f>(AE608-AE607)/(500000+AE607)-中国_中债国债到期收益率_1年!H608%/252</f>
        <v>3.9924627660492822E-4</v>
      </c>
      <c r="AH608" s="4">
        <f>MIN((AF608-MAX($AF$401:AF608))/MAX($AF$401:AF608),0)</f>
        <v>-4.5291765251442989E-3</v>
      </c>
    </row>
    <row r="609" spans="1:34" x14ac:dyDescent="0.25">
      <c r="A609" s="8">
        <v>45597</v>
      </c>
      <c r="B609">
        <v>0</v>
      </c>
      <c r="C609">
        <v>40</v>
      </c>
      <c r="D609">
        <v>5</v>
      </c>
      <c r="E609">
        <v>5</v>
      </c>
      <c r="F609">
        <f t="shared" si="122"/>
        <v>50</v>
      </c>
      <c r="G609">
        <f t="shared" si="121"/>
        <v>0</v>
      </c>
      <c r="H609">
        <f t="shared" si="125"/>
        <v>200</v>
      </c>
      <c r="I609">
        <f t="shared" si="126"/>
        <v>45</v>
      </c>
      <c r="J609">
        <f t="shared" si="127"/>
        <v>80</v>
      </c>
      <c r="K609">
        <f t="shared" si="128"/>
        <v>325</v>
      </c>
      <c r="L609">
        <f>G609*Return!B609*100</f>
        <v>0</v>
      </c>
      <c r="M609">
        <f>H609*Return!C609*100</f>
        <v>546.00000000000205</v>
      </c>
      <c r="N609">
        <f>I609*Return!D609*100</f>
        <v>54.449999999999001</v>
      </c>
      <c r="O609">
        <f>J609*Return!E609*100</f>
        <v>199.99999999999929</v>
      </c>
      <c r="P609">
        <f t="shared" si="129"/>
        <v>800.45000000000039</v>
      </c>
      <c r="Q609">
        <f>SUM($P$400:P609)</f>
        <v>25301.630000000008</v>
      </c>
      <c r="R609">
        <f>B609*中国_中债国债到期收益率_1年!B608/365*100</f>
        <v>0</v>
      </c>
      <c r="S609">
        <f>C609*中国_中债国债到期收益率_1年!C608/365*100</f>
        <v>19.667945205479452</v>
      </c>
      <c r="T609">
        <f>D609*中国_中债国债到期收益率_1年!D608/365*100</f>
        <v>2.9419178082191784</v>
      </c>
      <c r="U609">
        <f>E609*中国_中债国债到期收益率_1年!E608/365*100</f>
        <v>3.1986301369863015</v>
      </c>
      <c r="V609">
        <f t="shared" si="130"/>
        <v>25.808493150684932</v>
      </c>
      <c r="W609">
        <f>SUM($V$400:V609)</f>
        <v>6707.2969041095857</v>
      </c>
      <c r="X609">
        <f>MAX(F609-50,0)*中国_中债国债到期收益率_1年!H609*100/365</f>
        <v>0</v>
      </c>
      <c r="Y609">
        <f>SUM($X$400:X609)</f>
        <v>680.31232876712306</v>
      </c>
      <c r="Z609">
        <v>-100</v>
      </c>
      <c r="AA609">
        <v>100</v>
      </c>
      <c r="AB609">
        <f>Z609*Return!F613*100</f>
        <v>-35.000000000000583</v>
      </c>
      <c r="AC609">
        <f>AA609*Return!G613*100</f>
        <v>196.00000000000063</v>
      </c>
      <c r="AD609">
        <f>SUM($AB$400:AB609)+SUM($AC$400:AC609)</f>
        <v>3456.7000000000153</v>
      </c>
      <c r="AE609">
        <f t="shared" si="123"/>
        <v>34785.314575342483</v>
      </c>
      <c r="AF609">
        <f t="shared" si="124"/>
        <v>1.069570629150685</v>
      </c>
      <c r="AG609" s="4">
        <f>(AE609-AE608)/(500000+AE608)-中国_中债国债到期收益率_1年!H609%/252</f>
        <v>1.7784663589195256E-3</v>
      </c>
      <c r="AH609" s="4">
        <f>MIN((AF609-MAX($AF$401:AF609))/MAX($AF$401:AF609),0)</f>
        <v>-2.6880551235931838E-3</v>
      </c>
    </row>
    <row r="610" spans="1:34" x14ac:dyDescent="0.25">
      <c r="A610" s="8">
        <v>45600</v>
      </c>
      <c r="B610">
        <v>0</v>
      </c>
      <c r="C610">
        <v>40</v>
      </c>
      <c r="D610">
        <v>5</v>
      </c>
      <c r="E610">
        <v>0</v>
      </c>
      <c r="F610">
        <f t="shared" si="122"/>
        <v>45</v>
      </c>
      <c r="G610">
        <f t="shared" si="121"/>
        <v>0</v>
      </c>
      <c r="H610">
        <f t="shared" si="125"/>
        <v>200</v>
      </c>
      <c r="I610">
        <f t="shared" si="126"/>
        <v>45</v>
      </c>
      <c r="J610">
        <f t="shared" si="127"/>
        <v>0</v>
      </c>
      <c r="K610">
        <f t="shared" si="128"/>
        <v>245</v>
      </c>
      <c r="L610">
        <f>G610*Return!B610*100</f>
        <v>0</v>
      </c>
      <c r="M610">
        <f>H610*Return!C610*100</f>
        <v>545.99999999999761</v>
      </c>
      <c r="N610">
        <f>I610*Return!D610*100</f>
        <v>31.500000000000526</v>
      </c>
      <c r="O610">
        <f>J610*Return!E610*100</f>
        <v>0</v>
      </c>
      <c r="P610">
        <f t="shared" si="129"/>
        <v>577.49999999999818</v>
      </c>
      <c r="Q610">
        <f>SUM($P$400:P610)</f>
        <v>25879.130000000005</v>
      </c>
      <c r="R610">
        <f>B610*中国_中债国债到期收益率_1年!B609/365*100</f>
        <v>0</v>
      </c>
      <c r="S610">
        <f>C610*中国_中债国债到期收益率_1年!C609/365*100</f>
        <v>19.368767123287668</v>
      </c>
      <c r="T610">
        <f>D610*中国_中债国债到期收益率_1年!D609/365*100</f>
        <v>2.9323287671232876</v>
      </c>
      <c r="U610">
        <f>E610*中国_中债国债到期收益率_1年!E609/365*100</f>
        <v>0</v>
      </c>
      <c r="V610">
        <f t="shared" si="130"/>
        <v>22.301095890410956</v>
      </c>
      <c r="W610">
        <f>SUM($V$400:V610)</f>
        <v>6729.5979999999963</v>
      </c>
      <c r="X610">
        <f>MAX(F610-50,0)*中国_中债国债到期收益率_1年!H610*100/365</f>
        <v>0</v>
      </c>
      <c r="Y610">
        <f>SUM($X$400:X610)</f>
        <v>680.31232876712306</v>
      </c>
      <c r="Z610">
        <v>-100</v>
      </c>
      <c r="AA610">
        <v>100</v>
      </c>
      <c r="AB610">
        <f>Z610*Return!F614*100</f>
        <v>-219.00000000000031</v>
      </c>
      <c r="AC610">
        <f>AA610*Return!G614*100</f>
        <v>149.99999999999903</v>
      </c>
      <c r="AD610">
        <f>SUM($AB$400:AB610)+SUM($AC$400:AC610)</f>
        <v>3387.7000000000139</v>
      </c>
      <c r="AE610">
        <f t="shared" si="123"/>
        <v>35316.115671232888</v>
      </c>
      <c r="AF610">
        <f t="shared" si="124"/>
        <v>1.0706322313424659</v>
      </c>
      <c r="AG610" s="4">
        <f>(AE610-AE609)/(500000+AE609)-中国_中债国债到期收益率_1年!H610%/252</f>
        <v>9.2191495204043317E-4</v>
      </c>
      <c r="AH610" s="4">
        <f>MIN((AF610-MAX($AF$401:AF610))/MAX($AF$401:AF610),0)</f>
        <v>-1.698173279688447E-3</v>
      </c>
    </row>
    <row r="611" spans="1:34" x14ac:dyDescent="0.25">
      <c r="A611" s="8">
        <v>45601</v>
      </c>
      <c r="B611">
        <v>0</v>
      </c>
      <c r="C611">
        <v>40</v>
      </c>
      <c r="D611">
        <v>5</v>
      </c>
      <c r="E611">
        <v>0</v>
      </c>
      <c r="F611">
        <f t="shared" si="122"/>
        <v>45</v>
      </c>
      <c r="G611">
        <f t="shared" si="121"/>
        <v>0</v>
      </c>
      <c r="H611">
        <f t="shared" si="125"/>
        <v>200</v>
      </c>
      <c r="I611">
        <f t="shared" si="126"/>
        <v>45</v>
      </c>
      <c r="J611">
        <f t="shared" si="127"/>
        <v>0</v>
      </c>
      <c r="K611">
        <f t="shared" si="128"/>
        <v>245</v>
      </c>
      <c r="L611">
        <f>G611*Return!B611*100</f>
        <v>0</v>
      </c>
      <c r="M611">
        <f>H611*Return!C611*100</f>
        <v>-223.99999999999753</v>
      </c>
      <c r="N611">
        <f>I611*Return!D611*100</f>
        <v>58.9500000000005</v>
      </c>
      <c r="O611">
        <f>J611*Return!E611*100</f>
        <v>0</v>
      </c>
      <c r="P611">
        <f t="shared" si="129"/>
        <v>-165.04999999999703</v>
      </c>
      <c r="Q611">
        <f>SUM($P$400:P611)</f>
        <v>25714.080000000009</v>
      </c>
      <c r="R611">
        <f>B611*中国_中债国债到期收益率_1年!B610/365*100</f>
        <v>0</v>
      </c>
      <c r="S611">
        <f>C611*中国_中债国债到期收益率_1年!C610/365*100</f>
        <v>19.491506849315073</v>
      </c>
      <c r="T611">
        <f>D611*中国_中债国债到期收益率_1年!D610/365*100</f>
        <v>2.9143835616438354</v>
      </c>
      <c r="U611">
        <f>E611*中国_中债国债到期收益率_1年!E610/365*100</f>
        <v>0</v>
      </c>
      <c r="V611">
        <f t="shared" si="130"/>
        <v>22.405890410958907</v>
      </c>
      <c r="W611">
        <f>SUM($V$400:V611)</f>
        <v>6752.0038904109551</v>
      </c>
      <c r="X611">
        <f>MAX(F611-50,0)*中国_中债国债到期收益率_1年!H611*100/365</f>
        <v>0</v>
      </c>
      <c r="Y611">
        <f>SUM($X$400:X611)</f>
        <v>680.31232876712306</v>
      </c>
      <c r="Z611">
        <v>-100</v>
      </c>
      <c r="AA611">
        <v>100</v>
      </c>
      <c r="AB611">
        <f>Z611*Return!F615*100</f>
        <v>39.000000000000142</v>
      </c>
      <c r="AC611">
        <f>AA611*Return!G615*100</f>
        <v>110.00000000000121</v>
      </c>
      <c r="AD611">
        <f>SUM($AB$400:AB611)+SUM($AC$400:AC611)</f>
        <v>3536.7000000000148</v>
      </c>
      <c r="AE611">
        <f t="shared" si="123"/>
        <v>35322.471561643848</v>
      </c>
      <c r="AF611">
        <f t="shared" si="124"/>
        <v>1.0706449431232876</v>
      </c>
      <c r="AG611" s="4">
        <f>(AE611-AE610)/(500000+AE610)-中国_中债国债到期收益率_1年!H611%/252</f>
        <v>-5.9158592534415026E-5</v>
      </c>
      <c r="AH611" s="4">
        <f>MIN((AF611-MAX($AF$401:AF611))/MAX($AF$401:AF611),0)</f>
        <v>-1.6863202888632986E-3</v>
      </c>
    </row>
    <row r="612" spans="1:34" x14ac:dyDescent="0.25">
      <c r="A612" s="8">
        <v>45602</v>
      </c>
      <c r="B612">
        <v>0</v>
      </c>
      <c r="C612">
        <v>40</v>
      </c>
      <c r="D612">
        <v>5</v>
      </c>
      <c r="E612">
        <v>0</v>
      </c>
      <c r="F612">
        <f t="shared" si="122"/>
        <v>45</v>
      </c>
      <c r="G612">
        <f t="shared" si="121"/>
        <v>0</v>
      </c>
      <c r="H612">
        <f t="shared" si="125"/>
        <v>200</v>
      </c>
      <c r="I612">
        <f t="shared" si="126"/>
        <v>45</v>
      </c>
      <c r="J612">
        <f t="shared" si="127"/>
        <v>0</v>
      </c>
      <c r="K612">
        <f t="shared" si="128"/>
        <v>245</v>
      </c>
      <c r="L612">
        <f>G612*Return!B612*100</f>
        <v>0</v>
      </c>
      <c r="M612">
        <f>H612*Return!C612*100</f>
        <v>190.00000000000128</v>
      </c>
      <c r="N612">
        <f>I612*Return!D612*100</f>
        <v>76.050000000000622</v>
      </c>
      <c r="O612">
        <f>J612*Return!E612*100</f>
        <v>0</v>
      </c>
      <c r="P612">
        <f t="shared" si="129"/>
        <v>266.05000000000189</v>
      </c>
      <c r="Q612">
        <f>SUM($P$400:P612)</f>
        <v>25980.130000000012</v>
      </c>
      <c r="R612">
        <f>B612*中国_中债国债到期收益率_1年!B611/365*100</f>
        <v>0</v>
      </c>
      <c r="S612">
        <f>C612*中国_中债国债到期收益率_1年!C611/365*100</f>
        <v>19.387397260273971</v>
      </c>
      <c r="T612">
        <f>D612*中国_中债国债到期收益率_1年!D611/365*100</f>
        <v>2.8912328767123285</v>
      </c>
      <c r="U612">
        <f>E612*中国_中债国债到期收益率_1年!E611/365*100</f>
        <v>0</v>
      </c>
      <c r="V612">
        <f t="shared" si="130"/>
        <v>22.278630136986301</v>
      </c>
      <c r="W612">
        <f>SUM($V$400:V612)</f>
        <v>6774.2825205479412</v>
      </c>
      <c r="X612">
        <f>MAX(F612-50,0)*中国_中债国债到期收益率_1年!H612*100/365</f>
        <v>0</v>
      </c>
      <c r="Y612">
        <f>SUM($X$400:X612)</f>
        <v>680.31232876712306</v>
      </c>
      <c r="Z612">
        <v>-100</v>
      </c>
      <c r="AA612">
        <v>100</v>
      </c>
      <c r="AB612">
        <f>Z612*Return!F616*100</f>
        <v>106.99999999999932</v>
      </c>
      <c r="AC612">
        <f>AA612*Return!G616*100</f>
        <v>80.000000000000071</v>
      </c>
      <c r="AD612">
        <f>SUM($AB$400:AB612)+SUM($AC$400:AC612)</f>
        <v>3723.7000000000144</v>
      </c>
      <c r="AE612">
        <f t="shared" si="123"/>
        <v>35797.800191780843</v>
      </c>
      <c r="AF612">
        <f t="shared" si="124"/>
        <v>1.0715956003835616</v>
      </c>
      <c r="AG612" s="4">
        <f>(AE612-AE611)/(500000+AE611)-中国_中债国债到期收益率_1年!H612%/252</f>
        <v>8.1689778315533553E-4</v>
      </c>
      <c r="AH612" s="4">
        <f>MIN((AF612-MAX($AF$401:AF612))/MAX($AF$401:AF612),0)</f>
        <v>-7.9988809325636607E-4</v>
      </c>
    </row>
    <row r="613" spans="1:34" x14ac:dyDescent="0.25">
      <c r="A613" s="8">
        <v>45603</v>
      </c>
      <c r="B613">
        <v>0</v>
      </c>
      <c r="C613">
        <v>40</v>
      </c>
      <c r="D613">
        <v>5</v>
      </c>
      <c r="E613">
        <v>0</v>
      </c>
      <c r="F613">
        <f t="shared" si="122"/>
        <v>45</v>
      </c>
      <c r="G613">
        <f t="shared" si="121"/>
        <v>0</v>
      </c>
      <c r="H613">
        <f t="shared" si="125"/>
        <v>200</v>
      </c>
      <c r="I613">
        <f t="shared" si="126"/>
        <v>45</v>
      </c>
      <c r="J613">
        <f t="shared" si="127"/>
        <v>0</v>
      </c>
      <c r="K613">
        <f t="shared" si="128"/>
        <v>245</v>
      </c>
      <c r="L613">
        <f>G613*Return!B613*100</f>
        <v>0</v>
      </c>
      <c r="M613">
        <f>H613*Return!C613*100</f>
        <v>-114.00000000000077</v>
      </c>
      <c r="N613">
        <f>I613*Return!D613*100</f>
        <v>-57.60000000000165</v>
      </c>
      <c r="O613">
        <f>J613*Return!E613*100</f>
        <v>0</v>
      </c>
      <c r="P613">
        <f t="shared" si="129"/>
        <v>-171.60000000000241</v>
      </c>
      <c r="Q613">
        <f>SUM($P$400:P613)</f>
        <v>25808.53000000001</v>
      </c>
      <c r="R613">
        <f>B613*中国_中债国债到期收益率_1年!B612/365*100</f>
        <v>0</v>
      </c>
      <c r="S613">
        <f>C613*中国_中债国债到期收益率_1年!C612/365*100</f>
        <v>19.449863013698625</v>
      </c>
      <c r="T613">
        <f>D613*中国_中债国债到期收益率_1年!D612/365*100</f>
        <v>2.9087671232876713</v>
      </c>
      <c r="U613">
        <f>E613*中国_中债国债到期收益率_1年!E612/365*100</f>
        <v>0</v>
      </c>
      <c r="V613">
        <f t="shared" si="130"/>
        <v>22.358630136986296</v>
      </c>
      <c r="W613">
        <f>SUM($V$400:V613)</f>
        <v>6796.6411506849272</v>
      </c>
      <c r="X613">
        <f>MAX(F613-50,0)*中国_中债国债到期收益率_1年!H613*100/365</f>
        <v>0</v>
      </c>
      <c r="Y613">
        <f>SUM($X$400:X613)</f>
        <v>680.31232876712306</v>
      </c>
      <c r="Z613">
        <v>-100</v>
      </c>
      <c r="AA613">
        <v>100</v>
      </c>
      <c r="AB613">
        <f>Z613*Return!F617*100</f>
        <v>-115.00000000000065</v>
      </c>
      <c r="AC613">
        <f>AA613*Return!G617*100</f>
        <v>248.99999999999923</v>
      </c>
      <c r="AD613">
        <f>SUM($AB$400:AB613)+SUM($AC$400:AC613)</f>
        <v>3857.700000000013</v>
      </c>
      <c r="AE613">
        <f t="shared" si="123"/>
        <v>35782.558821917824</v>
      </c>
      <c r="AF613">
        <f t="shared" si="124"/>
        <v>1.0715651176438357</v>
      </c>
      <c r="AG613" s="4">
        <f>(AE613-AE612)/(500000+AE612)-中国_中债国债到期收益率_1年!H613%/252</f>
        <v>-9.9874693935165338E-5</v>
      </c>
      <c r="AH613" s="4">
        <f>MIN((AF613-MAX($AF$401:AF613))/MAX($AF$401:AF613),0)</f>
        <v>-8.2831146204818149E-4</v>
      </c>
    </row>
    <row r="614" spans="1:34" x14ac:dyDescent="0.25">
      <c r="A614" s="8">
        <v>45604</v>
      </c>
      <c r="B614">
        <v>0</v>
      </c>
      <c r="C614">
        <v>40</v>
      </c>
      <c r="D614">
        <v>5</v>
      </c>
      <c r="E614">
        <v>0</v>
      </c>
      <c r="F614">
        <f t="shared" si="122"/>
        <v>45</v>
      </c>
      <c r="G614">
        <f t="shared" si="121"/>
        <v>0</v>
      </c>
      <c r="H614">
        <f t="shared" si="125"/>
        <v>200</v>
      </c>
      <c r="I614">
        <f t="shared" si="126"/>
        <v>45</v>
      </c>
      <c r="J614">
        <f t="shared" si="127"/>
        <v>0</v>
      </c>
      <c r="K614">
        <f t="shared" si="128"/>
        <v>245</v>
      </c>
      <c r="L614">
        <f>G614*Return!B614*100</f>
        <v>0</v>
      </c>
      <c r="M614">
        <f>H614*Return!C614*100</f>
        <v>391.99999999999682</v>
      </c>
      <c r="N614">
        <f>I614*Return!D614*100</f>
        <v>53.550000000001098</v>
      </c>
      <c r="O614">
        <f>J614*Return!E614*100</f>
        <v>0</v>
      </c>
      <c r="P614">
        <f t="shared" si="129"/>
        <v>445.54999999999791</v>
      </c>
      <c r="Q614">
        <f>SUM($P$400:P614)</f>
        <v>26254.080000000009</v>
      </c>
      <c r="R614">
        <f>B614*中国_中债国债到期收益率_1年!B613/365*100</f>
        <v>0</v>
      </c>
      <c r="S614">
        <f>C614*中国_中债国债到期收益率_1年!C613/365*100</f>
        <v>19.235068493150685</v>
      </c>
      <c r="T614">
        <f>D614*中国_中债国债到期收益率_1年!D613/365*100</f>
        <v>2.8924657534246574</v>
      </c>
      <c r="U614">
        <f>E614*中国_中债国债到期收益率_1年!E613/365*100</f>
        <v>0</v>
      </c>
      <c r="V614">
        <f t="shared" si="130"/>
        <v>22.127534246575344</v>
      </c>
      <c r="W614">
        <f>SUM($V$400:V614)</f>
        <v>6818.7686849315023</v>
      </c>
      <c r="X614">
        <f>MAX(F614-50,0)*中国_中债国债到期收益率_1年!H614*100/365</f>
        <v>0</v>
      </c>
      <c r="Y614">
        <f>SUM($X$400:X614)</f>
        <v>680.31232876712306</v>
      </c>
      <c r="Z614">
        <v>-100</v>
      </c>
      <c r="AA614">
        <v>100</v>
      </c>
      <c r="AB614">
        <f>Z614*Return!F618*100</f>
        <v>61.00000000000216</v>
      </c>
      <c r="AC614">
        <f>AA614*Return!G618*100</f>
        <v>-19.000000000000128</v>
      </c>
      <c r="AD614">
        <f>SUM($AB$400:AB614)+SUM($AC$400:AC614)</f>
        <v>3899.7000000000153</v>
      </c>
      <c r="AE614">
        <f t="shared" si="123"/>
        <v>36292.236356164394</v>
      </c>
      <c r="AF614">
        <f t="shared" si="124"/>
        <v>1.0725844727123288</v>
      </c>
      <c r="AG614" s="4">
        <f>(AE614-AE613)/(500000+AE613)-中国_中债国债到期收益率_1年!H614%/252</f>
        <v>8.7984825879757866E-4</v>
      </c>
      <c r="AH614" s="4">
        <f>MIN((AF614-MAX($AF$401:AF614))/MAX($AF$401:AF614),0)</f>
        <v>0</v>
      </c>
    </row>
    <row r="615" spans="1:34" x14ac:dyDescent="0.25">
      <c r="A615" s="8">
        <v>45607</v>
      </c>
      <c r="B615">
        <v>0</v>
      </c>
      <c r="C615">
        <v>40</v>
      </c>
      <c r="D615">
        <v>10</v>
      </c>
      <c r="E615">
        <v>0</v>
      </c>
      <c r="F615">
        <f t="shared" si="122"/>
        <v>50</v>
      </c>
      <c r="G615">
        <f t="shared" si="121"/>
        <v>0</v>
      </c>
      <c r="H615">
        <f t="shared" si="125"/>
        <v>200</v>
      </c>
      <c r="I615">
        <f t="shared" si="126"/>
        <v>90</v>
      </c>
      <c r="J615">
        <f t="shared" si="127"/>
        <v>0</v>
      </c>
      <c r="K615">
        <f t="shared" si="128"/>
        <v>290</v>
      </c>
      <c r="L615">
        <f>G615*Return!B615*100</f>
        <v>0</v>
      </c>
      <c r="M615">
        <f>H615*Return!C615*100</f>
        <v>250.00000000000355</v>
      </c>
      <c r="N615">
        <f>I615*Return!D615*100</f>
        <v>43.199999999999235</v>
      </c>
      <c r="O615">
        <f>J615*Return!E615*100</f>
        <v>0</v>
      </c>
      <c r="P615">
        <f t="shared" si="129"/>
        <v>293.20000000000277</v>
      </c>
      <c r="Q615">
        <f>SUM($P$400:P615)</f>
        <v>26547.280000000013</v>
      </c>
      <c r="R615">
        <f>B615*中国_中债国债到期收益率_1年!B614/365*100</f>
        <v>0</v>
      </c>
      <c r="S615">
        <f>C615*中国_中债国债到期收益率_1年!C614/365*100</f>
        <v>19.098082191780822</v>
      </c>
      <c r="T615">
        <f>D615*中国_中债国债到期收益率_1年!D614/365*100</f>
        <v>5.7717808219178082</v>
      </c>
      <c r="U615">
        <f>E615*中国_中债国债到期收益率_1年!E614/365*100</f>
        <v>0</v>
      </c>
      <c r="V615">
        <f t="shared" si="130"/>
        <v>24.86986301369863</v>
      </c>
      <c r="W615">
        <f>SUM($V$400:V615)</f>
        <v>6843.638547945201</v>
      </c>
      <c r="X615">
        <f>MAX(F615-50,0)*中国_中债国债到期收益率_1年!H615*100/365</f>
        <v>0</v>
      </c>
      <c r="Y615">
        <f>SUM($X$400:X615)</f>
        <v>680.31232876712306</v>
      </c>
      <c r="Z615">
        <v>-100</v>
      </c>
      <c r="AA615">
        <v>100</v>
      </c>
      <c r="AB615">
        <f>Z615*Return!F619*100</f>
        <v>-48.000000000001378</v>
      </c>
      <c r="AC615">
        <f>AA615*Return!G619*100</f>
        <v>-23.999999999999577</v>
      </c>
      <c r="AD615">
        <f>SUM($AB$400:AB615)+SUM($AC$400:AC615)</f>
        <v>3827.7000000000139</v>
      </c>
      <c r="AE615">
        <f t="shared" si="123"/>
        <v>36538.306219178099</v>
      </c>
      <c r="AF615">
        <f t="shared" si="124"/>
        <v>1.0730766124383562</v>
      </c>
      <c r="AG615" s="4">
        <f>(AE615-AE614)/(500000+AE614)-中国_中债国债到期收益率_1年!H615%/252</f>
        <v>3.8423222582258137E-4</v>
      </c>
      <c r="AH615" s="4">
        <f>MIN((AF615-MAX($AF$401:AF615))/MAX($AF$401:AF615),0)</f>
        <v>0</v>
      </c>
    </row>
    <row r="616" spans="1:34" x14ac:dyDescent="0.25">
      <c r="A616" s="8">
        <v>45608</v>
      </c>
      <c r="B616">
        <v>0</v>
      </c>
      <c r="C616">
        <v>40</v>
      </c>
      <c r="D616">
        <v>10</v>
      </c>
      <c r="E616">
        <v>0</v>
      </c>
      <c r="F616">
        <f t="shared" si="122"/>
        <v>50</v>
      </c>
      <c r="G616">
        <f t="shared" si="121"/>
        <v>0</v>
      </c>
      <c r="H616">
        <f t="shared" si="125"/>
        <v>200</v>
      </c>
      <c r="I616">
        <f t="shared" si="126"/>
        <v>90</v>
      </c>
      <c r="J616">
        <f t="shared" si="127"/>
        <v>0</v>
      </c>
      <c r="K616">
        <f t="shared" si="128"/>
        <v>290</v>
      </c>
      <c r="L616">
        <f>G616*Return!B616*100</f>
        <v>0</v>
      </c>
      <c r="M616">
        <f>H616*Return!C616*100</f>
        <v>36.000000000000476</v>
      </c>
      <c r="N616">
        <f>I616*Return!D616*100</f>
        <v>132.29999999999941</v>
      </c>
      <c r="O616">
        <f>J616*Return!E616*100</f>
        <v>0</v>
      </c>
      <c r="P616">
        <f t="shared" si="129"/>
        <v>168.2999999999999</v>
      </c>
      <c r="Q616">
        <f>SUM($P$400:P616)</f>
        <v>26715.580000000013</v>
      </c>
      <c r="R616">
        <f>B616*中国_中债国债到期收益率_1年!B615/365*100</f>
        <v>0</v>
      </c>
      <c r="S616">
        <f>C616*中国_中债国债到期收益率_1年!C615/365*100</f>
        <v>19.07835616438356</v>
      </c>
      <c r="T616">
        <f>D616*中国_中债国债到期收益率_1年!D615/365*100</f>
        <v>5.7315068493150694</v>
      </c>
      <c r="U616">
        <f>E616*中国_中债国债到期收益率_1年!E615/365*100</f>
        <v>0</v>
      </c>
      <c r="V616">
        <f t="shared" si="130"/>
        <v>24.809863013698632</v>
      </c>
      <c r="W616">
        <f>SUM($V$400:V616)</f>
        <v>6868.4484109588993</v>
      </c>
      <c r="X616">
        <f>MAX(F616-50,0)*中国_中债国债到期收益率_1年!H616*100/365</f>
        <v>0</v>
      </c>
      <c r="Y616">
        <f>SUM($X$400:X616)</f>
        <v>680.31232876712306</v>
      </c>
      <c r="Z616">
        <v>-50</v>
      </c>
      <c r="AA616">
        <v>50</v>
      </c>
      <c r="AB616">
        <f>Z616*Return!F620*100</f>
        <v>-27.000000000000355</v>
      </c>
      <c r="AC616">
        <f>AA616*Return!G620*100</f>
        <v>49.500000000000099</v>
      </c>
      <c r="AD616">
        <f>SUM($AB$400:AB616)+SUM($AC$400:AC616)</f>
        <v>3850.2000000000135</v>
      </c>
      <c r="AE616">
        <f t="shared" si="123"/>
        <v>36753.916082191798</v>
      </c>
      <c r="AF616">
        <f t="shared" si="124"/>
        <v>1.0735078321643836</v>
      </c>
      <c r="AG616" s="4">
        <f>(AE616-AE615)/(500000+AE615)-中国_中债国债到期收益率_1年!H616%/252</f>
        <v>3.2645679905924643E-4</v>
      </c>
      <c r="AH616" s="4">
        <f>MIN((AF616-MAX($AF$401:AF616))/MAX($AF$401:AF616),0)</f>
        <v>0</v>
      </c>
    </row>
    <row r="617" spans="1:34" x14ac:dyDescent="0.25">
      <c r="A617" s="8">
        <v>45609</v>
      </c>
      <c r="B617">
        <v>0</v>
      </c>
      <c r="C617">
        <v>40</v>
      </c>
      <c r="D617">
        <v>10</v>
      </c>
      <c r="E617">
        <v>0</v>
      </c>
      <c r="F617">
        <f t="shared" si="122"/>
        <v>50</v>
      </c>
      <c r="G617">
        <f t="shared" si="121"/>
        <v>0</v>
      </c>
      <c r="H617">
        <f t="shared" si="125"/>
        <v>200</v>
      </c>
      <c r="I617">
        <f t="shared" si="126"/>
        <v>90</v>
      </c>
      <c r="J617">
        <f t="shared" si="127"/>
        <v>0</v>
      </c>
      <c r="K617">
        <f t="shared" si="128"/>
        <v>290</v>
      </c>
      <c r="L617">
        <f>G617*Return!B617*100</f>
        <v>0</v>
      </c>
      <c r="M617">
        <f>H617*Return!C617*100</f>
        <v>557.99999999999625</v>
      </c>
      <c r="N617">
        <f>I617*Return!D617*100</f>
        <v>171.89999999999907</v>
      </c>
      <c r="O617">
        <f>J617*Return!E617*100</f>
        <v>0</v>
      </c>
      <c r="P617">
        <f t="shared" si="129"/>
        <v>729.89999999999532</v>
      </c>
      <c r="Q617">
        <f>SUM($P$400:P617)</f>
        <v>27445.480000000007</v>
      </c>
      <c r="R617">
        <f>B617*中国_中债国债到期收益率_1年!B616/365*100</f>
        <v>0</v>
      </c>
      <c r="S617">
        <f>C617*中国_中债国债到期收益率_1年!C616/365*100</f>
        <v>18.772602739726029</v>
      </c>
      <c r="T617">
        <f>D617*中国_中债国债到期收益率_1年!D616/365*100</f>
        <v>5.6791780821917817</v>
      </c>
      <c r="U617">
        <f>E617*中国_中债国债到期收益率_1年!E616/365*100</f>
        <v>0</v>
      </c>
      <c r="V617">
        <f t="shared" si="130"/>
        <v>24.451780821917811</v>
      </c>
      <c r="W617">
        <f>SUM($V$400:V617)</f>
        <v>6892.9001917808173</v>
      </c>
      <c r="X617">
        <f>MAX(F617-50,0)*中国_中债国债到期收益率_1年!H617*100/365</f>
        <v>0</v>
      </c>
      <c r="Y617">
        <f>SUM($X$400:X617)</f>
        <v>680.31232876712306</v>
      </c>
      <c r="Z617">
        <v>-50</v>
      </c>
      <c r="AA617">
        <v>50</v>
      </c>
      <c r="AB617">
        <f>Z617*Return!F621*100</f>
        <v>142.00000000000102</v>
      </c>
      <c r="AC617">
        <f>AA617*Return!G621*100</f>
        <v>-150.50000000000009</v>
      </c>
      <c r="AD617">
        <f>SUM($AB$400:AB617)+SUM($AC$400:AC617)</f>
        <v>3841.7000000000144</v>
      </c>
      <c r="AE617">
        <f t="shared" si="123"/>
        <v>37499.767863013709</v>
      </c>
      <c r="AF617">
        <f t="shared" si="124"/>
        <v>1.0749995357260274</v>
      </c>
      <c r="AG617" s="4">
        <f>(AE617-AE616)/(500000+AE616)-中国_中债国债到期收益率_1年!H617%/252</f>
        <v>1.3141631917259948E-3</v>
      </c>
      <c r="AH617" s="4">
        <f>MIN((AF617-MAX($AF$401:AF617))/MAX($AF$401:AF617),0)</f>
        <v>0</v>
      </c>
    </row>
    <row r="618" spans="1:34" x14ac:dyDescent="0.25">
      <c r="A618" s="8">
        <v>45610</v>
      </c>
      <c r="B618">
        <v>0</v>
      </c>
      <c r="C618">
        <v>40</v>
      </c>
      <c r="D618">
        <v>10</v>
      </c>
      <c r="E618">
        <v>0</v>
      </c>
      <c r="F618">
        <f t="shared" si="122"/>
        <v>50</v>
      </c>
      <c r="G618">
        <f t="shared" si="121"/>
        <v>0</v>
      </c>
      <c r="H618">
        <f t="shared" si="125"/>
        <v>200</v>
      </c>
      <c r="I618">
        <f t="shared" si="126"/>
        <v>90</v>
      </c>
      <c r="J618">
        <f t="shared" si="127"/>
        <v>0</v>
      </c>
      <c r="K618">
        <f t="shared" si="128"/>
        <v>290</v>
      </c>
      <c r="L618">
        <f>G618*Return!B618*100</f>
        <v>0</v>
      </c>
      <c r="M618">
        <f>H618*Return!C618*100</f>
        <v>-111.99999999999655</v>
      </c>
      <c r="N618">
        <f>I618*Return!D618*100</f>
        <v>-132.29999999999941</v>
      </c>
      <c r="O618">
        <f>J618*Return!E618*100</f>
        <v>0</v>
      </c>
      <c r="P618">
        <f t="shared" si="129"/>
        <v>-244.29999999999598</v>
      </c>
      <c r="Q618">
        <f>SUM($P$400:P618)</f>
        <v>27201.180000000011</v>
      </c>
      <c r="R618">
        <f>B618*中国_中债国债到期收益率_1年!B617/365*100</f>
        <v>0</v>
      </c>
      <c r="S618">
        <f>C618*中国_中债国债到期收益率_1年!C617/365*100</f>
        <v>18.833972602739728</v>
      </c>
      <c r="T618">
        <f>D618*中国_中债国债到期收益率_1年!D617/365*100</f>
        <v>5.7194520547945205</v>
      </c>
      <c r="U618">
        <f>E618*中国_中债国债到期收益率_1年!E617/365*100</f>
        <v>0</v>
      </c>
      <c r="V618">
        <f t="shared" si="130"/>
        <v>24.553424657534247</v>
      </c>
      <c r="W618">
        <f>SUM($V$400:V618)</f>
        <v>6917.4536164383517</v>
      </c>
      <c r="X618">
        <f>MAX(F618-50,0)*中国_中债国债到期收益率_1年!H618*100/365</f>
        <v>0</v>
      </c>
      <c r="Y618">
        <f>SUM($X$400:X618)</f>
        <v>680.31232876712306</v>
      </c>
      <c r="Z618">
        <v>-50</v>
      </c>
      <c r="AA618">
        <v>50</v>
      </c>
      <c r="AB618">
        <f>Z618*Return!F622*100</f>
        <v>-17.500000000000291</v>
      </c>
      <c r="AC618">
        <f>AA618*Return!G622*100</f>
        <v>18.500000000000185</v>
      </c>
      <c r="AD618">
        <f>SUM($AB$400:AB618)+SUM($AC$400:AC618)</f>
        <v>3842.7000000000139</v>
      </c>
      <c r="AE618">
        <f t="shared" si="123"/>
        <v>37281.021287671247</v>
      </c>
      <c r="AF618">
        <f t="shared" si="124"/>
        <v>1.0745620425753426</v>
      </c>
      <c r="AG618" s="4">
        <f>(AE618-AE617)/(500000+AE617)-中国_中债国债到期收益率_1年!H618%/252</f>
        <v>-4.8197054849372805E-4</v>
      </c>
      <c r="AH618" s="4">
        <f>MIN((AF618-MAX($AF$401:AF618))/MAX($AF$401:AF618),0)</f>
        <v>-4.0697054849356907E-4</v>
      </c>
    </row>
    <row r="619" spans="1:34" x14ac:dyDescent="0.25">
      <c r="A619" s="8">
        <v>45611</v>
      </c>
      <c r="B619">
        <v>0</v>
      </c>
      <c r="C619">
        <v>40</v>
      </c>
      <c r="D619">
        <v>10</v>
      </c>
      <c r="E619">
        <v>0</v>
      </c>
      <c r="F619">
        <f t="shared" si="122"/>
        <v>50</v>
      </c>
      <c r="G619">
        <f t="shared" si="121"/>
        <v>0</v>
      </c>
      <c r="H619">
        <f t="shared" si="125"/>
        <v>200</v>
      </c>
      <c r="I619">
        <f t="shared" si="126"/>
        <v>90</v>
      </c>
      <c r="J619">
        <f t="shared" si="127"/>
        <v>0</v>
      </c>
      <c r="K619">
        <f t="shared" si="128"/>
        <v>290</v>
      </c>
      <c r="L619">
        <f>G619*Return!B619*100</f>
        <v>0</v>
      </c>
      <c r="M619">
        <f>H619*Return!C619*100</f>
        <v>242</v>
      </c>
      <c r="N619">
        <f>I619*Return!D619*100</f>
        <v>61.200000000001253</v>
      </c>
      <c r="O619">
        <f>J619*Return!E619*100</f>
        <v>0</v>
      </c>
      <c r="P619">
        <f t="shared" ref="P619:P622" si="131">SUM(L619:O619)</f>
        <v>303.20000000000124</v>
      </c>
      <c r="Q619">
        <f>SUM($P$400:P619)</f>
        <v>27504.380000000012</v>
      </c>
      <c r="R619">
        <f>B619*中国_中债国债到期收益率_1年!B618/365*100</f>
        <v>0</v>
      </c>
      <c r="S619">
        <f>C619*中国_中债国债到期收益率_1年!C618/365*100</f>
        <v>18.701369863013696</v>
      </c>
      <c r="T619">
        <f>D619*中国_中债国债到期收益率_1年!D618/365*100</f>
        <v>5.7008219178082191</v>
      </c>
      <c r="U619">
        <f>E619*中国_中债国债到期收益率_1年!E618/365*100</f>
        <v>0</v>
      </c>
      <c r="V619">
        <f t="shared" si="130"/>
        <v>24.402191780821916</v>
      </c>
      <c r="W619">
        <f>SUM($V$400:V619)</f>
        <v>6941.8558082191739</v>
      </c>
      <c r="X619">
        <f>MAX(F619-50,0)*中国_中债国债到期收益率_1年!H619*100/365</f>
        <v>0</v>
      </c>
      <c r="Y619">
        <f>SUM($X$400:X619)</f>
        <v>680.31232876712306</v>
      </c>
      <c r="Z619">
        <v>-50</v>
      </c>
      <c r="AA619">
        <v>50</v>
      </c>
      <c r="AB619">
        <f>Z619*Return!F623*100</f>
        <v>-24.500000000000632</v>
      </c>
      <c r="AC619">
        <f>AA619*Return!G623*100</f>
        <v>39.500000000000092</v>
      </c>
      <c r="AD619">
        <f>SUM($AB$400:AB619)+SUM($AC$400:AC619)</f>
        <v>3857.7000000000135</v>
      </c>
      <c r="AE619">
        <f t="shared" si="123"/>
        <v>37623.623479452071</v>
      </c>
      <c r="AF619">
        <f t="shared" si="124"/>
        <v>1.0752472469589041</v>
      </c>
      <c r="AG619" s="4">
        <f>(AE619-AE618)/(500000+AE618)-中国_中债国债到期收益率_1年!H619%/252</f>
        <v>5.6424651195681973E-4</v>
      </c>
      <c r="AH619" s="4">
        <f>MIN((AF619-MAX($AF$401:AF619))/MAX($AF$401:AF619),0)</f>
        <v>0</v>
      </c>
    </row>
    <row r="620" spans="1:34" x14ac:dyDescent="0.25">
      <c r="A620" s="8">
        <v>45614</v>
      </c>
      <c r="B620">
        <v>0</v>
      </c>
      <c r="C620">
        <v>40</v>
      </c>
      <c r="D620">
        <v>10</v>
      </c>
      <c r="E620">
        <v>0</v>
      </c>
      <c r="F620">
        <f t="shared" si="122"/>
        <v>50</v>
      </c>
      <c r="G620">
        <f t="shared" si="121"/>
        <v>0</v>
      </c>
      <c r="H620">
        <f t="shared" si="125"/>
        <v>200</v>
      </c>
      <c r="I620">
        <f t="shared" si="126"/>
        <v>90</v>
      </c>
      <c r="J620">
        <f t="shared" si="127"/>
        <v>0</v>
      </c>
      <c r="K620">
        <f t="shared" si="128"/>
        <v>290</v>
      </c>
      <c r="L620">
        <f>G620*Return!B620*100</f>
        <v>0</v>
      </c>
      <c r="M620">
        <f>H620*Return!C620*100</f>
        <v>-68.000000000001393</v>
      </c>
      <c r="N620">
        <f>I620*Return!D620*100</f>
        <v>-126.0000000000021</v>
      </c>
      <c r="O620">
        <f>J620*Return!E620*100</f>
        <v>0</v>
      </c>
      <c r="P620">
        <f t="shared" si="131"/>
        <v>-194.0000000000035</v>
      </c>
      <c r="Q620">
        <f>SUM($P$400:P620)</f>
        <v>27310.380000000008</v>
      </c>
      <c r="R620">
        <f>B620*中国_中债国债到期收益率_1年!B619/365*100</f>
        <v>0</v>
      </c>
      <c r="S620">
        <f>C620*中国_中债国债到期收益率_1年!C619/365*100</f>
        <v>18.738630136986302</v>
      </c>
      <c r="T620">
        <f>D620*中国_中债国债到期收益率_1年!D619/365*100</f>
        <v>5.7391780821917804</v>
      </c>
      <c r="U620">
        <f>E620*中国_中债国债到期收益率_1年!E619/365*100</f>
        <v>0</v>
      </c>
      <c r="V620">
        <f t="shared" si="130"/>
        <v>24.477808219178083</v>
      </c>
      <c r="W620">
        <f>SUM($V$400:V620)</f>
        <v>6966.3336164383518</v>
      </c>
      <c r="X620">
        <f>MAX(F620-50,0)*中国_中债国债到期收益率_1年!H620*100/365</f>
        <v>0</v>
      </c>
      <c r="Y620">
        <f>SUM($X$400:X620)</f>
        <v>680.31232876712306</v>
      </c>
      <c r="Z620">
        <v>-50</v>
      </c>
      <c r="AA620">
        <v>50</v>
      </c>
      <c r="AB620">
        <f>Z620*Return!F624*100</f>
        <v>-41.499999999999872</v>
      </c>
      <c r="AC620">
        <f>AA620*Return!G624*100</f>
        <v>61.999999999999829</v>
      </c>
      <c r="AD620">
        <f>SUM($AB$400:AB620)+SUM($AC$400:AC620)</f>
        <v>3878.2000000000135</v>
      </c>
      <c r="AE620">
        <f t="shared" si="123"/>
        <v>37474.601287671248</v>
      </c>
      <c r="AF620">
        <f t="shared" si="124"/>
        <v>1.0749492025753424</v>
      </c>
      <c r="AG620" s="4">
        <f>(AE620-AE619)/(500000+AE619)-中国_中债国债到期收益率_1年!H620%/252</f>
        <v>-3.5059953558396097E-4</v>
      </c>
      <c r="AH620" s="4">
        <f>MIN((AF620-MAX($AF$401:AF620))/MAX($AF$401:AF620),0)</f>
        <v>-2.7718683717124223E-4</v>
      </c>
    </row>
    <row r="621" spans="1:34" x14ac:dyDescent="0.25">
      <c r="A621" s="8">
        <v>45615</v>
      </c>
      <c r="B621">
        <v>0</v>
      </c>
      <c r="C621">
        <v>40</v>
      </c>
      <c r="D621">
        <v>10</v>
      </c>
      <c r="E621">
        <v>0</v>
      </c>
      <c r="F621">
        <f t="shared" ref="F621:F622" si="132">SUM(B621:E621)</f>
        <v>50</v>
      </c>
      <c r="G621">
        <f t="shared" ref="G621:G622" si="133">B621</f>
        <v>0</v>
      </c>
      <c r="H621">
        <f t="shared" ref="H621:H622" si="134">5*C621</f>
        <v>200</v>
      </c>
      <c r="I621">
        <f t="shared" ref="I621:I622" si="135">9*D621</f>
        <v>90</v>
      </c>
      <c r="J621">
        <f t="shared" ref="J621:J622" si="136">16*E621</f>
        <v>0</v>
      </c>
      <c r="K621">
        <f t="shared" ref="K621:K622" si="137">SUM(G621:J621)</f>
        <v>290</v>
      </c>
      <c r="L621">
        <f>G621*Return!B621*100</f>
        <v>0</v>
      </c>
      <c r="M621">
        <f>H621*Return!C621*100</f>
        <v>-282</v>
      </c>
      <c r="N621">
        <f>I621*Return!D621*100</f>
        <v>-152.09999999999724</v>
      </c>
      <c r="O621">
        <f>J621*Return!E621*100</f>
        <v>0</v>
      </c>
      <c r="P621">
        <f t="shared" si="131"/>
        <v>-434.09999999999724</v>
      </c>
      <c r="Q621">
        <f>SUM($P$400:P621)</f>
        <v>26876.28000000001</v>
      </c>
      <c r="R621">
        <f>B621*中国_中债国债到期收益率_1年!B620/365*100</f>
        <v>0</v>
      </c>
      <c r="S621">
        <f>C621*中国_中债国债到期收益率_1年!C620/365*100</f>
        <v>18.893150684931506</v>
      </c>
      <c r="T621">
        <f>D621*中国_中债国债到期收益率_1年!D620/365*100</f>
        <v>5.7854794520547941</v>
      </c>
      <c r="U621">
        <f>E621*中国_中债国债到期收益率_1年!E620/365*100</f>
        <v>0</v>
      </c>
      <c r="V621">
        <f t="shared" ref="V621:V622" si="138">SUM(R621:U621)</f>
        <v>24.6786301369863</v>
      </c>
      <c r="W621">
        <f>SUM($V$400:V621)</f>
        <v>6991.0122465753384</v>
      </c>
      <c r="X621">
        <f>MAX(F621-50,0)*中国_中债国债到期收益率_1年!H621*100/365</f>
        <v>0</v>
      </c>
      <c r="Y621">
        <f>SUM($X$400:X621)</f>
        <v>680.31232876712306</v>
      </c>
      <c r="Z621">
        <v>-50</v>
      </c>
      <c r="AA621">
        <v>50</v>
      </c>
      <c r="AB621">
        <f>Z621*Return!F625*100</f>
        <v>-5.4999999999993943</v>
      </c>
      <c r="AC621">
        <f>AA621*Return!G625*100</f>
        <v>29.500000000000082</v>
      </c>
      <c r="AD621">
        <f>SUM($AB$400:AB621)+SUM($AC$400:AC621)</f>
        <v>3902.2000000000139</v>
      </c>
      <c r="AE621">
        <f t="shared" si="123"/>
        <v>37089.179917808236</v>
      </c>
      <c r="AF621">
        <f t="shared" si="124"/>
        <v>1.0741783598356165</v>
      </c>
      <c r="AG621" s="4">
        <f>(AE621-AE620)/(500000+AE620)-中国_中债国债到期收益率_1年!H621%/252</f>
        <v>-7.9011277199421892E-4</v>
      </c>
      <c r="AH621" s="4">
        <f>MIN((AF621-MAX($AF$401:AF621))/MAX($AF$401:AF621),0)</f>
        <v>-9.9408496632813806E-4</v>
      </c>
    </row>
    <row r="622" spans="1:34" x14ac:dyDescent="0.25">
      <c r="A622" s="8">
        <v>45616</v>
      </c>
      <c r="B622">
        <v>0</v>
      </c>
      <c r="C622">
        <v>40</v>
      </c>
      <c r="D622">
        <v>10</v>
      </c>
      <c r="E622">
        <v>0</v>
      </c>
      <c r="F622">
        <f t="shared" si="132"/>
        <v>50</v>
      </c>
      <c r="G622">
        <f t="shared" si="133"/>
        <v>0</v>
      </c>
      <c r="H622">
        <f t="shared" si="134"/>
        <v>200</v>
      </c>
      <c r="I622">
        <f t="shared" si="135"/>
        <v>90</v>
      </c>
      <c r="J622">
        <f t="shared" si="136"/>
        <v>0</v>
      </c>
      <c r="K622">
        <f t="shared" si="137"/>
        <v>290</v>
      </c>
      <c r="L622">
        <f>G622*Return!B622*100</f>
        <v>0</v>
      </c>
      <c r="M622">
        <f>H622*Return!C622*100</f>
        <v>236.00000000000065</v>
      </c>
      <c r="N622">
        <f>I622*Return!D622*100</f>
        <v>152.99999999999915</v>
      </c>
      <c r="O622">
        <f>J622*Return!E622*100</f>
        <v>0</v>
      </c>
      <c r="P622">
        <f t="shared" si="131"/>
        <v>388.99999999999977</v>
      </c>
      <c r="Q622">
        <f>SUM($P$400:P622)</f>
        <v>27265.28000000001</v>
      </c>
      <c r="R622">
        <f>B622*中国_中债国债到期收益率_1年!B621/365*100</f>
        <v>0</v>
      </c>
      <c r="S622">
        <f>C622*中国_中债国债到期收益率_1年!C621/365*100</f>
        <v>18.763835616438357</v>
      </c>
      <c r="T622">
        <f>D622*中国_中债国债到期收益率_1年!D621/365*100</f>
        <v>5.7389041095890407</v>
      </c>
      <c r="U622">
        <f>E622*中国_中债国债到期收益率_1年!E621/365*100</f>
        <v>0</v>
      </c>
      <c r="V622">
        <f t="shared" si="138"/>
        <v>24.502739726027396</v>
      </c>
      <c r="W622">
        <f>SUM($V$400:V622)</f>
        <v>7015.5149863013658</v>
      </c>
      <c r="X622">
        <f>MAX(F622-50,0)*中国_中债国债到期收益率_1年!H622*100/365</f>
        <v>0</v>
      </c>
      <c r="Y622">
        <f>SUM($X$400:X622)</f>
        <v>680.31232876712306</v>
      </c>
      <c r="Z622">
        <v>-50</v>
      </c>
      <c r="AA622">
        <v>50</v>
      </c>
      <c r="AB622">
        <f>Z622*Return!F626*100</f>
        <v>-97.000000000000426</v>
      </c>
      <c r="AC622">
        <f>AA622*Return!G626*100</f>
        <v>99.500000000000142</v>
      </c>
      <c r="AD622">
        <f>SUM($AB$400:AB622)+SUM($AC$400:AC622)</f>
        <v>3904.7000000000135</v>
      </c>
      <c r="AE622">
        <f t="shared" si="123"/>
        <v>37505.182657534264</v>
      </c>
      <c r="AF622">
        <f t="shared" si="124"/>
        <v>1.0750103653150684</v>
      </c>
      <c r="AG622" s="4">
        <f>(AE622-AE621)/(500000+AE621)-中国_中债国债到期收益率_1年!H622%/252</f>
        <v>7.0153471426218203E-4</v>
      </c>
      <c r="AH622" s="4">
        <f>MIN((AF622-MAX($AF$401:AF622))/MAX($AF$401:AF622),0)</f>
        <v>-2.2030434814465668E-4</v>
      </c>
    </row>
    <row r="623" spans="1:34" x14ac:dyDescent="0.25">
      <c r="A623" s="8">
        <v>45617</v>
      </c>
      <c r="B623">
        <v>0</v>
      </c>
      <c r="C623">
        <v>40</v>
      </c>
      <c r="D623">
        <v>10</v>
      </c>
      <c r="E623">
        <v>0</v>
      </c>
      <c r="F623">
        <f t="shared" ref="F623:F657" si="139">SUM(B623:E623)</f>
        <v>50</v>
      </c>
      <c r="G623">
        <f t="shared" ref="G623:G657" si="140">B623</f>
        <v>0</v>
      </c>
      <c r="H623">
        <f t="shared" ref="H623:H657" si="141">5*C623</f>
        <v>200</v>
      </c>
      <c r="I623">
        <f t="shared" ref="I623:I657" si="142">9*D623</f>
        <v>90</v>
      </c>
      <c r="J623">
        <f t="shared" ref="J623:J657" si="143">16*E623</f>
        <v>0</v>
      </c>
      <c r="K623">
        <f t="shared" ref="K623:K657" si="144">SUM(G623:J623)</f>
        <v>290</v>
      </c>
      <c r="L623">
        <f>G623*Return!B623*100</f>
        <v>0</v>
      </c>
      <c r="M623">
        <f>H623*Return!C623*100</f>
        <v>95.999999999998309</v>
      </c>
      <c r="N623">
        <f>I623*Return!D623*100</f>
        <v>-70.200000000000259</v>
      </c>
      <c r="O623">
        <f>J623*Return!E623*100</f>
        <v>0</v>
      </c>
      <c r="P623">
        <f t="shared" ref="P623:P657" si="145">SUM(L623:O623)</f>
        <v>25.79999999999805</v>
      </c>
      <c r="Q623">
        <f>SUM($P$400:P623)</f>
        <v>27291.080000000009</v>
      </c>
      <c r="R623">
        <f>B623*中国_中债国债到期收益率_1年!B622/365*100</f>
        <v>0</v>
      </c>
      <c r="S623">
        <f>C623*中国_中债国债到期收益率_1年!C622/365*100</f>
        <v>18.71123287671233</v>
      </c>
      <c r="T623">
        <f>D623*中国_中债国债到期收益率_1年!D622/365*100</f>
        <v>5.7602739726027394</v>
      </c>
      <c r="U623">
        <f>E623*中国_中债国债到期收益率_1年!E622/365*100</f>
        <v>0</v>
      </c>
      <c r="V623">
        <f t="shared" ref="V623:V657" si="146">SUM(R623:U623)</f>
        <v>24.47150684931507</v>
      </c>
      <c r="W623">
        <f>SUM($V$400:V623)</f>
        <v>7039.9864931506809</v>
      </c>
      <c r="X623">
        <f>MAX(F623-50,0)*中国_中债国债到期收益率_1年!H623*100/365</f>
        <v>0</v>
      </c>
      <c r="Y623">
        <f>SUM($X$400:X623)</f>
        <v>680.31232876712306</v>
      </c>
      <c r="Z623">
        <v>-50</v>
      </c>
      <c r="AA623">
        <v>50</v>
      </c>
      <c r="AB623">
        <f>Z623*Return!F627*100</f>
        <v>-27.500000000000302</v>
      </c>
      <c r="AC623">
        <f>AA623*Return!G627*100</f>
        <v>34.499999999999531</v>
      </c>
      <c r="AD623">
        <f>SUM($AB$400:AB623)+SUM($AC$400:AC623)</f>
        <v>3911.7000000000121</v>
      </c>
      <c r="AE623">
        <f t="shared" ref="AE623:AE651" si="147">Q623+W623+AD623-Y623</f>
        <v>37562.454164383576</v>
      </c>
      <c r="AF623">
        <f t="shared" ref="AF623:AF651" si="148">AE623/$AI$1+1</f>
        <v>1.0751249083287671</v>
      </c>
      <c r="AG623" s="4">
        <f>(AE623-AE622)/(500000+AE622)-中国_中债国债到期收益率_1年!H623%/252</f>
        <v>3.3534740256636596E-5</v>
      </c>
      <c r="AH623" s="4">
        <f>MIN((AF623-MAX($AF$401:AF623))/MAX($AF$401:AF623),0)</f>
        <v>-1.1377720843555299E-4</v>
      </c>
    </row>
    <row r="624" spans="1:34" x14ac:dyDescent="0.25">
      <c r="A624" s="8">
        <v>45618</v>
      </c>
      <c r="B624">
        <v>0</v>
      </c>
      <c r="C624">
        <v>30</v>
      </c>
      <c r="D624">
        <v>10</v>
      </c>
      <c r="E624">
        <v>0</v>
      </c>
      <c r="F624">
        <f t="shared" si="139"/>
        <v>40</v>
      </c>
      <c r="G624">
        <f t="shared" si="140"/>
        <v>0</v>
      </c>
      <c r="H624">
        <f t="shared" si="141"/>
        <v>150</v>
      </c>
      <c r="I624">
        <f t="shared" si="142"/>
        <v>90</v>
      </c>
      <c r="J624">
        <f t="shared" si="143"/>
        <v>0</v>
      </c>
      <c r="K624">
        <f t="shared" si="144"/>
        <v>240</v>
      </c>
      <c r="L624">
        <f>G624*Return!B624*100</f>
        <v>0</v>
      </c>
      <c r="M624">
        <f>H624*Return!C624*100</f>
        <v>145.50000000000063</v>
      </c>
      <c r="N624">
        <f>I624*Return!D624*100</f>
        <v>163.80000000000194</v>
      </c>
      <c r="O624">
        <f>J624*Return!E624*100</f>
        <v>0</v>
      </c>
      <c r="P624">
        <f t="shared" si="145"/>
        <v>309.30000000000257</v>
      </c>
      <c r="Q624">
        <f>SUM($P$400:P624)</f>
        <v>27600.380000000012</v>
      </c>
      <c r="R624">
        <f>B624*中国_中债国债到期收益率_1年!B623/365*100</f>
        <v>0</v>
      </c>
      <c r="S624">
        <f>C624*中国_中债国债到期收益率_1年!C623/365*100</f>
        <v>13.953698630136985</v>
      </c>
      <c r="T624">
        <f>D624*中国_中债国债到期收益率_1年!D623/365*100</f>
        <v>5.7104109589041085</v>
      </c>
      <c r="U624">
        <f>E624*中国_中债国债到期收益率_1年!E623/365*100</f>
        <v>0</v>
      </c>
      <c r="V624">
        <f t="shared" si="146"/>
        <v>19.664109589041093</v>
      </c>
      <c r="W624">
        <f>SUM($V$400:V624)</f>
        <v>7059.6506027397218</v>
      </c>
      <c r="X624">
        <f>MAX(F624-50,0)*中国_中债国债到期收益率_1年!H624*100/365</f>
        <v>0</v>
      </c>
      <c r="Y624">
        <f>SUM($X$400:X624)</f>
        <v>680.31232876712306</v>
      </c>
      <c r="Z624">
        <v>-50</v>
      </c>
      <c r="AA624">
        <v>50</v>
      </c>
      <c r="AB624">
        <f>Z624*Return!F628*100</f>
        <v>-6.4999999999992841</v>
      </c>
      <c r="AC624">
        <f>AA624*Return!G628*100</f>
        <v>-8.0000000000002292</v>
      </c>
      <c r="AD624">
        <f>SUM($AB$400:AB624)+SUM($AC$400:AC624)</f>
        <v>3897.200000000013</v>
      </c>
      <c r="AE624">
        <f t="shared" si="147"/>
        <v>37876.918273972617</v>
      </c>
      <c r="AF624">
        <f t="shared" si="148"/>
        <v>1.0757538365479453</v>
      </c>
      <c r="AG624" s="4">
        <f>(AE624-AE623)/(500000+AE623)-中国_中债国债到期收益率_1年!H624%/252</f>
        <v>5.1275931276585716E-4</v>
      </c>
      <c r="AH624" s="4">
        <f>MIN((AF624-MAX($AF$401:AF624))/MAX($AF$401:AF624),0)</f>
        <v>0</v>
      </c>
    </row>
    <row r="625" spans="1:34" x14ac:dyDescent="0.25">
      <c r="A625" s="8">
        <v>45621</v>
      </c>
      <c r="B625">
        <v>0</v>
      </c>
      <c r="C625">
        <v>30</v>
      </c>
      <c r="D625">
        <v>10</v>
      </c>
      <c r="E625">
        <v>0</v>
      </c>
      <c r="F625">
        <f t="shared" si="139"/>
        <v>40</v>
      </c>
      <c r="G625">
        <f t="shared" si="140"/>
        <v>0</v>
      </c>
      <c r="H625">
        <f t="shared" si="141"/>
        <v>150</v>
      </c>
      <c r="I625">
        <f t="shared" si="142"/>
        <v>90</v>
      </c>
      <c r="J625">
        <f t="shared" si="143"/>
        <v>0</v>
      </c>
      <c r="K625">
        <f t="shared" si="144"/>
        <v>240</v>
      </c>
      <c r="L625">
        <f>G625*Return!B625*100</f>
        <v>0</v>
      </c>
      <c r="M625">
        <f>H625*Return!C625*100</f>
        <v>-81.000000000001066</v>
      </c>
      <c r="N625">
        <f>I625*Return!D625*100</f>
        <v>9.8999999999969113</v>
      </c>
      <c r="O625">
        <f>J625*Return!E625*100</f>
        <v>0</v>
      </c>
      <c r="P625">
        <f t="shared" si="145"/>
        <v>-71.100000000004158</v>
      </c>
      <c r="Q625">
        <f>SUM($P$400:P625)</f>
        <v>27529.280000000006</v>
      </c>
      <c r="R625">
        <f>B625*中国_中债国债到期收益率_1年!B624/365*100</f>
        <v>0</v>
      </c>
      <c r="S625">
        <f>C625*中国_中债国债到期收益率_1年!C624/365*100</f>
        <v>13.998082191780822</v>
      </c>
      <c r="T625">
        <f>D625*中国_中债国债到期收益率_1年!D624/365*100</f>
        <v>5.7073972602739724</v>
      </c>
      <c r="U625">
        <f>E625*中国_中债国债到期收益率_1年!E624/365*100</f>
        <v>0</v>
      </c>
      <c r="V625">
        <f t="shared" si="146"/>
        <v>19.705479452054796</v>
      </c>
      <c r="W625">
        <f>SUM($V$400:V625)</f>
        <v>7079.3560821917763</v>
      </c>
      <c r="X625">
        <f>MAX(F625-50,0)*中国_中债国债到期收益率_1年!H625*100/365</f>
        <v>0</v>
      </c>
      <c r="Y625">
        <f>SUM($X$400:X625)</f>
        <v>680.31232876712306</v>
      </c>
      <c r="Z625">
        <v>-50</v>
      </c>
      <c r="AA625">
        <v>50</v>
      </c>
      <c r="AB625">
        <f>Z625*Return!F629*100</f>
        <v>11.499999999999844</v>
      </c>
      <c r="AC625">
        <f>AA625*Return!G629*100</f>
        <v>0.99999999999988987</v>
      </c>
      <c r="AD625">
        <f>SUM($AB$400:AB625)+SUM($AC$400:AC625)</f>
        <v>3909.700000000013</v>
      </c>
      <c r="AE625">
        <f t="shared" si="147"/>
        <v>37838.02375342467</v>
      </c>
      <c r="AF625">
        <f t="shared" si="148"/>
        <v>1.0756760475068494</v>
      </c>
      <c r="AG625" s="4">
        <f>(AE625-AE624)/(500000+AE624)-中国_中债国债到期收益率_1年!H625%/252</f>
        <v>-1.4770801635247718E-4</v>
      </c>
      <c r="AH625" s="4">
        <f>MIN((AF625-MAX($AF$401:AF625))/MAX($AF$401:AF625),0)</f>
        <v>-7.2311190955657122E-5</v>
      </c>
    </row>
    <row r="626" spans="1:34" x14ac:dyDescent="0.25">
      <c r="A626" s="8">
        <v>45622</v>
      </c>
      <c r="B626">
        <v>0</v>
      </c>
      <c r="C626">
        <v>30</v>
      </c>
      <c r="D626">
        <v>20</v>
      </c>
      <c r="E626">
        <v>5</v>
      </c>
      <c r="F626">
        <f t="shared" si="139"/>
        <v>55</v>
      </c>
      <c r="G626">
        <f t="shared" si="140"/>
        <v>0</v>
      </c>
      <c r="H626">
        <f t="shared" si="141"/>
        <v>150</v>
      </c>
      <c r="I626">
        <f t="shared" si="142"/>
        <v>180</v>
      </c>
      <c r="J626">
        <f t="shared" si="143"/>
        <v>80</v>
      </c>
      <c r="K626">
        <f t="shared" si="144"/>
        <v>410</v>
      </c>
      <c r="L626">
        <f>G626*Return!B626*100</f>
        <v>0</v>
      </c>
      <c r="M626">
        <f>H626*Return!C626*100</f>
        <v>142.50000000000097</v>
      </c>
      <c r="N626">
        <f>I626*Return!D626*100</f>
        <v>270.00000000000222</v>
      </c>
      <c r="O626">
        <f>J626*Return!E626*100</f>
        <v>192.00000000000017</v>
      </c>
      <c r="P626">
        <f t="shared" si="145"/>
        <v>604.50000000000341</v>
      </c>
      <c r="Q626">
        <f>SUM($P$400:P626)</f>
        <v>28133.78000000001</v>
      </c>
      <c r="R626">
        <f>B626*中国_中债国债到期收益率_1年!B625/365*100</f>
        <v>0</v>
      </c>
      <c r="S626">
        <f>C626*中国_中债国债到期收益率_1年!C625/365*100</f>
        <v>13.919999999999998</v>
      </c>
      <c r="T626">
        <f>D626*中国_中债国债到期收益率_1年!D625/365*100</f>
        <v>11.332602739726029</v>
      </c>
      <c r="U626">
        <f>E626*中国_中债国债到期收益率_1年!E625/365*100</f>
        <v>3.06986301369863</v>
      </c>
      <c r="V626">
        <f t="shared" si="146"/>
        <v>28.322465753424659</v>
      </c>
      <c r="W626">
        <f>SUM($V$400:V626)</f>
        <v>7107.678547945201</v>
      </c>
      <c r="X626">
        <f>MAX(F626-50,0)*中国_中债国债到期收益率_1年!H626*100/365</f>
        <v>2.506849315068493</v>
      </c>
      <c r="Y626">
        <f>SUM($X$400:X626)</f>
        <v>682.81917808219157</v>
      </c>
      <c r="Z626">
        <v>-50</v>
      </c>
      <c r="AA626">
        <v>50</v>
      </c>
      <c r="AB626">
        <f>Z626*Return!F630*100</f>
        <v>-151.99999999999991</v>
      </c>
      <c r="AC626">
        <f>AA626*Return!G630*100</f>
        <v>117.50000000000038</v>
      </c>
      <c r="AD626">
        <f>SUM($AB$400:AB626)+SUM($AC$400:AC626)</f>
        <v>3875.200000000013</v>
      </c>
      <c r="AE626">
        <f t="shared" si="147"/>
        <v>38433.839369863024</v>
      </c>
      <c r="AF626">
        <f t="shared" si="148"/>
        <v>1.076867678739726</v>
      </c>
      <c r="AG626" s="4">
        <f>(AE626-AE625)/(500000+AE625)-中国_中债国债到期收益率_1年!H626%/252</f>
        <v>1.0351784492561641E-3</v>
      </c>
      <c r="AH626" s="4">
        <f>MIN((AF626-MAX($AF$401:AF626))/MAX($AF$401:AF626),0)</f>
        <v>0</v>
      </c>
    </row>
    <row r="627" spans="1:34" x14ac:dyDescent="0.25">
      <c r="A627" s="8">
        <v>45623</v>
      </c>
      <c r="B627">
        <v>0</v>
      </c>
      <c r="C627">
        <v>30</v>
      </c>
      <c r="D627">
        <v>20</v>
      </c>
      <c r="E627">
        <v>5</v>
      </c>
      <c r="F627">
        <f t="shared" si="139"/>
        <v>55</v>
      </c>
      <c r="G627">
        <f t="shared" si="140"/>
        <v>0</v>
      </c>
      <c r="H627">
        <f t="shared" si="141"/>
        <v>150</v>
      </c>
      <c r="I627">
        <f t="shared" si="142"/>
        <v>180</v>
      </c>
      <c r="J627">
        <f t="shared" si="143"/>
        <v>80</v>
      </c>
      <c r="K627">
        <f t="shared" si="144"/>
        <v>410</v>
      </c>
      <c r="L627">
        <f>G627*Return!B627*100</f>
        <v>0</v>
      </c>
      <c r="M627">
        <f>H627*Return!C627*100</f>
        <v>-78.000000000001407</v>
      </c>
      <c r="N627">
        <f>I627*Return!D627*100</f>
        <v>44.999999999999041</v>
      </c>
      <c r="O627">
        <f>J627*Return!E627*100</f>
        <v>-32.000000000000028</v>
      </c>
      <c r="P627">
        <f t="shared" si="145"/>
        <v>-65.000000000002387</v>
      </c>
      <c r="Q627">
        <f>SUM($P$400:P627)</f>
        <v>28068.780000000006</v>
      </c>
      <c r="R627">
        <f>B627*中国_中债国债到期收益率_1年!B626/365*100</f>
        <v>0</v>
      </c>
      <c r="S627">
        <f>C627*中国_中债国债到期收益率_1年!C626/365*100</f>
        <v>13.962739726027399</v>
      </c>
      <c r="T627">
        <f>D627*中国_中债国债到期收益率_1年!D626/365*100</f>
        <v>11.318904109589042</v>
      </c>
      <c r="U627">
        <f>E627*中国_中债国债到期收益率_1年!E626/365*100</f>
        <v>3.0753424657534252</v>
      </c>
      <c r="V627">
        <f t="shared" si="146"/>
        <v>28.356986301369869</v>
      </c>
      <c r="W627">
        <f>SUM($V$400:V627)</f>
        <v>7136.0355342465709</v>
      </c>
      <c r="X627">
        <f>MAX(F627-50,0)*中国_中债国债到期收益率_1年!H627*100/365</f>
        <v>2.4657534246575343</v>
      </c>
      <c r="Y627">
        <f>SUM($X$400:X627)</f>
        <v>685.28493150684915</v>
      </c>
      <c r="Z627">
        <v>-50</v>
      </c>
      <c r="AA627">
        <v>50</v>
      </c>
      <c r="AB627">
        <f>Z627*Return!F631*100</f>
        <v>-324.99999999999972</v>
      </c>
      <c r="AC627">
        <f>AA627*Return!G631*100</f>
        <v>238.50000000000037</v>
      </c>
      <c r="AD627">
        <f>SUM($AB$400:AB627)+SUM($AC$400:AC627)</f>
        <v>3788.7000000000135</v>
      </c>
      <c r="AE627">
        <f t="shared" si="147"/>
        <v>38308.230602739735</v>
      </c>
      <c r="AF627">
        <f t="shared" si="148"/>
        <v>1.0766164612054794</v>
      </c>
      <c r="AG627" s="4">
        <f>(AE627-AE626)/(500000+AE626)-中国_中债国债到期收益率_1年!H627%/252</f>
        <v>-3.0471399656138026E-4</v>
      </c>
      <c r="AH627" s="4">
        <f>MIN((AF627-MAX($AF$401:AF627))/MAX($AF$401:AF627),0)</f>
        <v>-2.3328542513284526E-4</v>
      </c>
    </row>
    <row r="628" spans="1:34" x14ac:dyDescent="0.25">
      <c r="A628" s="8">
        <v>45624</v>
      </c>
      <c r="B628">
        <v>0</v>
      </c>
      <c r="C628">
        <v>30</v>
      </c>
      <c r="D628">
        <v>20</v>
      </c>
      <c r="E628">
        <v>5</v>
      </c>
      <c r="F628">
        <f t="shared" si="139"/>
        <v>55</v>
      </c>
      <c r="G628">
        <f t="shared" si="140"/>
        <v>0</v>
      </c>
      <c r="H628">
        <f t="shared" si="141"/>
        <v>150</v>
      </c>
      <c r="I628">
        <f t="shared" si="142"/>
        <v>180</v>
      </c>
      <c r="J628">
        <f t="shared" si="143"/>
        <v>80</v>
      </c>
      <c r="K628">
        <f t="shared" si="144"/>
        <v>410</v>
      </c>
      <c r="L628">
        <f>G628*Return!B628*100</f>
        <v>0</v>
      </c>
      <c r="M628">
        <f>H628*Return!C628*100</f>
        <v>-49.499999999997883</v>
      </c>
      <c r="N628">
        <f>I628*Return!D628*100</f>
        <v>187.20000000000337</v>
      </c>
      <c r="O628">
        <f>J628*Return!E628*100</f>
        <v>-39.999999999999147</v>
      </c>
      <c r="P628">
        <f t="shared" si="145"/>
        <v>97.700000000006355</v>
      </c>
      <c r="Q628">
        <f>SUM($P$400:P628)</f>
        <v>28166.480000000014</v>
      </c>
      <c r="R628">
        <f>B628*中国_中债国债到期收益率_1年!B627/365*100</f>
        <v>0</v>
      </c>
      <c r="S628">
        <f>C628*中国_中债国债到期收益率_1年!C627/365*100</f>
        <v>13.989863013698628</v>
      </c>
      <c r="T628">
        <f>D628*中国_中债国债到期收益率_1年!D627/365*100</f>
        <v>11.261917808219177</v>
      </c>
      <c r="U628">
        <f>E628*中国_中债国债到期收益率_1年!E627/365*100</f>
        <v>3.0821917808219177</v>
      </c>
      <c r="V628">
        <f t="shared" si="146"/>
        <v>28.333972602739724</v>
      </c>
      <c r="W628">
        <f>SUM($V$400:V628)</f>
        <v>7164.3695068493107</v>
      </c>
      <c r="X628">
        <f>MAX(F628-50,0)*中国_中债国债到期收益率_1年!H628*100/365</f>
        <v>2.493150684931507</v>
      </c>
      <c r="Y628">
        <f>SUM($X$400:X628)</f>
        <v>687.77808219178064</v>
      </c>
      <c r="Z628">
        <v>-50</v>
      </c>
      <c r="AA628">
        <v>50</v>
      </c>
      <c r="AB628">
        <f>Z628*Return!F632*100</f>
        <v>33.499999999999645</v>
      </c>
      <c r="AC628">
        <f>AA628*Return!G632*100</f>
        <v>-39.000000000000142</v>
      </c>
      <c r="AD628">
        <f>SUM($AB$400:AB628)+SUM($AC$400:AC628)</f>
        <v>3783.200000000013</v>
      </c>
      <c r="AE628">
        <f t="shared" si="147"/>
        <v>38426.271424657549</v>
      </c>
      <c r="AF628">
        <f t="shared" si="148"/>
        <v>1.0768525428493152</v>
      </c>
      <c r="AG628" s="4">
        <f>(AE628-AE627)/(500000+AE627)-中国_中债国债到期收益率_1年!H628%/252</f>
        <v>1.4705887958378958E-4</v>
      </c>
      <c r="AH628" s="4">
        <f>MIN((AF628-MAX($AF$401:AF628))/MAX($AF$401:AF628),0)</f>
        <v>-1.4055478411715222E-5</v>
      </c>
    </row>
    <row r="629" spans="1:34" x14ac:dyDescent="0.25">
      <c r="A629" s="8">
        <v>45625</v>
      </c>
      <c r="B629">
        <v>0</v>
      </c>
      <c r="C629">
        <v>30</v>
      </c>
      <c r="D629">
        <v>20</v>
      </c>
      <c r="E629">
        <v>5</v>
      </c>
      <c r="F629">
        <f t="shared" si="139"/>
        <v>55</v>
      </c>
      <c r="G629">
        <f t="shared" si="140"/>
        <v>0</v>
      </c>
      <c r="H629">
        <f t="shared" si="141"/>
        <v>150</v>
      </c>
      <c r="I629">
        <f t="shared" si="142"/>
        <v>180</v>
      </c>
      <c r="J629">
        <f t="shared" si="143"/>
        <v>80</v>
      </c>
      <c r="K629">
        <f t="shared" si="144"/>
        <v>410</v>
      </c>
      <c r="L629">
        <f>G629*Return!B629*100</f>
        <v>0</v>
      </c>
      <c r="M629">
        <f>H629*Return!C629*100</f>
        <v>268.5000000000004</v>
      </c>
      <c r="N629">
        <f>I629*Return!D629*100</f>
        <v>448.19999999999459</v>
      </c>
      <c r="O629">
        <f>J629*Return!E629*100</f>
        <v>256.00000000000023</v>
      </c>
      <c r="P629">
        <f t="shared" si="145"/>
        <v>972.69999999999527</v>
      </c>
      <c r="Q629">
        <f>SUM($P$400:P629)</f>
        <v>29139.180000000008</v>
      </c>
      <c r="R629">
        <f>B629*中国_中债国债到期收益率_1年!B628/365*100</f>
        <v>0</v>
      </c>
      <c r="S629">
        <f>C629*中国_中债国债到期收益率_1年!C628/365*100</f>
        <v>13.842739726027395</v>
      </c>
      <c r="T629">
        <f>D629*中国_中债国债到期收益率_1年!D628/365*100</f>
        <v>11.125479452054796</v>
      </c>
      <c r="U629">
        <f>E629*中国_中债国债到期收益率_1年!E628/365*100</f>
        <v>3.0383561643835617</v>
      </c>
      <c r="V629">
        <f t="shared" si="146"/>
        <v>28.006575342465752</v>
      </c>
      <c r="W629">
        <f>SUM($V$400:V629)</f>
        <v>7192.3760821917767</v>
      </c>
      <c r="X629">
        <f>MAX(F629-50,0)*中国_中债国债到期收益率_1年!H629*100/365</f>
        <v>2.4657534246575343</v>
      </c>
      <c r="Y629">
        <f>SUM($X$400:X629)</f>
        <v>690.24383561643822</v>
      </c>
      <c r="Z629">
        <v>-50</v>
      </c>
      <c r="AA629">
        <v>50</v>
      </c>
      <c r="AB629">
        <f>Z629*Return!F633*100</f>
        <v>30.000000000000028</v>
      </c>
      <c r="AC629">
        <f>AA629*Return!G633*100</f>
        <v>57.499999999999218</v>
      </c>
      <c r="AD629">
        <f>SUM($AB$400:AB629)+SUM($AC$400:AC629)</f>
        <v>3870.7000000000121</v>
      </c>
      <c r="AE629">
        <f t="shared" si="147"/>
        <v>39512.012246575359</v>
      </c>
      <c r="AF629">
        <f t="shared" si="148"/>
        <v>1.0790240244931506</v>
      </c>
      <c r="AG629" s="4">
        <f>(AE629-AE628)/(500000+AE628)-中国_中债国债到期收益率_1年!H629%/252</f>
        <v>1.9450793137549976E-3</v>
      </c>
      <c r="AH629" s="4">
        <f>MIN((AF629-MAX($AF$401:AF629))/MAX($AF$401:AF629),0)</f>
        <v>0</v>
      </c>
    </row>
    <row r="630" spans="1:34" x14ac:dyDescent="0.25">
      <c r="A630" s="8">
        <v>45628</v>
      </c>
      <c r="B630">
        <v>0</v>
      </c>
      <c r="C630">
        <v>30</v>
      </c>
      <c r="D630">
        <v>20</v>
      </c>
      <c r="E630">
        <v>5</v>
      </c>
      <c r="F630">
        <f t="shared" si="139"/>
        <v>55</v>
      </c>
      <c r="G630">
        <f t="shared" si="140"/>
        <v>0</v>
      </c>
      <c r="H630">
        <f t="shared" si="141"/>
        <v>150</v>
      </c>
      <c r="I630">
        <f t="shared" si="142"/>
        <v>180</v>
      </c>
      <c r="J630">
        <f t="shared" si="143"/>
        <v>80</v>
      </c>
      <c r="K630">
        <f t="shared" si="144"/>
        <v>410</v>
      </c>
      <c r="L630">
        <f>G630*Return!B630*100</f>
        <v>0</v>
      </c>
      <c r="M630">
        <f>H630*Return!C630*100</f>
        <v>365.99999999999966</v>
      </c>
      <c r="N630">
        <f>I630*Return!D630*100</f>
        <v>176.40000000000455</v>
      </c>
      <c r="O630">
        <f>J630*Return!E630*100</f>
        <v>123.99999999999878</v>
      </c>
      <c r="P630">
        <f t="shared" si="145"/>
        <v>666.40000000000293</v>
      </c>
      <c r="Q630">
        <f>SUM($P$400:P630)</f>
        <v>29805.580000000009</v>
      </c>
      <c r="R630">
        <f>B630*中国_中债国债到期收益率_1年!B629/365*100</f>
        <v>0</v>
      </c>
      <c r="S630">
        <f>C630*中国_中债国债到期收益率_1年!C629/365*100</f>
        <v>13.642191780821916</v>
      </c>
      <c r="T630">
        <f>D630*中国_中债国债到期收益率_1年!D629/365*100</f>
        <v>11.071780821917807</v>
      </c>
      <c r="U630">
        <f>E630*中国_中债国债到期收益率_1年!E629/365*100</f>
        <v>3.0171232876712328</v>
      </c>
      <c r="V630">
        <f t="shared" si="146"/>
        <v>27.731095890410955</v>
      </c>
      <c r="W630">
        <f>SUM($V$400:V630)</f>
        <v>7220.1071780821876</v>
      </c>
      <c r="X630">
        <f>MAX(F630-50,0)*中国_中债国债到期收益率_1年!H630*100/365</f>
        <v>2.3698630136986303</v>
      </c>
      <c r="Y630">
        <f>SUM($X$400:X630)</f>
        <v>692.61369863013681</v>
      </c>
      <c r="Z630">
        <v>-50</v>
      </c>
      <c r="AA630">
        <v>50</v>
      </c>
      <c r="AB630">
        <f>Z630*Return!F634*100</f>
        <v>91.499999999999915</v>
      </c>
      <c r="AC630">
        <f>AA630*Return!G634*100</f>
        <v>-36.999999999999254</v>
      </c>
      <c r="AD630">
        <f>SUM($AB$400:AB630)+SUM($AC$400:AC630)</f>
        <v>3925.200000000013</v>
      </c>
      <c r="AE630">
        <f t="shared" si="147"/>
        <v>40258.273479452073</v>
      </c>
      <c r="AF630">
        <f t="shared" si="148"/>
        <v>1.0805165469589042</v>
      </c>
      <c r="AG630" s="4">
        <f>(AE630-AE629)/(500000+AE629)-中国_中债国债到期收益率_1年!H630%/252</f>
        <v>1.3145644377751322E-3</v>
      </c>
      <c r="AH630" s="4">
        <f>MIN((AF630-MAX($AF$401:AF630))/MAX($AF$401:AF630),0)</f>
        <v>0</v>
      </c>
    </row>
    <row r="631" spans="1:34" x14ac:dyDescent="0.25">
      <c r="A631" s="8">
        <v>45629</v>
      </c>
      <c r="B631">
        <v>0</v>
      </c>
      <c r="C631">
        <v>30</v>
      </c>
      <c r="D631">
        <v>20</v>
      </c>
      <c r="E631">
        <v>5</v>
      </c>
      <c r="F631">
        <f t="shared" si="139"/>
        <v>55</v>
      </c>
      <c r="G631">
        <f t="shared" si="140"/>
        <v>0</v>
      </c>
      <c r="H631">
        <f t="shared" si="141"/>
        <v>150</v>
      </c>
      <c r="I631">
        <f t="shared" si="142"/>
        <v>180</v>
      </c>
      <c r="J631">
        <f t="shared" si="143"/>
        <v>80</v>
      </c>
      <c r="K631">
        <f t="shared" si="144"/>
        <v>410</v>
      </c>
      <c r="L631">
        <f>G631*Return!B631*100</f>
        <v>0</v>
      </c>
      <c r="M631">
        <f>H631*Return!C631*100</f>
        <v>671.99999999999932</v>
      </c>
      <c r="N631">
        <f>I631*Return!D631*100</f>
        <v>712.79999999999745</v>
      </c>
      <c r="O631">
        <f>J631*Return!E631*100</f>
        <v>260.00000000000159</v>
      </c>
      <c r="P631">
        <f t="shared" si="145"/>
        <v>1644.7999999999984</v>
      </c>
      <c r="Q631">
        <f>SUM($P$400:P631)</f>
        <v>31450.380000000008</v>
      </c>
      <c r="R631">
        <f>B631*中国_中债国债到期收益率_1年!B630/365*100</f>
        <v>0</v>
      </c>
      <c r="S631">
        <f>C631*中国_中债国债到期收益率_1年!C630/365*100</f>
        <v>13.273972602739729</v>
      </c>
      <c r="T631">
        <f>D631*中国_中债国债到期收益率_1年!D630/365*100</f>
        <v>10.854794520547946</v>
      </c>
      <c r="U631">
        <f>E631*中国_中债国债到期收益率_1年!E630/365*100</f>
        <v>2.9726027397260273</v>
      </c>
      <c r="V631">
        <f t="shared" si="146"/>
        <v>27.101369863013701</v>
      </c>
      <c r="W631">
        <f>SUM($V$400:V631)</f>
        <v>7247.2085479452016</v>
      </c>
      <c r="X631">
        <f>MAX(F631-50,0)*中国_中债国债到期收益率_1年!H631*100/365</f>
        <v>2.3972602739726026</v>
      </c>
      <c r="Y631">
        <f>SUM($X$400:X631)</f>
        <v>695.01095890410943</v>
      </c>
      <c r="Z631">
        <v>-50</v>
      </c>
      <c r="AA631">
        <v>50</v>
      </c>
      <c r="AB631">
        <f>Z631*Return!F635*100</f>
        <v>42.999999999999702</v>
      </c>
      <c r="AC631">
        <f>AA631*Return!G635*100</f>
        <v>-35.000000000000583</v>
      </c>
      <c r="AD631">
        <f>SUM($AB$400:AB631)+SUM($AC$400:AC631)</f>
        <v>3933.2000000000116</v>
      </c>
      <c r="AE631">
        <f t="shared" si="147"/>
        <v>41935.777589041114</v>
      </c>
      <c r="AF631">
        <f t="shared" si="148"/>
        <v>1.0838715551780822</v>
      </c>
      <c r="AG631" s="4">
        <f>(AE631-AE630)/(500000+AE630)-中国_中债国债到期收益率_1年!H631%/252</f>
        <v>3.0355595729588025E-3</v>
      </c>
      <c r="AH631" s="4">
        <f>MIN((AF631-MAX($AF$401:AF631))/MAX($AF$401:AF631),0)</f>
        <v>0</v>
      </c>
    </row>
    <row r="632" spans="1:34" x14ac:dyDescent="0.25">
      <c r="A632" s="8">
        <v>45630</v>
      </c>
      <c r="B632">
        <v>0</v>
      </c>
      <c r="C632">
        <v>30</v>
      </c>
      <c r="D632">
        <v>20</v>
      </c>
      <c r="E632">
        <v>5</v>
      </c>
      <c r="F632">
        <f t="shared" si="139"/>
        <v>55</v>
      </c>
      <c r="G632">
        <f t="shared" si="140"/>
        <v>0</v>
      </c>
      <c r="H632">
        <f t="shared" si="141"/>
        <v>150</v>
      </c>
      <c r="I632">
        <f t="shared" si="142"/>
        <v>180</v>
      </c>
      <c r="J632">
        <f t="shared" si="143"/>
        <v>80</v>
      </c>
      <c r="K632">
        <f t="shared" si="144"/>
        <v>410</v>
      </c>
      <c r="L632">
        <f>G632*Return!B632*100</f>
        <v>0</v>
      </c>
      <c r="M632">
        <f>H632*Return!C632*100</f>
        <v>-160.49999999999898</v>
      </c>
      <c r="N632">
        <f>I632*Return!D632*100</f>
        <v>-136.79999999999691</v>
      </c>
      <c r="O632">
        <f>J632*Return!E632*100</f>
        <v>19.999999999999574</v>
      </c>
      <c r="P632">
        <f t="shared" si="145"/>
        <v>-277.29999999999632</v>
      </c>
      <c r="Q632">
        <f>SUM($P$400:P632)</f>
        <v>31173.080000000013</v>
      </c>
      <c r="R632">
        <f>B632*中国_中债国债到期收益率_1年!B631/365*100</f>
        <v>0</v>
      </c>
      <c r="S632">
        <f>C632*中国_中债国债到期收益率_1年!C631/365*100</f>
        <v>13.361917808219179</v>
      </c>
      <c r="T632">
        <f>D632*中国_中债国债到期收益率_1年!D631/365*100</f>
        <v>10.896438356164383</v>
      </c>
      <c r="U632">
        <f>E632*中国_中债国债到期收益率_1年!E631/365*100</f>
        <v>2.9691780821917808</v>
      </c>
      <c r="V632">
        <f t="shared" si="146"/>
        <v>27.227534246575345</v>
      </c>
      <c r="W632">
        <f>SUM($V$400:V632)</f>
        <v>7274.4360821917771</v>
      </c>
      <c r="X632">
        <f>MAX(F632-50,0)*中国_中债国债到期收益率_1年!H632*100/365</f>
        <v>2.4520547945205475</v>
      </c>
      <c r="Y632">
        <f>SUM($X$400:X632)</f>
        <v>697.46301369862999</v>
      </c>
      <c r="Z632">
        <v>-50</v>
      </c>
      <c r="AA632">
        <v>50</v>
      </c>
      <c r="AB632">
        <f>Z632*Return!F636*100</f>
        <v>-81.999999999999858</v>
      </c>
      <c r="AC632">
        <f>AA632*Return!G636*100</f>
        <v>51.999999999999822</v>
      </c>
      <c r="AD632">
        <f>SUM($AB$400:AB632)+SUM($AC$400:AC632)</f>
        <v>3903.2000000000116</v>
      </c>
      <c r="AE632">
        <f t="shared" si="147"/>
        <v>41653.25306849317</v>
      </c>
      <c r="AF632">
        <f t="shared" si="148"/>
        <v>1.0833065061369864</v>
      </c>
      <c r="AG632" s="4">
        <f>(AE632-AE631)/(500000+AE631)-中国_中债国债到期收益率_1年!H632%/252</f>
        <v>-5.9235647163823134E-4</v>
      </c>
      <c r="AH632" s="4">
        <f>MIN((AF632-MAX($AF$401:AF632))/MAX($AF$401:AF632),0)</f>
        <v>-5.2132472560638323E-4</v>
      </c>
    </row>
    <row r="633" spans="1:34" x14ac:dyDescent="0.25">
      <c r="A633" s="8">
        <v>45631</v>
      </c>
      <c r="B633">
        <v>0</v>
      </c>
      <c r="C633">
        <v>30</v>
      </c>
      <c r="D633">
        <v>20</v>
      </c>
      <c r="E633">
        <v>5</v>
      </c>
      <c r="F633">
        <f t="shared" si="139"/>
        <v>55</v>
      </c>
      <c r="G633">
        <f t="shared" si="140"/>
        <v>0</v>
      </c>
      <c r="H633">
        <f t="shared" si="141"/>
        <v>150</v>
      </c>
      <c r="I633">
        <f t="shared" si="142"/>
        <v>180</v>
      </c>
      <c r="J633">
        <f t="shared" si="143"/>
        <v>80</v>
      </c>
      <c r="K633">
        <f t="shared" si="144"/>
        <v>410</v>
      </c>
      <c r="L633">
        <f>G633*Return!B633*100</f>
        <v>0</v>
      </c>
      <c r="M633">
        <f>H633*Return!C633*100</f>
        <v>346.49999999999847</v>
      </c>
      <c r="N633">
        <f>I633*Return!D633*100</f>
        <v>493.19999999999766</v>
      </c>
      <c r="O633">
        <f>J633*Return!E633*100</f>
        <v>239.99999999999844</v>
      </c>
      <c r="P633">
        <f t="shared" si="145"/>
        <v>1079.6999999999946</v>
      </c>
      <c r="Q633">
        <f>SUM($P$400:P633)</f>
        <v>32252.780000000006</v>
      </c>
      <c r="R633">
        <f>B633*中国_中债国债到期收益率_1年!B632/365*100</f>
        <v>0</v>
      </c>
      <c r="S633">
        <f>C633*中国_中债国债到期收益率_1年!C632/365*100</f>
        <v>13.172054794520548</v>
      </c>
      <c r="T633">
        <f>D633*中国_中债国债到期收益率_1年!D632/365*100</f>
        <v>10.746301369863016</v>
      </c>
      <c r="U633">
        <f>E633*中国_中债国债到期收益率_1年!E632/365*100</f>
        <v>2.9280821917808222</v>
      </c>
      <c r="V633">
        <f t="shared" si="146"/>
        <v>26.846438356164384</v>
      </c>
      <c r="W633">
        <f>SUM($V$400:V633)</f>
        <v>7301.2825205479412</v>
      </c>
      <c r="X633">
        <f>MAX(F633-50,0)*中国_中债国债到期收益率_1年!H633*100/365</f>
        <v>2.493150684931507</v>
      </c>
      <c r="Y633">
        <f>SUM($X$400:X633)</f>
        <v>699.95616438356149</v>
      </c>
      <c r="Z633">
        <v>-50</v>
      </c>
      <c r="AA633">
        <v>50</v>
      </c>
      <c r="AB633">
        <f>Z633*Return!F637*100</f>
        <v>-309.0000000000004</v>
      </c>
      <c r="AC633">
        <f>AA633*Return!G637*100</f>
        <v>301.00000000000017</v>
      </c>
      <c r="AD633">
        <f>SUM($AB$400:AB633)+SUM($AC$400:AC633)</f>
        <v>3895.2000000000112</v>
      </c>
      <c r="AE633">
        <f t="shared" si="147"/>
        <v>42749.306356164394</v>
      </c>
      <c r="AF633">
        <f t="shared" si="148"/>
        <v>1.0854986127123287</v>
      </c>
      <c r="AG633" s="4">
        <f>(AE633-AE632)/(500000+AE632)-中国_中债国债到期收益率_1年!H633%/252</f>
        <v>1.9513108802968276E-3</v>
      </c>
      <c r="AH633" s="4">
        <f>MIN((AF633-MAX($AF$401:AF633))/MAX($AF$401:AF633),0)</f>
        <v>0</v>
      </c>
    </row>
    <row r="634" spans="1:34" x14ac:dyDescent="0.25">
      <c r="A634" s="8">
        <v>45632</v>
      </c>
      <c r="B634">
        <v>0</v>
      </c>
      <c r="C634">
        <v>30</v>
      </c>
      <c r="D634">
        <v>20</v>
      </c>
      <c r="E634">
        <v>5</v>
      </c>
      <c r="F634">
        <f t="shared" si="139"/>
        <v>55</v>
      </c>
      <c r="G634">
        <f t="shared" si="140"/>
        <v>0</v>
      </c>
      <c r="H634">
        <f t="shared" si="141"/>
        <v>150</v>
      </c>
      <c r="I634">
        <f t="shared" si="142"/>
        <v>180</v>
      </c>
      <c r="J634">
        <f t="shared" si="143"/>
        <v>80</v>
      </c>
      <c r="K634">
        <f t="shared" si="144"/>
        <v>410</v>
      </c>
      <c r="L634">
        <f>G634*Return!B634*100</f>
        <v>0</v>
      </c>
      <c r="M634">
        <f>H634*Return!C634*100</f>
        <v>-90.000000000000085</v>
      </c>
      <c r="N634">
        <f>I634*Return!D634*100</f>
        <v>270.00000000000222</v>
      </c>
      <c r="O634">
        <f>J634*Return!E634*100</f>
        <v>-39.999999999999147</v>
      </c>
      <c r="P634">
        <f t="shared" si="145"/>
        <v>140.00000000000298</v>
      </c>
      <c r="Q634">
        <f>SUM($P$400:P634)</f>
        <v>32392.78000000001</v>
      </c>
      <c r="R634">
        <f>B634*中国_中债国债到期收益率_1年!B633/365*100</f>
        <v>0</v>
      </c>
      <c r="S634">
        <f>C634*中国_中债国债到期收益率_1年!C633/365*100</f>
        <v>13.221369863013699</v>
      </c>
      <c r="T634">
        <f>D634*中国_中债国债到期收益率_1年!D633/365*100</f>
        <v>10.664109589041097</v>
      </c>
      <c r="U634">
        <f>E634*中国_中债国债到期收益率_1年!E633/365*100</f>
        <v>2.9349315068493151</v>
      </c>
      <c r="V634">
        <f t="shared" si="146"/>
        <v>26.820410958904112</v>
      </c>
      <c r="W634">
        <f>SUM($V$400:V634)</f>
        <v>7328.1029315068454</v>
      </c>
      <c r="X634">
        <f>MAX(F634-50,0)*中国_中债国债到期收益率_1年!H634*100/365</f>
        <v>2.5342465753424657</v>
      </c>
      <c r="Y634">
        <f>SUM($X$400:X634)</f>
        <v>702.49041095890391</v>
      </c>
      <c r="Z634">
        <v>-50</v>
      </c>
      <c r="AA634">
        <v>50</v>
      </c>
      <c r="AB634">
        <f>Z634*Return!F638*100</f>
        <v>72.000000000000952</v>
      </c>
      <c r="AC634">
        <f>AA634*Return!G638*100</f>
        <v>-53.999999999999602</v>
      </c>
      <c r="AD634">
        <f>SUM($AB$400:AB634)+SUM($AC$400:AC634)</f>
        <v>3913.2000000000121</v>
      </c>
      <c r="AE634">
        <f t="shared" si="147"/>
        <v>42931.592520547965</v>
      </c>
      <c r="AF634">
        <f t="shared" si="148"/>
        <v>1.085863185041096</v>
      </c>
      <c r="AG634" s="4">
        <f>(AE634-AE633)/(500000+AE633)-中国_中债国债到期收益率_1年!H634%/252</f>
        <v>2.6244432111511835E-4</v>
      </c>
      <c r="AH634" s="4">
        <f>MIN((AF634-MAX($AF$401:AF634))/MAX($AF$401:AF634),0)</f>
        <v>0</v>
      </c>
    </row>
    <row r="635" spans="1:34" x14ac:dyDescent="0.25">
      <c r="A635" s="8">
        <v>45635</v>
      </c>
      <c r="B635">
        <v>0</v>
      </c>
      <c r="C635">
        <v>30</v>
      </c>
      <c r="D635">
        <v>20</v>
      </c>
      <c r="E635">
        <v>5</v>
      </c>
      <c r="F635">
        <f t="shared" si="139"/>
        <v>55</v>
      </c>
      <c r="G635">
        <f t="shared" si="140"/>
        <v>0</v>
      </c>
      <c r="H635">
        <f t="shared" si="141"/>
        <v>150</v>
      </c>
      <c r="I635">
        <f t="shared" si="142"/>
        <v>180</v>
      </c>
      <c r="J635">
        <f t="shared" si="143"/>
        <v>80</v>
      </c>
      <c r="K635">
        <f t="shared" si="144"/>
        <v>410</v>
      </c>
      <c r="L635">
        <f>G635*Return!B635*100</f>
        <v>0</v>
      </c>
      <c r="M635">
        <f>H635*Return!C635*100</f>
        <v>-37.499999999999204</v>
      </c>
      <c r="N635">
        <f>I635*Return!D635*100</f>
        <v>-138.60000000000073</v>
      </c>
      <c r="O635">
        <f>J635*Return!E635*100</f>
        <v>-128.00000000000011</v>
      </c>
      <c r="P635">
        <f t="shared" si="145"/>
        <v>-304.10000000000002</v>
      </c>
      <c r="Q635">
        <f>SUM($P$400:P635)</f>
        <v>32088.680000000011</v>
      </c>
      <c r="R635">
        <f>B635*中国_中债国债到期收益率_1年!B634/365*100</f>
        <v>0</v>
      </c>
      <c r="S635">
        <f>C635*中国_中债国债到期收益率_1年!C634/365*100</f>
        <v>13.241917808219178</v>
      </c>
      <c r="T635">
        <f>D635*中国_中债国债到期收益率_1年!D634/365*100</f>
        <v>10.706301369863013</v>
      </c>
      <c r="U635">
        <f>E635*中国_中债国债到期收益率_1年!E634/365*100</f>
        <v>2.9568493150684931</v>
      </c>
      <c r="V635">
        <f t="shared" si="146"/>
        <v>26.905068493150683</v>
      </c>
      <c r="W635">
        <f>SUM($V$400:V635)</f>
        <v>7355.0079999999962</v>
      </c>
      <c r="X635">
        <f>MAX(F635-50,0)*中国_中债国债到期收益率_1年!H635*100/365</f>
        <v>2.5753424657534243</v>
      </c>
      <c r="Y635">
        <f>SUM($X$400:X635)</f>
        <v>705.06575342465737</v>
      </c>
      <c r="Z635">
        <v>-50</v>
      </c>
      <c r="AA635">
        <v>50</v>
      </c>
      <c r="AB635">
        <f>Z635*Return!F639*100</f>
        <v>-54.500000000000661</v>
      </c>
      <c r="AC635">
        <f>AA635*Return!G639*100</f>
        <v>83.999999999999631</v>
      </c>
      <c r="AD635">
        <f>SUM($AB$400:AB635)+SUM($AC$400:AC635)</f>
        <v>3942.7000000000116</v>
      </c>
      <c r="AE635">
        <f t="shared" si="147"/>
        <v>42681.322246575364</v>
      </c>
      <c r="AF635">
        <f t="shared" si="148"/>
        <v>1.0853626444931508</v>
      </c>
      <c r="AG635" s="4">
        <f>(AE635-AE634)/(500000+AE634)-中国_中债国债到期收益率_1年!H635%/252</f>
        <v>-5.355641454148505E-4</v>
      </c>
      <c r="AH635" s="4">
        <f>MIN((AF635-MAX($AF$401:AF635))/MAX($AF$401:AF635),0)</f>
        <v>-4.6096097081170946E-4</v>
      </c>
    </row>
    <row r="636" spans="1:34" x14ac:dyDescent="0.25">
      <c r="A636" s="8">
        <v>45636</v>
      </c>
      <c r="B636">
        <v>0</v>
      </c>
      <c r="C636">
        <v>30</v>
      </c>
      <c r="D636">
        <v>20</v>
      </c>
      <c r="E636">
        <v>5</v>
      </c>
      <c r="F636">
        <f t="shared" si="139"/>
        <v>55</v>
      </c>
      <c r="G636">
        <f t="shared" si="140"/>
        <v>0</v>
      </c>
      <c r="H636">
        <f t="shared" si="141"/>
        <v>150</v>
      </c>
      <c r="I636">
        <f t="shared" si="142"/>
        <v>180</v>
      </c>
      <c r="J636">
        <f t="shared" si="143"/>
        <v>80</v>
      </c>
      <c r="K636">
        <f t="shared" si="144"/>
        <v>410</v>
      </c>
      <c r="L636">
        <f>G636*Return!B636*100</f>
        <v>0</v>
      </c>
      <c r="M636">
        <f>H636*Return!C636*100</f>
        <v>391.50000000000017</v>
      </c>
      <c r="N636">
        <f>I636*Return!D636*100</f>
        <v>667.79999999999836</v>
      </c>
      <c r="O636">
        <f>J636*Return!E636*100</f>
        <v>347.20000000000084</v>
      </c>
      <c r="P636">
        <f t="shared" si="145"/>
        <v>1406.4999999999995</v>
      </c>
      <c r="Q636">
        <f>SUM($P$400:P636)</f>
        <v>33495.180000000008</v>
      </c>
      <c r="R636">
        <f>B636*中国_中债国债到期收益率_1年!B635/365*100</f>
        <v>0</v>
      </c>
      <c r="S636">
        <f>C636*中国_中债国债到期收益率_1年!C635/365*100</f>
        <v>13.02739726027397</v>
      </c>
      <c r="T636">
        <f>D636*中国_中债国债到期收益率_1年!D635/365*100</f>
        <v>10.503013698630138</v>
      </c>
      <c r="U636">
        <f>E636*中国_中债国债到期收益率_1年!E635/365*100</f>
        <v>2.8973972602739728</v>
      </c>
      <c r="V636">
        <f t="shared" si="146"/>
        <v>26.427808219178079</v>
      </c>
      <c r="W636">
        <f>SUM($V$400:V636)</f>
        <v>7381.4358082191739</v>
      </c>
      <c r="X636">
        <f>MAX(F636-50,0)*中国_中债国债到期收益率_1年!H636*100/365</f>
        <v>2.6438356164383561</v>
      </c>
      <c r="Y636">
        <f>SUM($X$400:X636)</f>
        <v>707.70958904109568</v>
      </c>
      <c r="Z636">
        <v>-50</v>
      </c>
      <c r="AA636">
        <v>50</v>
      </c>
      <c r="AB636">
        <f>Z636*Return!F640*100</f>
        <v>-244.49999999999972</v>
      </c>
      <c r="AC636">
        <f>AA636*Return!G640*100</f>
        <v>256.00000000000068</v>
      </c>
      <c r="AD636">
        <f>SUM($AB$400:AB636)+SUM($AC$400:AC636)</f>
        <v>3954.200000000013</v>
      </c>
      <c r="AE636">
        <f t="shared" si="147"/>
        <v>44123.106219178102</v>
      </c>
      <c r="AF636">
        <f t="shared" si="148"/>
        <v>1.0882462124383563</v>
      </c>
      <c r="AG636" s="4">
        <f>(AE636-AE635)/(500000+AE635)-中国_中债国债到期收益率_1年!H636%/252</f>
        <v>2.5801910202353198E-3</v>
      </c>
      <c r="AH636" s="4">
        <f>MIN((AF636-MAX($AF$401:AF636))/MAX($AF$401:AF636),0)</f>
        <v>0</v>
      </c>
    </row>
    <row r="637" spans="1:34" x14ac:dyDescent="0.25">
      <c r="A637" s="8">
        <v>45637</v>
      </c>
      <c r="B637">
        <v>0</v>
      </c>
      <c r="C637">
        <v>30</v>
      </c>
      <c r="D637">
        <v>20</v>
      </c>
      <c r="E637">
        <v>5</v>
      </c>
      <c r="F637">
        <f t="shared" si="139"/>
        <v>55</v>
      </c>
      <c r="G637">
        <f t="shared" si="140"/>
        <v>0</v>
      </c>
      <c r="H637">
        <f t="shared" si="141"/>
        <v>150</v>
      </c>
      <c r="I637">
        <f t="shared" si="142"/>
        <v>180</v>
      </c>
      <c r="J637">
        <f t="shared" si="143"/>
        <v>80</v>
      </c>
      <c r="K637">
        <f t="shared" si="144"/>
        <v>410</v>
      </c>
      <c r="L637">
        <f>G637*Return!B637*100</f>
        <v>0</v>
      </c>
      <c r="M637">
        <f>H637*Return!C637*100</f>
        <v>593.99999999999784</v>
      </c>
      <c r="N637">
        <f>I637*Return!D637*100</f>
        <v>1260.0000000000011</v>
      </c>
      <c r="O637">
        <f>J637*Return!E637*100</f>
        <v>480.00000000000045</v>
      </c>
      <c r="P637">
        <f t="shared" si="145"/>
        <v>2333.9999999999995</v>
      </c>
      <c r="Q637">
        <f>SUM($P$400:P637)</f>
        <v>35829.180000000008</v>
      </c>
      <c r="R637">
        <f>B637*中国_中债国债到期收益率_1年!B636/365*100</f>
        <v>0</v>
      </c>
      <c r="S637">
        <f>C637*中国_中债国债到期收益率_1年!C636/365*100</f>
        <v>12.701917808219179</v>
      </c>
      <c r="T637">
        <f>D637*中国_中债国债到期收益率_1年!D636/365*100</f>
        <v>10.11945205479452</v>
      </c>
      <c r="U637">
        <f>E637*中国_中债国债到期收益率_1年!E636/365*100</f>
        <v>2.8152054794520547</v>
      </c>
      <c r="V637">
        <f t="shared" si="146"/>
        <v>25.636575342465754</v>
      </c>
      <c r="W637">
        <f>SUM($V$400:V637)</f>
        <v>7407.07238356164</v>
      </c>
      <c r="X637">
        <f>MAX(F637-50,0)*中国_中债国债到期收益率_1年!H637*100/365</f>
        <v>2.5479452054794525</v>
      </c>
      <c r="Y637">
        <f>SUM($X$400:X637)</f>
        <v>710.25753424657512</v>
      </c>
      <c r="Z637">
        <v>-50</v>
      </c>
      <c r="AA637">
        <v>50</v>
      </c>
      <c r="AB637">
        <f>Z637*Return!F641*100</f>
        <v>100.99999999999997</v>
      </c>
      <c r="AC637">
        <f>AA637*Return!G641*100</f>
        <v>14.999999999999458</v>
      </c>
      <c r="AD637">
        <f>SUM($AB$400:AB637)+SUM($AC$400:AC637)</f>
        <v>4070.2000000000121</v>
      </c>
      <c r="AE637">
        <f t="shared" si="147"/>
        <v>46596.194849315085</v>
      </c>
      <c r="AF637">
        <f t="shared" si="148"/>
        <v>1.0931923896986302</v>
      </c>
      <c r="AG637" s="4">
        <f>(AE637-AE636)/(500000+AE636)-中国_中债国债到期收益率_1年!H637%/252</f>
        <v>4.4712807358582929E-3</v>
      </c>
      <c r="AH637" s="4">
        <f>MIN((AF637-MAX($AF$401:AF637))/MAX($AF$401:AF637),0)</f>
        <v>0</v>
      </c>
    </row>
    <row r="638" spans="1:34" x14ac:dyDescent="0.25">
      <c r="A638" s="8">
        <v>45638</v>
      </c>
      <c r="B638">
        <v>0</v>
      </c>
      <c r="C638">
        <v>30</v>
      </c>
      <c r="D638">
        <v>20</v>
      </c>
      <c r="E638">
        <v>5</v>
      </c>
      <c r="F638">
        <f t="shared" si="139"/>
        <v>55</v>
      </c>
      <c r="G638">
        <f t="shared" si="140"/>
        <v>0</v>
      </c>
      <c r="H638">
        <f t="shared" si="141"/>
        <v>150</v>
      </c>
      <c r="I638">
        <f t="shared" si="142"/>
        <v>180</v>
      </c>
      <c r="J638">
        <f t="shared" si="143"/>
        <v>80</v>
      </c>
      <c r="K638">
        <f t="shared" si="144"/>
        <v>410</v>
      </c>
      <c r="L638">
        <f>G638*Return!B638*100</f>
        <v>0</v>
      </c>
      <c r="M638">
        <f>H638*Return!C638*100</f>
        <v>231.00000000000119</v>
      </c>
      <c r="N638">
        <f>I638*Return!D638*100</f>
        <v>449.99999999999841</v>
      </c>
      <c r="O638">
        <f>J638*Return!E638*100</f>
        <v>120.00000000000099</v>
      </c>
      <c r="P638">
        <f t="shared" si="145"/>
        <v>801.00000000000057</v>
      </c>
      <c r="Q638">
        <f>SUM($P$400:P638)</f>
        <v>36630.180000000008</v>
      </c>
      <c r="R638">
        <f>B638*中国_中债国债到期收益率_1年!B637/365*100</f>
        <v>0</v>
      </c>
      <c r="S638">
        <f>C638*中国_中债国债到期收益率_1年!C637/365*100</f>
        <v>12.575342465753426</v>
      </c>
      <c r="T638">
        <f>D638*中国_中债国债到期收益率_1年!D637/365*100</f>
        <v>9.9824657534246573</v>
      </c>
      <c r="U638">
        <f>E638*中国_中债国债到期收益率_1年!E637/365*100</f>
        <v>2.7946575342465749</v>
      </c>
      <c r="V638">
        <f t="shared" si="146"/>
        <v>25.35246575342466</v>
      </c>
      <c r="W638">
        <f>SUM($V$400:V638)</f>
        <v>7432.4248493150644</v>
      </c>
      <c r="X638">
        <f>MAX(F638-50,0)*中国_中债国债到期收益率_1年!H638*100/365</f>
        <v>2.6712328767123288</v>
      </c>
      <c r="Y638">
        <f>SUM($X$400:X638)</f>
        <v>712.92876712328746</v>
      </c>
      <c r="Z638">
        <v>-50</v>
      </c>
      <c r="AA638">
        <v>50</v>
      </c>
      <c r="AB638">
        <f>Z638*Return!F642*100</f>
        <v>158.50000000000031</v>
      </c>
      <c r="AC638">
        <f>AA638*Return!G642*100</f>
        <v>-121.49999999999994</v>
      </c>
      <c r="AD638">
        <f>SUM($AB$400:AB638)+SUM($AC$400:AC638)</f>
        <v>4107.2000000000126</v>
      </c>
      <c r="AE638">
        <f t="shared" si="147"/>
        <v>47456.876082191797</v>
      </c>
      <c r="AF638">
        <f t="shared" si="148"/>
        <v>1.0949137521643837</v>
      </c>
      <c r="AG638" s="4">
        <f>(AE638-AE637)/(500000+AE637)-中国_中债国债到期收益率_1年!H638%/252</f>
        <v>1.4972389242063394E-3</v>
      </c>
      <c r="AH638" s="4">
        <f>MIN((AF638-MAX($AF$401:AF638))/MAX($AF$401:AF638),0)</f>
        <v>0</v>
      </c>
    </row>
    <row r="639" spans="1:34" x14ac:dyDescent="0.25">
      <c r="A639" s="8">
        <v>45639</v>
      </c>
      <c r="B639">
        <v>0</v>
      </c>
      <c r="C639">
        <v>30</v>
      </c>
      <c r="D639">
        <v>20</v>
      </c>
      <c r="E639">
        <v>5</v>
      </c>
      <c r="F639">
        <f t="shared" si="139"/>
        <v>55</v>
      </c>
      <c r="G639">
        <f t="shared" si="140"/>
        <v>0</v>
      </c>
      <c r="H639">
        <f t="shared" si="141"/>
        <v>150</v>
      </c>
      <c r="I639">
        <f t="shared" si="142"/>
        <v>180</v>
      </c>
      <c r="J639">
        <f t="shared" si="143"/>
        <v>80</v>
      </c>
      <c r="K639">
        <f t="shared" si="144"/>
        <v>410</v>
      </c>
      <c r="L639">
        <f>G639*Return!B639*100</f>
        <v>0</v>
      </c>
      <c r="M639">
        <f>H639*Return!C639*100</f>
        <v>684.00000000000125</v>
      </c>
      <c r="N639">
        <f>I639*Return!D639*100</f>
        <v>82.800000000002868</v>
      </c>
      <c r="O639">
        <f>J639*Return!E639*100</f>
        <v>-23.200000000002774</v>
      </c>
      <c r="P639">
        <f t="shared" si="145"/>
        <v>743.60000000000139</v>
      </c>
      <c r="Q639">
        <f>SUM($P$400:P639)</f>
        <v>37373.780000000006</v>
      </c>
      <c r="R639">
        <f>B639*中国_中债国债到期收益率_1年!B638/365*100</f>
        <v>0</v>
      </c>
      <c r="S639">
        <f>C639*中国_中债国债到期收益率_1年!C638/365*100</f>
        <v>12.200547945205479</v>
      </c>
      <c r="T639">
        <f>D639*中国_中债国债到期收益率_1年!D638/365*100</f>
        <v>9.9572602739726026</v>
      </c>
      <c r="U639">
        <f>E639*中国_中债国债到期收益率_1年!E638/365*100</f>
        <v>2.7986301369863011</v>
      </c>
      <c r="V639">
        <f t="shared" si="146"/>
        <v>24.95643835616438</v>
      </c>
      <c r="W639">
        <f>SUM($V$400:V639)</f>
        <v>7457.3812876712291</v>
      </c>
      <c r="X639">
        <f>MAX(F639-50,0)*中国_中债国债到期收益率_1年!H639*100/365</f>
        <v>2.6438356164383561</v>
      </c>
      <c r="Y639">
        <f>SUM($X$400:X639)</f>
        <v>715.57260273972577</v>
      </c>
      <c r="Z639">
        <v>-50</v>
      </c>
      <c r="AA639">
        <v>50</v>
      </c>
      <c r="AB639">
        <f>Z639*Return!F643*100</f>
        <v>-87.000000000000412</v>
      </c>
      <c r="AC639">
        <f>AA639*Return!G643*100</f>
        <v>58.00000000000027</v>
      </c>
      <c r="AD639">
        <f>SUM($AB$400:AB639)+SUM($AC$400:AC639)</f>
        <v>4078.2000000000121</v>
      </c>
      <c r="AE639">
        <f t="shared" si="147"/>
        <v>48193.788684931518</v>
      </c>
      <c r="AF639">
        <f t="shared" si="148"/>
        <v>1.096387577369863</v>
      </c>
      <c r="AG639" s="4">
        <f>(AE639-AE638)/(500000+AE638)-中国_中债国债到期收益率_1年!H639%/252</f>
        <v>1.2694778131909553E-3</v>
      </c>
      <c r="AH639" s="4">
        <f>MIN((AF639-MAX($AF$401:AF639))/MAX($AF$401:AF639),0)</f>
        <v>0</v>
      </c>
    </row>
    <row r="640" spans="1:34" x14ac:dyDescent="0.25">
      <c r="A640" s="8">
        <v>45642</v>
      </c>
      <c r="B640">
        <v>0</v>
      </c>
      <c r="C640">
        <v>30</v>
      </c>
      <c r="D640">
        <v>20</v>
      </c>
      <c r="E640">
        <v>5</v>
      </c>
      <c r="F640">
        <f t="shared" si="139"/>
        <v>55</v>
      </c>
      <c r="G640">
        <f t="shared" si="140"/>
        <v>0</v>
      </c>
      <c r="H640">
        <f t="shared" si="141"/>
        <v>150</v>
      </c>
      <c r="I640">
        <f t="shared" si="142"/>
        <v>180</v>
      </c>
      <c r="J640">
        <f t="shared" si="143"/>
        <v>80</v>
      </c>
      <c r="K640">
        <f t="shared" si="144"/>
        <v>410</v>
      </c>
      <c r="L640">
        <f>G640*Return!B640*100</f>
        <v>0</v>
      </c>
      <c r="M640">
        <f>H640*Return!C640*100</f>
        <v>736.49999999999875</v>
      </c>
      <c r="N640">
        <f>I640*Return!D640*100</f>
        <v>721.80000000000041</v>
      </c>
      <c r="O640">
        <f>J640*Return!E640*100</f>
        <v>304.00000000000205</v>
      </c>
      <c r="P640">
        <f t="shared" si="145"/>
        <v>1762.3000000000013</v>
      </c>
      <c r="Q640">
        <f>SUM($P$400:P640)</f>
        <v>39136.080000000009</v>
      </c>
      <c r="R640">
        <f>B640*中国_中债国债到期收益率_1年!B639/365*100</f>
        <v>0</v>
      </c>
      <c r="S640">
        <f>C640*中国_中债国债到期收益率_1年!C639/365*100</f>
        <v>11.796986301369863</v>
      </c>
      <c r="T640">
        <f>D640*中国_中债国债到期收益率_1年!D639/365*100</f>
        <v>9.7375342465753434</v>
      </c>
      <c r="U640">
        <f>E640*中国_中债国债到期收益率_1年!E639/365*100</f>
        <v>2.7465753424657531</v>
      </c>
      <c r="V640">
        <f t="shared" si="146"/>
        <v>24.28109589041096</v>
      </c>
      <c r="W640">
        <f>SUM($V$400:V640)</f>
        <v>7481.6623835616401</v>
      </c>
      <c r="X640">
        <f>MAX(F640-50,0)*中国_中债国债到期收益率_1年!H640*100/365</f>
        <v>2.6712328767123288</v>
      </c>
      <c r="Y640">
        <f>SUM($X$400:X640)</f>
        <v>718.2438356164381</v>
      </c>
      <c r="Z640">
        <v>-50</v>
      </c>
      <c r="AA640">
        <v>50</v>
      </c>
      <c r="AB640">
        <f>Z640*Return!F644*100</f>
        <v>-8.5000000000001741</v>
      </c>
      <c r="AC640">
        <f>AA640*Return!G644*100</f>
        <v>-39.500000000000092</v>
      </c>
      <c r="AD640">
        <f>SUM($AB$400:AB640)+SUM($AC$400:AC640)</f>
        <v>4030.2000000000121</v>
      </c>
      <c r="AE640">
        <f t="shared" si="147"/>
        <v>49929.698547945227</v>
      </c>
      <c r="AF640">
        <f t="shared" si="148"/>
        <v>1.0998593970958905</v>
      </c>
      <c r="AG640" s="4">
        <f>(AE640-AE639)/(500000+AE639)-中国_中债国债到期收益率_1年!H640%/252</f>
        <v>3.089217974575158E-3</v>
      </c>
      <c r="AH640" s="4">
        <f>MIN((AF640-MAX($AF$401:AF640))/MAX($AF$401:AF640),0)</f>
        <v>0</v>
      </c>
    </row>
    <row r="641" spans="1:34" x14ac:dyDescent="0.25">
      <c r="A641" s="8">
        <v>45643</v>
      </c>
      <c r="B641">
        <v>0</v>
      </c>
      <c r="C641">
        <v>30</v>
      </c>
      <c r="D641">
        <v>20</v>
      </c>
      <c r="E641">
        <v>5</v>
      </c>
      <c r="F641">
        <f t="shared" si="139"/>
        <v>55</v>
      </c>
      <c r="G641">
        <f t="shared" si="140"/>
        <v>0</v>
      </c>
      <c r="H641">
        <f t="shared" si="141"/>
        <v>150</v>
      </c>
      <c r="I641">
        <f t="shared" si="142"/>
        <v>180</v>
      </c>
      <c r="J641">
        <f t="shared" si="143"/>
        <v>80</v>
      </c>
      <c r="K641">
        <f t="shared" si="144"/>
        <v>410</v>
      </c>
      <c r="L641">
        <f>G641*Return!B641*100</f>
        <v>0</v>
      </c>
      <c r="M641">
        <f>H641*Return!C641*100</f>
        <v>265.50000000000074</v>
      </c>
      <c r="N641">
        <f>I641*Return!D641*100</f>
        <v>1000.7999999999978</v>
      </c>
      <c r="O641">
        <f>J641*Return!E641*100</f>
        <v>419.20000000000005</v>
      </c>
      <c r="P641">
        <f t="shared" si="145"/>
        <v>1685.4999999999986</v>
      </c>
      <c r="Q641">
        <f>SUM($P$400:P641)</f>
        <v>40821.580000000009</v>
      </c>
      <c r="R641">
        <f>B641*中国_中债国债到期收益率_1年!B640/365*100</f>
        <v>0</v>
      </c>
      <c r="S641">
        <f>C641*中国_中债国债到期收益率_1年!C640/365*100</f>
        <v>11.651506849315069</v>
      </c>
      <c r="T641">
        <f>D641*中国_中债国债到期收益率_1年!D640/365*100</f>
        <v>9.4328767123287669</v>
      </c>
      <c r="U641">
        <f>E641*中国_中债国债到期收益率_1年!E640/365*100</f>
        <v>2.6747945205479451</v>
      </c>
      <c r="V641">
        <f t="shared" si="146"/>
        <v>23.759178082191781</v>
      </c>
      <c r="W641">
        <f>SUM($V$400:V641)</f>
        <v>7505.4215616438323</v>
      </c>
      <c r="X641">
        <f>MAX(F641-50,0)*中国_中债国债到期收益率_1年!H641*100/365</f>
        <v>2.8082191780821919</v>
      </c>
      <c r="Y641">
        <f>SUM($X$400:X641)</f>
        <v>721.05205479452025</v>
      </c>
      <c r="Z641">
        <v>-50</v>
      </c>
      <c r="AA641">
        <v>50</v>
      </c>
      <c r="AB641">
        <f>Z641*Return!F645*100</f>
        <v>-216.9999999999994</v>
      </c>
      <c r="AC641">
        <f>AA641*Return!G645*100</f>
        <v>265.99999999999955</v>
      </c>
      <c r="AD641">
        <f>SUM($AB$400:AB641)+SUM($AC$400:AC641)</f>
        <v>4079.2000000000116</v>
      </c>
      <c r="AE641">
        <f t="shared" si="147"/>
        <v>51685.149506849331</v>
      </c>
      <c r="AF641">
        <f t="shared" si="148"/>
        <v>1.1033702990136987</v>
      </c>
      <c r="AG641" s="4">
        <f>(AE641-AE640)/(500000+AE640)-中国_中债国债到期收益率_1年!H641%/252</f>
        <v>3.1107878314199163E-3</v>
      </c>
      <c r="AH641" s="4">
        <f>MIN((AF641-MAX($AF$401:AF641))/MAX($AF$401:AF641),0)</f>
        <v>0</v>
      </c>
    </row>
    <row r="642" spans="1:34" x14ac:dyDescent="0.25">
      <c r="A642" s="8">
        <v>45644</v>
      </c>
      <c r="B642">
        <v>0</v>
      </c>
      <c r="C642">
        <v>30</v>
      </c>
      <c r="D642">
        <v>20</v>
      </c>
      <c r="E642">
        <v>5</v>
      </c>
      <c r="F642">
        <f t="shared" si="139"/>
        <v>55</v>
      </c>
      <c r="G642">
        <f t="shared" si="140"/>
        <v>0</v>
      </c>
      <c r="H642">
        <f t="shared" si="141"/>
        <v>150</v>
      </c>
      <c r="I642">
        <f t="shared" si="142"/>
        <v>180</v>
      </c>
      <c r="J642">
        <f t="shared" si="143"/>
        <v>80</v>
      </c>
      <c r="K642">
        <f t="shared" si="144"/>
        <v>410</v>
      </c>
      <c r="L642">
        <f>G642*Return!B642*100</f>
        <v>0</v>
      </c>
      <c r="M642">
        <f>H642*Return!C642*100</f>
        <v>-361.50000000000017</v>
      </c>
      <c r="N642">
        <f>I642*Return!D642*100</f>
        <v>-39.599999999999639</v>
      </c>
      <c r="O642">
        <f>J642*Return!E642*100</f>
        <v>-52.000000000001378</v>
      </c>
      <c r="P642">
        <f t="shared" si="145"/>
        <v>-453.10000000000116</v>
      </c>
      <c r="Q642">
        <f>SUM($P$400:P642)</f>
        <v>40368.48000000001</v>
      </c>
      <c r="R642">
        <f>B642*中国_中债国债到期收益率_1年!B641/365*100</f>
        <v>0</v>
      </c>
      <c r="S642">
        <f>C642*中国_中债国债到期收益率_1年!C641/365*100</f>
        <v>11.849589041095889</v>
      </c>
      <c r="T642">
        <f>D642*中国_中债国债到期收益率_1年!D641/365*100</f>
        <v>9.4449315068493167</v>
      </c>
      <c r="U642">
        <f>E642*中国_中债国债到期收益率_1年!E641/365*100</f>
        <v>2.6836986301369863</v>
      </c>
      <c r="V642">
        <f t="shared" si="146"/>
        <v>23.978219178082192</v>
      </c>
      <c r="W642">
        <f>SUM($V$400:V642)</f>
        <v>7529.3997808219146</v>
      </c>
      <c r="X642">
        <f>MAX(F642-50,0)*中国_中债国债到期收益率_1年!H642*100/365</f>
        <v>2.6438356164383561</v>
      </c>
      <c r="Y642">
        <f>SUM($X$400:X642)</f>
        <v>723.69589041095855</v>
      </c>
      <c r="Z642">
        <v>-50</v>
      </c>
      <c r="AA642">
        <v>50</v>
      </c>
      <c r="AB642">
        <f>Z642*Return!F646*100</f>
        <v>-97.000000000000426</v>
      </c>
      <c r="AC642">
        <f>AA642*Return!G646*100</f>
        <v>87.000000000000412</v>
      </c>
      <c r="AD642">
        <f>SUM($AB$400:AB642)+SUM($AC$400:AC642)</f>
        <v>4069.2000000000112</v>
      </c>
      <c r="AE642">
        <f t="shared" si="147"/>
        <v>51243.38389041098</v>
      </c>
      <c r="AF642">
        <f t="shared" si="148"/>
        <v>1.1024867677808219</v>
      </c>
      <c r="AG642" s="4">
        <f>(AE642-AE641)/(500000+AE641)-中国_中债国债到期收益率_1年!H642%/252</f>
        <v>-8.7734406807493551E-4</v>
      </c>
      <c r="AH642" s="4">
        <f>MIN((AF642-MAX($AF$401:AF642))/MAX($AF$401:AF642),0)</f>
        <v>-8.0075676648769126E-4</v>
      </c>
    </row>
    <row r="643" spans="1:34" x14ac:dyDescent="0.25">
      <c r="A643" s="8">
        <v>45645</v>
      </c>
      <c r="B643">
        <v>0</v>
      </c>
      <c r="C643">
        <v>30</v>
      </c>
      <c r="D643">
        <v>20</v>
      </c>
      <c r="E643">
        <v>5</v>
      </c>
      <c r="F643">
        <f t="shared" si="139"/>
        <v>55</v>
      </c>
      <c r="G643">
        <f t="shared" si="140"/>
        <v>0</v>
      </c>
      <c r="H643">
        <f t="shared" si="141"/>
        <v>150</v>
      </c>
      <c r="I643">
        <f t="shared" si="142"/>
        <v>180</v>
      </c>
      <c r="J643">
        <f t="shared" si="143"/>
        <v>80</v>
      </c>
      <c r="K643">
        <f t="shared" si="144"/>
        <v>410</v>
      </c>
      <c r="L643">
        <f>G643*Return!B643*100</f>
        <v>0</v>
      </c>
      <c r="M643">
        <f>H643*Return!C643*100</f>
        <v>-147.00000000000045</v>
      </c>
      <c r="N643">
        <f>I643*Return!D643*100</f>
        <v>-588.59999999999911</v>
      </c>
      <c r="O643">
        <f>J643*Return!E643*100</f>
        <v>-295.99999999999937</v>
      </c>
      <c r="P643">
        <f t="shared" si="145"/>
        <v>-1031.599999999999</v>
      </c>
      <c r="Q643">
        <f>SUM($P$400:P643)</f>
        <v>39336.880000000012</v>
      </c>
      <c r="R643">
        <f>B643*中国_中债国债到期收益率_1年!B642/365*100</f>
        <v>0</v>
      </c>
      <c r="S643">
        <f>C643*中国_中债国债到期收益率_1年!C642/365*100</f>
        <v>11.93013698630137</v>
      </c>
      <c r="T643">
        <f>D643*中国_中债国债到期收益率_1年!D642/365*100</f>
        <v>9.6241095890410975</v>
      </c>
      <c r="U643">
        <f>E643*中国_中债国债到期收益率_1年!E642/365*100</f>
        <v>2.7343835616438357</v>
      </c>
      <c r="V643">
        <f t="shared" si="146"/>
        <v>24.288630136986303</v>
      </c>
      <c r="W643">
        <f>SUM($V$400:V643)</f>
        <v>7553.6884109589009</v>
      </c>
      <c r="X643">
        <f>MAX(F643-50,0)*中国_中债国债到期收益率_1年!H643*100/365</f>
        <v>2.5205479452054798</v>
      </c>
      <c r="Y643">
        <f>SUM($X$400:X643)</f>
        <v>726.21643835616408</v>
      </c>
      <c r="Z643">
        <v>-50</v>
      </c>
      <c r="AA643">
        <v>50</v>
      </c>
      <c r="AB643">
        <f>Z643*Return!F647*100</f>
        <v>30.999999999999915</v>
      </c>
      <c r="AC643">
        <f>AA643*Return!G647*100</f>
        <v>-60.000000000000057</v>
      </c>
      <c r="AD643">
        <f>SUM($AB$400:AB643)+SUM($AC$400:AC643)</f>
        <v>4040.2000000000112</v>
      </c>
      <c r="AE643">
        <f t="shared" si="147"/>
        <v>50204.551972602763</v>
      </c>
      <c r="AF643">
        <f t="shared" si="148"/>
        <v>1.1004091039452055</v>
      </c>
      <c r="AG643" s="4">
        <f>(AE643-AE642)/(500000+AE642)-中国_中债国债到期收益率_1年!H643%/252</f>
        <v>-1.9575408363390425E-3</v>
      </c>
      <c r="AH643" s="4">
        <f>MIN((AF643-MAX($AF$401:AF643))/MAX($AF$401:AF643),0)</f>
        <v>-2.6837726836947996E-3</v>
      </c>
    </row>
    <row r="644" spans="1:34" x14ac:dyDescent="0.25">
      <c r="A644" s="8">
        <v>45646</v>
      </c>
      <c r="B644">
        <v>0</v>
      </c>
      <c r="C644">
        <v>30</v>
      </c>
      <c r="D644">
        <v>20</v>
      </c>
      <c r="E644">
        <v>5</v>
      </c>
      <c r="F644">
        <f t="shared" si="139"/>
        <v>55</v>
      </c>
      <c r="G644">
        <f t="shared" si="140"/>
        <v>0</v>
      </c>
      <c r="H644">
        <f t="shared" si="141"/>
        <v>150</v>
      </c>
      <c r="I644">
        <f t="shared" si="142"/>
        <v>180</v>
      </c>
      <c r="J644">
        <f t="shared" si="143"/>
        <v>80</v>
      </c>
      <c r="K644">
        <f t="shared" si="144"/>
        <v>410</v>
      </c>
      <c r="L644">
        <f>G644*Return!B644*100</f>
        <v>0</v>
      </c>
      <c r="M644">
        <f>H644*Return!C644*100</f>
        <v>531.00000000000148</v>
      </c>
      <c r="N644">
        <f>I644*Return!D644*100</f>
        <v>264.59999999999883</v>
      </c>
      <c r="O644">
        <f>J644*Return!E644*100</f>
        <v>28.000000000000469</v>
      </c>
      <c r="P644">
        <f t="shared" si="145"/>
        <v>823.60000000000082</v>
      </c>
      <c r="Q644">
        <f>SUM($P$400:P644)</f>
        <v>40160.48000000001</v>
      </c>
      <c r="R644">
        <f>B644*中国_中债国债到期收益率_1年!B643/365*100</f>
        <v>0</v>
      </c>
      <c r="S644">
        <f>C644*中国_中债国债到期收益率_1年!C643/365*100</f>
        <v>11.63917808219178</v>
      </c>
      <c r="T644">
        <f>D644*中国_中债国债到期收益率_1年!D643/365*100</f>
        <v>9.5435616438356163</v>
      </c>
      <c r="U644">
        <f>E644*中国_中债国债到期收益率_1年!E643/365*100</f>
        <v>2.7295890410958901</v>
      </c>
      <c r="V644">
        <f t="shared" si="146"/>
        <v>23.912328767123284</v>
      </c>
      <c r="W644">
        <f>SUM($V$400:V644)</f>
        <v>7577.6007397260246</v>
      </c>
      <c r="X644">
        <f>MAX(F644-50,0)*中国_中债国债到期收益率_1年!H644*100/365</f>
        <v>2.4657534246575343</v>
      </c>
      <c r="Y644">
        <f>SUM($X$400:X644)</f>
        <v>728.68219178082165</v>
      </c>
      <c r="Z644">
        <v>-50</v>
      </c>
      <c r="AA644">
        <v>50</v>
      </c>
      <c r="AB644">
        <f>Z644*Return!F648*100</f>
        <v>129.50000000000017</v>
      </c>
      <c r="AC644">
        <f>AA644*Return!G648*100</f>
        <v>-137.00000000000045</v>
      </c>
      <c r="AD644">
        <f>SUM($AB$400:AB644)+SUM($AC$400:AC644)</f>
        <v>4032.7000000000112</v>
      </c>
      <c r="AE644">
        <f t="shared" si="147"/>
        <v>51042.098547945228</v>
      </c>
      <c r="AF644">
        <f t="shared" si="148"/>
        <v>1.1020841970958903</v>
      </c>
      <c r="AG644" s="4">
        <f>(AE644-AE643)/(500000+AE643)-中国_中债国债到期收益率_1年!H644%/252</f>
        <v>1.4508172412236119E-3</v>
      </c>
      <c r="AH644" s="4">
        <f>MIN((AF644-MAX($AF$401:AF644))/MAX($AF$401:AF644),0)</f>
        <v>-1.165612232772586E-3</v>
      </c>
    </row>
    <row r="645" spans="1:34" x14ac:dyDescent="0.25">
      <c r="A645" s="8">
        <v>45649</v>
      </c>
      <c r="B645">
        <v>0</v>
      </c>
      <c r="C645">
        <v>30</v>
      </c>
      <c r="D645">
        <v>20</v>
      </c>
      <c r="E645">
        <v>5</v>
      </c>
      <c r="F645">
        <f t="shared" si="139"/>
        <v>55</v>
      </c>
      <c r="G645">
        <f t="shared" si="140"/>
        <v>0</v>
      </c>
      <c r="H645">
        <f t="shared" si="141"/>
        <v>150</v>
      </c>
      <c r="I645">
        <f t="shared" si="142"/>
        <v>180</v>
      </c>
      <c r="J645">
        <f t="shared" si="143"/>
        <v>80</v>
      </c>
      <c r="K645">
        <f t="shared" si="144"/>
        <v>410</v>
      </c>
      <c r="L645">
        <f>G645*Return!B645*100</f>
        <v>0</v>
      </c>
      <c r="M645">
        <f>H645*Return!C645*100</f>
        <v>650.99999999999818</v>
      </c>
      <c r="N645">
        <f>I645*Return!D645*100</f>
        <v>718.20000000000084</v>
      </c>
      <c r="O645">
        <f>J645*Return!E645*100</f>
        <v>320.00000000000028</v>
      </c>
      <c r="P645">
        <f t="shared" si="145"/>
        <v>1689.1999999999991</v>
      </c>
      <c r="Q645">
        <f>SUM($P$400:P645)</f>
        <v>41849.680000000008</v>
      </c>
      <c r="R645">
        <f>B645*中国_中债国债到期收益率_1年!B644/365*100</f>
        <v>0</v>
      </c>
      <c r="S645">
        <f>C645*中国_中债国债到期收益率_1年!C644/365*100</f>
        <v>11.282465753424658</v>
      </c>
      <c r="T645">
        <f>D645*中国_中债国债到期收益率_1年!D644/365*100</f>
        <v>9.3249315068493157</v>
      </c>
      <c r="U645">
        <f>E645*中国_中债国债到期收益率_1年!E644/365*100</f>
        <v>2.6747945205479451</v>
      </c>
      <c r="V645">
        <f t="shared" si="146"/>
        <v>23.282191780821918</v>
      </c>
      <c r="W645">
        <f>SUM($V$400:V645)</f>
        <v>7600.8829315068469</v>
      </c>
      <c r="X645">
        <f>MAX(F645-50,0)*中国_中债国债到期收益率_1年!H645*100/365</f>
        <v>2.3698630136986303</v>
      </c>
      <c r="Y645">
        <f>SUM($X$400:X645)</f>
        <v>731.05205479452025</v>
      </c>
      <c r="Z645">
        <v>-50</v>
      </c>
      <c r="AA645">
        <v>50</v>
      </c>
      <c r="AB645">
        <f>Z645*Return!F649*100</f>
        <v>7.5000000000002842</v>
      </c>
      <c r="AC645">
        <f>AA645*Return!G649*100</f>
        <v>5.0000000000005596</v>
      </c>
      <c r="AD645">
        <f>SUM($AB$400:AB645)+SUM($AC$400:AC645)</f>
        <v>4045.2000000000126</v>
      </c>
      <c r="AE645">
        <f t="shared" si="147"/>
        <v>52764.710876712343</v>
      </c>
      <c r="AF645">
        <f t="shared" si="148"/>
        <v>1.1055294217534246</v>
      </c>
      <c r="AG645" s="4">
        <f>(AE645-AE644)/(500000+AE644)-中国_中债国债到期收益率_1年!H645%/252</f>
        <v>3.0574485249065032E-3</v>
      </c>
      <c r="AH645" s="4">
        <f>MIN((AF645-MAX($AF$401:AF645))/MAX($AF$401:AF645),0)</f>
        <v>0</v>
      </c>
    </row>
    <row r="646" spans="1:34" x14ac:dyDescent="0.25">
      <c r="A646" s="8">
        <v>45650</v>
      </c>
      <c r="B646">
        <v>0</v>
      </c>
      <c r="C646">
        <v>30</v>
      </c>
      <c r="D646">
        <v>20</v>
      </c>
      <c r="E646">
        <v>5</v>
      </c>
      <c r="F646">
        <f t="shared" si="139"/>
        <v>55</v>
      </c>
      <c r="G646">
        <f t="shared" si="140"/>
        <v>0</v>
      </c>
      <c r="H646">
        <f t="shared" si="141"/>
        <v>150</v>
      </c>
      <c r="I646">
        <f t="shared" si="142"/>
        <v>180</v>
      </c>
      <c r="J646">
        <f t="shared" si="143"/>
        <v>80</v>
      </c>
      <c r="K646">
        <f t="shared" si="144"/>
        <v>410</v>
      </c>
      <c r="L646">
        <f>G646*Return!B646*100</f>
        <v>0</v>
      </c>
      <c r="M646">
        <f>H646*Return!C646*100</f>
        <v>-281.99999999999892</v>
      </c>
      <c r="N646">
        <f>I646*Return!D646*100</f>
        <v>-1.7999999999998018</v>
      </c>
      <c r="O646">
        <f>J646*Return!E646*100</f>
        <v>0</v>
      </c>
      <c r="P646">
        <f t="shared" si="145"/>
        <v>-283.7999999999987</v>
      </c>
      <c r="Q646">
        <f>SUM($P$400:P646)</f>
        <v>41565.880000000012</v>
      </c>
      <c r="R646">
        <f>B646*中国_中债国债到期收益率_1年!B645/365*100</f>
        <v>0</v>
      </c>
      <c r="S646">
        <f>C646*中国_中债国债到期收益率_1年!C645/365*100</f>
        <v>11.436986301369863</v>
      </c>
      <c r="T646">
        <f>D646*中国_中债国债到期收益率_1年!D645/365*100</f>
        <v>9.3254794520547932</v>
      </c>
      <c r="U646">
        <f>E646*中国_中债国债到期收益率_1年!E645/365*100</f>
        <v>2.6747945205479451</v>
      </c>
      <c r="V646">
        <f t="shared" si="146"/>
        <v>23.437260273972601</v>
      </c>
      <c r="W646">
        <f>SUM($V$400:V646)</f>
        <v>7624.3201917808192</v>
      </c>
      <c r="X646">
        <f>MAX(F646-50,0)*中国_中债国债到期收益率_1年!H646*100/365</f>
        <v>2.3698630136986303</v>
      </c>
      <c r="Y646">
        <f>SUM($X$400:X646)</f>
        <v>733.42191780821884</v>
      </c>
      <c r="Z646">
        <v>-50</v>
      </c>
      <c r="AA646">
        <v>50</v>
      </c>
      <c r="AB646">
        <f>Z646*Return!F650*100</f>
        <v>-50.999999999999936</v>
      </c>
      <c r="AC646">
        <f>AA646*Return!G650*100</f>
        <v>110.99999999999999</v>
      </c>
      <c r="AD646">
        <f>SUM($AB$400:AB646)+SUM($AC$400:AC646)</f>
        <v>4105.2000000000126</v>
      </c>
      <c r="AE646">
        <f t="shared" si="147"/>
        <v>52561.978273972622</v>
      </c>
      <c r="AF646">
        <f t="shared" si="148"/>
        <v>1.1051239565479452</v>
      </c>
      <c r="AG646" s="4">
        <f>(AE646-AE645)/(500000+AE645)-中国_中债国债到期收益率_1年!H646%/252</f>
        <v>-4.35411910542965E-4</v>
      </c>
      <c r="AH646" s="4">
        <f>MIN((AF646-MAX($AF$401:AF646))/MAX($AF$401:AF646),0)</f>
        <v>-3.6676111689218778E-4</v>
      </c>
    </row>
    <row r="647" spans="1:34" x14ac:dyDescent="0.25">
      <c r="A647" s="8">
        <v>45651</v>
      </c>
      <c r="B647">
        <v>0</v>
      </c>
      <c r="C647">
        <v>20</v>
      </c>
      <c r="D647">
        <v>20</v>
      </c>
      <c r="E647">
        <v>5</v>
      </c>
      <c r="F647">
        <f t="shared" si="139"/>
        <v>45</v>
      </c>
      <c r="G647">
        <f t="shared" si="140"/>
        <v>0</v>
      </c>
      <c r="H647">
        <f t="shared" si="141"/>
        <v>100</v>
      </c>
      <c r="I647">
        <f t="shared" si="142"/>
        <v>180</v>
      </c>
      <c r="J647">
        <f t="shared" si="143"/>
        <v>80</v>
      </c>
      <c r="K647">
        <f t="shared" si="144"/>
        <v>360</v>
      </c>
      <c r="L647">
        <f>G647*Return!B647*100</f>
        <v>0</v>
      </c>
      <c r="M647">
        <f>H647*Return!C647*100</f>
        <v>-283.99999999999983</v>
      </c>
      <c r="N647">
        <f>I647*Return!D647*100</f>
        <v>-264.59999999999883</v>
      </c>
      <c r="O647">
        <f>J647*Return!E647*100</f>
        <v>-320.00000000000028</v>
      </c>
      <c r="P647">
        <f t="shared" si="145"/>
        <v>-868.599999999999</v>
      </c>
      <c r="Q647">
        <f>SUM($P$400:P647)</f>
        <v>40697.280000000013</v>
      </c>
      <c r="R647">
        <f>B647*中国_中债国债到期收益率_1年!B646/365*100</f>
        <v>0</v>
      </c>
      <c r="S647">
        <f>C647*中国_中债国债到期收益率_1年!C646/365*100</f>
        <v>7.7802739726027399</v>
      </c>
      <c r="T647">
        <f>D647*中国_中债国债到期收益率_1年!D646/365*100</f>
        <v>9.4060273972602744</v>
      </c>
      <c r="U647">
        <f>E647*中国_中债国债到期收益率_1年!E646/365*100</f>
        <v>2.7295890410958901</v>
      </c>
      <c r="V647">
        <f t="shared" si="146"/>
        <v>19.915890410958902</v>
      </c>
      <c r="W647">
        <f>SUM($V$400:V647)</f>
        <v>7644.2360821917782</v>
      </c>
      <c r="X647">
        <f>MAX(F647-50,0)*中国_中债国债到期收益率_1年!H647*100/365</f>
        <v>0</v>
      </c>
      <c r="Y647">
        <f>SUM($X$400:X647)</f>
        <v>733.42191780821884</v>
      </c>
      <c r="Z647">
        <v>-50</v>
      </c>
      <c r="AA647">
        <v>50</v>
      </c>
      <c r="AB647">
        <f>Z647*Return!F651*100</f>
        <v>113.49999999999972</v>
      </c>
      <c r="AC647">
        <f>AA647*Return!G651*100</f>
        <v>-90.000000000000085</v>
      </c>
      <c r="AD647">
        <f>SUM($AB$400:AB647)+SUM($AC$400:AC647)</f>
        <v>4128.7000000000116</v>
      </c>
      <c r="AE647">
        <f t="shared" si="147"/>
        <v>51736.79416438358</v>
      </c>
      <c r="AF647">
        <f t="shared" si="148"/>
        <v>1.1034735883287672</v>
      </c>
      <c r="AG647" s="4">
        <f>(AE647-AE646)/(500000+AE646)-中国_中债国债到期收益率_1年!H647%/252</f>
        <v>-1.5747275820504321E-3</v>
      </c>
      <c r="AH647" s="4">
        <f>MIN((AF647-MAX($AF$401:AF647))/MAX($AF$401:AF647),0)</f>
        <v>-1.8595917794722941E-3</v>
      </c>
    </row>
    <row r="648" spans="1:34" x14ac:dyDescent="0.25">
      <c r="A648" s="8">
        <v>45652</v>
      </c>
      <c r="B648">
        <v>0</v>
      </c>
      <c r="C648">
        <v>20</v>
      </c>
      <c r="D648">
        <v>20</v>
      </c>
      <c r="E648">
        <v>5</v>
      </c>
      <c r="F648">
        <f t="shared" si="139"/>
        <v>45</v>
      </c>
      <c r="G648">
        <f t="shared" si="140"/>
        <v>0</v>
      </c>
      <c r="H648">
        <f t="shared" si="141"/>
        <v>100</v>
      </c>
      <c r="I648">
        <f t="shared" si="142"/>
        <v>180</v>
      </c>
      <c r="J648">
        <f t="shared" si="143"/>
        <v>80</v>
      </c>
      <c r="K648">
        <f t="shared" si="144"/>
        <v>360</v>
      </c>
      <c r="L648">
        <f>G648*Return!B648*100</f>
        <v>0</v>
      </c>
      <c r="M648">
        <f>H648*Return!C648*100</f>
        <v>-392.00000000000125</v>
      </c>
      <c r="N648">
        <f>I648*Return!D648*100</f>
        <v>-358.2000000000005</v>
      </c>
      <c r="O648">
        <f>J648*Return!E648*100</f>
        <v>-115.20000000000152</v>
      </c>
      <c r="P648">
        <f t="shared" si="145"/>
        <v>-865.40000000000327</v>
      </c>
      <c r="Q648">
        <f>SUM($P$400:P648)</f>
        <v>39831.880000000012</v>
      </c>
      <c r="R648">
        <f>B648*中国_中债国债到期收益率_1年!B647/365*100</f>
        <v>0</v>
      </c>
      <c r="S648">
        <f>C648*中国_中债国债到期收益率_1年!C647/365*100</f>
        <v>7.9950684931506855</v>
      </c>
      <c r="T648">
        <f>D648*中国_中债国债到期收益率_1年!D647/365*100</f>
        <v>9.5150684931506841</v>
      </c>
      <c r="U648">
        <f>E648*中国_中债国债到期收益率_1年!E647/365*100</f>
        <v>2.7493150684931509</v>
      </c>
      <c r="V648">
        <f t="shared" si="146"/>
        <v>20.259452054794519</v>
      </c>
      <c r="W648">
        <f>SUM($V$400:V648)</f>
        <v>7664.4955342465728</v>
      </c>
      <c r="X648">
        <f>MAX(F648-50,0)*中国_中债国债到期收益率_1年!H648*100/365</f>
        <v>0</v>
      </c>
      <c r="Y648">
        <f>SUM($X$400:X648)</f>
        <v>733.42191780821884</v>
      </c>
      <c r="Z648">
        <v>-50</v>
      </c>
      <c r="AA648">
        <v>50</v>
      </c>
      <c r="AB648">
        <f>Z648*Return!F652*100</f>
        <v>-41.999999999999815</v>
      </c>
      <c r="AC648">
        <f>AA648*Return!G652*100</f>
        <v>88.000000000000298</v>
      </c>
      <c r="AD648">
        <f>SUM($AB$400:AB648)+SUM($AC$400:AC648)</f>
        <v>4174.7000000000116</v>
      </c>
      <c r="AE648">
        <f t="shared" si="147"/>
        <v>50937.65361643838</v>
      </c>
      <c r="AF648">
        <f t="shared" si="148"/>
        <v>1.1018753072328769</v>
      </c>
      <c r="AG648" s="4">
        <f>(AE648-AE647)/(500000+AE647)-中国_中债国债到期收益率_1年!H648%/252</f>
        <v>-1.5372979063725152E-3</v>
      </c>
      <c r="AH648" s="4">
        <f>MIN((AF648-MAX($AF$401:AF648))/MAX($AF$401:AF648),0)</f>
        <v>-3.3053073474536305E-3</v>
      </c>
    </row>
    <row r="649" spans="1:34" x14ac:dyDescent="0.25">
      <c r="A649" s="8">
        <v>45653</v>
      </c>
      <c r="B649">
        <v>0</v>
      </c>
      <c r="C649">
        <v>20</v>
      </c>
      <c r="D649">
        <v>20</v>
      </c>
      <c r="E649">
        <v>5</v>
      </c>
      <c r="F649">
        <f t="shared" si="139"/>
        <v>45</v>
      </c>
      <c r="G649">
        <f t="shared" si="140"/>
        <v>0</v>
      </c>
      <c r="H649">
        <f t="shared" si="141"/>
        <v>100</v>
      </c>
      <c r="I649">
        <f t="shared" si="142"/>
        <v>180</v>
      </c>
      <c r="J649">
        <f t="shared" si="143"/>
        <v>80</v>
      </c>
      <c r="K649">
        <f t="shared" si="144"/>
        <v>360</v>
      </c>
      <c r="L649">
        <f>G649*Return!B649*100</f>
        <v>0</v>
      </c>
      <c r="M649">
        <f>H649*Return!C649*100</f>
        <v>221.00000000000009</v>
      </c>
      <c r="N649">
        <f>I649*Return!D649*100</f>
        <v>437.39999999999981</v>
      </c>
      <c r="O649">
        <f>J649*Return!E649*100</f>
        <v>295.20000000000124</v>
      </c>
      <c r="P649">
        <f t="shared" si="145"/>
        <v>953.60000000000105</v>
      </c>
      <c r="Q649">
        <f>SUM($P$400:P649)</f>
        <v>40785.48000000001</v>
      </c>
      <c r="R649">
        <f>B649*中国_中债国债到期收益率_1年!B648/365*100</f>
        <v>0</v>
      </c>
      <c r="S649">
        <f>C649*中国_中债国债到期收益率_1年!C648/365*100</f>
        <v>7.8739726027397259</v>
      </c>
      <c r="T649">
        <f>D649*中国_中债国债到期收益率_1年!D648/365*100</f>
        <v>9.3819178082191783</v>
      </c>
      <c r="U649">
        <f>E649*中国_中债国债到期收益率_1年!E648/365*100</f>
        <v>2.6987671232876713</v>
      </c>
      <c r="V649">
        <f t="shared" si="146"/>
        <v>19.954657534246575</v>
      </c>
      <c r="W649">
        <f>SUM($V$400:V649)</f>
        <v>7684.4501917808193</v>
      </c>
      <c r="X649">
        <f>MAX(F649-50,0)*中国_中债国债到期收益率_1年!H649*100/365</f>
        <v>0</v>
      </c>
      <c r="Y649">
        <f>SUM($X$400:X649)</f>
        <v>733.42191780821884</v>
      </c>
      <c r="Z649">
        <v>-50</v>
      </c>
      <c r="AA649">
        <v>50</v>
      </c>
      <c r="AB649">
        <f>Z649*Return!F653*100</f>
        <v>23.999999999999577</v>
      </c>
      <c r="AC649">
        <f>AA649*Return!G653*100</f>
        <v>132.99999999999977</v>
      </c>
      <c r="AD649">
        <f>SUM($AB$400:AB649)+SUM($AC$400:AC649)</f>
        <v>4331.7000000000116</v>
      </c>
      <c r="AE649">
        <f t="shared" si="147"/>
        <v>52068.208273972625</v>
      </c>
      <c r="AF649">
        <f t="shared" si="148"/>
        <v>1.1041364165479453</v>
      </c>
      <c r="AG649" s="4">
        <f>(AE649-AE648)/(500000+AE648)-中国_中债国债到期收益率_1年!H649%/252</f>
        <v>1.9607856864529648E-3</v>
      </c>
      <c r="AH649" s="4">
        <f>MIN((AF649-MAX($AF$401:AF649))/MAX($AF$401:AF649),0)</f>
        <v>-1.2600344939440716E-3</v>
      </c>
    </row>
    <row r="650" spans="1:34" x14ac:dyDescent="0.25">
      <c r="A650" s="8">
        <v>45656</v>
      </c>
      <c r="B650">
        <v>0</v>
      </c>
      <c r="C650">
        <v>20</v>
      </c>
      <c r="D650">
        <v>20</v>
      </c>
      <c r="E650">
        <v>5</v>
      </c>
      <c r="F650">
        <f t="shared" si="139"/>
        <v>45</v>
      </c>
      <c r="G650">
        <f t="shared" si="140"/>
        <v>0</v>
      </c>
      <c r="H650">
        <f t="shared" si="141"/>
        <v>100</v>
      </c>
      <c r="I650">
        <f t="shared" si="142"/>
        <v>180</v>
      </c>
      <c r="J650">
        <f t="shared" si="143"/>
        <v>80</v>
      </c>
      <c r="K650">
        <f t="shared" si="144"/>
        <v>360</v>
      </c>
      <c r="L650">
        <f>G650*Return!B650*100</f>
        <v>0</v>
      </c>
      <c r="M650">
        <f>H650*Return!C650*100</f>
        <v>311.00000000000125</v>
      </c>
      <c r="N650">
        <f>I650*Return!D650*100</f>
        <v>347.3999999999977</v>
      </c>
      <c r="O650">
        <f>J650*Return!E650*100</f>
        <v>179.99999999999972</v>
      </c>
      <c r="P650">
        <f t="shared" si="145"/>
        <v>838.39999999999873</v>
      </c>
      <c r="Q650">
        <f>SUM($P$400:P650)</f>
        <v>41623.880000000012</v>
      </c>
      <c r="R650">
        <f>B650*中国_中债国债到期收益率_1年!B649/365*100</f>
        <v>0</v>
      </c>
      <c r="S650">
        <f>C650*中国_中债国债到期收益率_1年!C649/365*100</f>
        <v>7.7035616438356156</v>
      </c>
      <c r="T650">
        <f>D650*中国_中债国债到期收益率_1年!D649/365*100</f>
        <v>9.2761643835616461</v>
      </c>
      <c r="U650">
        <f>E650*中国_中债国债到期收益率_1年!E649/365*100</f>
        <v>2.6679452054794517</v>
      </c>
      <c r="V650">
        <f t="shared" si="146"/>
        <v>19.647671232876714</v>
      </c>
      <c r="W650">
        <f>SUM($V$400:V650)</f>
        <v>7704.097863013696</v>
      </c>
      <c r="X650">
        <f>MAX(F650-50,0)*中国_中债国债到期收益率_1年!H650*100/365</f>
        <v>0</v>
      </c>
      <c r="Y650">
        <f>SUM($X$400:X650)</f>
        <v>733.42191780821884</v>
      </c>
      <c r="Z650">
        <v>-50</v>
      </c>
      <c r="AA650">
        <v>50</v>
      </c>
      <c r="AB650">
        <f>Z650*Return!F654*100</f>
        <v>0</v>
      </c>
      <c r="AC650">
        <f>AA650*Return!G654*100</f>
        <v>0</v>
      </c>
      <c r="AD650">
        <f>SUM($AB$400:AB650)+SUM($AC$400:AC650)</f>
        <v>4331.7000000000116</v>
      </c>
      <c r="AE650">
        <f t="shared" si="147"/>
        <v>52926.255945205499</v>
      </c>
      <c r="AF650">
        <f t="shared" si="148"/>
        <v>1.105852511890411</v>
      </c>
      <c r="AG650" s="4">
        <f>(AE650-AE649)/(500000+AE649)-中国_中债国债到期收益率_1年!H650%/252</f>
        <v>1.4669405486756664E-3</v>
      </c>
      <c r="AH650" s="4">
        <f>MIN((AF650-MAX($AF$401:AF650))/MAX($AF$401:AF650),0)</f>
        <v>0</v>
      </c>
    </row>
    <row r="651" spans="1:34" x14ac:dyDescent="0.25">
      <c r="A651" s="8">
        <v>45657</v>
      </c>
      <c r="B651">
        <v>0</v>
      </c>
      <c r="C651">
        <v>20</v>
      </c>
      <c r="D651">
        <v>20</v>
      </c>
      <c r="E651">
        <v>5</v>
      </c>
      <c r="F651">
        <f t="shared" si="139"/>
        <v>45</v>
      </c>
      <c r="G651">
        <f t="shared" si="140"/>
        <v>0</v>
      </c>
      <c r="H651">
        <f t="shared" si="141"/>
        <v>100</v>
      </c>
      <c r="I651">
        <f t="shared" si="142"/>
        <v>180</v>
      </c>
      <c r="J651">
        <f t="shared" si="143"/>
        <v>80</v>
      </c>
      <c r="K651">
        <f t="shared" si="144"/>
        <v>360</v>
      </c>
      <c r="L651">
        <f>G651*Return!B651*100</f>
        <v>0</v>
      </c>
      <c r="M651">
        <f>H651*Return!C651*100</f>
        <v>-354.00000000000097</v>
      </c>
      <c r="N651">
        <f>I651*Return!D651*100</f>
        <v>-358.2000000000005</v>
      </c>
      <c r="O651">
        <f>J651*Return!E651*100</f>
        <v>0</v>
      </c>
      <c r="P651">
        <f t="shared" si="145"/>
        <v>-712.20000000000141</v>
      </c>
      <c r="Q651">
        <f>SUM($P$400:P651)</f>
        <v>40911.680000000008</v>
      </c>
      <c r="R651">
        <f>B651*中国_中债国债到期收益率_1年!B650/365*100</f>
        <v>0</v>
      </c>
      <c r="S651">
        <f>C651*中国_中债国债到期收益率_1年!C650/365*100</f>
        <v>7.8975342465753426</v>
      </c>
      <c r="T651">
        <f>D651*中国_中债国债到期收益率_1年!D650/365*100</f>
        <v>9.3852054794520559</v>
      </c>
      <c r="U651">
        <f>E651*中国_中债国债到期收益率_1年!E650/365*100</f>
        <v>2.6679452054794517</v>
      </c>
      <c r="V651">
        <f t="shared" si="146"/>
        <v>19.950684931506849</v>
      </c>
      <c r="W651">
        <f>SUM($V$400:V651)</f>
        <v>7724.0485479452027</v>
      </c>
      <c r="X651">
        <f>MAX(F651-50,0)*中国_中债国债到期收益率_1年!H651*100/365</f>
        <v>0</v>
      </c>
      <c r="Y651">
        <f>SUM($X$400:X651)</f>
        <v>733.42191780821884</v>
      </c>
      <c r="Z651">
        <v>-50</v>
      </c>
      <c r="AA651">
        <v>50</v>
      </c>
      <c r="AB651">
        <f>Z651*Return!F655*100</f>
        <v>0</v>
      </c>
      <c r="AC651">
        <f>AA651*Return!G655*100</f>
        <v>0</v>
      </c>
      <c r="AD651">
        <f>SUM($AB$400:AB651)+SUM($AC$400:AC651)</f>
        <v>4331.7000000000116</v>
      </c>
      <c r="AE651">
        <f t="shared" si="147"/>
        <v>52234.006630137003</v>
      </c>
      <c r="AF651">
        <f t="shared" si="148"/>
        <v>1.104468013260274</v>
      </c>
      <c r="AG651" s="4">
        <f>(AE651-AE650)/(500000+AE650)-中国_中债国债到期收益率_1年!H651%/252</f>
        <v>-1.3392756211356726E-3</v>
      </c>
      <c r="AH651" s="4">
        <f>MIN((AF651-MAX($AF$401:AF651))/MAX($AF$401:AF651),0)</f>
        <v>-1.2519740338341001E-3</v>
      </c>
    </row>
    <row r="652" spans="1:34" x14ac:dyDescent="0.25">
      <c r="A652" s="8">
        <v>45659</v>
      </c>
      <c r="B652">
        <v>0</v>
      </c>
      <c r="C652">
        <v>20</v>
      </c>
      <c r="D652">
        <v>20</v>
      </c>
      <c r="E652">
        <v>5</v>
      </c>
      <c r="F652">
        <f t="shared" si="139"/>
        <v>45</v>
      </c>
      <c r="G652">
        <f t="shared" si="140"/>
        <v>0</v>
      </c>
      <c r="H652">
        <f t="shared" si="141"/>
        <v>100</v>
      </c>
      <c r="I652">
        <f t="shared" si="142"/>
        <v>180</v>
      </c>
      <c r="J652">
        <f t="shared" si="143"/>
        <v>80</v>
      </c>
      <c r="K652">
        <f t="shared" si="144"/>
        <v>360</v>
      </c>
      <c r="L652">
        <f>G652*Return!B652*100</f>
        <v>0</v>
      </c>
      <c r="M652">
        <f>H652*Return!C652*100</f>
        <v>261.00000000000011</v>
      </c>
      <c r="N652">
        <f>I652*Return!D652*100</f>
        <v>676.80000000000143</v>
      </c>
      <c r="O652">
        <f>J652*Return!E652*100</f>
        <v>284.00000000000068</v>
      </c>
      <c r="P652">
        <f t="shared" si="145"/>
        <v>1221.8000000000022</v>
      </c>
      <c r="Q652">
        <f>SUM($P$400:P652)</f>
        <v>42133.48000000001</v>
      </c>
      <c r="R652">
        <f>B652*中国_中债国债到期收益率_1年!B651/365*100</f>
        <v>0</v>
      </c>
      <c r="S652">
        <f>C652*中国_中债国债到期收益率_1年!C651/365*100</f>
        <v>7.7545205479452068</v>
      </c>
      <c r="T652">
        <f>D652*中国_中债国债到期收益率_1年!D651/365*100</f>
        <v>9.1791780821917808</v>
      </c>
      <c r="U652">
        <f>E652*中国_中债国债到期收益率_1年!E651/365*100</f>
        <v>2.6193150684931505</v>
      </c>
      <c r="V652">
        <f t="shared" si="146"/>
        <v>19.553013698630139</v>
      </c>
    </row>
    <row r="653" spans="1:34" x14ac:dyDescent="0.25">
      <c r="A653" s="8">
        <v>45660</v>
      </c>
      <c r="B653">
        <v>0</v>
      </c>
      <c r="C653">
        <v>20</v>
      </c>
      <c r="D653">
        <v>20</v>
      </c>
      <c r="E653">
        <v>5</v>
      </c>
      <c r="F653">
        <f t="shared" si="139"/>
        <v>45</v>
      </c>
      <c r="G653">
        <f t="shared" si="140"/>
        <v>0</v>
      </c>
      <c r="H653">
        <f t="shared" si="141"/>
        <v>100</v>
      </c>
      <c r="I653">
        <f t="shared" si="142"/>
        <v>180</v>
      </c>
      <c r="J653">
        <f t="shared" si="143"/>
        <v>80</v>
      </c>
      <c r="K653">
        <f t="shared" si="144"/>
        <v>360</v>
      </c>
      <c r="L653">
        <f>G653*Return!B653*100</f>
        <v>0</v>
      </c>
      <c r="M653">
        <f>H653*Return!C653*100</f>
        <v>176.0000000000006</v>
      </c>
      <c r="N653">
        <f>I653*Return!D653*100</f>
        <v>1215.000000000002</v>
      </c>
      <c r="O653">
        <f>J653*Return!E653*100</f>
        <v>579.20000000000016</v>
      </c>
      <c r="P653">
        <f t="shared" si="145"/>
        <v>1970.200000000003</v>
      </c>
      <c r="Q653">
        <f>SUM($P$400:P653)</f>
        <v>44103.680000000015</v>
      </c>
      <c r="R653">
        <f>B653*中国_中债国债到期收益率_1年!B652/365*100</f>
        <v>0</v>
      </c>
      <c r="S653">
        <f>C653*中国_中债国债到期收益率_1年!C652/365*100</f>
        <v>7.6580821917808208</v>
      </c>
      <c r="T653">
        <f>D653*中国_中债国债到期收益率_1年!D652/365*100</f>
        <v>8.8093150684931487</v>
      </c>
      <c r="U653">
        <f>E653*中国_中债国债到期收益率_1年!E652/365*100</f>
        <v>2.5201369863013698</v>
      </c>
      <c r="V653">
        <f t="shared" si="146"/>
        <v>18.98753424657534</v>
      </c>
    </row>
    <row r="654" spans="1:34" x14ac:dyDescent="0.25">
      <c r="A654" s="8">
        <v>45663</v>
      </c>
      <c r="B654">
        <v>0</v>
      </c>
      <c r="C654">
        <v>20</v>
      </c>
      <c r="D654">
        <v>20</v>
      </c>
      <c r="E654">
        <v>5</v>
      </c>
      <c r="F654">
        <f t="shared" si="139"/>
        <v>45</v>
      </c>
      <c r="G654">
        <f t="shared" si="140"/>
        <v>0</v>
      </c>
      <c r="H654">
        <f t="shared" si="141"/>
        <v>100</v>
      </c>
      <c r="I654">
        <f t="shared" si="142"/>
        <v>180</v>
      </c>
      <c r="J654">
        <f t="shared" si="143"/>
        <v>80</v>
      </c>
      <c r="K654">
        <f t="shared" si="144"/>
        <v>360</v>
      </c>
      <c r="L654">
        <f>G654*Return!B654*100</f>
        <v>0</v>
      </c>
      <c r="M654">
        <f>H654*Return!C654*100</f>
        <v>0</v>
      </c>
      <c r="N654">
        <f>I654*Return!D654*100</f>
        <v>0</v>
      </c>
      <c r="O654">
        <f>J654*Return!E654*100</f>
        <v>0</v>
      </c>
      <c r="P654">
        <f t="shared" si="145"/>
        <v>0</v>
      </c>
      <c r="Q654">
        <f>SUM($P$400:P654)</f>
        <v>44103.680000000015</v>
      </c>
      <c r="R654">
        <f>B654*中国_中债国债到期收益率_1年!B653/365*100</f>
        <v>0</v>
      </c>
      <c r="S654">
        <f>C654*中国_中债国债到期收益率_1年!C653/365*100</f>
        <v>7.3473972602739721</v>
      </c>
      <c r="T654">
        <f>D654*中国_中债国债到期收益率_1年!D653/365*100</f>
        <v>8.7895890410958906</v>
      </c>
      <c r="U654">
        <f>E654*中国_中债国债到期收益率_1年!E653/365*100</f>
        <v>2.5343835616438359</v>
      </c>
      <c r="V654">
        <f t="shared" si="146"/>
        <v>18.671369863013698</v>
      </c>
    </row>
    <row r="655" spans="1:34" x14ac:dyDescent="0.25">
      <c r="A655" s="8">
        <v>45664</v>
      </c>
      <c r="B655">
        <v>0</v>
      </c>
      <c r="C655">
        <v>20</v>
      </c>
      <c r="D655">
        <v>20</v>
      </c>
      <c r="E655">
        <v>5</v>
      </c>
      <c r="F655">
        <f t="shared" si="139"/>
        <v>45</v>
      </c>
      <c r="G655">
        <f t="shared" si="140"/>
        <v>0</v>
      </c>
      <c r="H655">
        <f t="shared" si="141"/>
        <v>100</v>
      </c>
      <c r="I655">
        <f t="shared" si="142"/>
        <v>180</v>
      </c>
      <c r="J655">
        <f t="shared" si="143"/>
        <v>80</v>
      </c>
      <c r="K655">
        <f t="shared" si="144"/>
        <v>360</v>
      </c>
      <c r="L655">
        <f>G655*Return!B655*100</f>
        <v>0</v>
      </c>
      <c r="M655">
        <f>H655*Return!C655*100</f>
        <v>0</v>
      </c>
      <c r="N655">
        <f>I655*Return!D655*100</f>
        <v>0</v>
      </c>
      <c r="O655">
        <f>J655*Return!E655*100</f>
        <v>0</v>
      </c>
      <c r="P655">
        <f t="shared" si="145"/>
        <v>0</v>
      </c>
      <c r="Q655">
        <f>SUM($P$400:P655)</f>
        <v>44103.680000000015</v>
      </c>
      <c r="R655">
        <f>B655*中国_中债国债到期收益率_1年!B654/365*100</f>
        <v>0</v>
      </c>
      <c r="S655">
        <f>C655*中国_中债国债到期收益率_1年!C654/365*100</f>
        <v>7.3934246575342462</v>
      </c>
      <c r="T655">
        <f>D655*中国_中债国债到期收益率_1年!D654/365*100</f>
        <v>8.7484931506849311</v>
      </c>
      <c r="U655">
        <f>E655*中国_中债国债到期收益率_1年!E654/365*100</f>
        <v>2.5105479452054791</v>
      </c>
      <c r="V655">
        <f t="shared" si="146"/>
        <v>18.652465753424657</v>
      </c>
    </row>
    <row r="656" spans="1:34" x14ac:dyDescent="0.25">
      <c r="A656" s="8">
        <v>45665</v>
      </c>
      <c r="B656">
        <v>0</v>
      </c>
      <c r="C656">
        <v>20</v>
      </c>
      <c r="D656">
        <v>20</v>
      </c>
      <c r="E656">
        <v>5</v>
      </c>
      <c r="F656">
        <f t="shared" si="139"/>
        <v>45</v>
      </c>
      <c r="G656">
        <f t="shared" si="140"/>
        <v>0</v>
      </c>
      <c r="H656">
        <f t="shared" si="141"/>
        <v>100</v>
      </c>
      <c r="I656">
        <f t="shared" si="142"/>
        <v>180</v>
      </c>
      <c r="J656">
        <f t="shared" si="143"/>
        <v>80</v>
      </c>
      <c r="K656">
        <f t="shared" si="144"/>
        <v>360</v>
      </c>
      <c r="L656">
        <f>G656*Return!B656*100</f>
        <v>0</v>
      </c>
      <c r="M656">
        <f>H656*Return!C656*100</f>
        <v>0</v>
      </c>
      <c r="N656">
        <f>I656*Return!D656*100</f>
        <v>0</v>
      </c>
      <c r="O656">
        <f>J656*Return!E656*100</f>
        <v>0</v>
      </c>
      <c r="P656">
        <f t="shared" si="145"/>
        <v>0</v>
      </c>
      <c r="Q656">
        <f>SUM($P$400:P656)</f>
        <v>44103.680000000015</v>
      </c>
      <c r="R656">
        <f>B656*中国_中债国债到期收益率_1年!B655/365*100</f>
        <v>0</v>
      </c>
      <c r="S656">
        <f>C656*中国_中债国债到期收益率_1年!C655/365*100</f>
        <v>7.6136986301369864</v>
      </c>
      <c r="T656">
        <f>D656*中国_中债国债到期收益率_1年!D655/365*100</f>
        <v>8.8180821917808228</v>
      </c>
      <c r="U656">
        <f>E656*中国_中债国债到期收益率_1年!E655/365*100</f>
        <v>2.5482191780821917</v>
      </c>
      <c r="V656">
        <f t="shared" si="146"/>
        <v>18.98</v>
      </c>
    </row>
    <row r="657" spans="1:22" x14ac:dyDescent="0.25">
      <c r="A657" s="8">
        <v>45666</v>
      </c>
      <c r="B657">
        <v>0</v>
      </c>
      <c r="C657">
        <v>20</v>
      </c>
      <c r="D657">
        <v>20</v>
      </c>
      <c r="E657">
        <v>5</v>
      </c>
      <c r="F657">
        <f t="shared" si="139"/>
        <v>45</v>
      </c>
      <c r="G657">
        <f t="shared" si="140"/>
        <v>0</v>
      </c>
      <c r="H657">
        <f t="shared" si="141"/>
        <v>100</v>
      </c>
      <c r="I657">
        <f t="shared" si="142"/>
        <v>180</v>
      </c>
      <c r="J657">
        <f t="shared" si="143"/>
        <v>80</v>
      </c>
      <c r="K657">
        <f t="shared" si="144"/>
        <v>360</v>
      </c>
      <c r="L657">
        <f>G657*Return!B657*100</f>
        <v>0</v>
      </c>
      <c r="M657">
        <f>H657*Return!C657*100</f>
        <v>0</v>
      </c>
      <c r="N657">
        <f>I657*Return!D657*100</f>
        <v>0</v>
      </c>
      <c r="O657">
        <f>J657*Return!E657*100</f>
        <v>0</v>
      </c>
      <c r="P657">
        <f t="shared" si="145"/>
        <v>0</v>
      </c>
      <c r="Q657">
        <f>SUM($P$400:P657)</f>
        <v>44103.680000000015</v>
      </c>
      <c r="R657">
        <f>B657*中国_中债国债到期收益率_1年!B656/365*100</f>
        <v>0</v>
      </c>
      <c r="S657">
        <f>C657*中国_中债国债到期收益率_1年!C656/365*100</f>
        <v>7.6427397260273979</v>
      </c>
      <c r="T657">
        <f>D657*中国_中债国债到期收益率_1年!D656/365*100</f>
        <v>8.8049315068493144</v>
      </c>
      <c r="U657">
        <f>E657*中国_中债国债到期收益率_1年!E656/365*100</f>
        <v>2.5619178082191785</v>
      </c>
      <c r="V657">
        <f t="shared" si="146"/>
        <v>19.009589041095889</v>
      </c>
    </row>
    <row r="658" spans="1:22" x14ac:dyDescent="0.25">
      <c r="A658" s="8">
        <v>45667</v>
      </c>
    </row>
    <row r="659" spans="1:22" x14ac:dyDescent="0.25">
      <c r="A659" s="8">
        <v>45670</v>
      </c>
    </row>
    <row r="660" spans="1:22" x14ac:dyDescent="0.25">
      <c r="A660" s="8">
        <v>45671</v>
      </c>
    </row>
    <row r="661" spans="1:22" x14ac:dyDescent="0.25">
      <c r="A661" s="8">
        <v>45672</v>
      </c>
    </row>
    <row r="662" spans="1:22" x14ac:dyDescent="0.25">
      <c r="A662" s="8">
        <v>45673</v>
      </c>
    </row>
    <row r="663" spans="1:22" x14ac:dyDescent="0.25">
      <c r="A663" s="8">
        <v>45674</v>
      </c>
    </row>
  </sheetData>
  <phoneticPr fontId="4" type="noConversion"/>
  <conditionalFormatting sqref="AG1:AG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{2998A289-8AF8-4CDD-A535-A4C4609D6176}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998A289-8AF8-4CDD-A535-A4C4609D61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AG1:AG1048576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1:G44"/>
  <sheetViews>
    <sheetView tabSelected="1" topLeftCell="A28" workbookViewId="0">
      <selection activeCell="B41" sqref="B41"/>
    </sheetView>
  </sheetViews>
  <sheetFormatPr defaultColWidth="9" defaultRowHeight="14" x14ac:dyDescent="0.25"/>
  <cols>
    <col min="1" max="1" width="11.36328125" customWidth="1"/>
    <col min="2" max="2" width="12.453125" customWidth="1"/>
    <col min="3" max="3" width="9.26953125" bestFit="1" customWidth="1"/>
    <col min="4" max="4" width="11.36328125" bestFit="1" customWidth="1"/>
    <col min="5" max="5" width="10.26953125" bestFit="1" customWidth="1"/>
    <col min="6" max="6" width="9.26953125" bestFit="1" customWidth="1"/>
  </cols>
  <sheetData>
    <row r="31" spans="7:7" ht="17.5" x14ac:dyDescent="0.25">
      <c r="G31" s="17"/>
    </row>
    <row r="37" spans="1:7" x14ac:dyDescent="0.25">
      <c r="B37" s="1">
        <f>DATE(2024,1,1)</f>
        <v>45292</v>
      </c>
      <c r="C37" s="1">
        <f>DATE(2022,6,1)</f>
        <v>44713</v>
      </c>
      <c r="D37" s="1">
        <f>DATE(2023,1,1)</f>
        <v>44927</v>
      </c>
    </row>
    <row r="38" spans="1:7" x14ac:dyDescent="0.25">
      <c r="A38" t="s">
        <v>28</v>
      </c>
      <c r="B38" s="2">
        <v>50</v>
      </c>
      <c r="C38">
        <v>30</v>
      </c>
      <c r="D38">
        <v>50</v>
      </c>
    </row>
    <row r="39" spans="1:7" x14ac:dyDescent="0.25">
      <c r="A39" t="s">
        <v>24</v>
      </c>
      <c r="B39" s="2">
        <f>PnL!AE651</f>
        <v>52234.006630137003</v>
      </c>
      <c r="C39" s="2" t="e">
        <f>PnL!AE150</f>
        <v>#VALUE!</v>
      </c>
      <c r="D39" s="2">
        <f>PnL!AE400</f>
        <v>24503.534520547946</v>
      </c>
    </row>
    <row r="40" spans="1:7" x14ac:dyDescent="0.25">
      <c r="A40" t="s">
        <v>29</v>
      </c>
      <c r="B40" s="3">
        <f>B39/B38/10000*365/(PnL!A651-B37)</f>
        <v>0.10446801326027402</v>
      </c>
      <c r="C40" s="3" t="e">
        <f>C39/C38/10000*365/(PnL!A150-C37)</f>
        <v>#VALUE!</v>
      </c>
      <c r="D40" s="3">
        <f>D39/D38/10000*365/(PnL!A400-D37)</f>
        <v>4.914170384615385E-2</v>
      </c>
    </row>
    <row r="41" spans="1:7" x14ac:dyDescent="0.25">
      <c r="A41" t="s">
        <v>30</v>
      </c>
      <c r="B41" s="3">
        <f>_xlfn.STDEV.P(PnL!$AG401:'PnL'!$AG651)*SQRT(252)</f>
        <v>2.3259516105319053E-2</v>
      </c>
      <c r="C41" s="3" t="e">
        <f>_xlfn.STDEV.P(PnL!$AG1:'PnL'!$AG150)*SQRT(126)*2</f>
        <v>#VALUE!</v>
      </c>
      <c r="D41" s="3">
        <f>_xlfn.STDEV.P(PnL!$AG151:'PnL'!$AG400)*SQRT(252)</f>
        <v>1.0812943385990042E-2</v>
      </c>
      <c r="G41">
        <v>1.8</v>
      </c>
    </row>
    <row r="42" spans="1:7" x14ac:dyDescent="0.25">
      <c r="A42" t="s">
        <v>31</v>
      </c>
      <c r="B42" s="3">
        <f>AVERAGE(中国_中债国债到期收益率_1年!H401:'中国_中债国债到期收益率_1年'!H651)/100</f>
        <v>1.9622525896414344E-2</v>
      </c>
      <c r="C42" s="3">
        <f>AVERAGE(中国_中债国债到期收益率_1年!H1:'中国_中债国债到期收益率_1年'!H150)/100</f>
        <v>1.785268918918919E-2</v>
      </c>
      <c r="D42" s="3">
        <f>AVERAGE(中国_中债国债到期收益率_1年!H151:'中国_中债国债到期收益率_1年'!H400)/100</f>
        <v>2.1695891566265061E-2</v>
      </c>
    </row>
    <row r="43" spans="1:7" x14ac:dyDescent="0.25">
      <c r="A43" t="s">
        <v>32</v>
      </c>
      <c r="B43" s="2">
        <f>(B40-B42)/B41</f>
        <v>3.6477752580784331</v>
      </c>
      <c r="C43" s="2" t="e">
        <f t="shared" ref="C43:D43" si="0">(C40-C42)/C41</f>
        <v>#VALUE!</v>
      </c>
      <c r="D43" s="2">
        <f t="shared" si="0"/>
        <v>2.5382369351391758</v>
      </c>
      <c r="G43">
        <v>3.55</v>
      </c>
    </row>
    <row r="44" spans="1:7" x14ac:dyDescent="0.25">
      <c r="A44" t="s">
        <v>27</v>
      </c>
      <c r="B44" s="3">
        <f>MIN(PnL!$AH401:'PnL'!$AH651)</f>
        <v>-7.611889614683621E-3</v>
      </c>
      <c r="C44" s="3" t="e">
        <f>MIN(PnL!$AH1:'PnL'!$AH151)</f>
        <v>#VALUE!</v>
      </c>
      <c r="D44" s="3">
        <f>MIN(PnL!$AH151:'PnL'!$AH400)</f>
        <v>-5.4743653582262171E-3</v>
      </c>
      <c r="G44">
        <v>0.82</v>
      </c>
    </row>
  </sheetData>
  <phoneticPr fontId="5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>
      <selection activeCell="B20" sqref="B20"/>
    </sheetView>
  </sheetViews>
  <sheetFormatPr defaultRowHeight="14" x14ac:dyDescent="0.25"/>
  <cols>
    <col min="1" max="1" width="17.90625" style="14" bestFit="1" customWidth="1"/>
    <col min="2" max="2" width="16.90625" bestFit="1" customWidth="1"/>
    <col min="3" max="5" width="16.90625" customWidth="1"/>
    <col min="6" max="6" width="17.90625" style="19" customWidth="1"/>
  </cols>
  <sheetData>
    <row r="1" spans="1:6" x14ac:dyDescent="0.25">
      <c r="A1" s="14" t="s">
        <v>33</v>
      </c>
      <c r="B1" s="13" t="s">
        <v>35</v>
      </c>
      <c r="C1" s="13" t="s">
        <v>40</v>
      </c>
      <c r="D1" s="13" t="s">
        <v>41</v>
      </c>
      <c r="E1" s="13" t="s">
        <v>42</v>
      </c>
      <c r="F1" s="18" t="s">
        <v>34</v>
      </c>
    </row>
    <row r="2" spans="1:6" x14ac:dyDescent="0.25">
      <c r="A2" s="14">
        <v>44742</v>
      </c>
      <c r="B2" s="12" t="e">
        <f>F2/1-1</f>
        <v>#VALUE!</v>
      </c>
      <c r="C2" s="12" t="e">
        <f>VLOOKUP($A2,中国_中债国债到期收益率_1年!$J:$R,6)</f>
        <v>#VALUE!</v>
      </c>
      <c r="D2" s="12">
        <f>VLOOKUP($A2,中国_中债国债到期收益率_1年!$J:$R,7)</f>
        <v>1.113441020062389E-3</v>
      </c>
      <c r="E2" s="12">
        <f>VLOOKUP($A2,中国_中债国债到期收益率_1年!$J:$R,8)</f>
        <v>7.1291645731892395E-3</v>
      </c>
      <c r="F2" s="19" t="e">
        <f>VLOOKUP(A2,PnL!A:AF,32,FALSE)</f>
        <v>#VALUE!</v>
      </c>
    </row>
    <row r="3" spans="1:6" x14ac:dyDescent="0.25">
      <c r="A3" s="14">
        <v>44771</v>
      </c>
      <c r="B3" s="12" t="e">
        <f t="shared" ref="B3:B33" si="0">F3/1-1</f>
        <v>#VALUE!</v>
      </c>
      <c r="C3" s="12" t="e">
        <f>VLOOKUP($A3,中国_中债国债到期收益率_1年!J:R,6)</f>
        <v>#VALUE!</v>
      </c>
      <c r="D3" s="12">
        <f>VLOOKUP($A3,中国_中债国债到期收益率_1年!$J:$R,7)</f>
        <v>6.5181366070239388E-3</v>
      </c>
      <c r="E3" s="12">
        <f>VLOOKUP($A3,中国_中债国债到期收益率_1年!$J:$R,8)</f>
        <v>1.1775948983286488E-2</v>
      </c>
      <c r="F3" s="19" t="e">
        <f>VLOOKUP(A3,PnL!A:AF,32,FALSE)</f>
        <v>#VALUE!</v>
      </c>
    </row>
    <row r="4" spans="1:6" x14ac:dyDescent="0.25">
      <c r="A4" s="14">
        <v>44804</v>
      </c>
      <c r="B4" s="12" t="e">
        <f t="shared" si="0"/>
        <v>#VALUE!</v>
      </c>
      <c r="C4" s="12" t="e">
        <f>VLOOKUP($A4,中国_中债国债到期收益率_1年!J:R,6)</f>
        <v>#VALUE!</v>
      </c>
      <c r="D4" s="12">
        <f>VLOOKUP($A4,中国_中债国债到期收益率_1年!$J:$R,7)</f>
        <v>1.0462995056875091E-2</v>
      </c>
      <c r="E4" s="12">
        <f>VLOOKUP($A4,中国_中债国债到期收益率_1年!$J:$R,8)</f>
        <v>1.2373995932416282E-2</v>
      </c>
      <c r="F4" s="19" t="e">
        <f>VLOOKUP(A4,PnL!A:AF,32,FALSE)</f>
        <v>#VALUE!</v>
      </c>
    </row>
    <row r="5" spans="1:6" x14ac:dyDescent="0.25">
      <c r="A5" s="14">
        <v>44834</v>
      </c>
      <c r="B5" s="12" t="e">
        <f t="shared" si="0"/>
        <v>#VALUE!</v>
      </c>
      <c r="C5" s="12" t="e">
        <f>VLOOKUP($A5,中国_中债国债到期收益率_1年!J:R,6)</f>
        <v>#VALUE!</v>
      </c>
      <c r="D5" s="12">
        <f>VLOOKUP($A5,中国_中债国债到期收益率_1年!$J:$R,7)</f>
        <v>1.1270830938408638E-2</v>
      </c>
      <c r="E5" s="12">
        <f>VLOOKUP($A5,中国_中债国债到期收益率_1年!$J:$R,8)</f>
        <v>1.0053685713185434E-2</v>
      </c>
      <c r="F5" s="19" t="e">
        <f>VLOOKUP(A5,PnL!A:AF,32,FALSE)</f>
        <v>#VALUE!</v>
      </c>
    </row>
    <row r="6" spans="1:6" x14ac:dyDescent="0.25">
      <c r="A6" s="14">
        <v>44865</v>
      </c>
      <c r="B6" s="12" t="e">
        <f t="shared" si="0"/>
        <v>#VALUE!</v>
      </c>
      <c r="C6" s="12" t="e">
        <f>VLOOKUP($A6,中国_中债国债到期收益率_1年!J:R,6)</f>
        <v>#VALUE!</v>
      </c>
      <c r="D6" s="12">
        <f>VLOOKUP($A6,中国_中债国债到期收益率_1年!$J:$R,7)</f>
        <v>1.4601337987722118E-2</v>
      </c>
      <c r="E6" s="12">
        <f>VLOOKUP($A6,中国_中债国债到期收益率_1年!$J:$R,8)</f>
        <v>1.0854824900164095E-2</v>
      </c>
      <c r="F6" s="19" t="e">
        <f>VLOOKUP(A6,PnL!A:AF,32,FALSE)</f>
        <v>#VALUE!</v>
      </c>
    </row>
    <row r="7" spans="1:6" x14ac:dyDescent="0.25">
      <c r="A7" s="14">
        <v>44895</v>
      </c>
      <c r="B7" s="12" t="e">
        <f t="shared" si="0"/>
        <v>#VALUE!</v>
      </c>
      <c r="C7" s="12" t="e">
        <f>VLOOKUP($A7,中国_中债国债到期收益率_1年!J:R,6)</f>
        <v>#VALUE!</v>
      </c>
      <c r="D7" s="12">
        <f>VLOOKUP($A7,中国_中债国债到期收益率_1年!$J:$R,7)</f>
        <v>8.1802708215588105E-3</v>
      </c>
      <c r="E7" s="12">
        <f>VLOOKUP($A7,中国_中债国债到期收益率_1年!$J:$R,8)</f>
        <v>7.0355359695553066E-3</v>
      </c>
      <c r="F7" s="19" t="e">
        <f>VLOOKUP(A7,PnL!A:AF,32,FALSE)</f>
        <v>#VALUE!</v>
      </c>
    </row>
    <row r="8" spans="1:6" x14ac:dyDescent="0.25">
      <c r="A8" s="14">
        <v>44925</v>
      </c>
      <c r="B8" s="12" t="e">
        <f t="shared" si="0"/>
        <v>#VALUE!</v>
      </c>
      <c r="C8" s="12" t="e">
        <f>VLOOKUP($A8,中国_中债国债到期收益率_1年!J:R,6)</f>
        <v>#VALUE!</v>
      </c>
      <c r="D8" s="12">
        <f>VLOOKUP($A8,中国_中债国债到期收益率_1年!$J:$R,7)</f>
        <v>8.5685485850002241E-3</v>
      </c>
      <c r="E8" s="12">
        <f>VLOOKUP($A8,中国_中债国债到期收益率_1年!$J:$R,8)</f>
        <v>4.9494566724690436E-3</v>
      </c>
      <c r="F8" s="19" t="e">
        <f>VLOOKUP(A8,PnL!A:AF,32,FALSE)</f>
        <v>#VALUE!</v>
      </c>
    </row>
    <row r="9" spans="1:6" x14ac:dyDescent="0.25">
      <c r="A9" s="14">
        <v>44957</v>
      </c>
      <c r="B9" s="12">
        <f t="shared" si="0"/>
        <v>1.2596547945205039E-3</v>
      </c>
      <c r="C9" s="12">
        <f>VLOOKUP($A9,中国_中债国债到期收益率_1年!J:R,6)</f>
        <v>2.4040267099654233E-3</v>
      </c>
      <c r="D9" s="12">
        <f>VLOOKUP($A9,中国_中债国债到期收益率_1年!$J:$R,7)</f>
        <v>1.0032112096132195E-3</v>
      </c>
      <c r="E9" s="12">
        <f>VLOOKUP($A9,中国_中债国债到期收益率_1年!$J:$R,8)</f>
        <v>5.0447803116964174E-3</v>
      </c>
      <c r="F9" s="19">
        <f>VLOOKUP(A9,PnL!A:AF,32,FALSE)</f>
        <v>1.0012596547945205</v>
      </c>
    </row>
    <row r="10" spans="1:6" x14ac:dyDescent="0.25">
      <c r="A10" s="14">
        <v>44985</v>
      </c>
      <c r="B10" s="12">
        <f t="shared" si="0"/>
        <v>1.3963457534247325E-3</v>
      </c>
      <c r="C10" s="12">
        <f>VLOOKUP($A10,中国_中债国债到期收益率_1年!J:R,6)</f>
        <v>4.9683025485001142E-3</v>
      </c>
      <c r="D10" s="12">
        <f>VLOOKUP($A10,中国_中债国债到期收益率_1年!$J:$R,7)</f>
        <v>3.7675645177159822E-3</v>
      </c>
      <c r="E10" s="12">
        <f>VLOOKUP($A10,中国_中债国债到期收益率_1年!$J:$R,8)</f>
        <v>6.4215960874012268E-3</v>
      </c>
      <c r="F10" s="19">
        <f>VLOOKUP(A10,PnL!A:AF,32,FALSE)</f>
        <v>1.0013963457534247</v>
      </c>
    </row>
    <row r="11" spans="1:6" x14ac:dyDescent="0.25">
      <c r="A11" s="14">
        <v>45016</v>
      </c>
      <c r="B11" s="12">
        <f t="shared" si="0"/>
        <v>5.3679328767124446E-3</v>
      </c>
      <c r="C11" s="12">
        <f>VLOOKUP($A11,中国_中债国债到期收益率_1年!J:R,6)</f>
        <v>8.8443029898952474E-3</v>
      </c>
      <c r="D11" s="12">
        <f>VLOOKUP($A11,中国_中债国债到期收益率_1年!$J:$R,7)</f>
        <v>8.7790383109360715E-3</v>
      </c>
      <c r="E11" s="12">
        <f>VLOOKUP($A11,中国_中债国债到期收益率_1年!$J:$R,8)</f>
        <v>1.0500922448261951E-2</v>
      </c>
      <c r="F11" s="19">
        <f>VLOOKUP(A11,PnL!A:AF,32,FALSE)</f>
        <v>1.0053679328767124</v>
      </c>
    </row>
    <row r="12" spans="1:6" x14ac:dyDescent="0.25">
      <c r="A12" s="14">
        <v>45044</v>
      </c>
      <c r="B12" s="12">
        <f t="shared" si="0"/>
        <v>1.3508359999999886E-2</v>
      </c>
      <c r="C12" s="12">
        <f>VLOOKUP($A12,中国_中债国债到期收益率_1年!J:R,6)</f>
        <v>1.2006224041379854E-2</v>
      </c>
      <c r="D12" s="12">
        <f>VLOOKUP($A12,中国_中债国债到期收益率_1年!$J:$R,7)</f>
        <v>1.2619529846819466E-2</v>
      </c>
      <c r="E12" s="12">
        <f>VLOOKUP($A12,中国_中债国债到期收益率_1年!$J:$R,8)</f>
        <v>1.3827411604297346E-2</v>
      </c>
      <c r="F12" s="19">
        <f>VLOOKUP(A12,PnL!A:AF,32,FALSE)</f>
        <v>1.0135083599999999</v>
      </c>
    </row>
    <row r="13" spans="1:6" x14ac:dyDescent="0.25">
      <c r="A13" s="14">
        <v>45077</v>
      </c>
      <c r="B13" s="12">
        <f t="shared" si="0"/>
        <v>2.2982122739725996E-2</v>
      </c>
      <c r="C13" s="12">
        <f>VLOOKUP($A13,中国_中债国债到期收益率_1年!J:R,6)</f>
        <v>1.6022536649236585E-2</v>
      </c>
      <c r="D13" s="12">
        <f>VLOOKUP($A13,中国_中债国债到期收益率_1年!$J:$R,7)</f>
        <v>1.7430594833740987E-2</v>
      </c>
      <c r="E13" s="12">
        <f>VLOOKUP($A13,中国_中债国债到期收益率_1年!$J:$R,8)</f>
        <v>1.6082824978394195E-2</v>
      </c>
      <c r="F13" s="19">
        <f>VLOOKUP(A13,PnL!A:AF,32,FALSE)</f>
        <v>1.022982122739726</v>
      </c>
    </row>
    <row r="14" spans="1:6" x14ac:dyDescent="0.25">
      <c r="A14" s="14">
        <v>45107</v>
      </c>
      <c r="B14" s="12">
        <f t="shared" si="0"/>
        <v>2.7528113150685041E-2</v>
      </c>
      <c r="C14" s="12">
        <f>VLOOKUP($A14,中国_中债国债到期收益率_1年!J:R,6)</f>
        <v>1.8181813966815508E-2</v>
      </c>
      <c r="D14" s="12">
        <f>VLOOKUP($A14,中国_中债国债到期收益率_1年!$J:$R,7)</f>
        <v>2.0433009249756884E-2</v>
      </c>
      <c r="E14" s="12">
        <f>VLOOKUP($A14,中国_中债国债到期收益率_1年!$J:$R,8)</f>
        <v>1.9496064865042406E-2</v>
      </c>
      <c r="F14" s="19">
        <f>VLOOKUP(A14,PnL!A:AF,32,FALSE)</f>
        <v>1.027528113150685</v>
      </c>
    </row>
    <row r="15" spans="1:6" x14ac:dyDescent="0.25">
      <c r="A15" s="14">
        <v>45138</v>
      </c>
      <c r="B15" s="12">
        <f t="shared" si="0"/>
        <v>3.3238449863013608E-2</v>
      </c>
      <c r="C15" s="12">
        <f>VLOOKUP($A15,中国_中债国债到期收益率_1年!J:R,6)</f>
        <v>2.0663733924085603E-2</v>
      </c>
      <c r="D15" s="12">
        <f>VLOOKUP($A15,中国_中债国债到期收益率_1年!$J:$R,7)</f>
        <v>2.2857973097495154E-2</v>
      </c>
      <c r="E15" s="12">
        <f>VLOOKUP($A15,中国_中债国债到期收益率_1年!$J:$R,8)</f>
        <v>2.2735239974032595E-2</v>
      </c>
      <c r="F15" s="19">
        <f>VLOOKUP(A15,PnL!A:AF,32,FALSE)</f>
        <v>1.0332384498630136</v>
      </c>
    </row>
    <row r="16" spans="1:6" x14ac:dyDescent="0.25">
      <c r="A16" s="14">
        <v>45169</v>
      </c>
      <c r="B16" s="12">
        <f t="shared" si="0"/>
        <v>3.4509910136986344E-2</v>
      </c>
      <c r="C16" s="12">
        <f>VLOOKUP($A16,中国_中债国债到期收益率_1年!J:R,6)</f>
        <v>2.3825133369003382E-2</v>
      </c>
      <c r="D16" s="12">
        <f>VLOOKUP($A16,中国_中债国债到期收益率_1年!$J:$R,7)</f>
        <v>2.7075419937719225E-2</v>
      </c>
      <c r="E16" s="12">
        <f>VLOOKUP($A16,中国_中债国债到期收益率_1年!$J:$R,8)</f>
        <v>2.3778818872607355E-2</v>
      </c>
      <c r="F16" s="19">
        <f>VLOOKUP(A16,PnL!A:AF,32,FALSE)</f>
        <v>1.0345099101369863</v>
      </c>
    </row>
    <row r="17" spans="1:6" x14ac:dyDescent="0.25">
      <c r="A17" s="14">
        <v>45197</v>
      </c>
      <c r="B17" s="12">
        <f t="shared" si="0"/>
        <v>3.3955389589041207E-2</v>
      </c>
      <c r="C17" s="12">
        <f>VLOOKUP($A17,中国_中债国债到期收益率_1年!J:R,6)</f>
        <v>2.3981383513894228E-2</v>
      </c>
      <c r="D17" s="12">
        <f>VLOOKUP($A17,中国_中债国债到期收益率_1年!$J:$R,7)</f>
        <v>2.6085134145078293E-2</v>
      </c>
      <c r="E17" s="12">
        <f>VLOOKUP($A17,中国_中债国债到期收益率_1年!$J:$R,8)</f>
        <v>2.2032925211751708E-2</v>
      </c>
      <c r="F17" s="19">
        <f>VLOOKUP(A17,PnL!A:AF,32,FALSE)</f>
        <v>1.0339553895890412</v>
      </c>
    </row>
    <row r="18" spans="1:6" x14ac:dyDescent="0.25">
      <c r="A18" s="14">
        <v>45230</v>
      </c>
      <c r="B18" s="12">
        <f t="shared" si="0"/>
        <v>3.4906361095890404E-2</v>
      </c>
      <c r="C18" s="12">
        <f>VLOOKUP($A18,中国_中债国债到期收益率_1年!J:R,6)</f>
        <v>2.5674054779353472E-2</v>
      </c>
      <c r="D18" s="12">
        <f>VLOOKUP($A18,中国_中债国债到期收益率_1年!$J:$R,7)</f>
        <v>2.7108879043861611E-2</v>
      </c>
      <c r="E18" s="12">
        <f>VLOOKUP($A18,中国_中债国债到期收益率_1年!$J:$R,8)</f>
        <v>2.0991141884305398E-2</v>
      </c>
      <c r="F18" s="19">
        <f>VLOOKUP(A18,PnL!A:AF,32,FALSE)</f>
        <v>1.0349063610958904</v>
      </c>
    </row>
    <row r="19" spans="1:6" x14ac:dyDescent="0.25">
      <c r="A19" s="14">
        <v>45260</v>
      </c>
      <c r="B19" s="12">
        <f t="shared" si="0"/>
        <v>4.0106480547945189E-2</v>
      </c>
      <c r="C19" s="12">
        <f>VLOOKUP($A19,中国_中债国债到期收益率_1年!J:R,6)</f>
        <v>2.7774796248883682E-2</v>
      </c>
      <c r="D19" s="12">
        <f>VLOOKUP($A19,中国_中债国债到期收益率_1年!$J:$R,7)</f>
        <v>2.9301833818389467E-2</v>
      </c>
      <c r="E19" s="12">
        <f>VLOOKUP($A19,中国_中债国债到期收益率_1年!$J:$R,8)</f>
        <v>2.2464707257300764E-2</v>
      </c>
      <c r="F19" s="19">
        <f>VLOOKUP(A19,PnL!A:AF,32,FALSE)</f>
        <v>1.0401064805479452</v>
      </c>
    </row>
    <row r="20" spans="1:6" x14ac:dyDescent="0.25">
      <c r="A20" s="14">
        <v>45291</v>
      </c>
      <c r="B20" s="12">
        <f t="shared" si="0"/>
        <v>4.9007069041095974E-2</v>
      </c>
      <c r="C20" s="12">
        <f>VLOOKUP($A20,中国_中债国债到期收益率_1年!J:R,6)</f>
        <v>3.2117634567539355E-2</v>
      </c>
      <c r="D20" s="12">
        <f>VLOOKUP($A20,中国_中债国债到期收益率_1年!$J:$R,7)</f>
        <v>3.5475384732168935E-2</v>
      </c>
      <c r="E20" s="12">
        <f>VLOOKUP($A20,中国_中债国债到期收益率_1年!$J:$R,8)</f>
        <v>2.7484103122255243E-2</v>
      </c>
      <c r="F20" s="19">
        <f>VLOOKUP(A20,PnL!A:AF,32,FALSE)</f>
        <v>1.049007069041096</v>
      </c>
    </row>
    <row r="21" spans="1:6" x14ac:dyDescent="0.25">
      <c r="A21" s="14">
        <v>45322</v>
      </c>
      <c r="B21" s="12">
        <f t="shared" si="0"/>
        <v>1.3850618630137035E-2</v>
      </c>
      <c r="C21" s="12">
        <f>VLOOKUP($A21,中国_中债国债到期收益率_1年!J:R,6)</f>
        <v>3.70571269678166E-3</v>
      </c>
      <c r="D21" s="12">
        <f>VLOOKUP($A21,中国_中债国债到期收益率_1年!$J:$R,7)</f>
        <v>5.0229828981518398E-3</v>
      </c>
      <c r="E21" s="12">
        <f>VLOOKUP($A21,中国_中债国债到期收益率_1年!$J:$R,8)</f>
        <v>-1.2747507507071543E-3</v>
      </c>
      <c r="F21" s="19">
        <f>VLOOKUP(A21,PnL!A:AF,32,FALSE)</f>
        <v>1.013850618630137</v>
      </c>
    </row>
    <row r="22" spans="1:6" x14ac:dyDescent="0.25">
      <c r="A22" s="14">
        <v>45351</v>
      </c>
      <c r="B22" s="12">
        <f t="shared" si="0"/>
        <v>2.7957497534246478E-2</v>
      </c>
      <c r="C22" s="12">
        <f>VLOOKUP($A22,中国_中债国债到期收益率_1年!J:R,6)</f>
        <v>7.4026674978433515E-3</v>
      </c>
      <c r="D22" s="12">
        <f>VLOOKUP($A22,中国_中债国债到期收益率_1年!$J:$R,7)</f>
        <v>1.0221821133995501E-2</v>
      </c>
      <c r="E22" s="12">
        <f>VLOOKUP($A22,中国_中债国债到期收益率_1年!$J:$R,8)</f>
        <v>7.572081831068056E-3</v>
      </c>
      <c r="F22" s="19">
        <f>VLOOKUP(A22,PnL!A:AF,32,FALSE)</f>
        <v>1.0279574975342465</v>
      </c>
    </row>
    <row r="23" spans="1:6" x14ac:dyDescent="0.25">
      <c r="A23" s="14">
        <v>45380</v>
      </c>
      <c r="B23" s="12">
        <f t="shared" si="0"/>
        <v>3.2814555616438312E-2</v>
      </c>
      <c r="C23" s="12">
        <f>VLOOKUP($A23,中国_中债国债到期收益率_1年!J:R,6)</f>
        <v>9.0234957500063828E-3</v>
      </c>
      <c r="D23" s="12">
        <f>VLOOKUP($A23,中国_中债国债到期收益率_1年!$J:$R,7)</f>
        <v>1.2118361664538391E-2</v>
      </c>
      <c r="E23" s="12">
        <f>VLOOKUP($A23,中国_中债国债到期收益率_1年!$J:$R,8)</f>
        <v>1.0021479911700659E-2</v>
      </c>
      <c r="F23" s="19">
        <f>VLOOKUP(A23,PnL!A:AF,32,FALSE)</f>
        <v>1.0328145556164383</v>
      </c>
    </row>
    <row r="24" spans="1:6" x14ac:dyDescent="0.25">
      <c r="A24" s="14">
        <v>45412</v>
      </c>
      <c r="B24" s="12">
        <f t="shared" si="0"/>
        <v>3.4015046849315E-2</v>
      </c>
      <c r="C24" s="12">
        <f>VLOOKUP($A24,中国_中债国债到期收益率_1年!J:R,6)</f>
        <v>1.1900239932658652E-2</v>
      </c>
      <c r="D24" s="12">
        <f>VLOOKUP($A24,中国_中债国债到期收益率_1年!$J:$R,7)</f>
        <v>1.5541946111528038E-2</v>
      </c>
      <c r="E24" s="12">
        <f>VLOOKUP($A24,中国_中债国债到期收益率_1年!$J:$R,8)</f>
        <v>1.4836656645814905E-2</v>
      </c>
      <c r="F24" s="19">
        <f>VLOOKUP(A24,PnL!A:AF,32,FALSE)</f>
        <v>1.034015046849315</v>
      </c>
    </row>
    <row r="25" spans="1:6" x14ac:dyDescent="0.25">
      <c r="A25" s="14">
        <v>45442</v>
      </c>
      <c r="B25" s="12">
        <f t="shared" si="0"/>
        <v>4.2044952876712394E-2</v>
      </c>
      <c r="C25" s="12">
        <f>VLOOKUP($A25,中国_中债国债到期收益率_1年!J:R,6)</f>
        <v>1.4544170054082262E-2</v>
      </c>
      <c r="D25" s="12">
        <f>VLOOKUP($A25,中国_中债国债到期收益率_1年!$J:$R,7)</f>
        <v>1.9210859609865683E-2</v>
      </c>
      <c r="E25" s="12">
        <f>VLOOKUP($A25,中国_中债国债到期收益率_1年!$J:$R,8)</f>
        <v>1.887249346483344E-2</v>
      </c>
      <c r="F25" s="19">
        <f>VLOOKUP(A25,PnL!A:AF,32,FALSE)</f>
        <v>1.0420449528767124</v>
      </c>
    </row>
    <row r="26" spans="1:6" x14ac:dyDescent="0.25">
      <c r="A26" s="14">
        <v>45443</v>
      </c>
      <c r="B26" s="12">
        <f t="shared" si="0"/>
        <v>4.1929903287671211E-2</v>
      </c>
      <c r="C26" s="12">
        <f>VLOOKUP($A26,中国_中债国债到期收益率_1年!J:R,6)</f>
        <v>1.4588352515183534E-2</v>
      </c>
      <c r="D26" s="12">
        <f>VLOOKUP($A26,中国_中债国债到期收益率_1年!$J:$R,7)</f>
        <v>1.9292065362907174E-2</v>
      </c>
      <c r="E26" s="12">
        <f>VLOOKUP($A26,中国_中债国债到期收益率_1年!$J:$R,8)</f>
        <v>1.8848846987483459E-2</v>
      </c>
      <c r="F26" s="19">
        <f>VLOOKUP(A26,PnL!A:AF,32,FALSE)</f>
        <v>1.0419299032876712</v>
      </c>
    </row>
    <row r="27" spans="1:6" x14ac:dyDescent="0.25">
      <c r="A27" s="14">
        <v>45471</v>
      </c>
      <c r="B27" s="12">
        <f t="shared" si="0"/>
        <v>5.1418861095890556E-2</v>
      </c>
      <c r="C27" s="12">
        <f>VLOOKUP($A27,中国_中债国债到期收益率_1年!J:R,6)</f>
        <v>1.7152170346910411E-2</v>
      </c>
      <c r="D27" s="12">
        <f>VLOOKUP($A27,中国_中债国债到期收益率_1年!$J:$R,7)</f>
        <v>2.3877914978620129E-2</v>
      </c>
      <c r="E27" s="12">
        <f>VLOOKUP($A27,中国_中债国债到期收益率_1年!$J:$R,8)</f>
        <v>2.0792724506681459E-2</v>
      </c>
      <c r="F27" s="19">
        <f>VLOOKUP(A27,PnL!A:AF,32,FALSE)</f>
        <v>1.0514188610958906</v>
      </c>
    </row>
    <row r="28" spans="1:6" x14ac:dyDescent="0.25">
      <c r="A28" s="14">
        <v>45504</v>
      </c>
      <c r="B28" s="12">
        <f t="shared" si="0"/>
        <v>5.8028802958904224E-2</v>
      </c>
      <c r="C28" s="12">
        <f>VLOOKUP($A28,中国_中债国债到期收益率_1年!J:R,6)</f>
        <v>1.9973223295238984E-2</v>
      </c>
      <c r="D28" s="12">
        <f>VLOOKUP($A28,中国_中债国债到期收益率_1年!$J:$R,7)</f>
        <v>2.8332332352392742E-2</v>
      </c>
      <c r="E28" s="12">
        <f>VLOOKUP($A28,中国_中债国债到期收益率_1年!$J:$R,8)</f>
        <v>2.288797375117646E-2</v>
      </c>
      <c r="F28" s="19">
        <f>VLOOKUP(A28,PnL!A:AF,32,FALSE)</f>
        <v>1.0580288029589042</v>
      </c>
    </row>
    <row r="29" spans="1:6" x14ac:dyDescent="0.25">
      <c r="A29" s="14">
        <v>45534</v>
      </c>
      <c r="B29" s="12">
        <f t="shared" si="0"/>
        <v>5.9568842410959055E-2</v>
      </c>
      <c r="C29" s="12">
        <f>VLOOKUP($A29,中国_中债国债到期收益率_1年!J:R,6)</f>
        <v>1.9931791711639724E-2</v>
      </c>
      <c r="D29" s="12">
        <f>VLOOKUP($A29,中国_中债国债到期收益率_1年!$J:$R,7)</f>
        <v>2.7663689609483733E-2</v>
      </c>
      <c r="E29" s="12">
        <f>VLOOKUP($A29,中国_中债国债到期收益率_1年!$J:$R,8)</f>
        <v>1.9967222555367314E-2</v>
      </c>
      <c r="F29" s="19">
        <f>VLOOKUP(A29,PnL!A:AF,32,FALSE)</f>
        <v>1.0595688424109591</v>
      </c>
    </row>
    <row r="30" spans="1:6" x14ac:dyDescent="0.25">
      <c r="A30" s="14">
        <v>45565</v>
      </c>
      <c r="B30" s="12">
        <f t="shared" si="0"/>
        <v>6.2145099561643935E-2</v>
      </c>
      <c r="C30" s="12">
        <f>VLOOKUP($A30,中国_中债国债到期收益率_1年!J:R,6)</f>
        <v>1.9824900471567597E-2</v>
      </c>
      <c r="D30" s="12">
        <f>VLOOKUP($A30,中国_中债国债到期收益率_1年!$J:$R,7)</f>
        <v>2.7214949540749211E-2</v>
      </c>
      <c r="E30" s="12">
        <f>VLOOKUP($A30,中国_中债国债到期收益率_1年!$J:$R,8)</f>
        <v>2.6642383219472654E-2</v>
      </c>
      <c r="F30" s="19">
        <f>VLOOKUP(A30,PnL!A:AF,32,FALSE)</f>
        <v>1.0621450995616439</v>
      </c>
    </row>
    <row r="31" spans="1:6" x14ac:dyDescent="0.25">
      <c r="A31" s="14">
        <v>45595</v>
      </c>
      <c r="B31" s="12">
        <f t="shared" si="0"/>
        <v>6.7090895178082199E-2</v>
      </c>
      <c r="C31" s="12">
        <f>VLOOKUP($A31,中国_中债国债到期收益率_1年!J:R,6)</f>
        <v>2.1046907626319555E-2</v>
      </c>
      <c r="D31" s="12">
        <f>VLOOKUP($A31,中国_中债国债到期收益率_1年!$J:$R,7)</f>
        <v>2.8674064531644117E-2</v>
      </c>
      <c r="E31" s="12">
        <f>VLOOKUP($A31,中国_中债国债到期收益率_1年!$J:$R,8)</f>
        <v>2.7579229235874081E-2</v>
      </c>
      <c r="F31" s="19">
        <f>VLOOKUP(A31,PnL!A:AF,32,FALSE)</f>
        <v>1.0670908951780822</v>
      </c>
    </row>
    <row r="32" spans="1:6" x14ac:dyDescent="0.25">
      <c r="A32" s="14">
        <v>45625</v>
      </c>
      <c r="B32" s="12">
        <f t="shared" si="0"/>
        <v>7.9024024493150602E-2</v>
      </c>
      <c r="C32" s="12">
        <f>VLOOKUP($A32,中国_中债国债到期收益率_1年!J:R,6)</f>
        <v>2.473353260165978E-2</v>
      </c>
      <c r="D32" s="12">
        <f>VLOOKUP($A32,中国_中债国债到期收益率_1年!$J:$R,7)</f>
        <v>3.5083014616409169E-2</v>
      </c>
      <c r="E32" s="12">
        <f>VLOOKUP($A32,中国_中债国债到期收益率_1年!$J:$R,8)</f>
        <v>3.4591472148116642E-2</v>
      </c>
      <c r="F32" s="19">
        <f>VLOOKUP(A32,PnL!A:AF,32,FALSE)</f>
        <v>1.0790240244931506</v>
      </c>
    </row>
    <row r="33" spans="1:6" x14ac:dyDescent="0.25">
      <c r="A33" s="14">
        <v>45657</v>
      </c>
      <c r="B33" s="12">
        <f t="shared" si="0"/>
        <v>0.104468013260274</v>
      </c>
      <c r="C33" s="12">
        <f>VLOOKUP($A33,中国_中债国债到期收益率_1年!J:R,6)</f>
        <v>3.0065126182750923E-2</v>
      </c>
      <c r="D33" s="12">
        <f>VLOOKUP($A33,中国_中债国债到期收益率_1年!$J:$R,7)</f>
        <v>4.5979866400879477E-2</v>
      </c>
      <c r="E33" s="12">
        <f>VLOOKUP($A33,中国_中债国债到期收益率_1年!$J:$R,8)</f>
        <v>4.4835366027935475E-2</v>
      </c>
      <c r="F33" s="19">
        <f>VLOOKUP(A33,PnL!A:AF,32,FALSE)</f>
        <v>1.104468013260274</v>
      </c>
    </row>
  </sheetData>
  <phoneticPr fontId="5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D43" sqref="D42:D43"/>
    </sheetView>
  </sheetViews>
  <sheetFormatPr defaultRowHeight="14" x14ac:dyDescent="0.25"/>
  <cols>
    <col min="1" max="1" width="23.26953125" bestFit="1" customWidth="1"/>
    <col min="2" max="2" width="14.6328125" bestFit="1" customWidth="1"/>
    <col min="3" max="4" width="15.7265625" bestFit="1" customWidth="1"/>
  </cols>
  <sheetData>
    <row r="1" spans="1:4" x14ac:dyDescent="0.25">
      <c r="A1" s="13" t="s">
        <v>43</v>
      </c>
      <c r="B1" s="13" t="s">
        <v>50</v>
      </c>
      <c r="C1" s="13" t="s">
        <v>51</v>
      </c>
      <c r="D1" s="13" t="s">
        <v>52</v>
      </c>
    </row>
    <row r="2" spans="1:4" x14ac:dyDescent="0.25">
      <c r="A2" s="13" t="s">
        <v>44</v>
      </c>
      <c r="B2" s="13" t="s">
        <v>53</v>
      </c>
      <c r="C2" s="13" t="s">
        <v>54</v>
      </c>
      <c r="D2" s="13" t="s">
        <v>54</v>
      </c>
    </row>
    <row r="3" spans="1:4" x14ac:dyDescent="0.25">
      <c r="A3" s="13" t="s">
        <v>45</v>
      </c>
      <c r="B3" s="12">
        <v>1.78E-2</v>
      </c>
      <c r="C3" s="12">
        <v>2.1600000000000001E-2</v>
      </c>
      <c r="D3" s="12">
        <v>2.1100000000000001E-2</v>
      </c>
    </row>
    <row r="4" spans="1:4" x14ac:dyDescent="0.25">
      <c r="A4" s="13" t="s">
        <v>46</v>
      </c>
      <c r="B4" s="12">
        <v>2.1000000000000001E-2</v>
      </c>
    </row>
    <row r="5" spans="1:4" x14ac:dyDescent="0.25">
      <c r="A5" s="13" t="s">
        <v>47</v>
      </c>
      <c r="B5" s="13" t="s">
        <v>55</v>
      </c>
    </row>
    <row r="6" spans="1:4" x14ac:dyDescent="0.25">
      <c r="A6" s="13" t="s">
        <v>48</v>
      </c>
    </row>
    <row r="7" spans="1:4" x14ac:dyDescent="0.25">
      <c r="A7" s="13" t="s">
        <v>49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中国_中债国债到期收益率_1年</vt:lpstr>
      <vt:lpstr>Return</vt:lpstr>
      <vt:lpstr>PnL</vt:lpstr>
      <vt:lpstr>Charts</vt:lpstr>
      <vt:lpstr>summary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 Yunfei</cp:lastModifiedBy>
  <dcterms:created xsi:type="dcterms:W3CDTF">2024-06-17T13:18:00Z</dcterms:created>
  <dcterms:modified xsi:type="dcterms:W3CDTF">2026-03-09T05:30:45Z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B68A0577922E47FCA556185FEA4F13C5_12</vt:lpwstr>
  </property>
  <property fmtid="{D5CDD505-2E9C-101B-9397-08002B2CF9AE}" pid="3" name="KSOProductBuildVer">
    <vt:lpwstr>2052-12.1.0.19302</vt:lpwstr>
  </property>
</Properties>
</file>