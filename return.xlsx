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50" windowHeight="7000" activeTab="3"/>
  </bookViews>
  <sheets>
    <sheet name="中国_中债国债到期收益率_1年" sheetId="1" r:id="rId1"/>
    <sheet name="Return" sheetId="3" r:id="rId2"/>
    <sheet name="PnL" sheetId="2" r:id="rId3"/>
    <sheet name="Chart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CMBC</author>
  </authors>
  <commentList>
    <comment ref="B2" authorId="0">
      <text>
        <r>
          <rPr>
            <b/>
            <sz val="9"/>
            <rFont val="Tahoma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<sst xmlns="http://schemas.openxmlformats.org/spreadsheetml/2006/main" count="50" uniqueCount="33">
  <si>
    <t>日期</t>
  </si>
  <si>
    <t>中债国债到期收益率:1年</t>
  </si>
  <si>
    <t>中债国债到期收益率:5年</t>
  </si>
  <si>
    <t>中国:中债国债到期收益率:10年</t>
  </si>
  <si>
    <t>中债国债到期收益率:30年</t>
  </si>
  <si>
    <t>利率互换:FR007:1年</t>
  </si>
  <si>
    <t>利率互换:FR007:5年</t>
  </si>
  <si>
    <t>FR007</t>
  </si>
  <si>
    <t>Bond1Y</t>
  </si>
  <si>
    <t>Bond5Y</t>
  </si>
  <si>
    <t>Bond10Y</t>
  </si>
  <si>
    <t>Bond30Y</t>
  </si>
  <si>
    <t>Sum</t>
  </si>
  <si>
    <t>DVBond1Y</t>
  </si>
  <si>
    <t>Capcumsum</t>
  </si>
  <si>
    <t>CarryBond1Y</t>
  </si>
  <si>
    <t>Carrycumsum</t>
  </si>
  <si>
    <t>Cost</t>
  </si>
  <si>
    <t>CostCum</t>
  </si>
  <si>
    <t>IRS1Y</t>
  </si>
  <si>
    <t>IRS5Y</t>
  </si>
  <si>
    <t>IRS1YPnL</t>
  </si>
  <si>
    <t>IRS5YPnL</t>
  </si>
  <si>
    <t>cumsum</t>
  </si>
  <si>
    <t>total</t>
  </si>
  <si>
    <t>NetValue</t>
  </si>
  <si>
    <t>daliyRet</t>
  </si>
  <si>
    <t>MDD</t>
  </si>
  <si>
    <t>size</t>
  </si>
  <si>
    <t>return</t>
  </si>
  <si>
    <t>dev</t>
  </si>
  <si>
    <t>rfr</t>
  </si>
  <si>
    <t>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</si>
</sst>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%"/>
    <numFmt numFmtId="178" formatCode="yyyy\-mm\-dd"/>
    <numFmt numFmtId="179" formatCode="0.000%"/>
    <numFmt numFmtId="180" formatCode="0.0000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10" fontId="0" fillId="0" borderId="0" xfId="3" applyNumberFormat="1" applyFont="1">
      <alignment vertical="center"/>
    </xf>
    <xf numFmtId="177" fontId="0" fillId="0" borderId="0" xfId="3" applyNumberFormat="1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/>
    </xf>
    <xf numFmtId="179" fontId="0" fillId="0" borderId="0" xfId="3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" fillId="0" borderId="0" xfId="0" applyNumberFormat="1" applyFont="1" applyAlignment="1">
      <alignment horizontal="right"/>
    </xf>
    <xf numFmtId="180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2023.6-12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PnL!$B$151:$B$396</c:f>
              <c:numCache>
                <c:formatCode>General</c:formatCode>
                <c:ptCount val="24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PnL!$C$151:$C$396</c:f>
              <c:numCache>
                <c:formatCode>General</c:formatCode>
                <c:ptCount val="24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PnL!$D$151:$D$396</c:f>
              <c:numCache>
                <c:formatCode>General</c:formatCode>
                <c:ptCount val="246"/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-10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PnL!$E$151:$E$396</c:f>
              <c:numCache>
                <c:formatCode>General</c:formatCode>
                <c:ptCount val="246"/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PnL!$F$151:$F$396</c:f>
              <c:numCache>
                <c:formatCode>General</c:formatCode>
                <c:ptCount val="24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80</c:v>
                </c:pt>
                <c:pt idx="19">
                  <c:v>80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95</c:v>
                </c:pt>
                <c:pt idx="58">
                  <c:v>95</c:v>
                </c:pt>
                <c:pt idx="59">
                  <c:v>95</c:v>
                </c:pt>
                <c:pt idx="60">
                  <c:v>95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95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95</c:v>
                </c:pt>
                <c:pt idx="72">
                  <c:v>95</c:v>
                </c:pt>
                <c:pt idx="73">
                  <c:v>95</c:v>
                </c:pt>
                <c:pt idx="74">
                  <c:v>95</c:v>
                </c:pt>
                <c:pt idx="75">
                  <c:v>95</c:v>
                </c:pt>
                <c:pt idx="76">
                  <c:v>95</c:v>
                </c:pt>
                <c:pt idx="77">
                  <c:v>95</c:v>
                </c:pt>
                <c:pt idx="78">
                  <c:v>95</c:v>
                </c:pt>
                <c:pt idx="79">
                  <c:v>95</c:v>
                </c:pt>
                <c:pt idx="80">
                  <c:v>95</c:v>
                </c:pt>
                <c:pt idx="81">
                  <c:v>95</c:v>
                </c:pt>
                <c:pt idx="82">
                  <c:v>95</c:v>
                </c:pt>
                <c:pt idx="83">
                  <c:v>95</c:v>
                </c:pt>
                <c:pt idx="84">
                  <c:v>95</c:v>
                </c:pt>
                <c:pt idx="85">
                  <c:v>95</c:v>
                </c:pt>
                <c:pt idx="86">
                  <c:v>95</c:v>
                </c:pt>
                <c:pt idx="87">
                  <c:v>95</c:v>
                </c:pt>
                <c:pt idx="88">
                  <c:v>95</c:v>
                </c:pt>
                <c:pt idx="89">
                  <c:v>95</c:v>
                </c:pt>
                <c:pt idx="90">
                  <c:v>95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95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95</c:v>
                </c:pt>
                <c:pt idx="103">
                  <c:v>75</c:v>
                </c:pt>
                <c:pt idx="104">
                  <c:v>75</c:v>
                </c:pt>
                <c:pt idx="105">
                  <c:v>75</c:v>
                </c:pt>
                <c:pt idx="106">
                  <c:v>75</c:v>
                </c:pt>
                <c:pt idx="107">
                  <c:v>75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75</c:v>
                </c:pt>
                <c:pt idx="127">
                  <c:v>75</c:v>
                </c:pt>
                <c:pt idx="128">
                  <c:v>75</c:v>
                </c:pt>
                <c:pt idx="129">
                  <c:v>75</c:v>
                </c:pt>
                <c:pt idx="130">
                  <c:v>75</c:v>
                </c:pt>
                <c:pt idx="131">
                  <c:v>75</c:v>
                </c:pt>
                <c:pt idx="132">
                  <c:v>75</c:v>
                </c:pt>
                <c:pt idx="133">
                  <c:v>75</c:v>
                </c:pt>
                <c:pt idx="134">
                  <c:v>75</c:v>
                </c:pt>
                <c:pt idx="135">
                  <c:v>75</c:v>
                </c:pt>
                <c:pt idx="136">
                  <c:v>75</c:v>
                </c:pt>
                <c:pt idx="137">
                  <c:v>75</c:v>
                </c:pt>
                <c:pt idx="138">
                  <c:v>75</c:v>
                </c:pt>
                <c:pt idx="139">
                  <c:v>75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PnL!$G$151:$G$396</c:f>
              <c:numCache>
                <c:formatCode>General</c:formatCode>
                <c:ptCount val="24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PnL!$H$151:$H$396</c:f>
              <c:numCache>
                <c:formatCode>General</c:formatCode>
                <c:ptCount val="24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PnL!$I$151:$I$396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-90</c:v>
                </c:pt>
                <c:pt idx="141">
                  <c:v>-90</c:v>
                </c:pt>
                <c:pt idx="142">
                  <c:v>-90</c:v>
                </c:pt>
                <c:pt idx="143">
                  <c:v>-90</c:v>
                </c:pt>
                <c:pt idx="144">
                  <c:v>-90</c:v>
                </c:pt>
                <c:pt idx="145">
                  <c:v>-90</c:v>
                </c:pt>
                <c:pt idx="146">
                  <c:v>-90</c:v>
                </c:pt>
                <c:pt idx="147">
                  <c:v>-90</c:v>
                </c:pt>
                <c:pt idx="148">
                  <c:v>-90</c:v>
                </c:pt>
                <c:pt idx="149">
                  <c:v>-90</c:v>
                </c:pt>
                <c:pt idx="150">
                  <c:v>-90</c:v>
                </c:pt>
                <c:pt idx="151">
                  <c:v>-90</c:v>
                </c:pt>
                <c:pt idx="152">
                  <c:v>-90</c:v>
                </c:pt>
                <c:pt idx="153">
                  <c:v>-90</c:v>
                </c:pt>
                <c:pt idx="154">
                  <c:v>-90</c:v>
                </c:pt>
                <c:pt idx="155">
                  <c:v>-90</c:v>
                </c:pt>
                <c:pt idx="156">
                  <c:v>-90</c:v>
                </c:pt>
                <c:pt idx="157">
                  <c:v>-90</c:v>
                </c:pt>
                <c:pt idx="158">
                  <c:v>-90</c:v>
                </c:pt>
                <c:pt idx="159">
                  <c:v>-90</c:v>
                </c:pt>
                <c:pt idx="160">
                  <c:v>-90</c:v>
                </c:pt>
                <c:pt idx="161">
                  <c:v>-90</c:v>
                </c:pt>
                <c:pt idx="162">
                  <c:v>-90</c:v>
                </c:pt>
                <c:pt idx="163">
                  <c:v>-90</c:v>
                </c:pt>
                <c:pt idx="164">
                  <c:v>-90</c:v>
                </c:pt>
                <c:pt idx="165">
                  <c:v>-90</c:v>
                </c:pt>
                <c:pt idx="166">
                  <c:v>-90</c:v>
                </c:pt>
                <c:pt idx="167">
                  <c:v>-90</c:v>
                </c:pt>
                <c:pt idx="168">
                  <c:v>-90</c:v>
                </c:pt>
                <c:pt idx="169">
                  <c:v>-90</c:v>
                </c:pt>
                <c:pt idx="170">
                  <c:v>-90</c:v>
                </c:pt>
                <c:pt idx="171">
                  <c:v>-90</c:v>
                </c:pt>
                <c:pt idx="172">
                  <c:v>-90</c:v>
                </c:pt>
                <c:pt idx="173">
                  <c:v>-90</c:v>
                </c:pt>
                <c:pt idx="174">
                  <c:v>-90</c:v>
                </c:pt>
                <c:pt idx="175">
                  <c:v>-90</c:v>
                </c:pt>
                <c:pt idx="176">
                  <c:v>-90</c:v>
                </c:pt>
                <c:pt idx="177">
                  <c:v>-90</c:v>
                </c:pt>
                <c:pt idx="178">
                  <c:v>-90</c:v>
                </c:pt>
                <c:pt idx="179">
                  <c:v>-90</c:v>
                </c:pt>
                <c:pt idx="180">
                  <c:v>-90</c:v>
                </c:pt>
                <c:pt idx="181">
                  <c:v>-90</c:v>
                </c:pt>
                <c:pt idx="182">
                  <c:v>-90</c:v>
                </c:pt>
                <c:pt idx="183">
                  <c:v>-90</c:v>
                </c:pt>
                <c:pt idx="184">
                  <c:v>-90</c:v>
                </c:pt>
                <c:pt idx="185">
                  <c:v>-90</c:v>
                </c:pt>
                <c:pt idx="186">
                  <c:v>-90</c:v>
                </c:pt>
                <c:pt idx="187">
                  <c:v>-90</c:v>
                </c:pt>
                <c:pt idx="188">
                  <c:v>-90</c:v>
                </c:pt>
                <c:pt idx="189">
                  <c:v>-90</c:v>
                </c:pt>
                <c:pt idx="190">
                  <c:v>-90</c:v>
                </c:pt>
                <c:pt idx="191">
                  <c:v>-90</c:v>
                </c:pt>
                <c:pt idx="192">
                  <c:v>-90</c:v>
                </c:pt>
                <c:pt idx="193">
                  <c:v>-90</c:v>
                </c:pt>
                <c:pt idx="194">
                  <c:v>-90</c:v>
                </c:pt>
                <c:pt idx="195">
                  <c:v>-90</c:v>
                </c:pt>
                <c:pt idx="196">
                  <c:v>-90</c:v>
                </c:pt>
                <c:pt idx="197">
                  <c:v>-90</c:v>
                </c:pt>
                <c:pt idx="198">
                  <c:v>-90</c:v>
                </c:pt>
                <c:pt idx="199">
                  <c:v>-90</c:v>
                </c:pt>
                <c:pt idx="200">
                  <c:v>-90</c:v>
                </c:pt>
                <c:pt idx="201">
                  <c:v>-90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180</c:v>
                </c:pt>
                <c:pt idx="208">
                  <c:v>180</c:v>
                </c:pt>
                <c:pt idx="209">
                  <c:v>180</c:v>
                </c:pt>
                <c:pt idx="210">
                  <c:v>180</c:v>
                </c:pt>
                <c:pt idx="211">
                  <c:v>180</c:v>
                </c:pt>
                <c:pt idx="212">
                  <c:v>180</c:v>
                </c:pt>
                <c:pt idx="213">
                  <c:v>180</c:v>
                </c:pt>
                <c:pt idx="214">
                  <c:v>180</c:v>
                </c:pt>
                <c:pt idx="215">
                  <c:v>180</c:v>
                </c:pt>
                <c:pt idx="216">
                  <c:v>180</c:v>
                </c:pt>
                <c:pt idx="217">
                  <c:v>180</c:v>
                </c:pt>
                <c:pt idx="218">
                  <c:v>180</c:v>
                </c:pt>
                <c:pt idx="219">
                  <c:v>180</c:v>
                </c:pt>
                <c:pt idx="220">
                  <c:v>180</c:v>
                </c:pt>
                <c:pt idx="221">
                  <c:v>180</c:v>
                </c:pt>
                <c:pt idx="222">
                  <c:v>180</c:v>
                </c:pt>
                <c:pt idx="223">
                  <c:v>180</c:v>
                </c:pt>
                <c:pt idx="224">
                  <c:v>180</c:v>
                </c:pt>
                <c:pt idx="225">
                  <c:v>180</c:v>
                </c:pt>
                <c:pt idx="226">
                  <c:v>180</c:v>
                </c:pt>
                <c:pt idx="227">
                  <c:v>180</c:v>
                </c:pt>
                <c:pt idx="228">
                  <c:v>180</c:v>
                </c:pt>
                <c:pt idx="229">
                  <c:v>180</c:v>
                </c:pt>
                <c:pt idx="230">
                  <c:v>180</c:v>
                </c:pt>
                <c:pt idx="231">
                  <c:v>180</c:v>
                </c:pt>
                <c:pt idx="232">
                  <c:v>180</c:v>
                </c:pt>
                <c:pt idx="233">
                  <c:v>180</c:v>
                </c:pt>
                <c:pt idx="234">
                  <c:v>180</c:v>
                </c:pt>
                <c:pt idx="235">
                  <c:v>180</c:v>
                </c:pt>
                <c:pt idx="236">
                  <c:v>180</c:v>
                </c:pt>
                <c:pt idx="237">
                  <c:v>180</c:v>
                </c:pt>
                <c:pt idx="238">
                  <c:v>180</c:v>
                </c:pt>
                <c:pt idx="239">
                  <c:v>180</c:v>
                </c:pt>
                <c:pt idx="240">
                  <c:v>180</c:v>
                </c:pt>
                <c:pt idx="241">
                  <c:v>180</c:v>
                </c:pt>
                <c:pt idx="242">
                  <c:v>180</c:v>
                </c:pt>
                <c:pt idx="243">
                  <c:v>180</c:v>
                </c:pt>
                <c:pt idx="244">
                  <c:v>180</c:v>
                </c:pt>
                <c:pt idx="245">
                  <c:v>180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PnL!$J$151:$J$396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160</c:v>
                </c:pt>
                <c:pt idx="203">
                  <c:v>160</c:v>
                </c:pt>
                <c:pt idx="204">
                  <c:v>160</c:v>
                </c:pt>
                <c:pt idx="205">
                  <c:v>160</c:v>
                </c:pt>
                <c:pt idx="206">
                  <c:v>160</c:v>
                </c:pt>
                <c:pt idx="207">
                  <c:v>160</c:v>
                </c:pt>
                <c:pt idx="208">
                  <c:v>160</c:v>
                </c:pt>
                <c:pt idx="209">
                  <c:v>160</c:v>
                </c:pt>
                <c:pt idx="210">
                  <c:v>160</c:v>
                </c:pt>
                <c:pt idx="211">
                  <c:v>160</c:v>
                </c:pt>
                <c:pt idx="212">
                  <c:v>160</c:v>
                </c:pt>
                <c:pt idx="213">
                  <c:v>160</c:v>
                </c:pt>
                <c:pt idx="214">
                  <c:v>160</c:v>
                </c:pt>
                <c:pt idx="215">
                  <c:v>160</c:v>
                </c:pt>
                <c:pt idx="216">
                  <c:v>160</c:v>
                </c:pt>
                <c:pt idx="217">
                  <c:v>160</c:v>
                </c:pt>
                <c:pt idx="218">
                  <c:v>160</c:v>
                </c:pt>
                <c:pt idx="219">
                  <c:v>160</c:v>
                </c:pt>
                <c:pt idx="220">
                  <c:v>160</c:v>
                </c:pt>
                <c:pt idx="221">
                  <c:v>160</c:v>
                </c:pt>
                <c:pt idx="222">
                  <c:v>160</c:v>
                </c:pt>
                <c:pt idx="223">
                  <c:v>160</c:v>
                </c:pt>
                <c:pt idx="224">
                  <c:v>160</c:v>
                </c:pt>
                <c:pt idx="225">
                  <c:v>160</c:v>
                </c:pt>
                <c:pt idx="226">
                  <c:v>160</c:v>
                </c:pt>
                <c:pt idx="227">
                  <c:v>160</c:v>
                </c:pt>
                <c:pt idx="228">
                  <c:v>160</c:v>
                </c:pt>
                <c:pt idx="229">
                  <c:v>160</c:v>
                </c:pt>
                <c:pt idx="230">
                  <c:v>160</c:v>
                </c:pt>
                <c:pt idx="231">
                  <c:v>160</c:v>
                </c:pt>
                <c:pt idx="232">
                  <c:v>160</c:v>
                </c:pt>
                <c:pt idx="233">
                  <c:v>160</c:v>
                </c:pt>
                <c:pt idx="234">
                  <c:v>160</c:v>
                </c:pt>
                <c:pt idx="235">
                  <c:v>160</c:v>
                </c:pt>
                <c:pt idx="236">
                  <c:v>160</c:v>
                </c:pt>
                <c:pt idx="237">
                  <c:v>160</c:v>
                </c:pt>
                <c:pt idx="238">
                  <c:v>160</c:v>
                </c:pt>
                <c:pt idx="239">
                  <c:v>160</c:v>
                </c:pt>
                <c:pt idx="240">
                  <c:v>160</c:v>
                </c:pt>
                <c:pt idx="241">
                  <c:v>160</c:v>
                </c:pt>
                <c:pt idx="242">
                  <c:v>160</c:v>
                </c:pt>
                <c:pt idx="243">
                  <c:v>160</c:v>
                </c:pt>
                <c:pt idx="244">
                  <c:v>160</c:v>
                </c:pt>
                <c:pt idx="245">
                  <c:v>160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PnL!$K$151:$K$396</c:f>
              <c:numCache>
                <c:formatCode>General</c:formatCode>
                <c:ptCount val="246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240</c:v>
                </c:pt>
                <c:pt idx="19">
                  <c:v>240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370</c:v>
                </c:pt>
                <c:pt idx="58">
                  <c:v>370</c:v>
                </c:pt>
                <c:pt idx="59">
                  <c:v>370</c:v>
                </c:pt>
                <c:pt idx="60">
                  <c:v>370</c:v>
                </c:pt>
                <c:pt idx="61">
                  <c:v>370</c:v>
                </c:pt>
                <c:pt idx="62">
                  <c:v>370</c:v>
                </c:pt>
                <c:pt idx="63">
                  <c:v>370</c:v>
                </c:pt>
                <c:pt idx="64">
                  <c:v>370</c:v>
                </c:pt>
                <c:pt idx="65">
                  <c:v>370</c:v>
                </c:pt>
                <c:pt idx="66">
                  <c:v>370</c:v>
                </c:pt>
                <c:pt idx="67">
                  <c:v>370</c:v>
                </c:pt>
                <c:pt idx="68">
                  <c:v>370</c:v>
                </c:pt>
                <c:pt idx="69">
                  <c:v>370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  <c:pt idx="87">
                  <c:v>370</c:v>
                </c:pt>
                <c:pt idx="88">
                  <c:v>370</c:v>
                </c:pt>
                <c:pt idx="89">
                  <c:v>370</c:v>
                </c:pt>
                <c:pt idx="90">
                  <c:v>370</c:v>
                </c:pt>
                <c:pt idx="91">
                  <c:v>370</c:v>
                </c:pt>
                <c:pt idx="92">
                  <c:v>370</c:v>
                </c:pt>
                <c:pt idx="93">
                  <c:v>370</c:v>
                </c:pt>
                <c:pt idx="94">
                  <c:v>370</c:v>
                </c:pt>
                <c:pt idx="95">
                  <c:v>370</c:v>
                </c:pt>
                <c:pt idx="96">
                  <c:v>370</c:v>
                </c:pt>
                <c:pt idx="97">
                  <c:v>370</c:v>
                </c:pt>
                <c:pt idx="98">
                  <c:v>370</c:v>
                </c:pt>
                <c:pt idx="99">
                  <c:v>370</c:v>
                </c:pt>
                <c:pt idx="100">
                  <c:v>370</c:v>
                </c:pt>
                <c:pt idx="101">
                  <c:v>370</c:v>
                </c:pt>
                <c:pt idx="102">
                  <c:v>370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130</c:v>
                </c:pt>
                <c:pt idx="141">
                  <c:v>130</c:v>
                </c:pt>
                <c:pt idx="142">
                  <c:v>130</c:v>
                </c:pt>
                <c:pt idx="143">
                  <c:v>130</c:v>
                </c:pt>
                <c:pt idx="144">
                  <c:v>130</c:v>
                </c:pt>
                <c:pt idx="145">
                  <c:v>130</c:v>
                </c:pt>
                <c:pt idx="146">
                  <c:v>130</c:v>
                </c:pt>
                <c:pt idx="147">
                  <c:v>130</c:v>
                </c:pt>
                <c:pt idx="148">
                  <c:v>130</c:v>
                </c:pt>
                <c:pt idx="149">
                  <c:v>130</c:v>
                </c:pt>
                <c:pt idx="150">
                  <c:v>130</c:v>
                </c:pt>
                <c:pt idx="151">
                  <c:v>130</c:v>
                </c:pt>
                <c:pt idx="152">
                  <c:v>130</c:v>
                </c:pt>
                <c:pt idx="153">
                  <c:v>130</c:v>
                </c:pt>
                <c:pt idx="154">
                  <c:v>130</c:v>
                </c:pt>
                <c:pt idx="155">
                  <c:v>130</c:v>
                </c:pt>
                <c:pt idx="156">
                  <c:v>130</c:v>
                </c:pt>
                <c:pt idx="157">
                  <c:v>130</c:v>
                </c:pt>
                <c:pt idx="158">
                  <c:v>130</c:v>
                </c:pt>
                <c:pt idx="159">
                  <c:v>130</c:v>
                </c:pt>
                <c:pt idx="160">
                  <c:v>130</c:v>
                </c:pt>
                <c:pt idx="161">
                  <c:v>130</c:v>
                </c:pt>
                <c:pt idx="162">
                  <c:v>130</c:v>
                </c:pt>
                <c:pt idx="163">
                  <c:v>130</c:v>
                </c:pt>
                <c:pt idx="164">
                  <c:v>130</c:v>
                </c:pt>
                <c:pt idx="165">
                  <c:v>130</c:v>
                </c:pt>
                <c:pt idx="166">
                  <c:v>130</c:v>
                </c:pt>
                <c:pt idx="167">
                  <c:v>130</c:v>
                </c:pt>
                <c:pt idx="168">
                  <c:v>130</c:v>
                </c:pt>
                <c:pt idx="169">
                  <c:v>130</c:v>
                </c:pt>
                <c:pt idx="170">
                  <c:v>130</c:v>
                </c:pt>
                <c:pt idx="171">
                  <c:v>130</c:v>
                </c:pt>
                <c:pt idx="172">
                  <c:v>130</c:v>
                </c:pt>
                <c:pt idx="173">
                  <c:v>130</c:v>
                </c:pt>
                <c:pt idx="174">
                  <c:v>130</c:v>
                </c:pt>
                <c:pt idx="175">
                  <c:v>130</c:v>
                </c:pt>
                <c:pt idx="176">
                  <c:v>130</c:v>
                </c:pt>
                <c:pt idx="177">
                  <c:v>130</c:v>
                </c:pt>
                <c:pt idx="178">
                  <c:v>130</c:v>
                </c:pt>
                <c:pt idx="179">
                  <c:v>130</c:v>
                </c:pt>
                <c:pt idx="180">
                  <c:v>130</c:v>
                </c:pt>
                <c:pt idx="181">
                  <c:v>130</c:v>
                </c:pt>
                <c:pt idx="182">
                  <c:v>130</c:v>
                </c:pt>
                <c:pt idx="183">
                  <c:v>130</c:v>
                </c:pt>
                <c:pt idx="184">
                  <c:v>130</c:v>
                </c:pt>
                <c:pt idx="185">
                  <c:v>130</c:v>
                </c:pt>
                <c:pt idx="186">
                  <c:v>130</c:v>
                </c:pt>
                <c:pt idx="187">
                  <c:v>130</c:v>
                </c:pt>
                <c:pt idx="188">
                  <c:v>130</c:v>
                </c:pt>
                <c:pt idx="189">
                  <c:v>130</c:v>
                </c:pt>
                <c:pt idx="190">
                  <c:v>130</c:v>
                </c:pt>
                <c:pt idx="191">
                  <c:v>130</c:v>
                </c:pt>
                <c:pt idx="192">
                  <c:v>130</c:v>
                </c:pt>
                <c:pt idx="193">
                  <c:v>130</c:v>
                </c:pt>
                <c:pt idx="194">
                  <c:v>130</c:v>
                </c:pt>
                <c:pt idx="195">
                  <c:v>130</c:v>
                </c:pt>
                <c:pt idx="196">
                  <c:v>130</c:v>
                </c:pt>
                <c:pt idx="197">
                  <c:v>130</c:v>
                </c:pt>
                <c:pt idx="198">
                  <c:v>130</c:v>
                </c:pt>
                <c:pt idx="199">
                  <c:v>130</c:v>
                </c:pt>
                <c:pt idx="200">
                  <c:v>130</c:v>
                </c:pt>
                <c:pt idx="201">
                  <c:v>130</c:v>
                </c:pt>
                <c:pt idx="202">
                  <c:v>460</c:v>
                </c:pt>
                <c:pt idx="203">
                  <c:v>460</c:v>
                </c:pt>
                <c:pt idx="204">
                  <c:v>460</c:v>
                </c:pt>
                <c:pt idx="205">
                  <c:v>460</c:v>
                </c:pt>
                <c:pt idx="206">
                  <c:v>460</c:v>
                </c:pt>
                <c:pt idx="207">
                  <c:v>460</c:v>
                </c:pt>
                <c:pt idx="208">
                  <c:v>460</c:v>
                </c:pt>
                <c:pt idx="209">
                  <c:v>460</c:v>
                </c:pt>
                <c:pt idx="210">
                  <c:v>460</c:v>
                </c:pt>
                <c:pt idx="211">
                  <c:v>460</c:v>
                </c:pt>
                <c:pt idx="212">
                  <c:v>460</c:v>
                </c:pt>
                <c:pt idx="213">
                  <c:v>460</c:v>
                </c:pt>
                <c:pt idx="214">
                  <c:v>460</c:v>
                </c:pt>
                <c:pt idx="215">
                  <c:v>460</c:v>
                </c:pt>
                <c:pt idx="216">
                  <c:v>460</c:v>
                </c:pt>
                <c:pt idx="217">
                  <c:v>460</c:v>
                </c:pt>
                <c:pt idx="218">
                  <c:v>460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440</c:v>
                </c:pt>
                <c:pt idx="235">
                  <c:v>440</c:v>
                </c:pt>
                <c:pt idx="236">
                  <c:v>440</c:v>
                </c:pt>
                <c:pt idx="237">
                  <c:v>440</c:v>
                </c:pt>
                <c:pt idx="238">
                  <c:v>440</c:v>
                </c:pt>
                <c:pt idx="239">
                  <c:v>440</c:v>
                </c:pt>
                <c:pt idx="240">
                  <c:v>440</c:v>
                </c:pt>
                <c:pt idx="241">
                  <c:v>440</c:v>
                </c:pt>
                <c:pt idx="242">
                  <c:v>440</c:v>
                </c:pt>
                <c:pt idx="243">
                  <c:v>440</c:v>
                </c:pt>
                <c:pt idx="244">
                  <c:v>440</c:v>
                </c:pt>
                <c:pt idx="245">
                  <c:v>440</c:v>
                </c:pt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PnL!$L$151:$L$396</c:f>
              <c:numCache>
                <c:formatCode>General</c:formatCode>
                <c:ptCount val="246"/>
                <c:pt idx="0">
                  <c:v>0</c:v>
                </c:pt>
                <c:pt idx="1">
                  <c:v>-45.2999999999997</c:v>
                </c:pt>
                <c:pt idx="2">
                  <c:v>135</c:v>
                </c:pt>
                <c:pt idx="3">
                  <c:v>-59.9999999999987</c:v>
                </c:pt>
                <c:pt idx="4">
                  <c:v>-60.0000000000005</c:v>
                </c:pt>
                <c:pt idx="5">
                  <c:v>-10.4000000000006</c:v>
                </c:pt>
                <c:pt idx="6">
                  <c:v>-89.599999999999</c:v>
                </c:pt>
                <c:pt idx="7">
                  <c:v>-19.9999999999996</c:v>
                </c:pt>
                <c:pt idx="8">
                  <c:v>119.999999999999</c:v>
                </c:pt>
                <c:pt idx="9">
                  <c:v>0</c:v>
                </c:pt>
                <c:pt idx="10">
                  <c:v>-119.999999999999</c:v>
                </c:pt>
                <c:pt idx="11">
                  <c:v>0</c:v>
                </c:pt>
                <c:pt idx="12">
                  <c:v>-138.000000000002</c:v>
                </c:pt>
                <c:pt idx="13">
                  <c:v>-24.799999999999</c:v>
                </c:pt>
                <c:pt idx="14">
                  <c:v>11.5999999999996</c:v>
                </c:pt>
                <c:pt idx="15">
                  <c:v>60.8000000000004</c:v>
                </c:pt>
                <c:pt idx="16">
                  <c:v>-9.19999999999987</c:v>
                </c:pt>
                <c:pt idx="17">
                  <c:v>-96.4000000000009</c:v>
                </c:pt>
                <c:pt idx="18">
                  <c:v>89.9999999999999</c:v>
                </c:pt>
                <c:pt idx="19">
                  <c:v>-38.3999999999993</c:v>
                </c:pt>
                <c:pt idx="20">
                  <c:v>61.9999999999998</c:v>
                </c:pt>
                <c:pt idx="21">
                  <c:v>1.50000000000095</c:v>
                </c:pt>
                <c:pt idx="22">
                  <c:v>-38.5000000000013</c:v>
                </c:pt>
                <c:pt idx="23">
                  <c:v>-24.4999999999984</c:v>
                </c:pt>
                <c:pt idx="24">
                  <c:v>6.49999999999817</c:v>
                </c:pt>
                <c:pt idx="25">
                  <c:v>-27.9999999999991</c:v>
                </c:pt>
                <c:pt idx="26">
                  <c:v>-4.50000000000061</c:v>
                </c:pt>
                <c:pt idx="27">
                  <c:v>-25.9999999999994</c:v>
                </c:pt>
                <c:pt idx="28">
                  <c:v>-23.5000000000007</c:v>
                </c:pt>
                <c:pt idx="29">
                  <c:v>-5.49999999999828</c:v>
                </c:pt>
                <c:pt idx="30">
                  <c:v>-62.0000000000021</c:v>
                </c:pt>
                <c:pt idx="31">
                  <c:v>-28.499999999998</c:v>
                </c:pt>
                <c:pt idx="32">
                  <c:v>-211.000000000001</c:v>
                </c:pt>
                <c:pt idx="33">
                  <c:v>-13.4999999999996</c:v>
                </c:pt>
                <c:pt idx="34">
                  <c:v>10.9999999999988</c:v>
                </c:pt>
                <c:pt idx="35">
                  <c:v>-101.499999999999</c:v>
                </c:pt>
                <c:pt idx="36">
                  <c:v>-172.5</c:v>
                </c:pt>
                <c:pt idx="37">
                  <c:v>-108.5</c:v>
                </c:pt>
                <c:pt idx="38">
                  <c:v>-62.9999999999997</c:v>
                </c:pt>
                <c:pt idx="39">
                  <c:v>46.9999999999993</c:v>
                </c:pt>
                <c:pt idx="40">
                  <c:v>-24.9999999999995</c:v>
                </c:pt>
                <c:pt idx="41">
                  <c:v>8.50000000000017</c:v>
                </c:pt>
                <c:pt idx="42">
                  <c:v>137.499999999999</c:v>
                </c:pt>
                <c:pt idx="43">
                  <c:v>37.5000000000014</c:v>
                </c:pt>
                <c:pt idx="44">
                  <c:v>74.9999999999984</c:v>
                </c:pt>
                <c:pt idx="45">
                  <c:v>0</c:v>
                </c:pt>
                <c:pt idx="46">
                  <c:v>50.0000000000012</c:v>
                </c:pt>
                <c:pt idx="47">
                  <c:v>0</c:v>
                </c:pt>
                <c:pt idx="48">
                  <c:v>-30.0000000000011</c:v>
                </c:pt>
                <c:pt idx="49">
                  <c:v>-49.9999999999989</c:v>
                </c:pt>
                <c:pt idx="50">
                  <c:v>149.999999999999</c:v>
                </c:pt>
                <c:pt idx="51">
                  <c:v>0</c:v>
                </c:pt>
                <c:pt idx="52">
                  <c:v>75.0000000000006</c:v>
                </c:pt>
                <c:pt idx="53">
                  <c:v>-75.0000000000006</c:v>
                </c:pt>
                <c:pt idx="54">
                  <c:v>-119</c:v>
                </c:pt>
                <c:pt idx="55">
                  <c:v>25.0000000000017</c:v>
                </c:pt>
                <c:pt idx="56">
                  <c:v>-125.000000000002</c:v>
                </c:pt>
                <c:pt idx="57">
                  <c:v>100</c:v>
                </c:pt>
                <c:pt idx="58">
                  <c:v>-24.9999999999995</c:v>
                </c:pt>
                <c:pt idx="59">
                  <c:v>12.4999999999997</c:v>
                </c:pt>
                <c:pt idx="60">
                  <c:v>12.4999999999997</c:v>
                </c:pt>
                <c:pt idx="61">
                  <c:v>200</c:v>
                </c:pt>
                <c:pt idx="62">
                  <c:v>0</c:v>
                </c:pt>
                <c:pt idx="63">
                  <c:v>12.4999999999997</c:v>
                </c:pt>
                <c:pt idx="64">
                  <c:v>12.500000000002</c:v>
                </c:pt>
                <c:pt idx="65">
                  <c:v>0</c:v>
                </c:pt>
                <c:pt idx="66">
                  <c:v>24.9999999999995</c:v>
                </c:pt>
                <c:pt idx="67">
                  <c:v>49.9999999999989</c:v>
                </c:pt>
                <c:pt idx="68">
                  <c:v>18.5000000000013</c:v>
                </c:pt>
                <c:pt idx="69">
                  <c:v>12.4999999999997</c:v>
                </c:pt>
                <c:pt idx="70">
                  <c:v>-12.4999999999997</c:v>
                </c:pt>
                <c:pt idx="71">
                  <c:v>-25.0000000000017</c:v>
                </c:pt>
                <c:pt idx="72">
                  <c:v>62.5000000000009</c:v>
                </c:pt>
                <c:pt idx="73">
                  <c:v>62.5000000000009</c:v>
                </c:pt>
                <c:pt idx="74">
                  <c:v>-7.00000000000145</c:v>
                </c:pt>
                <c:pt idx="75">
                  <c:v>5.5000000000005</c:v>
                </c:pt>
                <c:pt idx="76">
                  <c:v>-5.99999999999934</c:v>
                </c:pt>
                <c:pt idx="77">
                  <c:v>25.4999999999983</c:v>
                </c:pt>
                <c:pt idx="78">
                  <c:v>50.5000000000022</c:v>
                </c:pt>
                <c:pt idx="79">
                  <c:v>13.4999999999996</c:v>
                </c:pt>
                <c:pt idx="80">
                  <c:v>83.4999999999986</c:v>
                </c:pt>
                <c:pt idx="81">
                  <c:v>48.0000000000014</c:v>
                </c:pt>
                <c:pt idx="82">
                  <c:v>50.9999999999988</c:v>
                </c:pt>
                <c:pt idx="83">
                  <c:v>48.0000000000014</c:v>
                </c:pt>
                <c:pt idx="84">
                  <c:v>25.4999999999983</c:v>
                </c:pt>
                <c:pt idx="85">
                  <c:v>-53.9999999999985</c:v>
                </c:pt>
                <c:pt idx="86">
                  <c:v>60.0000000000001</c:v>
                </c:pt>
                <c:pt idx="87">
                  <c:v>160</c:v>
                </c:pt>
                <c:pt idx="88">
                  <c:v>265</c:v>
                </c:pt>
                <c:pt idx="89">
                  <c:v>-43.9999999999996</c:v>
                </c:pt>
                <c:pt idx="90">
                  <c:v>-80.5000000000011</c:v>
                </c:pt>
                <c:pt idx="91">
                  <c:v>-25.5000000000005</c:v>
                </c:pt>
                <c:pt idx="92">
                  <c:v>-63.4999999999986</c:v>
                </c:pt>
                <c:pt idx="93">
                  <c:v>25.4999999999983</c:v>
                </c:pt>
                <c:pt idx="94">
                  <c:v>87.5000000000004</c:v>
                </c:pt>
                <c:pt idx="95">
                  <c:v>168.000000000001</c:v>
                </c:pt>
                <c:pt idx="96">
                  <c:v>154.5</c:v>
                </c:pt>
                <c:pt idx="97">
                  <c:v>7.99999999999912</c:v>
                </c:pt>
                <c:pt idx="98">
                  <c:v>51.4999999999999</c:v>
                </c:pt>
                <c:pt idx="99">
                  <c:v>-199</c:v>
                </c:pt>
                <c:pt idx="100">
                  <c:v>104.500000000001</c:v>
                </c:pt>
                <c:pt idx="101">
                  <c:v>71.9999999999998</c:v>
                </c:pt>
                <c:pt idx="102">
                  <c:v>2.99999999999967</c:v>
                </c:pt>
                <c:pt idx="103">
                  <c:v>32.4000000000004</c:v>
                </c:pt>
                <c:pt idx="104">
                  <c:v>-3.00000000000034</c:v>
                </c:pt>
                <c:pt idx="105">
                  <c:v>102.3</c:v>
                </c:pt>
                <c:pt idx="106">
                  <c:v>63.9000000000003</c:v>
                </c:pt>
                <c:pt idx="107">
                  <c:v>66.6</c:v>
                </c:pt>
                <c:pt idx="108">
                  <c:v>20.3999999999997</c:v>
                </c:pt>
                <c:pt idx="109">
                  <c:v>75.3000000000004</c:v>
                </c:pt>
                <c:pt idx="110">
                  <c:v>-8.10000000000044</c:v>
                </c:pt>
                <c:pt idx="111">
                  <c:v>44.7000000000004</c:v>
                </c:pt>
                <c:pt idx="112">
                  <c:v>44.6999999999997</c:v>
                </c:pt>
                <c:pt idx="113">
                  <c:v>-75.2999999999997</c:v>
                </c:pt>
                <c:pt idx="114">
                  <c:v>-60.3</c:v>
                </c:pt>
                <c:pt idx="115">
                  <c:v>-60.3</c:v>
                </c:pt>
                <c:pt idx="116">
                  <c:v>-30</c:v>
                </c:pt>
                <c:pt idx="117">
                  <c:v>-12.8999999999999</c:v>
                </c:pt>
                <c:pt idx="118">
                  <c:v>12.3</c:v>
                </c:pt>
                <c:pt idx="119">
                  <c:v>0</c:v>
                </c:pt>
                <c:pt idx="120">
                  <c:v>-120</c:v>
                </c:pt>
                <c:pt idx="121">
                  <c:v>30</c:v>
                </c:pt>
                <c:pt idx="122">
                  <c:v>30</c:v>
                </c:pt>
                <c:pt idx="123">
                  <c:v>179.1</c:v>
                </c:pt>
                <c:pt idx="124">
                  <c:v>89.4000000000001</c:v>
                </c:pt>
                <c:pt idx="125">
                  <c:v>29.7000000000001</c:v>
                </c:pt>
                <c:pt idx="126">
                  <c:v>29.7000000000001</c:v>
                </c:pt>
                <c:pt idx="127">
                  <c:v>0</c:v>
                </c:pt>
                <c:pt idx="128">
                  <c:v>-15.6000000000003</c:v>
                </c:pt>
                <c:pt idx="129">
                  <c:v>0</c:v>
                </c:pt>
                <c:pt idx="130">
                  <c:v>14.4000000000004</c:v>
                </c:pt>
                <c:pt idx="131">
                  <c:v>14.3999999999997</c:v>
                </c:pt>
                <c:pt idx="132">
                  <c:v>-60.3</c:v>
                </c:pt>
                <c:pt idx="133">
                  <c:v>-0.299999999999967</c:v>
                </c:pt>
                <c:pt idx="134">
                  <c:v>225</c:v>
                </c:pt>
                <c:pt idx="135">
                  <c:v>0</c:v>
                </c:pt>
                <c:pt idx="136">
                  <c:v>30</c:v>
                </c:pt>
                <c:pt idx="137">
                  <c:v>15.0000000000003</c:v>
                </c:pt>
                <c:pt idx="138">
                  <c:v>30</c:v>
                </c:pt>
                <c:pt idx="139">
                  <c:v>14.9999999999997</c:v>
                </c:pt>
                <c:pt idx="140">
                  <c:v>-89.3999999999999</c:v>
                </c:pt>
                <c:pt idx="141">
                  <c:v>-20</c:v>
                </c:pt>
                <c:pt idx="142">
                  <c:v>-60.0000000000001</c:v>
                </c:pt>
                <c:pt idx="143">
                  <c:v>0.199999999999978</c:v>
                </c:pt>
                <c:pt idx="144">
                  <c:v>15.8</c:v>
                </c:pt>
                <c:pt idx="145">
                  <c:v>70.2000000000003</c:v>
                </c:pt>
                <c:pt idx="146">
                  <c:v>17.5999999999998</c:v>
                </c:pt>
                <c:pt idx="147">
                  <c:v>48.4</c:v>
                </c:pt>
                <c:pt idx="148">
                  <c:v>-18.0000000000002</c:v>
                </c:pt>
                <c:pt idx="149">
                  <c:v>-17.5999999999998</c:v>
                </c:pt>
                <c:pt idx="150">
                  <c:v>-39.4000000000001</c:v>
                </c:pt>
                <c:pt idx="151">
                  <c:v>-59.3999999999997</c:v>
                </c:pt>
                <c:pt idx="152">
                  <c:v>-34.4000000000002</c:v>
                </c:pt>
                <c:pt idx="153">
                  <c:v>-8.00000000000001</c:v>
                </c:pt>
                <c:pt idx="154">
                  <c:v>29.7999999999998</c:v>
                </c:pt>
                <c:pt idx="155">
                  <c:v>-17.7999999999998</c:v>
                </c:pt>
                <c:pt idx="156">
                  <c:v>-25.9999999999998</c:v>
                </c:pt>
                <c:pt idx="157">
                  <c:v>-4.39999999999996</c:v>
                </c:pt>
                <c:pt idx="158">
                  <c:v>14.7999999999997</c:v>
                </c:pt>
                <c:pt idx="159">
                  <c:v>-76.4</c:v>
                </c:pt>
                <c:pt idx="160">
                  <c:v>-56.9999999999999</c:v>
                </c:pt>
                <c:pt idx="161">
                  <c:v>5.19999999999987</c:v>
                </c:pt>
                <c:pt idx="162">
                  <c:v>38.4000000000002</c:v>
                </c:pt>
                <c:pt idx="163">
                  <c:v>-35.8000000000001</c:v>
                </c:pt>
                <c:pt idx="164">
                  <c:v>-58.8000000000002</c:v>
                </c:pt>
                <c:pt idx="165">
                  <c:v>-131.4</c:v>
                </c:pt>
                <c:pt idx="166">
                  <c:v>102</c:v>
                </c:pt>
                <c:pt idx="167">
                  <c:v>68.2</c:v>
                </c:pt>
                <c:pt idx="168">
                  <c:v>-105.4</c:v>
                </c:pt>
                <c:pt idx="169">
                  <c:v>-48.8</c:v>
                </c:pt>
                <c:pt idx="170">
                  <c:v>-21.3999999999999</c:v>
                </c:pt>
                <c:pt idx="171">
                  <c:v>-174.4</c:v>
                </c:pt>
                <c:pt idx="172">
                  <c:v>-14.6000000000006</c:v>
                </c:pt>
                <c:pt idx="173">
                  <c:v>-15.6000000000001</c:v>
                </c:pt>
                <c:pt idx="174">
                  <c:v>-80.0000000000001</c:v>
                </c:pt>
                <c:pt idx="175">
                  <c:v>20.0000000000005</c:v>
                </c:pt>
                <c:pt idx="176">
                  <c:v>44.9999999999999</c:v>
                </c:pt>
                <c:pt idx="177">
                  <c:v>0</c:v>
                </c:pt>
                <c:pt idx="178">
                  <c:v>-59.9999999999996</c:v>
                </c:pt>
                <c:pt idx="179">
                  <c:v>-80.0000000000001</c:v>
                </c:pt>
                <c:pt idx="180">
                  <c:v>-30.0000000000002</c:v>
                </c:pt>
                <c:pt idx="181">
                  <c:v>-40</c:v>
                </c:pt>
                <c:pt idx="182">
                  <c:v>40</c:v>
                </c:pt>
                <c:pt idx="183">
                  <c:v>-20.0000000000005</c:v>
                </c:pt>
                <c:pt idx="184">
                  <c:v>-29.9999999999994</c:v>
                </c:pt>
                <c:pt idx="185">
                  <c:v>-40</c:v>
                </c:pt>
                <c:pt idx="186">
                  <c:v>49.9999999999998</c:v>
                </c:pt>
                <c:pt idx="187">
                  <c:v>80.0000000000001</c:v>
                </c:pt>
                <c:pt idx="188">
                  <c:v>40</c:v>
                </c:pt>
                <c:pt idx="189">
                  <c:v>19.9999999999996</c:v>
                </c:pt>
                <c:pt idx="190">
                  <c:v>-40</c:v>
                </c:pt>
                <c:pt idx="191">
                  <c:v>-80.0000000000001</c:v>
                </c:pt>
                <c:pt idx="192">
                  <c:v>-79.9999999999992</c:v>
                </c:pt>
                <c:pt idx="193">
                  <c:v>79.9999999999992</c:v>
                </c:pt>
                <c:pt idx="194">
                  <c:v>40</c:v>
                </c:pt>
                <c:pt idx="195">
                  <c:v>-19.9999999999996</c:v>
                </c:pt>
                <c:pt idx="196">
                  <c:v>-70.0000000000003</c:v>
                </c:pt>
                <c:pt idx="197">
                  <c:v>-45.9999999999994</c:v>
                </c:pt>
                <c:pt idx="198">
                  <c:v>-90.0000000000007</c:v>
                </c:pt>
                <c:pt idx="199">
                  <c:v>-40</c:v>
                </c:pt>
                <c:pt idx="200">
                  <c:v>20.0000000000005</c:v>
                </c:pt>
                <c:pt idx="201">
                  <c:v>-49.9999999999998</c:v>
                </c:pt>
                <c:pt idx="202">
                  <c:v>83.8000000000001</c:v>
                </c:pt>
                <c:pt idx="203">
                  <c:v>0</c:v>
                </c:pt>
                <c:pt idx="204">
                  <c:v>6.19999999999976</c:v>
                </c:pt>
                <c:pt idx="205">
                  <c:v>111.2</c:v>
                </c:pt>
                <c:pt idx="206">
                  <c:v>40</c:v>
                </c:pt>
                <c:pt idx="207">
                  <c:v>-90.0000000000007</c:v>
                </c:pt>
                <c:pt idx="208">
                  <c:v>70.0000000000003</c:v>
                </c:pt>
                <c:pt idx="209">
                  <c:v>-10.2000000000002</c:v>
                </c:pt>
                <c:pt idx="210">
                  <c:v>-20.2</c:v>
                </c:pt>
                <c:pt idx="211">
                  <c:v>-40.4</c:v>
                </c:pt>
                <c:pt idx="212">
                  <c:v>5.20000000000032</c:v>
                </c:pt>
                <c:pt idx="213">
                  <c:v>14.5999999999997</c:v>
                </c:pt>
                <c:pt idx="214">
                  <c:v>20.0000000000005</c:v>
                </c:pt>
                <c:pt idx="215">
                  <c:v>49.3999999999994</c:v>
                </c:pt>
                <c:pt idx="216">
                  <c:v>69.2000000000004</c:v>
                </c:pt>
                <c:pt idx="217">
                  <c:v>19.9999999999996</c:v>
                </c:pt>
                <c:pt idx="218">
                  <c:v>39.6000000000001</c:v>
                </c:pt>
                <c:pt idx="219">
                  <c:v>19.4000000000001</c:v>
                </c:pt>
                <c:pt idx="220">
                  <c:v>-25.5999999999998</c:v>
                </c:pt>
                <c:pt idx="221">
                  <c:v>-54.7</c:v>
                </c:pt>
                <c:pt idx="222">
                  <c:v>-108.8</c:v>
                </c:pt>
                <c:pt idx="223">
                  <c:v>-15.2000000000001</c:v>
                </c:pt>
                <c:pt idx="224">
                  <c:v>-5.30000000000008</c:v>
                </c:pt>
                <c:pt idx="225">
                  <c:v>-57.1999999999999</c:v>
                </c:pt>
                <c:pt idx="226">
                  <c:v>32.5000000000002</c:v>
                </c:pt>
                <c:pt idx="227">
                  <c:v>-0.199999999999978</c:v>
                </c:pt>
                <c:pt idx="228">
                  <c:v>19.8999999999998</c:v>
                </c:pt>
                <c:pt idx="229">
                  <c:v>-7.2000000000001</c:v>
                </c:pt>
                <c:pt idx="230">
                  <c:v>-32.9999999999999</c:v>
                </c:pt>
                <c:pt idx="231">
                  <c:v>-4.79999999999992</c:v>
                </c:pt>
                <c:pt idx="232">
                  <c:v>-15.4000000000001</c:v>
                </c:pt>
                <c:pt idx="233">
                  <c:v>15.4999999999998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PnL!$M$151:$M$396</c:f>
              <c:numCache>
                <c:formatCode>General</c:formatCode>
                <c:ptCount val="246"/>
                <c:pt idx="0">
                  <c:v>0</c:v>
                </c:pt>
                <c:pt idx="1">
                  <c:v>74.0000000000007</c:v>
                </c:pt>
                <c:pt idx="2">
                  <c:v>113.5</c:v>
                </c:pt>
                <c:pt idx="3">
                  <c:v>-89.5000000000001</c:v>
                </c:pt>
                <c:pt idx="4">
                  <c:v>-122.500000000001</c:v>
                </c:pt>
                <c:pt idx="5">
                  <c:v>-76.9999999999982</c:v>
                </c:pt>
                <c:pt idx="6">
                  <c:v>-227.5</c:v>
                </c:pt>
                <c:pt idx="7">
                  <c:v>57.4999999999992</c:v>
                </c:pt>
                <c:pt idx="8">
                  <c:v>7.50000000000028</c:v>
                </c:pt>
                <c:pt idx="9">
                  <c:v>-60.9999999999999</c:v>
                </c:pt>
                <c:pt idx="10">
                  <c:v>-237.499999999999</c:v>
                </c:pt>
                <c:pt idx="11">
                  <c:v>112.5</c:v>
                </c:pt>
                <c:pt idx="12">
                  <c:v>44.5000000000007</c:v>
                </c:pt>
                <c:pt idx="13">
                  <c:v>23.4999999999985</c:v>
                </c:pt>
                <c:pt idx="14">
                  <c:v>-39.0000000000001</c:v>
                </c:pt>
                <c:pt idx="15">
                  <c:v>2.50000000000083</c:v>
                </c:pt>
                <c:pt idx="16">
                  <c:v>28.999999999999</c:v>
                </c:pt>
                <c:pt idx="17">
                  <c:v>-6.50000000000039</c:v>
                </c:pt>
                <c:pt idx="18">
                  <c:v>398.000000000005</c:v>
                </c:pt>
                <c:pt idx="19">
                  <c:v>-103.999999999997</c:v>
                </c:pt>
                <c:pt idx="20">
                  <c:v>291.999999999994</c:v>
                </c:pt>
                <c:pt idx="21">
                  <c:v>48.0000000000036</c:v>
                </c:pt>
                <c:pt idx="22">
                  <c:v>-266.000000000002</c:v>
                </c:pt>
                <c:pt idx="23">
                  <c:v>141.999999999998</c:v>
                </c:pt>
                <c:pt idx="24">
                  <c:v>-93.9999999999941</c:v>
                </c:pt>
                <c:pt idx="25">
                  <c:v>141.999999999998</c:v>
                </c:pt>
                <c:pt idx="26">
                  <c:v>-3.99999999999956</c:v>
                </c:pt>
                <c:pt idx="27">
                  <c:v>-11.9999999999987</c:v>
                </c:pt>
                <c:pt idx="28">
                  <c:v>34.0000000000007</c:v>
                </c:pt>
                <c:pt idx="29">
                  <c:v>9.99999999999446</c:v>
                </c:pt>
                <c:pt idx="30">
                  <c:v>48.0000000000036</c:v>
                </c:pt>
                <c:pt idx="31">
                  <c:v>-110.000000000001</c:v>
                </c:pt>
                <c:pt idx="32">
                  <c:v>-831.999999999997</c:v>
                </c:pt>
                <c:pt idx="33">
                  <c:v>3.99999999999956</c:v>
                </c:pt>
                <c:pt idx="34">
                  <c:v>95.9999999999983</c:v>
                </c:pt>
                <c:pt idx="35">
                  <c:v>-208.000000000004</c:v>
                </c:pt>
                <c:pt idx="36">
                  <c:v>102.000000000002</c:v>
                </c:pt>
                <c:pt idx="37">
                  <c:v>-5.9999999999949</c:v>
                </c:pt>
                <c:pt idx="38">
                  <c:v>47.9999999999947</c:v>
                </c:pt>
                <c:pt idx="39">
                  <c:v>40.0000000000045</c:v>
                </c:pt>
                <c:pt idx="40">
                  <c:v>-318.000000000005</c:v>
                </c:pt>
                <c:pt idx="41">
                  <c:v>251.999999999999</c:v>
                </c:pt>
                <c:pt idx="42">
                  <c:v>546.000000000006</c:v>
                </c:pt>
                <c:pt idx="43">
                  <c:v>199.999999999996</c:v>
                </c:pt>
                <c:pt idx="44">
                  <c:v>-217.999999999998</c:v>
                </c:pt>
                <c:pt idx="45">
                  <c:v>191.999999999997</c:v>
                </c:pt>
                <c:pt idx="46">
                  <c:v>144.000000000002</c:v>
                </c:pt>
                <c:pt idx="47">
                  <c:v>-183.999999999997</c:v>
                </c:pt>
                <c:pt idx="48">
                  <c:v>157.999999999996</c:v>
                </c:pt>
                <c:pt idx="49">
                  <c:v>-28.5000000000002</c:v>
                </c:pt>
                <c:pt idx="50">
                  <c:v>222.000000000002</c:v>
                </c:pt>
                <c:pt idx="51">
                  <c:v>-39.0000000000024</c:v>
                </c:pt>
                <c:pt idx="52">
                  <c:v>433.500000000002</c:v>
                </c:pt>
                <c:pt idx="53">
                  <c:v>-337.499999999999</c:v>
                </c:pt>
                <c:pt idx="54">
                  <c:v>-121.500000000003</c:v>
                </c:pt>
                <c:pt idx="55">
                  <c:v>-86.9999999999971</c:v>
                </c:pt>
                <c:pt idx="56">
                  <c:v>-188.999999999999</c:v>
                </c:pt>
                <c:pt idx="57">
                  <c:v>215.999999999996</c:v>
                </c:pt>
                <c:pt idx="58">
                  <c:v>-121.499999999997</c:v>
                </c:pt>
                <c:pt idx="59">
                  <c:v>73.5000000000019</c:v>
                </c:pt>
                <c:pt idx="60">
                  <c:v>-79.5000000000012</c:v>
                </c:pt>
                <c:pt idx="61">
                  <c:v>254.999999999999</c:v>
                </c:pt>
                <c:pt idx="62">
                  <c:v>-168.000000000001</c:v>
                </c:pt>
                <c:pt idx="63">
                  <c:v>-45.0000000000017</c:v>
                </c:pt>
                <c:pt idx="64">
                  <c:v>-73.4999999999952</c:v>
                </c:pt>
                <c:pt idx="65">
                  <c:v>221.999999999996</c:v>
                </c:pt>
                <c:pt idx="66">
                  <c:v>-57.0000000000004</c:v>
                </c:pt>
                <c:pt idx="67">
                  <c:v>187.500000000003</c:v>
                </c:pt>
                <c:pt idx="68">
                  <c:v>154.5</c:v>
                </c:pt>
                <c:pt idx="69">
                  <c:v>-154.5</c:v>
                </c:pt>
                <c:pt idx="70">
                  <c:v>-49.4999999999979</c:v>
                </c:pt>
                <c:pt idx="71">
                  <c:v>-180</c:v>
                </c:pt>
                <c:pt idx="72">
                  <c:v>140.999999999998</c:v>
                </c:pt>
                <c:pt idx="73">
                  <c:v>175.499999999997</c:v>
                </c:pt>
                <c:pt idx="74">
                  <c:v>37.5000000000059</c:v>
                </c:pt>
                <c:pt idx="75">
                  <c:v>29.9999999999967</c:v>
                </c:pt>
                <c:pt idx="76">
                  <c:v>11.9999999999987</c:v>
                </c:pt>
                <c:pt idx="77">
                  <c:v>75.0000000000051</c:v>
                </c:pt>
                <c:pt idx="78">
                  <c:v>49.4999999999979</c:v>
                </c:pt>
                <c:pt idx="79">
                  <c:v>335.999999999996</c:v>
                </c:pt>
                <c:pt idx="80">
                  <c:v>334.5</c:v>
                </c:pt>
                <c:pt idx="81">
                  <c:v>33.000000000003</c:v>
                </c:pt>
                <c:pt idx="82">
                  <c:v>243</c:v>
                </c:pt>
                <c:pt idx="83">
                  <c:v>484.500000000003</c:v>
                </c:pt>
                <c:pt idx="84">
                  <c:v>14.9999999999983</c:v>
                </c:pt>
                <c:pt idx="85">
                  <c:v>-328.5</c:v>
                </c:pt>
                <c:pt idx="86">
                  <c:v>111.000000000001</c:v>
                </c:pt>
                <c:pt idx="87">
                  <c:v>446.999999999997</c:v>
                </c:pt>
                <c:pt idx="88">
                  <c:v>406.499999999999</c:v>
                </c:pt>
                <c:pt idx="89">
                  <c:v>70.5000000000022</c:v>
                </c:pt>
                <c:pt idx="90">
                  <c:v>-346.499999999998</c:v>
                </c:pt>
                <c:pt idx="91">
                  <c:v>35.999999999996</c:v>
                </c:pt>
                <c:pt idx="92">
                  <c:v>-243</c:v>
                </c:pt>
                <c:pt idx="93">
                  <c:v>118.500000000004</c:v>
                </c:pt>
                <c:pt idx="94">
                  <c:v>374.999999999999</c:v>
                </c:pt>
                <c:pt idx="95">
                  <c:v>474.000000000001</c:v>
                </c:pt>
                <c:pt idx="96">
                  <c:v>334.5</c:v>
                </c:pt>
                <c:pt idx="97">
                  <c:v>-193.500000000002</c:v>
                </c:pt>
                <c:pt idx="98">
                  <c:v>-1.4999999999965</c:v>
                </c:pt>
                <c:pt idx="99">
                  <c:v>-318.000000000005</c:v>
                </c:pt>
                <c:pt idx="100">
                  <c:v>204.000000000004</c:v>
                </c:pt>
                <c:pt idx="101">
                  <c:v>-13.5000000000018</c:v>
                </c:pt>
                <c:pt idx="102">
                  <c:v>483</c:v>
                </c:pt>
                <c:pt idx="103">
                  <c:v>452.999999999997</c:v>
                </c:pt>
                <c:pt idx="104">
                  <c:v>-413.999999999994</c:v>
                </c:pt>
                <c:pt idx="105">
                  <c:v>-25.5000000000005</c:v>
                </c:pt>
                <c:pt idx="106">
                  <c:v>253.499999999995</c:v>
                </c:pt>
                <c:pt idx="107">
                  <c:v>-49.4999999999979</c:v>
                </c:pt>
                <c:pt idx="108">
                  <c:v>-163.499999999999</c:v>
                </c:pt>
                <c:pt idx="109">
                  <c:v>272.999999999997</c:v>
                </c:pt>
                <c:pt idx="110">
                  <c:v>-31.4999999999999</c:v>
                </c:pt>
                <c:pt idx="111">
                  <c:v>495.000000000005</c:v>
                </c:pt>
                <c:pt idx="112">
                  <c:v>76.4999999999949</c:v>
                </c:pt>
                <c:pt idx="113">
                  <c:v>-578.999999999996</c:v>
                </c:pt>
                <c:pt idx="114">
                  <c:v>-265.500000000001</c:v>
                </c:pt>
                <c:pt idx="115">
                  <c:v>-726</c:v>
                </c:pt>
                <c:pt idx="116">
                  <c:v>323.999999999998</c:v>
                </c:pt>
                <c:pt idx="117">
                  <c:v>100.499999999999</c:v>
                </c:pt>
                <c:pt idx="118">
                  <c:v>228.000000000002</c:v>
                </c:pt>
                <c:pt idx="119">
                  <c:v>-196.500000000002</c:v>
                </c:pt>
                <c:pt idx="120">
                  <c:v>-74.9999999999984</c:v>
                </c:pt>
                <c:pt idx="121">
                  <c:v>169.499999999998</c:v>
                </c:pt>
                <c:pt idx="122">
                  <c:v>135.000000000005</c:v>
                </c:pt>
                <c:pt idx="123">
                  <c:v>484.499999999997</c:v>
                </c:pt>
                <c:pt idx="124">
                  <c:v>-128.999999999999</c:v>
                </c:pt>
                <c:pt idx="125">
                  <c:v>-154.5</c:v>
                </c:pt>
                <c:pt idx="126">
                  <c:v>154.5</c:v>
                </c:pt>
                <c:pt idx="127">
                  <c:v>-2.99999999999967</c:v>
                </c:pt>
                <c:pt idx="128">
                  <c:v>60.0000000000001</c:v>
                </c:pt>
                <c:pt idx="129">
                  <c:v>-149.999999999997</c:v>
                </c:pt>
                <c:pt idx="130">
                  <c:v>77.9999999999981</c:v>
                </c:pt>
                <c:pt idx="131">
                  <c:v>-39.0000000000024</c:v>
                </c:pt>
                <c:pt idx="132">
                  <c:v>-199.500000000001</c:v>
                </c:pt>
                <c:pt idx="133">
                  <c:v>-14.9999999999983</c:v>
                </c:pt>
                <c:pt idx="134">
                  <c:v>246</c:v>
                </c:pt>
                <c:pt idx="135">
                  <c:v>150.000000000003</c:v>
                </c:pt>
                <c:pt idx="136">
                  <c:v>237.000000000001</c:v>
                </c:pt>
                <c:pt idx="137">
                  <c:v>70.4999999999956</c:v>
                </c:pt>
                <c:pt idx="138">
                  <c:v>184.500000000003</c:v>
                </c:pt>
                <c:pt idx="139">
                  <c:v>70.4999999999956</c:v>
                </c:pt>
                <c:pt idx="140">
                  <c:v>-1507.99999999999</c:v>
                </c:pt>
                <c:pt idx="141">
                  <c:v>598.000000000001</c:v>
                </c:pt>
                <c:pt idx="142">
                  <c:v>191.999999999997</c:v>
                </c:pt>
                <c:pt idx="143">
                  <c:v>-355.999999999996</c:v>
                </c:pt>
                <c:pt idx="144">
                  <c:v>-268.000000000006</c:v>
                </c:pt>
                <c:pt idx="145">
                  <c:v>-110.000000000001</c:v>
                </c:pt>
                <c:pt idx="146">
                  <c:v>146.000000000006</c:v>
                </c:pt>
                <c:pt idx="147">
                  <c:v>544.000000000002</c:v>
                </c:pt>
                <c:pt idx="148">
                  <c:v>-52.0000000000032</c:v>
                </c:pt>
                <c:pt idx="149">
                  <c:v>41.9999999999998</c:v>
                </c:pt>
                <c:pt idx="150">
                  <c:v>95.9999999999983</c:v>
                </c:pt>
                <c:pt idx="151">
                  <c:v>-52.0000000000032</c:v>
                </c:pt>
                <c:pt idx="152">
                  <c:v>-105.999999999993</c:v>
                </c:pt>
                <c:pt idx="153">
                  <c:v>147.999999999993</c:v>
                </c:pt>
                <c:pt idx="154">
                  <c:v>336.000000000007</c:v>
                </c:pt>
                <c:pt idx="155">
                  <c:v>551.999999999992</c:v>
                </c:pt>
                <c:pt idx="156">
                  <c:v>244</c:v>
                </c:pt>
                <c:pt idx="157">
                  <c:v>-105.999999999993</c:v>
                </c:pt>
                <c:pt idx="158">
                  <c:v>91.9999999999987</c:v>
                </c:pt>
                <c:pt idx="159">
                  <c:v>401.999999999996</c:v>
                </c:pt>
                <c:pt idx="160">
                  <c:v>-359.999999999996</c:v>
                </c:pt>
                <c:pt idx="161">
                  <c:v>-57.9999999999981</c:v>
                </c:pt>
                <c:pt idx="162">
                  <c:v>23.9999999999974</c:v>
                </c:pt>
                <c:pt idx="163">
                  <c:v>-448.000000000004</c:v>
                </c:pt>
                <c:pt idx="164">
                  <c:v>-396.000000000001</c:v>
                </c:pt>
                <c:pt idx="165">
                  <c:v>-255.999999999998</c:v>
                </c:pt>
                <c:pt idx="166">
                  <c:v>428.000000000006</c:v>
                </c:pt>
                <c:pt idx="167">
                  <c:v>-14.0000000000029</c:v>
                </c:pt>
                <c:pt idx="168">
                  <c:v>-772.000000000004</c:v>
                </c:pt>
                <c:pt idx="169">
                  <c:v>-617.999999999999</c:v>
                </c:pt>
                <c:pt idx="170">
                  <c:v>-11.9999999999987</c:v>
                </c:pt>
                <c:pt idx="171">
                  <c:v>-683.999999999996</c:v>
                </c:pt>
                <c:pt idx="172">
                  <c:v>105.999999999993</c:v>
                </c:pt>
                <c:pt idx="173">
                  <c:v>112.000000000005</c:v>
                </c:pt>
                <c:pt idx="174">
                  <c:v>0</c:v>
                </c:pt>
                <c:pt idx="175">
                  <c:v>244</c:v>
                </c:pt>
                <c:pt idx="176">
                  <c:v>245.999999999995</c:v>
                </c:pt>
                <c:pt idx="177">
                  <c:v>129.999999999999</c:v>
                </c:pt>
                <c:pt idx="178">
                  <c:v>-637.999999999996</c:v>
                </c:pt>
                <c:pt idx="179">
                  <c:v>-373.999999999999</c:v>
                </c:pt>
                <c:pt idx="180">
                  <c:v>-216.000000000003</c:v>
                </c:pt>
                <c:pt idx="181">
                  <c:v>45.9999999999994</c:v>
                </c:pt>
                <c:pt idx="182">
                  <c:v>238.000000000005</c:v>
                </c:pt>
                <c:pt idx="183">
                  <c:v>-407.999999999999</c:v>
                </c:pt>
                <c:pt idx="184">
                  <c:v>-430.000000000001</c:v>
                </c:pt>
                <c:pt idx="185">
                  <c:v>39.9999999999956</c:v>
                </c:pt>
                <c:pt idx="186">
                  <c:v>274.000000000001</c:v>
                </c:pt>
                <c:pt idx="187">
                  <c:v>196.000000000005</c:v>
                </c:pt>
                <c:pt idx="188">
                  <c:v>161.999999999995</c:v>
                </c:pt>
                <c:pt idx="189">
                  <c:v>-5.9999999999949</c:v>
                </c:pt>
                <c:pt idx="190">
                  <c:v>-348.000000000006</c:v>
                </c:pt>
                <c:pt idx="191">
                  <c:v>-396.000000000001</c:v>
                </c:pt>
                <c:pt idx="192">
                  <c:v>-697.999999999999</c:v>
                </c:pt>
                <c:pt idx="193">
                  <c:v>192.000000000006</c:v>
                </c:pt>
                <c:pt idx="194">
                  <c:v>549.999999999997</c:v>
                </c:pt>
                <c:pt idx="195">
                  <c:v>-202</c:v>
                </c:pt>
                <c:pt idx="196">
                  <c:v>-202</c:v>
                </c:pt>
                <c:pt idx="197">
                  <c:v>-598.000000000001</c:v>
                </c:pt>
                <c:pt idx="198">
                  <c:v>-351.999999999997</c:v>
                </c:pt>
                <c:pt idx="199">
                  <c:v>446</c:v>
                </c:pt>
                <c:pt idx="200">
                  <c:v>190.000000000001</c:v>
                </c:pt>
                <c:pt idx="201">
                  <c:v>49.9999999999989</c:v>
                </c:pt>
                <c:pt idx="202">
                  <c:v>347</c:v>
                </c:pt>
                <c:pt idx="203">
                  <c:v>-152.000000000001</c:v>
                </c:pt>
                <c:pt idx="204">
                  <c:v>148.999999999999</c:v>
                </c:pt>
                <c:pt idx="205">
                  <c:v>-7.99999999999912</c:v>
                </c:pt>
                <c:pt idx="206">
                  <c:v>200.999999999998</c:v>
                </c:pt>
                <c:pt idx="207">
                  <c:v>26.0000000000016</c:v>
                </c:pt>
                <c:pt idx="208">
                  <c:v>324</c:v>
                </c:pt>
                <c:pt idx="209">
                  <c:v>-202</c:v>
                </c:pt>
                <c:pt idx="210">
                  <c:v>-3.99999999999956</c:v>
                </c:pt>
                <c:pt idx="211">
                  <c:v>-148.000000000001</c:v>
                </c:pt>
                <c:pt idx="212">
                  <c:v>118</c:v>
                </c:pt>
                <c:pt idx="213">
                  <c:v>7.00000000000145</c:v>
                </c:pt>
                <c:pt idx="214">
                  <c:v>175.000000000001</c:v>
                </c:pt>
                <c:pt idx="215">
                  <c:v>120</c:v>
                </c:pt>
                <c:pt idx="216">
                  <c:v>-129.999999999999</c:v>
                </c:pt>
                <c:pt idx="217">
                  <c:v>17.999999999998</c:v>
                </c:pt>
                <c:pt idx="218">
                  <c:v>-5.99999999999934</c:v>
                </c:pt>
                <c:pt idx="219">
                  <c:v>-30.9999999999988</c:v>
                </c:pt>
                <c:pt idx="220">
                  <c:v>-185.000000000004</c:v>
                </c:pt>
                <c:pt idx="221">
                  <c:v>-206.999999999997</c:v>
                </c:pt>
                <c:pt idx="222">
                  <c:v>-211.000000000001</c:v>
                </c:pt>
                <c:pt idx="223">
                  <c:v>-175.999999999998</c:v>
                </c:pt>
                <c:pt idx="224">
                  <c:v>-124</c:v>
                </c:pt>
                <c:pt idx="225">
                  <c:v>-51.000000000001</c:v>
                </c:pt>
                <c:pt idx="226">
                  <c:v>249.999999999999</c:v>
                </c:pt>
                <c:pt idx="227">
                  <c:v>-78.0000000000003</c:v>
                </c:pt>
                <c:pt idx="228">
                  <c:v>148.999999999999</c:v>
                </c:pt>
                <c:pt idx="229">
                  <c:v>26.0000000000016</c:v>
                </c:pt>
                <c:pt idx="230">
                  <c:v>-255.000000000001</c:v>
                </c:pt>
                <c:pt idx="231">
                  <c:v>77.0000000000026</c:v>
                </c:pt>
                <c:pt idx="232">
                  <c:v>-109.000000000004</c:v>
                </c:pt>
                <c:pt idx="233">
                  <c:v>308.000000000002</c:v>
                </c:pt>
                <c:pt idx="234">
                  <c:v>74.0000000000007</c:v>
                </c:pt>
                <c:pt idx="235">
                  <c:v>143</c:v>
                </c:pt>
                <c:pt idx="236">
                  <c:v>85.0000000000017</c:v>
                </c:pt>
                <c:pt idx="237">
                  <c:v>206</c:v>
                </c:pt>
                <c:pt idx="238">
                  <c:v>-52.0000000000032</c:v>
                </c:pt>
                <c:pt idx="239">
                  <c:v>272.000000000001</c:v>
                </c:pt>
                <c:pt idx="240">
                  <c:v>49.0000000000013</c:v>
                </c:pt>
                <c:pt idx="241">
                  <c:v>-221</c:v>
                </c:pt>
                <c:pt idx="242">
                  <c:v>-108.999999999999</c:v>
                </c:pt>
                <c:pt idx="243">
                  <c:v>413.999999999999</c:v>
                </c:pt>
                <c:pt idx="244">
                  <c:v>221</c:v>
                </c:pt>
                <c:pt idx="245">
                  <c:v>390.000000000001</c:v>
                </c:pt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PnL!$N$151:$N$396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112.499999999998</c:v>
                </c:pt>
                <c:pt idx="58">
                  <c:v>-4.49999999999751</c:v>
                </c:pt>
                <c:pt idx="59">
                  <c:v>21.5999999999976</c:v>
                </c:pt>
                <c:pt idx="60">
                  <c:v>-63.899999999999</c:v>
                </c:pt>
                <c:pt idx="61">
                  <c:v>67.5000000000026</c:v>
                </c:pt>
                <c:pt idx="62">
                  <c:v>-68.4000000000005</c:v>
                </c:pt>
                <c:pt idx="63">
                  <c:v>17.999999999998</c:v>
                </c:pt>
                <c:pt idx="64">
                  <c:v>-18.8999999999999</c:v>
                </c:pt>
                <c:pt idx="65">
                  <c:v>126.9</c:v>
                </c:pt>
                <c:pt idx="66">
                  <c:v>8.10000000000111</c:v>
                </c:pt>
                <c:pt idx="67">
                  <c:v>226.799999999999</c:v>
                </c:pt>
                <c:pt idx="68">
                  <c:v>40.5000000000015</c:v>
                </c:pt>
                <c:pt idx="69">
                  <c:v>-107.100000000002</c:v>
                </c:pt>
                <c:pt idx="70">
                  <c:v>-3.5999999999996</c:v>
                </c:pt>
                <c:pt idx="71">
                  <c:v>-135.899999999999</c:v>
                </c:pt>
                <c:pt idx="72">
                  <c:v>101.699999999999</c:v>
                </c:pt>
                <c:pt idx="73">
                  <c:v>-12.5999999999986</c:v>
                </c:pt>
                <c:pt idx="74">
                  <c:v>0.899999999997902</c:v>
                </c:pt>
                <c:pt idx="75">
                  <c:v>66.6000000000007</c:v>
                </c:pt>
                <c:pt idx="76">
                  <c:v>34.2000000000002</c:v>
                </c:pt>
                <c:pt idx="77">
                  <c:v>39.5999999999996</c:v>
                </c:pt>
                <c:pt idx="78">
                  <c:v>17.1000000000001</c:v>
                </c:pt>
                <c:pt idx="79">
                  <c:v>89.1000000000002</c:v>
                </c:pt>
                <c:pt idx="80">
                  <c:v>185.4</c:v>
                </c:pt>
                <c:pt idx="81">
                  <c:v>57.6000000000016</c:v>
                </c:pt>
                <c:pt idx="82">
                  <c:v>157.500000000001</c:v>
                </c:pt>
                <c:pt idx="83">
                  <c:v>247.499999999999</c:v>
                </c:pt>
                <c:pt idx="84">
                  <c:v>24.2999999999993</c:v>
                </c:pt>
                <c:pt idx="85">
                  <c:v>-155.700000000001</c:v>
                </c:pt>
                <c:pt idx="86">
                  <c:v>90.9</c:v>
                </c:pt>
                <c:pt idx="87">
                  <c:v>155.700000000001</c:v>
                </c:pt>
                <c:pt idx="88">
                  <c:v>180</c:v>
                </c:pt>
                <c:pt idx="89">
                  <c:v>-43.1999999999992</c:v>
                </c:pt>
                <c:pt idx="90">
                  <c:v>-118.799999999999</c:v>
                </c:pt>
                <c:pt idx="91">
                  <c:v>54.8999999999999</c:v>
                </c:pt>
                <c:pt idx="92">
                  <c:v>-72.900000000002</c:v>
                </c:pt>
                <c:pt idx="93">
                  <c:v>23.4000000000014</c:v>
                </c:pt>
                <c:pt idx="94">
                  <c:v>29.6999999999987</c:v>
                </c:pt>
                <c:pt idx="95">
                  <c:v>17.1000000000001</c:v>
                </c:pt>
                <c:pt idx="96">
                  <c:v>152.999999999999</c:v>
                </c:pt>
                <c:pt idx="97">
                  <c:v>-67.4999999999986</c:v>
                </c:pt>
                <c:pt idx="98">
                  <c:v>-25.2000000000012</c:v>
                </c:pt>
                <c:pt idx="99">
                  <c:v>-125.999999999998</c:v>
                </c:pt>
                <c:pt idx="100">
                  <c:v>229.500000000001</c:v>
                </c:pt>
                <c:pt idx="101">
                  <c:v>-45.000000000003</c:v>
                </c:pt>
                <c:pt idx="102">
                  <c:v>135.000000000001</c:v>
                </c:pt>
                <c:pt idx="103">
                  <c:v>22.4999999999995</c:v>
                </c:pt>
                <c:pt idx="104">
                  <c:v>-113.399999999999</c:v>
                </c:pt>
                <c:pt idx="105">
                  <c:v>22.4999999999995</c:v>
                </c:pt>
                <c:pt idx="106">
                  <c:v>90.0000000000021</c:v>
                </c:pt>
                <c:pt idx="107">
                  <c:v>-0.900000000001899</c:v>
                </c:pt>
                <c:pt idx="108">
                  <c:v>4.5000000000015</c:v>
                </c:pt>
                <c:pt idx="109">
                  <c:v>107.099999999998</c:v>
                </c:pt>
                <c:pt idx="110">
                  <c:v>-0.899999999997902</c:v>
                </c:pt>
                <c:pt idx="111">
                  <c:v>429.299999999999</c:v>
                </c:pt>
                <c:pt idx="112">
                  <c:v>44.1000000000011</c:v>
                </c:pt>
                <c:pt idx="113">
                  <c:v>-273.600000000002</c:v>
                </c:pt>
                <c:pt idx="114">
                  <c:v>-129.599999999998</c:v>
                </c:pt>
                <c:pt idx="115">
                  <c:v>-225.000000000003</c:v>
                </c:pt>
                <c:pt idx="116">
                  <c:v>112.500000000002</c:v>
                </c:pt>
                <c:pt idx="117">
                  <c:v>44.999999999999</c:v>
                </c:pt>
                <c:pt idx="118">
                  <c:v>112.500000000002</c:v>
                </c:pt>
                <c:pt idx="119">
                  <c:v>-90.9</c:v>
                </c:pt>
                <c:pt idx="120">
                  <c:v>0.899999999997902</c:v>
                </c:pt>
                <c:pt idx="121">
                  <c:v>22.5000000000035</c:v>
                </c:pt>
                <c:pt idx="122">
                  <c:v>112.499999999998</c:v>
                </c:pt>
                <c:pt idx="123">
                  <c:v>157.500000000001</c:v>
                </c:pt>
                <c:pt idx="124">
                  <c:v>-45.9000000000009</c:v>
                </c:pt>
                <c:pt idx="125">
                  <c:v>-67.4999999999986</c:v>
                </c:pt>
                <c:pt idx="126">
                  <c:v>67.4999999999986</c:v>
                </c:pt>
                <c:pt idx="127">
                  <c:v>8.99999999999901</c:v>
                </c:pt>
                <c:pt idx="128">
                  <c:v>-9.89999999999691</c:v>
                </c:pt>
                <c:pt idx="129">
                  <c:v>0</c:v>
                </c:pt>
                <c:pt idx="130">
                  <c:v>44.999999999999</c:v>
                </c:pt>
                <c:pt idx="131">
                  <c:v>-22.4999999999995</c:v>
                </c:pt>
                <c:pt idx="132">
                  <c:v>-31.5000000000025</c:v>
                </c:pt>
                <c:pt idx="133">
                  <c:v>-27.8999999999989</c:v>
                </c:pt>
                <c:pt idx="134">
                  <c:v>72.0000000000001</c:v>
                </c:pt>
                <c:pt idx="135">
                  <c:v>116.999999999999</c:v>
                </c:pt>
                <c:pt idx="136">
                  <c:v>0.900000000001899</c:v>
                </c:pt>
                <c:pt idx="137">
                  <c:v>17.1000000000001</c:v>
                </c:pt>
                <c:pt idx="138">
                  <c:v>121.500000000001</c:v>
                </c:pt>
                <c:pt idx="139">
                  <c:v>130.5</c:v>
                </c:pt>
                <c:pt idx="140">
                  <c:v>626.399999999999</c:v>
                </c:pt>
                <c:pt idx="141">
                  <c:v>-180</c:v>
                </c:pt>
                <c:pt idx="142">
                  <c:v>-31.4999999999985</c:v>
                </c:pt>
                <c:pt idx="143">
                  <c:v>124.200000000002</c:v>
                </c:pt>
                <c:pt idx="144">
                  <c:v>57.5999999999976</c:v>
                </c:pt>
                <c:pt idx="145">
                  <c:v>8.99999999999901</c:v>
                </c:pt>
                <c:pt idx="146">
                  <c:v>-73.7999999999999</c:v>
                </c:pt>
                <c:pt idx="147">
                  <c:v>-80.9999999999991</c:v>
                </c:pt>
                <c:pt idx="148">
                  <c:v>30.6000000000006</c:v>
                </c:pt>
                <c:pt idx="149">
                  <c:v>-6.3000000000013</c:v>
                </c:pt>
                <c:pt idx="150">
                  <c:v>-7.19999999999921</c:v>
                </c:pt>
                <c:pt idx="151">
                  <c:v>6.3000000000013</c:v>
                </c:pt>
                <c:pt idx="152">
                  <c:v>12.5999999999986</c:v>
                </c:pt>
                <c:pt idx="153">
                  <c:v>-84.5999999999987</c:v>
                </c:pt>
                <c:pt idx="154">
                  <c:v>-152.100000000001</c:v>
                </c:pt>
                <c:pt idx="155">
                  <c:v>-407.700000000001</c:v>
                </c:pt>
                <c:pt idx="156">
                  <c:v>-98.9999999999971</c:v>
                </c:pt>
                <c:pt idx="157">
                  <c:v>26.0999999999991</c:v>
                </c:pt>
                <c:pt idx="158">
                  <c:v>-35.1000000000021</c:v>
                </c:pt>
                <c:pt idx="159">
                  <c:v>-212.400000000001</c:v>
                </c:pt>
                <c:pt idx="160">
                  <c:v>144.900000000002</c:v>
                </c:pt>
                <c:pt idx="161">
                  <c:v>-26.0999999999991</c:v>
                </c:pt>
                <c:pt idx="162">
                  <c:v>7.19999999999921</c:v>
                </c:pt>
                <c:pt idx="163">
                  <c:v>143.099999999998</c:v>
                </c:pt>
                <c:pt idx="164">
                  <c:v>121.500000000001</c:v>
                </c:pt>
                <c:pt idx="165">
                  <c:v>-123.3</c:v>
                </c:pt>
                <c:pt idx="166">
                  <c:v>-89.9999999999981</c:v>
                </c:pt>
                <c:pt idx="167">
                  <c:v>-22.4999999999995</c:v>
                </c:pt>
                <c:pt idx="168">
                  <c:v>247.499999999999</c:v>
                </c:pt>
                <c:pt idx="169">
                  <c:v>246.600000000001</c:v>
                </c:pt>
                <c:pt idx="170">
                  <c:v>23.4000000000014</c:v>
                </c:pt>
                <c:pt idx="171">
                  <c:v>202.5</c:v>
                </c:pt>
                <c:pt idx="172">
                  <c:v>-22.5000000000035</c:v>
                </c:pt>
                <c:pt idx="173">
                  <c:v>22.5000000000035</c:v>
                </c:pt>
                <c:pt idx="174">
                  <c:v>-67.5000000000026</c:v>
                </c:pt>
                <c:pt idx="175">
                  <c:v>-62.9999999999971</c:v>
                </c:pt>
                <c:pt idx="176">
                  <c:v>-72.0000000000001</c:v>
                </c:pt>
                <c:pt idx="177">
                  <c:v>-67.5000000000026</c:v>
                </c:pt>
                <c:pt idx="178">
                  <c:v>292.500000000002</c:v>
                </c:pt>
                <c:pt idx="179">
                  <c:v>89.9999999999981</c:v>
                </c:pt>
                <c:pt idx="180">
                  <c:v>112.500000000002</c:v>
                </c:pt>
                <c:pt idx="181">
                  <c:v>22.4999999999995</c:v>
                </c:pt>
                <c:pt idx="182">
                  <c:v>-66.6000000000007</c:v>
                </c:pt>
                <c:pt idx="183">
                  <c:v>180</c:v>
                </c:pt>
                <c:pt idx="184">
                  <c:v>180</c:v>
                </c:pt>
                <c:pt idx="185">
                  <c:v>-22.4999999999995</c:v>
                </c:pt>
                <c:pt idx="186">
                  <c:v>-66.6000000000007</c:v>
                </c:pt>
                <c:pt idx="187">
                  <c:v>-113.399999999999</c:v>
                </c:pt>
                <c:pt idx="188">
                  <c:v>-90.0000000000021</c:v>
                </c:pt>
                <c:pt idx="189">
                  <c:v>-22.4999999999995</c:v>
                </c:pt>
                <c:pt idx="190">
                  <c:v>68.4000000000005</c:v>
                </c:pt>
                <c:pt idx="191">
                  <c:v>98.0999999999992</c:v>
                </c:pt>
                <c:pt idx="192">
                  <c:v>148.500000000002</c:v>
                </c:pt>
                <c:pt idx="193">
                  <c:v>-58.4999999999996</c:v>
                </c:pt>
                <c:pt idx="194">
                  <c:v>-188.100000000001</c:v>
                </c:pt>
                <c:pt idx="195">
                  <c:v>67.5000000000026</c:v>
                </c:pt>
                <c:pt idx="196">
                  <c:v>94.4999999999996</c:v>
                </c:pt>
                <c:pt idx="197">
                  <c:v>152.999999999999</c:v>
                </c:pt>
                <c:pt idx="198">
                  <c:v>112.499999999998</c:v>
                </c:pt>
                <c:pt idx="199">
                  <c:v>-112.499999999998</c:v>
                </c:pt>
                <c:pt idx="200">
                  <c:v>-4.5000000000015</c:v>
                </c:pt>
                <c:pt idx="201">
                  <c:v>116.999999999999</c:v>
                </c:pt>
                <c:pt idx="202">
                  <c:v>224.999999999995</c:v>
                </c:pt>
                <c:pt idx="203">
                  <c:v>-179.999999999996</c:v>
                </c:pt>
                <c:pt idx="204">
                  <c:v>34.2000000000002</c:v>
                </c:pt>
                <c:pt idx="205">
                  <c:v>-14.4000000000064</c:v>
                </c:pt>
                <c:pt idx="206">
                  <c:v>365.400000000004</c:v>
                </c:pt>
                <c:pt idx="207">
                  <c:v>153.000000000003</c:v>
                </c:pt>
                <c:pt idx="208">
                  <c:v>539.999999999996</c:v>
                </c:pt>
                <c:pt idx="209">
                  <c:v>-108.000000000004</c:v>
                </c:pt>
                <c:pt idx="210">
                  <c:v>106.2</c:v>
                </c:pt>
                <c:pt idx="211">
                  <c:v>-140.399999999993</c:v>
                </c:pt>
                <c:pt idx="212">
                  <c:v>302.399999999999</c:v>
                </c:pt>
                <c:pt idx="213">
                  <c:v>-54.000000000002</c:v>
                </c:pt>
                <c:pt idx="214">
                  <c:v>89.9999999999981</c:v>
                </c:pt>
                <c:pt idx="215">
                  <c:v>-17.999999999998</c:v>
                </c:pt>
                <c:pt idx="216">
                  <c:v>-214.200000000004</c:v>
                </c:pt>
                <c:pt idx="217">
                  <c:v>-107.999999999996</c:v>
                </c:pt>
                <c:pt idx="218">
                  <c:v>134.999999999997</c:v>
                </c:pt>
                <c:pt idx="219">
                  <c:v>61.2000000000013</c:v>
                </c:pt>
                <c:pt idx="220">
                  <c:v>-107.999999999996</c:v>
                </c:pt>
                <c:pt idx="221">
                  <c:v>-180.000000000004</c:v>
                </c:pt>
                <c:pt idx="222">
                  <c:v>-250.2</c:v>
                </c:pt>
                <c:pt idx="223">
                  <c:v>-360</c:v>
                </c:pt>
                <c:pt idx="224">
                  <c:v>-53.9999999999941</c:v>
                </c:pt>
                <c:pt idx="225">
                  <c:v>-99.0000000000011</c:v>
                </c:pt>
                <c:pt idx="226">
                  <c:v>377.999999999998</c:v>
                </c:pt>
                <c:pt idx="227">
                  <c:v>129.600000000002</c:v>
                </c:pt>
                <c:pt idx="228">
                  <c:v>262.799999999995</c:v>
                </c:pt>
                <c:pt idx="229">
                  <c:v>99.0000000000011</c:v>
                </c:pt>
                <c:pt idx="230">
                  <c:v>-179.999999999996</c:v>
                </c:pt>
                <c:pt idx="231">
                  <c:v>134.999999999997</c:v>
                </c:pt>
                <c:pt idx="232">
                  <c:v>-134.999999999997</c:v>
                </c:pt>
                <c:pt idx="233">
                  <c:v>152.999999999995</c:v>
                </c:pt>
                <c:pt idx="234">
                  <c:v>7.19999999999921</c:v>
                </c:pt>
                <c:pt idx="235">
                  <c:v>352.800000000001</c:v>
                </c:pt>
                <c:pt idx="236">
                  <c:v>116.999999999999</c:v>
                </c:pt>
                <c:pt idx="237">
                  <c:v>268.200000000006</c:v>
                </c:pt>
                <c:pt idx="238">
                  <c:v>-270.000000000002</c:v>
                </c:pt>
                <c:pt idx="239">
                  <c:v>268.199999999998</c:v>
                </c:pt>
                <c:pt idx="240">
                  <c:v>181.8</c:v>
                </c:pt>
                <c:pt idx="241">
                  <c:v>-116.999999999999</c:v>
                </c:pt>
                <c:pt idx="242">
                  <c:v>-55.7999999999979</c:v>
                </c:pt>
                <c:pt idx="243">
                  <c:v>577.799999999996</c:v>
                </c:pt>
                <c:pt idx="244">
                  <c:v>43.2000000000032</c:v>
                </c:pt>
                <c:pt idx="245">
                  <c:v>358.199999999997</c:v>
                </c:pt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PnL!$O$151:$O$396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79.9999999999983</c:v>
                </c:pt>
                <c:pt idx="58">
                  <c:v>0</c:v>
                </c:pt>
                <c:pt idx="59">
                  <c:v>26.3999999999989</c:v>
                </c:pt>
                <c:pt idx="60">
                  <c:v>-7.19999999999743</c:v>
                </c:pt>
                <c:pt idx="61">
                  <c:v>-29.6000000000021</c:v>
                </c:pt>
                <c:pt idx="62">
                  <c:v>-59.9999999999987</c:v>
                </c:pt>
                <c:pt idx="63">
                  <c:v>-11.2000000000023</c:v>
                </c:pt>
                <c:pt idx="64">
                  <c:v>-33.5999999999999</c:v>
                </c:pt>
                <c:pt idx="65">
                  <c:v>82.3999999999998</c:v>
                </c:pt>
                <c:pt idx="66">
                  <c:v>10.4000000000006</c:v>
                </c:pt>
                <c:pt idx="67">
                  <c:v>139.200000000002</c:v>
                </c:pt>
                <c:pt idx="68">
                  <c:v>156.799999999997</c:v>
                </c:pt>
                <c:pt idx="69">
                  <c:v>-43.1999999999988</c:v>
                </c:pt>
                <c:pt idx="70">
                  <c:v>-0.799999999998136</c:v>
                </c:pt>
                <c:pt idx="71">
                  <c:v>-83.2000000000015</c:v>
                </c:pt>
                <c:pt idx="72">
                  <c:v>64.0000000000001</c:v>
                </c:pt>
                <c:pt idx="73">
                  <c:v>144.8</c:v>
                </c:pt>
                <c:pt idx="74">
                  <c:v>79.9999999999983</c:v>
                </c:pt>
                <c:pt idx="75">
                  <c:v>39.200000000001</c:v>
                </c:pt>
                <c:pt idx="76">
                  <c:v>8.80000000000081</c:v>
                </c:pt>
                <c:pt idx="77">
                  <c:v>85.5999999999995</c:v>
                </c:pt>
                <c:pt idx="78">
                  <c:v>19.2000000000014</c:v>
                </c:pt>
                <c:pt idx="79">
                  <c:v>7.99999999999912</c:v>
                </c:pt>
                <c:pt idx="80">
                  <c:v>155.999999999999</c:v>
                </c:pt>
                <c:pt idx="81">
                  <c:v>19.2000000000014</c:v>
                </c:pt>
                <c:pt idx="82">
                  <c:v>138.400000000001</c:v>
                </c:pt>
                <c:pt idx="83">
                  <c:v>280.799999999999</c:v>
                </c:pt>
                <c:pt idx="84">
                  <c:v>-40.8000000000008</c:v>
                </c:pt>
                <c:pt idx="85">
                  <c:v>-140.799999999999</c:v>
                </c:pt>
                <c:pt idx="86">
                  <c:v>47.9999999999983</c:v>
                </c:pt>
                <c:pt idx="87">
                  <c:v>119.199999999999</c:v>
                </c:pt>
                <c:pt idx="88">
                  <c:v>141.6</c:v>
                </c:pt>
                <c:pt idx="89">
                  <c:v>51.2000000000015</c:v>
                </c:pt>
                <c:pt idx="90">
                  <c:v>-32.8000000000017</c:v>
                </c:pt>
                <c:pt idx="91">
                  <c:v>-8.79999999999725</c:v>
                </c:pt>
                <c:pt idx="92">
                  <c:v>-120.000000000001</c:v>
                </c:pt>
                <c:pt idx="93">
                  <c:v>0</c:v>
                </c:pt>
                <c:pt idx="94">
                  <c:v>29.5999999999985</c:v>
                </c:pt>
                <c:pt idx="95">
                  <c:v>8.80000000000081</c:v>
                </c:pt>
                <c:pt idx="96">
                  <c:v>59.9999999999987</c:v>
                </c:pt>
                <c:pt idx="97">
                  <c:v>-28.7999999999968</c:v>
                </c:pt>
                <c:pt idx="98">
                  <c:v>-40.0000000000027</c:v>
                </c:pt>
                <c:pt idx="99">
                  <c:v>-111.999999999998</c:v>
                </c:pt>
                <c:pt idx="100">
                  <c:v>59.2000000000006</c:v>
                </c:pt>
                <c:pt idx="101">
                  <c:v>0</c:v>
                </c:pt>
                <c:pt idx="102">
                  <c:v>84.7999999999978</c:v>
                </c:pt>
                <c:pt idx="103">
                  <c:v>31.2000000000019</c:v>
                </c:pt>
                <c:pt idx="104">
                  <c:v>-71.9999999999992</c:v>
                </c:pt>
                <c:pt idx="105">
                  <c:v>-4.80000000000302</c:v>
                </c:pt>
                <c:pt idx="106">
                  <c:v>59.2000000000006</c:v>
                </c:pt>
                <c:pt idx="107">
                  <c:v>56.8000000000026</c:v>
                </c:pt>
                <c:pt idx="108">
                  <c:v>-4.80000000000302</c:v>
                </c:pt>
                <c:pt idx="109">
                  <c:v>168.800000000001</c:v>
                </c:pt>
                <c:pt idx="110">
                  <c:v>39.200000000001</c:v>
                </c:pt>
                <c:pt idx="111">
                  <c:v>261.599999999998</c:v>
                </c:pt>
                <c:pt idx="112">
                  <c:v>80.8</c:v>
                </c:pt>
                <c:pt idx="113">
                  <c:v>-243.199999999998</c:v>
                </c:pt>
                <c:pt idx="114">
                  <c:v>-121.600000000001</c:v>
                </c:pt>
                <c:pt idx="115">
                  <c:v>-160</c:v>
                </c:pt>
                <c:pt idx="116">
                  <c:v>140.000000000001</c:v>
                </c:pt>
                <c:pt idx="117">
                  <c:v>19.2000000000014</c:v>
                </c:pt>
                <c:pt idx="118">
                  <c:v>111.999999999998</c:v>
                </c:pt>
                <c:pt idx="119">
                  <c:v>-52.8000000000013</c:v>
                </c:pt>
                <c:pt idx="120">
                  <c:v>40.8000000000008</c:v>
                </c:pt>
                <c:pt idx="121">
                  <c:v>19.2000000000014</c:v>
                </c:pt>
                <c:pt idx="122">
                  <c:v>79.9999999999983</c:v>
                </c:pt>
                <c:pt idx="123">
                  <c:v>79.2000000000002</c:v>
                </c:pt>
                <c:pt idx="124">
                  <c:v>-48.8</c:v>
                </c:pt>
                <c:pt idx="125">
                  <c:v>-73.599999999999</c:v>
                </c:pt>
                <c:pt idx="126">
                  <c:v>39.200000000001</c:v>
                </c:pt>
                <c:pt idx="127">
                  <c:v>-3.19999999999965</c:v>
                </c:pt>
                <c:pt idx="128">
                  <c:v>39.9999999999991</c:v>
                </c:pt>
                <c:pt idx="129">
                  <c:v>31.1999999999983</c:v>
                </c:pt>
                <c:pt idx="130">
                  <c:v>64.0000000000001</c:v>
                </c:pt>
                <c:pt idx="131">
                  <c:v>0</c:v>
                </c:pt>
                <c:pt idx="132">
                  <c:v>-58.3999999999989</c:v>
                </c:pt>
                <c:pt idx="133">
                  <c:v>-48.0000000000018</c:v>
                </c:pt>
                <c:pt idx="134">
                  <c:v>47.2000000000001</c:v>
                </c:pt>
                <c:pt idx="135">
                  <c:v>96.0000000000001</c:v>
                </c:pt>
                <c:pt idx="136">
                  <c:v>-17.5999999999981</c:v>
                </c:pt>
                <c:pt idx="137">
                  <c:v>15.9999999999982</c:v>
                </c:pt>
                <c:pt idx="138">
                  <c:v>111.2</c:v>
                </c:pt>
                <c:pt idx="139">
                  <c:v>192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-41.6000000000025</c:v>
                </c:pt>
                <c:pt idx="203">
                  <c:v>-79.9999999999983</c:v>
                </c:pt>
                <c:pt idx="204">
                  <c:v>-80.0000000000054</c:v>
                </c:pt>
                <c:pt idx="205">
                  <c:v>-3.19999999999965</c:v>
                </c:pt>
                <c:pt idx="206">
                  <c:v>240.000000000002</c:v>
                </c:pt>
                <c:pt idx="207">
                  <c:v>72.0000000000027</c:v>
                </c:pt>
                <c:pt idx="208">
                  <c:v>391.999999999996</c:v>
                </c:pt>
                <c:pt idx="209">
                  <c:v>-97.5999999999999</c:v>
                </c:pt>
                <c:pt idx="210">
                  <c:v>70.3999999999994</c:v>
                </c:pt>
                <c:pt idx="211">
                  <c:v>-55.9999999999974</c:v>
                </c:pt>
                <c:pt idx="212">
                  <c:v>216.000000000001</c:v>
                </c:pt>
                <c:pt idx="213">
                  <c:v>-1.60000000000338</c:v>
                </c:pt>
                <c:pt idx="214">
                  <c:v>200.000000000003</c:v>
                </c:pt>
                <c:pt idx="215">
                  <c:v>118.400000000001</c:v>
                </c:pt>
                <c:pt idx="216">
                  <c:v>-86.4000000000047</c:v>
                </c:pt>
                <c:pt idx="217">
                  <c:v>-73.599999999999</c:v>
                </c:pt>
                <c:pt idx="218">
                  <c:v>72.0000000000027</c:v>
                </c:pt>
                <c:pt idx="219">
                  <c:v>166.399999999996</c:v>
                </c:pt>
                <c:pt idx="220">
                  <c:v>24.0000000000009</c:v>
                </c:pt>
                <c:pt idx="221">
                  <c:v>-107.199999999999</c:v>
                </c:pt>
                <c:pt idx="222">
                  <c:v>-240.000000000002</c:v>
                </c:pt>
                <c:pt idx="223">
                  <c:v>-265.599999999999</c:v>
                </c:pt>
                <c:pt idx="224">
                  <c:v>32.0000000000036</c:v>
                </c:pt>
                <c:pt idx="225">
                  <c:v>-97.5999999999999</c:v>
                </c:pt>
                <c:pt idx="226">
                  <c:v>327.999999999996</c:v>
                </c:pt>
                <c:pt idx="227">
                  <c:v>24.0000000000009</c:v>
                </c:pt>
                <c:pt idx="228">
                  <c:v>192</c:v>
                </c:pt>
                <c:pt idx="229">
                  <c:v>-64.0000000000001</c:v>
                </c:pt>
                <c:pt idx="230">
                  <c:v>-147.199999999998</c:v>
                </c:pt>
                <c:pt idx="231">
                  <c:v>79.9999999999983</c:v>
                </c:pt>
                <c:pt idx="232">
                  <c:v>-48.0000000000018</c:v>
                </c:pt>
                <c:pt idx="233">
                  <c:v>96.0000000000036</c:v>
                </c:pt>
                <c:pt idx="234">
                  <c:v>46.3999999999984</c:v>
                </c:pt>
                <c:pt idx="235">
                  <c:v>224.000000000004</c:v>
                </c:pt>
                <c:pt idx="236">
                  <c:v>-8.00000000000267</c:v>
                </c:pt>
                <c:pt idx="237">
                  <c:v>231.999999999999</c:v>
                </c:pt>
                <c:pt idx="238">
                  <c:v>-113.599999999998</c:v>
                </c:pt>
                <c:pt idx="239">
                  <c:v>287.999999999997</c:v>
                </c:pt>
                <c:pt idx="240">
                  <c:v>272.000000000006</c:v>
                </c:pt>
                <c:pt idx="241">
                  <c:v>-81.6000000000017</c:v>
                </c:pt>
                <c:pt idx="242">
                  <c:v>113.599999999998</c:v>
                </c:pt>
                <c:pt idx="243">
                  <c:v>571.199999999998</c:v>
                </c:pt>
                <c:pt idx="244">
                  <c:v>241.600000000005</c:v>
                </c:pt>
                <c:pt idx="245">
                  <c:v>422.399999999996</c:v>
                </c:pt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PnL!$P$151:$P$396</c:f>
              <c:numCache>
                <c:formatCode>General</c:formatCode>
                <c:ptCount val="246"/>
                <c:pt idx="0">
                  <c:v>0</c:v>
                </c:pt>
                <c:pt idx="1">
                  <c:v>28.7000000000011</c:v>
                </c:pt>
                <c:pt idx="2">
                  <c:v>248.499999999999</c:v>
                </c:pt>
                <c:pt idx="3">
                  <c:v>-149.499999999999</c:v>
                </c:pt>
                <c:pt idx="4">
                  <c:v>-182.500000000001</c:v>
                </c:pt>
                <c:pt idx="5">
                  <c:v>-87.3999999999988</c:v>
                </c:pt>
                <c:pt idx="6">
                  <c:v>-317.1</c:v>
                </c:pt>
                <c:pt idx="7">
                  <c:v>37.4999999999996</c:v>
                </c:pt>
                <c:pt idx="8">
                  <c:v>127.5</c:v>
                </c:pt>
                <c:pt idx="9">
                  <c:v>-60.9999999999999</c:v>
                </c:pt>
                <c:pt idx="10">
                  <c:v>-357.499999999999</c:v>
                </c:pt>
                <c:pt idx="11">
                  <c:v>112.5</c:v>
                </c:pt>
                <c:pt idx="12">
                  <c:v>-93.500000000001</c:v>
                </c:pt>
                <c:pt idx="13">
                  <c:v>-1.30000000000052</c:v>
                </c:pt>
                <c:pt idx="14">
                  <c:v>-27.4000000000005</c:v>
                </c:pt>
                <c:pt idx="15">
                  <c:v>63.3000000000012</c:v>
                </c:pt>
                <c:pt idx="16">
                  <c:v>19.7999999999992</c:v>
                </c:pt>
                <c:pt idx="17">
                  <c:v>-102.900000000001</c:v>
                </c:pt>
                <c:pt idx="18">
                  <c:v>488.000000000005</c:v>
                </c:pt>
                <c:pt idx="19">
                  <c:v>-142.399999999997</c:v>
                </c:pt>
                <c:pt idx="20">
                  <c:v>353.999999999994</c:v>
                </c:pt>
                <c:pt idx="21">
                  <c:v>49.5000000000045</c:v>
                </c:pt>
                <c:pt idx="22">
                  <c:v>-304.500000000003</c:v>
                </c:pt>
                <c:pt idx="23">
                  <c:v>117.499999999999</c:v>
                </c:pt>
                <c:pt idx="24">
                  <c:v>-87.4999999999959</c:v>
                </c:pt>
                <c:pt idx="25">
                  <c:v>113.999999999999</c:v>
                </c:pt>
                <c:pt idx="26">
                  <c:v>-8.50000000000017</c:v>
                </c:pt>
                <c:pt idx="27">
                  <c:v>-37.999999999998</c:v>
                </c:pt>
                <c:pt idx="28">
                  <c:v>10.5</c:v>
                </c:pt>
                <c:pt idx="29">
                  <c:v>4.49999999999617</c:v>
                </c:pt>
                <c:pt idx="30">
                  <c:v>-13.9999999999985</c:v>
                </c:pt>
                <c:pt idx="31">
                  <c:v>-138.499999999999</c:v>
                </c:pt>
                <c:pt idx="32">
                  <c:v>-1043</c:v>
                </c:pt>
                <c:pt idx="33">
                  <c:v>-9.50000000000006</c:v>
                </c:pt>
                <c:pt idx="34">
                  <c:v>106.999999999997</c:v>
                </c:pt>
                <c:pt idx="35">
                  <c:v>-309.500000000003</c:v>
                </c:pt>
                <c:pt idx="36">
                  <c:v>-70.4999999999978</c:v>
                </c:pt>
                <c:pt idx="37">
                  <c:v>-114.499999999995</c:v>
                </c:pt>
                <c:pt idx="38">
                  <c:v>-15.000000000005</c:v>
                </c:pt>
                <c:pt idx="39">
                  <c:v>87.0000000000037</c:v>
                </c:pt>
                <c:pt idx="40">
                  <c:v>-343.000000000004</c:v>
                </c:pt>
                <c:pt idx="41">
                  <c:v>260.499999999999</c:v>
                </c:pt>
                <c:pt idx="42">
                  <c:v>683.500000000006</c:v>
                </c:pt>
                <c:pt idx="43">
                  <c:v>237.499999999997</c:v>
                </c:pt>
                <c:pt idx="44">
                  <c:v>-143</c:v>
                </c:pt>
                <c:pt idx="45">
                  <c:v>191.999999999997</c:v>
                </c:pt>
                <c:pt idx="46">
                  <c:v>194.000000000003</c:v>
                </c:pt>
                <c:pt idx="47">
                  <c:v>-183.999999999997</c:v>
                </c:pt>
                <c:pt idx="48">
                  <c:v>127.999999999995</c:v>
                </c:pt>
                <c:pt idx="49">
                  <c:v>-78.4999999999991</c:v>
                </c:pt>
                <c:pt idx="50">
                  <c:v>372.000000000001</c:v>
                </c:pt>
                <c:pt idx="51">
                  <c:v>-39.0000000000024</c:v>
                </c:pt>
                <c:pt idx="52">
                  <c:v>508.500000000003</c:v>
                </c:pt>
                <c:pt idx="53">
                  <c:v>-412.5</c:v>
                </c:pt>
                <c:pt idx="54">
                  <c:v>-240.500000000003</c:v>
                </c:pt>
                <c:pt idx="55">
                  <c:v>-61.9999999999954</c:v>
                </c:pt>
                <c:pt idx="56">
                  <c:v>-314.000000000001</c:v>
                </c:pt>
                <c:pt idx="57">
                  <c:v>508.499999999992</c:v>
                </c:pt>
                <c:pt idx="58">
                  <c:v>-150.999999999994</c:v>
                </c:pt>
                <c:pt idx="59">
                  <c:v>133.999999999998</c:v>
                </c:pt>
                <c:pt idx="60">
                  <c:v>-138.099999999998</c:v>
                </c:pt>
                <c:pt idx="61">
                  <c:v>492.899999999999</c:v>
                </c:pt>
                <c:pt idx="62">
                  <c:v>-296.400000000001</c:v>
                </c:pt>
                <c:pt idx="63">
                  <c:v>-25.7000000000063</c:v>
                </c:pt>
                <c:pt idx="64">
                  <c:v>-113.499999999993</c:v>
                </c:pt>
                <c:pt idx="65">
                  <c:v>431.299999999995</c:v>
                </c:pt>
                <c:pt idx="66">
                  <c:v>-13.4999999999992</c:v>
                </c:pt>
                <c:pt idx="67">
                  <c:v>603.500000000003</c:v>
                </c:pt>
                <c:pt idx="68">
                  <c:v>370.299999999999</c:v>
                </c:pt>
                <c:pt idx="69">
                  <c:v>-292.300000000001</c:v>
                </c:pt>
                <c:pt idx="70">
                  <c:v>-66.3999999999953</c:v>
                </c:pt>
                <c:pt idx="71">
                  <c:v>-424.100000000002</c:v>
                </c:pt>
                <c:pt idx="72">
                  <c:v>369.199999999997</c:v>
                </c:pt>
                <c:pt idx="73">
                  <c:v>370.2</c:v>
                </c:pt>
                <c:pt idx="74">
                  <c:v>111.400000000001</c:v>
                </c:pt>
                <c:pt idx="75">
                  <c:v>141.299999999999</c:v>
                </c:pt>
                <c:pt idx="76">
                  <c:v>49.0000000000004</c:v>
                </c:pt>
                <c:pt idx="77">
                  <c:v>225.700000000002</c:v>
                </c:pt>
                <c:pt idx="78">
                  <c:v>136.300000000002</c:v>
                </c:pt>
                <c:pt idx="79">
                  <c:v>446.599999999995</c:v>
                </c:pt>
                <c:pt idx="80">
                  <c:v>759.399999999997</c:v>
                </c:pt>
                <c:pt idx="81">
                  <c:v>157.800000000007</c:v>
                </c:pt>
                <c:pt idx="82">
                  <c:v>589.9</c:v>
                </c:pt>
                <c:pt idx="83">
                  <c:v>1060.8</c:v>
                </c:pt>
                <c:pt idx="84">
                  <c:v>23.9999999999951</c:v>
                </c:pt>
                <c:pt idx="85">
                  <c:v>-678.999999999999</c:v>
                </c:pt>
                <c:pt idx="86">
                  <c:v>309.899999999999</c:v>
                </c:pt>
                <c:pt idx="87">
                  <c:v>881.899999999998</c:v>
                </c:pt>
                <c:pt idx="88">
                  <c:v>993.099999999999</c:v>
                </c:pt>
                <c:pt idx="89">
                  <c:v>34.5000000000049</c:v>
                </c:pt>
                <c:pt idx="90">
                  <c:v>-578.6</c:v>
                </c:pt>
                <c:pt idx="91">
                  <c:v>56.5999999999982</c:v>
                </c:pt>
                <c:pt idx="92">
                  <c:v>-499.400000000001</c:v>
                </c:pt>
                <c:pt idx="93">
                  <c:v>167.400000000003</c:v>
                </c:pt>
                <c:pt idx="94">
                  <c:v>521.799999999996</c:v>
                </c:pt>
                <c:pt idx="95">
                  <c:v>667.900000000004</c:v>
                </c:pt>
                <c:pt idx="96">
                  <c:v>701.999999999997</c:v>
                </c:pt>
                <c:pt idx="97">
                  <c:v>-281.799999999998</c:v>
                </c:pt>
                <c:pt idx="98">
                  <c:v>-15.2000000000005</c:v>
                </c:pt>
                <c:pt idx="99">
                  <c:v>-755.000000000002</c:v>
                </c:pt>
                <c:pt idx="100">
                  <c:v>597.200000000006</c:v>
                </c:pt>
                <c:pt idx="101">
                  <c:v>13.499999999995</c:v>
                </c:pt>
                <c:pt idx="102">
                  <c:v>705.799999999999</c:v>
                </c:pt>
                <c:pt idx="103">
                  <c:v>539.099999999999</c:v>
                </c:pt>
                <c:pt idx="104">
                  <c:v>-602.399999999993</c:v>
                </c:pt>
                <c:pt idx="105">
                  <c:v>94.499999999996</c:v>
                </c:pt>
                <c:pt idx="106">
                  <c:v>466.599999999998</c:v>
                </c:pt>
                <c:pt idx="107">
                  <c:v>73.0000000000028</c:v>
                </c:pt>
                <c:pt idx="108">
                  <c:v>-143.4</c:v>
                </c:pt>
                <c:pt idx="109">
                  <c:v>624.199999999996</c:v>
                </c:pt>
                <c:pt idx="110">
                  <c:v>-1.29999999999719</c:v>
                </c:pt>
                <c:pt idx="111">
                  <c:v>1230.6</c:v>
                </c:pt>
                <c:pt idx="112">
                  <c:v>246.099999999996</c:v>
                </c:pt>
                <c:pt idx="113">
                  <c:v>-1171.1</c:v>
                </c:pt>
                <c:pt idx="114">
                  <c:v>-576.999999999999</c:v>
                </c:pt>
                <c:pt idx="115">
                  <c:v>-1171.3</c:v>
                </c:pt>
                <c:pt idx="116">
                  <c:v>546.5</c:v>
                </c:pt>
                <c:pt idx="117">
                  <c:v>151.799999999999</c:v>
                </c:pt>
                <c:pt idx="118">
                  <c:v>464.800000000001</c:v>
                </c:pt>
                <c:pt idx="119">
                  <c:v>-340.200000000003</c:v>
                </c:pt>
                <c:pt idx="120">
                  <c:v>-153.3</c:v>
                </c:pt>
                <c:pt idx="121">
                  <c:v>241.200000000003</c:v>
                </c:pt>
                <c:pt idx="122">
                  <c:v>357.500000000001</c:v>
                </c:pt>
                <c:pt idx="123">
                  <c:v>900.299999999997</c:v>
                </c:pt>
                <c:pt idx="124">
                  <c:v>-134.3</c:v>
                </c:pt>
                <c:pt idx="125">
                  <c:v>-265.899999999997</c:v>
                </c:pt>
                <c:pt idx="126">
                  <c:v>290.899999999999</c:v>
                </c:pt>
                <c:pt idx="127">
                  <c:v>2.79999999999969</c:v>
                </c:pt>
                <c:pt idx="128">
                  <c:v>74.500000000002</c:v>
                </c:pt>
                <c:pt idx="129">
                  <c:v>-118.799999999998</c:v>
                </c:pt>
                <c:pt idx="130">
                  <c:v>201.399999999998</c:v>
                </c:pt>
                <c:pt idx="131">
                  <c:v>-47.1000000000021</c:v>
                </c:pt>
                <c:pt idx="132">
                  <c:v>-349.700000000003</c:v>
                </c:pt>
                <c:pt idx="133">
                  <c:v>-91.1999999999991</c:v>
                </c:pt>
                <c:pt idx="134">
                  <c:v>590.2</c:v>
                </c:pt>
                <c:pt idx="135">
                  <c:v>363.000000000003</c:v>
                </c:pt>
                <c:pt idx="136">
                  <c:v>250.300000000004</c:v>
                </c:pt>
                <c:pt idx="137">
                  <c:v>118.599999999994</c:v>
                </c:pt>
                <c:pt idx="138">
                  <c:v>447.200000000004</c:v>
                </c:pt>
                <c:pt idx="139">
                  <c:v>407.999999999995</c:v>
                </c:pt>
                <c:pt idx="140">
                  <c:v>-970.999999999995</c:v>
                </c:pt>
                <c:pt idx="141">
                  <c:v>398.000000000001</c:v>
                </c:pt>
                <c:pt idx="142">
                  <c:v>100.499999999998</c:v>
                </c:pt>
                <c:pt idx="143">
                  <c:v>-231.599999999994</c:v>
                </c:pt>
                <c:pt idx="144">
                  <c:v>-194.600000000008</c:v>
                </c:pt>
                <c:pt idx="145">
                  <c:v>-30.8000000000019</c:v>
                </c:pt>
                <c:pt idx="146">
                  <c:v>89.8000000000061</c:v>
                </c:pt>
                <c:pt idx="147">
                  <c:v>511.400000000003</c:v>
                </c:pt>
                <c:pt idx="148">
                  <c:v>-39.4000000000028</c:v>
                </c:pt>
                <c:pt idx="149">
                  <c:v>18.0999999999987</c:v>
                </c:pt>
                <c:pt idx="150">
                  <c:v>49.399999999999</c:v>
                </c:pt>
                <c:pt idx="151">
                  <c:v>-105.100000000002</c:v>
                </c:pt>
                <c:pt idx="152">
                  <c:v>-127.799999999994</c:v>
                </c:pt>
                <c:pt idx="153">
                  <c:v>55.3999999999939</c:v>
                </c:pt>
                <c:pt idx="154">
                  <c:v>213.700000000006</c:v>
                </c:pt>
                <c:pt idx="155">
                  <c:v>126.499999999992</c:v>
                </c:pt>
                <c:pt idx="156">
                  <c:v>119.000000000003</c:v>
                </c:pt>
                <c:pt idx="157">
                  <c:v>-84.2999999999936</c:v>
                </c:pt>
                <c:pt idx="158">
                  <c:v>71.6999999999963</c:v>
                </c:pt>
                <c:pt idx="159">
                  <c:v>113.199999999995</c:v>
                </c:pt>
                <c:pt idx="160">
                  <c:v>-272.099999999994</c:v>
                </c:pt>
                <c:pt idx="161">
                  <c:v>-78.8999999999973</c:v>
                </c:pt>
                <c:pt idx="162">
                  <c:v>69.5999999999968</c:v>
                </c:pt>
                <c:pt idx="163">
                  <c:v>-340.700000000006</c:v>
                </c:pt>
                <c:pt idx="164">
                  <c:v>-333.3</c:v>
                </c:pt>
                <c:pt idx="165">
                  <c:v>-510.699999999999</c:v>
                </c:pt>
                <c:pt idx="166">
                  <c:v>440.000000000008</c:v>
                </c:pt>
                <c:pt idx="167">
                  <c:v>31.6999999999976</c:v>
                </c:pt>
                <c:pt idx="168">
                  <c:v>-629.900000000005</c:v>
                </c:pt>
                <c:pt idx="169">
                  <c:v>-420.199999999998</c:v>
                </c:pt>
                <c:pt idx="170">
                  <c:v>-9.99999999999712</c:v>
                </c:pt>
                <c:pt idx="171">
                  <c:v>-655.899999999996</c:v>
                </c:pt>
                <c:pt idx="172">
                  <c:v>68.8999999999886</c:v>
                </c:pt>
                <c:pt idx="173">
                  <c:v>118.900000000009</c:v>
                </c:pt>
                <c:pt idx="174">
                  <c:v>-147.500000000003</c:v>
                </c:pt>
                <c:pt idx="175">
                  <c:v>201.000000000003</c:v>
                </c:pt>
                <c:pt idx="176">
                  <c:v>218.999999999995</c:v>
                </c:pt>
                <c:pt idx="177">
                  <c:v>62.4999999999964</c:v>
                </c:pt>
                <c:pt idx="178">
                  <c:v>-405.499999999994</c:v>
                </c:pt>
                <c:pt idx="179">
                  <c:v>-364.000000000001</c:v>
                </c:pt>
                <c:pt idx="180">
                  <c:v>-133.500000000002</c:v>
                </c:pt>
                <c:pt idx="181">
                  <c:v>28.4999999999989</c:v>
                </c:pt>
                <c:pt idx="182">
                  <c:v>211.400000000004</c:v>
                </c:pt>
                <c:pt idx="183">
                  <c:v>-248</c:v>
                </c:pt>
                <c:pt idx="184">
                  <c:v>-280.000000000001</c:v>
                </c:pt>
                <c:pt idx="185">
                  <c:v>-22.500000000004</c:v>
                </c:pt>
                <c:pt idx="186">
                  <c:v>257.4</c:v>
                </c:pt>
                <c:pt idx="187">
                  <c:v>162.600000000006</c:v>
                </c:pt>
                <c:pt idx="188">
                  <c:v>111.999999999993</c:v>
                </c:pt>
                <c:pt idx="189">
                  <c:v>-8.49999999999484</c:v>
                </c:pt>
                <c:pt idx="190">
                  <c:v>-319.600000000006</c:v>
                </c:pt>
                <c:pt idx="191">
                  <c:v>-377.900000000002</c:v>
                </c:pt>
                <c:pt idx="192">
                  <c:v>-629.499999999996</c:v>
                </c:pt>
                <c:pt idx="193">
                  <c:v>213.500000000005</c:v>
                </c:pt>
                <c:pt idx="194">
                  <c:v>401.899999999996</c:v>
                </c:pt>
                <c:pt idx="195">
                  <c:v>-154.499999999997</c:v>
                </c:pt>
                <c:pt idx="196">
                  <c:v>-177.500000000001</c:v>
                </c:pt>
                <c:pt idx="197">
                  <c:v>-491.000000000001</c:v>
                </c:pt>
                <c:pt idx="198">
                  <c:v>-329.5</c:v>
                </c:pt>
                <c:pt idx="199">
                  <c:v>293.500000000002</c:v>
                </c:pt>
                <c:pt idx="200">
                  <c:v>205.5</c:v>
                </c:pt>
                <c:pt idx="201">
                  <c:v>116.999999999998</c:v>
                </c:pt>
                <c:pt idx="202">
                  <c:v>614.199999999992</c:v>
                </c:pt>
                <c:pt idx="203">
                  <c:v>-411.999999999995</c:v>
                </c:pt>
                <c:pt idx="204">
                  <c:v>109.399999999994</c:v>
                </c:pt>
                <c:pt idx="205">
                  <c:v>85.599999999995</c:v>
                </c:pt>
                <c:pt idx="206">
                  <c:v>846.400000000004</c:v>
                </c:pt>
                <c:pt idx="207">
                  <c:v>161.000000000007</c:v>
                </c:pt>
                <c:pt idx="208">
                  <c:v>1325.99999999999</c:v>
                </c:pt>
                <c:pt idx="209">
                  <c:v>-417.800000000004</c:v>
                </c:pt>
                <c:pt idx="210">
                  <c:v>152.4</c:v>
                </c:pt>
                <c:pt idx="211">
                  <c:v>-384.799999999991</c:v>
                </c:pt>
                <c:pt idx="212">
                  <c:v>641.6</c:v>
                </c:pt>
                <c:pt idx="213">
                  <c:v>-34.0000000000042</c:v>
                </c:pt>
                <c:pt idx="214">
                  <c:v>485.000000000002</c:v>
                </c:pt>
                <c:pt idx="215">
                  <c:v>269.800000000003</c:v>
                </c:pt>
                <c:pt idx="216">
                  <c:v>-361.400000000008</c:v>
                </c:pt>
                <c:pt idx="217">
                  <c:v>-143.599999999998</c:v>
                </c:pt>
                <c:pt idx="218">
                  <c:v>240.600000000001</c:v>
                </c:pt>
                <c:pt idx="219">
                  <c:v>215.999999999998</c:v>
                </c:pt>
                <c:pt idx="220">
                  <c:v>-294.599999999999</c:v>
                </c:pt>
                <c:pt idx="221">
                  <c:v>-548.9</c:v>
                </c:pt>
                <c:pt idx="222">
                  <c:v>-810.000000000004</c:v>
                </c:pt>
                <c:pt idx="223">
                  <c:v>-816.799999999998</c:v>
                </c:pt>
                <c:pt idx="224">
                  <c:v>-151.29999999999</c:v>
                </c:pt>
                <c:pt idx="225">
                  <c:v>-304.800000000002</c:v>
                </c:pt>
                <c:pt idx="226">
                  <c:v>988.499999999994</c:v>
                </c:pt>
                <c:pt idx="227">
                  <c:v>75.4000000000024</c:v>
                </c:pt>
                <c:pt idx="228">
                  <c:v>623.699999999994</c:v>
                </c:pt>
                <c:pt idx="229">
                  <c:v>53.8000000000025</c:v>
                </c:pt>
                <c:pt idx="230">
                  <c:v>-615.199999999995</c:v>
                </c:pt>
                <c:pt idx="231">
                  <c:v>287.199999999998</c:v>
                </c:pt>
                <c:pt idx="232">
                  <c:v>-307.400000000003</c:v>
                </c:pt>
                <c:pt idx="233">
                  <c:v>572.5</c:v>
                </c:pt>
                <c:pt idx="234">
                  <c:v>127.599999999998</c:v>
                </c:pt>
                <c:pt idx="235">
                  <c:v>719.800000000005</c:v>
                </c:pt>
                <c:pt idx="236">
                  <c:v>193.999999999998</c:v>
                </c:pt>
                <c:pt idx="237">
                  <c:v>706.200000000005</c:v>
                </c:pt>
                <c:pt idx="238">
                  <c:v>-435.600000000003</c:v>
                </c:pt>
                <c:pt idx="239">
                  <c:v>828.199999999996</c:v>
                </c:pt>
                <c:pt idx="240">
                  <c:v>502.800000000007</c:v>
                </c:pt>
                <c:pt idx="241">
                  <c:v>-419.600000000001</c:v>
                </c:pt>
                <c:pt idx="242">
                  <c:v>-51.1999999999988</c:v>
                </c:pt>
                <c:pt idx="243">
                  <c:v>1562.99999999999</c:v>
                </c:pt>
                <c:pt idx="244">
                  <c:v>505.800000000009</c:v>
                </c:pt>
                <c:pt idx="245">
                  <c:v>1170.59999999999</c:v>
                </c:pt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PnL!$Q$151:$Q$396</c:f>
              <c:numCache>
                <c:formatCode>General</c:formatCode>
                <c:ptCount val="246"/>
                <c:pt idx="0">
                  <c:v>278.5</c:v>
                </c:pt>
                <c:pt idx="1">
                  <c:v>307.200000000001</c:v>
                </c:pt>
                <c:pt idx="2">
                  <c:v>555.700000000001</c:v>
                </c:pt>
                <c:pt idx="3">
                  <c:v>406.200000000002</c:v>
                </c:pt>
                <c:pt idx="4">
                  <c:v>223.7</c:v>
                </c:pt>
                <c:pt idx="5">
                  <c:v>136.300000000002</c:v>
                </c:pt>
                <c:pt idx="6">
                  <c:v>-180.799999999998</c:v>
                </c:pt>
                <c:pt idx="7">
                  <c:v>-143.299999999998</c:v>
                </c:pt>
                <c:pt idx="8">
                  <c:v>-15.7999999999987</c:v>
                </c:pt>
                <c:pt idx="9">
                  <c:v>-76.7999999999987</c:v>
                </c:pt>
                <c:pt idx="10">
                  <c:v>-434.299999999997</c:v>
                </c:pt>
                <c:pt idx="11">
                  <c:v>-321.799999999997</c:v>
                </c:pt>
                <c:pt idx="12">
                  <c:v>-415.299999999998</c:v>
                </c:pt>
                <c:pt idx="13">
                  <c:v>-416.599999999999</c:v>
                </c:pt>
                <c:pt idx="14">
                  <c:v>-444</c:v>
                </c:pt>
                <c:pt idx="15">
                  <c:v>-380.699999999998</c:v>
                </c:pt>
                <c:pt idx="16">
                  <c:v>-360.899999999999</c:v>
                </c:pt>
                <c:pt idx="17">
                  <c:v>-463.8</c:v>
                </c:pt>
                <c:pt idx="18">
                  <c:v>24.2000000000044</c:v>
                </c:pt>
                <c:pt idx="19">
                  <c:v>-118.199999999992</c:v>
                </c:pt>
                <c:pt idx="20">
                  <c:v>235.800000000002</c:v>
                </c:pt>
                <c:pt idx="21">
                  <c:v>285.300000000007</c:v>
                </c:pt>
                <c:pt idx="22">
                  <c:v>-19.1999999999966</c:v>
                </c:pt>
                <c:pt idx="23">
                  <c:v>98.3000000000027</c:v>
                </c:pt>
                <c:pt idx="24">
                  <c:v>10.8000000000068</c:v>
                </c:pt>
                <c:pt idx="25">
                  <c:v>124.800000000005</c:v>
                </c:pt>
                <c:pt idx="26">
                  <c:v>116.300000000005</c:v>
                </c:pt>
                <c:pt idx="27">
                  <c:v>78.3000000000071</c:v>
                </c:pt>
                <c:pt idx="28">
                  <c:v>88.8000000000071</c:v>
                </c:pt>
                <c:pt idx="29">
                  <c:v>93.3000000000032</c:v>
                </c:pt>
                <c:pt idx="30">
                  <c:v>79.3000000000048</c:v>
                </c:pt>
                <c:pt idx="31">
                  <c:v>-59.1999999999944</c:v>
                </c:pt>
                <c:pt idx="32">
                  <c:v>-1102.19999999999</c:v>
                </c:pt>
                <c:pt idx="33">
                  <c:v>-1111.69999999999</c:v>
                </c:pt>
                <c:pt idx="34">
                  <c:v>-1004.7</c:v>
                </c:pt>
                <c:pt idx="35">
                  <c:v>-1314.2</c:v>
                </c:pt>
                <c:pt idx="36">
                  <c:v>-1384.7</c:v>
                </c:pt>
                <c:pt idx="37">
                  <c:v>-1499.19999999999</c:v>
                </c:pt>
                <c:pt idx="38">
                  <c:v>-1514.2</c:v>
                </c:pt>
                <c:pt idx="39">
                  <c:v>-1427.19999999999</c:v>
                </c:pt>
                <c:pt idx="40">
                  <c:v>-1770.2</c:v>
                </c:pt>
                <c:pt idx="41">
                  <c:v>-1509.7</c:v>
                </c:pt>
                <c:pt idx="42">
                  <c:v>-826.199999999992</c:v>
                </c:pt>
                <c:pt idx="43">
                  <c:v>-588.699999999995</c:v>
                </c:pt>
                <c:pt idx="44">
                  <c:v>-731.699999999995</c:v>
                </c:pt>
                <c:pt idx="45">
                  <c:v>-539.699999999998</c:v>
                </c:pt>
                <c:pt idx="46">
                  <c:v>-345.699999999995</c:v>
                </c:pt>
                <c:pt idx="47">
                  <c:v>-529.699999999993</c:v>
                </c:pt>
                <c:pt idx="48">
                  <c:v>-401.699999999998</c:v>
                </c:pt>
                <c:pt idx="49">
                  <c:v>-480.199999999997</c:v>
                </c:pt>
                <c:pt idx="50">
                  <c:v>-108.199999999996</c:v>
                </c:pt>
                <c:pt idx="51">
                  <c:v>-147.199999999998</c:v>
                </c:pt>
                <c:pt idx="52">
                  <c:v>361.300000000005</c:v>
                </c:pt>
                <c:pt idx="53">
                  <c:v>-51.1999999999954</c:v>
                </c:pt>
                <c:pt idx="54">
                  <c:v>-291.699999999999</c:v>
                </c:pt>
                <c:pt idx="55">
                  <c:v>-353.699999999994</c:v>
                </c:pt>
                <c:pt idx="56">
                  <c:v>-667.699999999995</c:v>
                </c:pt>
                <c:pt idx="57">
                  <c:v>-159.200000000003</c:v>
                </c:pt>
                <c:pt idx="58">
                  <c:v>-310.199999999997</c:v>
                </c:pt>
                <c:pt idx="59">
                  <c:v>-176.199999999999</c:v>
                </c:pt>
                <c:pt idx="60">
                  <c:v>-314.299999999996</c:v>
                </c:pt>
                <c:pt idx="61">
                  <c:v>178.600000000003</c:v>
                </c:pt>
                <c:pt idx="62">
                  <c:v>-117.799999999998</c:v>
                </c:pt>
                <c:pt idx="63">
                  <c:v>-143.500000000004</c:v>
                </c:pt>
                <c:pt idx="64">
                  <c:v>-256.999999999997</c:v>
                </c:pt>
                <c:pt idx="65">
                  <c:v>174.299999999998</c:v>
                </c:pt>
                <c:pt idx="66">
                  <c:v>160.799999999999</c:v>
                </c:pt>
                <c:pt idx="67">
                  <c:v>764.300000000002</c:v>
                </c:pt>
                <c:pt idx="68">
                  <c:v>1134.6</c:v>
                </c:pt>
                <c:pt idx="69">
                  <c:v>842.3</c:v>
                </c:pt>
                <c:pt idx="70">
                  <c:v>775.900000000005</c:v>
                </c:pt>
                <c:pt idx="71">
                  <c:v>351.800000000003</c:v>
                </c:pt>
                <c:pt idx="72">
                  <c:v>721</c:v>
                </c:pt>
                <c:pt idx="73">
                  <c:v>1091.2</c:v>
                </c:pt>
                <c:pt idx="74">
                  <c:v>1202.6</c:v>
                </c:pt>
                <c:pt idx="75">
                  <c:v>1343.9</c:v>
                </c:pt>
                <c:pt idx="76">
                  <c:v>1392.9</c:v>
                </c:pt>
                <c:pt idx="77">
                  <c:v>1618.6</c:v>
                </c:pt>
                <c:pt idx="78">
                  <c:v>1754.9</c:v>
                </c:pt>
                <c:pt idx="79">
                  <c:v>2201.5</c:v>
                </c:pt>
                <c:pt idx="80">
                  <c:v>2960.9</c:v>
                </c:pt>
                <c:pt idx="81">
                  <c:v>3118.7</c:v>
                </c:pt>
                <c:pt idx="82">
                  <c:v>3708.6</c:v>
                </c:pt>
                <c:pt idx="83">
                  <c:v>4769.40000000001</c:v>
                </c:pt>
                <c:pt idx="84">
                  <c:v>4793.4</c:v>
                </c:pt>
                <c:pt idx="85">
                  <c:v>4114.4</c:v>
                </c:pt>
                <c:pt idx="86">
                  <c:v>4424.3</c:v>
                </c:pt>
                <c:pt idx="87">
                  <c:v>5306.2</c:v>
                </c:pt>
                <c:pt idx="88">
                  <c:v>6299.3</c:v>
                </c:pt>
                <c:pt idx="89">
                  <c:v>6333.8</c:v>
                </c:pt>
                <c:pt idx="90">
                  <c:v>5755.2</c:v>
                </c:pt>
                <c:pt idx="91">
                  <c:v>5811.8</c:v>
                </c:pt>
                <c:pt idx="92">
                  <c:v>5312.4</c:v>
                </c:pt>
                <c:pt idx="93">
                  <c:v>5479.8</c:v>
                </c:pt>
                <c:pt idx="94">
                  <c:v>6001.6</c:v>
                </c:pt>
                <c:pt idx="95">
                  <c:v>6669.5</c:v>
                </c:pt>
                <c:pt idx="96">
                  <c:v>7371.5</c:v>
                </c:pt>
                <c:pt idx="97">
                  <c:v>7089.7</c:v>
                </c:pt>
                <c:pt idx="98">
                  <c:v>7074.5</c:v>
                </c:pt>
                <c:pt idx="99">
                  <c:v>6319.5</c:v>
                </c:pt>
                <c:pt idx="100">
                  <c:v>6916.70000000001</c:v>
                </c:pt>
                <c:pt idx="101">
                  <c:v>6930.2</c:v>
                </c:pt>
                <c:pt idx="102">
                  <c:v>7636</c:v>
                </c:pt>
                <c:pt idx="103">
                  <c:v>8175.1</c:v>
                </c:pt>
                <c:pt idx="104">
                  <c:v>7572.7</c:v>
                </c:pt>
                <c:pt idx="105">
                  <c:v>7667.2</c:v>
                </c:pt>
                <c:pt idx="106">
                  <c:v>8133.8</c:v>
                </c:pt>
                <c:pt idx="107">
                  <c:v>8206.8</c:v>
                </c:pt>
                <c:pt idx="108">
                  <c:v>8063.4</c:v>
                </c:pt>
                <c:pt idx="109">
                  <c:v>8687.6</c:v>
                </c:pt>
                <c:pt idx="110">
                  <c:v>8686.3</c:v>
                </c:pt>
                <c:pt idx="111">
                  <c:v>9916.9</c:v>
                </c:pt>
                <c:pt idx="112">
                  <c:v>10163</c:v>
                </c:pt>
                <c:pt idx="113">
                  <c:v>8991.9</c:v>
                </c:pt>
                <c:pt idx="114">
                  <c:v>8414.9</c:v>
                </c:pt>
                <c:pt idx="115">
                  <c:v>7243.6</c:v>
                </c:pt>
                <c:pt idx="116">
                  <c:v>7790.1</c:v>
                </c:pt>
                <c:pt idx="117">
                  <c:v>7941.9</c:v>
                </c:pt>
                <c:pt idx="118">
                  <c:v>8406.7</c:v>
                </c:pt>
                <c:pt idx="119">
                  <c:v>8066.5</c:v>
                </c:pt>
                <c:pt idx="120">
                  <c:v>7913.2</c:v>
                </c:pt>
                <c:pt idx="121">
                  <c:v>8154.4</c:v>
                </c:pt>
                <c:pt idx="122">
                  <c:v>8511.9</c:v>
                </c:pt>
                <c:pt idx="123">
                  <c:v>9412.2</c:v>
                </c:pt>
                <c:pt idx="124">
                  <c:v>9277.9</c:v>
                </c:pt>
                <c:pt idx="125">
                  <c:v>9012</c:v>
                </c:pt>
                <c:pt idx="126">
                  <c:v>9302.9</c:v>
                </c:pt>
                <c:pt idx="127">
                  <c:v>9305.7</c:v>
                </c:pt>
                <c:pt idx="128">
                  <c:v>9380.2</c:v>
                </c:pt>
                <c:pt idx="129">
                  <c:v>9261.4</c:v>
                </c:pt>
                <c:pt idx="130">
                  <c:v>9462.8</c:v>
                </c:pt>
                <c:pt idx="131">
                  <c:v>9415.7</c:v>
                </c:pt>
                <c:pt idx="132">
                  <c:v>9065.99999999999</c:v>
                </c:pt>
                <c:pt idx="133">
                  <c:v>8974.8</c:v>
                </c:pt>
                <c:pt idx="134">
                  <c:v>9564.99999999999</c:v>
                </c:pt>
                <c:pt idx="135">
                  <c:v>9928</c:v>
                </c:pt>
                <c:pt idx="136">
                  <c:v>10178.3</c:v>
                </c:pt>
                <c:pt idx="137">
                  <c:v>10296.9</c:v>
                </c:pt>
                <c:pt idx="138">
                  <c:v>10744.1</c:v>
                </c:pt>
                <c:pt idx="139">
                  <c:v>11152.1</c:v>
                </c:pt>
                <c:pt idx="140">
                  <c:v>10181.1</c:v>
                </c:pt>
                <c:pt idx="141">
                  <c:v>10579.1</c:v>
                </c:pt>
                <c:pt idx="142">
                  <c:v>10679.6</c:v>
                </c:pt>
                <c:pt idx="143">
                  <c:v>10448</c:v>
                </c:pt>
                <c:pt idx="144">
                  <c:v>10253.4</c:v>
                </c:pt>
                <c:pt idx="145">
                  <c:v>10222.6</c:v>
                </c:pt>
                <c:pt idx="146">
                  <c:v>10312.4</c:v>
                </c:pt>
                <c:pt idx="147">
                  <c:v>10823.8</c:v>
                </c:pt>
                <c:pt idx="148">
                  <c:v>10784.4</c:v>
                </c:pt>
                <c:pt idx="149">
                  <c:v>10802.5</c:v>
                </c:pt>
                <c:pt idx="150">
                  <c:v>10851.9</c:v>
                </c:pt>
                <c:pt idx="151">
                  <c:v>10746.8</c:v>
                </c:pt>
                <c:pt idx="152">
                  <c:v>10619</c:v>
                </c:pt>
                <c:pt idx="153">
                  <c:v>10674.4</c:v>
                </c:pt>
                <c:pt idx="154">
                  <c:v>10888.1</c:v>
                </c:pt>
                <c:pt idx="155">
                  <c:v>11014.6</c:v>
                </c:pt>
                <c:pt idx="156">
                  <c:v>11133.6</c:v>
                </c:pt>
                <c:pt idx="157">
                  <c:v>11049.3</c:v>
                </c:pt>
                <c:pt idx="158">
                  <c:v>11121</c:v>
                </c:pt>
                <c:pt idx="159">
                  <c:v>11234.2</c:v>
                </c:pt>
                <c:pt idx="160">
                  <c:v>10962.1</c:v>
                </c:pt>
                <c:pt idx="161">
                  <c:v>10883.2</c:v>
                </c:pt>
                <c:pt idx="162">
                  <c:v>10952.8</c:v>
                </c:pt>
                <c:pt idx="163">
                  <c:v>10612.1</c:v>
                </c:pt>
                <c:pt idx="164">
                  <c:v>10278.8</c:v>
                </c:pt>
                <c:pt idx="165">
                  <c:v>9768.1</c:v>
                </c:pt>
                <c:pt idx="166">
                  <c:v>10208.1</c:v>
                </c:pt>
                <c:pt idx="167">
                  <c:v>10239.8</c:v>
                </c:pt>
                <c:pt idx="168">
                  <c:v>9609.9</c:v>
                </c:pt>
                <c:pt idx="169">
                  <c:v>9189.7</c:v>
                </c:pt>
                <c:pt idx="170">
                  <c:v>9179.7</c:v>
                </c:pt>
                <c:pt idx="171">
                  <c:v>8523.80000000001</c:v>
                </c:pt>
                <c:pt idx="172">
                  <c:v>8592.7</c:v>
                </c:pt>
                <c:pt idx="173">
                  <c:v>8711.6</c:v>
                </c:pt>
                <c:pt idx="174">
                  <c:v>8564.1</c:v>
                </c:pt>
                <c:pt idx="175">
                  <c:v>8765.10000000001</c:v>
                </c:pt>
                <c:pt idx="176">
                  <c:v>8984.1</c:v>
                </c:pt>
                <c:pt idx="177">
                  <c:v>9046.6</c:v>
                </c:pt>
                <c:pt idx="178">
                  <c:v>8641.1</c:v>
                </c:pt>
                <c:pt idx="179">
                  <c:v>8277.1</c:v>
                </c:pt>
                <c:pt idx="180">
                  <c:v>8143.6</c:v>
                </c:pt>
                <c:pt idx="181">
                  <c:v>8172.1</c:v>
                </c:pt>
                <c:pt idx="182">
                  <c:v>8383.5</c:v>
                </c:pt>
                <c:pt idx="183">
                  <c:v>8135.5</c:v>
                </c:pt>
                <c:pt idx="184">
                  <c:v>7855.5</c:v>
                </c:pt>
                <c:pt idx="185">
                  <c:v>7833</c:v>
                </c:pt>
                <c:pt idx="186">
                  <c:v>8090.4</c:v>
                </c:pt>
                <c:pt idx="187">
                  <c:v>8253.00000000001</c:v>
                </c:pt>
                <c:pt idx="188">
                  <c:v>8365</c:v>
                </c:pt>
                <c:pt idx="189">
                  <c:v>8356.5</c:v>
                </c:pt>
                <c:pt idx="190">
                  <c:v>8036.9</c:v>
                </c:pt>
                <c:pt idx="191">
                  <c:v>7659</c:v>
                </c:pt>
                <c:pt idx="192">
                  <c:v>7029.5</c:v>
                </c:pt>
                <c:pt idx="193">
                  <c:v>7243.00000000001</c:v>
                </c:pt>
                <c:pt idx="194">
                  <c:v>7644.9</c:v>
                </c:pt>
                <c:pt idx="195">
                  <c:v>7490.4</c:v>
                </c:pt>
                <c:pt idx="196">
                  <c:v>7312.9</c:v>
                </c:pt>
                <c:pt idx="197">
                  <c:v>6821.9</c:v>
                </c:pt>
                <c:pt idx="198">
                  <c:v>6492.4</c:v>
                </c:pt>
                <c:pt idx="199">
                  <c:v>6785.9</c:v>
                </c:pt>
                <c:pt idx="200">
                  <c:v>6991.4</c:v>
                </c:pt>
                <c:pt idx="201">
                  <c:v>7108.4</c:v>
                </c:pt>
                <c:pt idx="202">
                  <c:v>7722.59999999999</c:v>
                </c:pt>
                <c:pt idx="203">
                  <c:v>7310.6</c:v>
                </c:pt>
                <c:pt idx="204">
                  <c:v>7419.99999999999</c:v>
                </c:pt>
                <c:pt idx="205">
                  <c:v>7505.59999999999</c:v>
                </c:pt>
                <c:pt idx="206">
                  <c:v>8351.99999999999</c:v>
                </c:pt>
                <c:pt idx="207">
                  <c:v>8513</c:v>
                </c:pt>
                <c:pt idx="208">
                  <c:v>9838.99999999999</c:v>
                </c:pt>
                <c:pt idx="209">
                  <c:v>9421.19999999999</c:v>
                </c:pt>
                <c:pt idx="210">
                  <c:v>9573.59999999999</c:v>
                </c:pt>
                <c:pt idx="211">
                  <c:v>9188.79999999999</c:v>
                </c:pt>
                <c:pt idx="212">
                  <c:v>9830.39999999999</c:v>
                </c:pt>
                <c:pt idx="213">
                  <c:v>9796.39999999999</c:v>
                </c:pt>
                <c:pt idx="214">
                  <c:v>10281.4</c:v>
                </c:pt>
                <c:pt idx="215">
                  <c:v>10551.2</c:v>
                </c:pt>
                <c:pt idx="216">
                  <c:v>10189.8</c:v>
                </c:pt>
                <c:pt idx="217">
                  <c:v>10046.2</c:v>
                </c:pt>
                <c:pt idx="218">
                  <c:v>10286.8</c:v>
                </c:pt>
                <c:pt idx="219">
                  <c:v>10502.8</c:v>
                </c:pt>
                <c:pt idx="220">
                  <c:v>10208.2</c:v>
                </c:pt>
                <c:pt idx="221">
                  <c:v>9659.29999999999</c:v>
                </c:pt>
                <c:pt idx="222">
                  <c:v>8849.29999999999</c:v>
                </c:pt>
                <c:pt idx="223">
                  <c:v>8032.49999999999</c:v>
                </c:pt>
                <c:pt idx="224">
                  <c:v>7881.2</c:v>
                </c:pt>
                <c:pt idx="225">
                  <c:v>7576.4</c:v>
                </c:pt>
                <c:pt idx="226">
                  <c:v>8564.89999999999</c:v>
                </c:pt>
                <c:pt idx="227">
                  <c:v>8640.3</c:v>
                </c:pt>
                <c:pt idx="228">
                  <c:v>9263.99999999999</c:v>
                </c:pt>
                <c:pt idx="229">
                  <c:v>9317.79999999999</c:v>
                </c:pt>
                <c:pt idx="230">
                  <c:v>8702.6</c:v>
                </c:pt>
                <c:pt idx="231">
                  <c:v>8989.8</c:v>
                </c:pt>
                <c:pt idx="232">
                  <c:v>8682.39999999999</c:v>
                </c:pt>
                <c:pt idx="233">
                  <c:v>9254.89999999999</c:v>
                </c:pt>
                <c:pt idx="234">
                  <c:v>9382.49999999999</c:v>
                </c:pt>
                <c:pt idx="235">
                  <c:v>10102.3</c:v>
                </c:pt>
                <c:pt idx="236">
                  <c:v>10296.3</c:v>
                </c:pt>
                <c:pt idx="237">
                  <c:v>11002.5</c:v>
                </c:pt>
                <c:pt idx="238">
                  <c:v>10566.9</c:v>
                </c:pt>
                <c:pt idx="239">
                  <c:v>11395.1</c:v>
                </c:pt>
                <c:pt idx="240">
                  <c:v>11897.9</c:v>
                </c:pt>
                <c:pt idx="241">
                  <c:v>11478.3</c:v>
                </c:pt>
                <c:pt idx="242">
                  <c:v>11427.1</c:v>
                </c:pt>
                <c:pt idx="243">
                  <c:v>12990.1</c:v>
                </c:pt>
                <c:pt idx="244">
                  <c:v>13495.9</c:v>
                </c:pt>
                <c:pt idx="245">
                  <c:v>14666.5</c:v>
                </c:pt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PnL!$R$151:$R$396</c:f>
              <c:numCache>
                <c:formatCode>General</c:formatCode>
                <c:ptCount val="246"/>
                <c:pt idx="0">
                  <c:v>17.2347945205479</c:v>
                </c:pt>
                <c:pt idx="1">
                  <c:v>17.358904109589</c:v>
                </c:pt>
                <c:pt idx="2">
                  <c:v>16.9890410958904</c:v>
                </c:pt>
                <c:pt idx="3">
                  <c:v>22.8164383561644</c:v>
                </c:pt>
                <c:pt idx="4">
                  <c:v>22.9808219178082</c:v>
                </c:pt>
                <c:pt idx="5">
                  <c:v>23.0093150684932</c:v>
                </c:pt>
                <c:pt idx="6">
                  <c:v>23.2547945205479</c:v>
                </c:pt>
                <c:pt idx="7">
                  <c:v>23.3095890410959</c:v>
                </c:pt>
                <c:pt idx="8">
                  <c:v>22.9808219178082</c:v>
                </c:pt>
                <c:pt idx="9">
                  <c:v>22.9808219178082</c:v>
                </c:pt>
                <c:pt idx="10">
                  <c:v>23.3095890410959</c:v>
                </c:pt>
                <c:pt idx="11">
                  <c:v>23.3095890410959</c:v>
                </c:pt>
                <c:pt idx="12">
                  <c:v>23.6876712328767</c:v>
                </c:pt>
                <c:pt idx="13">
                  <c:v>23.7556164383562</c:v>
                </c:pt>
                <c:pt idx="14">
                  <c:v>23.7238356164384</c:v>
                </c:pt>
                <c:pt idx="15">
                  <c:v>23.5572602739726</c:v>
                </c:pt>
                <c:pt idx="16">
                  <c:v>23.5824657534247</c:v>
                </c:pt>
                <c:pt idx="17">
                  <c:v>23.8465753424658</c:v>
                </c:pt>
                <c:pt idx="18">
                  <c:v>23.6</c:v>
                </c:pt>
                <c:pt idx="19">
                  <c:v>23.7052054794521</c:v>
                </c:pt>
                <c:pt idx="20">
                  <c:v>29.4616438356164</c:v>
                </c:pt>
                <c:pt idx="21">
                  <c:v>29.4575342465753</c:v>
                </c:pt>
                <c:pt idx="22">
                  <c:v>29.5630136986301</c:v>
                </c:pt>
                <c:pt idx="23">
                  <c:v>29.6301369863014</c:v>
                </c:pt>
                <c:pt idx="24">
                  <c:v>29.6123287671233</c:v>
                </c:pt>
                <c:pt idx="25">
                  <c:v>29.6890410958904</c:v>
                </c:pt>
                <c:pt idx="26">
                  <c:v>29.7013698630137</c:v>
                </c:pt>
                <c:pt idx="27">
                  <c:v>29.772602739726</c:v>
                </c:pt>
                <c:pt idx="28">
                  <c:v>29.8369863013699</c:v>
                </c:pt>
                <c:pt idx="29">
                  <c:v>29.8520547945205</c:v>
                </c:pt>
                <c:pt idx="30">
                  <c:v>30.0219178082192</c:v>
                </c:pt>
                <c:pt idx="31">
                  <c:v>30.1</c:v>
                </c:pt>
                <c:pt idx="32">
                  <c:v>30.6780821917808</c:v>
                </c:pt>
                <c:pt idx="33">
                  <c:v>30.7150684931507</c:v>
                </c:pt>
                <c:pt idx="34">
                  <c:v>30.6849315068493</c:v>
                </c:pt>
                <c:pt idx="35">
                  <c:v>30.9630136986301</c:v>
                </c:pt>
                <c:pt idx="36">
                  <c:v>31.4356164383562</c:v>
                </c:pt>
                <c:pt idx="37">
                  <c:v>31.7328767123288</c:v>
                </c:pt>
                <c:pt idx="38">
                  <c:v>31.9054794520548</c:v>
                </c:pt>
                <c:pt idx="39">
                  <c:v>31.7767123287671</c:v>
                </c:pt>
                <c:pt idx="40">
                  <c:v>31.8452054794521</c:v>
                </c:pt>
                <c:pt idx="41">
                  <c:v>31.8219178082192</c:v>
                </c:pt>
                <c:pt idx="42">
                  <c:v>31.4452054794521</c:v>
                </c:pt>
                <c:pt idx="43">
                  <c:v>31.3424657534247</c:v>
                </c:pt>
                <c:pt idx="44">
                  <c:v>31.1369863013699</c:v>
                </c:pt>
                <c:pt idx="45">
                  <c:v>31.1369863013699</c:v>
                </c:pt>
                <c:pt idx="46">
                  <c:v>31</c:v>
                </c:pt>
                <c:pt idx="47">
                  <c:v>31</c:v>
                </c:pt>
                <c:pt idx="48">
                  <c:v>31.0821917808219</c:v>
                </c:pt>
                <c:pt idx="49">
                  <c:v>31.2191780821918</c:v>
                </c:pt>
                <c:pt idx="50">
                  <c:v>30.8082191780822</c:v>
                </c:pt>
                <c:pt idx="51">
                  <c:v>30.8082191780822</c:v>
                </c:pt>
                <c:pt idx="52">
                  <c:v>30.6027397260274</c:v>
                </c:pt>
                <c:pt idx="53">
                  <c:v>30.8082191780822</c:v>
                </c:pt>
                <c:pt idx="54">
                  <c:v>31.1342465753425</c:v>
                </c:pt>
                <c:pt idx="55">
                  <c:v>31.0657534246575</c:v>
                </c:pt>
                <c:pt idx="56">
                  <c:v>31.4082191780822</c:v>
                </c:pt>
                <c:pt idx="57">
                  <c:v>31.1342465753425</c:v>
                </c:pt>
                <c:pt idx="58">
                  <c:v>31.2027397260274</c:v>
                </c:pt>
                <c:pt idx="59">
                  <c:v>31.1684931506849</c:v>
                </c:pt>
                <c:pt idx="60">
                  <c:v>31.1342465753425</c:v>
                </c:pt>
                <c:pt idx="61">
                  <c:v>30.586301369863</c:v>
                </c:pt>
                <c:pt idx="62">
                  <c:v>30.586301369863</c:v>
                </c:pt>
                <c:pt idx="63">
                  <c:v>30.5520547945206</c:v>
                </c:pt>
                <c:pt idx="64">
                  <c:v>30.5178082191781</c:v>
                </c:pt>
                <c:pt idx="65">
                  <c:v>30.5178082191781</c:v>
                </c:pt>
                <c:pt idx="66">
                  <c:v>30.4493150684931</c:v>
                </c:pt>
                <c:pt idx="67">
                  <c:v>30.3123287671233</c:v>
                </c:pt>
                <c:pt idx="68">
                  <c:v>30.2616438356164</c:v>
                </c:pt>
                <c:pt idx="69">
                  <c:v>30.227397260274</c:v>
                </c:pt>
                <c:pt idx="70">
                  <c:v>30.2616438356164</c:v>
                </c:pt>
                <c:pt idx="71">
                  <c:v>30.3301369863014</c:v>
                </c:pt>
                <c:pt idx="72">
                  <c:v>30.158904109589</c:v>
                </c:pt>
                <c:pt idx="73">
                  <c:v>29.9876712328767</c:v>
                </c:pt>
                <c:pt idx="74">
                  <c:v>30.0068493150685</c:v>
                </c:pt>
                <c:pt idx="75">
                  <c:v>29.9917808219178</c:v>
                </c:pt>
                <c:pt idx="76">
                  <c:v>30.0082191780822</c:v>
                </c:pt>
                <c:pt idx="77">
                  <c:v>29.9383561643836</c:v>
                </c:pt>
                <c:pt idx="78">
                  <c:v>29.8</c:v>
                </c:pt>
                <c:pt idx="79">
                  <c:v>29.7630136986301</c:v>
                </c:pt>
                <c:pt idx="80">
                  <c:v>29.5342465753425</c:v>
                </c:pt>
                <c:pt idx="81">
                  <c:v>29.4027397260274</c:v>
                </c:pt>
                <c:pt idx="82">
                  <c:v>29.2630136986301</c:v>
                </c:pt>
                <c:pt idx="83">
                  <c:v>29.1315068493151</c:v>
                </c:pt>
                <c:pt idx="84">
                  <c:v>29.0616438356164</c:v>
                </c:pt>
                <c:pt idx="85">
                  <c:v>29.2095890410959</c:v>
                </c:pt>
                <c:pt idx="86">
                  <c:v>29.0452054794521</c:v>
                </c:pt>
                <c:pt idx="87">
                  <c:v>28.6068493150685</c:v>
                </c:pt>
                <c:pt idx="88">
                  <c:v>27.8808219178082</c:v>
                </c:pt>
                <c:pt idx="89">
                  <c:v>28.0013698630137</c:v>
                </c:pt>
                <c:pt idx="90">
                  <c:v>28.2219178082192</c:v>
                </c:pt>
                <c:pt idx="91">
                  <c:v>28.2917808219178</c:v>
                </c:pt>
                <c:pt idx="92">
                  <c:v>28.4657534246575</c:v>
                </c:pt>
                <c:pt idx="93">
                  <c:v>28.3958904109589</c:v>
                </c:pt>
                <c:pt idx="94">
                  <c:v>28.1561643835616</c:v>
                </c:pt>
                <c:pt idx="95">
                  <c:v>27.6958904109589</c:v>
                </c:pt>
                <c:pt idx="96">
                  <c:v>27.272602739726</c:v>
                </c:pt>
                <c:pt idx="97">
                  <c:v>27.2506849315069</c:v>
                </c:pt>
                <c:pt idx="98">
                  <c:v>27.1095890410959</c:v>
                </c:pt>
                <c:pt idx="99">
                  <c:v>27.6547945205479</c:v>
                </c:pt>
                <c:pt idx="100">
                  <c:v>27.3684931506849</c:v>
                </c:pt>
                <c:pt idx="101">
                  <c:v>27.1712328767123</c:v>
                </c:pt>
                <c:pt idx="102">
                  <c:v>27.1630136986301</c:v>
                </c:pt>
                <c:pt idx="103">
                  <c:v>16.2090410958904</c:v>
                </c:pt>
                <c:pt idx="104">
                  <c:v>16.2172602739726</c:v>
                </c:pt>
                <c:pt idx="105">
                  <c:v>15.9369863013699</c:v>
                </c:pt>
                <c:pt idx="106">
                  <c:v>15.7619178082192</c:v>
                </c:pt>
                <c:pt idx="107">
                  <c:v>15.5794520547945</c:v>
                </c:pt>
                <c:pt idx="108">
                  <c:v>15.5235616438356</c:v>
                </c:pt>
                <c:pt idx="109">
                  <c:v>15.3172602739726</c:v>
                </c:pt>
                <c:pt idx="110">
                  <c:v>15.3394520547945</c:v>
                </c:pt>
                <c:pt idx="111">
                  <c:v>15.2169863013699</c:v>
                </c:pt>
                <c:pt idx="112">
                  <c:v>15.0945205479452</c:v>
                </c:pt>
                <c:pt idx="113">
                  <c:v>15.3008219178082</c:v>
                </c:pt>
                <c:pt idx="114">
                  <c:v>15.4660273972603</c:v>
                </c:pt>
                <c:pt idx="115">
                  <c:v>15.6312328767123</c:v>
                </c:pt>
                <c:pt idx="116">
                  <c:v>15.7134246575342</c:v>
                </c:pt>
                <c:pt idx="117">
                  <c:v>15.7487671232877</c:v>
                </c:pt>
                <c:pt idx="118">
                  <c:v>15.7150684931507</c:v>
                </c:pt>
                <c:pt idx="119">
                  <c:v>15.7150684931507</c:v>
                </c:pt>
                <c:pt idx="120">
                  <c:v>16.0438356164384</c:v>
                </c:pt>
                <c:pt idx="121">
                  <c:v>15.9616438356164</c:v>
                </c:pt>
                <c:pt idx="122">
                  <c:v>15.8794520547945</c:v>
                </c:pt>
                <c:pt idx="123">
                  <c:v>15.3887671232877</c:v>
                </c:pt>
                <c:pt idx="124">
                  <c:v>15.1438356164384</c:v>
                </c:pt>
                <c:pt idx="125">
                  <c:v>15.0624657534247</c:v>
                </c:pt>
                <c:pt idx="126">
                  <c:v>14.981095890411</c:v>
                </c:pt>
                <c:pt idx="127">
                  <c:v>14.981095890411</c:v>
                </c:pt>
                <c:pt idx="128">
                  <c:v>15.0238356164384</c:v>
                </c:pt>
                <c:pt idx="129">
                  <c:v>15.0238356164384</c:v>
                </c:pt>
                <c:pt idx="130">
                  <c:v>14.9843835616438</c:v>
                </c:pt>
                <c:pt idx="131">
                  <c:v>14.9449315068493</c:v>
                </c:pt>
                <c:pt idx="132">
                  <c:v>15.1101369863014</c:v>
                </c:pt>
                <c:pt idx="133">
                  <c:v>15.1109589041096</c:v>
                </c:pt>
                <c:pt idx="134">
                  <c:v>14.4945205479452</c:v>
                </c:pt>
                <c:pt idx="135">
                  <c:v>14.4945205479452</c:v>
                </c:pt>
                <c:pt idx="136">
                  <c:v>14.4123287671233</c:v>
                </c:pt>
                <c:pt idx="137">
                  <c:v>14.3712328767123</c:v>
                </c:pt>
                <c:pt idx="138">
                  <c:v>14.2890410958904</c:v>
                </c:pt>
                <c:pt idx="139">
                  <c:v>14.2479452054795</c:v>
                </c:pt>
                <c:pt idx="140">
                  <c:v>9.74356164383562</c:v>
                </c:pt>
                <c:pt idx="141">
                  <c:v>9.79835616438356</c:v>
                </c:pt>
                <c:pt idx="142">
                  <c:v>9.9627397260274</c:v>
                </c:pt>
                <c:pt idx="143">
                  <c:v>9.96219178082192</c:v>
                </c:pt>
                <c:pt idx="144">
                  <c:v>9.91890410958904</c:v>
                </c:pt>
                <c:pt idx="145">
                  <c:v>9.72657534246575</c:v>
                </c:pt>
                <c:pt idx="146">
                  <c:v>9.67835616438356</c:v>
                </c:pt>
                <c:pt idx="147">
                  <c:v>9.54575342465753</c:v>
                </c:pt>
                <c:pt idx="148">
                  <c:v>9.59506849315069</c:v>
                </c:pt>
                <c:pt idx="149">
                  <c:v>9.64328767123288</c:v>
                </c:pt>
                <c:pt idx="150">
                  <c:v>9.75123287671233</c:v>
                </c:pt>
                <c:pt idx="151">
                  <c:v>9.91397260273973</c:v>
                </c:pt>
                <c:pt idx="152">
                  <c:v>10.0082191780822</c:v>
                </c:pt>
                <c:pt idx="153">
                  <c:v>10.0301369863014</c:v>
                </c:pt>
                <c:pt idx="154">
                  <c:v>9.94849315068493</c:v>
                </c:pt>
                <c:pt idx="155">
                  <c:v>9.9972602739726</c:v>
                </c:pt>
                <c:pt idx="156">
                  <c:v>10.0684931506849</c:v>
                </c:pt>
                <c:pt idx="157">
                  <c:v>10.0805479452055</c:v>
                </c:pt>
                <c:pt idx="158">
                  <c:v>10.04</c:v>
                </c:pt>
                <c:pt idx="159">
                  <c:v>10.2493150684932</c:v>
                </c:pt>
                <c:pt idx="160">
                  <c:v>10.4054794520548</c:v>
                </c:pt>
                <c:pt idx="161">
                  <c:v>10.3912328767123</c:v>
                </c:pt>
                <c:pt idx="162">
                  <c:v>10.2860273972603</c:v>
                </c:pt>
                <c:pt idx="163">
                  <c:v>10.3841095890411</c:v>
                </c:pt>
                <c:pt idx="164">
                  <c:v>10.5452054794521</c:v>
                </c:pt>
                <c:pt idx="165">
                  <c:v>10.9052054794521</c:v>
                </c:pt>
                <c:pt idx="166">
                  <c:v>10.6257534246575</c:v>
                </c:pt>
                <c:pt idx="167">
                  <c:v>10.438904109589</c:v>
                </c:pt>
                <c:pt idx="168">
                  <c:v>10.7276712328767</c:v>
                </c:pt>
                <c:pt idx="169">
                  <c:v>10.8613698630137</c:v>
                </c:pt>
                <c:pt idx="170">
                  <c:v>10.92</c:v>
                </c:pt>
                <c:pt idx="171">
                  <c:v>11.3978082191781</c:v>
                </c:pt>
                <c:pt idx="172">
                  <c:v>11.4378082191781</c:v>
                </c:pt>
                <c:pt idx="173">
                  <c:v>11.4805479452055</c:v>
                </c:pt>
                <c:pt idx="174">
                  <c:v>11.6997260273973</c:v>
                </c:pt>
                <c:pt idx="175">
                  <c:v>11.6449315068493</c:v>
                </c:pt>
                <c:pt idx="176">
                  <c:v>11.5216438356164</c:v>
                </c:pt>
                <c:pt idx="177">
                  <c:v>11.5216438356164</c:v>
                </c:pt>
                <c:pt idx="178">
                  <c:v>11.6860273972603</c:v>
                </c:pt>
                <c:pt idx="179">
                  <c:v>11.9052054794521</c:v>
                </c:pt>
                <c:pt idx="180">
                  <c:v>11.987397260274</c:v>
                </c:pt>
                <c:pt idx="181">
                  <c:v>12.0969863013699</c:v>
                </c:pt>
                <c:pt idx="182">
                  <c:v>11.987397260274</c:v>
                </c:pt>
                <c:pt idx="183">
                  <c:v>12.0421917808219</c:v>
                </c:pt>
                <c:pt idx="184">
                  <c:v>12.1243835616438</c:v>
                </c:pt>
                <c:pt idx="185">
                  <c:v>12.2339726027397</c:v>
                </c:pt>
                <c:pt idx="186">
                  <c:v>12.0969863013699</c:v>
                </c:pt>
                <c:pt idx="187">
                  <c:v>11.8778082191781</c:v>
                </c:pt>
                <c:pt idx="188">
                  <c:v>11.7682191780822</c:v>
                </c:pt>
                <c:pt idx="189">
                  <c:v>11.7134246575342</c:v>
                </c:pt>
                <c:pt idx="190">
                  <c:v>11.8230136986301</c:v>
                </c:pt>
                <c:pt idx="191">
                  <c:v>12.0421917808219</c:v>
                </c:pt>
                <c:pt idx="192">
                  <c:v>12.2613698630137</c:v>
                </c:pt>
                <c:pt idx="193">
                  <c:v>12.0421917808219</c:v>
                </c:pt>
                <c:pt idx="194">
                  <c:v>11.932602739726</c:v>
                </c:pt>
                <c:pt idx="195">
                  <c:v>11.987397260274</c:v>
                </c:pt>
                <c:pt idx="196">
                  <c:v>12.1791780821918</c:v>
                </c:pt>
                <c:pt idx="197">
                  <c:v>12.3052054794521</c:v>
                </c:pt>
                <c:pt idx="198">
                  <c:v>12.5517808219178</c:v>
                </c:pt>
                <c:pt idx="199">
                  <c:v>12.6613698630137</c:v>
                </c:pt>
                <c:pt idx="200">
                  <c:v>12.6065753424658</c:v>
                </c:pt>
                <c:pt idx="201">
                  <c:v>12.7435616438356</c:v>
                </c:pt>
                <c:pt idx="202">
                  <c:v>12.5139726027397</c:v>
                </c:pt>
                <c:pt idx="203">
                  <c:v>12.5139726027397</c:v>
                </c:pt>
                <c:pt idx="204">
                  <c:v>12.4969863013699</c:v>
                </c:pt>
                <c:pt idx="205">
                  <c:v>12.1923287671233</c:v>
                </c:pt>
                <c:pt idx="206">
                  <c:v>12.0827397260274</c:v>
                </c:pt>
                <c:pt idx="207">
                  <c:v>12.3293150684932</c:v>
                </c:pt>
                <c:pt idx="208">
                  <c:v>12.1375342465753</c:v>
                </c:pt>
                <c:pt idx="209">
                  <c:v>12.1654794520548</c:v>
                </c:pt>
                <c:pt idx="210">
                  <c:v>12.2208219178082</c:v>
                </c:pt>
                <c:pt idx="211">
                  <c:v>12.3315068493151</c:v>
                </c:pt>
                <c:pt idx="212">
                  <c:v>12.3172602739726</c:v>
                </c:pt>
                <c:pt idx="213">
                  <c:v>12.2772602739726</c:v>
                </c:pt>
                <c:pt idx="214">
                  <c:v>12.2224657534247</c:v>
                </c:pt>
                <c:pt idx="215">
                  <c:v>12.0871232876712</c:v>
                </c:pt>
                <c:pt idx="216">
                  <c:v>11.8975342465753</c:v>
                </c:pt>
                <c:pt idx="217">
                  <c:v>11.8427397260274</c:v>
                </c:pt>
                <c:pt idx="218">
                  <c:v>11.7342465753425</c:v>
                </c:pt>
                <c:pt idx="219">
                  <c:v>5.81397260273973</c:v>
                </c:pt>
                <c:pt idx="220">
                  <c:v>5.8841095890411</c:v>
                </c:pt>
                <c:pt idx="221">
                  <c:v>6.03397260273973</c:v>
                </c:pt>
                <c:pt idx="222">
                  <c:v>6.33205479452055</c:v>
                </c:pt>
                <c:pt idx="223">
                  <c:v>6.37369863013699</c:v>
                </c:pt>
                <c:pt idx="224">
                  <c:v>6.38821917808219</c:v>
                </c:pt>
                <c:pt idx="225">
                  <c:v>6.54493150684931</c:v>
                </c:pt>
                <c:pt idx="226">
                  <c:v>6.4558904109589</c:v>
                </c:pt>
                <c:pt idx="227">
                  <c:v>6.45643835616438</c:v>
                </c:pt>
                <c:pt idx="228">
                  <c:v>6.40191780821918</c:v>
                </c:pt>
                <c:pt idx="229">
                  <c:v>6.42164383561644</c:v>
                </c:pt>
                <c:pt idx="230">
                  <c:v>6.51205479452055</c:v>
                </c:pt>
                <c:pt idx="231">
                  <c:v>6.52520547945205</c:v>
                </c:pt>
                <c:pt idx="232">
                  <c:v>6.56739726027397</c:v>
                </c:pt>
                <c:pt idx="233">
                  <c:v>6.52493150684932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PnL!$S$151:$S$396</c:f>
              <c:numCache>
                <c:formatCode>General</c:formatCode>
                <c:ptCount val="246"/>
                <c:pt idx="0">
                  <c:v>7.2454794520548</c:v>
                </c:pt>
                <c:pt idx="1">
                  <c:v>7.20493150684931</c:v>
                </c:pt>
                <c:pt idx="2">
                  <c:v>7.1427397260274</c:v>
                </c:pt>
                <c:pt idx="3">
                  <c:v>7.19178082191781</c:v>
                </c:pt>
                <c:pt idx="4">
                  <c:v>7.25890410958904</c:v>
                </c:pt>
                <c:pt idx="5">
                  <c:v>7.30109589041096</c:v>
                </c:pt>
                <c:pt idx="6">
                  <c:v>7.42575342465753</c:v>
                </c:pt>
                <c:pt idx="7">
                  <c:v>7.39424657534247</c:v>
                </c:pt>
                <c:pt idx="8">
                  <c:v>7.39013698630137</c:v>
                </c:pt>
                <c:pt idx="9">
                  <c:v>7.42356164383562</c:v>
                </c:pt>
                <c:pt idx="10">
                  <c:v>7.55369863013699</c:v>
                </c:pt>
                <c:pt idx="11">
                  <c:v>7.49205479452055</c:v>
                </c:pt>
                <c:pt idx="12">
                  <c:v>7.46767123287671</c:v>
                </c:pt>
                <c:pt idx="13">
                  <c:v>7.45479452054795</c:v>
                </c:pt>
                <c:pt idx="14">
                  <c:v>7.47616438356164</c:v>
                </c:pt>
                <c:pt idx="15">
                  <c:v>7.47479452054795</c:v>
                </c:pt>
                <c:pt idx="16">
                  <c:v>7.45890410958904</c:v>
                </c:pt>
                <c:pt idx="17">
                  <c:v>7.46246575342466</c:v>
                </c:pt>
                <c:pt idx="18">
                  <c:v>29.6317808219178</c:v>
                </c:pt>
                <c:pt idx="19">
                  <c:v>29.6887671232877</c:v>
                </c:pt>
                <c:pt idx="20">
                  <c:v>29.5287671232877</c:v>
                </c:pt>
                <c:pt idx="21">
                  <c:v>29.5024657534247</c:v>
                </c:pt>
                <c:pt idx="22">
                  <c:v>29.6482191780822</c:v>
                </c:pt>
                <c:pt idx="23">
                  <c:v>29.5704109589041</c:v>
                </c:pt>
                <c:pt idx="24">
                  <c:v>29.6219178082192</c:v>
                </c:pt>
                <c:pt idx="25">
                  <c:v>29.5441095890411</c:v>
                </c:pt>
                <c:pt idx="26">
                  <c:v>29.546301369863</c:v>
                </c:pt>
                <c:pt idx="27">
                  <c:v>29.5528767123288</c:v>
                </c:pt>
                <c:pt idx="28">
                  <c:v>29.5342465753425</c:v>
                </c:pt>
                <c:pt idx="29">
                  <c:v>29.5287671232877</c:v>
                </c:pt>
                <c:pt idx="30">
                  <c:v>29.5024657534247</c:v>
                </c:pt>
                <c:pt idx="31">
                  <c:v>29.5627397260274</c:v>
                </c:pt>
                <c:pt idx="32">
                  <c:v>30.0186301369863</c:v>
                </c:pt>
                <c:pt idx="33">
                  <c:v>30.0164383561644</c:v>
                </c:pt>
                <c:pt idx="34">
                  <c:v>29.9638356164384</c:v>
                </c:pt>
                <c:pt idx="35">
                  <c:v>30.0778082191781</c:v>
                </c:pt>
                <c:pt idx="36">
                  <c:v>30.0219178082192</c:v>
                </c:pt>
                <c:pt idx="37">
                  <c:v>30.0252054794521</c:v>
                </c:pt>
                <c:pt idx="38">
                  <c:v>29.998904109589</c:v>
                </c:pt>
                <c:pt idx="39">
                  <c:v>29.9769863013699</c:v>
                </c:pt>
                <c:pt idx="40">
                  <c:v>30.1512328767123</c:v>
                </c:pt>
                <c:pt idx="41">
                  <c:v>30.0131506849315</c:v>
                </c:pt>
                <c:pt idx="42">
                  <c:v>29.7139726027397</c:v>
                </c:pt>
                <c:pt idx="43">
                  <c:v>29.6043835616438</c:v>
                </c:pt>
                <c:pt idx="44">
                  <c:v>29.7238356164384</c:v>
                </c:pt>
                <c:pt idx="45">
                  <c:v>29.6186301369863</c:v>
                </c:pt>
                <c:pt idx="46">
                  <c:v>29.5397260273973</c:v>
                </c:pt>
                <c:pt idx="47">
                  <c:v>29.6405479452055</c:v>
                </c:pt>
                <c:pt idx="48">
                  <c:v>29.5539726027397</c:v>
                </c:pt>
                <c:pt idx="49">
                  <c:v>22.181095890411</c:v>
                </c:pt>
                <c:pt idx="50">
                  <c:v>22.0594520547945</c:v>
                </c:pt>
                <c:pt idx="51">
                  <c:v>22.0808219178082</c:v>
                </c:pt>
                <c:pt idx="52">
                  <c:v>21.8432876712329</c:v>
                </c:pt>
                <c:pt idx="53">
                  <c:v>22.0282191780822</c:v>
                </c:pt>
                <c:pt idx="54">
                  <c:v>22.0947945205479</c:v>
                </c:pt>
                <c:pt idx="55">
                  <c:v>22.1424657534247</c:v>
                </c:pt>
                <c:pt idx="56">
                  <c:v>22.2460273972603</c:v>
                </c:pt>
                <c:pt idx="57">
                  <c:v>22.1276712328767</c:v>
                </c:pt>
                <c:pt idx="58">
                  <c:v>22.1942465753425</c:v>
                </c:pt>
                <c:pt idx="59">
                  <c:v>22.1539726027397</c:v>
                </c:pt>
                <c:pt idx="60">
                  <c:v>22.1975342465753</c:v>
                </c:pt>
                <c:pt idx="61">
                  <c:v>22.0578082191781</c:v>
                </c:pt>
                <c:pt idx="62">
                  <c:v>22.1498630136986</c:v>
                </c:pt>
                <c:pt idx="63">
                  <c:v>22.1745205479452</c:v>
                </c:pt>
                <c:pt idx="64">
                  <c:v>22.2147945205479</c:v>
                </c:pt>
                <c:pt idx="65">
                  <c:v>22.0931506849315</c:v>
                </c:pt>
                <c:pt idx="66">
                  <c:v>22.1243835616438</c:v>
                </c:pt>
                <c:pt idx="67">
                  <c:v>22.0216438356164</c:v>
                </c:pt>
                <c:pt idx="68">
                  <c:v>21.9369863013699</c:v>
                </c:pt>
                <c:pt idx="69">
                  <c:v>22.0216438356164</c:v>
                </c:pt>
                <c:pt idx="70">
                  <c:v>22.0487671232877</c:v>
                </c:pt>
                <c:pt idx="71">
                  <c:v>22.147397260274</c:v>
                </c:pt>
                <c:pt idx="72">
                  <c:v>22.0701369863014</c:v>
                </c:pt>
                <c:pt idx="73">
                  <c:v>21.9739726027397</c:v>
                </c:pt>
                <c:pt idx="74">
                  <c:v>21.9534246575342</c:v>
                </c:pt>
                <c:pt idx="75">
                  <c:v>21.9369863013699</c:v>
                </c:pt>
                <c:pt idx="76">
                  <c:v>21.9304109589041</c:v>
                </c:pt>
                <c:pt idx="77">
                  <c:v>21.8893150684931</c:v>
                </c:pt>
                <c:pt idx="78">
                  <c:v>21.8621917808219</c:v>
                </c:pt>
                <c:pt idx="79">
                  <c:v>21.6780821917808</c:v>
                </c:pt>
                <c:pt idx="80">
                  <c:v>21.4947945205479</c:v>
                </c:pt>
                <c:pt idx="81">
                  <c:v>21.4767123287671</c:v>
                </c:pt>
                <c:pt idx="82">
                  <c:v>21.3435616438356</c:v>
                </c:pt>
                <c:pt idx="83">
                  <c:v>21.0780821917808</c:v>
                </c:pt>
                <c:pt idx="84">
                  <c:v>21.0698630136986</c:v>
                </c:pt>
                <c:pt idx="85">
                  <c:v>21.2498630136986</c:v>
                </c:pt>
                <c:pt idx="86">
                  <c:v>21.1890410958904</c:v>
                </c:pt>
                <c:pt idx="87">
                  <c:v>20.9441095890411</c:v>
                </c:pt>
                <c:pt idx="88">
                  <c:v>20.7213698630137</c:v>
                </c:pt>
                <c:pt idx="89">
                  <c:v>20.6827397260274</c:v>
                </c:pt>
                <c:pt idx="90">
                  <c:v>20.872602739726</c:v>
                </c:pt>
                <c:pt idx="91">
                  <c:v>20.8528767123288</c:v>
                </c:pt>
                <c:pt idx="92">
                  <c:v>20.9860273972603</c:v>
                </c:pt>
                <c:pt idx="93">
                  <c:v>20.921095890411</c:v>
                </c:pt>
                <c:pt idx="94">
                  <c:v>20.7156164383562</c:v>
                </c:pt>
                <c:pt idx="95">
                  <c:v>20.4558904109589</c:v>
                </c:pt>
                <c:pt idx="96">
                  <c:v>20.272602739726</c:v>
                </c:pt>
                <c:pt idx="97">
                  <c:v>20.3786301369863</c:v>
                </c:pt>
                <c:pt idx="98">
                  <c:v>20.3794520547945</c:v>
                </c:pt>
                <c:pt idx="99">
                  <c:v>20.553698630137</c:v>
                </c:pt>
                <c:pt idx="100">
                  <c:v>20.4419178082192</c:v>
                </c:pt>
                <c:pt idx="101">
                  <c:v>20.4493150684932</c:v>
                </c:pt>
                <c:pt idx="102">
                  <c:v>20.1846575342466</c:v>
                </c:pt>
                <c:pt idx="103">
                  <c:v>19.9364383561644</c:v>
                </c:pt>
                <c:pt idx="104">
                  <c:v>20.1632876712329</c:v>
                </c:pt>
                <c:pt idx="105">
                  <c:v>20.1772602739726</c:v>
                </c:pt>
                <c:pt idx="106">
                  <c:v>20.0383561643836</c:v>
                </c:pt>
                <c:pt idx="107">
                  <c:v>20.0654794520548</c:v>
                </c:pt>
                <c:pt idx="108">
                  <c:v>20.1550684931507</c:v>
                </c:pt>
                <c:pt idx="109">
                  <c:v>20.0054794520548</c:v>
                </c:pt>
                <c:pt idx="110">
                  <c:v>20.0227397260274</c:v>
                </c:pt>
                <c:pt idx="111">
                  <c:v>19.7515068493151</c:v>
                </c:pt>
                <c:pt idx="112">
                  <c:v>19.7095890410959</c:v>
                </c:pt>
                <c:pt idx="113">
                  <c:v>20.0268493150685</c:v>
                </c:pt>
                <c:pt idx="114">
                  <c:v>20.1723287671233</c:v>
                </c:pt>
                <c:pt idx="115">
                  <c:v>20.5701369863014</c:v>
                </c:pt>
                <c:pt idx="116">
                  <c:v>20.392602739726</c:v>
                </c:pt>
                <c:pt idx="117">
                  <c:v>20.3375342465753</c:v>
                </c:pt>
                <c:pt idx="118">
                  <c:v>20.212602739726</c:v>
                </c:pt>
                <c:pt idx="119">
                  <c:v>20.3202739726027</c:v>
                </c:pt>
                <c:pt idx="120">
                  <c:v>20.3613698630137</c:v>
                </c:pt>
                <c:pt idx="121">
                  <c:v>20.2684931506849</c:v>
                </c:pt>
                <c:pt idx="122">
                  <c:v>20.1945205479452</c:v>
                </c:pt>
                <c:pt idx="123">
                  <c:v>19.9290410958904</c:v>
                </c:pt>
                <c:pt idx="124">
                  <c:v>19.9997260273973</c:v>
                </c:pt>
                <c:pt idx="125">
                  <c:v>20.0843835616438</c:v>
                </c:pt>
                <c:pt idx="126">
                  <c:v>19.9997260273973</c:v>
                </c:pt>
                <c:pt idx="127">
                  <c:v>20.0013698630137</c:v>
                </c:pt>
                <c:pt idx="128">
                  <c:v>19.9684931506849</c:v>
                </c:pt>
                <c:pt idx="129">
                  <c:v>20.0506849315068</c:v>
                </c:pt>
                <c:pt idx="130">
                  <c:v>20.0079452054795</c:v>
                </c:pt>
                <c:pt idx="131">
                  <c:v>20.0293150684932</c:v>
                </c:pt>
                <c:pt idx="132">
                  <c:v>20.1386301369863</c:v>
                </c:pt>
                <c:pt idx="133">
                  <c:v>20.1468493150685</c:v>
                </c:pt>
                <c:pt idx="134">
                  <c:v>20.0120547945205</c:v>
                </c:pt>
                <c:pt idx="135">
                  <c:v>19.9298630136986</c:v>
                </c:pt>
                <c:pt idx="136">
                  <c:v>19.8</c:v>
                </c:pt>
                <c:pt idx="137">
                  <c:v>19.7613698630137</c:v>
                </c:pt>
                <c:pt idx="138">
                  <c:v>19.6602739726027</c:v>
                </c:pt>
                <c:pt idx="139">
                  <c:v>19.6216438356164</c:v>
                </c:pt>
                <c:pt idx="140">
                  <c:v>26.9884931506849</c:v>
                </c:pt>
                <c:pt idx="141">
                  <c:v>26.6608219178082</c:v>
                </c:pt>
                <c:pt idx="142">
                  <c:v>26.5556164383562</c:v>
                </c:pt>
                <c:pt idx="143">
                  <c:v>26.7506849315068</c:v>
                </c:pt>
                <c:pt idx="144">
                  <c:v>26.8975342465753</c:v>
                </c:pt>
                <c:pt idx="145">
                  <c:v>26.9578082191781</c:v>
                </c:pt>
                <c:pt idx="146">
                  <c:v>26.8778082191781</c:v>
                </c:pt>
                <c:pt idx="147">
                  <c:v>26.5797260273973</c:v>
                </c:pt>
                <c:pt idx="148">
                  <c:v>26.6082191780822</c:v>
                </c:pt>
                <c:pt idx="149">
                  <c:v>26.5852054794521</c:v>
                </c:pt>
                <c:pt idx="150">
                  <c:v>26.532602739726</c:v>
                </c:pt>
                <c:pt idx="151">
                  <c:v>26.561095890411</c:v>
                </c:pt>
                <c:pt idx="152">
                  <c:v>26.6191780821918</c:v>
                </c:pt>
                <c:pt idx="153">
                  <c:v>26.5380821917808</c:v>
                </c:pt>
                <c:pt idx="154">
                  <c:v>26.3539726027397</c:v>
                </c:pt>
                <c:pt idx="155">
                  <c:v>26.0515068493151</c:v>
                </c:pt>
                <c:pt idx="156">
                  <c:v>25.9178082191781</c:v>
                </c:pt>
                <c:pt idx="157">
                  <c:v>25.9758904109589</c:v>
                </c:pt>
                <c:pt idx="158">
                  <c:v>25.9254794520548</c:v>
                </c:pt>
                <c:pt idx="159">
                  <c:v>25.7052054794521</c:v>
                </c:pt>
                <c:pt idx="160">
                  <c:v>25.9024657534247</c:v>
                </c:pt>
                <c:pt idx="161">
                  <c:v>25.9342465753425</c:v>
                </c:pt>
                <c:pt idx="162">
                  <c:v>25.921095890411</c:v>
                </c:pt>
                <c:pt idx="163">
                  <c:v>26.1665753424658</c:v>
                </c:pt>
                <c:pt idx="164">
                  <c:v>26.3835616438356</c:v>
                </c:pt>
                <c:pt idx="165">
                  <c:v>26.5238356164384</c:v>
                </c:pt>
                <c:pt idx="166">
                  <c:v>26.2893150684931</c:v>
                </c:pt>
                <c:pt idx="167">
                  <c:v>26.2969863013699</c:v>
                </c:pt>
                <c:pt idx="168">
                  <c:v>26.72</c:v>
                </c:pt>
                <c:pt idx="169">
                  <c:v>27.0586301369863</c:v>
                </c:pt>
                <c:pt idx="170">
                  <c:v>27.0652054794521</c:v>
                </c:pt>
                <c:pt idx="171">
                  <c:v>27.44</c:v>
                </c:pt>
                <c:pt idx="172">
                  <c:v>27.3819178082192</c:v>
                </c:pt>
                <c:pt idx="173">
                  <c:v>27.3205479452055</c:v>
                </c:pt>
                <c:pt idx="174">
                  <c:v>27.3205479452055</c:v>
                </c:pt>
                <c:pt idx="175">
                  <c:v>27.1868493150685</c:v>
                </c:pt>
                <c:pt idx="176">
                  <c:v>27.0520547945206</c:v>
                </c:pt>
                <c:pt idx="177">
                  <c:v>26.9808219178082</c:v>
                </c:pt>
                <c:pt idx="178">
                  <c:v>27.3304109589041</c:v>
                </c:pt>
                <c:pt idx="179">
                  <c:v>27.5353424657534</c:v>
                </c:pt>
                <c:pt idx="180">
                  <c:v>27.653698630137</c:v>
                </c:pt>
                <c:pt idx="181">
                  <c:v>27.6284931506849</c:v>
                </c:pt>
                <c:pt idx="182">
                  <c:v>27.4980821917808</c:v>
                </c:pt>
                <c:pt idx="183">
                  <c:v>27.7216438356164</c:v>
                </c:pt>
                <c:pt idx="184">
                  <c:v>27.9572602739726</c:v>
                </c:pt>
                <c:pt idx="185">
                  <c:v>27.9353424657534</c:v>
                </c:pt>
                <c:pt idx="186">
                  <c:v>27.7852054794521</c:v>
                </c:pt>
                <c:pt idx="187">
                  <c:v>27.6778082191781</c:v>
                </c:pt>
                <c:pt idx="188">
                  <c:v>27.5890410958904</c:v>
                </c:pt>
                <c:pt idx="189">
                  <c:v>27.5923287671233</c:v>
                </c:pt>
                <c:pt idx="190">
                  <c:v>27.7830136986301</c:v>
                </c:pt>
                <c:pt idx="191">
                  <c:v>28</c:v>
                </c:pt>
                <c:pt idx="192">
                  <c:v>28.3824657534247</c:v>
                </c:pt>
                <c:pt idx="193">
                  <c:v>28.2772602739726</c:v>
                </c:pt>
                <c:pt idx="194">
                  <c:v>27.9758904109589</c:v>
                </c:pt>
                <c:pt idx="195">
                  <c:v>28.0865753424658</c:v>
                </c:pt>
                <c:pt idx="196">
                  <c:v>28.1972602739726</c:v>
                </c:pt>
                <c:pt idx="197">
                  <c:v>28.5249315068493</c:v>
                </c:pt>
                <c:pt idx="198">
                  <c:v>28.7178082191781</c:v>
                </c:pt>
                <c:pt idx="199">
                  <c:v>28.4734246575342</c:v>
                </c:pt>
                <c:pt idx="200">
                  <c:v>28.3693150684931</c:v>
                </c:pt>
                <c:pt idx="201">
                  <c:v>28.3419178082192</c:v>
                </c:pt>
                <c:pt idx="202">
                  <c:v>13.9808219178082</c:v>
                </c:pt>
                <c:pt idx="203">
                  <c:v>14.0641095890411</c:v>
                </c:pt>
                <c:pt idx="204">
                  <c:v>13.9824657534247</c:v>
                </c:pt>
                <c:pt idx="205">
                  <c:v>13.9868493150685</c:v>
                </c:pt>
                <c:pt idx="206">
                  <c:v>13.8767123287671</c:v>
                </c:pt>
                <c:pt idx="207">
                  <c:v>13.8624657534247</c:v>
                </c:pt>
                <c:pt idx="208">
                  <c:v>13.6849315068493</c:v>
                </c:pt>
                <c:pt idx="209">
                  <c:v>13.7956164383562</c:v>
                </c:pt>
                <c:pt idx="210">
                  <c:v>13.7978082191781</c:v>
                </c:pt>
                <c:pt idx="211">
                  <c:v>13.878904109589</c:v>
                </c:pt>
                <c:pt idx="212">
                  <c:v>13.8142465753425</c:v>
                </c:pt>
                <c:pt idx="213">
                  <c:v>13.8104109589041</c:v>
                </c:pt>
                <c:pt idx="214">
                  <c:v>13.7145205479452</c:v>
                </c:pt>
                <c:pt idx="215">
                  <c:v>13.6487671232877</c:v>
                </c:pt>
                <c:pt idx="216">
                  <c:v>13.72</c:v>
                </c:pt>
                <c:pt idx="217">
                  <c:v>13.7101369863014</c:v>
                </c:pt>
                <c:pt idx="218">
                  <c:v>13.7134246575342</c:v>
                </c:pt>
                <c:pt idx="219">
                  <c:v>13.7304109589041</c:v>
                </c:pt>
                <c:pt idx="220">
                  <c:v>13.8317808219178</c:v>
                </c:pt>
                <c:pt idx="221">
                  <c:v>13.9452054794521</c:v>
                </c:pt>
                <c:pt idx="222">
                  <c:v>14.0608219178082</c:v>
                </c:pt>
                <c:pt idx="223">
                  <c:v>14.1572602739726</c:v>
                </c:pt>
                <c:pt idx="224">
                  <c:v>14.2252054794521</c:v>
                </c:pt>
                <c:pt idx="225">
                  <c:v>14.2531506849315</c:v>
                </c:pt>
                <c:pt idx="226">
                  <c:v>14.1161643835616</c:v>
                </c:pt>
                <c:pt idx="227">
                  <c:v>14.158904109589</c:v>
                </c:pt>
                <c:pt idx="228">
                  <c:v>14.0772602739726</c:v>
                </c:pt>
                <c:pt idx="229">
                  <c:v>14.0630136986301</c:v>
                </c:pt>
                <c:pt idx="230">
                  <c:v>14.2027397260274</c:v>
                </c:pt>
                <c:pt idx="231">
                  <c:v>14.1605479452055</c:v>
                </c:pt>
                <c:pt idx="232">
                  <c:v>14.2202739726027</c:v>
                </c:pt>
                <c:pt idx="233">
                  <c:v>14.0515068493151</c:v>
                </c:pt>
                <c:pt idx="234">
                  <c:v>14.0109589041096</c:v>
                </c:pt>
                <c:pt idx="235">
                  <c:v>13.932602739726</c:v>
                </c:pt>
                <c:pt idx="236">
                  <c:v>13.8860273972603</c:v>
                </c:pt>
                <c:pt idx="237">
                  <c:v>13.7731506849315</c:v>
                </c:pt>
                <c:pt idx="238">
                  <c:v>13.8016438356164</c:v>
                </c:pt>
                <c:pt idx="239">
                  <c:v>13.652602739726</c:v>
                </c:pt>
                <c:pt idx="240">
                  <c:v>13.6257534246575</c:v>
                </c:pt>
                <c:pt idx="241">
                  <c:v>13.7468493150685</c:v>
                </c:pt>
                <c:pt idx="242">
                  <c:v>13.8065753424658</c:v>
                </c:pt>
                <c:pt idx="243">
                  <c:v>13.5797260273973</c:v>
                </c:pt>
                <c:pt idx="244">
                  <c:v>13.4586301369863</c:v>
                </c:pt>
                <c:pt idx="245">
                  <c:v>13.2449315068493</c:v>
                </c:pt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PnL!$T$151:$T$396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7.82219178082192</c:v>
                </c:pt>
                <c:pt idx="58">
                  <c:v>7.82356164383561</c:v>
                </c:pt>
                <c:pt idx="59">
                  <c:v>7.81698630136986</c:v>
                </c:pt>
                <c:pt idx="60">
                  <c:v>7.83643835616438</c:v>
                </c:pt>
                <c:pt idx="61">
                  <c:v>7.8158904109589</c:v>
                </c:pt>
                <c:pt idx="62">
                  <c:v>7.83671232876712</c:v>
                </c:pt>
                <c:pt idx="63">
                  <c:v>7.83123287671233</c:v>
                </c:pt>
                <c:pt idx="64">
                  <c:v>7.83698630136986</c:v>
                </c:pt>
                <c:pt idx="65">
                  <c:v>7.79835616438356</c:v>
                </c:pt>
                <c:pt idx="66">
                  <c:v>7.7958904109589</c:v>
                </c:pt>
                <c:pt idx="67">
                  <c:v>7.72684931506849</c:v>
                </c:pt>
                <c:pt idx="68">
                  <c:v>7.7145205479452</c:v>
                </c:pt>
                <c:pt idx="69">
                  <c:v>7.74712328767123</c:v>
                </c:pt>
                <c:pt idx="70">
                  <c:v>7.74821917808219</c:v>
                </c:pt>
                <c:pt idx="71">
                  <c:v>7.78958904109589</c:v>
                </c:pt>
                <c:pt idx="72">
                  <c:v>7.7586301369863</c:v>
                </c:pt>
                <c:pt idx="73">
                  <c:v>7.76246575342466</c:v>
                </c:pt>
                <c:pt idx="74">
                  <c:v>7.76219178082192</c:v>
                </c:pt>
                <c:pt idx="75">
                  <c:v>7.74191780821918</c:v>
                </c:pt>
                <c:pt idx="76">
                  <c:v>7.73150684931507</c:v>
                </c:pt>
                <c:pt idx="77">
                  <c:v>7.71945205479452</c:v>
                </c:pt>
                <c:pt idx="78">
                  <c:v>7.71424657534247</c:v>
                </c:pt>
                <c:pt idx="79">
                  <c:v>7.68712328767123</c:v>
                </c:pt>
                <c:pt idx="80">
                  <c:v>7.63068493150685</c:v>
                </c:pt>
                <c:pt idx="81">
                  <c:v>7.61315068493151</c:v>
                </c:pt>
                <c:pt idx="82">
                  <c:v>7.56520547945205</c:v>
                </c:pt>
                <c:pt idx="83">
                  <c:v>7.48986301369863</c:v>
                </c:pt>
                <c:pt idx="84">
                  <c:v>7.48246575342466</c:v>
                </c:pt>
                <c:pt idx="85">
                  <c:v>7.52986301369863</c:v>
                </c:pt>
                <c:pt idx="86">
                  <c:v>7.50219178082192</c:v>
                </c:pt>
                <c:pt idx="87">
                  <c:v>7.45479452054795</c:v>
                </c:pt>
                <c:pt idx="88">
                  <c:v>7.4</c:v>
                </c:pt>
                <c:pt idx="89">
                  <c:v>7.41315068493151</c:v>
                </c:pt>
                <c:pt idx="90">
                  <c:v>7.44931506849315</c:v>
                </c:pt>
                <c:pt idx="91">
                  <c:v>7.43260273972603</c:v>
                </c:pt>
                <c:pt idx="92">
                  <c:v>7.45479452054795</c:v>
                </c:pt>
                <c:pt idx="93">
                  <c:v>7.44767123287671</c:v>
                </c:pt>
                <c:pt idx="94">
                  <c:v>7.4386301369863</c:v>
                </c:pt>
                <c:pt idx="95">
                  <c:v>7.43342465753425</c:v>
                </c:pt>
                <c:pt idx="96">
                  <c:v>7.38684931506849</c:v>
                </c:pt>
                <c:pt idx="97">
                  <c:v>7.40739726027397</c:v>
                </c:pt>
                <c:pt idx="98">
                  <c:v>7.41506849315069</c:v>
                </c:pt>
                <c:pt idx="99">
                  <c:v>7.45342465753425</c:v>
                </c:pt>
                <c:pt idx="100">
                  <c:v>7.38356164383562</c:v>
                </c:pt>
                <c:pt idx="101">
                  <c:v>7.3972602739726</c:v>
                </c:pt>
                <c:pt idx="102">
                  <c:v>7.35616438356164</c:v>
                </c:pt>
                <c:pt idx="103">
                  <c:v>7.34931506849315</c:v>
                </c:pt>
                <c:pt idx="104">
                  <c:v>7.38383561643836</c:v>
                </c:pt>
                <c:pt idx="105">
                  <c:v>7.37698630136986</c:v>
                </c:pt>
                <c:pt idx="106">
                  <c:v>7.34958904109589</c:v>
                </c:pt>
                <c:pt idx="107">
                  <c:v>7.34986301369863</c:v>
                </c:pt>
                <c:pt idx="108">
                  <c:v>7.34849315068493</c:v>
                </c:pt>
                <c:pt idx="109">
                  <c:v>7.3158904109589</c:v>
                </c:pt>
                <c:pt idx="110">
                  <c:v>7.31616438356164</c:v>
                </c:pt>
                <c:pt idx="111">
                  <c:v>7.1854794520548</c:v>
                </c:pt>
                <c:pt idx="112">
                  <c:v>7.17205479452055</c:v>
                </c:pt>
                <c:pt idx="113">
                  <c:v>7.25534246575342</c:v>
                </c:pt>
                <c:pt idx="114">
                  <c:v>7.29479452054794</c:v>
                </c:pt>
                <c:pt idx="115">
                  <c:v>7.36328767123288</c:v>
                </c:pt>
                <c:pt idx="116">
                  <c:v>7.32904109589041</c:v>
                </c:pt>
                <c:pt idx="117">
                  <c:v>7.31534246575342</c:v>
                </c:pt>
                <c:pt idx="118">
                  <c:v>7.28109589041096</c:v>
                </c:pt>
                <c:pt idx="119">
                  <c:v>7.30876712328767</c:v>
                </c:pt>
                <c:pt idx="120">
                  <c:v>7.30849315068493</c:v>
                </c:pt>
                <c:pt idx="121">
                  <c:v>7.30164383561644</c:v>
                </c:pt>
                <c:pt idx="122">
                  <c:v>7.26739726027397</c:v>
                </c:pt>
                <c:pt idx="123">
                  <c:v>7.21945205479452</c:v>
                </c:pt>
                <c:pt idx="124">
                  <c:v>7.23342465753425</c:v>
                </c:pt>
                <c:pt idx="125">
                  <c:v>7.25397260273973</c:v>
                </c:pt>
                <c:pt idx="126">
                  <c:v>7.23342465753425</c:v>
                </c:pt>
                <c:pt idx="127">
                  <c:v>7.23068493150685</c:v>
                </c:pt>
                <c:pt idx="128">
                  <c:v>7.23369863013699</c:v>
                </c:pt>
                <c:pt idx="129">
                  <c:v>7.23369863013699</c:v>
                </c:pt>
                <c:pt idx="130">
                  <c:v>7.22</c:v>
                </c:pt>
                <c:pt idx="131">
                  <c:v>7.22684931506849</c:v>
                </c:pt>
                <c:pt idx="132">
                  <c:v>7.23643835616438</c:v>
                </c:pt>
                <c:pt idx="133">
                  <c:v>7.24493150684932</c:v>
                </c:pt>
                <c:pt idx="134">
                  <c:v>7.22301369863014</c:v>
                </c:pt>
                <c:pt idx="135">
                  <c:v>7.18739726027397</c:v>
                </c:pt>
                <c:pt idx="136">
                  <c:v>7.18712328767123</c:v>
                </c:pt>
                <c:pt idx="137">
                  <c:v>7.18191780821918</c:v>
                </c:pt>
                <c:pt idx="138">
                  <c:v>7.14493150684932</c:v>
                </c:pt>
                <c:pt idx="139">
                  <c:v>7.10520547945205</c:v>
                </c:pt>
                <c:pt idx="140">
                  <c:v>-7.2958904109589</c:v>
                </c:pt>
                <c:pt idx="141">
                  <c:v>-7.24109589041096</c:v>
                </c:pt>
                <c:pt idx="142">
                  <c:v>-7.23150684931507</c:v>
                </c:pt>
                <c:pt idx="143">
                  <c:v>-7.26931506849315</c:v>
                </c:pt>
                <c:pt idx="144">
                  <c:v>-7.28684931506849</c:v>
                </c:pt>
                <c:pt idx="145">
                  <c:v>-7.28958904109589</c:v>
                </c:pt>
                <c:pt idx="146">
                  <c:v>-7.26712328767123</c:v>
                </c:pt>
                <c:pt idx="147">
                  <c:v>-7.24246575342466</c:v>
                </c:pt>
                <c:pt idx="148">
                  <c:v>-7.25178082191781</c:v>
                </c:pt>
                <c:pt idx="149">
                  <c:v>-7.24986301369863</c:v>
                </c:pt>
                <c:pt idx="150">
                  <c:v>-7.24767123287671</c:v>
                </c:pt>
                <c:pt idx="151">
                  <c:v>-7.24958904109589</c:v>
                </c:pt>
                <c:pt idx="152">
                  <c:v>-7.25342465753425</c:v>
                </c:pt>
                <c:pt idx="153">
                  <c:v>-7.22767123287671</c:v>
                </c:pt>
                <c:pt idx="154">
                  <c:v>-7.1813698630137</c:v>
                </c:pt>
                <c:pt idx="155">
                  <c:v>-7.0572602739726</c:v>
                </c:pt>
                <c:pt idx="156">
                  <c:v>-7.02712328767123</c:v>
                </c:pt>
                <c:pt idx="157">
                  <c:v>-7.03506849315069</c:v>
                </c:pt>
                <c:pt idx="158">
                  <c:v>-7.02438356164383</c:v>
                </c:pt>
                <c:pt idx="159">
                  <c:v>-6.95972602739726</c:v>
                </c:pt>
                <c:pt idx="160">
                  <c:v>-7.00383561643836</c:v>
                </c:pt>
                <c:pt idx="161">
                  <c:v>-6.9958904109589</c:v>
                </c:pt>
                <c:pt idx="162">
                  <c:v>-6.99808219178082</c:v>
                </c:pt>
                <c:pt idx="163">
                  <c:v>-7.04164383561644</c:v>
                </c:pt>
                <c:pt idx="164">
                  <c:v>-7.0786301369863</c:v>
                </c:pt>
                <c:pt idx="165">
                  <c:v>-7.04109589041096</c:v>
                </c:pt>
                <c:pt idx="166">
                  <c:v>-7.01369863013699</c:v>
                </c:pt>
                <c:pt idx="167">
                  <c:v>-7.00684931506849</c:v>
                </c:pt>
                <c:pt idx="168">
                  <c:v>-7.08219178082192</c:v>
                </c:pt>
                <c:pt idx="169">
                  <c:v>-7.1572602739726</c:v>
                </c:pt>
                <c:pt idx="170">
                  <c:v>-7.16438356164384</c:v>
                </c:pt>
                <c:pt idx="171">
                  <c:v>-7.22602739726027</c:v>
                </c:pt>
                <c:pt idx="172">
                  <c:v>-7.21917808219178</c:v>
                </c:pt>
                <c:pt idx="173">
                  <c:v>-7.22602739726027</c:v>
                </c:pt>
                <c:pt idx="174">
                  <c:v>-7.20547945205479</c:v>
                </c:pt>
                <c:pt idx="175">
                  <c:v>-7.18630136986301</c:v>
                </c:pt>
                <c:pt idx="176">
                  <c:v>-7.16438356164384</c:v>
                </c:pt>
                <c:pt idx="177">
                  <c:v>-7.14383561643836</c:v>
                </c:pt>
                <c:pt idx="178">
                  <c:v>-7.23287671232877</c:v>
                </c:pt>
                <c:pt idx="179">
                  <c:v>-7.26027397260274</c:v>
                </c:pt>
                <c:pt idx="180">
                  <c:v>-7.29452054794521</c:v>
                </c:pt>
                <c:pt idx="181">
                  <c:v>-7.3013698630137</c:v>
                </c:pt>
                <c:pt idx="182">
                  <c:v>-7.28109589041096</c:v>
                </c:pt>
                <c:pt idx="183">
                  <c:v>-7.3358904109589</c:v>
                </c:pt>
                <c:pt idx="184">
                  <c:v>-7.39068493150685</c:v>
                </c:pt>
                <c:pt idx="185">
                  <c:v>-7.38383561643836</c:v>
                </c:pt>
                <c:pt idx="186">
                  <c:v>-7.36356164383562</c:v>
                </c:pt>
                <c:pt idx="187">
                  <c:v>-7.32904109589041</c:v>
                </c:pt>
                <c:pt idx="188">
                  <c:v>-7.30164383561644</c:v>
                </c:pt>
                <c:pt idx="189">
                  <c:v>-7.29479452054794</c:v>
                </c:pt>
                <c:pt idx="190">
                  <c:v>-7.31561643835616</c:v>
                </c:pt>
                <c:pt idx="191">
                  <c:v>-7.34547945205479</c:v>
                </c:pt>
                <c:pt idx="192">
                  <c:v>-7.39068493150685</c:v>
                </c:pt>
                <c:pt idx="193">
                  <c:v>-7.37287671232877</c:v>
                </c:pt>
                <c:pt idx="194">
                  <c:v>-7.31561643835616</c:v>
                </c:pt>
                <c:pt idx="195">
                  <c:v>-7.33616438356164</c:v>
                </c:pt>
                <c:pt idx="196">
                  <c:v>-7.36493150684931</c:v>
                </c:pt>
                <c:pt idx="197">
                  <c:v>-7.41150684931507</c:v>
                </c:pt>
                <c:pt idx="198">
                  <c:v>-7.44575342465753</c:v>
                </c:pt>
                <c:pt idx="199">
                  <c:v>-7.41150684931507</c:v>
                </c:pt>
                <c:pt idx="200">
                  <c:v>-7.41013698630137</c:v>
                </c:pt>
                <c:pt idx="201">
                  <c:v>-7.44575342465753</c:v>
                </c:pt>
                <c:pt idx="202">
                  <c:v>14.8230136986301</c:v>
                </c:pt>
                <c:pt idx="203">
                  <c:v>14.8778082191781</c:v>
                </c:pt>
                <c:pt idx="204">
                  <c:v>14.867397260274</c:v>
                </c:pt>
                <c:pt idx="205">
                  <c:v>14.8717808219178</c:v>
                </c:pt>
                <c:pt idx="206">
                  <c:v>14.7605479452055</c:v>
                </c:pt>
                <c:pt idx="207">
                  <c:v>14.7139726027397</c:v>
                </c:pt>
                <c:pt idx="208">
                  <c:v>14.5495890410959</c:v>
                </c:pt>
                <c:pt idx="209">
                  <c:v>14.5824657534247</c:v>
                </c:pt>
                <c:pt idx="210">
                  <c:v>14.5501369863014</c:v>
                </c:pt>
                <c:pt idx="211">
                  <c:v>14.5928767123288</c:v>
                </c:pt>
                <c:pt idx="212">
                  <c:v>14.5008219178082</c:v>
                </c:pt>
                <c:pt idx="213">
                  <c:v>14.5172602739726</c:v>
                </c:pt>
                <c:pt idx="214">
                  <c:v>14.4898630136986</c:v>
                </c:pt>
                <c:pt idx="215">
                  <c:v>14.4953424657534</c:v>
                </c:pt>
                <c:pt idx="216">
                  <c:v>14.5605479452055</c:v>
                </c:pt>
                <c:pt idx="217">
                  <c:v>14.5934246575342</c:v>
                </c:pt>
                <c:pt idx="218">
                  <c:v>14.5523287671233</c:v>
                </c:pt>
                <c:pt idx="219">
                  <c:v>14.533698630137</c:v>
                </c:pt>
                <c:pt idx="220">
                  <c:v>14.5665753424658</c:v>
                </c:pt>
                <c:pt idx="221">
                  <c:v>14.6213698630137</c:v>
                </c:pt>
                <c:pt idx="222">
                  <c:v>14.6975342465753</c:v>
                </c:pt>
                <c:pt idx="223">
                  <c:v>14.8071232876712</c:v>
                </c:pt>
                <c:pt idx="224">
                  <c:v>14.8235616438356</c:v>
                </c:pt>
                <c:pt idx="225">
                  <c:v>14.853698630137</c:v>
                </c:pt>
                <c:pt idx="226">
                  <c:v>14.7386301369863</c:v>
                </c:pt>
                <c:pt idx="227">
                  <c:v>14.6991780821918</c:v>
                </c:pt>
                <c:pt idx="228">
                  <c:v>14.6191780821918</c:v>
                </c:pt>
                <c:pt idx="229">
                  <c:v>14.5890410958904</c:v>
                </c:pt>
                <c:pt idx="230">
                  <c:v>14.6438356164384</c:v>
                </c:pt>
                <c:pt idx="231">
                  <c:v>14.6027397260274</c:v>
                </c:pt>
                <c:pt idx="232">
                  <c:v>14.6438356164384</c:v>
                </c:pt>
                <c:pt idx="233">
                  <c:v>14.5972602739726</c:v>
                </c:pt>
                <c:pt idx="234">
                  <c:v>14.5950684931507</c:v>
                </c:pt>
                <c:pt idx="235">
                  <c:v>14.4876712328767</c:v>
                </c:pt>
                <c:pt idx="236">
                  <c:v>14.4520547945205</c:v>
                </c:pt>
                <c:pt idx="237">
                  <c:v>14.3704109589041</c:v>
                </c:pt>
                <c:pt idx="238">
                  <c:v>14.452602739726</c:v>
                </c:pt>
                <c:pt idx="239">
                  <c:v>14.3709589041096</c:v>
                </c:pt>
                <c:pt idx="240">
                  <c:v>14.3156164383562</c:v>
                </c:pt>
                <c:pt idx="241">
                  <c:v>14.3512328767123</c:v>
                </c:pt>
                <c:pt idx="242">
                  <c:v>14.3682191780822</c:v>
                </c:pt>
                <c:pt idx="243">
                  <c:v>14.1923287671233</c:v>
                </c:pt>
                <c:pt idx="244">
                  <c:v>14.1791780821918</c:v>
                </c:pt>
                <c:pt idx="245">
                  <c:v>14.0701369863014</c:v>
                </c:pt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PnL!$U$151:$U$396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4.4272602739726</c:v>
                </c:pt>
                <c:pt idx="58">
                  <c:v>4.4272602739726</c:v>
                </c:pt>
                <c:pt idx="59">
                  <c:v>4.4227397260274</c:v>
                </c:pt>
                <c:pt idx="60">
                  <c:v>4.42397260273973</c:v>
                </c:pt>
                <c:pt idx="61">
                  <c:v>4.42904109589041</c:v>
                </c:pt>
                <c:pt idx="62">
                  <c:v>4.43931506849315</c:v>
                </c:pt>
                <c:pt idx="63">
                  <c:v>4.44123287671233</c:v>
                </c:pt>
                <c:pt idx="64">
                  <c:v>4.44698630136986</c:v>
                </c:pt>
                <c:pt idx="65">
                  <c:v>4.43287671232877</c:v>
                </c:pt>
                <c:pt idx="66">
                  <c:v>4.43109589041096</c:v>
                </c:pt>
                <c:pt idx="67">
                  <c:v>4.4072602739726</c:v>
                </c:pt>
                <c:pt idx="68">
                  <c:v>4.38041095890411</c:v>
                </c:pt>
                <c:pt idx="69">
                  <c:v>4.38780821917808</c:v>
                </c:pt>
                <c:pt idx="70">
                  <c:v>4.38794520547945</c:v>
                </c:pt>
                <c:pt idx="71">
                  <c:v>4.40219178082192</c:v>
                </c:pt>
                <c:pt idx="72">
                  <c:v>4.39123287671233</c:v>
                </c:pt>
                <c:pt idx="73">
                  <c:v>4.36643835616438</c:v>
                </c:pt>
                <c:pt idx="74">
                  <c:v>4.3527397260274</c:v>
                </c:pt>
                <c:pt idx="75">
                  <c:v>4.34602739726027</c:v>
                </c:pt>
                <c:pt idx="76">
                  <c:v>4.34452054794521</c:v>
                </c:pt>
                <c:pt idx="77">
                  <c:v>4.32986301369863</c:v>
                </c:pt>
                <c:pt idx="78">
                  <c:v>4.32657534246575</c:v>
                </c:pt>
                <c:pt idx="79">
                  <c:v>4.32520547945205</c:v>
                </c:pt>
                <c:pt idx="80">
                  <c:v>4.29849315068493</c:v>
                </c:pt>
                <c:pt idx="81">
                  <c:v>4.29520547945206</c:v>
                </c:pt>
                <c:pt idx="82">
                  <c:v>4.27150684931507</c:v>
                </c:pt>
                <c:pt idx="83">
                  <c:v>4.22342465753425</c:v>
                </c:pt>
                <c:pt idx="84">
                  <c:v>4.23041095890411</c:v>
                </c:pt>
                <c:pt idx="85">
                  <c:v>4.25452054794521</c:v>
                </c:pt>
                <c:pt idx="86">
                  <c:v>4.24630136986301</c:v>
                </c:pt>
                <c:pt idx="87">
                  <c:v>4.2258904109589</c:v>
                </c:pt>
                <c:pt idx="88">
                  <c:v>4.20164383561644</c:v>
                </c:pt>
                <c:pt idx="89">
                  <c:v>4.19287671232877</c:v>
                </c:pt>
                <c:pt idx="90">
                  <c:v>4.19849315068493</c:v>
                </c:pt>
                <c:pt idx="91">
                  <c:v>4.2</c:v>
                </c:pt>
                <c:pt idx="92">
                  <c:v>4.22054794520548</c:v>
                </c:pt>
                <c:pt idx="93">
                  <c:v>4.22054794520548</c:v>
                </c:pt>
                <c:pt idx="94">
                  <c:v>4.21547945205479</c:v>
                </c:pt>
                <c:pt idx="95">
                  <c:v>4.21397260273973</c:v>
                </c:pt>
                <c:pt idx="96">
                  <c:v>4.20369863013699</c:v>
                </c:pt>
                <c:pt idx="97">
                  <c:v>4.2086301369863</c:v>
                </c:pt>
                <c:pt idx="98">
                  <c:v>4.21547945205479</c:v>
                </c:pt>
                <c:pt idx="99">
                  <c:v>4.23465753424658</c:v>
                </c:pt>
                <c:pt idx="100">
                  <c:v>4.22452054794521</c:v>
                </c:pt>
                <c:pt idx="101">
                  <c:v>4.22452054794521</c:v>
                </c:pt>
                <c:pt idx="102">
                  <c:v>4.21</c:v>
                </c:pt>
                <c:pt idx="103">
                  <c:v>4.20465753424658</c:v>
                </c:pt>
                <c:pt idx="104">
                  <c:v>4.21698630136986</c:v>
                </c:pt>
                <c:pt idx="105">
                  <c:v>4.21780821917808</c:v>
                </c:pt>
                <c:pt idx="106">
                  <c:v>4.20767123287671</c:v>
                </c:pt>
                <c:pt idx="107">
                  <c:v>4.19794520547945</c:v>
                </c:pt>
                <c:pt idx="108">
                  <c:v>4.19876712328767</c:v>
                </c:pt>
                <c:pt idx="109">
                  <c:v>4.16986301369863</c:v>
                </c:pt>
                <c:pt idx="110">
                  <c:v>4.16315068493151</c:v>
                </c:pt>
                <c:pt idx="111">
                  <c:v>4.11835616438356</c:v>
                </c:pt>
                <c:pt idx="112">
                  <c:v>4.10452054794521</c:v>
                </c:pt>
                <c:pt idx="113">
                  <c:v>4.14616438356164</c:v>
                </c:pt>
                <c:pt idx="114">
                  <c:v>4.16698630136986</c:v>
                </c:pt>
                <c:pt idx="115">
                  <c:v>4.19438356164384</c:v>
                </c:pt>
                <c:pt idx="116">
                  <c:v>4.17041095890411</c:v>
                </c:pt>
                <c:pt idx="117">
                  <c:v>4.16712328767123</c:v>
                </c:pt>
                <c:pt idx="118">
                  <c:v>4.14794520547945</c:v>
                </c:pt>
                <c:pt idx="119">
                  <c:v>4.15698630136986</c:v>
                </c:pt>
                <c:pt idx="120">
                  <c:v>4.15</c:v>
                </c:pt>
                <c:pt idx="121">
                  <c:v>4.14671232876712</c:v>
                </c:pt>
                <c:pt idx="122">
                  <c:v>4.13301369863014</c:v>
                </c:pt>
                <c:pt idx="123">
                  <c:v>4.11945205479452</c:v>
                </c:pt>
                <c:pt idx="124">
                  <c:v>4.12780821917808</c:v>
                </c:pt>
                <c:pt idx="125">
                  <c:v>4.14041095890411</c:v>
                </c:pt>
                <c:pt idx="126">
                  <c:v>4.13369863013699</c:v>
                </c:pt>
                <c:pt idx="127">
                  <c:v>4.13424657534247</c:v>
                </c:pt>
                <c:pt idx="128">
                  <c:v>4.12739726027397</c:v>
                </c:pt>
                <c:pt idx="129">
                  <c:v>4.12205479452055</c:v>
                </c:pt>
                <c:pt idx="130">
                  <c:v>4.11109589041096</c:v>
                </c:pt>
                <c:pt idx="131">
                  <c:v>4.11109589041096</c:v>
                </c:pt>
                <c:pt idx="132">
                  <c:v>4.12109589041096</c:v>
                </c:pt>
                <c:pt idx="133">
                  <c:v>4.12931506849315</c:v>
                </c:pt>
                <c:pt idx="134">
                  <c:v>4.12123287671233</c:v>
                </c:pt>
                <c:pt idx="135">
                  <c:v>4.10479452054795</c:v>
                </c:pt>
                <c:pt idx="136">
                  <c:v>4.10780821917808</c:v>
                </c:pt>
                <c:pt idx="137">
                  <c:v>4.10506849315069</c:v>
                </c:pt>
                <c:pt idx="138">
                  <c:v>4.08602739726027</c:v>
                </c:pt>
                <c:pt idx="139">
                  <c:v>4.05315068493151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8.22027397260274</c:v>
                </c:pt>
                <c:pt idx="203">
                  <c:v>8.23397260273973</c:v>
                </c:pt>
                <c:pt idx="204">
                  <c:v>8.24767123287671</c:v>
                </c:pt>
                <c:pt idx="205">
                  <c:v>8.24821917808219</c:v>
                </c:pt>
                <c:pt idx="206">
                  <c:v>8.20712328767123</c:v>
                </c:pt>
                <c:pt idx="207">
                  <c:v>8.19479452054794</c:v>
                </c:pt>
                <c:pt idx="208">
                  <c:v>8.12767123287671</c:v>
                </c:pt>
                <c:pt idx="209">
                  <c:v>8.14438356164383</c:v>
                </c:pt>
                <c:pt idx="210">
                  <c:v>8.13232876712329</c:v>
                </c:pt>
                <c:pt idx="211">
                  <c:v>8.14191780821918</c:v>
                </c:pt>
                <c:pt idx="212">
                  <c:v>8.10493150684932</c:v>
                </c:pt>
                <c:pt idx="213">
                  <c:v>8.10520547945206</c:v>
                </c:pt>
                <c:pt idx="214">
                  <c:v>8.07095890410959</c:v>
                </c:pt>
                <c:pt idx="215">
                  <c:v>8.05068493150685</c:v>
                </c:pt>
                <c:pt idx="216">
                  <c:v>8.06547945205479</c:v>
                </c:pt>
                <c:pt idx="217">
                  <c:v>8.07808219178082</c:v>
                </c:pt>
                <c:pt idx="218">
                  <c:v>8.06575342465753</c:v>
                </c:pt>
                <c:pt idx="219">
                  <c:v>8.0372602739726</c:v>
                </c:pt>
                <c:pt idx="220">
                  <c:v>8.03315068493151</c:v>
                </c:pt>
                <c:pt idx="221">
                  <c:v>8.05150684931507</c:v>
                </c:pt>
                <c:pt idx="222">
                  <c:v>8.09260273972603</c:v>
                </c:pt>
                <c:pt idx="223">
                  <c:v>8.13808219178082</c:v>
                </c:pt>
                <c:pt idx="224">
                  <c:v>8.13260273972603</c:v>
                </c:pt>
                <c:pt idx="225">
                  <c:v>8.14931506849315</c:v>
                </c:pt>
                <c:pt idx="226">
                  <c:v>8.09315068493151</c:v>
                </c:pt>
                <c:pt idx="227">
                  <c:v>8.08904109589041</c:v>
                </c:pt>
                <c:pt idx="228">
                  <c:v>8.05616438356164</c:v>
                </c:pt>
                <c:pt idx="229">
                  <c:v>8.06712328767123</c:v>
                </c:pt>
                <c:pt idx="230">
                  <c:v>8.09232876712329</c:v>
                </c:pt>
                <c:pt idx="231">
                  <c:v>8.0786301369863</c:v>
                </c:pt>
                <c:pt idx="232">
                  <c:v>8.08684931506849</c:v>
                </c:pt>
                <c:pt idx="233">
                  <c:v>8.07041095890411</c:v>
                </c:pt>
                <c:pt idx="234">
                  <c:v>8.06246575342466</c:v>
                </c:pt>
                <c:pt idx="235">
                  <c:v>8.0241095890411</c:v>
                </c:pt>
                <c:pt idx="236">
                  <c:v>8.02547945205479</c:v>
                </c:pt>
                <c:pt idx="237">
                  <c:v>7.98575342465753</c:v>
                </c:pt>
                <c:pt idx="238">
                  <c:v>8.00520547945206</c:v>
                </c:pt>
                <c:pt idx="239">
                  <c:v>7.9558904109589</c:v>
                </c:pt>
                <c:pt idx="240">
                  <c:v>7.90931506849315</c:v>
                </c:pt>
                <c:pt idx="241">
                  <c:v>7.92328767123288</c:v>
                </c:pt>
                <c:pt idx="242">
                  <c:v>7.90383561643836</c:v>
                </c:pt>
                <c:pt idx="243">
                  <c:v>7.80602739726027</c:v>
                </c:pt>
                <c:pt idx="244">
                  <c:v>7.76465753424657</c:v>
                </c:pt>
                <c:pt idx="245">
                  <c:v>7.69232876712329</c:v>
                </c:pt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PnL!$V$151:$V$396</c:f>
              <c:numCache>
                <c:formatCode>General</c:formatCode>
                <c:ptCount val="246"/>
                <c:pt idx="0">
                  <c:v>24.4802739726027</c:v>
                </c:pt>
                <c:pt idx="1">
                  <c:v>24.5638356164384</c:v>
                </c:pt>
                <c:pt idx="2">
                  <c:v>24.1317808219178</c:v>
                </c:pt>
                <c:pt idx="3">
                  <c:v>30.0082191780822</c:v>
                </c:pt>
                <c:pt idx="4">
                  <c:v>30.2397260273973</c:v>
                </c:pt>
                <c:pt idx="5">
                  <c:v>30.3104109589041</c:v>
                </c:pt>
                <c:pt idx="6">
                  <c:v>30.6805479452055</c:v>
                </c:pt>
                <c:pt idx="7">
                  <c:v>30.7038356164384</c:v>
                </c:pt>
                <c:pt idx="8">
                  <c:v>30.3709589041096</c:v>
                </c:pt>
                <c:pt idx="9">
                  <c:v>30.4043835616438</c:v>
                </c:pt>
                <c:pt idx="10">
                  <c:v>30.8632876712329</c:v>
                </c:pt>
                <c:pt idx="11">
                  <c:v>30.8016438356164</c:v>
                </c:pt>
                <c:pt idx="12">
                  <c:v>31.1553424657534</c:v>
                </c:pt>
                <c:pt idx="13">
                  <c:v>31.2104109589041</c:v>
                </c:pt>
                <c:pt idx="14">
                  <c:v>31.2</c:v>
                </c:pt>
                <c:pt idx="15">
                  <c:v>31.0320547945205</c:v>
                </c:pt>
                <c:pt idx="16">
                  <c:v>31.0413698630137</c:v>
                </c:pt>
                <c:pt idx="17">
                  <c:v>31.3090410958904</c:v>
                </c:pt>
                <c:pt idx="18">
                  <c:v>53.2317808219178</c:v>
                </c:pt>
                <c:pt idx="19">
                  <c:v>53.3939726027397</c:v>
                </c:pt>
                <c:pt idx="20">
                  <c:v>58.9904109589041</c:v>
                </c:pt>
                <c:pt idx="21">
                  <c:v>58.96</c:v>
                </c:pt>
                <c:pt idx="22">
                  <c:v>59.2112328767123</c:v>
                </c:pt>
                <c:pt idx="23">
                  <c:v>59.2005479452055</c:v>
                </c:pt>
                <c:pt idx="24">
                  <c:v>59.2342465753425</c:v>
                </c:pt>
                <c:pt idx="25">
                  <c:v>59.2331506849315</c:v>
                </c:pt>
                <c:pt idx="26">
                  <c:v>59.2476712328767</c:v>
                </c:pt>
                <c:pt idx="27">
                  <c:v>59.3254794520548</c:v>
                </c:pt>
                <c:pt idx="28">
                  <c:v>59.3712328767123</c:v>
                </c:pt>
                <c:pt idx="29">
                  <c:v>59.3808219178082</c:v>
                </c:pt>
                <c:pt idx="30">
                  <c:v>59.5243835616438</c:v>
                </c:pt>
                <c:pt idx="31">
                  <c:v>59.6627397260274</c:v>
                </c:pt>
                <c:pt idx="32">
                  <c:v>60.6967123287671</c:v>
                </c:pt>
                <c:pt idx="33">
                  <c:v>60.7315068493151</c:v>
                </c:pt>
                <c:pt idx="34">
                  <c:v>60.6487671232877</c:v>
                </c:pt>
                <c:pt idx="35">
                  <c:v>61.0408219178082</c:v>
                </c:pt>
                <c:pt idx="36">
                  <c:v>61.4575342465753</c:v>
                </c:pt>
                <c:pt idx="37">
                  <c:v>61.7580821917808</c:v>
                </c:pt>
                <c:pt idx="38">
                  <c:v>61.9043835616438</c:v>
                </c:pt>
                <c:pt idx="39">
                  <c:v>61.753698630137</c:v>
                </c:pt>
                <c:pt idx="40">
                  <c:v>61.9964383561644</c:v>
                </c:pt>
                <c:pt idx="41">
                  <c:v>61.8350684931507</c:v>
                </c:pt>
                <c:pt idx="42">
                  <c:v>61.1591780821918</c:v>
                </c:pt>
                <c:pt idx="43">
                  <c:v>60.9468493150685</c:v>
                </c:pt>
                <c:pt idx="44">
                  <c:v>60.8608219178082</c:v>
                </c:pt>
                <c:pt idx="45">
                  <c:v>60.7556164383562</c:v>
                </c:pt>
                <c:pt idx="46">
                  <c:v>60.5397260273973</c:v>
                </c:pt>
                <c:pt idx="47">
                  <c:v>60.6405479452055</c:v>
                </c:pt>
                <c:pt idx="48">
                  <c:v>60.6361643835616</c:v>
                </c:pt>
                <c:pt idx="49">
                  <c:v>53.4002739726027</c:v>
                </c:pt>
                <c:pt idx="50">
                  <c:v>52.8676712328767</c:v>
                </c:pt>
                <c:pt idx="51">
                  <c:v>52.8890410958904</c:v>
                </c:pt>
                <c:pt idx="52">
                  <c:v>52.4460273972603</c:v>
                </c:pt>
                <c:pt idx="53">
                  <c:v>52.8364383561644</c:v>
                </c:pt>
                <c:pt idx="54">
                  <c:v>53.2290410958904</c:v>
                </c:pt>
                <c:pt idx="55">
                  <c:v>53.2082191780822</c:v>
                </c:pt>
                <c:pt idx="56">
                  <c:v>53.6542465753425</c:v>
                </c:pt>
                <c:pt idx="57">
                  <c:v>65.5113698630137</c:v>
                </c:pt>
                <c:pt idx="58">
                  <c:v>65.6478082191781</c:v>
                </c:pt>
                <c:pt idx="59">
                  <c:v>65.5621917808219</c:v>
                </c:pt>
                <c:pt idx="60">
                  <c:v>65.5921917808219</c:v>
                </c:pt>
                <c:pt idx="61">
                  <c:v>64.8890410958904</c:v>
                </c:pt>
                <c:pt idx="62">
                  <c:v>65.0121917808219</c:v>
                </c:pt>
                <c:pt idx="63">
                  <c:v>64.9990410958904</c:v>
                </c:pt>
                <c:pt idx="64">
                  <c:v>65.0165753424657</c:v>
                </c:pt>
                <c:pt idx="65">
                  <c:v>64.8421917808219</c:v>
                </c:pt>
                <c:pt idx="66">
                  <c:v>64.8006849315069</c:v>
                </c:pt>
                <c:pt idx="67">
                  <c:v>64.4680821917808</c:v>
                </c:pt>
                <c:pt idx="68">
                  <c:v>64.2935616438356</c:v>
                </c:pt>
                <c:pt idx="69">
                  <c:v>64.3839726027397</c:v>
                </c:pt>
                <c:pt idx="70">
                  <c:v>64.4465753424657</c:v>
                </c:pt>
                <c:pt idx="71">
                  <c:v>64.6693150684932</c:v>
                </c:pt>
                <c:pt idx="72">
                  <c:v>64.378904109589</c:v>
                </c:pt>
                <c:pt idx="73">
                  <c:v>64.0905479452055</c:v>
                </c:pt>
                <c:pt idx="74">
                  <c:v>64.0752054794521</c:v>
                </c:pt>
                <c:pt idx="75">
                  <c:v>64.0167123287671</c:v>
                </c:pt>
                <c:pt idx="76">
                  <c:v>64.0146575342466</c:v>
                </c:pt>
                <c:pt idx="77">
                  <c:v>63.8769863013699</c:v>
                </c:pt>
                <c:pt idx="78">
                  <c:v>63.7030136986301</c:v>
                </c:pt>
                <c:pt idx="79">
                  <c:v>63.4534246575342</c:v>
                </c:pt>
                <c:pt idx="80">
                  <c:v>62.9582191780822</c:v>
                </c:pt>
                <c:pt idx="81">
                  <c:v>62.7878082191781</c:v>
                </c:pt>
                <c:pt idx="82">
                  <c:v>62.4432876712329</c:v>
                </c:pt>
                <c:pt idx="83">
                  <c:v>61.9228767123288</c:v>
                </c:pt>
                <c:pt idx="84">
                  <c:v>61.8443835616438</c:v>
                </c:pt>
                <c:pt idx="85">
                  <c:v>62.2438356164384</c:v>
                </c:pt>
                <c:pt idx="86">
                  <c:v>61.9827397260274</c:v>
                </c:pt>
                <c:pt idx="87">
                  <c:v>61.2316438356164</c:v>
                </c:pt>
                <c:pt idx="88">
                  <c:v>60.2038356164384</c:v>
                </c:pt>
                <c:pt idx="89">
                  <c:v>60.2901369863014</c:v>
                </c:pt>
                <c:pt idx="90">
                  <c:v>60.7423287671233</c:v>
                </c:pt>
                <c:pt idx="91">
                  <c:v>60.7772602739726</c:v>
                </c:pt>
                <c:pt idx="92">
                  <c:v>61.1271232876712</c:v>
                </c:pt>
                <c:pt idx="93">
                  <c:v>60.9852054794521</c:v>
                </c:pt>
                <c:pt idx="94">
                  <c:v>60.5258904109589</c:v>
                </c:pt>
                <c:pt idx="95">
                  <c:v>59.7991780821918</c:v>
                </c:pt>
                <c:pt idx="96">
                  <c:v>59.1357534246575</c:v>
                </c:pt>
                <c:pt idx="97">
                  <c:v>59.2453424657534</c:v>
                </c:pt>
                <c:pt idx="98">
                  <c:v>59.1195890410959</c:v>
                </c:pt>
                <c:pt idx="99">
                  <c:v>59.8965753424658</c:v>
                </c:pt>
                <c:pt idx="100">
                  <c:v>59.4184931506849</c:v>
                </c:pt>
                <c:pt idx="101">
                  <c:v>59.2423287671233</c:v>
                </c:pt>
                <c:pt idx="102">
                  <c:v>58.9138356164384</c:v>
                </c:pt>
                <c:pt idx="103">
                  <c:v>47.6994520547945</c:v>
                </c:pt>
                <c:pt idx="104">
                  <c:v>47.9813698630137</c:v>
                </c:pt>
                <c:pt idx="105">
                  <c:v>47.7090410958904</c:v>
                </c:pt>
                <c:pt idx="106">
                  <c:v>47.3575342465753</c:v>
                </c:pt>
                <c:pt idx="107">
                  <c:v>47.1927397260274</c:v>
                </c:pt>
                <c:pt idx="108">
                  <c:v>47.2258904109589</c:v>
                </c:pt>
                <c:pt idx="109">
                  <c:v>46.8084931506849</c:v>
                </c:pt>
                <c:pt idx="110">
                  <c:v>46.8415068493151</c:v>
                </c:pt>
                <c:pt idx="111">
                  <c:v>46.2723287671233</c:v>
                </c:pt>
                <c:pt idx="112">
                  <c:v>46.0806849315069</c:v>
                </c:pt>
                <c:pt idx="113">
                  <c:v>46.7291780821918</c:v>
                </c:pt>
                <c:pt idx="114">
                  <c:v>47.1001369863014</c:v>
                </c:pt>
                <c:pt idx="115">
                  <c:v>47.7590410958904</c:v>
                </c:pt>
                <c:pt idx="116">
                  <c:v>47.6054794520548</c:v>
                </c:pt>
                <c:pt idx="117">
                  <c:v>47.5687671232877</c:v>
                </c:pt>
                <c:pt idx="118">
                  <c:v>47.3567123287671</c:v>
                </c:pt>
                <c:pt idx="119">
                  <c:v>47.501095890411</c:v>
                </c:pt>
                <c:pt idx="120">
                  <c:v>47.863698630137</c:v>
                </c:pt>
                <c:pt idx="121">
                  <c:v>47.6784931506849</c:v>
                </c:pt>
                <c:pt idx="122">
                  <c:v>47.4743835616438</c:v>
                </c:pt>
                <c:pt idx="123">
                  <c:v>46.6567123287671</c:v>
                </c:pt>
                <c:pt idx="124">
                  <c:v>46.5047945205479</c:v>
                </c:pt>
                <c:pt idx="125">
                  <c:v>46.5412328767123</c:v>
                </c:pt>
                <c:pt idx="126">
                  <c:v>46.3479452054794</c:v>
                </c:pt>
                <c:pt idx="127">
                  <c:v>46.347397260274</c:v>
                </c:pt>
                <c:pt idx="128">
                  <c:v>46.3534246575342</c:v>
                </c:pt>
                <c:pt idx="129">
                  <c:v>46.4302739726027</c:v>
                </c:pt>
                <c:pt idx="130">
                  <c:v>46.3234246575342</c:v>
                </c:pt>
                <c:pt idx="131">
                  <c:v>46.3121917808219</c:v>
                </c:pt>
                <c:pt idx="132">
                  <c:v>46.606301369863</c:v>
                </c:pt>
                <c:pt idx="133">
                  <c:v>46.6320547945205</c:v>
                </c:pt>
                <c:pt idx="134">
                  <c:v>45.8508219178082</c:v>
                </c:pt>
                <c:pt idx="135">
                  <c:v>45.7165753424658</c:v>
                </c:pt>
                <c:pt idx="136">
                  <c:v>45.5072602739726</c:v>
                </c:pt>
                <c:pt idx="137">
                  <c:v>45.4195890410959</c:v>
                </c:pt>
                <c:pt idx="138">
                  <c:v>45.1802739726027</c:v>
                </c:pt>
                <c:pt idx="139">
                  <c:v>45.0279452054795</c:v>
                </c:pt>
                <c:pt idx="140">
                  <c:v>29.4361643835616</c:v>
                </c:pt>
                <c:pt idx="141">
                  <c:v>29.2180821917808</c:v>
                </c:pt>
                <c:pt idx="142">
                  <c:v>29.2868493150685</c:v>
                </c:pt>
                <c:pt idx="143">
                  <c:v>29.4435616438356</c:v>
                </c:pt>
                <c:pt idx="144">
                  <c:v>29.5295890410959</c:v>
                </c:pt>
                <c:pt idx="145">
                  <c:v>29.394794520548</c:v>
                </c:pt>
                <c:pt idx="146">
                  <c:v>29.2890410958904</c:v>
                </c:pt>
                <c:pt idx="147">
                  <c:v>28.8830136986301</c:v>
                </c:pt>
                <c:pt idx="148">
                  <c:v>28.9515068493151</c:v>
                </c:pt>
                <c:pt idx="149">
                  <c:v>28.9786301369863</c:v>
                </c:pt>
                <c:pt idx="150">
                  <c:v>29.0361643835616</c:v>
                </c:pt>
                <c:pt idx="151">
                  <c:v>29.2254794520548</c:v>
                </c:pt>
                <c:pt idx="152">
                  <c:v>29.3739726027397</c:v>
                </c:pt>
                <c:pt idx="153">
                  <c:v>29.3405479452055</c:v>
                </c:pt>
                <c:pt idx="154">
                  <c:v>29.121095890411</c:v>
                </c:pt>
                <c:pt idx="155">
                  <c:v>28.9915068493151</c:v>
                </c:pt>
                <c:pt idx="156">
                  <c:v>28.9591780821918</c:v>
                </c:pt>
                <c:pt idx="157">
                  <c:v>29.0213698630137</c:v>
                </c:pt>
                <c:pt idx="158">
                  <c:v>28.941095890411</c:v>
                </c:pt>
                <c:pt idx="159">
                  <c:v>28.9947945205479</c:v>
                </c:pt>
                <c:pt idx="160">
                  <c:v>29.3041095890411</c:v>
                </c:pt>
                <c:pt idx="161">
                  <c:v>29.3295890410959</c:v>
                </c:pt>
                <c:pt idx="162">
                  <c:v>29.2090410958904</c:v>
                </c:pt>
                <c:pt idx="163">
                  <c:v>29.5090410958904</c:v>
                </c:pt>
                <c:pt idx="164">
                  <c:v>29.8501369863014</c:v>
                </c:pt>
                <c:pt idx="165">
                  <c:v>30.3879452054795</c:v>
                </c:pt>
                <c:pt idx="166">
                  <c:v>29.9013698630137</c:v>
                </c:pt>
                <c:pt idx="167">
                  <c:v>29.7290410958904</c:v>
                </c:pt>
                <c:pt idx="168">
                  <c:v>30.3654794520548</c:v>
                </c:pt>
                <c:pt idx="169">
                  <c:v>30.7627397260274</c:v>
                </c:pt>
                <c:pt idx="170">
                  <c:v>30.8208219178082</c:v>
                </c:pt>
                <c:pt idx="171">
                  <c:v>31.6117808219178</c:v>
                </c:pt>
                <c:pt idx="172">
                  <c:v>31.6005479452055</c:v>
                </c:pt>
                <c:pt idx="173">
                  <c:v>31.5750684931507</c:v>
                </c:pt>
                <c:pt idx="174">
                  <c:v>31.8147945205479</c:v>
                </c:pt>
                <c:pt idx="175">
                  <c:v>31.6454794520548</c:v>
                </c:pt>
                <c:pt idx="176">
                  <c:v>31.4093150684932</c:v>
                </c:pt>
                <c:pt idx="177">
                  <c:v>31.3586301369863</c:v>
                </c:pt>
                <c:pt idx="178">
                  <c:v>31.7835616438356</c:v>
                </c:pt>
                <c:pt idx="179">
                  <c:v>32.1802739726027</c:v>
                </c:pt>
                <c:pt idx="180">
                  <c:v>32.3465753424658</c:v>
                </c:pt>
                <c:pt idx="181">
                  <c:v>32.4241095890411</c:v>
                </c:pt>
                <c:pt idx="182">
                  <c:v>32.2043835616438</c:v>
                </c:pt>
                <c:pt idx="183">
                  <c:v>32.4279452054795</c:v>
                </c:pt>
                <c:pt idx="184">
                  <c:v>32.6909589041096</c:v>
                </c:pt>
                <c:pt idx="185">
                  <c:v>32.7854794520548</c:v>
                </c:pt>
                <c:pt idx="186">
                  <c:v>32.5186301369863</c:v>
                </c:pt>
                <c:pt idx="187">
                  <c:v>32.2265753424658</c:v>
                </c:pt>
                <c:pt idx="188">
                  <c:v>32.0556164383562</c:v>
                </c:pt>
                <c:pt idx="189">
                  <c:v>32.0109589041096</c:v>
                </c:pt>
                <c:pt idx="190">
                  <c:v>32.2904109589041</c:v>
                </c:pt>
                <c:pt idx="191">
                  <c:v>32.6967123287671</c:v>
                </c:pt>
                <c:pt idx="192">
                  <c:v>33.2531506849315</c:v>
                </c:pt>
                <c:pt idx="193">
                  <c:v>32.9465753424657</c:v>
                </c:pt>
                <c:pt idx="194">
                  <c:v>32.5928767123288</c:v>
                </c:pt>
                <c:pt idx="195">
                  <c:v>32.7378082191781</c:v>
                </c:pt>
                <c:pt idx="196">
                  <c:v>33.0115068493151</c:v>
                </c:pt>
                <c:pt idx="197">
                  <c:v>33.4186301369863</c:v>
                </c:pt>
                <c:pt idx="198">
                  <c:v>33.8238356164384</c:v>
                </c:pt>
                <c:pt idx="199">
                  <c:v>33.7232876712329</c:v>
                </c:pt>
                <c:pt idx="200">
                  <c:v>33.5657534246575</c:v>
                </c:pt>
                <c:pt idx="201">
                  <c:v>33.6397260273973</c:v>
                </c:pt>
                <c:pt idx="202">
                  <c:v>49.5380821917808</c:v>
                </c:pt>
                <c:pt idx="203">
                  <c:v>49.6898630136986</c:v>
                </c:pt>
                <c:pt idx="204">
                  <c:v>49.5945205479452</c:v>
                </c:pt>
                <c:pt idx="205">
                  <c:v>49.2991780821918</c:v>
                </c:pt>
                <c:pt idx="206">
                  <c:v>48.9271232876712</c:v>
                </c:pt>
                <c:pt idx="207">
                  <c:v>49.1005479452055</c:v>
                </c:pt>
                <c:pt idx="208">
                  <c:v>48.4997260273973</c:v>
                </c:pt>
                <c:pt idx="209">
                  <c:v>48.6879452054795</c:v>
                </c:pt>
                <c:pt idx="210">
                  <c:v>48.701095890411</c:v>
                </c:pt>
                <c:pt idx="211">
                  <c:v>48.9452054794521</c:v>
                </c:pt>
                <c:pt idx="212">
                  <c:v>48.7372602739726</c:v>
                </c:pt>
                <c:pt idx="213">
                  <c:v>48.7101369863014</c:v>
                </c:pt>
                <c:pt idx="214">
                  <c:v>48.4978082191781</c:v>
                </c:pt>
                <c:pt idx="215">
                  <c:v>48.2819178082192</c:v>
                </c:pt>
                <c:pt idx="216">
                  <c:v>48.2435616438356</c:v>
                </c:pt>
                <c:pt idx="217">
                  <c:v>48.2243835616438</c:v>
                </c:pt>
                <c:pt idx="218">
                  <c:v>48.0657534246575</c:v>
                </c:pt>
                <c:pt idx="219">
                  <c:v>42.1153424657534</c:v>
                </c:pt>
                <c:pt idx="220">
                  <c:v>42.3156164383562</c:v>
                </c:pt>
                <c:pt idx="221">
                  <c:v>42.6520547945205</c:v>
                </c:pt>
                <c:pt idx="222">
                  <c:v>43.1830136986301</c:v>
                </c:pt>
                <c:pt idx="223">
                  <c:v>43.4761643835616</c:v>
                </c:pt>
                <c:pt idx="224">
                  <c:v>43.5695890410959</c:v>
                </c:pt>
                <c:pt idx="225">
                  <c:v>43.801095890411</c:v>
                </c:pt>
                <c:pt idx="226">
                  <c:v>43.4038356164384</c:v>
                </c:pt>
                <c:pt idx="227">
                  <c:v>43.4035616438356</c:v>
                </c:pt>
                <c:pt idx="228">
                  <c:v>43.1545205479452</c:v>
                </c:pt>
                <c:pt idx="229">
                  <c:v>43.1408219178082</c:v>
                </c:pt>
                <c:pt idx="230">
                  <c:v>43.4509589041096</c:v>
                </c:pt>
                <c:pt idx="231">
                  <c:v>43.3671232876712</c:v>
                </c:pt>
                <c:pt idx="232">
                  <c:v>43.5183561643836</c:v>
                </c:pt>
                <c:pt idx="233">
                  <c:v>43.2441095890411</c:v>
                </c:pt>
                <c:pt idx="234">
                  <c:v>36.6684931506849</c:v>
                </c:pt>
                <c:pt idx="235">
                  <c:v>36.4443835616438</c:v>
                </c:pt>
                <c:pt idx="236">
                  <c:v>36.3635616438356</c:v>
                </c:pt>
                <c:pt idx="237">
                  <c:v>36.1293150684931</c:v>
                </c:pt>
                <c:pt idx="238">
                  <c:v>36.2594520547945</c:v>
                </c:pt>
                <c:pt idx="239">
                  <c:v>35.9794520547945</c:v>
                </c:pt>
                <c:pt idx="240">
                  <c:v>35.8506849315068</c:v>
                </c:pt>
                <c:pt idx="241">
                  <c:v>36.0213698630137</c:v>
                </c:pt>
                <c:pt idx="242">
                  <c:v>36.0786301369863</c:v>
                </c:pt>
                <c:pt idx="243">
                  <c:v>35.5780821917808</c:v>
                </c:pt>
                <c:pt idx="244">
                  <c:v>35.4024657534247</c:v>
                </c:pt>
                <c:pt idx="245">
                  <c:v>35.007397260274</c:v>
                </c:pt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PnL!$W$151:$W$396</c:f>
              <c:numCache>
                <c:formatCode>General</c:formatCode>
                <c:ptCount val="246"/>
                <c:pt idx="0">
                  <c:v>64.08</c:v>
                </c:pt>
                <c:pt idx="1">
                  <c:v>88.6438356164384</c:v>
                </c:pt>
                <c:pt idx="2">
                  <c:v>112.775616438356</c:v>
                </c:pt>
                <c:pt idx="3">
                  <c:v>142.783835616438</c:v>
                </c:pt>
                <c:pt idx="4">
                  <c:v>173.023561643836</c:v>
                </c:pt>
                <c:pt idx="5">
                  <c:v>203.33397260274</c:v>
                </c:pt>
                <c:pt idx="6">
                  <c:v>234.014520547945</c:v>
                </c:pt>
                <c:pt idx="7">
                  <c:v>264.718356164384</c:v>
                </c:pt>
                <c:pt idx="8">
                  <c:v>295.089315068493</c:v>
                </c:pt>
                <c:pt idx="9">
                  <c:v>325.493698630137</c:v>
                </c:pt>
                <c:pt idx="10">
                  <c:v>356.35698630137</c:v>
                </c:pt>
                <c:pt idx="11">
                  <c:v>387.158630136986</c:v>
                </c:pt>
                <c:pt idx="12">
                  <c:v>418.31397260274</c:v>
                </c:pt>
                <c:pt idx="13">
                  <c:v>449.524383561644</c:v>
                </c:pt>
                <c:pt idx="14">
                  <c:v>480.724383561644</c:v>
                </c:pt>
                <c:pt idx="15">
                  <c:v>511.756438356164</c:v>
                </c:pt>
                <c:pt idx="16">
                  <c:v>542.797808219178</c:v>
                </c:pt>
                <c:pt idx="17">
                  <c:v>574.106849315069</c:v>
                </c:pt>
                <c:pt idx="18">
                  <c:v>627.338630136986</c:v>
                </c:pt>
                <c:pt idx="19">
                  <c:v>680.732602739726</c:v>
                </c:pt>
                <c:pt idx="20">
                  <c:v>739.72301369863</c:v>
                </c:pt>
                <c:pt idx="21">
                  <c:v>798.68301369863</c:v>
                </c:pt>
                <c:pt idx="22">
                  <c:v>857.894246575343</c:v>
                </c:pt>
                <c:pt idx="23">
                  <c:v>917.094794520548</c:v>
                </c:pt>
                <c:pt idx="24">
                  <c:v>976.32904109589</c:v>
                </c:pt>
                <c:pt idx="25">
                  <c:v>1035.56219178082</c:v>
                </c:pt>
                <c:pt idx="26">
                  <c:v>1094.8098630137</c:v>
                </c:pt>
                <c:pt idx="27">
                  <c:v>1154.13534246575</c:v>
                </c:pt>
                <c:pt idx="28">
                  <c:v>1213.50657534247</c:v>
                </c:pt>
                <c:pt idx="29">
                  <c:v>1272.88739726027</c:v>
                </c:pt>
                <c:pt idx="30">
                  <c:v>1332.41178082192</c:v>
                </c:pt>
                <c:pt idx="31">
                  <c:v>1392.07452054795</c:v>
                </c:pt>
                <c:pt idx="32">
                  <c:v>1452.77123287671</c:v>
                </c:pt>
                <c:pt idx="33">
                  <c:v>1513.50273972603</c:v>
                </c:pt>
                <c:pt idx="34">
                  <c:v>1574.15150684932</c:v>
                </c:pt>
                <c:pt idx="35">
                  <c:v>1635.19232876712</c:v>
                </c:pt>
                <c:pt idx="36">
                  <c:v>1696.6498630137</c:v>
                </c:pt>
                <c:pt idx="37">
                  <c:v>1758.40794520548</c:v>
                </c:pt>
                <c:pt idx="38">
                  <c:v>1820.31232876712</c:v>
                </c:pt>
                <c:pt idx="39">
                  <c:v>1882.06602739726</c:v>
                </c:pt>
                <c:pt idx="40">
                  <c:v>1944.06246575342</c:v>
                </c:pt>
                <c:pt idx="41">
                  <c:v>2005.89753424658</c:v>
                </c:pt>
                <c:pt idx="42">
                  <c:v>2067.05671232877</c:v>
                </c:pt>
                <c:pt idx="43">
                  <c:v>2128.00356164384</c:v>
                </c:pt>
                <c:pt idx="44">
                  <c:v>2188.86438356164</c:v>
                </c:pt>
                <c:pt idx="45">
                  <c:v>2249.62</c:v>
                </c:pt>
                <c:pt idx="46">
                  <c:v>2310.1597260274</c:v>
                </c:pt>
                <c:pt idx="47">
                  <c:v>2370.8002739726</c:v>
                </c:pt>
                <c:pt idx="48">
                  <c:v>2431.43643835616</c:v>
                </c:pt>
                <c:pt idx="49">
                  <c:v>2484.83671232877</c:v>
                </c:pt>
                <c:pt idx="50">
                  <c:v>2537.70438356164</c:v>
                </c:pt>
                <c:pt idx="51">
                  <c:v>2590.59342465753</c:v>
                </c:pt>
                <c:pt idx="52">
                  <c:v>2643.03945205479</c:v>
                </c:pt>
                <c:pt idx="53">
                  <c:v>2695.87589041096</c:v>
                </c:pt>
                <c:pt idx="54">
                  <c:v>2749.10493150685</c:v>
                </c:pt>
                <c:pt idx="55">
                  <c:v>2802.31315068493</c:v>
                </c:pt>
                <c:pt idx="56">
                  <c:v>2855.96739726027</c:v>
                </c:pt>
                <c:pt idx="57">
                  <c:v>2921.47876712329</c:v>
                </c:pt>
                <c:pt idx="58">
                  <c:v>2987.12657534247</c:v>
                </c:pt>
                <c:pt idx="59">
                  <c:v>3052.68876712329</c:v>
                </c:pt>
                <c:pt idx="60">
                  <c:v>3118.28095890411</c:v>
                </c:pt>
                <c:pt idx="61">
                  <c:v>3183.17</c:v>
                </c:pt>
                <c:pt idx="62">
                  <c:v>3248.18219178082</c:v>
                </c:pt>
                <c:pt idx="63">
                  <c:v>3313.18123287671</c:v>
                </c:pt>
                <c:pt idx="64">
                  <c:v>3378.19780821918</c:v>
                </c:pt>
                <c:pt idx="65">
                  <c:v>3443.04</c:v>
                </c:pt>
                <c:pt idx="66">
                  <c:v>3507.84068493151</c:v>
                </c:pt>
                <c:pt idx="67">
                  <c:v>3572.30876712329</c:v>
                </c:pt>
                <c:pt idx="68">
                  <c:v>3636.60232876712</c:v>
                </c:pt>
                <c:pt idx="69">
                  <c:v>3700.98630136986</c:v>
                </c:pt>
                <c:pt idx="70">
                  <c:v>3765.43287671233</c:v>
                </c:pt>
                <c:pt idx="71">
                  <c:v>3830.10219178082</c:v>
                </c:pt>
                <c:pt idx="72">
                  <c:v>3894.48109589041</c:v>
                </c:pt>
                <c:pt idx="73">
                  <c:v>3958.57164383562</c:v>
                </c:pt>
                <c:pt idx="74">
                  <c:v>4022.64684931507</c:v>
                </c:pt>
                <c:pt idx="75">
                  <c:v>4086.66356164384</c:v>
                </c:pt>
                <c:pt idx="76">
                  <c:v>4150.67821917808</c:v>
                </c:pt>
                <c:pt idx="77">
                  <c:v>4214.55520547945</c:v>
                </c:pt>
                <c:pt idx="78">
                  <c:v>4278.25821917808</c:v>
                </c:pt>
                <c:pt idx="79">
                  <c:v>4341.71164383562</c:v>
                </c:pt>
                <c:pt idx="80">
                  <c:v>4404.6698630137</c:v>
                </c:pt>
                <c:pt idx="81">
                  <c:v>4467.45767123288</c:v>
                </c:pt>
                <c:pt idx="82">
                  <c:v>4529.90095890411</c:v>
                </c:pt>
                <c:pt idx="83">
                  <c:v>4591.82383561644</c:v>
                </c:pt>
                <c:pt idx="84">
                  <c:v>4653.66821917808</c:v>
                </c:pt>
                <c:pt idx="85">
                  <c:v>4715.91205479452</c:v>
                </c:pt>
                <c:pt idx="86">
                  <c:v>4777.89479452055</c:v>
                </c:pt>
                <c:pt idx="87">
                  <c:v>4839.12643835616</c:v>
                </c:pt>
                <c:pt idx="88">
                  <c:v>4899.3302739726</c:v>
                </c:pt>
                <c:pt idx="89">
                  <c:v>4959.6204109589</c:v>
                </c:pt>
                <c:pt idx="90">
                  <c:v>5020.36273972603</c:v>
                </c:pt>
                <c:pt idx="91">
                  <c:v>5081.14</c:v>
                </c:pt>
                <c:pt idx="92">
                  <c:v>5142.26712328767</c:v>
                </c:pt>
                <c:pt idx="93">
                  <c:v>5203.25232876712</c:v>
                </c:pt>
                <c:pt idx="94">
                  <c:v>5263.77821917808</c:v>
                </c:pt>
                <c:pt idx="95">
                  <c:v>5323.57739726027</c:v>
                </c:pt>
                <c:pt idx="96">
                  <c:v>5382.71315068493</c:v>
                </c:pt>
                <c:pt idx="97">
                  <c:v>5441.95849315068</c:v>
                </c:pt>
                <c:pt idx="98">
                  <c:v>5501.07808219178</c:v>
                </c:pt>
                <c:pt idx="99">
                  <c:v>5560.97465753425</c:v>
                </c:pt>
                <c:pt idx="100">
                  <c:v>5620.39315068493</c:v>
                </c:pt>
                <c:pt idx="101">
                  <c:v>5679.63547945205</c:v>
                </c:pt>
                <c:pt idx="102">
                  <c:v>5738.54931506849</c:v>
                </c:pt>
                <c:pt idx="103">
                  <c:v>5786.24876712329</c:v>
                </c:pt>
                <c:pt idx="104">
                  <c:v>5834.2301369863</c:v>
                </c:pt>
                <c:pt idx="105">
                  <c:v>5881.93917808219</c:v>
                </c:pt>
                <c:pt idx="106">
                  <c:v>5929.29671232877</c:v>
                </c:pt>
                <c:pt idx="107">
                  <c:v>5976.4894520548</c:v>
                </c:pt>
                <c:pt idx="108">
                  <c:v>6023.71534246575</c:v>
                </c:pt>
                <c:pt idx="109">
                  <c:v>6070.52383561644</c:v>
                </c:pt>
                <c:pt idx="110">
                  <c:v>6117.36534246575</c:v>
                </c:pt>
                <c:pt idx="111">
                  <c:v>6163.63767123288</c:v>
                </c:pt>
                <c:pt idx="112">
                  <c:v>6209.71835616438</c:v>
                </c:pt>
                <c:pt idx="113">
                  <c:v>6256.44753424657</c:v>
                </c:pt>
                <c:pt idx="114">
                  <c:v>6303.54767123288</c:v>
                </c:pt>
                <c:pt idx="115">
                  <c:v>6351.30671232877</c:v>
                </c:pt>
                <c:pt idx="116">
                  <c:v>6398.91219178082</c:v>
                </c:pt>
                <c:pt idx="117">
                  <c:v>6446.48095890411</c:v>
                </c:pt>
                <c:pt idx="118">
                  <c:v>6493.83767123288</c:v>
                </c:pt>
                <c:pt idx="119">
                  <c:v>6541.33876712329</c:v>
                </c:pt>
                <c:pt idx="120">
                  <c:v>6589.20246575342</c:v>
                </c:pt>
                <c:pt idx="121">
                  <c:v>6636.88095890411</c:v>
                </c:pt>
                <c:pt idx="122">
                  <c:v>6684.35534246575</c:v>
                </c:pt>
                <c:pt idx="123">
                  <c:v>6731.01205479452</c:v>
                </c:pt>
                <c:pt idx="124">
                  <c:v>6777.51684931507</c:v>
                </c:pt>
                <c:pt idx="125">
                  <c:v>6824.05808219178</c:v>
                </c:pt>
                <c:pt idx="126">
                  <c:v>6870.40602739726</c:v>
                </c:pt>
                <c:pt idx="127">
                  <c:v>6916.75342465753</c:v>
                </c:pt>
                <c:pt idx="128">
                  <c:v>6963.10684931507</c:v>
                </c:pt>
                <c:pt idx="129">
                  <c:v>7009.53712328767</c:v>
                </c:pt>
                <c:pt idx="130">
                  <c:v>7055.86054794521</c:v>
                </c:pt>
                <c:pt idx="131">
                  <c:v>7102.17273972603</c:v>
                </c:pt>
                <c:pt idx="132">
                  <c:v>7148.77904109589</c:v>
                </c:pt>
                <c:pt idx="133">
                  <c:v>7195.41109589041</c:v>
                </c:pt>
                <c:pt idx="134">
                  <c:v>7241.26191780822</c:v>
                </c:pt>
                <c:pt idx="135">
                  <c:v>7286.97849315069</c:v>
                </c:pt>
                <c:pt idx="136">
                  <c:v>7332.48575342466</c:v>
                </c:pt>
                <c:pt idx="137">
                  <c:v>7377.90534246575</c:v>
                </c:pt>
                <c:pt idx="138">
                  <c:v>7423.08561643836</c:v>
                </c:pt>
                <c:pt idx="139">
                  <c:v>7468.11356164384</c:v>
                </c:pt>
                <c:pt idx="140">
                  <c:v>7497.5497260274</c:v>
                </c:pt>
                <c:pt idx="141">
                  <c:v>7526.76780821918</c:v>
                </c:pt>
                <c:pt idx="142">
                  <c:v>7556.05465753425</c:v>
                </c:pt>
                <c:pt idx="143">
                  <c:v>7585.49821917808</c:v>
                </c:pt>
                <c:pt idx="144">
                  <c:v>7615.02780821918</c:v>
                </c:pt>
                <c:pt idx="145">
                  <c:v>7644.42260273973</c:v>
                </c:pt>
                <c:pt idx="146">
                  <c:v>7673.71164383562</c:v>
                </c:pt>
                <c:pt idx="147">
                  <c:v>7702.59465753425</c:v>
                </c:pt>
                <c:pt idx="148">
                  <c:v>7731.54616438356</c:v>
                </c:pt>
                <c:pt idx="149">
                  <c:v>7760.52479452055</c:v>
                </c:pt>
                <c:pt idx="150">
                  <c:v>7789.56095890411</c:v>
                </c:pt>
                <c:pt idx="151">
                  <c:v>7818.78643835616</c:v>
                </c:pt>
                <c:pt idx="152">
                  <c:v>7848.1604109589</c:v>
                </c:pt>
                <c:pt idx="153">
                  <c:v>7877.50095890411</c:v>
                </c:pt>
                <c:pt idx="154">
                  <c:v>7906.62205479452</c:v>
                </c:pt>
                <c:pt idx="155">
                  <c:v>7935.61356164384</c:v>
                </c:pt>
                <c:pt idx="156">
                  <c:v>7964.57273972603</c:v>
                </c:pt>
                <c:pt idx="157">
                  <c:v>7993.59410958904</c:v>
                </c:pt>
                <c:pt idx="158">
                  <c:v>8022.53520547945</c:v>
                </c:pt>
                <c:pt idx="159">
                  <c:v>8051.53</c:v>
                </c:pt>
                <c:pt idx="160">
                  <c:v>8080.83410958904</c:v>
                </c:pt>
                <c:pt idx="161">
                  <c:v>8110.16369863014</c:v>
                </c:pt>
                <c:pt idx="162">
                  <c:v>8139.37273972603</c:v>
                </c:pt>
                <c:pt idx="163">
                  <c:v>8168.88178082192</c:v>
                </c:pt>
                <c:pt idx="164">
                  <c:v>8198.73191780822</c:v>
                </c:pt>
                <c:pt idx="165">
                  <c:v>8229.1198630137</c:v>
                </c:pt>
                <c:pt idx="166">
                  <c:v>8259.02123287671</c:v>
                </c:pt>
                <c:pt idx="167">
                  <c:v>8288.7502739726</c:v>
                </c:pt>
                <c:pt idx="168">
                  <c:v>8319.11575342466</c:v>
                </c:pt>
                <c:pt idx="169">
                  <c:v>8349.87849315069</c:v>
                </c:pt>
                <c:pt idx="170">
                  <c:v>8380.69931506849</c:v>
                </c:pt>
                <c:pt idx="171">
                  <c:v>8412.31109589041</c:v>
                </c:pt>
                <c:pt idx="172">
                  <c:v>8443.91164383562</c:v>
                </c:pt>
                <c:pt idx="173">
                  <c:v>8475.48671232877</c:v>
                </c:pt>
                <c:pt idx="174">
                  <c:v>8507.30150684931</c:v>
                </c:pt>
                <c:pt idx="175">
                  <c:v>8538.94698630137</c:v>
                </c:pt>
                <c:pt idx="176">
                  <c:v>8570.35630136986</c:v>
                </c:pt>
                <c:pt idx="177">
                  <c:v>8601.71493150685</c:v>
                </c:pt>
                <c:pt idx="178">
                  <c:v>8633.49849315068</c:v>
                </c:pt>
                <c:pt idx="179">
                  <c:v>8665.67876712329</c:v>
                </c:pt>
                <c:pt idx="180">
                  <c:v>8698.02534246575</c:v>
                </c:pt>
                <c:pt idx="181">
                  <c:v>8730.44945205479</c:v>
                </c:pt>
                <c:pt idx="182">
                  <c:v>8762.65383561644</c:v>
                </c:pt>
                <c:pt idx="183">
                  <c:v>8795.08178082192</c:v>
                </c:pt>
                <c:pt idx="184">
                  <c:v>8827.77273972603</c:v>
                </c:pt>
                <c:pt idx="185">
                  <c:v>8860.55821917808</c:v>
                </c:pt>
                <c:pt idx="186">
                  <c:v>8893.07684931507</c:v>
                </c:pt>
                <c:pt idx="187">
                  <c:v>8925.30342465753</c:v>
                </c:pt>
                <c:pt idx="188">
                  <c:v>8957.35904109589</c:v>
                </c:pt>
                <c:pt idx="189">
                  <c:v>8989.37</c:v>
                </c:pt>
                <c:pt idx="190">
                  <c:v>9021.6604109589</c:v>
                </c:pt>
                <c:pt idx="191">
                  <c:v>9054.35712328767</c:v>
                </c:pt>
                <c:pt idx="192">
                  <c:v>9087.6102739726</c:v>
                </c:pt>
                <c:pt idx="193">
                  <c:v>9120.55684931507</c:v>
                </c:pt>
                <c:pt idx="194">
                  <c:v>9153.1497260274</c:v>
                </c:pt>
                <c:pt idx="195">
                  <c:v>9185.88753424658</c:v>
                </c:pt>
                <c:pt idx="196">
                  <c:v>9218.89904109589</c:v>
                </c:pt>
                <c:pt idx="197">
                  <c:v>9252.31767123288</c:v>
                </c:pt>
                <c:pt idx="198">
                  <c:v>9286.14150684932</c:v>
                </c:pt>
                <c:pt idx="199">
                  <c:v>9319.86479452055</c:v>
                </c:pt>
                <c:pt idx="200">
                  <c:v>9353.43054794521</c:v>
                </c:pt>
                <c:pt idx="201">
                  <c:v>9387.0702739726</c:v>
                </c:pt>
                <c:pt idx="202">
                  <c:v>9436.60835616438</c:v>
                </c:pt>
                <c:pt idx="203">
                  <c:v>9486.29821917808</c:v>
                </c:pt>
                <c:pt idx="204">
                  <c:v>9535.89273972603</c:v>
                </c:pt>
                <c:pt idx="205">
                  <c:v>9585.19191780822</c:v>
                </c:pt>
                <c:pt idx="206">
                  <c:v>9634.11904109589</c:v>
                </c:pt>
                <c:pt idx="207">
                  <c:v>9683.2195890411</c:v>
                </c:pt>
                <c:pt idx="208">
                  <c:v>9731.71931506849</c:v>
                </c:pt>
                <c:pt idx="209">
                  <c:v>9780.40726027397</c:v>
                </c:pt>
                <c:pt idx="210">
                  <c:v>9829.10835616438</c:v>
                </c:pt>
                <c:pt idx="211">
                  <c:v>9878.05356164384</c:v>
                </c:pt>
                <c:pt idx="212">
                  <c:v>9926.79082191781</c:v>
                </c:pt>
                <c:pt idx="213">
                  <c:v>9975.50095890411</c:v>
                </c:pt>
                <c:pt idx="214">
                  <c:v>10023.9987671233</c:v>
                </c:pt>
                <c:pt idx="215">
                  <c:v>10072.2806849315</c:v>
                </c:pt>
                <c:pt idx="216">
                  <c:v>10120.5242465753</c:v>
                </c:pt>
                <c:pt idx="217">
                  <c:v>10168.748630137</c:v>
                </c:pt>
                <c:pt idx="218">
                  <c:v>10216.8143835616</c:v>
                </c:pt>
                <c:pt idx="219">
                  <c:v>10258.9297260274</c:v>
                </c:pt>
                <c:pt idx="220">
                  <c:v>10301.2453424658</c:v>
                </c:pt>
                <c:pt idx="221">
                  <c:v>10343.8973972603</c:v>
                </c:pt>
                <c:pt idx="222">
                  <c:v>10387.0804109589</c:v>
                </c:pt>
                <c:pt idx="223">
                  <c:v>10430.5565753425</c:v>
                </c:pt>
                <c:pt idx="224">
                  <c:v>10474.1261643836</c:v>
                </c:pt>
                <c:pt idx="225">
                  <c:v>10517.927260274</c:v>
                </c:pt>
                <c:pt idx="226">
                  <c:v>10561.3310958904</c:v>
                </c:pt>
                <c:pt idx="227">
                  <c:v>10604.7346575342</c:v>
                </c:pt>
                <c:pt idx="228">
                  <c:v>10647.8891780822</c:v>
                </c:pt>
                <c:pt idx="229">
                  <c:v>10691.03</c:v>
                </c:pt>
                <c:pt idx="230">
                  <c:v>10734.4809589041</c:v>
                </c:pt>
                <c:pt idx="231">
                  <c:v>10777.8480821918</c:v>
                </c:pt>
                <c:pt idx="232">
                  <c:v>10821.3664383562</c:v>
                </c:pt>
                <c:pt idx="233">
                  <c:v>10864.6105479452</c:v>
                </c:pt>
                <c:pt idx="234">
                  <c:v>10901.2790410959</c:v>
                </c:pt>
                <c:pt idx="235">
                  <c:v>10937.7234246575</c:v>
                </c:pt>
                <c:pt idx="236">
                  <c:v>10974.0869863014</c:v>
                </c:pt>
                <c:pt idx="237">
                  <c:v>11010.2163013699</c:v>
                </c:pt>
                <c:pt idx="238">
                  <c:v>11046.4757534247</c:v>
                </c:pt>
                <c:pt idx="239">
                  <c:v>11082.4552054795</c:v>
                </c:pt>
                <c:pt idx="240">
                  <c:v>11118.305890411</c:v>
                </c:pt>
                <c:pt idx="241">
                  <c:v>11154.327260274</c:v>
                </c:pt>
                <c:pt idx="242">
                  <c:v>11190.405890411</c:v>
                </c:pt>
                <c:pt idx="243">
                  <c:v>11225.9839726027</c:v>
                </c:pt>
                <c:pt idx="244">
                  <c:v>11261.3864383562</c:v>
                </c:pt>
                <c:pt idx="245">
                  <c:v>11296.3938356164</c:v>
                </c:pt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PnL!$A$151:$A$396</c:f>
              <c:numCache>
                <c:formatCode>yyyy\-mm\-dd</c:formatCode>
                <c:ptCount val="246"/>
                <c:pt idx="0" c:formatCode="yyyy\-mm\-dd">
                  <c:v>44929</c:v>
                </c:pt>
                <c:pt idx="1" c:formatCode="yyyy\-mm\-dd">
                  <c:v>44930</c:v>
                </c:pt>
                <c:pt idx="2" c:formatCode="yyyy\-mm\-dd">
                  <c:v>44931</c:v>
                </c:pt>
                <c:pt idx="3" c:formatCode="yyyy\-mm\-dd">
                  <c:v>44932</c:v>
                </c:pt>
                <c:pt idx="4" c:formatCode="yyyy\-mm\-dd">
                  <c:v>44935</c:v>
                </c:pt>
                <c:pt idx="5" c:formatCode="yyyy\-mm\-dd">
                  <c:v>44936</c:v>
                </c:pt>
                <c:pt idx="6" c:formatCode="yyyy\-mm\-dd">
                  <c:v>44937</c:v>
                </c:pt>
                <c:pt idx="7" c:formatCode="yyyy\-mm\-dd">
                  <c:v>44938</c:v>
                </c:pt>
                <c:pt idx="8" c:formatCode="yyyy\-mm\-dd">
                  <c:v>44939</c:v>
                </c:pt>
                <c:pt idx="9" c:formatCode="yyyy\-mm\-dd">
                  <c:v>44942</c:v>
                </c:pt>
                <c:pt idx="10" c:formatCode="yyyy\-mm\-dd">
                  <c:v>44943</c:v>
                </c:pt>
                <c:pt idx="11" c:formatCode="yyyy\-mm\-dd">
                  <c:v>44944</c:v>
                </c:pt>
                <c:pt idx="12" c:formatCode="yyyy\-mm\-dd">
                  <c:v>44945</c:v>
                </c:pt>
                <c:pt idx="13" c:formatCode="yyyy\-mm\-dd">
                  <c:v>44946</c:v>
                </c:pt>
                <c:pt idx="14" c:formatCode="yyyy\-mm\-dd">
                  <c:v>44954</c:v>
                </c:pt>
                <c:pt idx="15" c:formatCode="yyyy\-mm\-dd">
                  <c:v>44955</c:v>
                </c:pt>
                <c:pt idx="16" c:formatCode="yyyy\-mm\-dd">
                  <c:v>44956</c:v>
                </c:pt>
                <c:pt idx="17" c:formatCode="yyyy\-mm\-dd">
                  <c:v>44957</c:v>
                </c:pt>
                <c:pt idx="18" c:formatCode="yyyy\-mm\-dd">
                  <c:v>44958</c:v>
                </c:pt>
                <c:pt idx="19" c:formatCode="yyyy\-mm\-dd">
                  <c:v>44959</c:v>
                </c:pt>
                <c:pt idx="20" c:formatCode="yyyy\-mm\-dd">
                  <c:v>44960</c:v>
                </c:pt>
                <c:pt idx="21" c:formatCode="yyyy\-mm\-dd">
                  <c:v>44963</c:v>
                </c:pt>
                <c:pt idx="22" c:formatCode="yyyy\-mm\-dd">
                  <c:v>44964</c:v>
                </c:pt>
                <c:pt idx="23" c:formatCode="yyyy\-mm\-dd">
                  <c:v>44965</c:v>
                </c:pt>
                <c:pt idx="24" c:formatCode="yyyy\-mm\-dd">
                  <c:v>44966</c:v>
                </c:pt>
                <c:pt idx="25" c:formatCode="yyyy\-mm\-dd">
                  <c:v>44967</c:v>
                </c:pt>
                <c:pt idx="26" c:formatCode="yyyy\-mm\-dd">
                  <c:v>44970</c:v>
                </c:pt>
                <c:pt idx="27" c:formatCode="yyyy\-mm\-dd">
                  <c:v>44971</c:v>
                </c:pt>
                <c:pt idx="28" c:formatCode="yyyy\-mm\-dd">
                  <c:v>44972</c:v>
                </c:pt>
                <c:pt idx="29" c:formatCode="yyyy\-mm\-dd">
                  <c:v>44973</c:v>
                </c:pt>
                <c:pt idx="30" c:formatCode="yyyy\-mm\-dd">
                  <c:v>44974</c:v>
                </c:pt>
                <c:pt idx="31" c:formatCode="yyyy\-mm\-dd">
                  <c:v>44977</c:v>
                </c:pt>
                <c:pt idx="32" c:formatCode="yyyy\-mm\-dd">
                  <c:v>44978</c:v>
                </c:pt>
                <c:pt idx="33" c:formatCode="yyyy\-mm\-dd">
                  <c:v>44979</c:v>
                </c:pt>
                <c:pt idx="34" c:formatCode="yyyy\-mm\-dd">
                  <c:v>44980</c:v>
                </c:pt>
                <c:pt idx="35" c:formatCode="yyyy\-mm\-dd">
                  <c:v>44981</c:v>
                </c:pt>
                <c:pt idx="36" c:formatCode="yyyy\-mm\-dd">
                  <c:v>44984</c:v>
                </c:pt>
                <c:pt idx="37" c:formatCode="yyyy\-mm\-dd">
                  <c:v>44985</c:v>
                </c:pt>
                <c:pt idx="38" c:formatCode="yyyy\-mm\-dd">
                  <c:v>44986</c:v>
                </c:pt>
                <c:pt idx="39" c:formatCode="yyyy\-mm\-dd">
                  <c:v>44987</c:v>
                </c:pt>
                <c:pt idx="40" c:formatCode="yyyy\-mm\-dd">
                  <c:v>44988</c:v>
                </c:pt>
                <c:pt idx="41" c:formatCode="yyyy\-mm\-dd">
                  <c:v>44991</c:v>
                </c:pt>
                <c:pt idx="42" c:formatCode="yyyy\-mm\-dd">
                  <c:v>44992</c:v>
                </c:pt>
                <c:pt idx="43" c:formatCode="yyyy\-mm\-dd">
                  <c:v>44993</c:v>
                </c:pt>
                <c:pt idx="44" c:formatCode="yyyy\-mm\-dd">
                  <c:v>44994</c:v>
                </c:pt>
                <c:pt idx="45" c:formatCode="yyyy\-mm\-dd">
                  <c:v>44995</c:v>
                </c:pt>
                <c:pt idx="46" c:formatCode="yyyy\-mm\-dd">
                  <c:v>44998</c:v>
                </c:pt>
                <c:pt idx="47" c:formatCode="yyyy\-mm\-dd">
                  <c:v>44999</c:v>
                </c:pt>
                <c:pt idx="48" c:formatCode="yyyy\-mm\-dd">
                  <c:v>45000</c:v>
                </c:pt>
                <c:pt idx="49" c:formatCode="yyyy\-mm\-dd">
                  <c:v>45001</c:v>
                </c:pt>
                <c:pt idx="50" c:formatCode="yyyy\-mm\-dd">
                  <c:v>45002</c:v>
                </c:pt>
                <c:pt idx="51" c:formatCode="yyyy\-mm\-dd">
                  <c:v>45005</c:v>
                </c:pt>
                <c:pt idx="52" c:formatCode="yyyy\-mm\-dd">
                  <c:v>45006</c:v>
                </c:pt>
                <c:pt idx="53" c:formatCode="yyyy\-mm\-dd">
                  <c:v>45007</c:v>
                </c:pt>
                <c:pt idx="54" c:formatCode="yyyy\-mm\-dd">
                  <c:v>45008</c:v>
                </c:pt>
                <c:pt idx="55" c:formatCode="yyyy\-mm\-dd">
                  <c:v>45009</c:v>
                </c:pt>
                <c:pt idx="56" c:formatCode="yyyy\-mm\-dd">
                  <c:v>45012</c:v>
                </c:pt>
                <c:pt idx="57" c:formatCode="yyyy\-mm\-dd">
                  <c:v>45013</c:v>
                </c:pt>
                <c:pt idx="58" c:formatCode="yyyy\-mm\-dd">
                  <c:v>45014</c:v>
                </c:pt>
                <c:pt idx="59" c:formatCode="yyyy\-mm\-dd">
                  <c:v>45015</c:v>
                </c:pt>
                <c:pt idx="60" c:formatCode="yyyy\-mm\-dd">
                  <c:v>45016</c:v>
                </c:pt>
                <c:pt idx="61" c:formatCode="yyyy\-mm\-dd">
                  <c:v>45019</c:v>
                </c:pt>
                <c:pt idx="62" c:formatCode="yyyy\-mm\-dd">
                  <c:v>45020</c:v>
                </c:pt>
                <c:pt idx="63" c:formatCode="yyyy\-mm\-dd">
                  <c:v>45022</c:v>
                </c:pt>
                <c:pt idx="64" c:formatCode="yyyy\-mm\-dd">
                  <c:v>45023</c:v>
                </c:pt>
                <c:pt idx="65" c:formatCode="yyyy\-mm\-dd">
                  <c:v>45026</c:v>
                </c:pt>
                <c:pt idx="66" c:formatCode="yyyy\-mm\-dd">
                  <c:v>45027</c:v>
                </c:pt>
                <c:pt idx="67" c:formatCode="yyyy\-mm\-dd">
                  <c:v>45028</c:v>
                </c:pt>
                <c:pt idx="68" c:formatCode="yyyy\-mm\-dd">
                  <c:v>45029</c:v>
                </c:pt>
                <c:pt idx="69" c:formatCode="yyyy\-mm\-dd">
                  <c:v>45030</c:v>
                </c:pt>
                <c:pt idx="70" c:formatCode="yyyy\-mm\-dd">
                  <c:v>45033</c:v>
                </c:pt>
                <c:pt idx="71" c:formatCode="yyyy\-mm\-dd">
                  <c:v>45034</c:v>
                </c:pt>
                <c:pt idx="72" c:formatCode="yyyy\-mm\-dd">
                  <c:v>45035</c:v>
                </c:pt>
                <c:pt idx="73" c:formatCode="yyyy\-mm\-dd">
                  <c:v>45036</c:v>
                </c:pt>
                <c:pt idx="74" c:formatCode="yyyy\-mm\-dd">
                  <c:v>45037</c:v>
                </c:pt>
                <c:pt idx="75" c:formatCode="yyyy\-mm\-dd">
                  <c:v>45039</c:v>
                </c:pt>
                <c:pt idx="76" c:formatCode="yyyy\-mm\-dd">
                  <c:v>45040</c:v>
                </c:pt>
                <c:pt idx="77" c:formatCode="yyyy\-mm\-dd">
                  <c:v>45041</c:v>
                </c:pt>
                <c:pt idx="78" c:formatCode="yyyy\-mm\-dd">
                  <c:v>45042</c:v>
                </c:pt>
                <c:pt idx="79" c:formatCode="yyyy\-mm\-dd">
                  <c:v>45043</c:v>
                </c:pt>
                <c:pt idx="80" c:formatCode="yyyy\-mm\-dd">
                  <c:v>45044</c:v>
                </c:pt>
                <c:pt idx="81" c:formatCode="yyyy\-mm\-dd">
                  <c:v>45050</c:v>
                </c:pt>
                <c:pt idx="82" c:formatCode="yyyy\-mm\-dd">
                  <c:v>45051</c:v>
                </c:pt>
                <c:pt idx="83" c:formatCode="yyyy\-mm\-dd">
                  <c:v>45052</c:v>
                </c:pt>
                <c:pt idx="84" c:formatCode="yyyy\-mm\-dd">
                  <c:v>45054</c:v>
                </c:pt>
                <c:pt idx="85" c:formatCode="yyyy\-mm\-dd">
                  <c:v>45055</c:v>
                </c:pt>
                <c:pt idx="86" c:formatCode="yyyy\-mm\-dd">
                  <c:v>45056</c:v>
                </c:pt>
                <c:pt idx="87" c:formatCode="yyyy\-mm\-dd">
                  <c:v>45057</c:v>
                </c:pt>
                <c:pt idx="88" c:formatCode="yyyy\-mm\-dd">
                  <c:v>45058</c:v>
                </c:pt>
                <c:pt idx="89" c:formatCode="yyyy\-mm\-dd">
                  <c:v>45061</c:v>
                </c:pt>
                <c:pt idx="90" c:formatCode="yyyy\-mm\-dd">
                  <c:v>45062</c:v>
                </c:pt>
                <c:pt idx="91" c:formatCode="yyyy\-mm\-dd">
                  <c:v>45063</c:v>
                </c:pt>
                <c:pt idx="92" c:formatCode="yyyy\-mm\-dd">
                  <c:v>45064</c:v>
                </c:pt>
                <c:pt idx="93" c:formatCode="yyyy\-mm\-dd">
                  <c:v>45065</c:v>
                </c:pt>
                <c:pt idx="94" c:formatCode="yyyy\-mm\-dd">
                  <c:v>45068</c:v>
                </c:pt>
                <c:pt idx="95" c:formatCode="yyyy\-mm\-dd">
                  <c:v>45069</c:v>
                </c:pt>
                <c:pt idx="96" c:formatCode="yyyy\-mm\-dd">
                  <c:v>45070</c:v>
                </c:pt>
                <c:pt idx="97" c:formatCode="yyyy\-mm\-dd">
                  <c:v>45071</c:v>
                </c:pt>
                <c:pt idx="98" c:formatCode="yyyy\-mm\-dd">
                  <c:v>45072</c:v>
                </c:pt>
                <c:pt idx="99" c:formatCode="yyyy\-mm\-dd">
                  <c:v>45075</c:v>
                </c:pt>
                <c:pt idx="100" c:formatCode="yyyy\-mm\-dd">
                  <c:v>45076</c:v>
                </c:pt>
                <c:pt idx="101" c:formatCode="yyyy\-mm\-dd">
                  <c:v>45077</c:v>
                </c:pt>
                <c:pt idx="102" c:formatCode="yyyy\-mm\-dd">
                  <c:v>45078</c:v>
                </c:pt>
                <c:pt idx="103" c:formatCode="yyyy\-mm\-dd">
                  <c:v>45079</c:v>
                </c:pt>
                <c:pt idx="104" c:formatCode="yyyy\-mm\-dd">
                  <c:v>45082</c:v>
                </c:pt>
                <c:pt idx="105" c:formatCode="yyyy\-mm\-dd">
                  <c:v>45083</c:v>
                </c:pt>
                <c:pt idx="106" c:formatCode="yyyy\-mm\-dd">
                  <c:v>45084</c:v>
                </c:pt>
                <c:pt idx="107" c:formatCode="yyyy\-mm\-dd">
                  <c:v>45085</c:v>
                </c:pt>
                <c:pt idx="108" c:formatCode="yyyy\-mm\-dd">
                  <c:v>45086</c:v>
                </c:pt>
                <c:pt idx="109" c:formatCode="yyyy\-mm\-dd">
                  <c:v>45089</c:v>
                </c:pt>
                <c:pt idx="110" c:formatCode="yyyy\-mm\-dd">
                  <c:v>45090</c:v>
                </c:pt>
                <c:pt idx="111" c:formatCode="yyyy\-mm\-dd">
                  <c:v>45091</c:v>
                </c:pt>
                <c:pt idx="112" c:formatCode="yyyy\-mm\-dd">
                  <c:v>45092</c:v>
                </c:pt>
                <c:pt idx="113" c:formatCode="yyyy\-mm\-dd">
                  <c:v>45093</c:v>
                </c:pt>
                <c:pt idx="114" c:formatCode="yyyy\-mm\-dd">
                  <c:v>45096</c:v>
                </c:pt>
                <c:pt idx="115" c:formatCode="yyyy\-mm\-dd">
                  <c:v>45097</c:v>
                </c:pt>
                <c:pt idx="116" c:formatCode="yyyy\-mm\-dd">
                  <c:v>45098</c:v>
                </c:pt>
                <c:pt idx="117" c:formatCode="yyyy\-mm\-dd">
                  <c:v>45102</c:v>
                </c:pt>
                <c:pt idx="118" c:formatCode="yyyy\-mm\-dd">
                  <c:v>45103</c:v>
                </c:pt>
                <c:pt idx="119" c:formatCode="yyyy\-mm\-dd">
                  <c:v>45104</c:v>
                </c:pt>
                <c:pt idx="120" c:formatCode="yyyy\-mm\-dd">
                  <c:v>45105</c:v>
                </c:pt>
                <c:pt idx="121" c:formatCode="yyyy\-mm\-dd">
                  <c:v>45106</c:v>
                </c:pt>
                <c:pt idx="122" c:formatCode="yyyy\-mm\-dd">
                  <c:v>45107</c:v>
                </c:pt>
                <c:pt idx="123" c:formatCode="yyyy\-mm\-dd">
                  <c:v>45110</c:v>
                </c:pt>
                <c:pt idx="124" c:formatCode="yyyy\-mm\-dd">
                  <c:v>45111</c:v>
                </c:pt>
                <c:pt idx="125" c:formatCode="yyyy\-mm\-dd">
                  <c:v>45112</c:v>
                </c:pt>
                <c:pt idx="126" c:formatCode="yyyy\-mm\-dd">
                  <c:v>45113</c:v>
                </c:pt>
                <c:pt idx="127" c:formatCode="yyyy\-mm\-dd">
                  <c:v>45114</c:v>
                </c:pt>
                <c:pt idx="128" c:formatCode="yyyy\-mm\-dd">
                  <c:v>45117</c:v>
                </c:pt>
                <c:pt idx="129" c:formatCode="yyyy\-mm\-dd">
                  <c:v>45118</c:v>
                </c:pt>
                <c:pt idx="130" c:formatCode="yyyy\-mm\-dd">
                  <c:v>45119</c:v>
                </c:pt>
                <c:pt idx="131" c:formatCode="yyyy\-mm\-dd">
                  <c:v>45120</c:v>
                </c:pt>
                <c:pt idx="132" c:formatCode="yyyy\-mm\-dd">
                  <c:v>45121</c:v>
                </c:pt>
                <c:pt idx="133" c:formatCode="yyyy\-mm\-dd">
                  <c:v>45124</c:v>
                </c:pt>
                <c:pt idx="134" c:formatCode="yyyy\-mm\-dd">
                  <c:v>45125</c:v>
                </c:pt>
                <c:pt idx="135" c:formatCode="yyyy\-mm\-dd">
                  <c:v>45126</c:v>
                </c:pt>
                <c:pt idx="136" c:formatCode="yyyy\-mm\-dd">
                  <c:v>45127</c:v>
                </c:pt>
                <c:pt idx="137" c:formatCode="yyyy\-mm\-dd">
                  <c:v>45128</c:v>
                </c:pt>
                <c:pt idx="138" c:formatCode="yyyy\-mm\-dd">
                  <c:v>45131</c:v>
                </c:pt>
                <c:pt idx="139" c:formatCode="yyyy\-mm\-dd">
                  <c:v>45132</c:v>
                </c:pt>
                <c:pt idx="140" c:formatCode="yyyy\-mm\-dd">
                  <c:v>45133</c:v>
                </c:pt>
                <c:pt idx="141" c:formatCode="yyyy\-mm\-dd">
                  <c:v>45134</c:v>
                </c:pt>
                <c:pt idx="142" c:formatCode="yyyy\-mm\-dd">
                  <c:v>45135</c:v>
                </c:pt>
                <c:pt idx="143" c:formatCode="yyyy\-mm\-dd">
                  <c:v>45138</c:v>
                </c:pt>
                <c:pt idx="144" c:formatCode="yyyy\-mm\-dd">
                  <c:v>45139</c:v>
                </c:pt>
                <c:pt idx="145" c:formatCode="yyyy\-mm\-dd">
                  <c:v>45140</c:v>
                </c:pt>
                <c:pt idx="146" c:formatCode="yyyy\-mm\-dd">
                  <c:v>45141</c:v>
                </c:pt>
                <c:pt idx="147" c:formatCode="yyyy\-mm\-dd">
                  <c:v>45142</c:v>
                </c:pt>
                <c:pt idx="148" c:formatCode="yyyy\-mm\-dd">
                  <c:v>45145</c:v>
                </c:pt>
                <c:pt idx="149" c:formatCode="yyyy\-mm\-dd">
                  <c:v>45146</c:v>
                </c:pt>
                <c:pt idx="150" c:formatCode="yyyy\-mm\-dd">
                  <c:v>45147</c:v>
                </c:pt>
                <c:pt idx="151" c:formatCode="yyyy\-mm\-dd">
                  <c:v>45148</c:v>
                </c:pt>
                <c:pt idx="152" c:formatCode="yyyy\-mm\-dd">
                  <c:v>45149</c:v>
                </c:pt>
                <c:pt idx="153" c:formatCode="yyyy\-mm\-dd">
                  <c:v>45152</c:v>
                </c:pt>
                <c:pt idx="154" c:formatCode="yyyy\-mm\-dd">
                  <c:v>45153</c:v>
                </c:pt>
                <c:pt idx="155" c:formatCode="yyyy\-mm\-dd">
                  <c:v>45154</c:v>
                </c:pt>
                <c:pt idx="156" c:formatCode="yyyy\-mm\-dd">
                  <c:v>45155</c:v>
                </c:pt>
                <c:pt idx="157" c:formatCode="yyyy\-mm\-dd">
                  <c:v>45156</c:v>
                </c:pt>
                <c:pt idx="158" c:formatCode="yyyy\-mm\-dd">
                  <c:v>45159</c:v>
                </c:pt>
                <c:pt idx="159" c:formatCode="yyyy\-mm\-dd">
                  <c:v>45160</c:v>
                </c:pt>
                <c:pt idx="160" c:formatCode="yyyy\-mm\-dd">
                  <c:v>45161</c:v>
                </c:pt>
                <c:pt idx="161" c:formatCode="yyyy\-mm\-dd">
                  <c:v>45162</c:v>
                </c:pt>
                <c:pt idx="162" c:formatCode="yyyy\-mm\-dd">
                  <c:v>45163</c:v>
                </c:pt>
                <c:pt idx="163" c:formatCode="yyyy\-mm\-dd">
                  <c:v>45166</c:v>
                </c:pt>
                <c:pt idx="164" c:formatCode="yyyy\-mm\-dd">
                  <c:v>45167</c:v>
                </c:pt>
                <c:pt idx="165" c:formatCode="yyyy\-mm\-dd">
                  <c:v>45168</c:v>
                </c:pt>
                <c:pt idx="166" c:formatCode="yyyy\-mm\-dd">
                  <c:v>45169</c:v>
                </c:pt>
                <c:pt idx="167" c:formatCode="yyyy\-mm\-dd">
                  <c:v>45170</c:v>
                </c:pt>
                <c:pt idx="168" c:formatCode="yyyy\-mm\-dd">
                  <c:v>45173</c:v>
                </c:pt>
                <c:pt idx="169" c:formatCode="yyyy\-mm\-dd">
                  <c:v>45174</c:v>
                </c:pt>
                <c:pt idx="170" c:formatCode="yyyy\-mm\-dd">
                  <c:v>45175</c:v>
                </c:pt>
                <c:pt idx="171" c:formatCode="yyyy\-mm\-dd">
                  <c:v>45176</c:v>
                </c:pt>
                <c:pt idx="172" c:formatCode="yyyy\-mm\-dd">
                  <c:v>45177</c:v>
                </c:pt>
                <c:pt idx="173" c:formatCode="yyyy\-mm\-dd">
                  <c:v>45180</c:v>
                </c:pt>
                <c:pt idx="174" c:formatCode="yyyy\-mm\-dd">
                  <c:v>45181</c:v>
                </c:pt>
                <c:pt idx="175" c:formatCode="yyyy\-mm\-dd">
                  <c:v>45182</c:v>
                </c:pt>
                <c:pt idx="176" c:formatCode="yyyy\-mm\-dd">
                  <c:v>45183</c:v>
                </c:pt>
                <c:pt idx="177" c:formatCode="yyyy\-mm\-dd">
                  <c:v>45184</c:v>
                </c:pt>
                <c:pt idx="178" c:formatCode="yyyy\-mm\-dd">
                  <c:v>45187</c:v>
                </c:pt>
                <c:pt idx="179" c:formatCode="yyyy\-mm\-dd">
                  <c:v>45188</c:v>
                </c:pt>
                <c:pt idx="180" c:formatCode="yyyy\-mm\-dd">
                  <c:v>45189</c:v>
                </c:pt>
                <c:pt idx="181" c:formatCode="yyyy\-mm\-dd">
                  <c:v>45190</c:v>
                </c:pt>
                <c:pt idx="182" c:formatCode="yyyy\-mm\-dd">
                  <c:v>45191</c:v>
                </c:pt>
                <c:pt idx="183" c:formatCode="yyyy\-mm\-dd">
                  <c:v>45194</c:v>
                </c:pt>
                <c:pt idx="184" c:formatCode="yyyy\-mm\-dd">
                  <c:v>45195</c:v>
                </c:pt>
                <c:pt idx="185" c:formatCode="yyyy\-mm\-dd">
                  <c:v>45196</c:v>
                </c:pt>
                <c:pt idx="186" c:formatCode="yyyy\-mm\-dd">
                  <c:v>45197</c:v>
                </c:pt>
                <c:pt idx="187" c:formatCode="yyyy\-mm\-dd">
                  <c:v>45206</c:v>
                </c:pt>
                <c:pt idx="188" c:formatCode="yyyy\-mm\-dd">
                  <c:v>45207</c:v>
                </c:pt>
                <c:pt idx="189" c:formatCode="yyyy\-mm\-dd">
                  <c:v>45208</c:v>
                </c:pt>
                <c:pt idx="190" c:formatCode="yyyy\-mm\-dd">
                  <c:v>45209</c:v>
                </c:pt>
                <c:pt idx="191" c:formatCode="yyyy\-mm\-dd">
                  <c:v>45210</c:v>
                </c:pt>
                <c:pt idx="192" c:formatCode="yyyy\-mm\-dd">
                  <c:v>45211</c:v>
                </c:pt>
                <c:pt idx="193" c:formatCode="yyyy\-mm\-dd">
                  <c:v>45212</c:v>
                </c:pt>
                <c:pt idx="194" c:formatCode="yyyy\-mm\-dd">
                  <c:v>45215</c:v>
                </c:pt>
                <c:pt idx="195" c:formatCode="yyyy\-mm\-dd">
                  <c:v>45216</c:v>
                </c:pt>
                <c:pt idx="196" c:formatCode="yyyy\-mm\-dd">
                  <c:v>45217</c:v>
                </c:pt>
                <c:pt idx="197" c:formatCode="yyyy\-mm\-dd">
                  <c:v>45218</c:v>
                </c:pt>
                <c:pt idx="198" c:formatCode="yyyy\-mm\-dd">
                  <c:v>45219</c:v>
                </c:pt>
                <c:pt idx="199" c:formatCode="yyyy\-mm\-dd">
                  <c:v>45222</c:v>
                </c:pt>
                <c:pt idx="200" c:formatCode="yyyy\-mm\-dd">
                  <c:v>45223</c:v>
                </c:pt>
                <c:pt idx="201" c:formatCode="yyyy\-mm\-dd">
                  <c:v>45224</c:v>
                </c:pt>
                <c:pt idx="202" c:formatCode="yyyy\-mm\-dd">
                  <c:v>45225</c:v>
                </c:pt>
                <c:pt idx="203" c:formatCode="yyyy\-mm\-dd">
                  <c:v>45226</c:v>
                </c:pt>
                <c:pt idx="204" c:formatCode="yyyy\-mm\-dd">
                  <c:v>45229</c:v>
                </c:pt>
                <c:pt idx="205" c:formatCode="yyyy\-mm\-dd">
                  <c:v>45230</c:v>
                </c:pt>
                <c:pt idx="206" c:formatCode="yyyy\-mm\-dd">
                  <c:v>45231</c:v>
                </c:pt>
                <c:pt idx="207" c:formatCode="yyyy\-mm\-dd">
                  <c:v>45232</c:v>
                </c:pt>
                <c:pt idx="208" c:formatCode="yyyy\-mm\-dd">
                  <c:v>45233</c:v>
                </c:pt>
                <c:pt idx="209" c:formatCode="yyyy\-mm\-dd">
                  <c:v>45236</c:v>
                </c:pt>
                <c:pt idx="210" c:formatCode="yyyy\-mm\-dd">
                  <c:v>45237</c:v>
                </c:pt>
                <c:pt idx="211" c:formatCode="yyyy\-mm\-dd">
                  <c:v>45238</c:v>
                </c:pt>
                <c:pt idx="212" c:formatCode="yyyy\-mm\-dd">
                  <c:v>45239</c:v>
                </c:pt>
                <c:pt idx="213" c:formatCode="yyyy\-mm\-dd">
                  <c:v>45240</c:v>
                </c:pt>
                <c:pt idx="214" c:formatCode="yyyy\-mm\-dd">
                  <c:v>45243</c:v>
                </c:pt>
                <c:pt idx="215" c:formatCode="yyyy\-mm\-dd">
                  <c:v>45244</c:v>
                </c:pt>
                <c:pt idx="216" c:formatCode="yyyy\-mm\-dd">
                  <c:v>45245</c:v>
                </c:pt>
                <c:pt idx="217" c:formatCode="yyyy\-mm\-dd">
                  <c:v>45246</c:v>
                </c:pt>
                <c:pt idx="218" c:formatCode="yyyy\-mm\-dd">
                  <c:v>45247</c:v>
                </c:pt>
                <c:pt idx="219" c:formatCode="yyyy\-mm\-dd">
                  <c:v>45250</c:v>
                </c:pt>
                <c:pt idx="220" c:formatCode="yyyy\-mm\-dd">
                  <c:v>45251</c:v>
                </c:pt>
                <c:pt idx="221" c:formatCode="yyyy\-mm\-dd">
                  <c:v>45252</c:v>
                </c:pt>
                <c:pt idx="222" c:formatCode="yyyy\-mm\-dd">
                  <c:v>45253</c:v>
                </c:pt>
                <c:pt idx="223" c:formatCode="yyyy\-mm\-dd">
                  <c:v>45254</c:v>
                </c:pt>
                <c:pt idx="224" c:formatCode="yyyy\-mm\-dd">
                  <c:v>45257</c:v>
                </c:pt>
                <c:pt idx="225" c:formatCode="yyyy\-mm\-dd">
                  <c:v>45258</c:v>
                </c:pt>
                <c:pt idx="226" c:formatCode="yyyy\-mm\-dd">
                  <c:v>45259</c:v>
                </c:pt>
                <c:pt idx="227" c:formatCode="yyyy\-mm\-dd">
                  <c:v>45260</c:v>
                </c:pt>
                <c:pt idx="228" c:formatCode="yyyy\-mm\-dd">
                  <c:v>45261</c:v>
                </c:pt>
                <c:pt idx="229" c:formatCode="yyyy\-mm\-dd">
                  <c:v>45264</c:v>
                </c:pt>
                <c:pt idx="230" c:formatCode="yyyy\-mm\-dd">
                  <c:v>45265</c:v>
                </c:pt>
                <c:pt idx="231" c:formatCode="yyyy\-mm\-dd">
                  <c:v>45266</c:v>
                </c:pt>
                <c:pt idx="232" c:formatCode="yyyy\-mm\-dd">
                  <c:v>45267</c:v>
                </c:pt>
                <c:pt idx="233" c:formatCode="yyyy\-mm\-dd">
                  <c:v>45268</c:v>
                </c:pt>
                <c:pt idx="234" c:formatCode="yyyy\-mm\-dd">
                  <c:v>45271</c:v>
                </c:pt>
                <c:pt idx="235" c:formatCode="yyyy\-mm\-dd">
                  <c:v>45272</c:v>
                </c:pt>
                <c:pt idx="236" c:formatCode="yyyy\-mm\-dd">
                  <c:v>45273</c:v>
                </c:pt>
                <c:pt idx="237" c:formatCode="yyyy\-mm\-dd">
                  <c:v>45274</c:v>
                </c:pt>
                <c:pt idx="238" c:formatCode="yyyy\-mm\-dd">
                  <c:v>45275</c:v>
                </c:pt>
                <c:pt idx="239" c:formatCode="yyyy\-mm\-dd">
                  <c:v>45278</c:v>
                </c:pt>
                <c:pt idx="240" c:formatCode="yyyy\-mm\-dd">
                  <c:v>45279</c:v>
                </c:pt>
                <c:pt idx="241" c:formatCode="yyyy\-mm\-dd">
                  <c:v>45280</c:v>
                </c:pt>
                <c:pt idx="242" c:formatCode="yyyy\-mm\-dd">
                  <c:v>45281</c:v>
                </c:pt>
                <c:pt idx="243" c:formatCode="yyyy\-mm\-dd">
                  <c:v>45282</c:v>
                </c:pt>
                <c:pt idx="244" c:formatCode="yyyy\-mm\-dd">
                  <c:v>45285</c:v>
                </c:pt>
                <c:pt idx="245" c:formatCode="yyyy\-mm\-dd">
                  <c:v>45286</c:v>
                </c:pt>
              </c:numCache>
            </c:numRef>
          </c:cat>
          <c:val>
            <c:numRef>
              <c:f>PnL!$AE$151:$AE$396</c:f>
              <c:numCache>
                <c:formatCode>General</c:formatCode>
                <c:ptCount val="246"/>
                <c:pt idx="0">
                  <c:v>342.58</c:v>
                </c:pt>
                <c:pt idx="1">
                  <c:v>395.84383561644</c:v>
                </c:pt>
                <c:pt idx="2">
                  <c:v>668.475616438357</c:v>
                </c:pt>
                <c:pt idx="3">
                  <c:v>578.58383561644</c:v>
                </c:pt>
                <c:pt idx="4">
                  <c:v>391.823561643836</c:v>
                </c:pt>
                <c:pt idx="5">
                  <c:v>457.233972602742</c:v>
                </c:pt>
                <c:pt idx="6">
                  <c:v>449.814520547949</c:v>
                </c:pt>
                <c:pt idx="7">
                  <c:v>509.018356164385</c:v>
                </c:pt>
                <c:pt idx="8">
                  <c:v>626.889315068494</c:v>
                </c:pt>
                <c:pt idx="9">
                  <c:v>646.093698630139</c:v>
                </c:pt>
                <c:pt idx="10">
                  <c:v>308.056986301373</c:v>
                </c:pt>
                <c:pt idx="11">
                  <c:v>524.958630136989</c:v>
                </c:pt>
                <c:pt idx="12">
                  <c:v>462.613972602741</c:v>
                </c:pt>
                <c:pt idx="13">
                  <c:v>492.524383561645</c:v>
                </c:pt>
                <c:pt idx="14">
                  <c:v>524.124383561644</c:v>
                </c:pt>
                <c:pt idx="15">
                  <c:v>629.256438356166</c:v>
                </c:pt>
                <c:pt idx="16">
                  <c:v>710.897808219179</c:v>
                </c:pt>
                <c:pt idx="17">
                  <c:v>612.306849315068</c:v>
                </c:pt>
                <c:pt idx="18">
                  <c:v>1162.2893150685</c:v>
                </c:pt>
                <c:pt idx="19">
                  <c:v>1104.63397260275</c:v>
                </c:pt>
                <c:pt idx="20">
                  <c:v>1516.80246575343</c:v>
                </c:pt>
                <c:pt idx="21">
                  <c:v>1593.81589041097</c:v>
                </c:pt>
                <c:pt idx="22">
                  <c:v>1294.72164383562</c:v>
                </c:pt>
                <c:pt idx="23">
                  <c:v>1437.77287671233</c:v>
                </c:pt>
                <c:pt idx="24">
                  <c:v>1408.00575342466</c:v>
                </c:pt>
                <c:pt idx="25">
                  <c:v>1595.64438356165</c:v>
                </c:pt>
                <c:pt idx="26">
                  <c:v>1641.27424657535</c:v>
                </c:pt>
                <c:pt idx="27">
                  <c:v>1644.65726027398</c:v>
                </c:pt>
                <c:pt idx="28">
                  <c:v>1731.11479452056</c:v>
                </c:pt>
                <c:pt idx="29">
                  <c:v>1819.05315068493</c:v>
                </c:pt>
                <c:pt idx="30">
                  <c:v>1863.18027397261</c:v>
                </c:pt>
                <c:pt idx="31">
                  <c:v>1830.93753424658</c:v>
                </c:pt>
                <c:pt idx="32">
                  <c:v>832.716986301377</c:v>
                </c:pt>
                <c:pt idx="33">
                  <c:v>868.707397260281</c:v>
                </c:pt>
                <c:pt idx="34">
                  <c:v>1072.46301369863</c:v>
                </c:pt>
                <c:pt idx="35">
                  <c:v>731.510684931508</c:v>
                </c:pt>
                <c:pt idx="36">
                  <c:v>709.627123287675</c:v>
                </c:pt>
                <c:pt idx="37">
                  <c:v>680.652328767132</c:v>
                </c:pt>
                <c:pt idx="38">
                  <c:v>629.723835616442</c:v>
                </c:pt>
                <c:pt idx="39">
                  <c:v>751.567945205487</c:v>
                </c:pt>
                <c:pt idx="40">
                  <c:v>440.846575342468</c:v>
                </c:pt>
                <c:pt idx="41">
                  <c:v>738.66383561644</c:v>
                </c:pt>
                <c:pt idx="42">
                  <c:v>1494.80520547946</c:v>
                </c:pt>
                <c:pt idx="43">
                  <c:v>1772.33424657535</c:v>
                </c:pt>
                <c:pt idx="44">
                  <c:v>1678.58136986302</c:v>
                </c:pt>
                <c:pt idx="45">
                  <c:v>1866.72328767123</c:v>
                </c:pt>
                <c:pt idx="46">
                  <c:v>2122.15342465754</c:v>
                </c:pt>
                <c:pt idx="47">
                  <c:v>1997.08438356165</c:v>
                </c:pt>
                <c:pt idx="48">
                  <c:v>2329.36301369863</c:v>
                </c:pt>
                <c:pt idx="49">
                  <c:v>2197.75917808219</c:v>
                </c:pt>
                <c:pt idx="50">
                  <c:v>2577.02273972603</c:v>
                </c:pt>
                <c:pt idx="51">
                  <c:v>2609.91863013699</c:v>
                </c:pt>
                <c:pt idx="52">
                  <c:v>3116.4495890411</c:v>
                </c:pt>
                <c:pt idx="53">
                  <c:v>2789.18191780822</c:v>
                </c:pt>
                <c:pt idx="54">
                  <c:v>2548.12876712329</c:v>
                </c:pt>
                <c:pt idx="55">
                  <c:v>2534.82054794521</c:v>
                </c:pt>
                <c:pt idx="56">
                  <c:v>2276.2501369863</c:v>
                </c:pt>
                <c:pt idx="57">
                  <c:v>2838.27794520548</c:v>
                </c:pt>
                <c:pt idx="58">
                  <c:v>2749.79835616439</c:v>
                </c:pt>
                <c:pt idx="59">
                  <c:v>2867.34136986301</c:v>
                </c:pt>
                <c:pt idx="60">
                  <c:v>2666.44589041096</c:v>
                </c:pt>
                <c:pt idx="61">
                  <c:v>3178.93082191781</c:v>
                </c:pt>
                <c:pt idx="62">
                  <c:v>2943.68547945206</c:v>
                </c:pt>
                <c:pt idx="63">
                  <c:v>2986.87767123287</c:v>
                </c:pt>
                <c:pt idx="64">
                  <c:v>2943.67095890411</c:v>
                </c:pt>
                <c:pt idx="65">
                  <c:v>3375.12273972603</c:v>
                </c:pt>
                <c:pt idx="66">
                  <c:v>3435.11657534246</c:v>
                </c:pt>
                <c:pt idx="67">
                  <c:v>4006.79424657534</c:v>
                </c:pt>
                <c:pt idx="68">
                  <c:v>4417.49739726027</c:v>
                </c:pt>
                <c:pt idx="69">
                  <c:v>4197.69095890411</c:v>
                </c:pt>
                <c:pt idx="70">
                  <c:v>4160.61424657535</c:v>
                </c:pt>
                <c:pt idx="71">
                  <c:v>3749.44383561644</c:v>
                </c:pt>
                <c:pt idx="72">
                  <c:v>4224.51589041096</c:v>
                </c:pt>
                <c:pt idx="73">
                  <c:v>4632.29958904109</c:v>
                </c:pt>
                <c:pt idx="74">
                  <c:v>4776.95287671233</c:v>
                </c:pt>
                <c:pt idx="75">
                  <c:v>4956.37917808219</c:v>
                </c:pt>
                <c:pt idx="76">
                  <c:v>5037.95547945205</c:v>
                </c:pt>
                <c:pt idx="77">
                  <c:v>5295.47767123288</c:v>
                </c:pt>
                <c:pt idx="78">
                  <c:v>5464.65876712329</c:v>
                </c:pt>
                <c:pt idx="79">
                  <c:v>5943.8902739726</c:v>
                </c:pt>
                <c:pt idx="80">
                  <c:v>6736.65945205479</c:v>
                </c:pt>
                <c:pt idx="81">
                  <c:v>6932.41095890411</c:v>
                </c:pt>
                <c:pt idx="82">
                  <c:v>7560.71315068493</c:v>
                </c:pt>
                <c:pt idx="83">
                  <c:v>8661.86068493151</c:v>
                </c:pt>
                <c:pt idx="84">
                  <c:v>8723.04753424658</c:v>
                </c:pt>
                <c:pt idx="85">
                  <c:v>8082.49684931507</c:v>
                </c:pt>
                <c:pt idx="86">
                  <c:v>8430.95493150685</c:v>
                </c:pt>
                <c:pt idx="87">
                  <c:v>9351.27835616438</c:v>
                </c:pt>
                <c:pt idx="88">
                  <c:v>10381.7739726027</c:v>
                </c:pt>
                <c:pt idx="89">
                  <c:v>10453.1394520548</c:v>
                </c:pt>
                <c:pt idx="90">
                  <c:v>9911.24068493151</c:v>
                </c:pt>
                <c:pt idx="91">
                  <c:v>10003.9604109589</c:v>
                </c:pt>
                <c:pt idx="92">
                  <c:v>9541.64643835616</c:v>
                </c:pt>
                <c:pt idx="93">
                  <c:v>9746.48369863014</c:v>
                </c:pt>
                <c:pt idx="94">
                  <c:v>10305.3849315068</c:v>
                </c:pt>
                <c:pt idx="95">
                  <c:v>11010.275890411</c:v>
                </c:pt>
                <c:pt idx="96">
                  <c:v>11749.2198630137</c:v>
                </c:pt>
                <c:pt idx="97">
                  <c:v>11500.7747945205</c:v>
                </c:pt>
                <c:pt idx="98">
                  <c:v>11518.1875342466</c:v>
                </c:pt>
                <c:pt idx="99">
                  <c:v>10796.577260274</c:v>
                </c:pt>
                <c:pt idx="100">
                  <c:v>11426.6889041096</c:v>
                </c:pt>
                <c:pt idx="101">
                  <c:v>11473.5408219178</c:v>
                </c:pt>
                <c:pt idx="102">
                  <c:v>12215.4464383562</c:v>
                </c:pt>
                <c:pt idx="103">
                  <c:v>12789.2321917808</c:v>
                </c:pt>
                <c:pt idx="104">
                  <c:v>12222.1423287671</c:v>
                </c:pt>
                <c:pt idx="105">
                  <c:v>12352.0226027397</c:v>
                </c:pt>
                <c:pt idx="106">
                  <c:v>12853.3773972603</c:v>
                </c:pt>
                <c:pt idx="107">
                  <c:v>12961.241369863</c:v>
                </c:pt>
                <c:pt idx="108">
                  <c:v>12852.3960273973</c:v>
                </c:pt>
                <c:pt idx="109">
                  <c:v>13510.3908219178</c:v>
                </c:pt>
                <c:pt idx="110">
                  <c:v>13542.5761643836</c:v>
                </c:pt>
                <c:pt idx="111">
                  <c:v>14806.777260274</c:v>
                </c:pt>
                <c:pt idx="112">
                  <c:v>15086.2867123288</c:v>
                </c:pt>
                <c:pt idx="113">
                  <c:v>13948.5597260274</c:v>
                </c:pt>
                <c:pt idx="114">
                  <c:v>13404.3447945205</c:v>
                </c:pt>
                <c:pt idx="115">
                  <c:v>12266.4202739726</c:v>
                </c:pt>
                <c:pt idx="116">
                  <c:v>12845.457260274</c:v>
                </c:pt>
                <c:pt idx="117">
                  <c:v>13031.1273972603</c:v>
                </c:pt>
                <c:pt idx="118">
                  <c:v>13527.1882191781</c:v>
                </c:pt>
                <c:pt idx="119">
                  <c:v>13215.3112328767</c:v>
                </c:pt>
                <c:pt idx="120">
                  <c:v>13090.3543835616</c:v>
                </c:pt>
                <c:pt idx="121">
                  <c:v>13359.3698630137</c:v>
                </c:pt>
                <c:pt idx="122">
                  <c:v>13746.5360273973</c:v>
                </c:pt>
                <c:pt idx="123">
                  <c:v>14679.794109589</c:v>
                </c:pt>
                <c:pt idx="124">
                  <c:v>14578.3002739726</c:v>
                </c:pt>
                <c:pt idx="125">
                  <c:v>14345.5853424658</c:v>
                </c:pt>
                <c:pt idx="126">
                  <c:v>14669.8195890411</c:v>
                </c:pt>
                <c:pt idx="127">
                  <c:v>14706.0902739726</c:v>
                </c:pt>
                <c:pt idx="128">
                  <c:v>14814.2039726027</c:v>
                </c:pt>
                <c:pt idx="129">
                  <c:v>14728.8205479452</c:v>
                </c:pt>
                <c:pt idx="130">
                  <c:v>14963.872739726</c:v>
                </c:pt>
                <c:pt idx="131">
                  <c:v>14950.4136986301</c:v>
                </c:pt>
                <c:pt idx="132">
                  <c:v>14634.3063013699</c:v>
                </c:pt>
                <c:pt idx="133">
                  <c:v>14576.3821917808</c:v>
                </c:pt>
                <c:pt idx="134">
                  <c:v>15198.871369863</c:v>
                </c:pt>
                <c:pt idx="135">
                  <c:v>15594.2317808219</c:v>
                </c:pt>
                <c:pt idx="136">
                  <c:v>15877.0253424658</c:v>
                </c:pt>
                <c:pt idx="137">
                  <c:v>16028.3736986301</c:v>
                </c:pt>
                <c:pt idx="138">
                  <c:v>16508.3567123288</c:v>
                </c:pt>
                <c:pt idx="139">
                  <c:v>16946.658630137</c:v>
                </c:pt>
                <c:pt idx="140">
                  <c:v>16005.0947945206</c:v>
                </c:pt>
                <c:pt idx="141">
                  <c:v>16432.3128767123</c:v>
                </c:pt>
                <c:pt idx="142">
                  <c:v>16562.0997260274</c:v>
                </c:pt>
                <c:pt idx="143">
                  <c:v>16359.9432876712</c:v>
                </c:pt>
                <c:pt idx="144">
                  <c:v>16194.8728767123</c:v>
                </c:pt>
                <c:pt idx="145">
                  <c:v>16193.4676712329</c:v>
                </c:pt>
                <c:pt idx="146">
                  <c:v>16312.5567123288</c:v>
                </c:pt>
                <c:pt idx="147">
                  <c:v>16852.8397260274</c:v>
                </c:pt>
                <c:pt idx="148">
                  <c:v>16842.3912328767</c:v>
                </c:pt>
                <c:pt idx="149">
                  <c:v>16889.4698630137</c:v>
                </c:pt>
                <c:pt idx="150">
                  <c:v>16967.9060273973</c:v>
                </c:pt>
                <c:pt idx="151">
                  <c:v>16892.0315068493</c:v>
                </c:pt>
                <c:pt idx="152">
                  <c:v>16793.6054794521</c:v>
                </c:pt>
                <c:pt idx="153">
                  <c:v>16878.3460273973</c:v>
                </c:pt>
                <c:pt idx="154">
                  <c:v>17121.1671232877</c:v>
                </c:pt>
                <c:pt idx="155">
                  <c:v>17276.658630137</c:v>
                </c:pt>
                <c:pt idx="156">
                  <c:v>17424.6178082192</c:v>
                </c:pt>
                <c:pt idx="157">
                  <c:v>17369.3391780822</c:v>
                </c:pt>
                <c:pt idx="158">
                  <c:v>17469.9802739726</c:v>
                </c:pt>
                <c:pt idx="159">
                  <c:v>17612.1750684932</c:v>
                </c:pt>
                <c:pt idx="160">
                  <c:v>17369.3791780822</c:v>
                </c:pt>
                <c:pt idx="161">
                  <c:v>17319.8087671233</c:v>
                </c:pt>
                <c:pt idx="162">
                  <c:v>17418.6178082192</c:v>
                </c:pt>
                <c:pt idx="163">
                  <c:v>17107.4268493151</c:v>
                </c:pt>
                <c:pt idx="164">
                  <c:v>16803.9769863014</c:v>
                </c:pt>
                <c:pt idx="165">
                  <c:v>16323.6649315068</c:v>
                </c:pt>
                <c:pt idx="166">
                  <c:v>16793.5663013699</c:v>
                </c:pt>
                <c:pt idx="167">
                  <c:v>16854.9953424658</c:v>
                </c:pt>
                <c:pt idx="168">
                  <c:v>16255.4608219178</c:v>
                </c:pt>
                <c:pt idx="169">
                  <c:v>15866.0235616438</c:v>
                </c:pt>
                <c:pt idx="170">
                  <c:v>15886.8443835617</c:v>
                </c:pt>
                <c:pt idx="171">
                  <c:v>15262.5561643836</c:v>
                </c:pt>
                <c:pt idx="172">
                  <c:v>15363.0567123288</c:v>
                </c:pt>
                <c:pt idx="173">
                  <c:v>15513.5317808219</c:v>
                </c:pt>
                <c:pt idx="174">
                  <c:v>15397.8465753425</c:v>
                </c:pt>
                <c:pt idx="175">
                  <c:v>15630.4920547945</c:v>
                </c:pt>
                <c:pt idx="176">
                  <c:v>15880.901369863</c:v>
                </c:pt>
                <c:pt idx="177">
                  <c:v>15974.76</c:v>
                </c:pt>
                <c:pt idx="178">
                  <c:v>15601.0435616438</c:v>
                </c:pt>
                <c:pt idx="179">
                  <c:v>15269.2238356164</c:v>
                </c:pt>
                <c:pt idx="180">
                  <c:v>15168.0704109589</c:v>
                </c:pt>
                <c:pt idx="181">
                  <c:v>15228.9945205479</c:v>
                </c:pt>
                <c:pt idx="182">
                  <c:v>15472.5989041096</c:v>
                </c:pt>
                <c:pt idx="183">
                  <c:v>15257.0268493151</c:v>
                </c:pt>
                <c:pt idx="184">
                  <c:v>15009.7178082192</c:v>
                </c:pt>
                <c:pt idx="185">
                  <c:v>15020.0032876712</c:v>
                </c:pt>
                <c:pt idx="186">
                  <c:v>15309.9219178082</c:v>
                </c:pt>
                <c:pt idx="187">
                  <c:v>15504.7484931507</c:v>
                </c:pt>
                <c:pt idx="188">
                  <c:v>15648.804109589</c:v>
                </c:pt>
                <c:pt idx="189">
                  <c:v>15672.3150684932</c:v>
                </c:pt>
                <c:pt idx="190">
                  <c:v>15385.0054794521</c:v>
                </c:pt>
                <c:pt idx="191">
                  <c:v>15039.8021917808</c:v>
                </c:pt>
                <c:pt idx="192">
                  <c:v>14443.5553424658</c:v>
                </c:pt>
                <c:pt idx="193">
                  <c:v>14690.0019178082</c:v>
                </c:pt>
                <c:pt idx="194">
                  <c:v>15124.4947945206</c:v>
                </c:pt>
                <c:pt idx="195">
                  <c:v>15002.7326027397</c:v>
                </c:pt>
                <c:pt idx="196">
                  <c:v>14858.244109589</c:v>
                </c:pt>
                <c:pt idx="197">
                  <c:v>14400.662739726</c:v>
                </c:pt>
                <c:pt idx="198">
                  <c:v>14104.9865753425</c:v>
                </c:pt>
                <c:pt idx="199">
                  <c:v>14432.2098630137</c:v>
                </c:pt>
                <c:pt idx="200">
                  <c:v>14671.2756164384</c:v>
                </c:pt>
                <c:pt idx="201">
                  <c:v>14821.9153424658</c:v>
                </c:pt>
                <c:pt idx="202">
                  <c:v>15584.9547945205</c:v>
                </c:pt>
                <c:pt idx="203">
                  <c:v>15349.9460273973</c:v>
                </c:pt>
                <c:pt idx="204">
                  <c:v>15415.2419178082</c:v>
                </c:pt>
                <c:pt idx="205">
                  <c:v>15480.4424657534</c:v>
                </c:pt>
                <c:pt idx="206">
                  <c:v>16447.6189041096</c:v>
                </c:pt>
                <c:pt idx="207">
                  <c:v>16789.7605479452</c:v>
                </c:pt>
                <c:pt idx="208">
                  <c:v>18209.2876712329</c:v>
                </c:pt>
                <c:pt idx="209">
                  <c:v>17959.2167123288</c:v>
                </c:pt>
                <c:pt idx="210">
                  <c:v>18137.1945205479</c:v>
                </c:pt>
                <c:pt idx="211">
                  <c:v>17818.1068493151</c:v>
                </c:pt>
                <c:pt idx="212">
                  <c:v>18513.2112328767</c:v>
                </c:pt>
                <c:pt idx="213">
                  <c:v>18433.7980821918</c:v>
                </c:pt>
                <c:pt idx="214">
                  <c:v>19065.0630136986</c:v>
                </c:pt>
                <c:pt idx="215">
                  <c:v>19395.0901369863</c:v>
                </c:pt>
                <c:pt idx="216">
                  <c:v>19099.7693150685</c:v>
                </c:pt>
                <c:pt idx="217">
                  <c:v>19036.3389041096</c:v>
                </c:pt>
                <c:pt idx="218">
                  <c:v>19418.675890411</c:v>
                </c:pt>
                <c:pt idx="219">
                  <c:v>19524.6268493151</c:v>
                </c:pt>
                <c:pt idx="220">
                  <c:v>19298.3150684931</c:v>
                </c:pt>
                <c:pt idx="221">
                  <c:v>18996.0397260274</c:v>
                </c:pt>
                <c:pt idx="222">
                  <c:v>18269.0583561644</c:v>
                </c:pt>
                <c:pt idx="223">
                  <c:v>17611.6249315068</c:v>
                </c:pt>
                <c:pt idx="224">
                  <c:v>17323.8534246575</c:v>
                </c:pt>
                <c:pt idx="225">
                  <c:v>16897.5394520548</c:v>
                </c:pt>
                <c:pt idx="226">
                  <c:v>18213.5802739726</c:v>
                </c:pt>
                <c:pt idx="227">
                  <c:v>18468.8495890411</c:v>
                </c:pt>
                <c:pt idx="228">
                  <c:v>19271.8136986301</c:v>
                </c:pt>
                <c:pt idx="229">
                  <c:v>19292.0010958904</c:v>
                </c:pt>
                <c:pt idx="230">
                  <c:v>18701.0876712329</c:v>
                </c:pt>
                <c:pt idx="231">
                  <c:v>19307.4904109589</c:v>
                </c:pt>
                <c:pt idx="232">
                  <c:v>19034.4443835616</c:v>
                </c:pt>
                <c:pt idx="233">
                  <c:v>19541.8871232877</c:v>
                </c:pt>
                <c:pt idx="234">
                  <c:v>19585.1556164384</c:v>
                </c:pt>
                <c:pt idx="235">
                  <c:v>20212.4</c:v>
                </c:pt>
                <c:pt idx="236">
                  <c:v>20649.7635616438</c:v>
                </c:pt>
                <c:pt idx="237">
                  <c:v>21485.0928767123</c:v>
                </c:pt>
                <c:pt idx="238">
                  <c:v>21085.7523287671</c:v>
                </c:pt>
                <c:pt idx="239">
                  <c:v>21994.9317808219</c:v>
                </c:pt>
                <c:pt idx="240">
                  <c:v>22363.5824657534</c:v>
                </c:pt>
                <c:pt idx="241">
                  <c:v>21980.0038356164</c:v>
                </c:pt>
                <c:pt idx="242">
                  <c:v>21931.8824657534</c:v>
                </c:pt>
                <c:pt idx="243">
                  <c:v>23287.4605479452</c:v>
                </c:pt>
                <c:pt idx="244">
                  <c:v>23552.6630136986</c:v>
                </c:pt>
                <c:pt idx="245">
                  <c:v>24641.2704109589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17792"/>
        <c:axId val="47820672"/>
      </c:lineChart>
      <c:dateAx>
        <c:axId val="478177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20672"/>
        <c:crosses val="autoZero"/>
        <c:auto val="1"/>
        <c:lblOffset val="100"/>
        <c:baseTimeUnit val="days"/>
      </c:dateAx>
      <c:valAx>
        <c:axId val="47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1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4b9b300-e80e-4a10-adb5-a0a75d3cd5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2022.6-12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PnL!$B$2:$B$147</c:f>
              <c:numCache>
                <c:formatCode>General</c:formatCode>
                <c:ptCount val="14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PnL!$C$2:$C$147</c:f>
              <c:numCache>
                <c:formatCode>General</c:formatCode>
                <c:ptCount val="14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PnL!$D$2:$D$147</c:f>
              <c:numCache>
                <c:formatCode>General</c:formatCode>
                <c:ptCount val="14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PnL!$E$2:$E$147</c:f>
              <c:numCache>
                <c:formatCode>General</c:formatCode>
                <c:ptCount val="146"/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PnL!$F$2:$F$147</c:f>
              <c:numCache>
                <c:formatCode>General</c:formatCode>
                <c:ptCount val="14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80</c:v>
                </c:pt>
                <c:pt idx="8">
                  <c:v>80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80</c:v>
                </c:pt>
                <c:pt idx="21">
                  <c:v>80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85</c:v>
                </c:pt>
                <c:pt idx="53">
                  <c:v>85</c:v>
                </c:pt>
                <c:pt idx="54">
                  <c:v>85</c:v>
                </c:pt>
                <c:pt idx="55">
                  <c:v>85</c:v>
                </c:pt>
                <c:pt idx="56">
                  <c:v>85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70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50</c:v>
                </c:pt>
                <c:pt idx="86">
                  <c:v>50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PnL!$G$2:$G$147</c:f>
              <c:numCache>
                <c:formatCode>General</c:formatCode>
                <c:ptCount val="14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PnL!$H$2:$H$147</c:f>
              <c:numCache>
                <c:formatCode>General</c:formatCode>
                <c:ptCount val="14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PnL!$I$2:$I$147</c:f>
              <c:numCache>
                <c:formatCode>General</c:formatCode>
                <c:ptCount val="146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  <c:pt idx="19">
                  <c:v>270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180</c:v>
                </c:pt>
                <c:pt idx="61">
                  <c:v>180</c:v>
                </c:pt>
                <c:pt idx="62">
                  <c:v>270</c:v>
                </c:pt>
                <c:pt idx="63">
                  <c:v>270</c:v>
                </c:pt>
                <c:pt idx="64">
                  <c:v>270</c:v>
                </c:pt>
                <c:pt idx="65">
                  <c:v>270</c:v>
                </c:pt>
                <c:pt idx="66">
                  <c:v>270</c:v>
                </c:pt>
                <c:pt idx="67">
                  <c:v>270</c:v>
                </c:pt>
                <c:pt idx="68">
                  <c:v>270</c:v>
                </c:pt>
                <c:pt idx="69">
                  <c:v>270</c:v>
                </c:pt>
                <c:pt idx="70">
                  <c:v>270</c:v>
                </c:pt>
                <c:pt idx="71">
                  <c:v>270</c:v>
                </c:pt>
                <c:pt idx="72">
                  <c:v>270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180</c:v>
                </c:pt>
                <c:pt idx="77">
                  <c:v>180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180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PnL!$J$2:$J$147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PnL!$K$2:$K$147</c:f>
              <c:numCache>
                <c:formatCode>General</c:formatCode>
                <c:ptCount val="146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340</c:v>
                </c:pt>
                <c:pt idx="4">
                  <c:v>340</c:v>
                </c:pt>
                <c:pt idx="5">
                  <c:v>340</c:v>
                </c:pt>
                <c:pt idx="6">
                  <c:v>340</c:v>
                </c:pt>
                <c:pt idx="7">
                  <c:v>440</c:v>
                </c:pt>
                <c:pt idx="8">
                  <c:v>440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360</c:v>
                </c:pt>
                <c:pt idx="21">
                  <c:v>360</c:v>
                </c:pt>
                <c:pt idx="22">
                  <c:v>440</c:v>
                </c:pt>
                <c:pt idx="23">
                  <c:v>440</c:v>
                </c:pt>
                <c:pt idx="24">
                  <c:v>440</c:v>
                </c:pt>
                <c:pt idx="25">
                  <c:v>440</c:v>
                </c:pt>
                <c:pt idx="26">
                  <c:v>440</c:v>
                </c:pt>
                <c:pt idx="27">
                  <c:v>440</c:v>
                </c:pt>
                <c:pt idx="28">
                  <c:v>440</c:v>
                </c:pt>
                <c:pt idx="29">
                  <c:v>440</c:v>
                </c:pt>
                <c:pt idx="30">
                  <c:v>440</c:v>
                </c:pt>
                <c:pt idx="31">
                  <c:v>440</c:v>
                </c:pt>
                <c:pt idx="32">
                  <c:v>440</c:v>
                </c:pt>
                <c:pt idx="33">
                  <c:v>440</c:v>
                </c:pt>
                <c:pt idx="34">
                  <c:v>440</c:v>
                </c:pt>
                <c:pt idx="35">
                  <c:v>440</c:v>
                </c:pt>
                <c:pt idx="36">
                  <c:v>440</c:v>
                </c:pt>
                <c:pt idx="37">
                  <c:v>440</c:v>
                </c:pt>
                <c:pt idx="38">
                  <c:v>440</c:v>
                </c:pt>
                <c:pt idx="39">
                  <c:v>440</c:v>
                </c:pt>
                <c:pt idx="40">
                  <c:v>440</c:v>
                </c:pt>
                <c:pt idx="41">
                  <c:v>440</c:v>
                </c:pt>
                <c:pt idx="42">
                  <c:v>440</c:v>
                </c:pt>
                <c:pt idx="43">
                  <c:v>440</c:v>
                </c:pt>
                <c:pt idx="44">
                  <c:v>440</c:v>
                </c:pt>
                <c:pt idx="45">
                  <c:v>440</c:v>
                </c:pt>
                <c:pt idx="46">
                  <c:v>440</c:v>
                </c:pt>
                <c:pt idx="47">
                  <c:v>440</c:v>
                </c:pt>
                <c:pt idx="48">
                  <c:v>440</c:v>
                </c:pt>
                <c:pt idx="49">
                  <c:v>440</c:v>
                </c:pt>
                <c:pt idx="50">
                  <c:v>440</c:v>
                </c:pt>
                <c:pt idx="51">
                  <c:v>440</c:v>
                </c:pt>
                <c:pt idx="52">
                  <c:v>440</c:v>
                </c:pt>
                <c:pt idx="53">
                  <c:v>440</c:v>
                </c:pt>
                <c:pt idx="54">
                  <c:v>440</c:v>
                </c:pt>
                <c:pt idx="55">
                  <c:v>440</c:v>
                </c:pt>
                <c:pt idx="56">
                  <c:v>440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440</c:v>
                </c:pt>
                <c:pt idx="63">
                  <c:v>440</c:v>
                </c:pt>
                <c:pt idx="64">
                  <c:v>440</c:v>
                </c:pt>
                <c:pt idx="65">
                  <c:v>440</c:v>
                </c:pt>
                <c:pt idx="66">
                  <c:v>440</c:v>
                </c:pt>
                <c:pt idx="67">
                  <c:v>440</c:v>
                </c:pt>
                <c:pt idx="68">
                  <c:v>440</c:v>
                </c:pt>
                <c:pt idx="69">
                  <c:v>440</c:v>
                </c:pt>
                <c:pt idx="70">
                  <c:v>440</c:v>
                </c:pt>
                <c:pt idx="71">
                  <c:v>440</c:v>
                </c:pt>
                <c:pt idx="72">
                  <c:v>430</c:v>
                </c:pt>
                <c:pt idx="73">
                  <c:v>340</c:v>
                </c:pt>
                <c:pt idx="74">
                  <c:v>340</c:v>
                </c:pt>
                <c:pt idx="75">
                  <c:v>340</c:v>
                </c:pt>
                <c:pt idx="76">
                  <c:v>340</c:v>
                </c:pt>
                <c:pt idx="77">
                  <c:v>340</c:v>
                </c:pt>
                <c:pt idx="78">
                  <c:v>340</c:v>
                </c:pt>
                <c:pt idx="79">
                  <c:v>340</c:v>
                </c:pt>
                <c:pt idx="80">
                  <c:v>340</c:v>
                </c:pt>
                <c:pt idx="81">
                  <c:v>340</c:v>
                </c:pt>
                <c:pt idx="82">
                  <c:v>340</c:v>
                </c:pt>
                <c:pt idx="83">
                  <c:v>340</c:v>
                </c:pt>
                <c:pt idx="84">
                  <c:v>340</c:v>
                </c:pt>
                <c:pt idx="85">
                  <c:v>250</c:v>
                </c:pt>
                <c:pt idx="86">
                  <c:v>250</c:v>
                </c:pt>
                <c:pt idx="87">
                  <c:v>240</c:v>
                </c:pt>
                <c:pt idx="88">
                  <c:v>240</c:v>
                </c:pt>
                <c:pt idx="89">
                  <c:v>240</c:v>
                </c:pt>
                <c:pt idx="90">
                  <c:v>240</c:v>
                </c:pt>
                <c:pt idx="91">
                  <c:v>240</c:v>
                </c:pt>
                <c:pt idx="92">
                  <c:v>240</c:v>
                </c:pt>
                <c:pt idx="93">
                  <c:v>240</c:v>
                </c:pt>
                <c:pt idx="94">
                  <c:v>240</c:v>
                </c:pt>
                <c:pt idx="95">
                  <c:v>240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PnL!$L$2:$L$147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-127</c:v>
                </c:pt>
                <c:pt idx="4">
                  <c:v>3.80000000000003</c:v>
                </c:pt>
                <c:pt idx="5">
                  <c:v>-20.4000000000004</c:v>
                </c:pt>
                <c:pt idx="6">
                  <c:v>26.2000000000002</c:v>
                </c:pt>
                <c:pt idx="7">
                  <c:v>19.9999999999996</c:v>
                </c:pt>
                <c:pt idx="8">
                  <c:v>4.99999999999989</c:v>
                </c:pt>
                <c:pt idx="9">
                  <c:v>-44.999999999999</c:v>
                </c:pt>
                <c:pt idx="10">
                  <c:v>-55.2000000000006</c:v>
                </c:pt>
                <c:pt idx="11">
                  <c:v>2.39999999999974</c:v>
                </c:pt>
                <c:pt idx="12">
                  <c:v>74.9999999999997</c:v>
                </c:pt>
                <c:pt idx="13">
                  <c:v>13.8000000000011</c:v>
                </c:pt>
                <c:pt idx="14">
                  <c:v>11.4000000000001</c:v>
                </c:pt>
                <c:pt idx="15">
                  <c:v>44.6999999999991</c:v>
                </c:pt>
                <c:pt idx="16">
                  <c:v>78.3</c:v>
                </c:pt>
                <c:pt idx="17">
                  <c:v>-13.4999999999998</c:v>
                </c:pt>
                <c:pt idx="18">
                  <c:v>-95.4000000000001</c:v>
                </c:pt>
                <c:pt idx="19">
                  <c:v>-1.49999999999983</c:v>
                </c:pt>
                <c:pt idx="20">
                  <c:v>63.9000000000003</c:v>
                </c:pt>
                <c:pt idx="21">
                  <c:v>77.7000000000001</c:v>
                </c:pt>
                <c:pt idx="22">
                  <c:v>54</c:v>
                </c:pt>
                <c:pt idx="23">
                  <c:v>-152.100000000001</c:v>
                </c:pt>
                <c:pt idx="24">
                  <c:v>-80.6999999999991</c:v>
                </c:pt>
                <c:pt idx="25">
                  <c:v>56.6999999999991</c:v>
                </c:pt>
                <c:pt idx="26">
                  <c:v>26.1000000000005</c:v>
                </c:pt>
                <c:pt idx="27">
                  <c:v>72.0000000000001</c:v>
                </c:pt>
                <c:pt idx="28">
                  <c:v>50.0999999999998</c:v>
                </c:pt>
                <c:pt idx="29">
                  <c:v>21.5999999999996</c:v>
                </c:pt>
                <c:pt idx="30">
                  <c:v>-9.29999999999964</c:v>
                </c:pt>
                <c:pt idx="31">
                  <c:v>68.6999999999998</c:v>
                </c:pt>
                <c:pt idx="32">
                  <c:v>93.0000000000004</c:v>
                </c:pt>
                <c:pt idx="33">
                  <c:v>104.7</c:v>
                </c:pt>
                <c:pt idx="34">
                  <c:v>-0.899999999999901</c:v>
                </c:pt>
                <c:pt idx="35">
                  <c:v>-66.3</c:v>
                </c:pt>
                <c:pt idx="36">
                  <c:v>-1.49999999999983</c:v>
                </c:pt>
                <c:pt idx="37">
                  <c:v>-95.7000000000001</c:v>
                </c:pt>
                <c:pt idx="38">
                  <c:v>8.69999999999971</c:v>
                </c:pt>
                <c:pt idx="39">
                  <c:v>59.1000000000002</c:v>
                </c:pt>
                <c:pt idx="40">
                  <c:v>11.4000000000001</c:v>
                </c:pt>
                <c:pt idx="41">
                  <c:v>-39.9000000000003</c:v>
                </c:pt>
                <c:pt idx="42">
                  <c:v>84.6</c:v>
                </c:pt>
                <c:pt idx="43">
                  <c:v>106.2</c:v>
                </c:pt>
                <c:pt idx="44">
                  <c:v>169.2</c:v>
                </c:pt>
                <c:pt idx="45">
                  <c:v>53.1000000000002</c:v>
                </c:pt>
                <c:pt idx="46">
                  <c:v>186.299999999999</c:v>
                </c:pt>
                <c:pt idx="47">
                  <c:v>-62.6999999999998</c:v>
                </c:pt>
                <c:pt idx="48">
                  <c:v>-60.0000000000001</c:v>
                </c:pt>
                <c:pt idx="49">
                  <c:v>-171</c:v>
                </c:pt>
                <c:pt idx="50">
                  <c:v>-75.0000000000004</c:v>
                </c:pt>
                <c:pt idx="51">
                  <c:v>-7.49999999999984</c:v>
                </c:pt>
                <c:pt idx="52">
                  <c:v>13.7999999999998</c:v>
                </c:pt>
                <c:pt idx="53">
                  <c:v>284.400000000001</c:v>
                </c:pt>
                <c:pt idx="54">
                  <c:v>-9.60000000000027</c:v>
                </c:pt>
                <c:pt idx="55">
                  <c:v>2.6999999999997</c:v>
                </c:pt>
                <c:pt idx="56">
                  <c:v>55.8000000000005</c:v>
                </c:pt>
                <c:pt idx="57">
                  <c:v>-73.2000000000006</c:v>
                </c:pt>
                <c:pt idx="58">
                  <c:v>-96.5999999999994</c:v>
                </c:pt>
                <c:pt idx="59">
                  <c:v>-0.300000000000633</c:v>
                </c:pt>
                <c:pt idx="60">
                  <c:v>22.5000000000002</c:v>
                </c:pt>
                <c:pt idx="61">
                  <c:v>-124.8</c:v>
                </c:pt>
                <c:pt idx="62">
                  <c:v>-2.00000000000022</c:v>
                </c:pt>
                <c:pt idx="63">
                  <c:v>72.2</c:v>
                </c:pt>
                <c:pt idx="64">
                  <c:v>31.0000000000001</c:v>
                </c:pt>
                <c:pt idx="65">
                  <c:v>5.59999999999983</c:v>
                </c:pt>
                <c:pt idx="66">
                  <c:v>27.0000000000001</c:v>
                </c:pt>
                <c:pt idx="67">
                  <c:v>9.99999999999979</c:v>
                </c:pt>
                <c:pt idx="68">
                  <c:v>12.2</c:v>
                </c:pt>
                <c:pt idx="69">
                  <c:v>1.00000000000033</c:v>
                </c:pt>
                <c:pt idx="70">
                  <c:v>-47.6000000000001</c:v>
                </c:pt>
                <c:pt idx="71">
                  <c:v>-25.0000000000004</c:v>
                </c:pt>
                <c:pt idx="72">
                  <c:v>-10.6999999999999</c:v>
                </c:pt>
                <c:pt idx="73">
                  <c:v>-10</c:v>
                </c:pt>
                <c:pt idx="74">
                  <c:v>-31.8000000000001</c:v>
                </c:pt>
                <c:pt idx="75">
                  <c:v>-4.29999999999997</c:v>
                </c:pt>
                <c:pt idx="76">
                  <c:v>-24</c:v>
                </c:pt>
                <c:pt idx="77">
                  <c:v>-20.7999999999999</c:v>
                </c:pt>
                <c:pt idx="78">
                  <c:v>2.29999999999997</c:v>
                </c:pt>
                <c:pt idx="79">
                  <c:v>20.1</c:v>
                </c:pt>
                <c:pt idx="80">
                  <c:v>5.00000000000012</c:v>
                </c:pt>
                <c:pt idx="81">
                  <c:v>-4.80000000000014</c:v>
                </c:pt>
                <c:pt idx="82">
                  <c:v>-32.7999999999999</c:v>
                </c:pt>
                <c:pt idx="83">
                  <c:v>-10.3</c:v>
                </c:pt>
                <c:pt idx="84">
                  <c:v>-31.3000000000001</c:v>
                </c:pt>
                <c:pt idx="85">
                  <c:v>9.40000000000007</c:v>
                </c:pt>
                <c:pt idx="86">
                  <c:v>39.5000000000001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PnL!$M$2:$M$147</c:f>
              <c:numCache>
                <c:formatCode>General</c:formatCode>
                <c:ptCount val="146"/>
                <c:pt idx="1">
                  <c:v>0</c:v>
                </c:pt>
                <c:pt idx="2">
                  <c:v>-18.0000000000002</c:v>
                </c:pt>
                <c:pt idx="3">
                  <c:v>-182</c:v>
                </c:pt>
                <c:pt idx="4">
                  <c:v>76.0000000000005</c:v>
                </c:pt>
                <c:pt idx="5">
                  <c:v>-3.99999999999956</c:v>
                </c:pt>
                <c:pt idx="6">
                  <c:v>61.9999999999998</c:v>
                </c:pt>
                <c:pt idx="7">
                  <c:v>68.9999999999991</c:v>
                </c:pt>
                <c:pt idx="8">
                  <c:v>-328.5</c:v>
                </c:pt>
                <c:pt idx="9">
                  <c:v>-79.5000000000012</c:v>
                </c:pt>
                <c:pt idx="10">
                  <c:v>-240</c:v>
                </c:pt>
                <c:pt idx="11">
                  <c:v>264.000000000004</c:v>
                </c:pt>
                <c:pt idx="12">
                  <c:v>-11.9999999999987</c:v>
                </c:pt>
                <c:pt idx="13">
                  <c:v>-328.5</c:v>
                </c:pt>
                <c:pt idx="14">
                  <c:v>67.4999999999959</c:v>
                </c:pt>
                <c:pt idx="15">
                  <c:v>109.500000000005</c:v>
                </c:pt>
                <c:pt idx="16">
                  <c:v>-48.0000000000014</c:v>
                </c:pt>
                <c:pt idx="17">
                  <c:v>-394.5</c:v>
                </c:pt>
                <c:pt idx="18">
                  <c:v>-546</c:v>
                </c:pt>
                <c:pt idx="19">
                  <c:v>-181.500000000003</c:v>
                </c:pt>
                <c:pt idx="20">
                  <c:v>139.500000000001</c:v>
                </c:pt>
                <c:pt idx="21">
                  <c:v>304.500000000003</c:v>
                </c:pt>
                <c:pt idx="22">
                  <c:v>65.9999999999994</c:v>
                </c:pt>
                <c:pt idx="23">
                  <c:v>-720.000000000001</c:v>
                </c:pt>
                <c:pt idx="24">
                  <c:v>52.4999999999975</c:v>
                </c:pt>
                <c:pt idx="25">
                  <c:v>42.000000000002</c:v>
                </c:pt>
                <c:pt idx="26">
                  <c:v>67.4999999999959</c:v>
                </c:pt>
                <c:pt idx="27">
                  <c:v>108.000000000001</c:v>
                </c:pt>
                <c:pt idx="28">
                  <c:v>374.999999999999</c:v>
                </c:pt>
                <c:pt idx="29">
                  <c:v>489.000000000006</c:v>
                </c:pt>
                <c:pt idx="30">
                  <c:v>112.499999999998</c:v>
                </c:pt>
                <c:pt idx="31">
                  <c:v>395.999999999996</c:v>
                </c:pt>
                <c:pt idx="32">
                  <c:v>33.000000000003</c:v>
                </c:pt>
                <c:pt idx="33">
                  <c:v>88.5000000000002</c:v>
                </c:pt>
                <c:pt idx="34">
                  <c:v>-118.500000000004</c:v>
                </c:pt>
                <c:pt idx="35">
                  <c:v>351.000000000001</c:v>
                </c:pt>
                <c:pt idx="36">
                  <c:v>177</c:v>
                </c:pt>
                <c:pt idx="37">
                  <c:v>-427.499999999996</c:v>
                </c:pt>
                <c:pt idx="38">
                  <c:v>368.999999999999</c:v>
                </c:pt>
                <c:pt idx="39">
                  <c:v>209.999999999997</c:v>
                </c:pt>
                <c:pt idx="40">
                  <c:v>314.999999999999</c:v>
                </c:pt>
                <c:pt idx="41">
                  <c:v>-416.999999999994</c:v>
                </c:pt>
                <c:pt idx="42">
                  <c:v>520.499999999999</c:v>
                </c:pt>
                <c:pt idx="43">
                  <c:v>361.499999999997</c:v>
                </c:pt>
                <c:pt idx="44">
                  <c:v>-5.99999999999934</c:v>
                </c:pt>
                <c:pt idx="45">
                  <c:v>597.000000000001</c:v>
                </c:pt>
                <c:pt idx="46">
                  <c:v>183</c:v>
                </c:pt>
                <c:pt idx="47">
                  <c:v>-417.000000000001</c:v>
                </c:pt>
                <c:pt idx="48">
                  <c:v>-86.9999999999971</c:v>
                </c:pt>
                <c:pt idx="49">
                  <c:v>-261.000000000005</c:v>
                </c:pt>
                <c:pt idx="50">
                  <c:v>-37.4999999999992</c:v>
                </c:pt>
                <c:pt idx="51">
                  <c:v>112.499999999998</c:v>
                </c:pt>
                <c:pt idx="52">
                  <c:v>-79.4999999999946</c:v>
                </c:pt>
                <c:pt idx="53">
                  <c:v>1413</c:v>
                </c:pt>
                <c:pt idx="54">
                  <c:v>183</c:v>
                </c:pt>
                <c:pt idx="55">
                  <c:v>40.4999999999989</c:v>
                </c:pt>
                <c:pt idx="56">
                  <c:v>334.5</c:v>
                </c:pt>
                <c:pt idx="57">
                  <c:v>-194.999999999999</c:v>
                </c:pt>
                <c:pt idx="58">
                  <c:v>-388.500000000001</c:v>
                </c:pt>
                <c:pt idx="59">
                  <c:v>-185.999999999999</c:v>
                </c:pt>
                <c:pt idx="60">
                  <c:v>-46.4999999999982</c:v>
                </c:pt>
                <c:pt idx="61">
                  <c:v>-488.999999999999</c:v>
                </c:pt>
                <c:pt idx="62">
                  <c:v>22.5000000000009</c:v>
                </c:pt>
                <c:pt idx="63">
                  <c:v>454.5</c:v>
                </c:pt>
                <c:pt idx="64">
                  <c:v>88.5000000000002</c:v>
                </c:pt>
                <c:pt idx="65">
                  <c:v>8.99999999999901</c:v>
                </c:pt>
                <c:pt idx="66">
                  <c:v>149.999999999997</c:v>
                </c:pt>
                <c:pt idx="67">
                  <c:v>-88.5000000000002</c:v>
                </c:pt>
                <c:pt idx="68">
                  <c:v>213.000000000003</c:v>
                </c:pt>
                <c:pt idx="69">
                  <c:v>70.4999999999956</c:v>
                </c:pt>
                <c:pt idx="70">
                  <c:v>-118.499999999997</c:v>
                </c:pt>
                <c:pt idx="71">
                  <c:v>-108.000000000001</c:v>
                </c:pt>
                <c:pt idx="72">
                  <c:v>-297.000000000001</c:v>
                </c:pt>
                <c:pt idx="73">
                  <c:v>-178.499999999997</c:v>
                </c:pt>
                <c:pt idx="74">
                  <c:v>-294.000000000001</c:v>
                </c:pt>
                <c:pt idx="75">
                  <c:v>-70.5000000000022</c:v>
                </c:pt>
                <c:pt idx="76">
                  <c:v>-180</c:v>
                </c:pt>
                <c:pt idx="77">
                  <c:v>114.000000000001</c:v>
                </c:pt>
                <c:pt idx="78">
                  <c:v>262.500000000001</c:v>
                </c:pt>
                <c:pt idx="79">
                  <c:v>134.999999999998</c:v>
                </c:pt>
                <c:pt idx="80">
                  <c:v>-155.999999999996</c:v>
                </c:pt>
                <c:pt idx="81">
                  <c:v>-388.500000000001</c:v>
                </c:pt>
                <c:pt idx="82">
                  <c:v>-648.000000000002</c:v>
                </c:pt>
                <c:pt idx="83">
                  <c:v>140.999999999998</c:v>
                </c:pt>
                <c:pt idx="84">
                  <c:v>-433.499999999996</c:v>
                </c:pt>
                <c:pt idx="85">
                  <c:v>-451.5</c:v>
                </c:pt>
                <c:pt idx="86">
                  <c:v>-330.000000000004</c:v>
                </c:pt>
                <c:pt idx="87">
                  <c:v>37.4999999999992</c:v>
                </c:pt>
                <c:pt idx="88">
                  <c:v>487.500000000003</c:v>
                </c:pt>
                <c:pt idx="89">
                  <c:v>269.999999999997</c:v>
                </c:pt>
                <c:pt idx="90">
                  <c:v>-65.9999999999994</c:v>
                </c:pt>
                <c:pt idx="91">
                  <c:v>196.500000000002</c:v>
                </c:pt>
                <c:pt idx="92">
                  <c:v>145.500000000001</c:v>
                </c:pt>
                <c:pt idx="93">
                  <c:v>325.500000000001</c:v>
                </c:pt>
                <c:pt idx="94">
                  <c:v>-39.0000000000024</c:v>
                </c:pt>
                <c:pt idx="95">
                  <c:v>30.0000000000034</c:v>
                </c:pt>
                <c:pt idx="96">
                  <c:v>223.499999999999</c:v>
                </c:pt>
                <c:pt idx="97">
                  <c:v>-118.500000000004</c:v>
                </c:pt>
                <c:pt idx="98">
                  <c:v>-115.499999999997</c:v>
                </c:pt>
                <c:pt idx="99">
                  <c:v>99.0000000000024</c:v>
                </c:pt>
                <c:pt idx="100">
                  <c:v>-268.5</c:v>
                </c:pt>
                <c:pt idx="101">
                  <c:v>294.000000000001</c:v>
                </c:pt>
                <c:pt idx="102">
                  <c:v>298.499999999997</c:v>
                </c:pt>
                <c:pt idx="103">
                  <c:v>448.500000000001</c:v>
                </c:pt>
                <c:pt idx="104">
                  <c:v>97.4999999999993</c:v>
                </c:pt>
                <c:pt idx="105">
                  <c:v>-306</c:v>
                </c:pt>
                <c:pt idx="106">
                  <c:v>-152.999999999999</c:v>
                </c:pt>
                <c:pt idx="107">
                  <c:v>-3.00000000000189</c:v>
                </c:pt>
                <c:pt idx="108">
                  <c:v>-255.000000000001</c:v>
                </c:pt>
                <c:pt idx="109">
                  <c:v>-57.9999999999981</c:v>
                </c:pt>
                <c:pt idx="110">
                  <c:v>103.999999999997</c:v>
                </c:pt>
                <c:pt idx="111">
                  <c:v>-126.999999999997</c:v>
                </c:pt>
                <c:pt idx="112">
                  <c:v>-54.0000000000029</c:v>
                </c:pt>
                <c:pt idx="113">
                  <c:v>-326</c:v>
                </c:pt>
                <c:pt idx="114">
                  <c:v>-1126</c:v>
                </c:pt>
                <c:pt idx="115">
                  <c:v>-0.999999999997669</c:v>
                </c:pt>
                <c:pt idx="116">
                  <c:v>-348.999999999999</c:v>
                </c:pt>
                <c:pt idx="117">
                  <c:v>444.999999999998</c:v>
                </c:pt>
                <c:pt idx="118">
                  <c:v>98.0000000000025</c:v>
                </c:pt>
                <c:pt idx="119">
                  <c:v>85.9999999999994</c:v>
                </c:pt>
                <c:pt idx="120">
                  <c:v>18.4999999999991</c:v>
                </c:pt>
                <c:pt idx="121">
                  <c:v>172.5</c:v>
                </c:pt>
                <c:pt idx="122">
                  <c:v>45.0000000000017</c:v>
                </c:pt>
                <c:pt idx="123">
                  <c:v>-210.5</c:v>
                </c:pt>
                <c:pt idx="124">
                  <c:v>-198.500000000001</c:v>
                </c:pt>
                <c:pt idx="125">
                  <c:v>-252.999999999999</c:v>
                </c:pt>
                <c:pt idx="126">
                  <c:v>50.9999999999988</c:v>
                </c:pt>
                <c:pt idx="127">
                  <c:v>98.0000000000003</c:v>
                </c:pt>
                <c:pt idx="128">
                  <c:v>23.5000000000007</c:v>
                </c:pt>
                <c:pt idx="129">
                  <c:v>-81.9999999999999</c:v>
                </c:pt>
                <c:pt idx="130">
                  <c:v>-229.5</c:v>
                </c:pt>
                <c:pt idx="131">
                  <c:v>131.999999999999</c:v>
                </c:pt>
                <c:pt idx="132">
                  <c:v>54.5000000000018</c:v>
                </c:pt>
                <c:pt idx="133">
                  <c:v>-196.000000000001</c:v>
                </c:pt>
                <c:pt idx="134">
                  <c:v>-35.0000000000006</c:v>
                </c:pt>
                <c:pt idx="135">
                  <c:v>-90.5</c:v>
                </c:pt>
                <c:pt idx="136">
                  <c:v>313.5</c:v>
                </c:pt>
                <c:pt idx="137">
                  <c:v>-44.5000000000007</c:v>
                </c:pt>
                <c:pt idx="138">
                  <c:v>2.50000000000083</c:v>
                </c:pt>
                <c:pt idx="139">
                  <c:v>173.5</c:v>
                </c:pt>
                <c:pt idx="140">
                  <c:v>-25.9999999999994</c:v>
                </c:pt>
                <c:pt idx="141">
                  <c:v>72.4999999999998</c:v>
                </c:pt>
                <c:pt idx="142">
                  <c:v>98.0000000000003</c:v>
                </c:pt>
                <c:pt idx="143">
                  <c:v>177</c:v>
                </c:pt>
                <c:pt idx="144">
                  <c:v>-107.000000000002</c:v>
                </c:pt>
                <c:pt idx="145">
                  <c:v>-213.5</c:v>
                </c:pt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PnL!$N$2:$N$147</c:f>
              <c:numCache>
                <c:formatCode>General</c:formatCode>
                <c:ptCount val="146"/>
                <c:pt idx="1">
                  <c:v>0</c:v>
                </c:pt>
                <c:pt idx="2">
                  <c:v>-134.999999999997</c:v>
                </c:pt>
                <c:pt idx="3">
                  <c:v>-472.500000000002</c:v>
                </c:pt>
                <c:pt idx="4">
                  <c:v>540</c:v>
                </c:pt>
                <c:pt idx="5">
                  <c:v>-229.499999999993</c:v>
                </c:pt>
                <c:pt idx="6">
                  <c:v>229.499999999993</c:v>
                </c:pt>
                <c:pt idx="7">
                  <c:v>134.999999999997</c:v>
                </c:pt>
                <c:pt idx="8">
                  <c:v>-340.199999999999</c:v>
                </c:pt>
                <c:pt idx="9">
                  <c:v>-134.999999999997</c:v>
                </c:pt>
                <c:pt idx="10">
                  <c:v>-337.500000000005</c:v>
                </c:pt>
                <c:pt idx="11">
                  <c:v>267.300000000001</c:v>
                </c:pt>
                <c:pt idx="12">
                  <c:v>-64.7999999999929</c:v>
                </c:pt>
                <c:pt idx="13">
                  <c:v>-272.7</c:v>
                </c:pt>
                <c:pt idx="14">
                  <c:v>0</c:v>
                </c:pt>
                <c:pt idx="15">
                  <c:v>216</c:v>
                </c:pt>
                <c:pt idx="16">
                  <c:v>-81.0000000000031</c:v>
                </c:pt>
                <c:pt idx="17">
                  <c:v>-472.500000000002</c:v>
                </c:pt>
                <c:pt idx="18">
                  <c:v>-947.699999999998</c:v>
                </c:pt>
                <c:pt idx="19">
                  <c:v>-229.500000000005</c:v>
                </c:pt>
                <c:pt idx="20">
                  <c:v>216</c:v>
                </c:pt>
                <c:pt idx="21">
                  <c:v>160.200000000002</c:v>
                </c:pt>
                <c:pt idx="22">
                  <c:v>-89.9999999999981</c:v>
                </c:pt>
                <c:pt idx="23">
                  <c:v>-342.000000000002</c:v>
                </c:pt>
                <c:pt idx="24">
                  <c:v>201.600000000002</c:v>
                </c:pt>
                <c:pt idx="25">
                  <c:v>-41.3999999999994</c:v>
                </c:pt>
                <c:pt idx="26">
                  <c:v>0</c:v>
                </c:pt>
                <c:pt idx="27">
                  <c:v>-50.4000000000024</c:v>
                </c:pt>
                <c:pt idx="28">
                  <c:v>212.400000000001</c:v>
                </c:pt>
                <c:pt idx="29">
                  <c:v>268.199999999998</c:v>
                </c:pt>
                <c:pt idx="30">
                  <c:v>89.9999999999981</c:v>
                </c:pt>
                <c:pt idx="31">
                  <c:v>288</c:v>
                </c:pt>
                <c:pt idx="32">
                  <c:v>90.0000000000061</c:v>
                </c:pt>
                <c:pt idx="33">
                  <c:v>35.999999999996</c:v>
                </c:pt>
                <c:pt idx="34">
                  <c:v>-39.5999999999956</c:v>
                </c:pt>
                <c:pt idx="35">
                  <c:v>268.199999999998</c:v>
                </c:pt>
                <c:pt idx="36">
                  <c:v>134.999999999997</c:v>
                </c:pt>
                <c:pt idx="37">
                  <c:v>-422.999999999997</c:v>
                </c:pt>
                <c:pt idx="38">
                  <c:v>144</c:v>
                </c:pt>
                <c:pt idx="39">
                  <c:v>161.999999999998</c:v>
                </c:pt>
                <c:pt idx="40">
                  <c:v>-1.7999999999958</c:v>
                </c:pt>
                <c:pt idx="41">
                  <c:v>-268.200000000006</c:v>
                </c:pt>
                <c:pt idx="42">
                  <c:v>522.000000000006</c:v>
                </c:pt>
                <c:pt idx="43">
                  <c:v>482.399999999995</c:v>
                </c:pt>
                <c:pt idx="44">
                  <c:v>-39.5999999999956</c:v>
                </c:pt>
                <c:pt idx="45">
                  <c:v>172.799999999997</c:v>
                </c:pt>
                <c:pt idx="46">
                  <c:v>46.8000000000028</c:v>
                </c:pt>
                <c:pt idx="47">
                  <c:v>-264.600000000007</c:v>
                </c:pt>
                <c:pt idx="48">
                  <c:v>-125.999999999994</c:v>
                </c:pt>
                <c:pt idx="49">
                  <c:v>16.1999999999942</c:v>
                </c:pt>
                <c:pt idx="50">
                  <c:v>61.2000000000013</c:v>
                </c:pt>
                <c:pt idx="51">
                  <c:v>88.2000000000023</c:v>
                </c:pt>
                <c:pt idx="52">
                  <c:v>-54.000000000002</c:v>
                </c:pt>
                <c:pt idx="53">
                  <c:v>1377</c:v>
                </c:pt>
                <c:pt idx="54">
                  <c:v>424.800000000001</c:v>
                </c:pt>
                <c:pt idx="55">
                  <c:v>399.599999999996</c:v>
                </c:pt>
                <c:pt idx="56">
                  <c:v>583.2</c:v>
                </c:pt>
                <c:pt idx="57">
                  <c:v>-134.999999999997</c:v>
                </c:pt>
                <c:pt idx="58">
                  <c:v>-89.9999999999981</c:v>
                </c:pt>
                <c:pt idx="59">
                  <c:v>-270.000000000002</c:v>
                </c:pt>
                <c:pt idx="60">
                  <c:v>-44.999999999999</c:v>
                </c:pt>
                <c:pt idx="61">
                  <c:v>-521.999999999998</c:v>
                </c:pt>
                <c:pt idx="62">
                  <c:v>-108</c:v>
                </c:pt>
                <c:pt idx="63">
                  <c:v>553.499999999993</c:v>
                </c:pt>
                <c:pt idx="64">
                  <c:v>256.500000000002</c:v>
                </c:pt>
                <c:pt idx="65">
                  <c:v>-256.500000000002</c:v>
                </c:pt>
                <c:pt idx="66">
                  <c:v>270.000000000006</c:v>
                </c:pt>
                <c:pt idx="67">
                  <c:v>-272.7</c:v>
                </c:pt>
                <c:pt idx="68">
                  <c:v>124.199999999998</c:v>
                </c:pt>
                <c:pt idx="69">
                  <c:v>108</c:v>
                </c:pt>
                <c:pt idx="70">
                  <c:v>-202.500000000008</c:v>
                </c:pt>
                <c:pt idx="71">
                  <c:v>-110.699999999994</c:v>
                </c:pt>
                <c:pt idx="72">
                  <c:v>-253.799999999996</c:v>
                </c:pt>
                <c:pt idx="73">
                  <c:v>-138.600000000005</c:v>
                </c:pt>
                <c:pt idx="74">
                  <c:v>-356.400000000001</c:v>
                </c:pt>
                <c:pt idx="75">
                  <c:v>0</c:v>
                </c:pt>
                <c:pt idx="76">
                  <c:v>-188.999999999999</c:v>
                </c:pt>
                <c:pt idx="77">
                  <c:v>-35.999999999996</c:v>
                </c:pt>
                <c:pt idx="78">
                  <c:v>197.999999999994</c:v>
                </c:pt>
                <c:pt idx="79">
                  <c:v>340.200000000007</c:v>
                </c:pt>
                <c:pt idx="80">
                  <c:v>-90.0000000000061</c:v>
                </c:pt>
                <c:pt idx="81">
                  <c:v>-541.8</c:v>
                </c:pt>
                <c:pt idx="82">
                  <c:v>-633.599999999994</c:v>
                </c:pt>
                <c:pt idx="83">
                  <c:v>185.4</c:v>
                </c:pt>
                <c:pt idx="84">
                  <c:v>-630.000000000003</c:v>
                </c:pt>
                <c:pt idx="85">
                  <c:v>-90.0000000000021</c:v>
                </c:pt>
                <c:pt idx="86">
                  <c:v>-89.9999999999981</c:v>
                </c:pt>
                <c:pt idx="87">
                  <c:v>-22.4999999999995</c:v>
                </c:pt>
                <c:pt idx="88">
                  <c:v>156.599999999999</c:v>
                </c:pt>
                <c:pt idx="89">
                  <c:v>44.999999999999</c:v>
                </c:pt>
                <c:pt idx="90">
                  <c:v>-21.5999999999976</c:v>
                </c:pt>
                <c:pt idx="91">
                  <c:v>66.6000000000007</c:v>
                </c:pt>
                <c:pt idx="92">
                  <c:v>89.9999999999981</c:v>
                </c:pt>
                <c:pt idx="93">
                  <c:v>247.499999999999</c:v>
                </c:pt>
                <c:pt idx="94">
                  <c:v>-22.4999999999995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PnL!$O$2:$O$147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-20.8000000000013</c:v>
                </c:pt>
                <c:pt idx="23">
                  <c:v>-139.999999999997</c:v>
                </c:pt>
                <c:pt idx="24">
                  <c:v>-41.6000000000025</c:v>
                </c:pt>
                <c:pt idx="25">
                  <c:v>0</c:v>
                </c:pt>
                <c:pt idx="26">
                  <c:v>-0.799999999998136</c:v>
                </c:pt>
                <c:pt idx="27">
                  <c:v>-202.400000000001</c:v>
                </c:pt>
                <c:pt idx="28">
                  <c:v>66.4000000000016</c:v>
                </c:pt>
                <c:pt idx="29">
                  <c:v>111.999999999998</c:v>
                </c:pt>
                <c:pt idx="30">
                  <c:v>19.2000000000014</c:v>
                </c:pt>
                <c:pt idx="31">
                  <c:v>160</c:v>
                </c:pt>
                <c:pt idx="32">
                  <c:v>80.8</c:v>
                </c:pt>
                <c:pt idx="33">
                  <c:v>59.199999999997</c:v>
                </c:pt>
                <c:pt idx="34">
                  <c:v>0</c:v>
                </c:pt>
                <c:pt idx="35">
                  <c:v>119.200000000003</c:v>
                </c:pt>
                <c:pt idx="36">
                  <c:v>55.9999999999974</c:v>
                </c:pt>
                <c:pt idx="37">
                  <c:v>-97.5999999999999</c:v>
                </c:pt>
                <c:pt idx="38">
                  <c:v>39.200000000001</c:v>
                </c:pt>
                <c:pt idx="39">
                  <c:v>54.4000000000011</c:v>
                </c:pt>
                <c:pt idx="40">
                  <c:v>3.99999999999778</c:v>
                </c:pt>
                <c:pt idx="41">
                  <c:v>-101.599999999998</c:v>
                </c:pt>
                <c:pt idx="42">
                  <c:v>195.2</c:v>
                </c:pt>
                <c:pt idx="43">
                  <c:v>162.399999999998</c:v>
                </c:pt>
                <c:pt idx="44">
                  <c:v>-21.5999999999994</c:v>
                </c:pt>
                <c:pt idx="45">
                  <c:v>60.8000000000004</c:v>
                </c:pt>
                <c:pt idx="46">
                  <c:v>4.79999999999947</c:v>
                </c:pt>
                <c:pt idx="47">
                  <c:v>-102.399999999999</c:v>
                </c:pt>
                <c:pt idx="48">
                  <c:v>-77.6000000000003</c:v>
                </c:pt>
                <c:pt idx="49">
                  <c:v>-19.2000000000014</c:v>
                </c:pt>
                <c:pt idx="50">
                  <c:v>16.0000000000018</c:v>
                </c:pt>
                <c:pt idx="51">
                  <c:v>13.6000000000003</c:v>
                </c:pt>
                <c:pt idx="52">
                  <c:v>-15.2000000000001</c:v>
                </c:pt>
                <c:pt idx="53">
                  <c:v>431.200000000001</c:v>
                </c:pt>
                <c:pt idx="54">
                  <c:v>99.1999999999997</c:v>
                </c:pt>
                <c:pt idx="55">
                  <c:v>39.9999999999991</c:v>
                </c:pt>
                <c:pt idx="56">
                  <c:v>264.800000000001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PnL!$P$2:$P$147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-781.500000000002</c:v>
                </c:pt>
                <c:pt idx="4">
                  <c:v>619.800000000001</c:v>
                </c:pt>
                <c:pt idx="5">
                  <c:v>-253.899999999993</c:v>
                </c:pt>
                <c:pt idx="6">
                  <c:v>317.699999999993</c:v>
                </c:pt>
                <c:pt idx="7">
                  <c:v>223.999999999996</c:v>
                </c:pt>
                <c:pt idx="8">
                  <c:v>-663.699999999999</c:v>
                </c:pt>
                <c:pt idx="9">
                  <c:v>-259.499999999997</c:v>
                </c:pt>
                <c:pt idx="10">
                  <c:v>-632.700000000006</c:v>
                </c:pt>
                <c:pt idx="11">
                  <c:v>533.700000000004</c:v>
                </c:pt>
                <c:pt idx="12">
                  <c:v>-1.79999999999181</c:v>
                </c:pt>
                <c:pt idx="13">
                  <c:v>-587.399999999999</c:v>
                </c:pt>
                <c:pt idx="14">
                  <c:v>78.899999999996</c:v>
                </c:pt>
                <c:pt idx="15">
                  <c:v>370.200000000004</c:v>
                </c:pt>
                <c:pt idx="16">
                  <c:v>-50.7000000000044</c:v>
                </c:pt>
                <c:pt idx="17">
                  <c:v>-880.500000000002</c:v>
                </c:pt>
                <c:pt idx="18">
                  <c:v>-1589.1</c:v>
                </c:pt>
                <c:pt idx="19">
                  <c:v>-412.500000000008</c:v>
                </c:pt>
                <c:pt idx="20">
                  <c:v>419.400000000002</c:v>
                </c:pt>
                <c:pt idx="21">
                  <c:v>542.400000000006</c:v>
                </c:pt>
                <c:pt idx="22">
                  <c:v>9.20000000000009</c:v>
                </c:pt>
                <c:pt idx="23">
                  <c:v>-1354.1</c:v>
                </c:pt>
                <c:pt idx="24">
                  <c:v>131.799999999998</c:v>
                </c:pt>
                <c:pt idx="25">
                  <c:v>57.3000000000017</c:v>
                </c:pt>
                <c:pt idx="26">
                  <c:v>92.7999999999982</c:v>
                </c:pt>
                <c:pt idx="27">
                  <c:v>-72.8000000000018</c:v>
                </c:pt>
                <c:pt idx="28">
                  <c:v>703.900000000001</c:v>
                </c:pt>
                <c:pt idx="29">
                  <c:v>890.800000000002</c:v>
                </c:pt>
                <c:pt idx="30">
                  <c:v>212.399999999997</c:v>
                </c:pt>
                <c:pt idx="31">
                  <c:v>912.699999999997</c:v>
                </c:pt>
                <c:pt idx="32">
                  <c:v>296.80000000001</c:v>
                </c:pt>
                <c:pt idx="33">
                  <c:v>288.399999999993</c:v>
                </c:pt>
                <c:pt idx="34">
                  <c:v>-158.999999999999</c:v>
                </c:pt>
                <c:pt idx="35">
                  <c:v>672.100000000003</c:v>
                </c:pt>
                <c:pt idx="36">
                  <c:v>366.499999999995</c:v>
                </c:pt>
                <c:pt idx="37">
                  <c:v>-1043.79999999999</c:v>
                </c:pt>
                <c:pt idx="38">
                  <c:v>560.9</c:v>
                </c:pt>
                <c:pt idx="39">
                  <c:v>485.499999999996</c:v>
                </c:pt>
                <c:pt idx="40">
                  <c:v>328.600000000001</c:v>
                </c:pt>
                <c:pt idx="41">
                  <c:v>-826.699999999998</c:v>
                </c:pt>
                <c:pt idx="42">
                  <c:v>1322.30000000001</c:v>
                </c:pt>
                <c:pt idx="43">
                  <c:v>1112.49999999999</c:v>
                </c:pt>
                <c:pt idx="44">
                  <c:v>102.000000000006</c:v>
                </c:pt>
                <c:pt idx="45">
                  <c:v>883.699999999998</c:v>
                </c:pt>
                <c:pt idx="46">
                  <c:v>420.900000000002</c:v>
                </c:pt>
                <c:pt idx="47">
                  <c:v>-846.700000000007</c:v>
                </c:pt>
                <c:pt idx="48">
                  <c:v>-350.599999999992</c:v>
                </c:pt>
                <c:pt idx="49">
                  <c:v>-435.000000000012</c:v>
                </c:pt>
                <c:pt idx="50">
                  <c:v>-35.2999999999966</c:v>
                </c:pt>
                <c:pt idx="51">
                  <c:v>206.8</c:v>
                </c:pt>
                <c:pt idx="52">
                  <c:v>-134.899999999997</c:v>
                </c:pt>
                <c:pt idx="53">
                  <c:v>3505.6</c:v>
                </c:pt>
                <c:pt idx="54">
                  <c:v>697.4</c:v>
                </c:pt>
                <c:pt idx="55">
                  <c:v>482.799999999994</c:v>
                </c:pt>
                <c:pt idx="56">
                  <c:v>1238.3</c:v>
                </c:pt>
                <c:pt idx="57">
                  <c:v>-403.199999999996</c:v>
                </c:pt>
                <c:pt idx="58">
                  <c:v>-575.099999999998</c:v>
                </c:pt>
                <c:pt idx="59">
                  <c:v>-456.300000000002</c:v>
                </c:pt>
                <c:pt idx="60">
                  <c:v>-68.9999999999971</c:v>
                </c:pt>
                <c:pt idx="61">
                  <c:v>-1135.8</c:v>
                </c:pt>
                <c:pt idx="62">
                  <c:v>-87.4999999999995</c:v>
                </c:pt>
                <c:pt idx="63">
                  <c:v>1080.19999999999</c:v>
                </c:pt>
                <c:pt idx="64">
                  <c:v>376.000000000002</c:v>
                </c:pt>
                <c:pt idx="65">
                  <c:v>-241.900000000003</c:v>
                </c:pt>
                <c:pt idx="66">
                  <c:v>447.000000000003</c:v>
                </c:pt>
                <c:pt idx="67">
                  <c:v>-351.2</c:v>
                </c:pt>
                <c:pt idx="68">
                  <c:v>349.400000000001</c:v>
                </c:pt>
                <c:pt idx="69">
                  <c:v>179.499999999996</c:v>
                </c:pt>
                <c:pt idx="70">
                  <c:v>-368.600000000005</c:v>
                </c:pt>
                <c:pt idx="71">
                  <c:v>-243.699999999996</c:v>
                </c:pt>
                <c:pt idx="72">
                  <c:v>-561.499999999997</c:v>
                </c:pt>
                <c:pt idx="73">
                  <c:v>-327.100000000002</c:v>
                </c:pt>
                <c:pt idx="74">
                  <c:v>-682.200000000002</c:v>
                </c:pt>
                <c:pt idx="75">
                  <c:v>-74.8000000000022</c:v>
                </c:pt>
                <c:pt idx="76">
                  <c:v>-392.999999999999</c:v>
                </c:pt>
                <c:pt idx="77">
                  <c:v>57.2000000000048</c:v>
                </c:pt>
                <c:pt idx="78">
                  <c:v>462.799999999995</c:v>
                </c:pt>
                <c:pt idx="79">
                  <c:v>495.300000000005</c:v>
                </c:pt>
                <c:pt idx="80">
                  <c:v>-241.000000000002</c:v>
                </c:pt>
                <c:pt idx="81">
                  <c:v>-935.100000000001</c:v>
                </c:pt>
                <c:pt idx="82">
                  <c:v>-1314.4</c:v>
                </c:pt>
                <c:pt idx="83">
                  <c:v>316.099999999997</c:v>
                </c:pt>
                <c:pt idx="84">
                  <c:v>-1094.8</c:v>
                </c:pt>
                <c:pt idx="85">
                  <c:v>-532.100000000002</c:v>
                </c:pt>
                <c:pt idx="86">
                  <c:v>-380.500000000002</c:v>
                </c:pt>
                <c:pt idx="87">
                  <c:v>14.9999999999997</c:v>
                </c:pt>
                <c:pt idx="88">
                  <c:v>644.100000000002</c:v>
                </c:pt>
                <c:pt idx="89">
                  <c:v>314.999999999996</c:v>
                </c:pt>
                <c:pt idx="90">
                  <c:v>-87.599999999997</c:v>
                </c:pt>
                <c:pt idx="91">
                  <c:v>263.100000000002</c:v>
                </c:pt>
                <c:pt idx="92">
                  <c:v>235.499999999999</c:v>
                </c:pt>
                <c:pt idx="93">
                  <c:v>573</c:v>
                </c:pt>
                <c:pt idx="94">
                  <c:v>-61.5000000000019</c:v>
                </c:pt>
                <c:pt idx="95">
                  <c:v>30.0000000000034</c:v>
                </c:pt>
                <c:pt idx="96">
                  <c:v>223.499999999999</c:v>
                </c:pt>
                <c:pt idx="97">
                  <c:v>-118.500000000004</c:v>
                </c:pt>
                <c:pt idx="98">
                  <c:v>-115.499999999997</c:v>
                </c:pt>
                <c:pt idx="99">
                  <c:v>99.0000000000024</c:v>
                </c:pt>
                <c:pt idx="100">
                  <c:v>-268.5</c:v>
                </c:pt>
                <c:pt idx="101">
                  <c:v>294.000000000001</c:v>
                </c:pt>
                <c:pt idx="102">
                  <c:v>298.499999999997</c:v>
                </c:pt>
                <c:pt idx="103">
                  <c:v>448.500000000001</c:v>
                </c:pt>
                <c:pt idx="104">
                  <c:v>97.4999999999993</c:v>
                </c:pt>
                <c:pt idx="105">
                  <c:v>-306</c:v>
                </c:pt>
                <c:pt idx="106">
                  <c:v>-152.999999999999</c:v>
                </c:pt>
                <c:pt idx="107">
                  <c:v>-3.00000000000189</c:v>
                </c:pt>
                <c:pt idx="108">
                  <c:v>-255.000000000001</c:v>
                </c:pt>
                <c:pt idx="109">
                  <c:v>-57.9999999999981</c:v>
                </c:pt>
                <c:pt idx="110">
                  <c:v>103.999999999997</c:v>
                </c:pt>
                <c:pt idx="111">
                  <c:v>-126.999999999997</c:v>
                </c:pt>
                <c:pt idx="112">
                  <c:v>-54.0000000000029</c:v>
                </c:pt>
                <c:pt idx="113">
                  <c:v>-326</c:v>
                </c:pt>
                <c:pt idx="114">
                  <c:v>-1126</c:v>
                </c:pt>
                <c:pt idx="115">
                  <c:v>-0.999999999997669</c:v>
                </c:pt>
                <c:pt idx="116">
                  <c:v>-348.999999999999</c:v>
                </c:pt>
                <c:pt idx="117">
                  <c:v>444.999999999998</c:v>
                </c:pt>
                <c:pt idx="118">
                  <c:v>98.0000000000025</c:v>
                </c:pt>
                <c:pt idx="119">
                  <c:v>85.9999999999994</c:v>
                </c:pt>
                <c:pt idx="120">
                  <c:v>18.4999999999991</c:v>
                </c:pt>
                <c:pt idx="121">
                  <c:v>172.5</c:v>
                </c:pt>
                <c:pt idx="122">
                  <c:v>45.0000000000017</c:v>
                </c:pt>
                <c:pt idx="123">
                  <c:v>-210.5</c:v>
                </c:pt>
                <c:pt idx="124">
                  <c:v>-198.500000000001</c:v>
                </c:pt>
                <c:pt idx="125">
                  <c:v>-252.999999999999</c:v>
                </c:pt>
                <c:pt idx="126">
                  <c:v>50.9999999999988</c:v>
                </c:pt>
                <c:pt idx="127">
                  <c:v>98.0000000000003</c:v>
                </c:pt>
                <c:pt idx="128">
                  <c:v>23.5000000000007</c:v>
                </c:pt>
                <c:pt idx="129">
                  <c:v>-81.9999999999999</c:v>
                </c:pt>
                <c:pt idx="130">
                  <c:v>-229.5</c:v>
                </c:pt>
                <c:pt idx="131">
                  <c:v>131.999999999999</c:v>
                </c:pt>
                <c:pt idx="132">
                  <c:v>54.5000000000018</c:v>
                </c:pt>
                <c:pt idx="133">
                  <c:v>-196.000000000001</c:v>
                </c:pt>
                <c:pt idx="134">
                  <c:v>-35.0000000000006</c:v>
                </c:pt>
                <c:pt idx="135">
                  <c:v>-90.5</c:v>
                </c:pt>
                <c:pt idx="136">
                  <c:v>313.5</c:v>
                </c:pt>
                <c:pt idx="137">
                  <c:v>-44.5000000000007</c:v>
                </c:pt>
                <c:pt idx="138">
                  <c:v>2.50000000000083</c:v>
                </c:pt>
                <c:pt idx="139">
                  <c:v>173.5</c:v>
                </c:pt>
                <c:pt idx="140">
                  <c:v>-25.9999999999994</c:v>
                </c:pt>
                <c:pt idx="141">
                  <c:v>72.4999999999998</c:v>
                </c:pt>
                <c:pt idx="142">
                  <c:v>98.0000000000003</c:v>
                </c:pt>
                <c:pt idx="143">
                  <c:v>177</c:v>
                </c:pt>
                <c:pt idx="144">
                  <c:v>-107.000000000002</c:v>
                </c:pt>
                <c:pt idx="145">
                  <c:v>-213.5</c:v>
                </c:pt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PnL!$Q$2:$Q$147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PnL!$R$2:$R$147</c:f>
              <c:numCache>
                <c:formatCode>General</c:formatCode>
                <c:ptCount val="146"/>
                <c:pt idx="1">
                  <c:v>0</c:v>
                </c:pt>
                <c:pt idx="2">
                  <c:v>10.72</c:v>
                </c:pt>
                <c:pt idx="3">
                  <c:v>11.0679452054795</c:v>
                </c:pt>
                <c:pt idx="4">
                  <c:v>11.0575342465753</c:v>
                </c:pt>
                <c:pt idx="5">
                  <c:v>11.1134246575342</c:v>
                </c:pt>
                <c:pt idx="6">
                  <c:v>11.0416438356164</c:v>
                </c:pt>
                <c:pt idx="7">
                  <c:v>10.9868493150685</c:v>
                </c:pt>
                <c:pt idx="8">
                  <c:v>10.9731506849315</c:v>
                </c:pt>
                <c:pt idx="9">
                  <c:v>16.5830136986301</c:v>
                </c:pt>
                <c:pt idx="10">
                  <c:v>16.7342465753425</c:v>
                </c:pt>
                <c:pt idx="11">
                  <c:v>16.7276712328767</c:v>
                </c:pt>
                <c:pt idx="12">
                  <c:v>16.5221917808219</c:v>
                </c:pt>
                <c:pt idx="13">
                  <c:v>16.4843835616438</c:v>
                </c:pt>
                <c:pt idx="14">
                  <c:v>16.4531506849315</c:v>
                </c:pt>
                <c:pt idx="15">
                  <c:v>16.3306849315069</c:v>
                </c:pt>
                <c:pt idx="16">
                  <c:v>16.1161643835616</c:v>
                </c:pt>
                <c:pt idx="17">
                  <c:v>16.1531506849315</c:v>
                </c:pt>
                <c:pt idx="18">
                  <c:v>16.4145205479452</c:v>
                </c:pt>
                <c:pt idx="19">
                  <c:v>16.4186301369863</c:v>
                </c:pt>
                <c:pt idx="20">
                  <c:v>16.2435616438356</c:v>
                </c:pt>
                <c:pt idx="21">
                  <c:v>16.0306849315069</c:v>
                </c:pt>
                <c:pt idx="22">
                  <c:v>15.8827397260274</c:v>
                </c:pt>
                <c:pt idx="23">
                  <c:v>16.2994520547945</c:v>
                </c:pt>
                <c:pt idx="24">
                  <c:v>16.5205479452055</c:v>
                </c:pt>
                <c:pt idx="25">
                  <c:v>16.3652054794521</c:v>
                </c:pt>
                <c:pt idx="26">
                  <c:v>16.293698630137</c:v>
                </c:pt>
                <c:pt idx="27">
                  <c:v>16.0964383561644</c:v>
                </c:pt>
                <c:pt idx="28">
                  <c:v>15.9591780821918</c:v>
                </c:pt>
                <c:pt idx="29">
                  <c:v>15.9</c:v>
                </c:pt>
                <c:pt idx="30">
                  <c:v>15.9254794520548</c:v>
                </c:pt>
                <c:pt idx="31">
                  <c:v>15.7372602739726</c:v>
                </c:pt>
                <c:pt idx="32">
                  <c:v>15.4824657534247</c:v>
                </c:pt>
                <c:pt idx="33">
                  <c:v>15.1956164383562</c:v>
                </c:pt>
                <c:pt idx="34">
                  <c:v>15.1980821917808</c:v>
                </c:pt>
                <c:pt idx="35">
                  <c:v>15.3797260273973</c:v>
                </c:pt>
                <c:pt idx="36">
                  <c:v>15.3838356164384</c:v>
                </c:pt>
                <c:pt idx="37">
                  <c:v>15.6460273972603</c:v>
                </c:pt>
                <c:pt idx="38">
                  <c:v>15.6221917808219</c:v>
                </c:pt>
                <c:pt idx="39">
                  <c:v>15.4602739726027</c:v>
                </c:pt>
                <c:pt idx="40">
                  <c:v>15.4290410958904</c:v>
                </c:pt>
                <c:pt idx="41">
                  <c:v>15.5383561643836</c:v>
                </c:pt>
                <c:pt idx="42">
                  <c:v>15.3065753424658</c:v>
                </c:pt>
                <c:pt idx="43">
                  <c:v>15.0156164383562</c:v>
                </c:pt>
                <c:pt idx="44">
                  <c:v>14.5520547945205</c:v>
                </c:pt>
                <c:pt idx="45">
                  <c:v>14.4065753424658</c:v>
                </c:pt>
                <c:pt idx="46">
                  <c:v>13.8961643835616</c:v>
                </c:pt>
                <c:pt idx="47">
                  <c:v>14.0679452054795</c:v>
                </c:pt>
                <c:pt idx="48">
                  <c:v>14.2323287671233</c:v>
                </c:pt>
                <c:pt idx="49">
                  <c:v>14.7008219178082</c:v>
                </c:pt>
                <c:pt idx="50">
                  <c:v>14.906301369863</c:v>
                </c:pt>
                <c:pt idx="51">
                  <c:v>14.9268493150685</c:v>
                </c:pt>
                <c:pt idx="52">
                  <c:v>14.8890410958904</c:v>
                </c:pt>
                <c:pt idx="53">
                  <c:v>14.1098630136986</c:v>
                </c:pt>
                <c:pt idx="54">
                  <c:v>14.1361643835616</c:v>
                </c:pt>
                <c:pt idx="55">
                  <c:v>14.1287671232877</c:v>
                </c:pt>
                <c:pt idx="56">
                  <c:v>13.9758904109589</c:v>
                </c:pt>
                <c:pt idx="57">
                  <c:v>14.1764383561644</c:v>
                </c:pt>
                <c:pt idx="58">
                  <c:v>14.441095890411</c:v>
                </c:pt>
                <c:pt idx="59">
                  <c:v>14.4419178082192</c:v>
                </c:pt>
                <c:pt idx="60">
                  <c:v>14.3802739726027</c:v>
                </c:pt>
                <c:pt idx="61">
                  <c:v>14.7221917808219</c:v>
                </c:pt>
                <c:pt idx="62">
                  <c:v>9.82027397260274</c:v>
                </c:pt>
                <c:pt idx="63">
                  <c:v>9.62246575342466</c:v>
                </c:pt>
                <c:pt idx="64">
                  <c:v>9.53753424657534</c:v>
                </c:pt>
                <c:pt idx="65">
                  <c:v>9.52219178082192</c:v>
                </c:pt>
                <c:pt idx="66">
                  <c:v>9.44821917808219</c:v>
                </c:pt>
                <c:pt idx="67">
                  <c:v>9.42082191780822</c:v>
                </c:pt>
                <c:pt idx="68">
                  <c:v>9.38739726027397</c:v>
                </c:pt>
                <c:pt idx="69">
                  <c:v>9.38465753424657</c:v>
                </c:pt>
                <c:pt idx="70">
                  <c:v>9.51506849315068</c:v>
                </c:pt>
                <c:pt idx="71">
                  <c:v>9.58356164383562</c:v>
                </c:pt>
                <c:pt idx="72">
                  <c:v>4.82109589041096</c:v>
                </c:pt>
                <c:pt idx="73">
                  <c:v>4.84849315068493</c:v>
                </c:pt>
                <c:pt idx="74">
                  <c:v>4.93561643835617</c:v>
                </c:pt>
                <c:pt idx="75">
                  <c:v>4.94739726027397</c:v>
                </c:pt>
                <c:pt idx="76">
                  <c:v>5.01315068493151</c:v>
                </c:pt>
                <c:pt idx="77">
                  <c:v>5.07013698630137</c:v>
                </c:pt>
                <c:pt idx="78">
                  <c:v>5.06383561643836</c:v>
                </c:pt>
                <c:pt idx="79">
                  <c:v>5.00876712328767</c:v>
                </c:pt>
                <c:pt idx="80">
                  <c:v>4.99506849315068</c:v>
                </c:pt>
                <c:pt idx="81">
                  <c:v>5.00821917808219</c:v>
                </c:pt>
                <c:pt idx="82">
                  <c:v>5.09808219178082</c:v>
                </c:pt>
                <c:pt idx="83">
                  <c:v>5.12630136986301</c:v>
                </c:pt>
                <c:pt idx="84">
                  <c:v>5.21205479452055</c:v>
                </c:pt>
                <c:pt idx="85">
                  <c:v>5.18630136986301</c:v>
                </c:pt>
                <c:pt idx="86">
                  <c:v>5.07808219178082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PnL!$S$2:$S$147</c:f>
              <c:numCache>
                <c:formatCode>General</c:formatCode>
                <c:ptCount val="146"/>
                <c:pt idx="1">
                  <c:v>7.01205479452055</c:v>
                </c:pt>
                <c:pt idx="2">
                  <c:v>7.02191780821918</c:v>
                </c:pt>
                <c:pt idx="3">
                  <c:v>7.12164383561644</c:v>
                </c:pt>
                <c:pt idx="4">
                  <c:v>7.08</c:v>
                </c:pt>
                <c:pt idx="5">
                  <c:v>7.08219178082192</c:v>
                </c:pt>
                <c:pt idx="6">
                  <c:v>7.04821917808219</c:v>
                </c:pt>
                <c:pt idx="7">
                  <c:v>21.1068493150685</c:v>
                </c:pt>
                <c:pt idx="8">
                  <c:v>21.2868493150685</c:v>
                </c:pt>
                <c:pt idx="9">
                  <c:v>21.3304109589041</c:v>
                </c:pt>
                <c:pt idx="10">
                  <c:v>21.4619178082192</c:v>
                </c:pt>
                <c:pt idx="11">
                  <c:v>21.3172602739726</c:v>
                </c:pt>
                <c:pt idx="12">
                  <c:v>21.3238356164384</c:v>
                </c:pt>
                <c:pt idx="13">
                  <c:v>21.5038356164384</c:v>
                </c:pt>
                <c:pt idx="14">
                  <c:v>21.4668493150685</c:v>
                </c:pt>
                <c:pt idx="15">
                  <c:v>21.4068493150685</c:v>
                </c:pt>
                <c:pt idx="16">
                  <c:v>21.4331506849315</c:v>
                </c:pt>
                <c:pt idx="17">
                  <c:v>21.6493150684931</c:v>
                </c:pt>
                <c:pt idx="18">
                  <c:v>21.9484931506849</c:v>
                </c:pt>
                <c:pt idx="19">
                  <c:v>22.0479452054795</c:v>
                </c:pt>
                <c:pt idx="20">
                  <c:v>21.9715068493151</c:v>
                </c:pt>
                <c:pt idx="21">
                  <c:v>21.8046575342466</c:v>
                </c:pt>
                <c:pt idx="22">
                  <c:v>21.7684931506849</c:v>
                </c:pt>
                <c:pt idx="23">
                  <c:v>22.1630136986301</c:v>
                </c:pt>
                <c:pt idx="24">
                  <c:v>22.1342465753425</c:v>
                </c:pt>
                <c:pt idx="25">
                  <c:v>22.1112328767123</c:v>
                </c:pt>
                <c:pt idx="26">
                  <c:v>22.0742465753425</c:v>
                </c:pt>
                <c:pt idx="27">
                  <c:v>22.0150684931507</c:v>
                </c:pt>
                <c:pt idx="28">
                  <c:v>21.8095890410959</c:v>
                </c:pt>
                <c:pt idx="29">
                  <c:v>21.5416438356164</c:v>
                </c:pt>
                <c:pt idx="30">
                  <c:v>21.48</c:v>
                </c:pt>
                <c:pt idx="31">
                  <c:v>21.2630136986301</c:v>
                </c:pt>
                <c:pt idx="32">
                  <c:v>21.2449315068493</c:v>
                </c:pt>
                <c:pt idx="33">
                  <c:v>21.1964383561644</c:v>
                </c:pt>
                <c:pt idx="34">
                  <c:v>21.2613698630137</c:v>
                </c:pt>
                <c:pt idx="35">
                  <c:v>21.0690410958904</c:v>
                </c:pt>
                <c:pt idx="36">
                  <c:v>20.9720547945205</c:v>
                </c:pt>
                <c:pt idx="37">
                  <c:v>21.206301369863</c:v>
                </c:pt>
                <c:pt idx="38">
                  <c:v>21.0041095890411</c:v>
                </c:pt>
                <c:pt idx="39">
                  <c:v>20.8890410958904</c:v>
                </c:pt>
                <c:pt idx="40">
                  <c:v>20.7164383561644</c:v>
                </c:pt>
                <c:pt idx="41">
                  <c:v>20.9449315068493</c:v>
                </c:pt>
                <c:pt idx="42">
                  <c:v>20.6597260273973</c:v>
                </c:pt>
                <c:pt idx="43">
                  <c:v>20.4616438356164</c:v>
                </c:pt>
                <c:pt idx="44">
                  <c:v>20.4649315068493</c:v>
                </c:pt>
                <c:pt idx="45">
                  <c:v>20.1378082191781</c:v>
                </c:pt>
                <c:pt idx="46">
                  <c:v>20.0375342465753</c:v>
                </c:pt>
                <c:pt idx="47">
                  <c:v>20.2660273972603</c:v>
                </c:pt>
                <c:pt idx="48">
                  <c:v>20.313698630137</c:v>
                </c:pt>
                <c:pt idx="49">
                  <c:v>20.4567123287671</c:v>
                </c:pt>
                <c:pt idx="50">
                  <c:v>20.4772602739726</c:v>
                </c:pt>
                <c:pt idx="51">
                  <c:v>20.4156164383562</c:v>
                </c:pt>
                <c:pt idx="52">
                  <c:v>20.4591780821918</c:v>
                </c:pt>
                <c:pt idx="53">
                  <c:v>19.6849315068493</c:v>
                </c:pt>
                <c:pt idx="54">
                  <c:v>19.5846575342466</c:v>
                </c:pt>
                <c:pt idx="55">
                  <c:v>19.5624657534247</c:v>
                </c:pt>
                <c:pt idx="56">
                  <c:v>19.3791780821918</c:v>
                </c:pt>
                <c:pt idx="57">
                  <c:v>19.4860273972603</c:v>
                </c:pt>
                <c:pt idx="58">
                  <c:v>19.698904109589</c:v>
                </c:pt>
                <c:pt idx="59">
                  <c:v>19.8008219178082</c:v>
                </c:pt>
                <c:pt idx="60">
                  <c:v>19.826301369863</c:v>
                </c:pt>
                <c:pt idx="61">
                  <c:v>20.0942465753425</c:v>
                </c:pt>
                <c:pt idx="62">
                  <c:v>20.0819178082192</c:v>
                </c:pt>
                <c:pt idx="63">
                  <c:v>19.8328767123288</c:v>
                </c:pt>
                <c:pt idx="64">
                  <c:v>19.7843835616438</c:v>
                </c:pt>
                <c:pt idx="65">
                  <c:v>19.7794520547945</c:v>
                </c:pt>
                <c:pt idx="66">
                  <c:v>19.6972602739726</c:v>
                </c:pt>
                <c:pt idx="67">
                  <c:v>19.7457534246575</c:v>
                </c:pt>
                <c:pt idx="68">
                  <c:v>19.6290410958904</c:v>
                </c:pt>
                <c:pt idx="69">
                  <c:v>19.5904109589041</c:v>
                </c:pt>
                <c:pt idx="70">
                  <c:v>19.6553424657534</c:v>
                </c:pt>
                <c:pt idx="71">
                  <c:v>19.7145205479452</c:v>
                </c:pt>
                <c:pt idx="72">
                  <c:v>19.8772602739726</c:v>
                </c:pt>
                <c:pt idx="73">
                  <c:v>19.9750684931507</c:v>
                </c:pt>
                <c:pt idx="74">
                  <c:v>20.1361643835616</c:v>
                </c:pt>
                <c:pt idx="75">
                  <c:v>20.1747945205479</c:v>
                </c:pt>
                <c:pt idx="76">
                  <c:v>20.2734246575342</c:v>
                </c:pt>
                <c:pt idx="77">
                  <c:v>20.2109589041096</c:v>
                </c:pt>
                <c:pt idx="78">
                  <c:v>20.0671232876712</c:v>
                </c:pt>
                <c:pt idx="79">
                  <c:v>19.9931506849315</c:v>
                </c:pt>
                <c:pt idx="80">
                  <c:v>20.0786301369863</c:v>
                </c:pt>
                <c:pt idx="81">
                  <c:v>20.2915068493151</c:v>
                </c:pt>
                <c:pt idx="82">
                  <c:v>20.6465753424658</c:v>
                </c:pt>
                <c:pt idx="83">
                  <c:v>20.5693150684932</c:v>
                </c:pt>
                <c:pt idx="84">
                  <c:v>20.8068493150685</c:v>
                </c:pt>
                <c:pt idx="85">
                  <c:v>21.0542465753425</c:v>
                </c:pt>
                <c:pt idx="86">
                  <c:v>21.2350684931507</c:v>
                </c:pt>
                <c:pt idx="87">
                  <c:v>21.2145205479452</c:v>
                </c:pt>
                <c:pt idx="88">
                  <c:v>20.947397260274</c:v>
                </c:pt>
                <c:pt idx="89">
                  <c:v>20.7994520547945</c:v>
                </c:pt>
                <c:pt idx="90">
                  <c:v>20.8356164383562</c:v>
                </c:pt>
                <c:pt idx="91">
                  <c:v>20.7279452054795</c:v>
                </c:pt>
                <c:pt idx="92">
                  <c:v>20.6482191780822</c:v>
                </c:pt>
                <c:pt idx="93">
                  <c:v>20.4698630136986</c:v>
                </c:pt>
                <c:pt idx="94">
                  <c:v>20.4912328767123</c:v>
                </c:pt>
                <c:pt idx="95">
                  <c:v>20.4747945205479</c:v>
                </c:pt>
                <c:pt idx="96">
                  <c:v>20.3523287671233</c:v>
                </c:pt>
                <c:pt idx="97">
                  <c:v>20.4172602739726</c:v>
                </c:pt>
                <c:pt idx="98">
                  <c:v>20.4805479452055</c:v>
                </c:pt>
                <c:pt idx="99">
                  <c:v>20.426301369863</c:v>
                </c:pt>
                <c:pt idx="100">
                  <c:v>20.5734246575342</c:v>
                </c:pt>
                <c:pt idx="101">
                  <c:v>20.4123287671233</c:v>
                </c:pt>
                <c:pt idx="102">
                  <c:v>20.2487671232877</c:v>
                </c:pt>
                <c:pt idx="103">
                  <c:v>20.0030136986301</c:v>
                </c:pt>
                <c:pt idx="104">
                  <c:v>19.9495890410959</c:v>
                </c:pt>
                <c:pt idx="105">
                  <c:v>20.1172602739726</c:v>
                </c:pt>
                <c:pt idx="106">
                  <c:v>13.4953424657534</c:v>
                </c:pt>
                <c:pt idx="107">
                  <c:v>13.4969863013699</c:v>
                </c:pt>
                <c:pt idx="108">
                  <c:v>13.6367123287671</c:v>
                </c:pt>
                <c:pt idx="109">
                  <c:v>13.6684931506849</c:v>
                </c:pt>
                <c:pt idx="110">
                  <c:v>13.6115068493151</c:v>
                </c:pt>
                <c:pt idx="111">
                  <c:v>13.681095890411</c:v>
                </c:pt>
                <c:pt idx="112">
                  <c:v>13.7106849315069</c:v>
                </c:pt>
                <c:pt idx="113">
                  <c:v>13.8893150684932</c:v>
                </c:pt>
                <c:pt idx="114">
                  <c:v>14.506301369863</c:v>
                </c:pt>
                <c:pt idx="115">
                  <c:v>14.5068493150685</c:v>
                </c:pt>
                <c:pt idx="116">
                  <c:v>14.6980821917808</c:v>
                </c:pt>
                <c:pt idx="117">
                  <c:v>14.4542465753425</c:v>
                </c:pt>
                <c:pt idx="118">
                  <c:v>14.4005479452055</c:v>
                </c:pt>
                <c:pt idx="119">
                  <c:v>14.3534246575342</c:v>
                </c:pt>
                <c:pt idx="120">
                  <c:v>7.16657534246575</c:v>
                </c:pt>
                <c:pt idx="121">
                  <c:v>7.07205479452055</c:v>
                </c:pt>
                <c:pt idx="122">
                  <c:v>7.04739726027397</c:v>
                </c:pt>
                <c:pt idx="123">
                  <c:v>7.1627397260274</c:v>
                </c:pt>
                <c:pt idx="124">
                  <c:v>7.27150684931507</c:v>
                </c:pt>
                <c:pt idx="125">
                  <c:v>7.41013698630137</c:v>
                </c:pt>
                <c:pt idx="126">
                  <c:v>7.38219178082192</c:v>
                </c:pt>
                <c:pt idx="127">
                  <c:v>7.32849315068493</c:v>
                </c:pt>
                <c:pt idx="128">
                  <c:v>7.31561643835616</c:v>
                </c:pt>
                <c:pt idx="129">
                  <c:v>7.36054794520548</c:v>
                </c:pt>
                <c:pt idx="130">
                  <c:v>7.48630136986301</c:v>
                </c:pt>
                <c:pt idx="131">
                  <c:v>7.41397260273973</c:v>
                </c:pt>
                <c:pt idx="132">
                  <c:v>7.38410958904109</c:v>
                </c:pt>
                <c:pt idx="133">
                  <c:v>7.49150684931507</c:v>
                </c:pt>
                <c:pt idx="134">
                  <c:v>7.51068493150685</c:v>
                </c:pt>
                <c:pt idx="135">
                  <c:v>7.56027397260274</c:v>
                </c:pt>
                <c:pt idx="136">
                  <c:v>7.38849315068493</c:v>
                </c:pt>
                <c:pt idx="137">
                  <c:v>7.41287671232877</c:v>
                </c:pt>
                <c:pt idx="138">
                  <c:v>7.41150684931507</c:v>
                </c:pt>
                <c:pt idx="139">
                  <c:v>7.31643835616438</c:v>
                </c:pt>
                <c:pt idx="140">
                  <c:v>7.33068493150685</c:v>
                </c:pt>
                <c:pt idx="141">
                  <c:v>7.29095890410959</c:v>
                </c:pt>
                <c:pt idx="142">
                  <c:v>7.2372602739726</c:v>
                </c:pt>
                <c:pt idx="143">
                  <c:v>7.14027397260274</c:v>
                </c:pt>
                <c:pt idx="144">
                  <c:v>7.19890410958904</c:v>
                </c:pt>
                <c:pt idx="145">
                  <c:v>7.3158904109589</c:v>
                </c:pt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PnL!$T$2:$T$147</c:f>
              <c:numCache>
                <c:formatCode>General</c:formatCode>
                <c:ptCount val="146"/>
                <c:pt idx="1">
                  <c:v>22.6446575342466</c:v>
                </c:pt>
                <c:pt idx="2">
                  <c:v>22.6857534246575</c:v>
                </c:pt>
                <c:pt idx="3">
                  <c:v>22.8295890410959</c:v>
                </c:pt>
                <c:pt idx="4">
                  <c:v>22.6652054794521</c:v>
                </c:pt>
                <c:pt idx="5">
                  <c:v>22.7350684931507</c:v>
                </c:pt>
                <c:pt idx="6">
                  <c:v>22.6652054794521</c:v>
                </c:pt>
                <c:pt idx="7">
                  <c:v>22.6241095890411</c:v>
                </c:pt>
                <c:pt idx="8">
                  <c:v>22.7276712328767</c:v>
                </c:pt>
                <c:pt idx="9">
                  <c:v>22.7687671232877</c:v>
                </c:pt>
                <c:pt idx="10">
                  <c:v>22.8715068493151</c:v>
                </c:pt>
                <c:pt idx="11">
                  <c:v>22.7901369863014</c:v>
                </c:pt>
                <c:pt idx="12">
                  <c:v>22.8098630136986</c:v>
                </c:pt>
                <c:pt idx="13">
                  <c:v>22.8928767123288</c:v>
                </c:pt>
                <c:pt idx="14">
                  <c:v>22.8928767123288</c:v>
                </c:pt>
                <c:pt idx="15">
                  <c:v>22.8271232876712</c:v>
                </c:pt>
                <c:pt idx="16">
                  <c:v>22.8517808219178</c:v>
                </c:pt>
                <c:pt idx="17">
                  <c:v>22.9956164383562</c:v>
                </c:pt>
                <c:pt idx="18">
                  <c:v>23.2841095890411</c:v>
                </c:pt>
                <c:pt idx="19">
                  <c:v>23.3539726027397</c:v>
                </c:pt>
                <c:pt idx="20">
                  <c:v>15.5035616438356</c:v>
                </c:pt>
                <c:pt idx="21">
                  <c:v>15.4547945205479</c:v>
                </c:pt>
                <c:pt idx="22">
                  <c:v>15.4821917808219</c:v>
                </c:pt>
                <c:pt idx="23">
                  <c:v>15.586301369863</c:v>
                </c:pt>
                <c:pt idx="24">
                  <c:v>15.5249315068493</c:v>
                </c:pt>
                <c:pt idx="25">
                  <c:v>15.5375342465753</c:v>
                </c:pt>
                <c:pt idx="26">
                  <c:v>15.5375342465753</c:v>
                </c:pt>
                <c:pt idx="27">
                  <c:v>15.5528767123288</c:v>
                </c:pt>
                <c:pt idx="28">
                  <c:v>15.4882191780822</c:v>
                </c:pt>
                <c:pt idx="29">
                  <c:v>15.4065753424658</c:v>
                </c:pt>
                <c:pt idx="30">
                  <c:v>15.3791780821918</c:v>
                </c:pt>
                <c:pt idx="31">
                  <c:v>15.2915068493151</c:v>
                </c:pt>
                <c:pt idx="32">
                  <c:v>15.2641095890411</c:v>
                </c:pt>
                <c:pt idx="33">
                  <c:v>15.2531506849315</c:v>
                </c:pt>
                <c:pt idx="34">
                  <c:v>15.2652054794521</c:v>
                </c:pt>
                <c:pt idx="35">
                  <c:v>15.1835616438356</c:v>
                </c:pt>
                <c:pt idx="36">
                  <c:v>15.1424657534247</c:v>
                </c:pt>
                <c:pt idx="37">
                  <c:v>15.2712328767123</c:v>
                </c:pt>
                <c:pt idx="38">
                  <c:v>15.227397260274</c:v>
                </c:pt>
                <c:pt idx="39">
                  <c:v>15.1780821917808</c:v>
                </c:pt>
                <c:pt idx="40">
                  <c:v>15.1786301369863</c:v>
                </c:pt>
                <c:pt idx="41">
                  <c:v>15.2602739726027</c:v>
                </c:pt>
                <c:pt idx="42">
                  <c:v>15.1013698630137</c:v>
                </c:pt>
                <c:pt idx="43">
                  <c:v>14.9545205479452</c:v>
                </c:pt>
                <c:pt idx="44">
                  <c:v>14.9665753424658</c:v>
                </c:pt>
                <c:pt idx="45">
                  <c:v>14.9139726027397</c:v>
                </c:pt>
                <c:pt idx="46">
                  <c:v>14.8997260273973</c:v>
                </c:pt>
                <c:pt idx="47">
                  <c:v>14.9802739726027</c:v>
                </c:pt>
                <c:pt idx="48">
                  <c:v>15.0186301369863</c:v>
                </c:pt>
                <c:pt idx="49">
                  <c:v>15.013698630137</c:v>
                </c:pt>
                <c:pt idx="50">
                  <c:v>14.9950684931507</c:v>
                </c:pt>
                <c:pt idx="51">
                  <c:v>14.9682191780822</c:v>
                </c:pt>
                <c:pt idx="52">
                  <c:v>14.9846575342466</c:v>
                </c:pt>
                <c:pt idx="53">
                  <c:v>14.5654794520548</c:v>
                </c:pt>
                <c:pt idx="54">
                  <c:v>14.4361643835616</c:v>
                </c:pt>
                <c:pt idx="55">
                  <c:v>14.3145205479452</c:v>
                </c:pt>
                <c:pt idx="56">
                  <c:v>14.1369863013699</c:v>
                </c:pt>
                <c:pt idx="57">
                  <c:v>14.1780821917808</c:v>
                </c:pt>
                <c:pt idx="58">
                  <c:v>14.2054794520548</c:v>
                </c:pt>
                <c:pt idx="59">
                  <c:v>14.2876712328767</c:v>
                </c:pt>
                <c:pt idx="60">
                  <c:v>14.3013698630137</c:v>
                </c:pt>
                <c:pt idx="61">
                  <c:v>14.4602739726027</c:v>
                </c:pt>
                <c:pt idx="62">
                  <c:v>21.7232876712329</c:v>
                </c:pt>
                <c:pt idx="63">
                  <c:v>21.5547945205479</c:v>
                </c:pt>
                <c:pt idx="64">
                  <c:v>21.4767123287671</c:v>
                </c:pt>
                <c:pt idx="65">
                  <c:v>21.5547945205479</c:v>
                </c:pt>
                <c:pt idx="66">
                  <c:v>21.472602739726</c:v>
                </c:pt>
                <c:pt idx="67">
                  <c:v>21.5556164383562</c:v>
                </c:pt>
                <c:pt idx="68">
                  <c:v>21.5178082191781</c:v>
                </c:pt>
                <c:pt idx="69">
                  <c:v>21.4849315068493</c:v>
                </c:pt>
                <c:pt idx="70">
                  <c:v>21.5465753424658</c:v>
                </c:pt>
                <c:pt idx="71">
                  <c:v>21.5802739726027</c:v>
                </c:pt>
                <c:pt idx="72">
                  <c:v>21.6575342465753</c:v>
                </c:pt>
                <c:pt idx="73">
                  <c:v>14.4805479452055</c:v>
                </c:pt>
                <c:pt idx="74">
                  <c:v>14.5890410958904</c:v>
                </c:pt>
                <c:pt idx="75">
                  <c:v>14.5890410958904</c:v>
                </c:pt>
                <c:pt idx="76">
                  <c:v>14.6465753424658</c:v>
                </c:pt>
                <c:pt idx="77">
                  <c:v>14.6575342465753</c:v>
                </c:pt>
                <c:pt idx="78">
                  <c:v>14.5972602739726</c:v>
                </c:pt>
                <c:pt idx="79">
                  <c:v>14.493698630137</c:v>
                </c:pt>
                <c:pt idx="80">
                  <c:v>14.521095890411</c:v>
                </c:pt>
                <c:pt idx="81">
                  <c:v>14.6860273972603</c:v>
                </c:pt>
                <c:pt idx="82">
                  <c:v>14.878904109589</c:v>
                </c:pt>
                <c:pt idx="83">
                  <c:v>14.8224657534247</c:v>
                </c:pt>
                <c:pt idx="84">
                  <c:v>15.0142465753425</c:v>
                </c:pt>
                <c:pt idx="85">
                  <c:v>7.53452054794521</c:v>
                </c:pt>
                <c:pt idx="86">
                  <c:v>7.56191780821918</c:v>
                </c:pt>
                <c:pt idx="87">
                  <c:v>7.56876712328767</c:v>
                </c:pt>
                <c:pt idx="88">
                  <c:v>7.52109589041096</c:v>
                </c:pt>
                <c:pt idx="89">
                  <c:v>7.50739726027397</c:v>
                </c:pt>
                <c:pt idx="90">
                  <c:v>7.51397260273973</c:v>
                </c:pt>
                <c:pt idx="91">
                  <c:v>7.49369863013699</c:v>
                </c:pt>
                <c:pt idx="92">
                  <c:v>7.46630136986301</c:v>
                </c:pt>
                <c:pt idx="93">
                  <c:v>7.39095890410959</c:v>
                </c:pt>
                <c:pt idx="94">
                  <c:v>7.39780821917808</c:v>
                </c:pt>
                <c:pt idx="95">
                  <c:v>7.39780821917808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PnL!$U$2:$U$147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4.51041095890411</c:v>
                </c:pt>
                <c:pt idx="23">
                  <c:v>4.53438356164384</c:v>
                </c:pt>
                <c:pt idx="24">
                  <c:v>4.54150684931507</c:v>
                </c:pt>
                <c:pt idx="25">
                  <c:v>4.54150684931507</c:v>
                </c:pt>
                <c:pt idx="26">
                  <c:v>4.54164383561644</c:v>
                </c:pt>
                <c:pt idx="27">
                  <c:v>4.57630136986301</c:v>
                </c:pt>
                <c:pt idx="28">
                  <c:v>4.56493150684932</c:v>
                </c:pt>
                <c:pt idx="29">
                  <c:v>4.54575342465753</c:v>
                </c:pt>
                <c:pt idx="30">
                  <c:v>4.54246575342466</c:v>
                </c:pt>
                <c:pt idx="31">
                  <c:v>4.51506849315069</c:v>
                </c:pt>
                <c:pt idx="32">
                  <c:v>4.50123287671233</c:v>
                </c:pt>
                <c:pt idx="33">
                  <c:v>4.49109589041096</c:v>
                </c:pt>
                <c:pt idx="34">
                  <c:v>4.49109589041096</c:v>
                </c:pt>
                <c:pt idx="35">
                  <c:v>4.47068493150685</c:v>
                </c:pt>
                <c:pt idx="36">
                  <c:v>4.46109589041096</c:v>
                </c:pt>
                <c:pt idx="37">
                  <c:v>4.47780821917808</c:v>
                </c:pt>
                <c:pt idx="38">
                  <c:v>4.47109589041096</c:v>
                </c:pt>
                <c:pt idx="39">
                  <c:v>4.46178082191781</c:v>
                </c:pt>
                <c:pt idx="40">
                  <c:v>4.46109589041096</c:v>
                </c:pt>
                <c:pt idx="41">
                  <c:v>4.47849315068493</c:v>
                </c:pt>
                <c:pt idx="42">
                  <c:v>4.44506849315068</c:v>
                </c:pt>
                <c:pt idx="43">
                  <c:v>4.4172602739726</c:v>
                </c:pt>
                <c:pt idx="44">
                  <c:v>4.42095890410959</c:v>
                </c:pt>
                <c:pt idx="45">
                  <c:v>4.41054794520548</c:v>
                </c:pt>
                <c:pt idx="46">
                  <c:v>4.40972602739726</c:v>
                </c:pt>
                <c:pt idx="47">
                  <c:v>4.4272602739726</c:v>
                </c:pt>
                <c:pt idx="48">
                  <c:v>4.44054794520548</c:v>
                </c:pt>
                <c:pt idx="49">
                  <c:v>4.44383561643836</c:v>
                </c:pt>
                <c:pt idx="50">
                  <c:v>4.44109589041096</c:v>
                </c:pt>
                <c:pt idx="51">
                  <c:v>4.43876712328767</c:v>
                </c:pt>
                <c:pt idx="52">
                  <c:v>4.4413698630137</c:v>
                </c:pt>
                <c:pt idx="53">
                  <c:v>4.36753424657534</c:v>
                </c:pt>
                <c:pt idx="54">
                  <c:v>4.35054794520548</c:v>
                </c:pt>
                <c:pt idx="55">
                  <c:v>4.34369863013699</c:v>
                </c:pt>
                <c:pt idx="56">
                  <c:v>4.29835616438356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PnL!$V$2:$V$147</c:f>
              <c:numCache>
                <c:formatCode>General</c:formatCode>
                <c:ptCount val="146"/>
                <c:pt idx="1">
                  <c:v>0</c:v>
                </c:pt>
                <c:pt idx="2">
                  <c:v>40.4276712328767</c:v>
                </c:pt>
                <c:pt idx="3">
                  <c:v>41.0191780821918</c:v>
                </c:pt>
                <c:pt idx="4">
                  <c:v>40.8027397260274</c:v>
                </c:pt>
                <c:pt idx="5">
                  <c:v>40.9306849315068</c:v>
                </c:pt>
                <c:pt idx="6">
                  <c:v>40.7550684931507</c:v>
                </c:pt>
                <c:pt idx="7">
                  <c:v>54.7178082191781</c:v>
                </c:pt>
                <c:pt idx="8">
                  <c:v>54.9876712328767</c:v>
                </c:pt>
                <c:pt idx="9">
                  <c:v>60.6821917808219</c:v>
                </c:pt>
                <c:pt idx="10">
                  <c:v>61.0676712328767</c:v>
                </c:pt>
                <c:pt idx="11">
                  <c:v>60.8350684931507</c:v>
                </c:pt>
                <c:pt idx="12">
                  <c:v>60.6558904109589</c:v>
                </c:pt>
                <c:pt idx="13">
                  <c:v>60.881095890411</c:v>
                </c:pt>
                <c:pt idx="14">
                  <c:v>60.8128767123288</c:v>
                </c:pt>
                <c:pt idx="15">
                  <c:v>60.5646575342466</c:v>
                </c:pt>
                <c:pt idx="16">
                  <c:v>60.401095890411</c:v>
                </c:pt>
                <c:pt idx="17">
                  <c:v>60.7980821917808</c:v>
                </c:pt>
                <c:pt idx="18">
                  <c:v>61.6471232876712</c:v>
                </c:pt>
                <c:pt idx="19">
                  <c:v>61.8205479452055</c:v>
                </c:pt>
                <c:pt idx="20">
                  <c:v>53.7186301369863</c:v>
                </c:pt>
                <c:pt idx="21">
                  <c:v>53.2901369863014</c:v>
                </c:pt>
                <c:pt idx="22">
                  <c:v>57.6438356164384</c:v>
                </c:pt>
                <c:pt idx="23">
                  <c:v>58.5831506849315</c:v>
                </c:pt>
                <c:pt idx="24">
                  <c:v>58.7212328767123</c:v>
                </c:pt>
                <c:pt idx="25">
                  <c:v>58.5554794520548</c:v>
                </c:pt>
                <c:pt idx="26">
                  <c:v>58.4471232876712</c:v>
                </c:pt>
                <c:pt idx="27">
                  <c:v>58.2406849315068</c:v>
                </c:pt>
                <c:pt idx="28">
                  <c:v>57.8219178082192</c:v>
                </c:pt>
                <c:pt idx="29">
                  <c:v>57.3939726027397</c:v>
                </c:pt>
                <c:pt idx="30">
                  <c:v>57.3271232876712</c:v>
                </c:pt>
                <c:pt idx="31">
                  <c:v>56.8068493150685</c:v>
                </c:pt>
                <c:pt idx="32">
                  <c:v>56.4927397260274</c:v>
                </c:pt>
                <c:pt idx="33">
                  <c:v>56.136301369863</c:v>
                </c:pt>
                <c:pt idx="34">
                  <c:v>56.2157534246575</c:v>
                </c:pt>
                <c:pt idx="35">
                  <c:v>56.1030136986301</c:v>
                </c:pt>
                <c:pt idx="36">
                  <c:v>55.9594520547945</c:v>
                </c:pt>
                <c:pt idx="37">
                  <c:v>56.6013698630137</c:v>
                </c:pt>
                <c:pt idx="38">
                  <c:v>56.3247945205479</c:v>
                </c:pt>
                <c:pt idx="39">
                  <c:v>55.9891780821918</c:v>
                </c:pt>
                <c:pt idx="40">
                  <c:v>55.7852054794521</c:v>
                </c:pt>
                <c:pt idx="41">
                  <c:v>56.2220547945206</c:v>
                </c:pt>
                <c:pt idx="42">
                  <c:v>55.5127397260274</c:v>
                </c:pt>
                <c:pt idx="43">
                  <c:v>54.8490410958904</c:v>
                </c:pt>
                <c:pt idx="44">
                  <c:v>54.4045205479452</c:v>
                </c:pt>
                <c:pt idx="45">
                  <c:v>53.868904109589</c:v>
                </c:pt>
                <c:pt idx="46">
                  <c:v>53.2431506849315</c:v>
                </c:pt>
                <c:pt idx="47">
                  <c:v>53.7415068493151</c:v>
                </c:pt>
                <c:pt idx="48">
                  <c:v>54.0052054794521</c:v>
                </c:pt>
                <c:pt idx="49">
                  <c:v>54.6150684931507</c:v>
                </c:pt>
                <c:pt idx="50">
                  <c:v>54.8197260273973</c:v>
                </c:pt>
                <c:pt idx="51">
                  <c:v>54.7494520547945</c:v>
                </c:pt>
                <c:pt idx="52">
                  <c:v>54.7742465753425</c:v>
                </c:pt>
                <c:pt idx="53">
                  <c:v>52.7278082191781</c:v>
                </c:pt>
                <c:pt idx="54">
                  <c:v>52.5075342465753</c:v>
                </c:pt>
                <c:pt idx="55">
                  <c:v>52.3494520547945</c:v>
                </c:pt>
                <c:pt idx="56">
                  <c:v>51.7904109589041</c:v>
                </c:pt>
                <c:pt idx="57">
                  <c:v>47.8405479452055</c:v>
                </c:pt>
                <c:pt idx="58">
                  <c:v>48.3454794520548</c:v>
                </c:pt>
                <c:pt idx="59">
                  <c:v>48.5304109589041</c:v>
                </c:pt>
                <c:pt idx="60">
                  <c:v>48.5079452054795</c:v>
                </c:pt>
                <c:pt idx="61">
                  <c:v>49.2767123287671</c:v>
                </c:pt>
                <c:pt idx="62">
                  <c:v>51.6254794520548</c:v>
                </c:pt>
                <c:pt idx="63">
                  <c:v>51.0101369863014</c:v>
                </c:pt>
                <c:pt idx="64">
                  <c:v>50.7986301369863</c:v>
                </c:pt>
                <c:pt idx="65">
                  <c:v>50.8564383561644</c:v>
                </c:pt>
                <c:pt idx="66">
                  <c:v>50.6180821917808</c:v>
                </c:pt>
                <c:pt idx="67">
                  <c:v>50.7221917808219</c:v>
                </c:pt>
                <c:pt idx="68">
                  <c:v>50.5342465753425</c:v>
                </c:pt>
                <c:pt idx="69">
                  <c:v>50.46</c:v>
                </c:pt>
                <c:pt idx="70">
                  <c:v>50.7169863013699</c:v>
                </c:pt>
                <c:pt idx="71">
                  <c:v>50.8783561643836</c:v>
                </c:pt>
                <c:pt idx="72">
                  <c:v>46.3558904109589</c:v>
                </c:pt>
                <c:pt idx="73">
                  <c:v>39.3041095890411</c:v>
                </c:pt>
                <c:pt idx="74">
                  <c:v>39.6608219178082</c:v>
                </c:pt>
                <c:pt idx="75">
                  <c:v>39.7112328767123</c:v>
                </c:pt>
                <c:pt idx="76">
                  <c:v>39.9331506849315</c:v>
                </c:pt>
                <c:pt idx="77">
                  <c:v>39.9386301369863</c:v>
                </c:pt>
                <c:pt idx="78">
                  <c:v>39.7282191780822</c:v>
                </c:pt>
                <c:pt idx="79">
                  <c:v>39.4956164383562</c:v>
                </c:pt>
                <c:pt idx="80">
                  <c:v>39.5947945205479</c:v>
                </c:pt>
                <c:pt idx="81">
                  <c:v>39.9857534246575</c:v>
                </c:pt>
                <c:pt idx="82">
                  <c:v>40.6235616438356</c:v>
                </c:pt>
                <c:pt idx="83">
                  <c:v>40.5180821917808</c:v>
                </c:pt>
                <c:pt idx="84">
                  <c:v>41.0331506849315</c:v>
                </c:pt>
                <c:pt idx="85">
                  <c:v>33.7750684931507</c:v>
                </c:pt>
                <c:pt idx="86">
                  <c:v>33.8750684931507</c:v>
                </c:pt>
                <c:pt idx="87">
                  <c:v>28.7832876712329</c:v>
                </c:pt>
                <c:pt idx="88">
                  <c:v>28.4684931506849</c:v>
                </c:pt>
                <c:pt idx="89">
                  <c:v>28.3068493150685</c:v>
                </c:pt>
                <c:pt idx="90">
                  <c:v>28.3495890410959</c:v>
                </c:pt>
                <c:pt idx="91">
                  <c:v>28.2216438356164</c:v>
                </c:pt>
                <c:pt idx="92">
                  <c:v>28.1145205479452</c:v>
                </c:pt>
                <c:pt idx="93">
                  <c:v>27.8608219178082</c:v>
                </c:pt>
                <c:pt idx="94">
                  <c:v>27.8890410958904</c:v>
                </c:pt>
                <c:pt idx="95">
                  <c:v>27.872602739726</c:v>
                </c:pt>
                <c:pt idx="96">
                  <c:v>20.3523287671233</c:v>
                </c:pt>
                <c:pt idx="97">
                  <c:v>20.4172602739726</c:v>
                </c:pt>
                <c:pt idx="98">
                  <c:v>20.4805479452055</c:v>
                </c:pt>
                <c:pt idx="99">
                  <c:v>20.426301369863</c:v>
                </c:pt>
                <c:pt idx="100">
                  <c:v>20.5734246575342</c:v>
                </c:pt>
                <c:pt idx="101">
                  <c:v>20.4123287671233</c:v>
                </c:pt>
                <c:pt idx="102">
                  <c:v>20.2487671232877</c:v>
                </c:pt>
                <c:pt idx="103">
                  <c:v>20.0030136986301</c:v>
                </c:pt>
                <c:pt idx="104">
                  <c:v>19.9495890410959</c:v>
                </c:pt>
                <c:pt idx="105">
                  <c:v>20.1172602739726</c:v>
                </c:pt>
                <c:pt idx="106">
                  <c:v>13.4953424657534</c:v>
                </c:pt>
                <c:pt idx="107">
                  <c:v>13.4969863013699</c:v>
                </c:pt>
                <c:pt idx="108">
                  <c:v>13.6367123287671</c:v>
                </c:pt>
                <c:pt idx="109">
                  <c:v>13.6684931506849</c:v>
                </c:pt>
                <c:pt idx="110">
                  <c:v>13.6115068493151</c:v>
                </c:pt>
                <c:pt idx="111">
                  <c:v>13.681095890411</c:v>
                </c:pt>
                <c:pt idx="112">
                  <c:v>13.7106849315069</c:v>
                </c:pt>
                <c:pt idx="113">
                  <c:v>13.8893150684932</c:v>
                </c:pt>
                <c:pt idx="114">
                  <c:v>14.506301369863</c:v>
                </c:pt>
                <c:pt idx="115">
                  <c:v>14.5068493150685</c:v>
                </c:pt>
                <c:pt idx="116">
                  <c:v>14.6980821917808</c:v>
                </c:pt>
                <c:pt idx="117">
                  <c:v>14.4542465753425</c:v>
                </c:pt>
                <c:pt idx="118">
                  <c:v>14.4005479452055</c:v>
                </c:pt>
                <c:pt idx="119">
                  <c:v>14.3534246575342</c:v>
                </c:pt>
                <c:pt idx="120">
                  <c:v>7.16657534246575</c:v>
                </c:pt>
                <c:pt idx="121">
                  <c:v>7.07205479452055</c:v>
                </c:pt>
                <c:pt idx="122">
                  <c:v>7.04739726027397</c:v>
                </c:pt>
                <c:pt idx="123">
                  <c:v>7.1627397260274</c:v>
                </c:pt>
                <c:pt idx="124">
                  <c:v>7.27150684931507</c:v>
                </c:pt>
                <c:pt idx="125">
                  <c:v>7.41013698630137</c:v>
                </c:pt>
                <c:pt idx="126">
                  <c:v>7.38219178082192</c:v>
                </c:pt>
                <c:pt idx="127">
                  <c:v>7.32849315068493</c:v>
                </c:pt>
                <c:pt idx="128">
                  <c:v>7.31561643835616</c:v>
                </c:pt>
                <c:pt idx="129">
                  <c:v>7.36054794520548</c:v>
                </c:pt>
                <c:pt idx="130">
                  <c:v>7.48630136986301</c:v>
                </c:pt>
                <c:pt idx="131">
                  <c:v>7.41397260273973</c:v>
                </c:pt>
                <c:pt idx="132">
                  <c:v>7.38410958904109</c:v>
                </c:pt>
                <c:pt idx="133">
                  <c:v>7.49150684931507</c:v>
                </c:pt>
                <c:pt idx="134">
                  <c:v>7.51068493150685</c:v>
                </c:pt>
                <c:pt idx="135">
                  <c:v>7.56027397260274</c:v>
                </c:pt>
                <c:pt idx="136">
                  <c:v>7.38849315068493</c:v>
                </c:pt>
                <c:pt idx="137">
                  <c:v>7.41287671232877</c:v>
                </c:pt>
                <c:pt idx="138">
                  <c:v>7.41150684931507</c:v>
                </c:pt>
                <c:pt idx="139">
                  <c:v>7.31643835616438</c:v>
                </c:pt>
                <c:pt idx="140">
                  <c:v>7.33068493150685</c:v>
                </c:pt>
                <c:pt idx="141">
                  <c:v>7.29095890410959</c:v>
                </c:pt>
                <c:pt idx="142">
                  <c:v>7.2372602739726</c:v>
                </c:pt>
                <c:pt idx="143">
                  <c:v>7.14027397260274</c:v>
                </c:pt>
                <c:pt idx="144">
                  <c:v>7.19890410958904</c:v>
                </c:pt>
                <c:pt idx="145">
                  <c:v>7.3158904109589</c:v>
                </c:pt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PnL!$W$2:$W$147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PnL!$A$2:$A$147</c:f>
              <c:numCache>
                <c:formatCode>yyyy\-mm\-dd</c:formatCode>
                <c:ptCount val="146"/>
                <c:pt idx="0" c:formatCode="yyyy\-mm\-dd">
                  <c:v>44713</c:v>
                </c:pt>
                <c:pt idx="1" c:formatCode="yyyy\-mm\-dd">
                  <c:v>44714</c:v>
                </c:pt>
                <c:pt idx="2" c:formatCode="yyyy\-mm\-dd">
                  <c:v>44718</c:v>
                </c:pt>
                <c:pt idx="3" c:formatCode="yyyy\-mm\-dd">
                  <c:v>44719</c:v>
                </c:pt>
                <c:pt idx="4" c:formatCode="yyyy\-mm\-dd">
                  <c:v>44720</c:v>
                </c:pt>
                <c:pt idx="5" c:formatCode="yyyy\-mm\-dd">
                  <c:v>44721</c:v>
                </c:pt>
                <c:pt idx="6" c:formatCode="yyyy\-mm\-dd">
                  <c:v>44722</c:v>
                </c:pt>
                <c:pt idx="7" c:formatCode="yyyy\-mm\-dd">
                  <c:v>44725</c:v>
                </c:pt>
                <c:pt idx="8" c:formatCode="yyyy\-mm\-dd">
                  <c:v>44726</c:v>
                </c:pt>
                <c:pt idx="9" c:formatCode="yyyy\-mm\-dd">
                  <c:v>44727</c:v>
                </c:pt>
                <c:pt idx="10" c:formatCode="yyyy\-mm\-dd">
                  <c:v>44728</c:v>
                </c:pt>
                <c:pt idx="11" c:formatCode="yyyy\-mm\-dd">
                  <c:v>44729</c:v>
                </c:pt>
                <c:pt idx="12" c:formatCode="yyyy\-mm\-dd">
                  <c:v>44732</c:v>
                </c:pt>
                <c:pt idx="13" c:formatCode="yyyy\-mm\-dd">
                  <c:v>44733</c:v>
                </c:pt>
                <c:pt idx="14" c:formatCode="yyyy\-mm\-dd">
                  <c:v>44734</c:v>
                </c:pt>
                <c:pt idx="15" c:formatCode="yyyy\-mm\-dd">
                  <c:v>44735</c:v>
                </c:pt>
                <c:pt idx="16" c:formatCode="yyyy\-mm\-dd">
                  <c:v>44736</c:v>
                </c:pt>
                <c:pt idx="17" c:formatCode="yyyy\-mm\-dd">
                  <c:v>44739</c:v>
                </c:pt>
                <c:pt idx="18" c:formatCode="yyyy\-mm\-dd">
                  <c:v>44740</c:v>
                </c:pt>
                <c:pt idx="19" c:formatCode="yyyy\-mm\-dd">
                  <c:v>44741</c:v>
                </c:pt>
                <c:pt idx="20" c:formatCode="yyyy\-mm\-dd">
                  <c:v>44742</c:v>
                </c:pt>
                <c:pt idx="21" c:formatCode="yyyy\-mm\-dd">
                  <c:v>44743</c:v>
                </c:pt>
                <c:pt idx="22" c:formatCode="yyyy\-mm\-dd">
                  <c:v>44746</c:v>
                </c:pt>
                <c:pt idx="23" c:formatCode="yyyy\-mm\-dd">
                  <c:v>44747</c:v>
                </c:pt>
                <c:pt idx="24" c:formatCode="yyyy\-mm\-dd">
                  <c:v>44748</c:v>
                </c:pt>
                <c:pt idx="25" c:formatCode="yyyy\-mm\-dd">
                  <c:v>44749</c:v>
                </c:pt>
                <c:pt idx="26" c:formatCode="yyyy\-mm\-dd">
                  <c:v>44750</c:v>
                </c:pt>
                <c:pt idx="27" c:formatCode="yyyy\-mm\-dd">
                  <c:v>44753</c:v>
                </c:pt>
                <c:pt idx="28" c:formatCode="yyyy\-mm\-dd">
                  <c:v>44754</c:v>
                </c:pt>
                <c:pt idx="29" c:formatCode="yyyy\-mm\-dd">
                  <c:v>44755</c:v>
                </c:pt>
                <c:pt idx="30" c:formatCode="yyyy\-mm\-dd">
                  <c:v>44756</c:v>
                </c:pt>
                <c:pt idx="31" c:formatCode="yyyy\-mm\-dd">
                  <c:v>44757</c:v>
                </c:pt>
                <c:pt idx="32" c:formatCode="yyyy\-mm\-dd">
                  <c:v>44760</c:v>
                </c:pt>
                <c:pt idx="33" c:formatCode="yyyy\-mm\-dd">
                  <c:v>44761</c:v>
                </c:pt>
                <c:pt idx="34" c:formatCode="yyyy\-mm\-dd">
                  <c:v>44762</c:v>
                </c:pt>
                <c:pt idx="35" c:formatCode="yyyy\-mm\-dd">
                  <c:v>44763</c:v>
                </c:pt>
                <c:pt idx="36" c:formatCode="yyyy\-mm\-dd">
                  <c:v>44764</c:v>
                </c:pt>
                <c:pt idx="37" c:formatCode="yyyy\-mm\-dd">
                  <c:v>44767</c:v>
                </c:pt>
                <c:pt idx="38" c:formatCode="yyyy\-mm\-dd">
                  <c:v>44768</c:v>
                </c:pt>
                <c:pt idx="39" c:formatCode="yyyy\-mm\-dd">
                  <c:v>44769</c:v>
                </c:pt>
                <c:pt idx="40" c:formatCode="yyyy\-mm\-dd">
                  <c:v>44770</c:v>
                </c:pt>
                <c:pt idx="41" c:formatCode="yyyy\-mm\-dd">
                  <c:v>44771</c:v>
                </c:pt>
                <c:pt idx="42" c:formatCode="yyyy\-mm\-dd">
                  <c:v>44774</c:v>
                </c:pt>
                <c:pt idx="43" c:formatCode="yyyy\-mm\-dd">
                  <c:v>44775</c:v>
                </c:pt>
                <c:pt idx="44" c:formatCode="yyyy\-mm\-dd">
                  <c:v>44776</c:v>
                </c:pt>
                <c:pt idx="45" c:formatCode="yyyy\-mm\-dd">
                  <c:v>44777</c:v>
                </c:pt>
                <c:pt idx="46" c:formatCode="yyyy\-mm\-dd">
                  <c:v>44778</c:v>
                </c:pt>
                <c:pt idx="47" c:formatCode="yyyy\-mm\-dd">
                  <c:v>44781</c:v>
                </c:pt>
                <c:pt idx="48" c:formatCode="yyyy\-mm\-dd">
                  <c:v>44782</c:v>
                </c:pt>
                <c:pt idx="49" c:formatCode="yyyy\-mm\-dd">
                  <c:v>44783</c:v>
                </c:pt>
                <c:pt idx="50" c:formatCode="yyyy\-mm\-dd">
                  <c:v>44784</c:v>
                </c:pt>
                <c:pt idx="51" c:formatCode="yyyy\-mm\-dd">
                  <c:v>44785</c:v>
                </c:pt>
                <c:pt idx="52" c:formatCode="yyyy\-mm\-dd">
                  <c:v>44788</c:v>
                </c:pt>
                <c:pt idx="53" c:formatCode="yyyy\-mm\-dd">
                  <c:v>44789</c:v>
                </c:pt>
                <c:pt idx="54" c:formatCode="yyyy\-mm\-dd">
                  <c:v>44790</c:v>
                </c:pt>
                <c:pt idx="55" c:formatCode="yyyy\-mm\-dd">
                  <c:v>44791</c:v>
                </c:pt>
                <c:pt idx="56" c:formatCode="yyyy\-mm\-dd">
                  <c:v>44792</c:v>
                </c:pt>
                <c:pt idx="57" c:formatCode="yyyy\-mm\-dd">
                  <c:v>44795</c:v>
                </c:pt>
                <c:pt idx="58" c:formatCode="yyyy\-mm\-dd">
                  <c:v>44796</c:v>
                </c:pt>
                <c:pt idx="59" c:formatCode="yyyy\-mm\-dd">
                  <c:v>44797</c:v>
                </c:pt>
                <c:pt idx="60" c:formatCode="yyyy\-mm\-dd">
                  <c:v>44798</c:v>
                </c:pt>
                <c:pt idx="61" c:formatCode="yyyy\-mm\-dd">
                  <c:v>44799</c:v>
                </c:pt>
                <c:pt idx="62" c:formatCode="yyyy\-mm\-dd">
                  <c:v>44802</c:v>
                </c:pt>
                <c:pt idx="63" c:formatCode="yyyy\-mm\-dd">
                  <c:v>44803</c:v>
                </c:pt>
                <c:pt idx="64" c:formatCode="yyyy\-mm\-dd">
                  <c:v>44804</c:v>
                </c:pt>
                <c:pt idx="65" c:formatCode="yyyy\-mm\-dd">
                  <c:v>44805</c:v>
                </c:pt>
                <c:pt idx="66" c:formatCode="yyyy\-mm\-dd">
                  <c:v>44806</c:v>
                </c:pt>
                <c:pt idx="67" c:formatCode="yyyy\-mm\-dd">
                  <c:v>44809</c:v>
                </c:pt>
                <c:pt idx="68" c:formatCode="yyyy\-mm\-dd">
                  <c:v>44810</c:v>
                </c:pt>
                <c:pt idx="69" c:formatCode="yyyy\-mm\-dd">
                  <c:v>44811</c:v>
                </c:pt>
                <c:pt idx="70" c:formatCode="yyyy\-mm\-dd">
                  <c:v>44812</c:v>
                </c:pt>
                <c:pt idx="71" c:formatCode="yyyy\-mm\-dd">
                  <c:v>44813</c:v>
                </c:pt>
                <c:pt idx="72" c:formatCode="yyyy\-mm\-dd">
                  <c:v>44817</c:v>
                </c:pt>
                <c:pt idx="73" c:formatCode="yyyy\-mm\-dd">
                  <c:v>44818</c:v>
                </c:pt>
                <c:pt idx="74" c:formatCode="yyyy\-mm\-dd">
                  <c:v>44819</c:v>
                </c:pt>
                <c:pt idx="75" c:formatCode="yyyy\-mm\-dd">
                  <c:v>44820</c:v>
                </c:pt>
                <c:pt idx="76" c:formatCode="yyyy\-mm\-dd">
                  <c:v>44823</c:v>
                </c:pt>
                <c:pt idx="77" c:formatCode="yyyy\-mm\-dd">
                  <c:v>44824</c:v>
                </c:pt>
                <c:pt idx="78" c:formatCode="yyyy\-mm\-dd">
                  <c:v>44825</c:v>
                </c:pt>
                <c:pt idx="79" c:formatCode="yyyy\-mm\-dd">
                  <c:v>44826</c:v>
                </c:pt>
                <c:pt idx="80" c:formatCode="yyyy\-mm\-dd">
                  <c:v>44827</c:v>
                </c:pt>
                <c:pt idx="81" c:formatCode="yyyy\-mm\-dd">
                  <c:v>44830</c:v>
                </c:pt>
                <c:pt idx="82" c:formatCode="yyyy\-mm\-dd">
                  <c:v>44831</c:v>
                </c:pt>
                <c:pt idx="83" c:formatCode="yyyy\-mm\-dd">
                  <c:v>44832</c:v>
                </c:pt>
                <c:pt idx="84" c:formatCode="yyyy\-mm\-dd">
                  <c:v>44833</c:v>
                </c:pt>
                <c:pt idx="85" c:formatCode="yyyy\-mm\-dd">
                  <c:v>44834</c:v>
                </c:pt>
                <c:pt idx="86" c:formatCode="yyyy\-mm\-dd">
                  <c:v>44842</c:v>
                </c:pt>
                <c:pt idx="87" c:formatCode="yyyy\-mm\-dd">
                  <c:v>44843</c:v>
                </c:pt>
                <c:pt idx="88" c:formatCode="yyyy\-mm\-dd">
                  <c:v>44844</c:v>
                </c:pt>
                <c:pt idx="89" c:formatCode="yyyy\-mm\-dd">
                  <c:v>44845</c:v>
                </c:pt>
                <c:pt idx="90" c:formatCode="yyyy\-mm\-dd">
                  <c:v>44846</c:v>
                </c:pt>
                <c:pt idx="91" c:formatCode="yyyy\-mm\-dd">
                  <c:v>44847</c:v>
                </c:pt>
                <c:pt idx="92" c:formatCode="yyyy\-mm\-dd">
                  <c:v>44848</c:v>
                </c:pt>
                <c:pt idx="93" c:formatCode="yyyy\-mm\-dd">
                  <c:v>44851</c:v>
                </c:pt>
                <c:pt idx="94" c:formatCode="yyyy\-mm\-dd">
                  <c:v>44852</c:v>
                </c:pt>
                <c:pt idx="95" c:formatCode="yyyy\-mm\-dd">
                  <c:v>44853</c:v>
                </c:pt>
                <c:pt idx="96" c:formatCode="yyyy\-mm\-dd">
                  <c:v>44854</c:v>
                </c:pt>
                <c:pt idx="97" c:formatCode="yyyy\-mm\-dd">
                  <c:v>44855</c:v>
                </c:pt>
                <c:pt idx="98" c:formatCode="yyyy\-mm\-dd">
                  <c:v>44858</c:v>
                </c:pt>
                <c:pt idx="99" c:formatCode="yyyy\-mm\-dd">
                  <c:v>44859</c:v>
                </c:pt>
                <c:pt idx="100" c:formatCode="yyyy\-mm\-dd">
                  <c:v>44860</c:v>
                </c:pt>
                <c:pt idx="101" c:formatCode="yyyy\-mm\-dd">
                  <c:v>44861</c:v>
                </c:pt>
                <c:pt idx="102" c:formatCode="yyyy\-mm\-dd">
                  <c:v>44862</c:v>
                </c:pt>
                <c:pt idx="103" c:formatCode="yyyy\-mm\-dd">
                  <c:v>44865</c:v>
                </c:pt>
                <c:pt idx="104" c:formatCode="yyyy\-mm\-dd">
                  <c:v>44866</c:v>
                </c:pt>
                <c:pt idx="105" c:formatCode="yyyy\-mm\-dd">
                  <c:v>44867</c:v>
                </c:pt>
                <c:pt idx="106" c:formatCode="yyyy\-mm\-dd">
                  <c:v>44868</c:v>
                </c:pt>
                <c:pt idx="107" c:formatCode="yyyy\-mm\-dd">
                  <c:v>44869</c:v>
                </c:pt>
                <c:pt idx="108" c:formatCode="yyyy\-mm\-dd">
                  <c:v>44872</c:v>
                </c:pt>
                <c:pt idx="109" c:formatCode="yyyy\-mm\-dd">
                  <c:v>44873</c:v>
                </c:pt>
                <c:pt idx="110" c:formatCode="yyyy\-mm\-dd">
                  <c:v>44874</c:v>
                </c:pt>
                <c:pt idx="111" c:formatCode="yyyy\-mm\-dd">
                  <c:v>44875</c:v>
                </c:pt>
                <c:pt idx="112" c:formatCode="yyyy\-mm\-dd">
                  <c:v>44876</c:v>
                </c:pt>
                <c:pt idx="113" c:formatCode="yyyy\-mm\-dd">
                  <c:v>44879</c:v>
                </c:pt>
                <c:pt idx="114" c:formatCode="yyyy\-mm\-dd">
                  <c:v>44880</c:v>
                </c:pt>
                <c:pt idx="115" c:formatCode="yyyy\-mm\-dd">
                  <c:v>44881</c:v>
                </c:pt>
                <c:pt idx="116" c:formatCode="yyyy\-mm\-dd">
                  <c:v>44882</c:v>
                </c:pt>
                <c:pt idx="117" c:formatCode="yyyy\-mm\-dd">
                  <c:v>44883</c:v>
                </c:pt>
                <c:pt idx="118" c:formatCode="yyyy\-mm\-dd">
                  <c:v>44886</c:v>
                </c:pt>
                <c:pt idx="119" c:formatCode="yyyy\-mm\-dd">
                  <c:v>44887</c:v>
                </c:pt>
                <c:pt idx="120" c:formatCode="yyyy\-mm\-dd">
                  <c:v>44888</c:v>
                </c:pt>
                <c:pt idx="121" c:formatCode="yyyy\-mm\-dd">
                  <c:v>44889</c:v>
                </c:pt>
                <c:pt idx="122" c:formatCode="yyyy\-mm\-dd">
                  <c:v>44890</c:v>
                </c:pt>
                <c:pt idx="123" c:formatCode="yyyy\-mm\-dd">
                  <c:v>44893</c:v>
                </c:pt>
                <c:pt idx="124" c:formatCode="yyyy\-mm\-dd">
                  <c:v>44894</c:v>
                </c:pt>
                <c:pt idx="125" c:formatCode="yyyy\-mm\-dd">
                  <c:v>44895</c:v>
                </c:pt>
                <c:pt idx="126" c:formatCode="yyyy\-mm\-dd">
                  <c:v>44896</c:v>
                </c:pt>
                <c:pt idx="127" c:formatCode="yyyy\-mm\-dd">
                  <c:v>44897</c:v>
                </c:pt>
                <c:pt idx="128" c:formatCode="yyyy\-mm\-dd">
                  <c:v>44900</c:v>
                </c:pt>
                <c:pt idx="129" c:formatCode="yyyy\-mm\-dd">
                  <c:v>44901</c:v>
                </c:pt>
                <c:pt idx="130" c:formatCode="yyyy\-mm\-dd">
                  <c:v>44902</c:v>
                </c:pt>
                <c:pt idx="131" c:formatCode="yyyy\-mm\-dd">
                  <c:v>44903</c:v>
                </c:pt>
                <c:pt idx="132" c:formatCode="yyyy\-mm\-dd">
                  <c:v>44904</c:v>
                </c:pt>
                <c:pt idx="133" c:formatCode="yyyy\-mm\-dd">
                  <c:v>44907</c:v>
                </c:pt>
                <c:pt idx="134" c:formatCode="yyyy\-mm\-dd">
                  <c:v>44908</c:v>
                </c:pt>
                <c:pt idx="135" c:formatCode="yyyy\-mm\-dd">
                  <c:v>44909</c:v>
                </c:pt>
                <c:pt idx="136" c:formatCode="yyyy\-mm\-dd">
                  <c:v>44910</c:v>
                </c:pt>
                <c:pt idx="137" c:formatCode="yyyy\-mm\-dd">
                  <c:v>44911</c:v>
                </c:pt>
                <c:pt idx="138" c:formatCode="yyyy\-mm\-dd">
                  <c:v>44914</c:v>
                </c:pt>
                <c:pt idx="139" c:formatCode="yyyy\-mm\-dd">
                  <c:v>44915</c:v>
                </c:pt>
                <c:pt idx="140" c:formatCode="yyyy\-mm\-dd">
                  <c:v>44916</c:v>
                </c:pt>
                <c:pt idx="141" c:formatCode="yyyy\-mm\-dd">
                  <c:v>44917</c:v>
                </c:pt>
                <c:pt idx="142" c:formatCode="yyyy\-mm\-dd">
                  <c:v>44918</c:v>
                </c:pt>
                <c:pt idx="143" c:formatCode="yyyy\-mm\-dd">
                  <c:v>44921</c:v>
                </c:pt>
                <c:pt idx="144" c:formatCode="yyyy\-mm\-dd">
                  <c:v>44922</c:v>
                </c:pt>
                <c:pt idx="145" c:formatCode="yyyy\-mm\-dd">
                  <c:v>44923</c:v>
                </c:pt>
              </c:numCache>
            </c:numRef>
          </c:cat>
          <c:val>
            <c:numRef>
              <c:f>PnL!$AE$2:$AE$147</c:f>
              <c:numCache>
                <c:formatCode>General</c:formatCode>
                <c:ptCount val="14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52464"/>
        <c:axId val="21753904"/>
      </c:lineChart>
      <c:dateAx>
        <c:axId val="217524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3904"/>
        <c:crosses val="autoZero"/>
        <c:auto val="1"/>
        <c:lblOffset val="100"/>
        <c:baseTimeUnit val="days"/>
      </c:dateAx>
      <c:valAx>
        <c:axId val="217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c84151-4c4b-4437-a0ae-812bb95135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2024.1-11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PnL!$B$401:$B$620</c:f>
              <c:numCache>
                <c:formatCode>General</c:formatCode>
                <c:ptCount val="220"/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PnL!$C$401:$C$620</c:f>
              <c:numCache>
                <c:formatCode>General</c:formatCode>
                <c:ptCount val="2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10</c:v>
                </c:pt>
                <c:pt idx="57">
                  <c:v>10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PnL!$D$401:$D$620</c:f>
              <c:numCache>
                <c:formatCode>General</c:formatCode>
                <c:ptCount val="2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10</c:v>
                </c:pt>
                <c:pt idx="177">
                  <c:v>10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PnL!$E$401:$E$620</c:f>
              <c:numCache>
                <c:formatCode>General</c:formatCode>
                <c:ptCount val="2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PnL!$F$401:$F$620</c:f>
              <c:numCache>
                <c:formatCode>General</c:formatCode>
                <c:ptCount val="22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50</c:v>
                </c:pt>
                <c:pt idx="57">
                  <c:v>50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70</c:v>
                </c:pt>
                <c:pt idx="74">
                  <c:v>65</c:v>
                </c:pt>
                <c:pt idx="75">
                  <c:v>65</c:v>
                </c:pt>
                <c:pt idx="76">
                  <c:v>55</c:v>
                </c:pt>
                <c:pt idx="77">
                  <c:v>55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55</c:v>
                </c:pt>
                <c:pt idx="82">
                  <c:v>55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65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98</c:v>
                </c:pt>
                <c:pt idx="174">
                  <c:v>95</c:v>
                </c:pt>
                <c:pt idx="175">
                  <c:v>95</c:v>
                </c:pt>
                <c:pt idx="176">
                  <c:v>90</c:v>
                </c:pt>
                <c:pt idx="177">
                  <c:v>90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40</c:v>
                </c:pt>
                <c:pt idx="190">
                  <c:v>40</c:v>
                </c:pt>
                <c:pt idx="191">
                  <c:v>60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55</c:v>
                </c:pt>
                <c:pt idx="203">
                  <c:v>55</c:v>
                </c:pt>
                <c:pt idx="204">
                  <c:v>55</c:v>
                </c:pt>
                <c:pt idx="205">
                  <c:v>55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55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PnL!$G$401:$G$620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PnL!$H$401:$H$620</c:f>
              <c:numCache>
                <c:formatCode>General</c:formatCode>
                <c:ptCount val="2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50</c:v>
                </c:pt>
                <c:pt idx="57">
                  <c:v>50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PnL!$I$401:$I$620</c:f>
              <c:numCache>
                <c:formatCode>General</c:formatCode>
                <c:ptCount val="220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180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180</c:v>
                </c:pt>
                <c:pt idx="66">
                  <c:v>180</c:v>
                </c:pt>
                <c:pt idx="67">
                  <c:v>180</c:v>
                </c:pt>
                <c:pt idx="68">
                  <c:v>180</c:v>
                </c:pt>
                <c:pt idx="69">
                  <c:v>180</c:v>
                </c:pt>
                <c:pt idx="70">
                  <c:v>180</c:v>
                </c:pt>
                <c:pt idx="71">
                  <c:v>180</c:v>
                </c:pt>
                <c:pt idx="72">
                  <c:v>180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180</c:v>
                </c:pt>
                <c:pt idx="84">
                  <c:v>180</c:v>
                </c:pt>
                <c:pt idx="85">
                  <c:v>180</c:v>
                </c:pt>
                <c:pt idx="86">
                  <c:v>180</c:v>
                </c:pt>
                <c:pt idx="87">
                  <c:v>180</c:v>
                </c:pt>
                <c:pt idx="88">
                  <c:v>180</c:v>
                </c:pt>
                <c:pt idx="89">
                  <c:v>180</c:v>
                </c:pt>
                <c:pt idx="90">
                  <c:v>180</c:v>
                </c:pt>
                <c:pt idx="91">
                  <c:v>180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180</c:v>
                </c:pt>
                <c:pt idx="96">
                  <c:v>180</c:v>
                </c:pt>
                <c:pt idx="97">
                  <c:v>180</c:v>
                </c:pt>
                <c:pt idx="98">
                  <c:v>180</c:v>
                </c:pt>
                <c:pt idx="99">
                  <c:v>180</c:v>
                </c:pt>
                <c:pt idx="100">
                  <c:v>180</c:v>
                </c:pt>
                <c:pt idx="101">
                  <c:v>180</c:v>
                </c:pt>
                <c:pt idx="102">
                  <c:v>135</c:v>
                </c:pt>
                <c:pt idx="103">
                  <c:v>135</c:v>
                </c:pt>
                <c:pt idx="104">
                  <c:v>135</c:v>
                </c:pt>
                <c:pt idx="105">
                  <c:v>135</c:v>
                </c:pt>
                <c:pt idx="106">
                  <c:v>135</c:v>
                </c:pt>
                <c:pt idx="107">
                  <c:v>135</c:v>
                </c:pt>
                <c:pt idx="108">
                  <c:v>135</c:v>
                </c:pt>
                <c:pt idx="109">
                  <c:v>135</c:v>
                </c:pt>
                <c:pt idx="110">
                  <c:v>135</c:v>
                </c:pt>
                <c:pt idx="111">
                  <c:v>135</c:v>
                </c:pt>
                <c:pt idx="112">
                  <c:v>135</c:v>
                </c:pt>
                <c:pt idx="113">
                  <c:v>135</c:v>
                </c:pt>
                <c:pt idx="114">
                  <c:v>135</c:v>
                </c:pt>
                <c:pt idx="115">
                  <c:v>135</c:v>
                </c:pt>
                <c:pt idx="116">
                  <c:v>135</c:v>
                </c:pt>
                <c:pt idx="117">
                  <c:v>135</c:v>
                </c:pt>
                <c:pt idx="118">
                  <c:v>135</c:v>
                </c:pt>
                <c:pt idx="119">
                  <c:v>135</c:v>
                </c:pt>
                <c:pt idx="120">
                  <c:v>135</c:v>
                </c:pt>
                <c:pt idx="121">
                  <c:v>135</c:v>
                </c:pt>
                <c:pt idx="122">
                  <c:v>135</c:v>
                </c:pt>
                <c:pt idx="123">
                  <c:v>135</c:v>
                </c:pt>
                <c:pt idx="124">
                  <c:v>135</c:v>
                </c:pt>
                <c:pt idx="125">
                  <c:v>135</c:v>
                </c:pt>
                <c:pt idx="126">
                  <c:v>135</c:v>
                </c:pt>
                <c:pt idx="127">
                  <c:v>135</c:v>
                </c:pt>
                <c:pt idx="128">
                  <c:v>135</c:v>
                </c:pt>
                <c:pt idx="129">
                  <c:v>135</c:v>
                </c:pt>
                <c:pt idx="130">
                  <c:v>135</c:v>
                </c:pt>
                <c:pt idx="131">
                  <c:v>135</c:v>
                </c:pt>
                <c:pt idx="132">
                  <c:v>135</c:v>
                </c:pt>
                <c:pt idx="133">
                  <c:v>135</c:v>
                </c:pt>
                <c:pt idx="134">
                  <c:v>135</c:v>
                </c:pt>
                <c:pt idx="135">
                  <c:v>135</c:v>
                </c:pt>
                <c:pt idx="136">
                  <c:v>135</c:v>
                </c:pt>
                <c:pt idx="137">
                  <c:v>135</c:v>
                </c:pt>
                <c:pt idx="138">
                  <c:v>135</c:v>
                </c:pt>
                <c:pt idx="139">
                  <c:v>135</c:v>
                </c:pt>
                <c:pt idx="140">
                  <c:v>135</c:v>
                </c:pt>
                <c:pt idx="141">
                  <c:v>135</c:v>
                </c:pt>
                <c:pt idx="142">
                  <c:v>135</c:v>
                </c:pt>
                <c:pt idx="143">
                  <c:v>135</c:v>
                </c:pt>
                <c:pt idx="144">
                  <c:v>135</c:v>
                </c:pt>
                <c:pt idx="145">
                  <c:v>135</c:v>
                </c:pt>
                <c:pt idx="146">
                  <c:v>135</c:v>
                </c:pt>
                <c:pt idx="147">
                  <c:v>135</c:v>
                </c:pt>
                <c:pt idx="148">
                  <c:v>135</c:v>
                </c:pt>
                <c:pt idx="149">
                  <c:v>135</c:v>
                </c:pt>
                <c:pt idx="150">
                  <c:v>135</c:v>
                </c:pt>
                <c:pt idx="151">
                  <c:v>135</c:v>
                </c:pt>
                <c:pt idx="152">
                  <c:v>135</c:v>
                </c:pt>
                <c:pt idx="153">
                  <c:v>135</c:v>
                </c:pt>
                <c:pt idx="154">
                  <c:v>135</c:v>
                </c:pt>
                <c:pt idx="155">
                  <c:v>135</c:v>
                </c:pt>
                <c:pt idx="156">
                  <c:v>135</c:v>
                </c:pt>
                <c:pt idx="157">
                  <c:v>135</c:v>
                </c:pt>
                <c:pt idx="158">
                  <c:v>135</c:v>
                </c:pt>
                <c:pt idx="159">
                  <c:v>135</c:v>
                </c:pt>
                <c:pt idx="160">
                  <c:v>135</c:v>
                </c:pt>
                <c:pt idx="161">
                  <c:v>135</c:v>
                </c:pt>
                <c:pt idx="162">
                  <c:v>135</c:v>
                </c:pt>
                <c:pt idx="163">
                  <c:v>135</c:v>
                </c:pt>
                <c:pt idx="164">
                  <c:v>135</c:v>
                </c:pt>
                <c:pt idx="165">
                  <c:v>135</c:v>
                </c:pt>
                <c:pt idx="166">
                  <c:v>135</c:v>
                </c:pt>
                <c:pt idx="167">
                  <c:v>135</c:v>
                </c:pt>
                <c:pt idx="168">
                  <c:v>135</c:v>
                </c:pt>
                <c:pt idx="169">
                  <c:v>135</c:v>
                </c:pt>
                <c:pt idx="170">
                  <c:v>135</c:v>
                </c:pt>
                <c:pt idx="171">
                  <c:v>135</c:v>
                </c:pt>
                <c:pt idx="172">
                  <c:v>135</c:v>
                </c:pt>
                <c:pt idx="173">
                  <c:v>135</c:v>
                </c:pt>
                <c:pt idx="174">
                  <c:v>135</c:v>
                </c:pt>
                <c:pt idx="175">
                  <c:v>135</c:v>
                </c:pt>
                <c:pt idx="176">
                  <c:v>90</c:v>
                </c:pt>
                <c:pt idx="177">
                  <c:v>90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90</c:v>
                </c:pt>
                <c:pt idx="192">
                  <c:v>90</c:v>
                </c:pt>
                <c:pt idx="193">
                  <c:v>90</c:v>
                </c:pt>
                <c:pt idx="194">
                  <c:v>90</c:v>
                </c:pt>
                <c:pt idx="195">
                  <c:v>90</c:v>
                </c:pt>
                <c:pt idx="196">
                  <c:v>90</c:v>
                </c:pt>
                <c:pt idx="197">
                  <c:v>90</c:v>
                </c:pt>
                <c:pt idx="198">
                  <c:v>90</c:v>
                </c:pt>
                <c:pt idx="199">
                  <c:v>90</c:v>
                </c:pt>
                <c:pt idx="200">
                  <c:v>90</c:v>
                </c:pt>
                <c:pt idx="201">
                  <c:v>90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90</c:v>
                </c:pt>
                <c:pt idx="215">
                  <c:v>90</c:v>
                </c:pt>
                <c:pt idx="216">
                  <c:v>90</c:v>
                </c:pt>
                <c:pt idx="217">
                  <c:v>90</c:v>
                </c:pt>
                <c:pt idx="218">
                  <c:v>90</c:v>
                </c:pt>
                <c:pt idx="219">
                  <c:v>90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PnL!$J$401:$J$620</c:f>
              <c:numCache>
                <c:formatCode>General</c:formatCode>
                <c:ptCount val="22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  <c:pt idx="15">
                  <c:v>160</c:v>
                </c:pt>
                <c:pt idx="16">
                  <c:v>160</c:v>
                </c:pt>
                <c:pt idx="17">
                  <c:v>160</c:v>
                </c:pt>
                <c:pt idx="18">
                  <c:v>160</c:v>
                </c:pt>
                <c:pt idx="19">
                  <c:v>160</c:v>
                </c:pt>
                <c:pt idx="20">
                  <c:v>160</c:v>
                </c:pt>
                <c:pt idx="21">
                  <c:v>160</c:v>
                </c:pt>
                <c:pt idx="22">
                  <c:v>160</c:v>
                </c:pt>
                <c:pt idx="23">
                  <c:v>160</c:v>
                </c:pt>
                <c:pt idx="24">
                  <c:v>160</c:v>
                </c:pt>
                <c:pt idx="25">
                  <c:v>160</c:v>
                </c:pt>
                <c:pt idx="26">
                  <c:v>160</c:v>
                </c:pt>
                <c:pt idx="27">
                  <c:v>160</c:v>
                </c:pt>
                <c:pt idx="28">
                  <c:v>160</c:v>
                </c:pt>
                <c:pt idx="29">
                  <c:v>160</c:v>
                </c:pt>
                <c:pt idx="30">
                  <c:v>160</c:v>
                </c:pt>
                <c:pt idx="31">
                  <c:v>160</c:v>
                </c:pt>
                <c:pt idx="32">
                  <c:v>160</c:v>
                </c:pt>
                <c:pt idx="33">
                  <c:v>160</c:v>
                </c:pt>
                <c:pt idx="34">
                  <c:v>160</c:v>
                </c:pt>
                <c:pt idx="35">
                  <c:v>160</c:v>
                </c:pt>
                <c:pt idx="36">
                  <c:v>160</c:v>
                </c:pt>
                <c:pt idx="37">
                  <c:v>160</c:v>
                </c:pt>
                <c:pt idx="38">
                  <c:v>160</c:v>
                </c:pt>
                <c:pt idx="39">
                  <c:v>160</c:v>
                </c:pt>
                <c:pt idx="40">
                  <c:v>160</c:v>
                </c:pt>
                <c:pt idx="41">
                  <c:v>160</c:v>
                </c:pt>
                <c:pt idx="42">
                  <c:v>160</c:v>
                </c:pt>
                <c:pt idx="43">
                  <c:v>160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  <c:pt idx="50">
                  <c:v>160</c:v>
                </c:pt>
                <c:pt idx="51">
                  <c:v>160</c:v>
                </c:pt>
                <c:pt idx="52">
                  <c:v>160</c:v>
                </c:pt>
                <c:pt idx="53">
                  <c:v>160</c:v>
                </c:pt>
                <c:pt idx="54">
                  <c:v>160</c:v>
                </c:pt>
                <c:pt idx="55">
                  <c:v>160</c:v>
                </c:pt>
                <c:pt idx="56">
                  <c:v>160</c:v>
                </c:pt>
                <c:pt idx="57">
                  <c:v>160</c:v>
                </c:pt>
                <c:pt idx="58">
                  <c:v>160</c:v>
                </c:pt>
                <c:pt idx="59">
                  <c:v>160</c:v>
                </c:pt>
                <c:pt idx="60">
                  <c:v>160</c:v>
                </c:pt>
                <c:pt idx="61">
                  <c:v>160</c:v>
                </c:pt>
                <c:pt idx="62">
                  <c:v>160</c:v>
                </c:pt>
                <c:pt idx="63">
                  <c:v>160</c:v>
                </c:pt>
                <c:pt idx="64">
                  <c:v>160</c:v>
                </c:pt>
                <c:pt idx="65">
                  <c:v>160</c:v>
                </c:pt>
                <c:pt idx="66">
                  <c:v>160</c:v>
                </c:pt>
                <c:pt idx="67">
                  <c:v>160</c:v>
                </c:pt>
                <c:pt idx="68">
                  <c:v>160</c:v>
                </c:pt>
                <c:pt idx="69">
                  <c:v>160</c:v>
                </c:pt>
                <c:pt idx="70">
                  <c:v>160</c:v>
                </c:pt>
                <c:pt idx="71">
                  <c:v>160</c:v>
                </c:pt>
                <c:pt idx="72">
                  <c:v>160</c:v>
                </c:pt>
                <c:pt idx="73">
                  <c:v>160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160</c:v>
                </c:pt>
                <c:pt idx="192">
                  <c:v>160</c:v>
                </c:pt>
                <c:pt idx="193">
                  <c:v>160</c:v>
                </c:pt>
                <c:pt idx="194">
                  <c:v>160</c:v>
                </c:pt>
                <c:pt idx="195">
                  <c:v>160</c:v>
                </c:pt>
                <c:pt idx="196">
                  <c:v>160</c:v>
                </c:pt>
                <c:pt idx="197">
                  <c:v>160</c:v>
                </c:pt>
                <c:pt idx="198">
                  <c:v>160</c:v>
                </c:pt>
                <c:pt idx="199">
                  <c:v>160</c:v>
                </c:pt>
                <c:pt idx="200">
                  <c:v>160</c:v>
                </c:pt>
                <c:pt idx="201">
                  <c:v>160</c:v>
                </c:pt>
                <c:pt idx="202">
                  <c:v>160</c:v>
                </c:pt>
                <c:pt idx="203">
                  <c:v>160</c:v>
                </c:pt>
                <c:pt idx="204">
                  <c:v>160</c:v>
                </c:pt>
                <c:pt idx="205">
                  <c:v>160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PnL!$K$401:$K$620</c:f>
              <c:numCache>
                <c:formatCode>General</c:formatCode>
                <c:ptCount val="220"/>
                <c:pt idx="0">
                  <c:v>440</c:v>
                </c:pt>
                <c:pt idx="1">
                  <c:v>440</c:v>
                </c:pt>
                <c:pt idx="2">
                  <c:v>440</c:v>
                </c:pt>
                <c:pt idx="3">
                  <c:v>440</c:v>
                </c:pt>
                <c:pt idx="4">
                  <c:v>440</c:v>
                </c:pt>
                <c:pt idx="5">
                  <c:v>440</c:v>
                </c:pt>
                <c:pt idx="6">
                  <c:v>440</c:v>
                </c:pt>
                <c:pt idx="7">
                  <c:v>440</c:v>
                </c:pt>
                <c:pt idx="8">
                  <c:v>440</c:v>
                </c:pt>
                <c:pt idx="9">
                  <c:v>440</c:v>
                </c:pt>
                <c:pt idx="10">
                  <c:v>440</c:v>
                </c:pt>
                <c:pt idx="11">
                  <c:v>440</c:v>
                </c:pt>
                <c:pt idx="12">
                  <c:v>440</c:v>
                </c:pt>
                <c:pt idx="13">
                  <c:v>440</c:v>
                </c:pt>
                <c:pt idx="14">
                  <c:v>440</c:v>
                </c:pt>
                <c:pt idx="15">
                  <c:v>440</c:v>
                </c:pt>
                <c:pt idx="16">
                  <c:v>440</c:v>
                </c:pt>
                <c:pt idx="17">
                  <c:v>440</c:v>
                </c:pt>
                <c:pt idx="18">
                  <c:v>440</c:v>
                </c:pt>
                <c:pt idx="19">
                  <c:v>440</c:v>
                </c:pt>
                <c:pt idx="20">
                  <c:v>440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  <c:pt idx="24">
                  <c:v>440</c:v>
                </c:pt>
                <c:pt idx="25">
                  <c:v>440</c:v>
                </c:pt>
                <c:pt idx="26">
                  <c:v>440</c:v>
                </c:pt>
                <c:pt idx="27">
                  <c:v>440</c:v>
                </c:pt>
                <c:pt idx="28">
                  <c:v>440</c:v>
                </c:pt>
                <c:pt idx="29">
                  <c:v>440</c:v>
                </c:pt>
                <c:pt idx="30">
                  <c:v>440</c:v>
                </c:pt>
                <c:pt idx="31">
                  <c:v>440</c:v>
                </c:pt>
                <c:pt idx="32">
                  <c:v>440</c:v>
                </c:pt>
                <c:pt idx="33">
                  <c:v>440</c:v>
                </c:pt>
                <c:pt idx="34">
                  <c:v>440</c:v>
                </c:pt>
                <c:pt idx="35">
                  <c:v>440</c:v>
                </c:pt>
                <c:pt idx="36">
                  <c:v>440</c:v>
                </c:pt>
                <c:pt idx="37">
                  <c:v>440</c:v>
                </c:pt>
                <c:pt idx="38">
                  <c:v>440</c:v>
                </c:pt>
                <c:pt idx="39">
                  <c:v>440</c:v>
                </c:pt>
                <c:pt idx="40">
                  <c:v>440</c:v>
                </c:pt>
                <c:pt idx="41">
                  <c:v>440</c:v>
                </c:pt>
                <c:pt idx="42">
                  <c:v>440</c:v>
                </c:pt>
                <c:pt idx="43">
                  <c:v>440</c:v>
                </c:pt>
                <c:pt idx="44">
                  <c:v>440</c:v>
                </c:pt>
                <c:pt idx="45">
                  <c:v>440</c:v>
                </c:pt>
                <c:pt idx="46">
                  <c:v>440</c:v>
                </c:pt>
                <c:pt idx="47">
                  <c:v>440</c:v>
                </c:pt>
                <c:pt idx="48">
                  <c:v>440</c:v>
                </c:pt>
                <c:pt idx="49">
                  <c:v>440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400</c:v>
                </c:pt>
                <c:pt idx="57">
                  <c:v>400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  <c:pt idx="72">
                  <c:v>450</c:v>
                </c:pt>
                <c:pt idx="73">
                  <c:v>500</c:v>
                </c:pt>
                <c:pt idx="74">
                  <c:v>420</c:v>
                </c:pt>
                <c:pt idx="75">
                  <c:v>420</c:v>
                </c:pt>
                <c:pt idx="76">
                  <c:v>330</c:v>
                </c:pt>
                <c:pt idx="77">
                  <c:v>330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330</c:v>
                </c:pt>
                <c:pt idx="82">
                  <c:v>330</c:v>
                </c:pt>
                <c:pt idx="83">
                  <c:v>420</c:v>
                </c:pt>
                <c:pt idx="84">
                  <c:v>420</c:v>
                </c:pt>
                <c:pt idx="85">
                  <c:v>420</c:v>
                </c:pt>
                <c:pt idx="86">
                  <c:v>420</c:v>
                </c:pt>
                <c:pt idx="87">
                  <c:v>420</c:v>
                </c:pt>
                <c:pt idx="88">
                  <c:v>420</c:v>
                </c:pt>
                <c:pt idx="89">
                  <c:v>420</c:v>
                </c:pt>
                <c:pt idx="90">
                  <c:v>420</c:v>
                </c:pt>
                <c:pt idx="91">
                  <c:v>420</c:v>
                </c:pt>
                <c:pt idx="92">
                  <c:v>420</c:v>
                </c:pt>
                <c:pt idx="93">
                  <c:v>420</c:v>
                </c:pt>
                <c:pt idx="94">
                  <c:v>420</c:v>
                </c:pt>
                <c:pt idx="95">
                  <c:v>420</c:v>
                </c:pt>
                <c:pt idx="96">
                  <c:v>420</c:v>
                </c:pt>
                <c:pt idx="97">
                  <c:v>420</c:v>
                </c:pt>
                <c:pt idx="98">
                  <c:v>420</c:v>
                </c:pt>
                <c:pt idx="99">
                  <c:v>420</c:v>
                </c:pt>
                <c:pt idx="100">
                  <c:v>420</c:v>
                </c:pt>
                <c:pt idx="101">
                  <c:v>420</c:v>
                </c:pt>
                <c:pt idx="102">
                  <c:v>375</c:v>
                </c:pt>
                <c:pt idx="103">
                  <c:v>375</c:v>
                </c:pt>
                <c:pt idx="104">
                  <c:v>375</c:v>
                </c:pt>
                <c:pt idx="105">
                  <c:v>375</c:v>
                </c:pt>
                <c:pt idx="106">
                  <c:v>375</c:v>
                </c:pt>
                <c:pt idx="107">
                  <c:v>375</c:v>
                </c:pt>
                <c:pt idx="108">
                  <c:v>365</c:v>
                </c:pt>
                <c:pt idx="109">
                  <c:v>365</c:v>
                </c:pt>
                <c:pt idx="110">
                  <c:v>365</c:v>
                </c:pt>
                <c:pt idx="111">
                  <c:v>365</c:v>
                </c:pt>
                <c:pt idx="112">
                  <c:v>365</c:v>
                </c:pt>
                <c:pt idx="113">
                  <c:v>365</c:v>
                </c:pt>
                <c:pt idx="114">
                  <c:v>365</c:v>
                </c:pt>
                <c:pt idx="115">
                  <c:v>365</c:v>
                </c:pt>
                <c:pt idx="116">
                  <c:v>365</c:v>
                </c:pt>
                <c:pt idx="117">
                  <c:v>365</c:v>
                </c:pt>
                <c:pt idx="118">
                  <c:v>365</c:v>
                </c:pt>
                <c:pt idx="119">
                  <c:v>365</c:v>
                </c:pt>
                <c:pt idx="120">
                  <c:v>365</c:v>
                </c:pt>
                <c:pt idx="121">
                  <c:v>365</c:v>
                </c:pt>
                <c:pt idx="122">
                  <c:v>365</c:v>
                </c:pt>
                <c:pt idx="123">
                  <c:v>365</c:v>
                </c:pt>
                <c:pt idx="124">
                  <c:v>365</c:v>
                </c:pt>
                <c:pt idx="125">
                  <c:v>365</c:v>
                </c:pt>
                <c:pt idx="126">
                  <c:v>365</c:v>
                </c:pt>
                <c:pt idx="127">
                  <c:v>365</c:v>
                </c:pt>
                <c:pt idx="128">
                  <c:v>365</c:v>
                </c:pt>
                <c:pt idx="129">
                  <c:v>365</c:v>
                </c:pt>
                <c:pt idx="130">
                  <c:v>365</c:v>
                </c:pt>
                <c:pt idx="131">
                  <c:v>365</c:v>
                </c:pt>
                <c:pt idx="132">
                  <c:v>365</c:v>
                </c:pt>
                <c:pt idx="133">
                  <c:v>365</c:v>
                </c:pt>
                <c:pt idx="134">
                  <c:v>365</c:v>
                </c:pt>
                <c:pt idx="135">
                  <c:v>365</c:v>
                </c:pt>
                <c:pt idx="136">
                  <c:v>365</c:v>
                </c:pt>
                <c:pt idx="137">
                  <c:v>365</c:v>
                </c:pt>
                <c:pt idx="138">
                  <c:v>365</c:v>
                </c:pt>
                <c:pt idx="139">
                  <c:v>365</c:v>
                </c:pt>
                <c:pt idx="140">
                  <c:v>365</c:v>
                </c:pt>
                <c:pt idx="141">
                  <c:v>365</c:v>
                </c:pt>
                <c:pt idx="142">
                  <c:v>333</c:v>
                </c:pt>
                <c:pt idx="143">
                  <c:v>333</c:v>
                </c:pt>
                <c:pt idx="144">
                  <c:v>333</c:v>
                </c:pt>
                <c:pt idx="145">
                  <c:v>333</c:v>
                </c:pt>
                <c:pt idx="146">
                  <c:v>333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333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333</c:v>
                </c:pt>
                <c:pt idx="158">
                  <c:v>333</c:v>
                </c:pt>
                <c:pt idx="159">
                  <c:v>333</c:v>
                </c:pt>
                <c:pt idx="160">
                  <c:v>333</c:v>
                </c:pt>
                <c:pt idx="161">
                  <c:v>333</c:v>
                </c:pt>
                <c:pt idx="162">
                  <c:v>333</c:v>
                </c:pt>
                <c:pt idx="163">
                  <c:v>333</c:v>
                </c:pt>
                <c:pt idx="164">
                  <c:v>333</c:v>
                </c:pt>
                <c:pt idx="165">
                  <c:v>333</c:v>
                </c:pt>
                <c:pt idx="166">
                  <c:v>333</c:v>
                </c:pt>
                <c:pt idx="167">
                  <c:v>333</c:v>
                </c:pt>
                <c:pt idx="168">
                  <c:v>393</c:v>
                </c:pt>
                <c:pt idx="169">
                  <c:v>393</c:v>
                </c:pt>
                <c:pt idx="170">
                  <c:v>393</c:v>
                </c:pt>
                <c:pt idx="171">
                  <c:v>393</c:v>
                </c:pt>
                <c:pt idx="172">
                  <c:v>393</c:v>
                </c:pt>
                <c:pt idx="173">
                  <c:v>383</c:v>
                </c:pt>
                <c:pt idx="174">
                  <c:v>335</c:v>
                </c:pt>
                <c:pt idx="175">
                  <c:v>335</c:v>
                </c:pt>
                <c:pt idx="176">
                  <c:v>290</c:v>
                </c:pt>
                <c:pt idx="177">
                  <c:v>290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160</c:v>
                </c:pt>
                <c:pt idx="190">
                  <c:v>160</c:v>
                </c:pt>
                <c:pt idx="191">
                  <c:v>410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405</c:v>
                </c:pt>
                <c:pt idx="203">
                  <c:v>405</c:v>
                </c:pt>
                <c:pt idx="204">
                  <c:v>405</c:v>
                </c:pt>
                <c:pt idx="205">
                  <c:v>405</c:v>
                </c:pt>
                <c:pt idx="206">
                  <c:v>375</c:v>
                </c:pt>
                <c:pt idx="207">
                  <c:v>375</c:v>
                </c:pt>
                <c:pt idx="208">
                  <c:v>375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295</c:v>
                </c:pt>
                <c:pt idx="213">
                  <c:v>295</c:v>
                </c:pt>
                <c:pt idx="214">
                  <c:v>340</c:v>
                </c:pt>
                <c:pt idx="215">
                  <c:v>340</c:v>
                </c:pt>
                <c:pt idx="216">
                  <c:v>340</c:v>
                </c:pt>
                <c:pt idx="217">
                  <c:v>340</c:v>
                </c:pt>
                <c:pt idx="218">
                  <c:v>340</c:v>
                </c:pt>
                <c:pt idx="219">
                  <c:v>340</c:v>
                </c:pt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PnL!$L$401:$L$620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-30</c:v>
                </c:pt>
                <c:pt idx="51">
                  <c:v>14.9999999999999</c:v>
                </c:pt>
                <c:pt idx="52">
                  <c:v>50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-25.0000000000001</c:v>
                </c:pt>
                <c:pt idx="58">
                  <c:v>-2.49999999999995</c:v>
                </c:pt>
                <c:pt idx="59">
                  <c:v>37.5000000000001</c:v>
                </c:pt>
                <c:pt idx="60">
                  <c:v>0</c:v>
                </c:pt>
                <c:pt idx="61">
                  <c:v>30</c:v>
                </c:pt>
                <c:pt idx="62">
                  <c:v>-20</c:v>
                </c:pt>
                <c:pt idx="63">
                  <c:v>14.9999999999999</c:v>
                </c:pt>
                <c:pt idx="64">
                  <c:v>5.00000000000012</c:v>
                </c:pt>
                <c:pt idx="65">
                  <c:v>0</c:v>
                </c:pt>
                <c:pt idx="66">
                  <c:v>20</c:v>
                </c:pt>
                <c:pt idx="67">
                  <c:v>10</c:v>
                </c:pt>
                <c:pt idx="68">
                  <c:v>-10.8000000000001</c:v>
                </c:pt>
                <c:pt idx="69">
                  <c:v>0</c:v>
                </c:pt>
                <c:pt idx="70">
                  <c:v>7.50000000000006</c:v>
                </c:pt>
                <c:pt idx="71">
                  <c:v>-7.50000000000006</c:v>
                </c:pt>
                <c:pt idx="72">
                  <c:v>-20</c:v>
                </c:pt>
                <c:pt idx="73">
                  <c:v>10</c:v>
                </c:pt>
                <c:pt idx="74">
                  <c:v>15.0000000000001</c:v>
                </c:pt>
                <c:pt idx="75">
                  <c:v>4.99999999999989</c:v>
                </c:pt>
                <c:pt idx="76">
                  <c:v>10</c:v>
                </c:pt>
                <c:pt idx="77">
                  <c:v>20</c:v>
                </c:pt>
                <c:pt idx="78">
                  <c:v>-6.29999999999997</c:v>
                </c:pt>
                <c:pt idx="79">
                  <c:v>64.9999999999999</c:v>
                </c:pt>
                <c:pt idx="80">
                  <c:v>-60.0000000000001</c:v>
                </c:pt>
                <c:pt idx="81">
                  <c:v>-28.6</c:v>
                </c:pt>
                <c:pt idx="82">
                  <c:v>-89.8999999999999</c:v>
                </c:pt>
                <c:pt idx="83">
                  <c:v>90.2999999999998</c:v>
                </c:pt>
                <c:pt idx="84">
                  <c:v>-9.39999999999985</c:v>
                </c:pt>
                <c:pt idx="85">
                  <c:v>-0.600000000000156</c:v>
                </c:pt>
                <c:pt idx="86">
                  <c:v>-4.29999999999997</c:v>
                </c:pt>
                <c:pt idx="87">
                  <c:v>-13.3999999999999</c:v>
                </c:pt>
                <c:pt idx="88">
                  <c:v>16.1</c:v>
                </c:pt>
                <c:pt idx="89">
                  <c:v>-4.80000000000014</c:v>
                </c:pt>
                <c:pt idx="90">
                  <c:v>67.5000000000001</c:v>
                </c:pt>
                <c:pt idx="91">
                  <c:v>28.5</c:v>
                </c:pt>
                <c:pt idx="92">
                  <c:v>-0.199999999999978</c:v>
                </c:pt>
                <c:pt idx="93">
                  <c:v>-14.5999999999999</c:v>
                </c:pt>
                <c:pt idx="94">
                  <c:v>20.6999999999999</c:v>
                </c:pt>
                <c:pt idx="95">
                  <c:v>-6.29999999999997</c:v>
                </c:pt>
                <c:pt idx="96">
                  <c:v>0.699999999999923</c:v>
                </c:pt>
                <c:pt idx="97">
                  <c:v>7.70000000000004</c:v>
                </c:pt>
                <c:pt idx="98">
                  <c:v>-3.30000000000008</c:v>
                </c:pt>
                <c:pt idx="99">
                  <c:v>-28.9999999999999</c:v>
                </c:pt>
                <c:pt idx="100">
                  <c:v>-23.7000000000001</c:v>
                </c:pt>
                <c:pt idx="101">
                  <c:v>6.00000000000001</c:v>
                </c:pt>
                <c:pt idx="102">
                  <c:v>-1.50000000000006</c:v>
                </c:pt>
                <c:pt idx="103">
                  <c:v>3.60000000000005</c:v>
                </c:pt>
                <c:pt idx="104">
                  <c:v>8.69999999999993</c:v>
                </c:pt>
                <c:pt idx="105">
                  <c:v>-1.29999999999986</c:v>
                </c:pt>
                <c:pt idx="106">
                  <c:v>-0.399999999999956</c:v>
                </c:pt>
                <c:pt idx="107">
                  <c:v>14.2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1.20000000000009</c:v>
                </c:pt>
                <c:pt idx="169">
                  <c:v>24.9999999999999</c:v>
                </c:pt>
                <c:pt idx="170">
                  <c:v>35.0000000000001</c:v>
                </c:pt>
                <c:pt idx="171">
                  <c:v>-25.0000000000001</c:v>
                </c:pt>
                <c:pt idx="172">
                  <c:v>7.50000000000006</c:v>
                </c:pt>
                <c:pt idx="173">
                  <c:v>61.4999999999999</c:v>
                </c:pt>
                <c:pt idx="174">
                  <c:v>100</c:v>
                </c:pt>
                <c:pt idx="175">
                  <c:v>300</c:v>
                </c:pt>
                <c:pt idx="176">
                  <c:v>133.5</c:v>
                </c:pt>
                <c:pt idx="177">
                  <c:v>12.4999999999997</c:v>
                </c:pt>
                <c:pt idx="178">
                  <c:v>0</c:v>
                </c:pt>
                <c:pt idx="179">
                  <c:v>-24.9999999999995</c:v>
                </c:pt>
                <c:pt idx="180">
                  <c:v>-175.000000000001</c:v>
                </c:pt>
                <c:pt idx="181">
                  <c:v>-125</c:v>
                </c:pt>
                <c:pt idx="182">
                  <c:v>0</c:v>
                </c:pt>
                <c:pt idx="183">
                  <c:v>15.5000000000005</c:v>
                </c:pt>
                <c:pt idx="184">
                  <c:v>-150</c:v>
                </c:pt>
                <c:pt idx="185">
                  <c:v>90.0000000000001</c:v>
                </c:pt>
                <c:pt idx="186">
                  <c:v>-45.0000000000004</c:v>
                </c:pt>
                <c:pt idx="187">
                  <c:v>-105</c:v>
                </c:pt>
                <c:pt idx="188">
                  <c:v>0</c:v>
                </c:pt>
                <c:pt idx="189">
                  <c:v>70.0000000000001</c:v>
                </c:pt>
                <c:pt idx="190">
                  <c:v>-5.00000000000012</c:v>
                </c:pt>
                <c:pt idx="191">
                  <c:v>-54.9999999999999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PnL!$M$401:$M$620</c:f>
              <c:numCache>
                <c:formatCode>General</c:formatCode>
                <c:ptCount val="220"/>
                <c:pt idx="0">
                  <c:v>0</c:v>
                </c:pt>
                <c:pt idx="1">
                  <c:v>-372.999999999997</c:v>
                </c:pt>
                <c:pt idx="2">
                  <c:v>162</c:v>
                </c:pt>
                <c:pt idx="3">
                  <c:v>122.999999999998</c:v>
                </c:pt>
                <c:pt idx="4">
                  <c:v>186.000000000002</c:v>
                </c:pt>
                <c:pt idx="5">
                  <c:v>-177</c:v>
                </c:pt>
                <c:pt idx="6">
                  <c:v>175.000000000001</c:v>
                </c:pt>
                <c:pt idx="7">
                  <c:v>-157.000000000003</c:v>
                </c:pt>
                <c:pt idx="8">
                  <c:v>20.0000000000022</c:v>
                </c:pt>
                <c:pt idx="9">
                  <c:v>-114.000000000001</c:v>
                </c:pt>
                <c:pt idx="10">
                  <c:v>-100.000000000002</c:v>
                </c:pt>
                <c:pt idx="11">
                  <c:v>-149.999999999997</c:v>
                </c:pt>
                <c:pt idx="12">
                  <c:v>402.999999999998</c:v>
                </c:pt>
                <c:pt idx="13">
                  <c:v>49.0000000000013</c:v>
                </c:pt>
                <c:pt idx="14">
                  <c:v>173.999999999999</c:v>
                </c:pt>
                <c:pt idx="15">
                  <c:v>71.0000000000033</c:v>
                </c:pt>
                <c:pt idx="16">
                  <c:v>-126.000000000004</c:v>
                </c:pt>
                <c:pt idx="17">
                  <c:v>122</c:v>
                </c:pt>
                <c:pt idx="18">
                  <c:v>399.000000000003</c:v>
                </c:pt>
                <c:pt idx="19">
                  <c:v>-127.000000000002</c:v>
                </c:pt>
                <c:pt idx="20">
                  <c:v>219</c:v>
                </c:pt>
                <c:pt idx="21">
                  <c:v>373.000000000001</c:v>
                </c:pt>
                <c:pt idx="22">
                  <c:v>-22.9999999999997</c:v>
                </c:pt>
                <c:pt idx="23">
                  <c:v>-176.000000000003</c:v>
                </c:pt>
                <c:pt idx="24">
                  <c:v>249.000000000001</c:v>
                </c:pt>
                <c:pt idx="25">
                  <c:v>70.9999999999988</c:v>
                </c:pt>
                <c:pt idx="26">
                  <c:v>-22.9999999999997</c:v>
                </c:pt>
                <c:pt idx="27">
                  <c:v>-577.999999999999</c:v>
                </c:pt>
                <c:pt idx="28">
                  <c:v>343.999999999998</c:v>
                </c:pt>
                <c:pt idx="29">
                  <c:v>100.000000000002</c:v>
                </c:pt>
                <c:pt idx="30">
                  <c:v>0</c:v>
                </c:pt>
                <c:pt idx="31">
                  <c:v>-87.0000000000015</c:v>
                </c:pt>
                <c:pt idx="32">
                  <c:v>-85.9999999999994</c:v>
                </c:pt>
                <c:pt idx="33">
                  <c:v>299</c:v>
                </c:pt>
                <c:pt idx="34">
                  <c:v>76.0000000000005</c:v>
                </c:pt>
                <c:pt idx="35">
                  <c:v>244</c:v>
                </c:pt>
                <c:pt idx="36">
                  <c:v>-55.9999999999983</c:v>
                </c:pt>
                <c:pt idx="37">
                  <c:v>250.999999999997</c:v>
                </c:pt>
                <c:pt idx="38">
                  <c:v>-174.999999999996</c:v>
                </c:pt>
                <c:pt idx="39">
                  <c:v>195.999999999996</c:v>
                </c:pt>
                <c:pt idx="40">
                  <c:v>45.0000000000017</c:v>
                </c:pt>
                <c:pt idx="41">
                  <c:v>-453.999999999999</c:v>
                </c:pt>
                <c:pt idx="42">
                  <c:v>143</c:v>
                </c:pt>
                <c:pt idx="43">
                  <c:v>204</c:v>
                </c:pt>
                <c:pt idx="44">
                  <c:v>609.999999999999</c:v>
                </c:pt>
                <c:pt idx="45">
                  <c:v>-284</c:v>
                </c:pt>
                <c:pt idx="46">
                  <c:v>-129.999999999999</c:v>
                </c:pt>
                <c:pt idx="47">
                  <c:v>-231.000000000003</c:v>
                </c:pt>
                <c:pt idx="48">
                  <c:v>-395.999999999996</c:v>
                </c:pt>
                <c:pt idx="49">
                  <c:v>128.999999999997</c:v>
                </c:pt>
                <c:pt idx="50">
                  <c:v>-7.99999999999912</c:v>
                </c:pt>
                <c:pt idx="51">
                  <c:v>167.000000000002</c:v>
                </c:pt>
                <c:pt idx="52">
                  <c:v>259.999999999998</c:v>
                </c:pt>
                <c:pt idx="53">
                  <c:v>94.000000000003</c:v>
                </c:pt>
                <c:pt idx="54">
                  <c:v>-159.000000000002</c:v>
                </c:pt>
                <c:pt idx="55">
                  <c:v>197.000000000003</c:v>
                </c:pt>
                <c:pt idx="56">
                  <c:v>-53.5000000000019</c:v>
                </c:pt>
                <c:pt idx="57">
                  <c:v>-68.9999999999991</c:v>
                </c:pt>
                <c:pt idx="58">
                  <c:v>1.99999999999978</c:v>
                </c:pt>
                <c:pt idx="59">
                  <c:v>331.000000000001</c:v>
                </c:pt>
                <c:pt idx="60">
                  <c:v>-164</c:v>
                </c:pt>
                <c:pt idx="61">
                  <c:v>137.999999999998</c:v>
                </c:pt>
                <c:pt idx="62">
                  <c:v>-198</c:v>
                </c:pt>
                <c:pt idx="63">
                  <c:v>205.000000000002</c:v>
                </c:pt>
                <c:pt idx="64">
                  <c:v>69.9999999999967</c:v>
                </c:pt>
                <c:pt idx="65">
                  <c:v>-48.9999999999968</c:v>
                </c:pt>
                <c:pt idx="66">
                  <c:v>255.999999999998</c:v>
                </c:pt>
                <c:pt idx="67">
                  <c:v>156.999999999998</c:v>
                </c:pt>
                <c:pt idx="68">
                  <c:v>-57.9999999999981</c:v>
                </c:pt>
                <c:pt idx="69">
                  <c:v>213.000000000001</c:v>
                </c:pt>
                <c:pt idx="70">
                  <c:v>259</c:v>
                </c:pt>
                <c:pt idx="71">
                  <c:v>-144.000000000002</c:v>
                </c:pt>
                <c:pt idx="72">
                  <c:v>-24.9999999999995</c:v>
                </c:pt>
                <c:pt idx="73">
                  <c:v>352.499999999998</c:v>
                </c:pt>
                <c:pt idx="74">
                  <c:v>373.500000000002</c:v>
                </c:pt>
                <c:pt idx="75">
                  <c:v>73.5000000000019</c:v>
                </c:pt>
                <c:pt idx="76">
                  <c:v>29.9999999999967</c:v>
                </c:pt>
                <c:pt idx="77">
                  <c:v>258.000000000005</c:v>
                </c:pt>
                <c:pt idx="78">
                  <c:v>-603</c:v>
                </c:pt>
                <c:pt idx="79">
                  <c:v>445.499999999994</c:v>
                </c:pt>
                <c:pt idx="80">
                  <c:v>-865.499999999995</c:v>
                </c:pt>
                <c:pt idx="81">
                  <c:v>-495.000000000005</c:v>
                </c:pt>
                <c:pt idx="82">
                  <c:v>-451.5</c:v>
                </c:pt>
                <c:pt idx="83">
                  <c:v>588.000000000002</c:v>
                </c:pt>
                <c:pt idx="84">
                  <c:v>324.000000000004</c:v>
                </c:pt>
                <c:pt idx="85">
                  <c:v>410.999999999995</c:v>
                </c:pt>
                <c:pt idx="86">
                  <c:v>-110.999999999994</c:v>
                </c:pt>
                <c:pt idx="87">
                  <c:v>-340.500000000006</c:v>
                </c:pt>
                <c:pt idx="88">
                  <c:v>-8.99999999999901</c:v>
                </c:pt>
                <c:pt idx="89">
                  <c:v>-382.500000000001</c:v>
                </c:pt>
                <c:pt idx="90">
                  <c:v>894.000000000002</c:v>
                </c:pt>
                <c:pt idx="91">
                  <c:v>150.000000000003</c:v>
                </c:pt>
                <c:pt idx="92">
                  <c:v>-84.0000000000041</c:v>
                </c:pt>
                <c:pt idx="93">
                  <c:v>-178.499999999997</c:v>
                </c:pt>
                <c:pt idx="94">
                  <c:v>160.499999999999</c:v>
                </c:pt>
                <c:pt idx="95">
                  <c:v>-82.5000000000009</c:v>
                </c:pt>
                <c:pt idx="96">
                  <c:v>-67.4999999999959</c:v>
                </c:pt>
                <c:pt idx="97">
                  <c:v>103.499999999999</c:v>
                </c:pt>
                <c:pt idx="98">
                  <c:v>112.499999999998</c:v>
                </c:pt>
                <c:pt idx="99">
                  <c:v>-114.000000000001</c:v>
                </c:pt>
                <c:pt idx="100">
                  <c:v>-1.4999999999965</c:v>
                </c:pt>
                <c:pt idx="101">
                  <c:v>134.999999999998</c:v>
                </c:pt>
                <c:pt idx="102">
                  <c:v>34.4999999999995</c:v>
                </c:pt>
                <c:pt idx="103">
                  <c:v>-20.9999999999977</c:v>
                </c:pt>
                <c:pt idx="104">
                  <c:v>17.999999999998</c:v>
                </c:pt>
                <c:pt idx="105">
                  <c:v>226.499999999998</c:v>
                </c:pt>
                <c:pt idx="106">
                  <c:v>-13.5000000000018</c:v>
                </c:pt>
                <c:pt idx="107">
                  <c:v>202.500000000001</c:v>
                </c:pt>
                <c:pt idx="108">
                  <c:v>-32.9999999999964</c:v>
                </c:pt>
                <c:pt idx="109">
                  <c:v>-4.50000000000284</c:v>
                </c:pt>
                <c:pt idx="110">
                  <c:v>64.5000000000029</c:v>
                </c:pt>
                <c:pt idx="111">
                  <c:v>-118.500000000004</c:v>
                </c:pt>
                <c:pt idx="112">
                  <c:v>-31.4999999999999</c:v>
                </c:pt>
                <c:pt idx="113">
                  <c:v>100.499999999999</c:v>
                </c:pt>
                <c:pt idx="114">
                  <c:v>-106.499999999998</c:v>
                </c:pt>
                <c:pt idx="115">
                  <c:v>136.500000000002</c:v>
                </c:pt>
                <c:pt idx="116">
                  <c:v>497.999999999998</c:v>
                </c:pt>
                <c:pt idx="117">
                  <c:v>-79.5000000000012</c:v>
                </c:pt>
                <c:pt idx="118">
                  <c:v>-151.5</c:v>
                </c:pt>
                <c:pt idx="119">
                  <c:v>202.500000000001</c:v>
                </c:pt>
                <c:pt idx="120">
                  <c:v>144.000000000004</c:v>
                </c:pt>
                <c:pt idx="121">
                  <c:v>257.999999999998</c:v>
                </c:pt>
                <c:pt idx="122">
                  <c:v>326.999999999997</c:v>
                </c:pt>
                <c:pt idx="123">
                  <c:v>-19.4999999999979</c:v>
                </c:pt>
                <c:pt idx="124">
                  <c:v>-627.000000000001</c:v>
                </c:pt>
                <c:pt idx="125">
                  <c:v>487.5</c:v>
                </c:pt>
                <c:pt idx="126">
                  <c:v>428.999999999999</c:v>
                </c:pt>
                <c:pt idx="127">
                  <c:v>-183</c:v>
                </c:pt>
                <c:pt idx="128">
                  <c:v>-426</c:v>
                </c:pt>
                <c:pt idx="129">
                  <c:v>-527.999999999999</c:v>
                </c:pt>
                <c:pt idx="130">
                  <c:v>409.499999999998</c:v>
                </c:pt>
                <c:pt idx="131">
                  <c:v>-85.5000000000006</c:v>
                </c:pt>
                <c:pt idx="132">
                  <c:v>100.499999999999</c:v>
                </c:pt>
                <c:pt idx="133">
                  <c:v>72.0000000000054</c:v>
                </c:pt>
                <c:pt idx="134">
                  <c:v>187.499999999996</c:v>
                </c:pt>
                <c:pt idx="135">
                  <c:v>75.0000000000017</c:v>
                </c:pt>
                <c:pt idx="136">
                  <c:v>393</c:v>
                </c:pt>
                <c:pt idx="137">
                  <c:v>-42.000000000002</c:v>
                </c:pt>
                <c:pt idx="138">
                  <c:v>109.500000000001</c:v>
                </c:pt>
                <c:pt idx="139">
                  <c:v>589.500000000002</c:v>
                </c:pt>
                <c:pt idx="140">
                  <c:v>334.5</c:v>
                </c:pt>
                <c:pt idx="141">
                  <c:v>-81.0000000000011</c:v>
                </c:pt>
                <c:pt idx="142">
                  <c:v>73.4999999999986</c:v>
                </c:pt>
                <c:pt idx="143">
                  <c:v>-79.4999999999979</c:v>
                </c:pt>
                <c:pt idx="144">
                  <c:v>64.4999999999996</c:v>
                </c:pt>
                <c:pt idx="145">
                  <c:v>145.500000000001</c:v>
                </c:pt>
                <c:pt idx="146">
                  <c:v>518.999999999999</c:v>
                </c:pt>
                <c:pt idx="147">
                  <c:v>341.999999999999</c:v>
                </c:pt>
                <c:pt idx="148">
                  <c:v>111.000000000001</c:v>
                </c:pt>
                <c:pt idx="149">
                  <c:v>65.9999999999994</c:v>
                </c:pt>
                <c:pt idx="150">
                  <c:v>-38.999999999999</c:v>
                </c:pt>
                <c:pt idx="151">
                  <c:v>262.499999999998</c:v>
                </c:pt>
                <c:pt idx="152">
                  <c:v>-530.999999999998</c:v>
                </c:pt>
                <c:pt idx="153">
                  <c:v>-535.500000000001</c:v>
                </c:pt>
                <c:pt idx="154">
                  <c:v>-977.999999999999</c:v>
                </c:pt>
                <c:pt idx="155">
                  <c:v>520.499999999999</c:v>
                </c:pt>
                <c:pt idx="156">
                  <c:v>229.500000000001</c:v>
                </c:pt>
                <c:pt idx="157">
                  <c:v>-300</c:v>
                </c:pt>
                <c:pt idx="158">
                  <c:v>235.500000000001</c:v>
                </c:pt>
                <c:pt idx="159">
                  <c:v>100.499999999999</c:v>
                </c:pt>
                <c:pt idx="160">
                  <c:v>-37.4999999999992</c:v>
                </c:pt>
                <c:pt idx="161">
                  <c:v>146.999999999997</c:v>
                </c:pt>
                <c:pt idx="162">
                  <c:v>52.5000000000009</c:v>
                </c:pt>
                <c:pt idx="163">
                  <c:v>358.500000000001</c:v>
                </c:pt>
                <c:pt idx="164">
                  <c:v>60.0000000000001</c:v>
                </c:pt>
                <c:pt idx="165">
                  <c:v>-316.499999999998</c:v>
                </c:pt>
                <c:pt idx="166">
                  <c:v>158.999999999999</c:v>
                </c:pt>
                <c:pt idx="167">
                  <c:v>-178.5</c:v>
                </c:pt>
                <c:pt idx="168">
                  <c:v>297.999999999998</c:v>
                </c:pt>
                <c:pt idx="169">
                  <c:v>874.000000000001</c:v>
                </c:pt>
                <c:pt idx="170">
                  <c:v>463.999999999998</c:v>
                </c:pt>
                <c:pt idx="171">
                  <c:v>206.000000000004</c:v>
                </c:pt>
                <c:pt idx="172">
                  <c:v>-22.000000000002</c:v>
                </c:pt>
                <c:pt idx="173">
                  <c:v>-43.4999999999985</c:v>
                </c:pt>
                <c:pt idx="174">
                  <c:v>134.999999999998</c:v>
                </c:pt>
                <c:pt idx="175">
                  <c:v>304.5</c:v>
                </c:pt>
                <c:pt idx="176">
                  <c:v>483</c:v>
                </c:pt>
                <c:pt idx="177">
                  <c:v>-85.5000000000006</c:v>
                </c:pt>
                <c:pt idx="178">
                  <c:v>40.5000000000022</c:v>
                </c:pt>
                <c:pt idx="179">
                  <c:v>293.999999999998</c:v>
                </c:pt>
                <c:pt idx="180">
                  <c:v>-311.999999999999</c:v>
                </c:pt>
                <c:pt idx="181">
                  <c:v>-291.000000000001</c:v>
                </c:pt>
                <c:pt idx="182">
                  <c:v>195.000000000002</c:v>
                </c:pt>
                <c:pt idx="183">
                  <c:v>-49.5000000000012</c:v>
                </c:pt>
                <c:pt idx="184">
                  <c:v>-310.499999999999</c:v>
                </c:pt>
                <c:pt idx="185">
                  <c:v>789</c:v>
                </c:pt>
                <c:pt idx="186">
                  <c:v>-481.5</c:v>
                </c:pt>
                <c:pt idx="187">
                  <c:v>-1494</c:v>
                </c:pt>
                <c:pt idx="188">
                  <c:v>-1500</c:v>
                </c:pt>
                <c:pt idx="189">
                  <c:v>1386</c:v>
                </c:pt>
                <c:pt idx="190">
                  <c:v>-1077</c:v>
                </c:pt>
                <c:pt idx="191">
                  <c:v>330</c:v>
                </c:pt>
                <c:pt idx="192">
                  <c:v>840.000000000001</c:v>
                </c:pt>
                <c:pt idx="193">
                  <c:v>232.500000000001</c:v>
                </c:pt>
                <c:pt idx="194">
                  <c:v>73.4999999999986</c:v>
                </c:pt>
                <c:pt idx="195">
                  <c:v>-135.999999999998</c:v>
                </c:pt>
                <c:pt idx="196">
                  <c:v>249.999999999999</c:v>
                </c:pt>
                <c:pt idx="197">
                  <c:v>-299.999999999998</c:v>
                </c:pt>
                <c:pt idx="198">
                  <c:v>819.999999999999</c:v>
                </c:pt>
                <c:pt idx="199">
                  <c:v>-154.000000000001</c:v>
                </c:pt>
                <c:pt idx="200">
                  <c:v>-112.000000000001</c:v>
                </c:pt>
                <c:pt idx="201">
                  <c:v>-755.999999999997</c:v>
                </c:pt>
                <c:pt idx="202">
                  <c:v>-254.000000000003</c:v>
                </c:pt>
                <c:pt idx="203">
                  <c:v>-156.000000000001</c:v>
                </c:pt>
                <c:pt idx="204">
                  <c:v>186.000000000002</c:v>
                </c:pt>
                <c:pt idx="205">
                  <c:v>184.000000000002</c:v>
                </c:pt>
                <c:pt idx="206">
                  <c:v>112.499999999999</c:v>
                </c:pt>
                <c:pt idx="207">
                  <c:v>177.499999999997</c:v>
                </c:pt>
                <c:pt idx="208">
                  <c:v>682.500000000003</c:v>
                </c:pt>
                <c:pt idx="209">
                  <c:v>682.499999999997</c:v>
                </c:pt>
                <c:pt idx="210">
                  <c:v>-279.999999999997</c:v>
                </c:pt>
                <c:pt idx="211">
                  <c:v>237.500000000002</c:v>
                </c:pt>
                <c:pt idx="212">
                  <c:v>-142.500000000001</c:v>
                </c:pt>
                <c:pt idx="213">
                  <c:v>489.999999999996</c:v>
                </c:pt>
                <c:pt idx="214">
                  <c:v>312.500000000004</c:v>
                </c:pt>
                <c:pt idx="215">
                  <c:v>45.0000000000006</c:v>
                </c:pt>
                <c:pt idx="216">
                  <c:v>697.499999999995</c:v>
                </c:pt>
                <c:pt idx="217">
                  <c:v>-139.999999999996</c:v>
                </c:pt>
                <c:pt idx="218">
                  <c:v>302.5</c:v>
                </c:pt>
                <c:pt idx="219">
                  <c:v>-85.0000000000017</c:v>
                </c:pt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PnL!$N$401:$N$620</c:f>
              <c:numCache>
                <c:formatCode>General</c:formatCode>
                <c:ptCount val="220"/>
                <c:pt idx="0">
                  <c:v>0</c:v>
                </c:pt>
                <c:pt idx="1">
                  <c:v>-86.3999999999985</c:v>
                </c:pt>
                <c:pt idx="2">
                  <c:v>125.999999999994</c:v>
                </c:pt>
                <c:pt idx="3">
                  <c:v>293.400000000004</c:v>
                </c:pt>
                <c:pt idx="4">
                  <c:v>347.399999999998</c:v>
                </c:pt>
                <c:pt idx="5">
                  <c:v>70.2000000000043</c:v>
                </c:pt>
                <c:pt idx="6">
                  <c:v>493.199999999994</c:v>
                </c:pt>
                <c:pt idx="7">
                  <c:v>-216</c:v>
                </c:pt>
                <c:pt idx="8">
                  <c:v>-17.999999999998</c:v>
                </c:pt>
                <c:pt idx="9">
                  <c:v>-323.999999999996</c:v>
                </c:pt>
                <c:pt idx="10">
                  <c:v>-72.0000000000001</c:v>
                </c:pt>
                <c:pt idx="11">
                  <c:v>-72.0000000000001</c:v>
                </c:pt>
                <c:pt idx="12">
                  <c:v>315.000000000001</c:v>
                </c:pt>
                <c:pt idx="13">
                  <c:v>-27.000000000001</c:v>
                </c:pt>
                <c:pt idx="14">
                  <c:v>116.999999999999</c:v>
                </c:pt>
                <c:pt idx="15">
                  <c:v>188.999999999999</c:v>
                </c:pt>
                <c:pt idx="16">
                  <c:v>-216</c:v>
                </c:pt>
                <c:pt idx="17">
                  <c:v>0</c:v>
                </c:pt>
                <c:pt idx="18">
                  <c:v>104.399999999996</c:v>
                </c:pt>
                <c:pt idx="19">
                  <c:v>-17.999999999998</c:v>
                </c:pt>
                <c:pt idx="20">
                  <c:v>97.1999999999973</c:v>
                </c:pt>
                <c:pt idx="21">
                  <c:v>689.4</c:v>
                </c:pt>
                <c:pt idx="22">
                  <c:v>408.600000000007</c:v>
                </c:pt>
                <c:pt idx="23">
                  <c:v>-43.2000000000032</c:v>
                </c:pt>
                <c:pt idx="24">
                  <c:v>198.000000000002</c:v>
                </c:pt>
                <c:pt idx="25">
                  <c:v>343.799999999998</c:v>
                </c:pt>
                <c:pt idx="26">
                  <c:v>91.8000000000019</c:v>
                </c:pt>
                <c:pt idx="27">
                  <c:v>-941.400000000004</c:v>
                </c:pt>
                <c:pt idx="28">
                  <c:v>669.600000000006</c:v>
                </c:pt>
                <c:pt idx="29">
                  <c:v>-406.800000000003</c:v>
                </c:pt>
                <c:pt idx="30">
                  <c:v>138.599999999997</c:v>
                </c:pt>
                <c:pt idx="31">
                  <c:v>-163.799999999994</c:v>
                </c:pt>
                <c:pt idx="32">
                  <c:v>88.1999999999943</c:v>
                </c:pt>
                <c:pt idx="33">
                  <c:v>377.999999999998</c:v>
                </c:pt>
                <c:pt idx="34">
                  <c:v>27.000000000001</c:v>
                </c:pt>
                <c:pt idx="35">
                  <c:v>154.799999999999</c:v>
                </c:pt>
                <c:pt idx="36">
                  <c:v>43.2000000000032</c:v>
                </c:pt>
                <c:pt idx="37">
                  <c:v>396.000000000004</c:v>
                </c:pt>
                <c:pt idx="38">
                  <c:v>-36.000000000004</c:v>
                </c:pt>
                <c:pt idx="39">
                  <c:v>779.399999999998</c:v>
                </c:pt>
                <c:pt idx="40">
                  <c:v>1.8000000000038</c:v>
                </c:pt>
                <c:pt idx="41">
                  <c:v>-540.000000000004</c:v>
                </c:pt>
                <c:pt idx="42">
                  <c:v>360</c:v>
                </c:pt>
                <c:pt idx="43">
                  <c:v>550.800000000003</c:v>
                </c:pt>
                <c:pt idx="44">
                  <c:v>934.199999999997</c:v>
                </c:pt>
                <c:pt idx="45">
                  <c:v>-226.799999999999</c:v>
                </c:pt>
                <c:pt idx="46">
                  <c:v>-88.2000000000023</c:v>
                </c:pt>
                <c:pt idx="47">
                  <c:v>-404.999999999999</c:v>
                </c:pt>
                <c:pt idx="48">
                  <c:v>-766.799999999996</c:v>
                </c:pt>
                <c:pt idx="49">
                  <c:v>270.000000000002</c:v>
                </c:pt>
                <c:pt idx="50">
                  <c:v>-178.2</c:v>
                </c:pt>
                <c:pt idx="51">
                  <c:v>404.999999999999</c:v>
                </c:pt>
                <c:pt idx="52">
                  <c:v>493.199999999994</c:v>
                </c:pt>
                <c:pt idx="53">
                  <c:v>225.000000000003</c:v>
                </c:pt>
                <c:pt idx="54">
                  <c:v>-270.000000000002</c:v>
                </c:pt>
                <c:pt idx="55">
                  <c:v>180.000000000004</c:v>
                </c:pt>
                <c:pt idx="56">
                  <c:v>-360</c:v>
                </c:pt>
                <c:pt idx="57">
                  <c:v>-180.000000000004</c:v>
                </c:pt>
                <c:pt idx="58">
                  <c:v>-43.1999999999952</c:v>
                </c:pt>
                <c:pt idx="59">
                  <c:v>538.200000000001</c:v>
                </c:pt>
                <c:pt idx="60">
                  <c:v>-270.000000000002</c:v>
                </c:pt>
                <c:pt idx="61">
                  <c:v>225.000000000003</c:v>
                </c:pt>
                <c:pt idx="62">
                  <c:v>-325.8</c:v>
                </c:pt>
                <c:pt idx="63">
                  <c:v>278.999999999997</c:v>
                </c:pt>
                <c:pt idx="64">
                  <c:v>161.999999999998</c:v>
                </c:pt>
                <c:pt idx="65">
                  <c:v>-179.999999999996</c:v>
                </c:pt>
                <c:pt idx="66">
                  <c:v>206.999999999997</c:v>
                </c:pt>
                <c:pt idx="67">
                  <c:v>36.000000000004</c:v>
                </c:pt>
                <c:pt idx="68">
                  <c:v>-306.000000000006</c:v>
                </c:pt>
                <c:pt idx="69">
                  <c:v>79.1999999999993</c:v>
                </c:pt>
                <c:pt idx="70">
                  <c:v>163.800000000002</c:v>
                </c:pt>
                <c:pt idx="71">
                  <c:v>70.2000000000043</c:v>
                </c:pt>
                <c:pt idx="72">
                  <c:v>134.999999999997</c:v>
                </c:pt>
                <c:pt idx="73">
                  <c:v>206.999999999997</c:v>
                </c:pt>
                <c:pt idx="74">
                  <c:v>127.800000000006</c:v>
                </c:pt>
                <c:pt idx="75">
                  <c:v>-5.4000000000034</c:v>
                </c:pt>
                <c:pt idx="76">
                  <c:v>94.4999999999996</c:v>
                </c:pt>
                <c:pt idx="77">
                  <c:v>157.500000000001</c:v>
                </c:pt>
                <c:pt idx="78">
                  <c:v>-420.3</c:v>
                </c:pt>
                <c:pt idx="79">
                  <c:v>103.499999999999</c:v>
                </c:pt>
                <c:pt idx="80">
                  <c:v>-424.799999999997</c:v>
                </c:pt>
                <c:pt idx="81">
                  <c:v>-144</c:v>
                </c:pt>
                <c:pt idx="82">
                  <c:v>-257.400000000004</c:v>
                </c:pt>
                <c:pt idx="83">
                  <c:v>903.600000000004</c:v>
                </c:pt>
                <c:pt idx="84">
                  <c:v>-95.4000000000015</c:v>
                </c:pt>
                <c:pt idx="85">
                  <c:v>332.999999999999</c:v>
                </c:pt>
                <c:pt idx="86">
                  <c:v>-106.2</c:v>
                </c:pt>
                <c:pt idx="87">
                  <c:v>-415.799999999998</c:v>
                </c:pt>
                <c:pt idx="88">
                  <c:v>115.200000000003</c:v>
                </c:pt>
                <c:pt idx="89">
                  <c:v>-430.200000000005</c:v>
                </c:pt>
                <c:pt idx="90">
                  <c:v>829.800000000001</c:v>
                </c:pt>
                <c:pt idx="91">
                  <c:v>-68.4000000000005</c:v>
                </c:pt>
                <c:pt idx="92">
                  <c:v>-147.6</c:v>
                </c:pt>
                <c:pt idx="93">
                  <c:v>-228.600000000003</c:v>
                </c:pt>
                <c:pt idx="94">
                  <c:v>126.000000000002</c:v>
                </c:pt>
                <c:pt idx="95">
                  <c:v>-50.4000000000024</c:v>
                </c:pt>
                <c:pt idx="96">
                  <c:v>-64.7999999999929</c:v>
                </c:pt>
                <c:pt idx="97">
                  <c:v>32.3999999999964</c:v>
                </c:pt>
                <c:pt idx="98">
                  <c:v>108.000000000004</c:v>
                </c:pt>
                <c:pt idx="99">
                  <c:v>-127.800000000006</c:v>
                </c:pt>
                <c:pt idx="100">
                  <c:v>90.0000000000061</c:v>
                </c:pt>
                <c:pt idx="101">
                  <c:v>161.999999999998</c:v>
                </c:pt>
                <c:pt idx="102">
                  <c:v>294.299999999998</c:v>
                </c:pt>
                <c:pt idx="103">
                  <c:v>-67.4999999999986</c:v>
                </c:pt>
                <c:pt idx="104">
                  <c:v>-135.000000000003</c:v>
                </c:pt>
                <c:pt idx="105">
                  <c:v>98.5500000000041</c:v>
                </c:pt>
                <c:pt idx="106">
                  <c:v>-1.35000000000285</c:v>
                </c:pt>
                <c:pt idx="107">
                  <c:v>62.0999999999992</c:v>
                </c:pt>
                <c:pt idx="108">
                  <c:v>-26.999999999997</c:v>
                </c:pt>
                <c:pt idx="109">
                  <c:v>-6.75000000000225</c:v>
                </c:pt>
                <c:pt idx="110">
                  <c:v>56.6999999999997</c:v>
                </c:pt>
                <c:pt idx="111">
                  <c:v>41.8500000000044</c:v>
                </c:pt>
                <c:pt idx="112">
                  <c:v>110.7</c:v>
                </c:pt>
                <c:pt idx="113">
                  <c:v>162</c:v>
                </c:pt>
                <c:pt idx="114">
                  <c:v>-68.8500000000014</c:v>
                </c:pt>
                <c:pt idx="115">
                  <c:v>97.2000000000013</c:v>
                </c:pt>
                <c:pt idx="116">
                  <c:v>145.799999999996</c:v>
                </c:pt>
                <c:pt idx="117">
                  <c:v>-21.5999999999976</c:v>
                </c:pt>
                <c:pt idx="118">
                  <c:v>-170.099999999999</c:v>
                </c:pt>
                <c:pt idx="119">
                  <c:v>162</c:v>
                </c:pt>
                <c:pt idx="120">
                  <c:v>136.35</c:v>
                </c:pt>
                <c:pt idx="121">
                  <c:v>168.749999999996</c:v>
                </c:pt>
                <c:pt idx="122">
                  <c:v>194.400000000003</c:v>
                </c:pt>
                <c:pt idx="123">
                  <c:v>31.0499999999996</c:v>
                </c:pt>
                <c:pt idx="124">
                  <c:v>-577.800000000002</c:v>
                </c:pt>
                <c:pt idx="125">
                  <c:v>157.950000000004</c:v>
                </c:pt>
                <c:pt idx="126">
                  <c:v>-76.9500000000005</c:v>
                </c:pt>
                <c:pt idx="127">
                  <c:v>-102.600000000001</c:v>
                </c:pt>
                <c:pt idx="128">
                  <c:v>-340.199999999999</c:v>
                </c:pt>
                <c:pt idx="129">
                  <c:v>-202.500000000002</c:v>
                </c:pt>
                <c:pt idx="130">
                  <c:v>278.099999999999</c:v>
                </c:pt>
                <c:pt idx="131">
                  <c:v>-12.1500000000017</c:v>
                </c:pt>
                <c:pt idx="132">
                  <c:v>79.6500000000002</c:v>
                </c:pt>
                <c:pt idx="133">
                  <c:v>59.3999999999995</c:v>
                </c:pt>
                <c:pt idx="134">
                  <c:v>85.0499999999996</c:v>
                </c:pt>
                <c:pt idx="135">
                  <c:v>-97.1999999999953</c:v>
                </c:pt>
                <c:pt idx="136">
                  <c:v>20.2500000000008</c:v>
                </c:pt>
                <c:pt idx="137">
                  <c:v>-101.250000000004</c:v>
                </c:pt>
                <c:pt idx="138">
                  <c:v>79.6500000000002</c:v>
                </c:pt>
                <c:pt idx="139">
                  <c:v>206.549999999998</c:v>
                </c:pt>
                <c:pt idx="140">
                  <c:v>187.65</c:v>
                </c:pt>
                <c:pt idx="141">
                  <c:v>-79.6500000000002</c:v>
                </c:pt>
                <c:pt idx="142">
                  <c:v>287.550000000001</c:v>
                </c:pt>
                <c:pt idx="143">
                  <c:v>302.400000000003</c:v>
                </c:pt>
                <c:pt idx="144">
                  <c:v>499.499999999999</c:v>
                </c:pt>
                <c:pt idx="145">
                  <c:v>126.899999999998</c:v>
                </c:pt>
                <c:pt idx="146">
                  <c:v>-18.8999999999979</c:v>
                </c:pt>
                <c:pt idx="147">
                  <c:v>265.949999999998</c:v>
                </c:pt>
                <c:pt idx="148">
                  <c:v>27.000000000003</c:v>
                </c:pt>
                <c:pt idx="149">
                  <c:v>-133.65</c:v>
                </c:pt>
                <c:pt idx="150">
                  <c:v>-155.249999999998</c:v>
                </c:pt>
                <c:pt idx="151">
                  <c:v>103.949999999998</c:v>
                </c:pt>
                <c:pt idx="152">
                  <c:v>-534.600000000001</c:v>
                </c:pt>
                <c:pt idx="153">
                  <c:v>-237.599999999998</c:v>
                </c:pt>
                <c:pt idx="154">
                  <c:v>-704.7</c:v>
                </c:pt>
                <c:pt idx="155">
                  <c:v>341.550000000001</c:v>
                </c:pt>
                <c:pt idx="156">
                  <c:v>390.149999999996</c:v>
                </c:pt>
                <c:pt idx="157">
                  <c:v>-113.399999999999</c:v>
                </c:pt>
                <c:pt idx="158">
                  <c:v>97.2000000000013</c:v>
                </c:pt>
                <c:pt idx="159">
                  <c:v>218.7</c:v>
                </c:pt>
                <c:pt idx="160">
                  <c:v>143.100000000002</c:v>
                </c:pt>
                <c:pt idx="161">
                  <c:v>54</c:v>
                </c:pt>
                <c:pt idx="162">
                  <c:v>118.799999999999</c:v>
                </c:pt>
                <c:pt idx="163">
                  <c:v>47.2499999999978</c:v>
                </c:pt>
                <c:pt idx="164">
                  <c:v>-109.349999999997</c:v>
                </c:pt>
                <c:pt idx="165">
                  <c:v>-371.250000000004</c:v>
                </c:pt>
                <c:pt idx="166">
                  <c:v>310.500000000002</c:v>
                </c:pt>
                <c:pt idx="167">
                  <c:v>-40.5000000000015</c:v>
                </c:pt>
                <c:pt idx="168">
                  <c:v>-1.34999999999685</c:v>
                </c:pt>
                <c:pt idx="169">
                  <c:v>333.449999999996</c:v>
                </c:pt>
                <c:pt idx="170">
                  <c:v>33.7499999999993</c:v>
                </c:pt>
                <c:pt idx="171">
                  <c:v>129.600000000004</c:v>
                </c:pt>
                <c:pt idx="172">
                  <c:v>-2.6999999999997</c:v>
                </c:pt>
                <c:pt idx="173">
                  <c:v>-67.4999999999986</c:v>
                </c:pt>
                <c:pt idx="174">
                  <c:v>163.349999999997</c:v>
                </c:pt>
                <c:pt idx="175">
                  <c:v>167.4</c:v>
                </c:pt>
                <c:pt idx="176">
                  <c:v>89.1000000000002</c:v>
                </c:pt>
                <c:pt idx="177">
                  <c:v>41.3999999999994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151.199999999999</c:v>
                </c:pt>
                <c:pt idx="192">
                  <c:v>287.100000000002</c:v>
                </c:pt>
                <c:pt idx="193">
                  <c:v>44.0999999999971</c:v>
                </c:pt>
                <c:pt idx="194">
                  <c:v>-44.0999999999971</c:v>
                </c:pt>
                <c:pt idx="195">
                  <c:v>65.6999999999988</c:v>
                </c:pt>
                <c:pt idx="196">
                  <c:v>102.600000000001</c:v>
                </c:pt>
                <c:pt idx="197">
                  <c:v>-69.3000000000024</c:v>
                </c:pt>
                <c:pt idx="198">
                  <c:v>222.300000000001</c:v>
                </c:pt>
                <c:pt idx="199">
                  <c:v>-112.499999999998</c:v>
                </c:pt>
                <c:pt idx="200">
                  <c:v>-1.8000000000038</c:v>
                </c:pt>
                <c:pt idx="201">
                  <c:v>-222.299999999998</c:v>
                </c:pt>
                <c:pt idx="202">
                  <c:v>-45.45</c:v>
                </c:pt>
                <c:pt idx="203">
                  <c:v>-45.9000000000009</c:v>
                </c:pt>
                <c:pt idx="204">
                  <c:v>54.8999999999999</c:v>
                </c:pt>
                <c:pt idx="205">
                  <c:v>-35.1000000000001</c:v>
                </c:pt>
                <c:pt idx="206">
                  <c:v>8.55000000000006</c:v>
                </c:pt>
                <c:pt idx="207">
                  <c:v>0.45000000000095</c:v>
                </c:pt>
                <c:pt idx="208">
                  <c:v>54.449999999999</c:v>
                </c:pt>
                <c:pt idx="209">
                  <c:v>31.5000000000005</c:v>
                </c:pt>
                <c:pt idx="210">
                  <c:v>58.9500000000005</c:v>
                </c:pt>
                <c:pt idx="211">
                  <c:v>76.0500000000006</c:v>
                </c:pt>
                <c:pt idx="212">
                  <c:v>-57.6000000000016</c:v>
                </c:pt>
                <c:pt idx="213">
                  <c:v>53.5500000000011</c:v>
                </c:pt>
                <c:pt idx="214">
                  <c:v>43.1999999999992</c:v>
                </c:pt>
                <c:pt idx="215">
                  <c:v>132.299999999999</c:v>
                </c:pt>
                <c:pt idx="216">
                  <c:v>171.899999999999</c:v>
                </c:pt>
                <c:pt idx="217">
                  <c:v>-132.299999999999</c:v>
                </c:pt>
                <c:pt idx="218">
                  <c:v>61.2000000000013</c:v>
                </c:pt>
                <c:pt idx="219">
                  <c:v>-126.000000000002</c:v>
                </c:pt>
              </c:numCache>
            </c:numRef>
          </c:val>
          <c:smooth val="0"/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PnL!$O$401:$O$620</c:f>
              <c:numCache>
                <c:formatCode>General</c:formatCode>
                <c:ptCount val="220"/>
                <c:pt idx="0">
                  <c:v>0</c:v>
                </c:pt>
                <c:pt idx="1">
                  <c:v>-244.799999999998</c:v>
                </c:pt>
                <c:pt idx="2">
                  <c:v>32.0000000000036</c:v>
                </c:pt>
                <c:pt idx="3">
                  <c:v>371.199999999995</c:v>
                </c:pt>
                <c:pt idx="4">
                  <c:v>203.200000000002</c:v>
                </c:pt>
                <c:pt idx="5">
                  <c:v>36.7999999999995</c:v>
                </c:pt>
                <c:pt idx="6">
                  <c:v>523.200000000003</c:v>
                </c:pt>
                <c:pt idx="7">
                  <c:v>-103.999999999999</c:v>
                </c:pt>
                <c:pt idx="8">
                  <c:v>-17.6000000000016</c:v>
                </c:pt>
                <c:pt idx="9">
                  <c:v>-257.600000000004</c:v>
                </c:pt>
                <c:pt idx="10">
                  <c:v>118.400000000001</c:v>
                </c:pt>
                <c:pt idx="11">
                  <c:v>-65.5999999999963</c:v>
                </c:pt>
                <c:pt idx="12">
                  <c:v>239.999999999995</c:v>
                </c:pt>
                <c:pt idx="13">
                  <c:v>24.0000000000009</c:v>
                </c:pt>
                <c:pt idx="14">
                  <c:v>238.399999999999</c:v>
                </c:pt>
                <c:pt idx="15">
                  <c:v>574.400000000004</c:v>
                </c:pt>
                <c:pt idx="16">
                  <c:v>-164.8</c:v>
                </c:pt>
                <c:pt idx="17">
                  <c:v>-84.8000000000013</c:v>
                </c:pt>
                <c:pt idx="18">
                  <c:v>94.4000000000003</c:v>
                </c:pt>
                <c:pt idx="19">
                  <c:v>-15.9999999999982</c:v>
                </c:pt>
                <c:pt idx="20">
                  <c:v>94.4000000000003</c:v>
                </c:pt>
                <c:pt idx="21">
                  <c:v>705.599999999997</c:v>
                </c:pt>
                <c:pt idx="22">
                  <c:v>558.399999999999</c:v>
                </c:pt>
                <c:pt idx="23">
                  <c:v>15.9999999999982</c:v>
                </c:pt>
                <c:pt idx="24">
                  <c:v>190.400000000004</c:v>
                </c:pt>
                <c:pt idx="25">
                  <c:v>443.199999999997</c:v>
                </c:pt>
                <c:pt idx="26">
                  <c:v>163.200000000003</c:v>
                </c:pt>
                <c:pt idx="27">
                  <c:v>-968.000000000004</c:v>
                </c:pt>
                <c:pt idx="28">
                  <c:v>584.000000000003</c:v>
                </c:pt>
                <c:pt idx="29">
                  <c:v>-465.600000000002</c:v>
                </c:pt>
                <c:pt idx="30">
                  <c:v>0</c:v>
                </c:pt>
                <c:pt idx="31">
                  <c:v>120.000000000005</c:v>
                </c:pt>
                <c:pt idx="32">
                  <c:v>256</c:v>
                </c:pt>
                <c:pt idx="33">
                  <c:v>425.599999999996</c:v>
                </c:pt>
                <c:pt idx="34">
                  <c:v>-9.59999999999894</c:v>
                </c:pt>
                <c:pt idx="35">
                  <c:v>159.999999999997</c:v>
                </c:pt>
                <c:pt idx="36">
                  <c:v>161.6</c:v>
                </c:pt>
                <c:pt idx="37">
                  <c:v>654.400000000003</c:v>
                </c:pt>
                <c:pt idx="38">
                  <c:v>281.599999999997</c:v>
                </c:pt>
                <c:pt idx="39">
                  <c:v>569.600000000001</c:v>
                </c:pt>
                <c:pt idx="40">
                  <c:v>403.200000000005</c:v>
                </c:pt>
                <c:pt idx="41">
                  <c:v>-478.400000000001</c:v>
                </c:pt>
                <c:pt idx="42">
                  <c:v>283.199999999994</c:v>
                </c:pt>
                <c:pt idx="43">
                  <c:v>-89.5999999999972</c:v>
                </c:pt>
                <c:pt idx="44">
                  <c:v>832.000000000001</c:v>
                </c:pt>
                <c:pt idx="45">
                  <c:v>-57.6000000000008</c:v>
                </c:pt>
                <c:pt idx="46">
                  <c:v>-39.9999999999991</c:v>
                </c:pt>
                <c:pt idx="47">
                  <c:v>-689.599999999999</c:v>
                </c:pt>
                <c:pt idx="48">
                  <c:v>-1038.4</c:v>
                </c:pt>
                <c:pt idx="49">
                  <c:v>163.200000000003</c:v>
                </c:pt>
                <c:pt idx="50">
                  <c:v>-48.0000000000018</c:v>
                </c:pt>
                <c:pt idx="51">
                  <c:v>398.400000000002</c:v>
                </c:pt>
                <c:pt idx="52">
                  <c:v>379.199999999997</c:v>
                </c:pt>
                <c:pt idx="53">
                  <c:v>595.199999999998</c:v>
                </c:pt>
                <c:pt idx="54">
                  <c:v>-280.000000000001</c:v>
                </c:pt>
                <c:pt idx="55">
                  <c:v>72.0000000000027</c:v>
                </c:pt>
                <c:pt idx="56">
                  <c:v>-347.200000000001</c:v>
                </c:pt>
                <c:pt idx="57">
                  <c:v>-207.999999999998</c:v>
                </c:pt>
                <c:pt idx="58">
                  <c:v>-32.0000000000036</c:v>
                </c:pt>
                <c:pt idx="59">
                  <c:v>553.600000000003</c:v>
                </c:pt>
                <c:pt idx="60">
                  <c:v>-44.8000000000022</c:v>
                </c:pt>
                <c:pt idx="61">
                  <c:v>112.000000000002</c:v>
                </c:pt>
                <c:pt idx="62">
                  <c:v>-406.399999999998</c:v>
                </c:pt>
                <c:pt idx="63">
                  <c:v>156.799999999997</c:v>
                </c:pt>
                <c:pt idx="64">
                  <c:v>184.000000000005</c:v>
                </c:pt>
                <c:pt idx="65">
                  <c:v>-225.6</c:v>
                </c:pt>
                <c:pt idx="66">
                  <c:v>192</c:v>
                </c:pt>
                <c:pt idx="67">
                  <c:v>30.4000000000002</c:v>
                </c:pt>
                <c:pt idx="68">
                  <c:v>-406.400000000005</c:v>
                </c:pt>
                <c:pt idx="69">
                  <c:v>-59.199999999997</c:v>
                </c:pt>
                <c:pt idx="70">
                  <c:v>92.7999999999969</c:v>
                </c:pt>
                <c:pt idx="71">
                  <c:v>11.2000000000023</c:v>
                </c:pt>
                <c:pt idx="72">
                  <c:v>233.600000000003</c:v>
                </c:pt>
                <c:pt idx="73">
                  <c:v>257.599999999996</c:v>
                </c:pt>
                <c:pt idx="74">
                  <c:v>71.9999999999992</c:v>
                </c:pt>
                <c:pt idx="75">
                  <c:v>44.0000000000005</c:v>
                </c:pt>
                <c:pt idx="76">
                  <c:v>56.0000000000009</c:v>
                </c:pt>
                <c:pt idx="77">
                  <c:v>103.999999999999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-188.800000000001</c:v>
                </c:pt>
                <c:pt idx="82">
                  <c:v>-271.999999999998</c:v>
                </c:pt>
                <c:pt idx="83">
                  <c:v>360.800000000001</c:v>
                </c:pt>
                <c:pt idx="84">
                  <c:v>-164.000000000001</c:v>
                </c:pt>
                <c:pt idx="85">
                  <c:v>139.199999999999</c:v>
                </c:pt>
                <c:pt idx="86">
                  <c:v>-69.5999999999977</c:v>
                </c:pt>
                <c:pt idx="87">
                  <c:v>-180.800000000001</c:v>
                </c:pt>
                <c:pt idx="88">
                  <c:v>-79.9999999999983</c:v>
                </c:pt>
                <c:pt idx="89">
                  <c:v>-240.000000000002</c:v>
                </c:pt>
                <c:pt idx="90">
                  <c:v>372</c:v>
                </c:pt>
                <c:pt idx="91">
                  <c:v>24.0000000000009</c:v>
                </c:pt>
                <c:pt idx="92">
                  <c:v>-39.9999999999991</c:v>
                </c:pt>
                <c:pt idx="93">
                  <c:v>-104.000000000003</c:v>
                </c:pt>
                <c:pt idx="94">
                  <c:v>-44.7999999999986</c:v>
                </c:pt>
                <c:pt idx="95">
                  <c:v>-39.9999999999991</c:v>
                </c:pt>
                <c:pt idx="96">
                  <c:v>-7.99999999999912</c:v>
                </c:pt>
                <c:pt idx="97">
                  <c:v>181.6</c:v>
                </c:pt>
                <c:pt idx="98">
                  <c:v>199.199999999998</c:v>
                </c:pt>
                <c:pt idx="99">
                  <c:v>-51.1999999999979</c:v>
                </c:pt>
                <c:pt idx="100">
                  <c:v>50.3999999999998</c:v>
                </c:pt>
                <c:pt idx="101">
                  <c:v>120.000000000001</c:v>
                </c:pt>
                <c:pt idx="102">
                  <c:v>47.9999999999983</c:v>
                </c:pt>
                <c:pt idx="103">
                  <c:v>-68.0000000000014</c:v>
                </c:pt>
                <c:pt idx="104">
                  <c:v>-180</c:v>
                </c:pt>
                <c:pt idx="105">
                  <c:v>63.2000000000019</c:v>
                </c:pt>
                <c:pt idx="106">
                  <c:v>15.9999999999982</c:v>
                </c:pt>
                <c:pt idx="107">
                  <c:v>60.0000000000023</c:v>
                </c:pt>
                <c:pt idx="108">
                  <c:v>0</c:v>
                </c:pt>
                <c:pt idx="109">
                  <c:v>59.9999999999987</c:v>
                </c:pt>
                <c:pt idx="110">
                  <c:v>86.4000000000011</c:v>
                </c:pt>
                <c:pt idx="111">
                  <c:v>-32</c:v>
                </c:pt>
                <c:pt idx="112">
                  <c:v>47.9999999999983</c:v>
                </c:pt>
                <c:pt idx="113">
                  <c:v>148</c:v>
                </c:pt>
                <c:pt idx="114">
                  <c:v>-53.5999999999994</c:v>
                </c:pt>
                <c:pt idx="115">
                  <c:v>135.999999999999</c:v>
                </c:pt>
                <c:pt idx="116">
                  <c:v>72.0000000000027</c:v>
                </c:pt>
                <c:pt idx="117">
                  <c:v>71.1999999999975</c:v>
                </c:pt>
                <c:pt idx="118">
                  <c:v>-71.1999999999975</c:v>
                </c:pt>
                <c:pt idx="119">
                  <c:v>151.999999999997</c:v>
                </c:pt>
                <c:pt idx="120">
                  <c:v>103.999999999999</c:v>
                </c:pt>
                <c:pt idx="121">
                  <c:v>28.0000000000022</c:v>
                </c:pt>
                <c:pt idx="122">
                  <c:v>128</c:v>
                </c:pt>
                <c:pt idx="123">
                  <c:v>0</c:v>
                </c:pt>
                <c:pt idx="124">
                  <c:v>-400.000000000002</c:v>
                </c:pt>
                <c:pt idx="125">
                  <c:v>72.0000000000027</c:v>
                </c:pt>
                <c:pt idx="126">
                  <c:v>-36.8000000000031</c:v>
                </c:pt>
                <c:pt idx="127">
                  <c:v>-47.9999999999983</c:v>
                </c:pt>
                <c:pt idx="128">
                  <c:v>-265.599999999999</c:v>
                </c:pt>
                <c:pt idx="129">
                  <c:v>-60.0000000000023</c:v>
                </c:pt>
                <c:pt idx="130">
                  <c:v>150.400000000001</c:v>
                </c:pt>
                <c:pt idx="131">
                  <c:v>-40.8000000000008</c:v>
                </c:pt>
                <c:pt idx="132">
                  <c:v>34.4000000000015</c:v>
                </c:pt>
                <c:pt idx="133">
                  <c:v>83.1999999999979</c:v>
                </c:pt>
                <c:pt idx="134">
                  <c:v>119.200000000003</c:v>
                </c:pt>
                <c:pt idx="135">
                  <c:v>-23.2000000000028</c:v>
                </c:pt>
                <c:pt idx="136">
                  <c:v>-8.79999999999725</c:v>
                </c:pt>
                <c:pt idx="137">
                  <c:v>-71.200000000001</c:v>
                </c:pt>
                <c:pt idx="138">
                  <c:v>47.2000000000001</c:v>
                </c:pt>
                <c:pt idx="139">
                  <c:v>103.999999999999</c:v>
                </c:pt>
                <c:pt idx="140">
                  <c:v>16.7999999999999</c:v>
                </c:pt>
                <c:pt idx="141">
                  <c:v>12.0000000000005</c:v>
                </c:pt>
                <c:pt idx="142">
                  <c:v>153.119999999999</c:v>
                </c:pt>
                <c:pt idx="143">
                  <c:v>62.8800000000005</c:v>
                </c:pt>
                <c:pt idx="144">
                  <c:v>156.48</c:v>
                </c:pt>
                <c:pt idx="145">
                  <c:v>64.8000000000003</c:v>
                </c:pt>
                <c:pt idx="146">
                  <c:v>-28.799999999999</c:v>
                </c:pt>
                <c:pt idx="147">
                  <c:v>83.5199999999993</c:v>
                </c:pt>
                <c:pt idx="148">
                  <c:v>89.2800000000008</c:v>
                </c:pt>
                <c:pt idx="149">
                  <c:v>43.1999999999995</c:v>
                </c:pt>
                <c:pt idx="150">
                  <c:v>-84.0000000000003</c:v>
                </c:pt>
                <c:pt idx="151">
                  <c:v>96.0000000000001</c:v>
                </c:pt>
                <c:pt idx="152">
                  <c:v>-168.000000000001</c:v>
                </c:pt>
                <c:pt idx="153">
                  <c:v>-47.999999999999</c:v>
                </c:pt>
                <c:pt idx="154">
                  <c:v>-264.000000000001</c:v>
                </c:pt>
                <c:pt idx="155">
                  <c:v>131.999999999999</c:v>
                </c:pt>
                <c:pt idx="156">
                  <c:v>155.52</c:v>
                </c:pt>
                <c:pt idx="157">
                  <c:v>-71.5199999999996</c:v>
                </c:pt>
                <c:pt idx="158">
                  <c:v>0</c:v>
                </c:pt>
                <c:pt idx="159">
                  <c:v>108</c:v>
                </c:pt>
                <c:pt idx="160">
                  <c:v>36.0000000000014</c:v>
                </c:pt>
                <c:pt idx="161">
                  <c:v>23.5199999999985</c:v>
                </c:pt>
                <c:pt idx="162">
                  <c:v>36.0000000000014</c:v>
                </c:pt>
                <c:pt idx="163">
                  <c:v>35.9999999999992</c:v>
                </c:pt>
                <c:pt idx="164">
                  <c:v>-35.5200000000004</c:v>
                </c:pt>
                <c:pt idx="165">
                  <c:v>-167.999999999999</c:v>
                </c:pt>
                <c:pt idx="166">
                  <c:v>131.999999999999</c:v>
                </c:pt>
                <c:pt idx="167">
                  <c:v>-48.0000000000011</c:v>
                </c:pt>
                <c:pt idx="168">
                  <c:v>-0.479999999998881</c:v>
                </c:pt>
                <c:pt idx="169">
                  <c:v>108.480000000001</c:v>
                </c:pt>
                <c:pt idx="170">
                  <c:v>16.7999999999992</c:v>
                </c:pt>
                <c:pt idx="171">
                  <c:v>79.2000000000009</c:v>
                </c:pt>
                <c:pt idx="172">
                  <c:v>47.999999999999</c:v>
                </c:pt>
                <c:pt idx="173">
                  <c:v>16.7999999999992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358.399999999996</c:v>
                </c:pt>
                <c:pt idx="192">
                  <c:v>1081.6</c:v>
                </c:pt>
                <c:pt idx="193">
                  <c:v>-159.999999999997</c:v>
                </c:pt>
                <c:pt idx="194">
                  <c:v>0</c:v>
                </c:pt>
                <c:pt idx="195">
                  <c:v>-201.600000000006</c:v>
                </c:pt>
                <c:pt idx="196">
                  <c:v>1.60000000000338</c:v>
                </c:pt>
                <c:pt idx="197">
                  <c:v>-247.999999999998</c:v>
                </c:pt>
                <c:pt idx="198">
                  <c:v>527.999999999999</c:v>
                </c:pt>
                <c:pt idx="199">
                  <c:v>-160.000000000004</c:v>
                </c:pt>
                <c:pt idx="200">
                  <c:v>-39.9999999999991</c:v>
                </c:pt>
                <c:pt idx="201">
                  <c:v>-519.999999999996</c:v>
                </c:pt>
                <c:pt idx="202">
                  <c:v>-240.000000000002</c:v>
                </c:pt>
                <c:pt idx="203">
                  <c:v>0</c:v>
                </c:pt>
                <c:pt idx="204">
                  <c:v>-79.9999999999983</c:v>
                </c:pt>
                <c:pt idx="205">
                  <c:v>-320</c:v>
                </c:pt>
                <c:pt idx="206">
                  <c:v>111.999999999998</c:v>
                </c:pt>
                <c:pt idx="207">
                  <c:v>48.0000000000018</c:v>
                </c:pt>
                <c:pt idx="208">
                  <c:v>199.999999999999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PnL!$P$401:$P$620</c:f>
              <c:numCache>
                <c:formatCode>General</c:formatCode>
                <c:ptCount val="220"/>
                <c:pt idx="0">
                  <c:v>0</c:v>
                </c:pt>
                <c:pt idx="1">
                  <c:v>-704.199999999993</c:v>
                </c:pt>
                <c:pt idx="2">
                  <c:v>319.999999999998</c:v>
                </c:pt>
                <c:pt idx="3">
                  <c:v>787.599999999996</c:v>
                </c:pt>
                <c:pt idx="4">
                  <c:v>736.600000000002</c:v>
                </c:pt>
                <c:pt idx="5">
                  <c:v>-69.9999999999967</c:v>
                </c:pt>
                <c:pt idx="6">
                  <c:v>1191.4</c:v>
                </c:pt>
                <c:pt idx="7">
                  <c:v>-477.000000000002</c:v>
                </c:pt>
                <c:pt idx="8">
                  <c:v>-15.5999999999974</c:v>
                </c:pt>
                <c:pt idx="9">
                  <c:v>-695.600000000001</c:v>
                </c:pt>
                <c:pt idx="10">
                  <c:v>-53.6000000000012</c:v>
                </c:pt>
                <c:pt idx="11">
                  <c:v>-287.599999999993</c:v>
                </c:pt>
                <c:pt idx="12">
                  <c:v>957.999999999994</c:v>
                </c:pt>
                <c:pt idx="13">
                  <c:v>46.0000000000012</c:v>
                </c:pt>
                <c:pt idx="14">
                  <c:v>529.399999999996</c:v>
                </c:pt>
                <c:pt idx="15">
                  <c:v>834.400000000007</c:v>
                </c:pt>
                <c:pt idx="16">
                  <c:v>-506.800000000004</c:v>
                </c:pt>
                <c:pt idx="17">
                  <c:v>37.1999999999986</c:v>
                </c:pt>
                <c:pt idx="18">
                  <c:v>597.8</c:v>
                </c:pt>
                <c:pt idx="19">
                  <c:v>-160.999999999998</c:v>
                </c:pt>
                <c:pt idx="20">
                  <c:v>410.599999999998</c:v>
                </c:pt>
                <c:pt idx="21">
                  <c:v>1768</c:v>
                </c:pt>
                <c:pt idx="22">
                  <c:v>944.000000000006</c:v>
                </c:pt>
                <c:pt idx="23">
                  <c:v>-203.200000000008</c:v>
                </c:pt>
                <c:pt idx="24">
                  <c:v>637.400000000008</c:v>
                </c:pt>
                <c:pt idx="25">
                  <c:v>857.999999999994</c:v>
                </c:pt>
                <c:pt idx="26">
                  <c:v>232.000000000006</c:v>
                </c:pt>
                <c:pt idx="27">
                  <c:v>-2487.40000000001</c:v>
                </c:pt>
                <c:pt idx="28">
                  <c:v>1597.60000000001</c:v>
                </c:pt>
                <c:pt idx="29">
                  <c:v>-772.400000000003</c:v>
                </c:pt>
                <c:pt idx="30">
                  <c:v>138.599999999997</c:v>
                </c:pt>
                <c:pt idx="31">
                  <c:v>-130.799999999991</c:v>
                </c:pt>
                <c:pt idx="32">
                  <c:v>258.199999999995</c:v>
                </c:pt>
                <c:pt idx="33">
                  <c:v>1102.59999999999</c:v>
                </c:pt>
                <c:pt idx="34">
                  <c:v>93.4000000000026</c:v>
                </c:pt>
                <c:pt idx="35">
                  <c:v>558.799999999995</c:v>
                </c:pt>
                <c:pt idx="36">
                  <c:v>148.800000000005</c:v>
                </c:pt>
                <c:pt idx="37">
                  <c:v>1301.4</c:v>
                </c:pt>
                <c:pt idx="38">
                  <c:v>70.5999999999971</c:v>
                </c:pt>
                <c:pt idx="39">
                  <c:v>1545</c:v>
                </c:pt>
                <c:pt idx="40">
                  <c:v>450.000000000011</c:v>
                </c:pt>
                <c:pt idx="41">
                  <c:v>-1472.4</c:v>
                </c:pt>
                <c:pt idx="42">
                  <c:v>786.199999999994</c:v>
                </c:pt>
                <c:pt idx="43">
                  <c:v>665.200000000006</c:v>
                </c:pt>
                <c:pt idx="44">
                  <c:v>2376.2</c:v>
                </c:pt>
                <c:pt idx="45">
                  <c:v>-568.4</c:v>
                </c:pt>
                <c:pt idx="46">
                  <c:v>-258.2</c:v>
                </c:pt>
                <c:pt idx="47">
                  <c:v>-1325.6</c:v>
                </c:pt>
                <c:pt idx="48">
                  <c:v>-2201.19999999999</c:v>
                </c:pt>
                <c:pt idx="49">
                  <c:v>562.200000000002</c:v>
                </c:pt>
                <c:pt idx="50">
                  <c:v>-264.200000000001</c:v>
                </c:pt>
                <c:pt idx="51">
                  <c:v>985.400000000003</c:v>
                </c:pt>
                <c:pt idx="52">
                  <c:v>1182.39999999999</c:v>
                </c:pt>
                <c:pt idx="53">
                  <c:v>924.200000000005</c:v>
                </c:pt>
                <c:pt idx="54">
                  <c:v>-709.000000000006</c:v>
                </c:pt>
                <c:pt idx="55">
                  <c:v>459.00000000001</c:v>
                </c:pt>
                <c:pt idx="56">
                  <c:v>-760.700000000003</c:v>
                </c:pt>
                <c:pt idx="57">
                  <c:v>-482.000000000002</c:v>
                </c:pt>
                <c:pt idx="58">
                  <c:v>-75.699999999999</c:v>
                </c:pt>
                <c:pt idx="59">
                  <c:v>1460.30000000001</c:v>
                </c:pt>
                <c:pt idx="60">
                  <c:v>-478.800000000004</c:v>
                </c:pt>
                <c:pt idx="61">
                  <c:v>505.000000000003</c:v>
                </c:pt>
                <c:pt idx="62">
                  <c:v>-950.199999999998</c:v>
                </c:pt>
                <c:pt idx="63">
                  <c:v>655.799999999996</c:v>
                </c:pt>
                <c:pt idx="64">
                  <c:v>421</c:v>
                </c:pt>
                <c:pt idx="65">
                  <c:v>-454.599999999993</c:v>
                </c:pt>
                <c:pt idx="66">
                  <c:v>674.999999999996</c:v>
                </c:pt>
                <c:pt idx="67">
                  <c:v>233.400000000002</c:v>
                </c:pt>
                <c:pt idx="68">
                  <c:v>-781.200000000009</c:v>
                </c:pt>
                <c:pt idx="69">
                  <c:v>233.000000000003</c:v>
                </c:pt>
                <c:pt idx="70">
                  <c:v>523.099999999999</c:v>
                </c:pt>
                <c:pt idx="71">
                  <c:v>-70.0999999999954</c:v>
                </c:pt>
                <c:pt idx="72">
                  <c:v>323.6</c:v>
                </c:pt>
                <c:pt idx="73">
                  <c:v>827.099999999991</c:v>
                </c:pt>
                <c:pt idx="74">
                  <c:v>588.300000000007</c:v>
                </c:pt>
                <c:pt idx="75">
                  <c:v>117.099999999999</c:v>
                </c:pt>
                <c:pt idx="76">
                  <c:v>190.499999999997</c:v>
                </c:pt>
                <c:pt idx="77">
                  <c:v>539.500000000005</c:v>
                </c:pt>
                <c:pt idx="78">
                  <c:v>-1029.6</c:v>
                </c:pt>
                <c:pt idx="79">
                  <c:v>613.999999999993</c:v>
                </c:pt>
                <c:pt idx="80">
                  <c:v>-1350.29999999999</c:v>
                </c:pt>
                <c:pt idx="81">
                  <c:v>-856.400000000006</c:v>
                </c:pt>
                <c:pt idx="82">
                  <c:v>-1070.8</c:v>
                </c:pt>
                <c:pt idx="83">
                  <c:v>1942.70000000001</c:v>
                </c:pt>
                <c:pt idx="84">
                  <c:v>55.2000000000014</c:v>
                </c:pt>
                <c:pt idx="85">
                  <c:v>882.599999999993</c:v>
                </c:pt>
                <c:pt idx="86">
                  <c:v>-291.099999999992</c:v>
                </c:pt>
                <c:pt idx="87">
                  <c:v>-950.500000000005</c:v>
                </c:pt>
                <c:pt idx="88">
                  <c:v>42.300000000006</c:v>
                </c:pt>
                <c:pt idx="89">
                  <c:v>-1057.50000000001</c:v>
                </c:pt>
                <c:pt idx="90">
                  <c:v>2163.3</c:v>
                </c:pt>
                <c:pt idx="91">
                  <c:v>134.100000000004</c:v>
                </c:pt>
                <c:pt idx="92">
                  <c:v>-271.800000000003</c:v>
                </c:pt>
                <c:pt idx="93">
                  <c:v>-525.700000000002</c:v>
                </c:pt>
                <c:pt idx="94">
                  <c:v>262.400000000002</c:v>
                </c:pt>
                <c:pt idx="95">
                  <c:v>-179.200000000002</c:v>
                </c:pt>
                <c:pt idx="96">
                  <c:v>-139.599999999988</c:v>
                </c:pt>
                <c:pt idx="97">
                  <c:v>325.199999999995</c:v>
                </c:pt>
                <c:pt idx="98">
                  <c:v>416.399999999999</c:v>
                </c:pt>
                <c:pt idx="99">
                  <c:v>-322.000000000005</c:v>
                </c:pt>
                <c:pt idx="100">
                  <c:v>115.200000000009</c:v>
                </c:pt>
                <c:pt idx="101">
                  <c:v>422.999999999998</c:v>
                </c:pt>
                <c:pt idx="102">
                  <c:v>375.299999999995</c:v>
                </c:pt>
                <c:pt idx="103">
                  <c:v>-152.899999999998</c:v>
                </c:pt>
                <c:pt idx="104">
                  <c:v>-288.300000000005</c:v>
                </c:pt>
                <c:pt idx="105">
                  <c:v>386.950000000005</c:v>
                </c:pt>
                <c:pt idx="106">
                  <c:v>0.749999999993589</c:v>
                </c:pt>
                <c:pt idx="107">
                  <c:v>338.800000000002</c:v>
                </c:pt>
                <c:pt idx="108">
                  <c:v>-59.9999999999934</c:v>
                </c:pt>
                <c:pt idx="109">
                  <c:v>48.7499999999936</c:v>
                </c:pt>
                <c:pt idx="110">
                  <c:v>207.600000000004</c:v>
                </c:pt>
                <c:pt idx="111">
                  <c:v>-108.649999999999</c:v>
                </c:pt>
                <c:pt idx="112">
                  <c:v>127.199999999998</c:v>
                </c:pt>
                <c:pt idx="113">
                  <c:v>410.499999999999</c:v>
                </c:pt>
                <c:pt idx="114">
                  <c:v>-228.949999999999</c:v>
                </c:pt>
                <c:pt idx="115">
                  <c:v>369.700000000002</c:v>
                </c:pt>
                <c:pt idx="116">
                  <c:v>715.799999999997</c:v>
                </c:pt>
                <c:pt idx="117">
                  <c:v>-29.9000000000014</c:v>
                </c:pt>
                <c:pt idx="118">
                  <c:v>-392.799999999997</c:v>
                </c:pt>
                <c:pt idx="119">
                  <c:v>516.499999999999</c:v>
                </c:pt>
                <c:pt idx="120">
                  <c:v>384.350000000003</c:v>
                </c:pt>
                <c:pt idx="121">
                  <c:v>454.749999999997</c:v>
                </c:pt>
                <c:pt idx="122">
                  <c:v>649.4</c:v>
                </c:pt>
                <c:pt idx="123">
                  <c:v>11.5500000000017</c:v>
                </c:pt>
                <c:pt idx="124">
                  <c:v>-1604.80000000001</c:v>
                </c:pt>
                <c:pt idx="125">
                  <c:v>717.450000000006</c:v>
                </c:pt>
                <c:pt idx="126">
                  <c:v>315.249999999996</c:v>
                </c:pt>
                <c:pt idx="127">
                  <c:v>-333.599999999999</c:v>
                </c:pt>
                <c:pt idx="128">
                  <c:v>-1031.8</c:v>
                </c:pt>
                <c:pt idx="129">
                  <c:v>-790.500000000003</c:v>
                </c:pt>
                <c:pt idx="130">
                  <c:v>837.999999999999</c:v>
                </c:pt>
                <c:pt idx="131">
                  <c:v>-138.450000000003</c:v>
                </c:pt>
                <c:pt idx="132">
                  <c:v>214.550000000001</c:v>
                </c:pt>
                <c:pt idx="133">
                  <c:v>214.600000000003</c:v>
                </c:pt>
                <c:pt idx="134">
                  <c:v>391.749999999999</c:v>
                </c:pt>
                <c:pt idx="135">
                  <c:v>-45.3999999999963</c:v>
                </c:pt>
                <c:pt idx="136">
                  <c:v>404.450000000004</c:v>
                </c:pt>
                <c:pt idx="137">
                  <c:v>-214.450000000007</c:v>
                </c:pt>
                <c:pt idx="138">
                  <c:v>236.350000000002</c:v>
                </c:pt>
                <c:pt idx="139">
                  <c:v>900.049999999999</c:v>
                </c:pt>
                <c:pt idx="140">
                  <c:v>538.95</c:v>
                </c:pt>
                <c:pt idx="141">
                  <c:v>-148.650000000001</c:v>
                </c:pt>
                <c:pt idx="142">
                  <c:v>514.169999999999</c:v>
                </c:pt>
                <c:pt idx="143">
                  <c:v>285.780000000005</c:v>
                </c:pt>
                <c:pt idx="144">
                  <c:v>720.479999999998</c:v>
                </c:pt>
                <c:pt idx="145">
                  <c:v>337.199999999999</c:v>
                </c:pt>
                <c:pt idx="146">
                  <c:v>471.300000000003</c:v>
                </c:pt>
                <c:pt idx="147">
                  <c:v>691.469999999996</c:v>
                </c:pt>
                <c:pt idx="148">
                  <c:v>227.280000000005</c:v>
                </c:pt>
                <c:pt idx="149">
                  <c:v>-24.4500000000014</c:v>
                </c:pt>
                <c:pt idx="150">
                  <c:v>-278.249999999997</c:v>
                </c:pt>
                <c:pt idx="151">
                  <c:v>462.449999999995</c:v>
                </c:pt>
                <c:pt idx="152">
                  <c:v>-1233.6</c:v>
                </c:pt>
                <c:pt idx="153">
                  <c:v>-821.099999999998</c:v>
                </c:pt>
                <c:pt idx="154">
                  <c:v>-1946.7</c:v>
                </c:pt>
                <c:pt idx="155">
                  <c:v>994.05</c:v>
                </c:pt>
                <c:pt idx="156">
                  <c:v>775.169999999997</c:v>
                </c:pt>
                <c:pt idx="157">
                  <c:v>-484.919999999999</c:v>
                </c:pt>
                <c:pt idx="158">
                  <c:v>332.700000000002</c:v>
                </c:pt>
                <c:pt idx="159">
                  <c:v>427.199999999999</c:v>
                </c:pt>
                <c:pt idx="160">
                  <c:v>141.600000000004</c:v>
                </c:pt>
                <c:pt idx="161">
                  <c:v>224.519999999996</c:v>
                </c:pt>
                <c:pt idx="162">
                  <c:v>207.300000000001</c:v>
                </c:pt>
                <c:pt idx="163">
                  <c:v>441.749999999997</c:v>
                </c:pt>
                <c:pt idx="164">
                  <c:v>-84.8699999999972</c:v>
                </c:pt>
                <c:pt idx="165">
                  <c:v>-855.750000000001</c:v>
                </c:pt>
                <c:pt idx="166">
                  <c:v>601.5</c:v>
                </c:pt>
                <c:pt idx="167">
                  <c:v>-267.000000000003</c:v>
                </c:pt>
                <c:pt idx="168">
                  <c:v>297.370000000003</c:v>
                </c:pt>
                <c:pt idx="169">
                  <c:v>1340.93</c:v>
                </c:pt>
                <c:pt idx="170">
                  <c:v>549.549999999996</c:v>
                </c:pt>
                <c:pt idx="171">
                  <c:v>389.800000000008</c:v>
                </c:pt>
                <c:pt idx="172">
                  <c:v>30.7999999999973</c:v>
                </c:pt>
                <c:pt idx="173">
                  <c:v>-32.699999999998</c:v>
                </c:pt>
                <c:pt idx="174">
                  <c:v>398.349999999996</c:v>
                </c:pt>
                <c:pt idx="175">
                  <c:v>771.9</c:v>
                </c:pt>
                <c:pt idx="176">
                  <c:v>705.6</c:v>
                </c:pt>
                <c:pt idx="177">
                  <c:v>-31.6000000000014</c:v>
                </c:pt>
                <c:pt idx="178">
                  <c:v>40.5000000000022</c:v>
                </c:pt>
                <c:pt idx="179">
                  <c:v>268.999999999998</c:v>
                </c:pt>
                <c:pt idx="180">
                  <c:v>-487</c:v>
                </c:pt>
                <c:pt idx="181">
                  <c:v>-416.000000000001</c:v>
                </c:pt>
                <c:pt idx="182">
                  <c:v>195.000000000002</c:v>
                </c:pt>
                <c:pt idx="183">
                  <c:v>-34.0000000000007</c:v>
                </c:pt>
                <c:pt idx="184">
                  <c:v>-460.499999999999</c:v>
                </c:pt>
                <c:pt idx="185">
                  <c:v>879</c:v>
                </c:pt>
                <c:pt idx="186">
                  <c:v>-526.500000000001</c:v>
                </c:pt>
                <c:pt idx="187">
                  <c:v>-1599</c:v>
                </c:pt>
                <c:pt idx="188">
                  <c:v>-1500</c:v>
                </c:pt>
                <c:pt idx="189">
                  <c:v>1456</c:v>
                </c:pt>
                <c:pt idx="190">
                  <c:v>-1082</c:v>
                </c:pt>
                <c:pt idx="191">
                  <c:v>784.599999999996</c:v>
                </c:pt>
                <c:pt idx="192">
                  <c:v>2208.7</c:v>
                </c:pt>
                <c:pt idx="193">
                  <c:v>116.600000000002</c:v>
                </c:pt>
                <c:pt idx="194">
                  <c:v>29.4000000000014</c:v>
                </c:pt>
                <c:pt idx="195">
                  <c:v>-271.900000000006</c:v>
                </c:pt>
                <c:pt idx="196">
                  <c:v>354.200000000003</c:v>
                </c:pt>
                <c:pt idx="197">
                  <c:v>-617.299999999998</c:v>
                </c:pt>
                <c:pt idx="198">
                  <c:v>1570.3</c:v>
                </c:pt>
                <c:pt idx="199">
                  <c:v>-426.500000000002</c:v>
                </c:pt>
                <c:pt idx="200">
                  <c:v>-153.800000000004</c:v>
                </c:pt>
                <c:pt idx="201">
                  <c:v>-1498.29999999999</c:v>
                </c:pt>
                <c:pt idx="202">
                  <c:v>-539.450000000005</c:v>
                </c:pt>
                <c:pt idx="203">
                  <c:v>-201.900000000002</c:v>
                </c:pt>
                <c:pt idx="204">
                  <c:v>160.900000000003</c:v>
                </c:pt>
                <c:pt idx="205">
                  <c:v>-171.099999999998</c:v>
                </c:pt>
                <c:pt idx="206">
                  <c:v>233.049999999997</c:v>
                </c:pt>
                <c:pt idx="207">
                  <c:v>225.95</c:v>
                </c:pt>
                <c:pt idx="208">
                  <c:v>936.950000000001</c:v>
                </c:pt>
                <c:pt idx="209">
                  <c:v>713.999999999998</c:v>
                </c:pt>
                <c:pt idx="210">
                  <c:v>-221.049999999996</c:v>
                </c:pt>
                <c:pt idx="211">
                  <c:v>313.550000000002</c:v>
                </c:pt>
                <c:pt idx="212">
                  <c:v>-200.100000000003</c:v>
                </c:pt>
                <c:pt idx="213">
                  <c:v>543.549999999997</c:v>
                </c:pt>
                <c:pt idx="214">
                  <c:v>355.700000000004</c:v>
                </c:pt>
                <c:pt idx="215">
                  <c:v>177.3</c:v>
                </c:pt>
                <c:pt idx="216">
                  <c:v>869.399999999994</c:v>
                </c:pt>
                <c:pt idx="217">
                  <c:v>-272.299999999995</c:v>
                </c:pt>
                <c:pt idx="218">
                  <c:v>363.700000000001</c:v>
                </c:pt>
                <c:pt idx="219">
                  <c:v>-211.000000000004</c:v>
                </c:pt>
              </c:numCache>
            </c:numRef>
          </c:val>
          <c:smooth val="0"/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PnL!$Q$401:$Q$620</c:f>
              <c:numCache>
                <c:formatCode>General</c:formatCode>
                <c:ptCount val="220"/>
                <c:pt idx="0">
                  <c:v>364.2</c:v>
                </c:pt>
                <c:pt idx="1">
                  <c:v>-339.999999999993</c:v>
                </c:pt>
                <c:pt idx="2">
                  <c:v>-19.9999999999951</c:v>
                </c:pt>
                <c:pt idx="3">
                  <c:v>767.600000000001</c:v>
                </c:pt>
                <c:pt idx="4">
                  <c:v>1504.2</c:v>
                </c:pt>
                <c:pt idx="5">
                  <c:v>1434.20000000001</c:v>
                </c:pt>
                <c:pt idx="6">
                  <c:v>2625.6</c:v>
                </c:pt>
                <c:pt idx="7">
                  <c:v>2148.6</c:v>
                </c:pt>
                <c:pt idx="8">
                  <c:v>2133</c:v>
                </c:pt>
                <c:pt idx="9">
                  <c:v>1437.4</c:v>
                </c:pt>
                <c:pt idx="10">
                  <c:v>1383.8</c:v>
                </c:pt>
                <c:pt idx="11">
                  <c:v>1096.20000000001</c:v>
                </c:pt>
                <c:pt idx="12">
                  <c:v>2054.2</c:v>
                </c:pt>
                <c:pt idx="13">
                  <c:v>2100.2</c:v>
                </c:pt>
                <c:pt idx="14">
                  <c:v>2629.6</c:v>
                </c:pt>
                <c:pt idx="15">
                  <c:v>3464.00000000001</c:v>
                </c:pt>
                <c:pt idx="16">
                  <c:v>2957.2</c:v>
                </c:pt>
                <c:pt idx="17">
                  <c:v>2994.4</c:v>
                </c:pt>
                <c:pt idx="18">
                  <c:v>3592.2</c:v>
                </c:pt>
                <c:pt idx="19">
                  <c:v>3431.2</c:v>
                </c:pt>
                <c:pt idx="20">
                  <c:v>3841.8</c:v>
                </c:pt>
                <c:pt idx="21">
                  <c:v>5609.8</c:v>
                </c:pt>
                <c:pt idx="22">
                  <c:v>6553.80000000001</c:v>
                </c:pt>
                <c:pt idx="23">
                  <c:v>6350.6</c:v>
                </c:pt>
                <c:pt idx="24">
                  <c:v>6988.00000000001</c:v>
                </c:pt>
                <c:pt idx="25">
                  <c:v>7846</c:v>
                </c:pt>
                <c:pt idx="26">
                  <c:v>8078.00000000001</c:v>
                </c:pt>
                <c:pt idx="27">
                  <c:v>5590.6</c:v>
                </c:pt>
                <c:pt idx="28">
                  <c:v>7188.20000000001</c:v>
                </c:pt>
                <c:pt idx="29">
                  <c:v>6415.8</c:v>
                </c:pt>
                <c:pt idx="30">
                  <c:v>6554.4</c:v>
                </c:pt>
                <c:pt idx="31">
                  <c:v>6423.60000000001</c:v>
                </c:pt>
                <c:pt idx="32">
                  <c:v>6681.80000000001</c:v>
                </c:pt>
                <c:pt idx="33">
                  <c:v>7784.4</c:v>
                </c:pt>
                <c:pt idx="34">
                  <c:v>7877.8</c:v>
                </c:pt>
                <c:pt idx="35">
                  <c:v>8436.6</c:v>
                </c:pt>
                <c:pt idx="36">
                  <c:v>8585.4</c:v>
                </c:pt>
                <c:pt idx="37">
                  <c:v>9886.8</c:v>
                </c:pt>
                <c:pt idx="38">
                  <c:v>9957.4</c:v>
                </c:pt>
                <c:pt idx="39">
                  <c:v>11502.4</c:v>
                </c:pt>
                <c:pt idx="40">
                  <c:v>11952.4</c:v>
                </c:pt>
                <c:pt idx="41">
                  <c:v>10480</c:v>
                </c:pt>
                <c:pt idx="42">
                  <c:v>11266.2</c:v>
                </c:pt>
                <c:pt idx="43">
                  <c:v>11931.4</c:v>
                </c:pt>
                <c:pt idx="44">
                  <c:v>14307.6</c:v>
                </c:pt>
                <c:pt idx="45">
                  <c:v>13739.2</c:v>
                </c:pt>
                <c:pt idx="46">
                  <c:v>13481</c:v>
                </c:pt>
                <c:pt idx="47">
                  <c:v>12155.4</c:v>
                </c:pt>
                <c:pt idx="48">
                  <c:v>9954.20000000001</c:v>
                </c:pt>
                <c:pt idx="49">
                  <c:v>10516.4</c:v>
                </c:pt>
                <c:pt idx="50">
                  <c:v>10252.2</c:v>
                </c:pt>
                <c:pt idx="51">
                  <c:v>11237.6</c:v>
                </c:pt>
                <c:pt idx="52">
                  <c:v>12420</c:v>
                </c:pt>
                <c:pt idx="53">
                  <c:v>13344.2</c:v>
                </c:pt>
                <c:pt idx="54">
                  <c:v>12635.2</c:v>
                </c:pt>
                <c:pt idx="55">
                  <c:v>13094.2</c:v>
                </c:pt>
                <c:pt idx="56">
                  <c:v>12333.5</c:v>
                </c:pt>
                <c:pt idx="57">
                  <c:v>11851.5</c:v>
                </c:pt>
                <c:pt idx="58">
                  <c:v>11775.8</c:v>
                </c:pt>
                <c:pt idx="59">
                  <c:v>13236.1</c:v>
                </c:pt>
                <c:pt idx="60">
                  <c:v>12757.3</c:v>
                </c:pt>
                <c:pt idx="61">
                  <c:v>13262.3</c:v>
                </c:pt>
                <c:pt idx="62">
                  <c:v>12312.1</c:v>
                </c:pt>
                <c:pt idx="63">
                  <c:v>12967.9</c:v>
                </c:pt>
                <c:pt idx="64">
                  <c:v>13388.9</c:v>
                </c:pt>
                <c:pt idx="65">
                  <c:v>12934.3</c:v>
                </c:pt>
                <c:pt idx="66">
                  <c:v>13609.3</c:v>
                </c:pt>
                <c:pt idx="67">
                  <c:v>13842.7</c:v>
                </c:pt>
                <c:pt idx="68">
                  <c:v>13061.5</c:v>
                </c:pt>
                <c:pt idx="69">
                  <c:v>13294.5</c:v>
                </c:pt>
                <c:pt idx="70">
                  <c:v>13817.6</c:v>
                </c:pt>
                <c:pt idx="71">
                  <c:v>13747.5</c:v>
                </c:pt>
                <c:pt idx="72">
                  <c:v>14071.1</c:v>
                </c:pt>
                <c:pt idx="73">
                  <c:v>14898.2</c:v>
                </c:pt>
                <c:pt idx="74">
                  <c:v>15486.5</c:v>
                </c:pt>
                <c:pt idx="75">
                  <c:v>15603.6</c:v>
                </c:pt>
                <c:pt idx="76">
                  <c:v>15794.1</c:v>
                </c:pt>
                <c:pt idx="77">
                  <c:v>16333.6</c:v>
                </c:pt>
                <c:pt idx="78">
                  <c:v>15304</c:v>
                </c:pt>
                <c:pt idx="79">
                  <c:v>15918</c:v>
                </c:pt>
                <c:pt idx="80">
                  <c:v>14567.7</c:v>
                </c:pt>
                <c:pt idx="81">
                  <c:v>13711.3</c:v>
                </c:pt>
                <c:pt idx="82">
                  <c:v>12640.5</c:v>
                </c:pt>
                <c:pt idx="83">
                  <c:v>14583.2</c:v>
                </c:pt>
                <c:pt idx="84">
                  <c:v>14638.4</c:v>
                </c:pt>
                <c:pt idx="85">
                  <c:v>15521</c:v>
                </c:pt>
                <c:pt idx="86">
                  <c:v>15229.9</c:v>
                </c:pt>
                <c:pt idx="87">
                  <c:v>14279.4</c:v>
                </c:pt>
                <c:pt idx="88">
                  <c:v>14321.7</c:v>
                </c:pt>
                <c:pt idx="89">
                  <c:v>13264.2</c:v>
                </c:pt>
                <c:pt idx="90">
                  <c:v>15427.5</c:v>
                </c:pt>
                <c:pt idx="91">
                  <c:v>15561.6</c:v>
                </c:pt>
                <c:pt idx="92">
                  <c:v>15289.8</c:v>
                </c:pt>
                <c:pt idx="93">
                  <c:v>14764.1</c:v>
                </c:pt>
                <c:pt idx="94">
                  <c:v>15026.5</c:v>
                </c:pt>
                <c:pt idx="95">
                  <c:v>14847.3</c:v>
                </c:pt>
                <c:pt idx="96">
                  <c:v>14707.7</c:v>
                </c:pt>
                <c:pt idx="97">
                  <c:v>15032.9</c:v>
                </c:pt>
                <c:pt idx="98">
                  <c:v>15449.3</c:v>
                </c:pt>
                <c:pt idx="99">
                  <c:v>15127.3</c:v>
                </c:pt>
                <c:pt idx="100">
                  <c:v>15242.5</c:v>
                </c:pt>
                <c:pt idx="101">
                  <c:v>15665.5</c:v>
                </c:pt>
                <c:pt idx="102">
                  <c:v>16040.8</c:v>
                </c:pt>
                <c:pt idx="103">
                  <c:v>15887.9</c:v>
                </c:pt>
                <c:pt idx="104">
                  <c:v>15599.6</c:v>
                </c:pt>
                <c:pt idx="105">
                  <c:v>15986.55</c:v>
                </c:pt>
                <c:pt idx="106">
                  <c:v>15987.3</c:v>
                </c:pt>
                <c:pt idx="107">
                  <c:v>16326.1</c:v>
                </c:pt>
                <c:pt idx="108">
                  <c:v>16266.1</c:v>
                </c:pt>
                <c:pt idx="109">
                  <c:v>16314.85</c:v>
                </c:pt>
                <c:pt idx="110">
                  <c:v>16522.45</c:v>
                </c:pt>
                <c:pt idx="111">
                  <c:v>16413.8</c:v>
                </c:pt>
                <c:pt idx="112">
                  <c:v>16541</c:v>
                </c:pt>
                <c:pt idx="113">
                  <c:v>16951.5</c:v>
                </c:pt>
                <c:pt idx="114">
                  <c:v>16722.55</c:v>
                </c:pt>
                <c:pt idx="115">
                  <c:v>17092.25</c:v>
                </c:pt>
                <c:pt idx="116">
                  <c:v>17808.05</c:v>
                </c:pt>
                <c:pt idx="117">
                  <c:v>17778.15</c:v>
                </c:pt>
                <c:pt idx="118">
                  <c:v>17385.35</c:v>
                </c:pt>
                <c:pt idx="119">
                  <c:v>17901.85</c:v>
                </c:pt>
                <c:pt idx="120">
                  <c:v>18286.2</c:v>
                </c:pt>
                <c:pt idx="121">
                  <c:v>18740.95</c:v>
                </c:pt>
                <c:pt idx="122">
                  <c:v>19390.35</c:v>
                </c:pt>
                <c:pt idx="123">
                  <c:v>19401.9</c:v>
                </c:pt>
                <c:pt idx="124">
                  <c:v>17797.1</c:v>
                </c:pt>
                <c:pt idx="125">
                  <c:v>18514.55</c:v>
                </c:pt>
                <c:pt idx="126">
                  <c:v>18829.8</c:v>
                </c:pt>
                <c:pt idx="127">
                  <c:v>18496.2</c:v>
                </c:pt>
                <c:pt idx="128">
                  <c:v>17464.4</c:v>
                </c:pt>
                <c:pt idx="129">
                  <c:v>16673.9</c:v>
                </c:pt>
                <c:pt idx="130">
                  <c:v>17511.9</c:v>
                </c:pt>
                <c:pt idx="131">
                  <c:v>17373.45</c:v>
                </c:pt>
                <c:pt idx="132">
                  <c:v>17588</c:v>
                </c:pt>
                <c:pt idx="133">
                  <c:v>17802.6</c:v>
                </c:pt>
                <c:pt idx="134">
                  <c:v>18194.35</c:v>
                </c:pt>
                <c:pt idx="135">
                  <c:v>18148.95</c:v>
                </c:pt>
                <c:pt idx="136">
                  <c:v>18553.4</c:v>
                </c:pt>
                <c:pt idx="137">
                  <c:v>18338.95</c:v>
                </c:pt>
                <c:pt idx="138">
                  <c:v>18575.3</c:v>
                </c:pt>
                <c:pt idx="139">
                  <c:v>19475.35</c:v>
                </c:pt>
                <c:pt idx="140">
                  <c:v>20014.3</c:v>
                </c:pt>
                <c:pt idx="141">
                  <c:v>19865.65</c:v>
                </c:pt>
                <c:pt idx="142">
                  <c:v>20379.82</c:v>
                </c:pt>
                <c:pt idx="143">
                  <c:v>20665.6</c:v>
                </c:pt>
                <c:pt idx="144">
                  <c:v>21386.08</c:v>
                </c:pt>
                <c:pt idx="145">
                  <c:v>21723.28</c:v>
                </c:pt>
                <c:pt idx="146">
                  <c:v>22194.58</c:v>
                </c:pt>
                <c:pt idx="147">
                  <c:v>22886.05</c:v>
                </c:pt>
                <c:pt idx="148">
                  <c:v>23113.33</c:v>
                </c:pt>
                <c:pt idx="149">
                  <c:v>23088.88</c:v>
                </c:pt>
                <c:pt idx="150">
                  <c:v>22810.63</c:v>
                </c:pt>
                <c:pt idx="151">
                  <c:v>23273.08</c:v>
                </c:pt>
                <c:pt idx="152">
                  <c:v>22039.48</c:v>
                </c:pt>
                <c:pt idx="153">
                  <c:v>21218.38</c:v>
                </c:pt>
                <c:pt idx="154">
                  <c:v>19271.68</c:v>
                </c:pt>
                <c:pt idx="155">
                  <c:v>20265.73</c:v>
                </c:pt>
                <c:pt idx="156">
                  <c:v>21040.9</c:v>
                </c:pt>
                <c:pt idx="157">
                  <c:v>20555.98</c:v>
                </c:pt>
                <c:pt idx="158">
                  <c:v>20888.68</c:v>
                </c:pt>
                <c:pt idx="159">
                  <c:v>21315.88</c:v>
                </c:pt>
                <c:pt idx="160">
                  <c:v>21457.48</c:v>
                </c:pt>
                <c:pt idx="161">
                  <c:v>21682</c:v>
                </c:pt>
                <c:pt idx="162">
                  <c:v>21889.3</c:v>
                </c:pt>
                <c:pt idx="163">
                  <c:v>22331.05</c:v>
                </c:pt>
                <c:pt idx="164">
                  <c:v>22246.18</c:v>
                </c:pt>
                <c:pt idx="165">
                  <c:v>21390.43</c:v>
                </c:pt>
                <c:pt idx="166">
                  <c:v>21991.93</c:v>
                </c:pt>
                <c:pt idx="167">
                  <c:v>21724.93</c:v>
                </c:pt>
                <c:pt idx="168">
                  <c:v>22022.3</c:v>
                </c:pt>
                <c:pt idx="169">
                  <c:v>23363.23</c:v>
                </c:pt>
                <c:pt idx="170">
                  <c:v>23912.78</c:v>
                </c:pt>
                <c:pt idx="171">
                  <c:v>24302.58</c:v>
                </c:pt>
                <c:pt idx="172">
                  <c:v>24333.38</c:v>
                </c:pt>
                <c:pt idx="173">
                  <c:v>24300.68</c:v>
                </c:pt>
                <c:pt idx="174">
                  <c:v>24699.03</c:v>
                </c:pt>
                <c:pt idx="175">
                  <c:v>25470.93</c:v>
                </c:pt>
                <c:pt idx="176">
                  <c:v>26176.53</c:v>
                </c:pt>
                <c:pt idx="177">
                  <c:v>26144.93</c:v>
                </c:pt>
                <c:pt idx="178">
                  <c:v>26185.43</c:v>
                </c:pt>
                <c:pt idx="179">
                  <c:v>26454.43</c:v>
                </c:pt>
                <c:pt idx="180">
                  <c:v>25967.43</c:v>
                </c:pt>
                <c:pt idx="181">
                  <c:v>25551.43</c:v>
                </c:pt>
                <c:pt idx="182">
                  <c:v>25746.43</c:v>
                </c:pt>
                <c:pt idx="183">
                  <c:v>25712.43</c:v>
                </c:pt>
                <c:pt idx="184">
                  <c:v>25251.93</c:v>
                </c:pt>
                <c:pt idx="185">
                  <c:v>26130.93</c:v>
                </c:pt>
                <c:pt idx="186">
                  <c:v>25604.43</c:v>
                </c:pt>
                <c:pt idx="187">
                  <c:v>24005.43</c:v>
                </c:pt>
                <c:pt idx="188">
                  <c:v>22505.43</c:v>
                </c:pt>
                <c:pt idx="189">
                  <c:v>23961.43</c:v>
                </c:pt>
                <c:pt idx="190">
                  <c:v>22879.43</c:v>
                </c:pt>
                <c:pt idx="191">
                  <c:v>23664.03</c:v>
                </c:pt>
                <c:pt idx="192">
                  <c:v>25872.73</c:v>
                </c:pt>
                <c:pt idx="193">
                  <c:v>25989.33</c:v>
                </c:pt>
                <c:pt idx="194">
                  <c:v>26018.73</c:v>
                </c:pt>
                <c:pt idx="195">
                  <c:v>25746.83</c:v>
                </c:pt>
                <c:pt idx="196">
                  <c:v>26101.03</c:v>
                </c:pt>
                <c:pt idx="197">
                  <c:v>25483.73</c:v>
                </c:pt>
                <c:pt idx="198">
                  <c:v>27054.03</c:v>
                </c:pt>
                <c:pt idx="199">
                  <c:v>26627.53</c:v>
                </c:pt>
                <c:pt idx="200">
                  <c:v>26473.73</c:v>
                </c:pt>
                <c:pt idx="201">
                  <c:v>24975.43</c:v>
                </c:pt>
                <c:pt idx="202">
                  <c:v>24435.98</c:v>
                </c:pt>
                <c:pt idx="203">
                  <c:v>24234.08</c:v>
                </c:pt>
                <c:pt idx="204">
                  <c:v>24394.98</c:v>
                </c:pt>
                <c:pt idx="205">
                  <c:v>24223.88</c:v>
                </c:pt>
                <c:pt idx="206">
                  <c:v>24456.93</c:v>
                </c:pt>
                <c:pt idx="207">
                  <c:v>24682.88</c:v>
                </c:pt>
                <c:pt idx="208">
                  <c:v>25619.83</c:v>
                </c:pt>
                <c:pt idx="209">
                  <c:v>26333.83</c:v>
                </c:pt>
                <c:pt idx="210">
                  <c:v>26112.78</c:v>
                </c:pt>
                <c:pt idx="211">
                  <c:v>26426.33</c:v>
                </c:pt>
                <c:pt idx="212">
                  <c:v>26226.23</c:v>
                </c:pt>
                <c:pt idx="213">
                  <c:v>26769.78</c:v>
                </c:pt>
                <c:pt idx="214">
                  <c:v>27125.48</c:v>
                </c:pt>
                <c:pt idx="215">
                  <c:v>27302.78</c:v>
                </c:pt>
                <c:pt idx="216">
                  <c:v>28172.18</c:v>
                </c:pt>
                <c:pt idx="217">
                  <c:v>27899.88</c:v>
                </c:pt>
                <c:pt idx="218">
                  <c:v>28263.58</c:v>
                </c:pt>
                <c:pt idx="219">
                  <c:v>28052.58</c:v>
                </c:pt>
              </c:numCache>
            </c:numRef>
          </c:val>
          <c:smooth val="0"/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PnL!$R$401:$R$620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5.06164383561644</c:v>
                </c:pt>
                <c:pt idx="51">
                  <c:v>5.02054794520548</c:v>
                </c:pt>
                <c:pt idx="52">
                  <c:v>4.88356164383562</c:v>
                </c:pt>
                <c:pt idx="53">
                  <c:v>4.85616438356164</c:v>
                </c:pt>
                <c:pt idx="54">
                  <c:v>4.85616438356164</c:v>
                </c:pt>
                <c:pt idx="55">
                  <c:v>4.82876712328767</c:v>
                </c:pt>
                <c:pt idx="56">
                  <c:v>4.82876712328767</c:v>
                </c:pt>
                <c:pt idx="57">
                  <c:v>4.8972602739726</c:v>
                </c:pt>
                <c:pt idx="58">
                  <c:v>4.9041095890411</c:v>
                </c:pt>
                <c:pt idx="59">
                  <c:v>4.8013698630137</c:v>
                </c:pt>
                <c:pt idx="60">
                  <c:v>4.8013698630137</c:v>
                </c:pt>
                <c:pt idx="61">
                  <c:v>4.71917808219178</c:v>
                </c:pt>
                <c:pt idx="62">
                  <c:v>4.77397260273973</c:v>
                </c:pt>
                <c:pt idx="63">
                  <c:v>4.73287671232877</c:v>
                </c:pt>
                <c:pt idx="64">
                  <c:v>4.71917808219178</c:v>
                </c:pt>
                <c:pt idx="65">
                  <c:v>4.71917808219178</c:v>
                </c:pt>
                <c:pt idx="66">
                  <c:v>4.66438356164384</c:v>
                </c:pt>
                <c:pt idx="67">
                  <c:v>4.63698630136986</c:v>
                </c:pt>
                <c:pt idx="68">
                  <c:v>4.66657534246575</c:v>
                </c:pt>
                <c:pt idx="69">
                  <c:v>4.66657534246575</c:v>
                </c:pt>
                <c:pt idx="70">
                  <c:v>4.64602739726027</c:v>
                </c:pt>
                <c:pt idx="71">
                  <c:v>4.66657534246575</c:v>
                </c:pt>
                <c:pt idx="72">
                  <c:v>4.7213698630137</c:v>
                </c:pt>
                <c:pt idx="73">
                  <c:v>4.69397260273973</c:v>
                </c:pt>
                <c:pt idx="74">
                  <c:v>4.65287671232877</c:v>
                </c:pt>
                <c:pt idx="75">
                  <c:v>4.63917808219178</c:v>
                </c:pt>
                <c:pt idx="76">
                  <c:v>4.61178082191781</c:v>
                </c:pt>
                <c:pt idx="77">
                  <c:v>4.55698630136986</c:v>
                </c:pt>
                <c:pt idx="78">
                  <c:v>4.57424657534246</c:v>
                </c:pt>
                <c:pt idx="79">
                  <c:v>4.39616438356164</c:v>
                </c:pt>
                <c:pt idx="80">
                  <c:v>4.56054794520548</c:v>
                </c:pt>
                <c:pt idx="81">
                  <c:v>4.63890410958904</c:v>
                </c:pt>
                <c:pt idx="82">
                  <c:v>4.88520547945205</c:v>
                </c:pt>
                <c:pt idx="83">
                  <c:v>4.63780821917808</c:v>
                </c:pt>
                <c:pt idx="84">
                  <c:v>4.66356164383562</c:v>
                </c:pt>
                <c:pt idx="85">
                  <c:v>4.66520547945206</c:v>
                </c:pt>
                <c:pt idx="86">
                  <c:v>4.67698630136986</c:v>
                </c:pt>
                <c:pt idx="87">
                  <c:v>4.71369863013699</c:v>
                </c:pt>
                <c:pt idx="88">
                  <c:v>4.66958904109589</c:v>
                </c:pt>
                <c:pt idx="89">
                  <c:v>4.6827397260274</c:v>
                </c:pt>
                <c:pt idx="90">
                  <c:v>4.49780821917808</c:v>
                </c:pt>
                <c:pt idx="91">
                  <c:v>4.41972602739726</c:v>
                </c:pt>
                <c:pt idx="92">
                  <c:v>4.42027397260274</c:v>
                </c:pt>
                <c:pt idx="93">
                  <c:v>4.46027397260274</c:v>
                </c:pt>
                <c:pt idx="94">
                  <c:v>4.40356164383562</c:v>
                </c:pt>
                <c:pt idx="95">
                  <c:v>4.42082191780822</c:v>
                </c:pt>
                <c:pt idx="96">
                  <c:v>4.41890410958904</c:v>
                </c:pt>
                <c:pt idx="97">
                  <c:v>4.39780821917808</c:v>
                </c:pt>
                <c:pt idx="98">
                  <c:v>4.40684931506849</c:v>
                </c:pt>
                <c:pt idx="99">
                  <c:v>4.48630136986301</c:v>
                </c:pt>
                <c:pt idx="100">
                  <c:v>4.55123287671233</c:v>
                </c:pt>
                <c:pt idx="101">
                  <c:v>4.53479452054794</c:v>
                </c:pt>
                <c:pt idx="102">
                  <c:v>4.53890410958904</c:v>
                </c:pt>
                <c:pt idx="103">
                  <c:v>4.52904109589041</c:v>
                </c:pt>
                <c:pt idx="104">
                  <c:v>4.50520547945206</c:v>
                </c:pt>
                <c:pt idx="105">
                  <c:v>4.50876712328767</c:v>
                </c:pt>
                <c:pt idx="106">
                  <c:v>4.50986301369863</c:v>
                </c:pt>
                <c:pt idx="107">
                  <c:v>4.47095890410959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4.08219178082192</c:v>
                </c:pt>
                <c:pt idx="169">
                  <c:v>4.01369863013699</c:v>
                </c:pt>
                <c:pt idx="170">
                  <c:v>3.91780821917808</c:v>
                </c:pt>
                <c:pt idx="171">
                  <c:v>3.98630136986301</c:v>
                </c:pt>
                <c:pt idx="172">
                  <c:v>3.96575342465753</c:v>
                </c:pt>
                <c:pt idx="173">
                  <c:v>19.6602739726027</c:v>
                </c:pt>
                <c:pt idx="174">
                  <c:v>19.386301369863</c:v>
                </c:pt>
                <c:pt idx="175">
                  <c:v>18.5643835616438</c:v>
                </c:pt>
                <c:pt idx="176">
                  <c:v>18.1986301369863</c:v>
                </c:pt>
                <c:pt idx="177">
                  <c:v>18.1643835616438</c:v>
                </c:pt>
                <c:pt idx="178">
                  <c:v>18.1643835616438</c:v>
                </c:pt>
                <c:pt idx="179">
                  <c:v>18.2328767123288</c:v>
                </c:pt>
                <c:pt idx="180">
                  <c:v>18.7123287671233</c:v>
                </c:pt>
                <c:pt idx="181">
                  <c:v>19.0547945205479</c:v>
                </c:pt>
                <c:pt idx="182">
                  <c:v>19.0547945205479</c:v>
                </c:pt>
                <c:pt idx="183">
                  <c:v>19.0123287671233</c:v>
                </c:pt>
                <c:pt idx="184">
                  <c:v>19.4232876712329</c:v>
                </c:pt>
                <c:pt idx="185">
                  <c:v>11.407397260274</c:v>
                </c:pt>
                <c:pt idx="186">
                  <c:v>11.5306849315068</c:v>
                </c:pt>
                <c:pt idx="187">
                  <c:v>11.8183561643836</c:v>
                </c:pt>
                <c:pt idx="188">
                  <c:v>11.8183561643836</c:v>
                </c:pt>
                <c:pt idx="189">
                  <c:v>3.74767123287671</c:v>
                </c:pt>
                <c:pt idx="190">
                  <c:v>3.7613698630137</c:v>
                </c:pt>
                <c:pt idx="191">
                  <c:v>3.91205479452055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PnL!$S$401:$S$620</c:f>
              <c:numCache>
                <c:formatCode>General</c:formatCode>
                <c:ptCount val="220"/>
                <c:pt idx="0">
                  <c:v>13.1512328767123</c:v>
                </c:pt>
                <c:pt idx="1">
                  <c:v>13.3556164383562</c:v>
                </c:pt>
                <c:pt idx="2">
                  <c:v>13.2668493150685</c:v>
                </c:pt>
                <c:pt idx="3">
                  <c:v>13.1994520547945</c:v>
                </c:pt>
                <c:pt idx="4">
                  <c:v>13.0975342465753</c:v>
                </c:pt>
                <c:pt idx="5">
                  <c:v>13.1945205479452</c:v>
                </c:pt>
                <c:pt idx="6">
                  <c:v>13.0986301369863</c:v>
                </c:pt>
                <c:pt idx="7">
                  <c:v>13.1846575342466</c:v>
                </c:pt>
                <c:pt idx="8">
                  <c:v>13.173698630137</c:v>
                </c:pt>
                <c:pt idx="9">
                  <c:v>13.2361643835616</c:v>
                </c:pt>
                <c:pt idx="10">
                  <c:v>13.2909589041096</c:v>
                </c:pt>
                <c:pt idx="11">
                  <c:v>13.3731506849315</c:v>
                </c:pt>
                <c:pt idx="12">
                  <c:v>13.1523287671233</c:v>
                </c:pt>
                <c:pt idx="13">
                  <c:v>13.1254794520548</c:v>
                </c:pt>
                <c:pt idx="14">
                  <c:v>13.0301369863014</c:v>
                </c:pt>
                <c:pt idx="15">
                  <c:v>12.9912328767123</c:v>
                </c:pt>
                <c:pt idx="16">
                  <c:v>13.0602739726027</c:v>
                </c:pt>
                <c:pt idx="17">
                  <c:v>12.9934246575342</c:v>
                </c:pt>
                <c:pt idx="18">
                  <c:v>12.7747945205479</c:v>
                </c:pt>
                <c:pt idx="19">
                  <c:v>12.8443835616438</c:v>
                </c:pt>
                <c:pt idx="20">
                  <c:v>12.7243835616438</c:v>
                </c:pt>
                <c:pt idx="21">
                  <c:v>12.52</c:v>
                </c:pt>
                <c:pt idx="22">
                  <c:v>12.532602739726</c:v>
                </c:pt>
                <c:pt idx="23">
                  <c:v>12.6290410958904</c:v>
                </c:pt>
                <c:pt idx="24">
                  <c:v>12.492602739726</c:v>
                </c:pt>
                <c:pt idx="25">
                  <c:v>12.453698630137</c:v>
                </c:pt>
                <c:pt idx="26">
                  <c:v>12.466301369863</c:v>
                </c:pt>
                <c:pt idx="27">
                  <c:v>12.7830136986301</c:v>
                </c:pt>
                <c:pt idx="28">
                  <c:v>12.5945205479452</c:v>
                </c:pt>
                <c:pt idx="29">
                  <c:v>12.5397260273973</c:v>
                </c:pt>
                <c:pt idx="30">
                  <c:v>12.5397260273973</c:v>
                </c:pt>
                <c:pt idx="31">
                  <c:v>12.587397260274</c:v>
                </c:pt>
                <c:pt idx="32">
                  <c:v>12.6345205479452</c:v>
                </c:pt>
                <c:pt idx="33">
                  <c:v>12.4706849315068</c:v>
                </c:pt>
                <c:pt idx="34">
                  <c:v>12.4290410958904</c:v>
                </c:pt>
                <c:pt idx="35">
                  <c:v>12.2953424657534</c:v>
                </c:pt>
                <c:pt idx="36">
                  <c:v>12.3260273972603</c:v>
                </c:pt>
                <c:pt idx="37">
                  <c:v>12.1884931506849</c:v>
                </c:pt>
                <c:pt idx="38">
                  <c:v>12.2843835616438</c:v>
                </c:pt>
                <c:pt idx="39">
                  <c:v>12.1769863013699</c:v>
                </c:pt>
                <c:pt idx="40">
                  <c:v>12.1523287671233</c:v>
                </c:pt>
                <c:pt idx="41">
                  <c:v>12.401095890411</c:v>
                </c:pt>
                <c:pt idx="42">
                  <c:v>12.3227397260274</c:v>
                </c:pt>
                <c:pt idx="43">
                  <c:v>12.2109589041096</c:v>
                </c:pt>
                <c:pt idx="44">
                  <c:v>11.8767123287671</c:v>
                </c:pt>
                <c:pt idx="45">
                  <c:v>12.0323287671233</c:v>
                </c:pt>
                <c:pt idx="46">
                  <c:v>12.1035616438356</c:v>
                </c:pt>
                <c:pt idx="47">
                  <c:v>12.2301369863014</c:v>
                </c:pt>
                <c:pt idx="48">
                  <c:v>12.4471232876712</c:v>
                </c:pt>
                <c:pt idx="49">
                  <c:v>12.3764383561644</c:v>
                </c:pt>
                <c:pt idx="50">
                  <c:v>12.3808219178082</c:v>
                </c:pt>
                <c:pt idx="51">
                  <c:v>12.2893150684931</c:v>
                </c:pt>
                <c:pt idx="52">
                  <c:v>12.1468493150685</c:v>
                </c:pt>
                <c:pt idx="53">
                  <c:v>12.0953424657534</c:v>
                </c:pt>
                <c:pt idx="54">
                  <c:v>12.1824657534247</c:v>
                </c:pt>
                <c:pt idx="55">
                  <c:v>12.0745205479452</c:v>
                </c:pt>
                <c:pt idx="56">
                  <c:v>6.06657534246575</c:v>
                </c:pt>
                <c:pt idx="57">
                  <c:v>6.10438356164383</c:v>
                </c:pt>
                <c:pt idx="58">
                  <c:v>12.2076712328767</c:v>
                </c:pt>
                <c:pt idx="59">
                  <c:v>12.026301369863</c:v>
                </c:pt>
                <c:pt idx="60">
                  <c:v>12.1161643835616</c:v>
                </c:pt>
                <c:pt idx="61">
                  <c:v>12.0405479452055</c:v>
                </c:pt>
                <c:pt idx="62">
                  <c:v>12.1490410958904</c:v>
                </c:pt>
                <c:pt idx="63">
                  <c:v>12.0367123287671</c:v>
                </c:pt>
                <c:pt idx="64">
                  <c:v>11.9983561643836</c:v>
                </c:pt>
                <c:pt idx="65">
                  <c:v>12.0252054794521</c:v>
                </c:pt>
                <c:pt idx="66">
                  <c:v>11.8849315068493</c:v>
                </c:pt>
                <c:pt idx="67">
                  <c:v>11.798904109589</c:v>
                </c:pt>
                <c:pt idx="68">
                  <c:v>11.8306849315069</c:v>
                </c:pt>
                <c:pt idx="69">
                  <c:v>11.7139726027397</c:v>
                </c:pt>
                <c:pt idx="70">
                  <c:v>11.5720547945205</c:v>
                </c:pt>
                <c:pt idx="71">
                  <c:v>11.6509589041096</c:v>
                </c:pt>
                <c:pt idx="72">
                  <c:v>11.6646575342466</c:v>
                </c:pt>
                <c:pt idx="73">
                  <c:v>17.3038356164384</c:v>
                </c:pt>
                <c:pt idx="74">
                  <c:v>17.0991780821918</c:v>
                </c:pt>
                <c:pt idx="75">
                  <c:v>17.058904109589</c:v>
                </c:pt>
                <c:pt idx="76">
                  <c:v>17.0424657534247</c:v>
                </c:pt>
                <c:pt idx="77">
                  <c:v>16.901095890411</c:v>
                </c:pt>
                <c:pt idx="78">
                  <c:v>17.2315068493151</c:v>
                </c:pt>
                <c:pt idx="79">
                  <c:v>16.987397260274</c:v>
                </c:pt>
                <c:pt idx="80">
                  <c:v>17.4616438356164</c:v>
                </c:pt>
                <c:pt idx="81">
                  <c:v>17.7328767123288</c:v>
                </c:pt>
                <c:pt idx="82">
                  <c:v>17.9802739726027</c:v>
                </c:pt>
                <c:pt idx="83">
                  <c:v>17.6580821917808</c:v>
                </c:pt>
                <c:pt idx="84">
                  <c:v>17.4805479452055</c:v>
                </c:pt>
                <c:pt idx="85">
                  <c:v>17.2553424657534</c:v>
                </c:pt>
                <c:pt idx="86">
                  <c:v>17.3161643835616</c:v>
                </c:pt>
                <c:pt idx="87">
                  <c:v>17.5027397260274</c:v>
                </c:pt>
                <c:pt idx="88">
                  <c:v>17.5076712328767</c:v>
                </c:pt>
                <c:pt idx="89">
                  <c:v>17.7172602739726</c:v>
                </c:pt>
                <c:pt idx="90">
                  <c:v>17.227397260274</c:v>
                </c:pt>
                <c:pt idx="91">
                  <c:v>17.1452054794521</c:v>
                </c:pt>
                <c:pt idx="92">
                  <c:v>17.1912328767123</c:v>
                </c:pt>
                <c:pt idx="93">
                  <c:v>17.2890410958904</c:v>
                </c:pt>
                <c:pt idx="94">
                  <c:v>17.201095890411</c:v>
                </c:pt>
                <c:pt idx="95">
                  <c:v>17.246301369863</c:v>
                </c:pt>
                <c:pt idx="96">
                  <c:v>17.2832876712329</c:v>
                </c:pt>
                <c:pt idx="97">
                  <c:v>17.2265753424658</c:v>
                </c:pt>
                <c:pt idx="98">
                  <c:v>17.1649315068493</c:v>
                </c:pt>
                <c:pt idx="99">
                  <c:v>17.227397260274</c:v>
                </c:pt>
                <c:pt idx="100">
                  <c:v>17.2282191780822</c:v>
                </c:pt>
                <c:pt idx="101">
                  <c:v>17.1542465753425</c:v>
                </c:pt>
                <c:pt idx="102">
                  <c:v>17.1353424657534</c:v>
                </c:pt>
                <c:pt idx="103">
                  <c:v>17.1468493150685</c:v>
                </c:pt>
                <c:pt idx="104">
                  <c:v>17.1369863013699</c:v>
                </c:pt>
                <c:pt idx="105">
                  <c:v>17.0128767123288</c:v>
                </c:pt>
                <c:pt idx="106">
                  <c:v>17.0202739726027</c:v>
                </c:pt>
                <c:pt idx="107">
                  <c:v>16.9093150684932</c:v>
                </c:pt>
                <c:pt idx="108">
                  <c:v>16.927397260274</c:v>
                </c:pt>
                <c:pt idx="109">
                  <c:v>16.9298630136986</c:v>
                </c:pt>
                <c:pt idx="110">
                  <c:v>16.8945205479452</c:v>
                </c:pt>
                <c:pt idx="111">
                  <c:v>16.9594520547945</c:v>
                </c:pt>
                <c:pt idx="112">
                  <c:v>16.9767123287671</c:v>
                </c:pt>
                <c:pt idx="113">
                  <c:v>16.9216438356164</c:v>
                </c:pt>
                <c:pt idx="114">
                  <c:v>16.98</c:v>
                </c:pt>
                <c:pt idx="115">
                  <c:v>16.9052054794521</c:v>
                </c:pt>
                <c:pt idx="116">
                  <c:v>16.6323287671233</c:v>
                </c:pt>
                <c:pt idx="117">
                  <c:v>16.6758904109589</c:v>
                </c:pt>
                <c:pt idx="118">
                  <c:v>16.758904109589</c:v>
                </c:pt>
                <c:pt idx="119">
                  <c:v>16.6479452054795</c:v>
                </c:pt>
                <c:pt idx="120">
                  <c:v>16.5690410958904</c:v>
                </c:pt>
                <c:pt idx="121">
                  <c:v>16.4276712328767</c:v>
                </c:pt>
                <c:pt idx="122">
                  <c:v>16.2484931506849</c:v>
                </c:pt>
                <c:pt idx="123">
                  <c:v>16.2591780821918</c:v>
                </c:pt>
                <c:pt idx="124">
                  <c:v>16.6027397260274</c:v>
                </c:pt>
                <c:pt idx="125">
                  <c:v>16.3356164383562</c:v>
                </c:pt>
                <c:pt idx="126">
                  <c:v>16.1005479452055</c:v>
                </c:pt>
                <c:pt idx="127">
                  <c:v>16.2008219178082</c:v>
                </c:pt>
                <c:pt idx="128">
                  <c:v>16.4342465753425</c:v>
                </c:pt>
                <c:pt idx="129">
                  <c:v>16.7235616438356</c:v>
                </c:pt>
                <c:pt idx="130">
                  <c:v>16.4991780821918</c:v>
                </c:pt>
                <c:pt idx="131">
                  <c:v>16.5460273972603</c:v>
                </c:pt>
                <c:pt idx="132">
                  <c:v>16.4909589041096</c:v>
                </c:pt>
                <c:pt idx="133">
                  <c:v>16.4515068493151</c:v>
                </c:pt>
                <c:pt idx="134">
                  <c:v>16.3487671232877</c:v>
                </c:pt>
                <c:pt idx="135">
                  <c:v>16.3076712328767</c:v>
                </c:pt>
                <c:pt idx="136">
                  <c:v>16.0923287671233</c:v>
                </c:pt>
                <c:pt idx="137">
                  <c:v>16.1153424657534</c:v>
                </c:pt>
                <c:pt idx="138">
                  <c:v>16.0553424657534</c:v>
                </c:pt>
                <c:pt idx="139">
                  <c:v>15.7323287671233</c:v>
                </c:pt>
                <c:pt idx="140">
                  <c:v>15.5490410958904</c:v>
                </c:pt>
                <c:pt idx="141">
                  <c:v>15.5934246575342</c:v>
                </c:pt>
                <c:pt idx="142">
                  <c:v>15.5531506849315</c:v>
                </c:pt>
                <c:pt idx="143">
                  <c:v>15.5967123287671</c:v>
                </c:pt>
                <c:pt idx="144">
                  <c:v>15.5613698630137</c:v>
                </c:pt>
                <c:pt idx="145">
                  <c:v>15.4816438356164</c:v>
                </c:pt>
                <c:pt idx="146">
                  <c:v>15.1972602739726</c:v>
                </c:pt>
                <c:pt idx="147">
                  <c:v>15.0098630136986</c:v>
                </c:pt>
                <c:pt idx="148">
                  <c:v>14.9490410958904</c:v>
                </c:pt>
                <c:pt idx="149">
                  <c:v>14.9128767123288</c:v>
                </c:pt>
                <c:pt idx="150">
                  <c:v>14.9342465753425</c:v>
                </c:pt>
                <c:pt idx="151">
                  <c:v>14.7904109589041</c:v>
                </c:pt>
                <c:pt idx="152">
                  <c:v>15.0813698630137</c:v>
                </c:pt>
                <c:pt idx="153">
                  <c:v>15.3747945205479</c:v>
                </c:pt>
                <c:pt idx="154">
                  <c:v>15.9106849315069</c:v>
                </c:pt>
                <c:pt idx="155">
                  <c:v>15.6254794520548</c:v>
                </c:pt>
                <c:pt idx="156">
                  <c:v>15.4997260273973</c:v>
                </c:pt>
                <c:pt idx="157">
                  <c:v>15.6641095890411</c:v>
                </c:pt>
                <c:pt idx="158">
                  <c:v>15.5350684931507</c:v>
                </c:pt>
                <c:pt idx="159">
                  <c:v>15.48</c:v>
                </c:pt>
                <c:pt idx="160">
                  <c:v>15.5005479452055</c:v>
                </c:pt>
                <c:pt idx="161">
                  <c:v>15.42</c:v>
                </c:pt>
                <c:pt idx="162">
                  <c:v>15.3912328767123</c:v>
                </c:pt>
                <c:pt idx="163">
                  <c:v>15.1947945205479</c:v>
                </c:pt>
                <c:pt idx="164">
                  <c:v>15.1619178082192</c:v>
                </c:pt>
                <c:pt idx="165">
                  <c:v>15.3353424657534</c:v>
                </c:pt>
                <c:pt idx="166">
                  <c:v>15.2482191780822</c:v>
                </c:pt>
                <c:pt idx="167">
                  <c:v>15.3460273972603</c:v>
                </c:pt>
                <c:pt idx="168">
                  <c:v>20.2980821917808</c:v>
                </c:pt>
                <c:pt idx="169">
                  <c:v>19.8191780821918</c:v>
                </c:pt>
                <c:pt idx="170">
                  <c:v>19.5649315068493</c:v>
                </c:pt>
                <c:pt idx="171">
                  <c:v>19.4520547945205</c:v>
                </c:pt>
                <c:pt idx="172">
                  <c:v>19.4641095890411</c:v>
                </c:pt>
                <c:pt idx="173">
                  <c:v>14.6219178082192</c:v>
                </c:pt>
                <c:pt idx="174">
                  <c:v>14.5479452054795</c:v>
                </c:pt>
                <c:pt idx="175">
                  <c:v>14.381095890411</c:v>
                </c:pt>
                <c:pt idx="176">
                  <c:v>14.1164383561644</c:v>
                </c:pt>
                <c:pt idx="177">
                  <c:v>14.1632876712329</c:v>
                </c:pt>
                <c:pt idx="178">
                  <c:v>14.141095890411</c:v>
                </c:pt>
                <c:pt idx="179">
                  <c:v>13.98</c:v>
                </c:pt>
                <c:pt idx="180">
                  <c:v>14.1509589041096</c:v>
                </c:pt>
                <c:pt idx="181">
                  <c:v>14.3104109589041</c:v>
                </c:pt>
                <c:pt idx="182">
                  <c:v>14.2035616438356</c:v>
                </c:pt>
                <c:pt idx="183">
                  <c:v>14.2306849315068</c:v>
                </c:pt>
                <c:pt idx="184">
                  <c:v>14.4008219178082</c:v>
                </c:pt>
                <c:pt idx="185">
                  <c:v>13.9684931506849</c:v>
                </c:pt>
                <c:pt idx="186">
                  <c:v>14.2323287671233</c:v>
                </c:pt>
                <c:pt idx="187">
                  <c:v>15.0509589041096</c:v>
                </c:pt>
                <c:pt idx="188">
                  <c:v>15.8728767123288</c:v>
                </c:pt>
                <c:pt idx="189">
                  <c:v>15.1134246575342</c:v>
                </c:pt>
                <c:pt idx="190">
                  <c:v>15.7035616438356</c:v>
                </c:pt>
                <c:pt idx="191">
                  <c:v>15.5227397260274</c:v>
                </c:pt>
                <c:pt idx="192">
                  <c:v>15.0624657534247</c:v>
                </c:pt>
                <c:pt idx="193">
                  <c:v>14.9350684931507</c:v>
                </c:pt>
                <c:pt idx="194">
                  <c:v>14.8947945205479</c:v>
                </c:pt>
                <c:pt idx="195">
                  <c:v>19.9342465753425</c:v>
                </c:pt>
                <c:pt idx="196">
                  <c:v>19.7972602739726</c:v>
                </c:pt>
                <c:pt idx="197">
                  <c:v>19.9616438356164</c:v>
                </c:pt>
                <c:pt idx="198">
                  <c:v>19.5123287671233</c:v>
                </c:pt>
                <c:pt idx="199">
                  <c:v>19.5967123287671</c:v>
                </c:pt>
                <c:pt idx="200">
                  <c:v>19.6580821917808</c:v>
                </c:pt>
                <c:pt idx="201">
                  <c:v>20.0723287671233</c:v>
                </c:pt>
                <c:pt idx="202">
                  <c:v>20.2115068493151</c:v>
                </c:pt>
                <c:pt idx="203">
                  <c:v>20.2969863013699</c:v>
                </c:pt>
                <c:pt idx="204">
                  <c:v>20.1950684931507</c:v>
                </c:pt>
                <c:pt idx="205">
                  <c:v>20.0942465753425</c:v>
                </c:pt>
                <c:pt idx="206">
                  <c:v>25.0561643835616</c:v>
                </c:pt>
                <c:pt idx="207">
                  <c:v>24.958904109589</c:v>
                </c:pt>
                <c:pt idx="208">
                  <c:v>24.5849315068493</c:v>
                </c:pt>
                <c:pt idx="209">
                  <c:v>24.2109589041096</c:v>
                </c:pt>
                <c:pt idx="210">
                  <c:v>24.3643835616438</c:v>
                </c:pt>
                <c:pt idx="211">
                  <c:v>24.2342465753425</c:v>
                </c:pt>
                <c:pt idx="212">
                  <c:v>24.3123287671233</c:v>
                </c:pt>
                <c:pt idx="213">
                  <c:v>24.0438356164384</c:v>
                </c:pt>
                <c:pt idx="214">
                  <c:v>23.872602739726</c:v>
                </c:pt>
                <c:pt idx="215">
                  <c:v>23.8479452054794</c:v>
                </c:pt>
                <c:pt idx="216">
                  <c:v>23.4657534246575</c:v>
                </c:pt>
                <c:pt idx="217">
                  <c:v>23.5424657534247</c:v>
                </c:pt>
                <c:pt idx="218">
                  <c:v>23.3767123287671</c:v>
                </c:pt>
                <c:pt idx="219">
                  <c:v>23.4232876712329</c:v>
                </c:pt>
              </c:numCache>
            </c:numRef>
          </c:val>
          <c:smooth val="0"/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PnL!$T$401:$T$620</c:f>
              <c:numCache>
                <c:formatCode>General</c:formatCode>
                <c:ptCount val="220"/>
                <c:pt idx="0">
                  <c:v>14.0016438356164</c:v>
                </c:pt>
                <c:pt idx="1">
                  <c:v>14.0279452054795</c:v>
                </c:pt>
                <c:pt idx="2">
                  <c:v>13.9895890410959</c:v>
                </c:pt>
                <c:pt idx="3">
                  <c:v>13.9002739726027</c:v>
                </c:pt>
                <c:pt idx="4">
                  <c:v>13.7945205479452</c:v>
                </c:pt>
                <c:pt idx="5">
                  <c:v>13.7731506849315</c:v>
                </c:pt>
                <c:pt idx="6">
                  <c:v>13.6230136986301</c:v>
                </c:pt>
                <c:pt idx="7">
                  <c:v>13.6887671232877</c:v>
                </c:pt>
                <c:pt idx="8">
                  <c:v>13.6942465753425</c:v>
                </c:pt>
                <c:pt idx="9">
                  <c:v>13.7928767123288</c:v>
                </c:pt>
                <c:pt idx="10">
                  <c:v>13.8147945205479</c:v>
                </c:pt>
                <c:pt idx="11">
                  <c:v>13.8367123287671</c:v>
                </c:pt>
                <c:pt idx="12">
                  <c:v>13.7408219178082</c:v>
                </c:pt>
                <c:pt idx="13">
                  <c:v>13.7490410958904</c:v>
                </c:pt>
                <c:pt idx="14">
                  <c:v>13.7134246575342</c:v>
                </c:pt>
                <c:pt idx="15">
                  <c:v>13.6558904109589</c:v>
                </c:pt>
                <c:pt idx="16">
                  <c:v>13.7216438356164</c:v>
                </c:pt>
                <c:pt idx="17">
                  <c:v>13.7216438356164</c:v>
                </c:pt>
                <c:pt idx="18">
                  <c:v>13.6898630136986</c:v>
                </c:pt>
                <c:pt idx="19">
                  <c:v>13.6953424657534</c:v>
                </c:pt>
                <c:pt idx="20">
                  <c:v>13.6657534246575</c:v>
                </c:pt>
                <c:pt idx="21">
                  <c:v>13.4558904109589</c:v>
                </c:pt>
                <c:pt idx="22">
                  <c:v>13.3315068493151</c:v>
                </c:pt>
                <c:pt idx="23">
                  <c:v>13.3446575342466</c:v>
                </c:pt>
                <c:pt idx="24">
                  <c:v>13.2843835616438</c:v>
                </c:pt>
                <c:pt idx="25">
                  <c:v>13.1797260273973</c:v>
                </c:pt>
                <c:pt idx="26">
                  <c:v>13.1517808219178</c:v>
                </c:pt>
                <c:pt idx="27">
                  <c:v>13.4383561643836</c:v>
                </c:pt>
                <c:pt idx="28">
                  <c:v>13.2345205479452</c:v>
                </c:pt>
                <c:pt idx="29">
                  <c:v>13.3583561643836</c:v>
                </c:pt>
                <c:pt idx="30">
                  <c:v>13.3161643835616</c:v>
                </c:pt>
                <c:pt idx="31">
                  <c:v>13.3660273972603</c:v>
                </c:pt>
                <c:pt idx="32">
                  <c:v>13.3391780821918</c:v>
                </c:pt>
                <c:pt idx="33">
                  <c:v>13.2241095890411</c:v>
                </c:pt>
                <c:pt idx="34">
                  <c:v>13.2158904109589</c:v>
                </c:pt>
                <c:pt idx="35">
                  <c:v>13.1687671232877</c:v>
                </c:pt>
                <c:pt idx="36">
                  <c:v>13.1556164383562</c:v>
                </c:pt>
                <c:pt idx="37">
                  <c:v>13.0350684931507</c:v>
                </c:pt>
                <c:pt idx="38">
                  <c:v>13.0460273972603</c:v>
                </c:pt>
                <c:pt idx="39">
                  <c:v>12.8087671232877</c:v>
                </c:pt>
                <c:pt idx="40">
                  <c:v>12.8082191780822</c:v>
                </c:pt>
                <c:pt idx="41">
                  <c:v>12.972602739726</c:v>
                </c:pt>
                <c:pt idx="42">
                  <c:v>12.8630136986301</c:v>
                </c:pt>
                <c:pt idx="43">
                  <c:v>12.6953424657534</c:v>
                </c:pt>
                <c:pt idx="44">
                  <c:v>12.4109589041096</c:v>
                </c:pt>
                <c:pt idx="45">
                  <c:v>12.48</c:v>
                </c:pt>
                <c:pt idx="46">
                  <c:v>12.5068493150685</c:v>
                </c:pt>
                <c:pt idx="47">
                  <c:v>12.6301369863014</c:v>
                </c:pt>
                <c:pt idx="48">
                  <c:v>12.8635616438356</c:v>
                </c:pt>
                <c:pt idx="49">
                  <c:v>12.7813698630137</c:v>
                </c:pt>
                <c:pt idx="50">
                  <c:v>12.8356164383562</c:v>
                </c:pt>
                <c:pt idx="51">
                  <c:v>12.7123287671233</c:v>
                </c:pt>
                <c:pt idx="52">
                  <c:v>12.5621917808219</c:v>
                </c:pt>
                <c:pt idx="53">
                  <c:v>12.493698630137</c:v>
                </c:pt>
                <c:pt idx="54">
                  <c:v>12.5758904109589</c:v>
                </c:pt>
                <c:pt idx="55">
                  <c:v>12.521095890411</c:v>
                </c:pt>
                <c:pt idx="56">
                  <c:v>12.6306849315068</c:v>
                </c:pt>
                <c:pt idx="57">
                  <c:v>12.6854794520548</c:v>
                </c:pt>
                <c:pt idx="58">
                  <c:v>12.6986301369863</c:v>
                </c:pt>
                <c:pt idx="59">
                  <c:v>12.5347945205479</c:v>
                </c:pt>
                <c:pt idx="60">
                  <c:v>12.6169863013699</c:v>
                </c:pt>
                <c:pt idx="61">
                  <c:v>12.5484931506849</c:v>
                </c:pt>
                <c:pt idx="62">
                  <c:v>12.6476712328767</c:v>
                </c:pt>
                <c:pt idx="63">
                  <c:v>12.5627397260274</c:v>
                </c:pt>
                <c:pt idx="64">
                  <c:v>12.5134246575342</c:v>
                </c:pt>
                <c:pt idx="65">
                  <c:v>12.5682191780822</c:v>
                </c:pt>
                <c:pt idx="66">
                  <c:v>12.5052054794521</c:v>
                </c:pt>
                <c:pt idx="67">
                  <c:v>12.4942465753425</c:v>
                </c:pt>
                <c:pt idx="68">
                  <c:v>12.587397260274</c:v>
                </c:pt>
                <c:pt idx="69">
                  <c:v>12.5632876712329</c:v>
                </c:pt>
                <c:pt idx="70">
                  <c:v>12.5134246575342</c:v>
                </c:pt>
                <c:pt idx="71">
                  <c:v>12.4920547945205</c:v>
                </c:pt>
                <c:pt idx="72">
                  <c:v>12.4509589041096</c:v>
                </c:pt>
                <c:pt idx="73">
                  <c:v>12.3879452054795</c:v>
                </c:pt>
                <c:pt idx="74">
                  <c:v>12.3490410958904</c:v>
                </c:pt>
                <c:pt idx="75">
                  <c:v>12.3506849315068</c:v>
                </c:pt>
                <c:pt idx="76">
                  <c:v>6.14657534246575</c:v>
                </c:pt>
                <c:pt idx="77">
                  <c:v>6.0986301369863</c:v>
                </c:pt>
                <c:pt idx="78">
                  <c:v>6.22657534246575</c:v>
                </c:pt>
                <c:pt idx="79">
                  <c:v>6.19506849315069</c:v>
                </c:pt>
                <c:pt idx="80">
                  <c:v>6.32438356164383</c:v>
                </c:pt>
                <c:pt idx="81">
                  <c:v>6.36821917808219</c:v>
                </c:pt>
                <c:pt idx="82">
                  <c:v>6.44657534246575</c:v>
                </c:pt>
                <c:pt idx="83">
                  <c:v>12.6180821917808</c:v>
                </c:pt>
                <c:pt idx="84">
                  <c:v>12.6471232876712</c:v>
                </c:pt>
                <c:pt idx="85">
                  <c:v>12.5457534246575</c:v>
                </c:pt>
                <c:pt idx="86">
                  <c:v>12.5780821917808</c:v>
                </c:pt>
                <c:pt idx="87">
                  <c:v>12.7046575342466</c:v>
                </c:pt>
                <c:pt idx="88">
                  <c:v>12.6695890410959</c:v>
                </c:pt>
                <c:pt idx="89">
                  <c:v>12.8005479452055</c:v>
                </c:pt>
                <c:pt idx="90">
                  <c:v>12.5479452054795</c:v>
                </c:pt>
                <c:pt idx="91">
                  <c:v>12.5687671232877</c:v>
                </c:pt>
                <c:pt idx="92">
                  <c:v>12.613698630137</c:v>
                </c:pt>
                <c:pt idx="93">
                  <c:v>12.6832876712329</c:v>
                </c:pt>
                <c:pt idx="94">
                  <c:v>12.6449315068493</c:v>
                </c:pt>
                <c:pt idx="95">
                  <c:v>12.6602739726027</c:v>
                </c:pt>
                <c:pt idx="96">
                  <c:v>12.68</c:v>
                </c:pt>
                <c:pt idx="97">
                  <c:v>12.6701369863014</c:v>
                </c:pt>
                <c:pt idx="98">
                  <c:v>12.6372602739726</c:v>
                </c:pt>
                <c:pt idx="99">
                  <c:v>12.6761643835616</c:v>
                </c:pt>
                <c:pt idx="100">
                  <c:v>12.6487671232877</c:v>
                </c:pt>
                <c:pt idx="101">
                  <c:v>12.5994520547945</c:v>
                </c:pt>
                <c:pt idx="102">
                  <c:v>9.36</c:v>
                </c:pt>
                <c:pt idx="103">
                  <c:v>9.38054794520548</c:v>
                </c:pt>
                <c:pt idx="104">
                  <c:v>9.42164383561644</c:v>
                </c:pt>
                <c:pt idx="105">
                  <c:v>9.39164383561644</c:v>
                </c:pt>
                <c:pt idx="106">
                  <c:v>9.39205479452055</c:v>
                </c:pt>
                <c:pt idx="107">
                  <c:v>9.37315068493151</c:v>
                </c:pt>
                <c:pt idx="108">
                  <c:v>9.3813698630137</c:v>
                </c:pt>
                <c:pt idx="109">
                  <c:v>9.38342465753425</c:v>
                </c:pt>
                <c:pt idx="110">
                  <c:v>9.36616438356164</c:v>
                </c:pt>
                <c:pt idx="111">
                  <c:v>9.35342465753425</c:v>
                </c:pt>
                <c:pt idx="112">
                  <c:v>9.31972602739726</c:v>
                </c:pt>
                <c:pt idx="113">
                  <c:v>9.27041095890411</c:v>
                </c:pt>
                <c:pt idx="114">
                  <c:v>9.2913698630137</c:v>
                </c:pt>
                <c:pt idx="115">
                  <c:v>9.26178082191781</c:v>
                </c:pt>
                <c:pt idx="116">
                  <c:v>9.21739726027397</c:v>
                </c:pt>
                <c:pt idx="117">
                  <c:v>9.22397260273972</c:v>
                </c:pt>
                <c:pt idx="118">
                  <c:v>9.27575342465753</c:v>
                </c:pt>
                <c:pt idx="119">
                  <c:v>9.22643835616438</c:v>
                </c:pt>
                <c:pt idx="120">
                  <c:v>9.18493150684931</c:v>
                </c:pt>
                <c:pt idx="121">
                  <c:v>9.13356164383562</c:v>
                </c:pt>
                <c:pt idx="122">
                  <c:v>9.07438356164383</c:v>
                </c:pt>
                <c:pt idx="123">
                  <c:v>9.06493150684932</c:v>
                </c:pt>
                <c:pt idx="124">
                  <c:v>9.24082191780822</c:v>
                </c:pt>
                <c:pt idx="125">
                  <c:v>9.1927397260274</c:v>
                </c:pt>
                <c:pt idx="126">
                  <c:v>9.21616438356164</c:v>
                </c:pt>
                <c:pt idx="127">
                  <c:v>9.24739726027397</c:v>
                </c:pt>
                <c:pt idx="128">
                  <c:v>9.35095890410959</c:v>
                </c:pt>
                <c:pt idx="129">
                  <c:v>9.41260273972603</c:v>
                </c:pt>
                <c:pt idx="130">
                  <c:v>9.32794520547945</c:v>
                </c:pt>
                <c:pt idx="131">
                  <c:v>9.33164383561644</c:v>
                </c:pt>
                <c:pt idx="132">
                  <c:v>9.30739726027397</c:v>
                </c:pt>
                <c:pt idx="133">
                  <c:v>9.28931506849315</c:v>
                </c:pt>
                <c:pt idx="134">
                  <c:v>9.26342465753425</c:v>
                </c:pt>
                <c:pt idx="135">
                  <c:v>9.29301369863014</c:v>
                </c:pt>
                <c:pt idx="136">
                  <c:v>9.28684931506849</c:v>
                </c:pt>
                <c:pt idx="137">
                  <c:v>9.31767123287671</c:v>
                </c:pt>
                <c:pt idx="138">
                  <c:v>9.29342465753425</c:v>
                </c:pt>
                <c:pt idx="139">
                  <c:v>9.23054794520548</c:v>
                </c:pt>
                <c:pt idx="140">
                  <c:v>9.17342465753425</c:v>
                </c:pt>
                <c:pt idx="141">
                  <c:v>9.19767123287671</c:v>
                </c:pt>
                <c:pt idx="142">
                  <c:v>9.11013698630137</c:v>
                </c:pt>
                <c:pt idx="143">
                  <c:v>9.01808219178082</c:v>
                </c:pt>
                <c:pt idx="144">
                  <c:v>8.86602739726027</c:v>
                </c:pt>
                <c:pt idx="145">
                  <c:v>8.82739726027397</c:v>
                </c:pt>
                <c:pt idx="146">
                  <c:v>8.83315068493151</c:v>
                </c:pt>
                <c:pt idx="147">
                  <c:v>8.75219178082192</c:v>
                </c:pt>
                <c:pt idx="148">
                  <c:v>8.74397260273973</c:v>
                </c:pt>
                <c:pt idx="149">
                  <c:v>8.78465753424658</c:v>
                </c:pt>
                <c:pt idx="150">
                  <c:v>8.83191780821918</c:v>
                </c:pt>
                <c:pt idx="151">
                  <c:v>8.80027397260274</c:v>
                </c:pt>
                <c:pt idx="152">
                  <c:v>8.96301369863014</c:v>
                </c:pt>
                <c:pt idx="153">
                  <c:v>9.03534246575343</c:v>
                </c:pt>
                <c:pt idx="154">
                  <c:v>9.24986301369863</c:v>
                </c:pt>
                <c:pt idx="155">
                  <c:v>9.1458904109589</c:v>
                </c:pt>
                <c:pt idx="156">
                  <c:v>9.02712328767123</c:v>
                </c:pt>
                <c:pt idx="157">
                  <c:v>9.06164383561644</c:v>
                </c:pt>
                <c:pt idx="158">
                  <c:v>9.03205479452055</c:v>
                </c:pt>
                <c:pt idx="159">
                  <c:v>8.96547945205479</c:v>
                </c:pt>
                <c:pt idx="160">
                  <c:v>8.92191780821918</c:v>
                </c:pt>
                <c:pt idx="161">
                  <c:v>8.90547945205479</c:v>
                </c:pt>
                <c:pt idx="162">
                  <c:v>8.86931506849315</c:v>
                </c:pt>
                <c:pt idx="163">
                  <c:v>8.85493150684932</c:v>
                </c:pt>
                <c:pt idx="164">
                  <c:v>8.88821917808219</c:v>
                </c:pt>
                <c:pt idx="165">
                  <c:v>9.00123287671233</c:v>
                </c:pt>
                <c:pt idx="166">
                  <c:v>8.90671232876712</c:v>
                </c:pt>
                <c:pt idx="167">
                  <c:v>8.91904109589041</c:v>
                </c:pt>
                <c:pt idx="168">
                  <c:v>8.91945205479452</c:v>
                </c:pt>
                <c:pt idx="169">
                  <c:v>8.81794520547945</c:v>
                </c:pt>
                <c:pt idx="170">
                  <c:v>8.80767123287671</c:v>
                </c:pt>
                <c:pt idx="171">
                  <c:v>8.76821917808219</c:v>
                </c:pt>
                <c:pt idx="172">
                  <c:v>8.76904109589041</c:v>
                </c:pt>
                <c:pt idx="173">
                  <c:v>8.78958904109589</c:v>
                </c:pt>
                <c:pt idx="174">
                  <c:v>8.73986301369863</c:v>
                </c:pt>
                <c:pt idx="175">
                  <c:v>8.68890410958904</c:v>
                </c:pt>
                <c:pt idx="176">
                  <c:v>5.76547945205479</c:v>
                </c:pt>
                <c:pt idx="177">
                  <c:v>5.75287671232877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5.96164383561644</c:v>
                </c:pt>
                <c:pt idx="192">
                  <c:v>5.87424657534247</c:v>
                </c:pt>
                <c:pt idx="193">
                  <c:v>5.86082191780822</c:v>
                </c:pt>
                <c:pt idx="194">
                  <c:v>5.87424657534247</c:v>
                </c:pt>
                <c:pt idx="195">
                  <c:v>5.85424657534247</c:v>
                </c:pt>
                <c:pt idx="196">
                  <c:v>5.82301369863014</c:v>
                </c:pt>
                <c:pt idx="197">
                  <c:v>5.8441095890411</c:v>
                </c:pt>
                <c:pt idx="198">
                  <c:v>5.77643835616438</c:v>
                </c:pt>
                <c:pt idx="199">
                  <c:v>5.81068493150685</c:v>
                </c:pt>
                <c:pt idx="200">
                  <c:v>5.81123287671233</c:v>
                </c:pt>
                <c:pt idx="201">
                  <c:v>5.87890410958904</c:v>
                </c:pt>
                <c:pt idx="202">
                  <c:v>2.95328767123288</c:v>
                </c:pt>
                <c:pt idx="203">
                  <c:v>2.9672602739726</c:v>
                </c:pt>
                <c:pt idx="204">
                  <c:v>2.95054794520548</c:v>
                </c:pt>
                <c:pt idx="205">
                  <c:v>2.96123287671233</c:v>
                </c:pt>
                <c:pt idx="206">
                  <c:v>2.9586301369863</c:v>
                </c:pt>
                <c:pt idx="207">
                  <c:v>2.95849315068493</c:v>
                </c:pt>
                <c:pt idx="208">
                  <c:v>2.94191780821918</c:v>
                </c:pt>
                <c:pt idx="209">
                  <c:v>2.93232876712329</c:v>
                </c:pt>
                <c:pt idx="210">
                  <c:v>2.91438356164384</c:v>
                </c:pt>
                <c:pt idx="211">
                  <c:v>2.89123287671233</c:v>
                </c:pt>
                <c:pt idx="212">
                  <c:v>2.90876712328767</c:v>
                </c:pt>
                <c:pt idx="213">
                  <c:v>2.89246575342466</c:v>
                </c:pt>
                <c:pt idx="214">
                  <c:v>5.77178082191781</c:v>
                </c:pt>
                <c:pt idx="215">
                  <c:v>5.73150684931507</c:v>
                </c:pt>
                <c:pt idx="216">
                  <c:v>5.67917808219178</c:v>
                </c:pt>
                <c:pt idx="217">
                  <c:v>5.71945205479452</c:v>
                </c:pt>
                <c:pt idx="218">
                  <c:v>5.70082191780822</c:v>
                </c:pt>
                <c:pt idx="219">
                  <c:v>5.73917808219178</c:v>
                </c:pt>
              </c:numCache>
            </c:numRef>
          </c:val>
          <c:smooth val="0"/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PnL!$U$401:$U$620</c:f>
              <c:numCache>
                <c:formatCode>General</c:formatCode>
                <c:ptCount val="220"/>
                <c:pt idx="0">
                  <c:v>7.74493150684932</c:v>
                </c:pt>
                <c:pt idx="1">
                  <c:v>7.78684931506849</c:v>
                </c:pt>
                <c:pt idx="2">
                  <c:v>7.7813698630137</c:v>
                </c:pt>
                <c:pt idx="3">
                  <c:v>7.71780821917808</c:v>
                </c:pt>
                <c:pt idx="4">
                  <c:v>7.68301369863014</c:v>
                </c:pt>
                <c:pt idx="5">
                  <c:v>7.67671232876712</c:v>
                </c:pt>
                <c:pt idx="6">
                  <c:v>7.58712328767123</c:v>
                </c:pt>
                <c:pt idx="7">
                  <c:v>7.60493150684932</c:v>
                </c:pt>
                <c:pt idx="8">
                  <c:v>7.60794520547945</c:v>
                </c:pt>
                <c:pt idx="9">
                  <c:v>7.65205479452055</c:v>
                </c:pt>
                <c:pt idx="10">
                  <c:v>7.63178082191781</c:v>
                </c:pt>
                <c:pt idx="11">
                  <c:v>7.64301369863014</c:v>
                </c:pt>
                <c:pt idx="12">
                  <c:v>7.60191780821918</c:v>
                </c:pt>
                <c:pt idx="13">
                  <c:v>7.59780821917808</c:v>
                </c:pt>
                <c:pt idx="14">
                  <c:v>7.55698630136986</c:v>
                </c:pt>
                <c:pt idx="15">
                  <c:v>7.4586301369863</c:v>
                </c:pt>
                <c:pt idx="16">
                  <c:v>7.48684931506849</c:v>
                </c:pt>
                <c:pt idx="17">
                  <c:v>7.5013698630137</c:v>
                </c:pt>
                <c:pt idx="18">
                  <c:v>7.48520547945205</c:v>
                </c:pt>
                <c:pt idx="19">
                  <c:v>7.48794520547945</c:v>
                </c:pt>
                <c:pt idx="20">
                  <c:v>7.47178082191781</c:v>
                </c:pt>
                <c:pt idx="21">
                  <c:v>7.35095890410959</c:v>
                </c:pt>
                <c:pt idx="22">
                  <c:v>7.25534246575342</c:v>
                </c:pt>
                <c:pt idx="23">
                  <c:v>7.25260273972603</c:v>
                </c:pt>
                <c:pt idx="24">
                  <c:v>7.22</c:v>
                </c:pt>
                <c:pt idx="25">
                  <c:v>7.1441095890411</c:v>
                </c:pt>
                <c:pt idx="26">
                  <c:v>7.11616438356164</c:v>
                </c:pt>
                <c:pt idx="27">
                  <c:v>7.28191780821918</c:v>
                </c:pt>
                <c:pt idx="28">
                  <c:v>7.18191780821918</c:v>
                </c:pt>
                <c:pt idx="29">
                  <c:v>7.26164383561644</c:v>
                </c:pt>
                <c:pt idx="30">
                  <c:v>7.26164383561644</c:v>
                </c:pt>
                <c:pt idx="31">
                  <c:v>7.24109589041096</c:v>
                </c:pt>
                <c:pt idx="32">
                  <c:v>7.1972602739726</c:v>
                </c:pt>
                <c:pt idx="33">
                  <c:v>7.12438356164384</c:v>
                </c:pt>
                <c:pt idx="34">
                  <c:v>7.12602739726027</c:v>
                </c:pt>
                <c:pt idx="35">
                  <c:v>7.0986301369863</c:v>
                </c:pt>
                <c:pt idx="36">
                  <c:v>7.07095890410959</c:v>
                </c:pt>
                <c:pt idx="37">
                  <c:v>6.95890410958904</c:v>
                </c:pt>
                <c:pt idx="38">
                  <c:v>6.91068493150685</c:v>
                </c:pt>
                <c:pt idx="39">
                  <c:v>6.81315068493151</c:v>
                </c:pt>
                <c:pt idx="40">
                  <c:v>6.7441095890411</c:v>
                </c:pt>
                <c:pt idx="41">
                  <c:v>6.82602739726027</c:v>
                </c:pt>
                <c:pt idx="42">
                  <c:v>6.77753424657534</c:v>
                </c:pt>
                <c:pt idx="43">
                  <c:v>6.79287671232877</c:v>
                </c:pt>
                <c:pt idx="44">
                  <c:v>6.65041095890411</c:v>
                </c:pt>
                <c:pt idx="45">
                  <c:v>6.66027397260274</c:v>
                </c:pt>
                <c:pt idx="46">
                  <c:v>6.66712328767123</c:v>
                </c:pt>
                <c:pt idx="47">
                  <c:v>6.78520547945205</c:v>
                </c:pt>
                <c:pt idx="48">
                  <c:v>6.96301369863014</c:v>
                </c:pt>
                <c:pt idx="49">
                  <c:v>6.93506849315068</c:v>
                </c:pt>
                <c:pt idx="50">
                  <c:v>6.94328767123288</c:v>
                </c:pt>
                <c:pt idx="51">
                  <c:v>6.87506849315068</c:v>
                </c:pt>
                <c:pt idx="52">
                  <c:v>6.81013698630137</c:v>
                </c:pt>
                <c:pt idx="53">
                  <c:v>6.70821917808219</c:v>
                </c:pt>
                <c:pt idx="54">
                  <c:v>6.75616438356164</c:v>
                </c:pt>
                <c:pt idx="55">
                  <c:v>6.74383561643836</c:v>
                </c:pt>
                <c:pt idx="56">
                  <c:v>6.80328767123288</c:v>
                </c:pt>
                <c:pt idx="57">
                  <c:v>6.83890410958904</c:v>
                </c:pt>
                <c:pt idx="58">
                  <c:v>6.84438356164384</c:v>
                </c:pt>
                <c:pt idx="59">
                  <c:v>6.74958904109589</c:v>
                </c:pt>
                <c:pt idx="60">
                  <c:v>6.7572602739726</c:v>
                </c:pt>
                <c:pt idx="61">
                  <c:v>6.73808219178082</c:v>
                </c:pt>
                <c:pt idx="62">
                  <c:v>6.80767123287671</c:v>
                </c:pt>
                <c:pt idx="63">
                  <c:v>6.78082191780822</c:v>
                </c:pt>
                <c:pt idx="64">
                  <c:v>6.74931506849315</c:v>
                </c:pt>
                <c:pt idx="65">
                  <c:v>6.78794520547945</c:v>
                </c:pt>
                <c:pt idx="66">
                  <c:v>6.75506849315068</c:v>
                </c:pt>
                <c:pt idx="67">
                  <c:v>6.74986301369863</c:v>
                </c:pt>
                <c:pt idx="68">
                  <c:v>6.81945205479452</c:v>
                </c:pt>
                <c:pt idx="69">
                  <c:v>6.82958904109589</c:v>
                </c:pt>
                <c:pt idx="70">
                  <c:v>6.81369863013699</c:v>
                </c:pt>
                <c:pt idx="71">
                  <c:v>6.81178082191781</c:v>
                </c:pt>
                <c:pt idx="72">
                  <c:v>6.77178082191781</c:v>
                </c:pt>
                <c:pt idx="73">
                  <c:v>6.72767123287671</c:v>
                </c:pt>
                <c:pt idx="74">
                  <c:v>3.35150684931507</c:v>
                </c:pt>
                <c:pt idx="75">
                  <c:v>3.34397260273973</c:v>
                </c:pt>
                <c:pt idx="76">
                  <c:v>3.33438356164384</c:v>
                </c:pt>
                <c:pt idx="77">
                  <c:v>3.31657534246575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3.49219178082192</c:v>
                </c:pt>
                <c:pt idx="82">
                  <c:v>3.53876712328767</c:v>
                </c:pt>
                <c:pt idx="83">
                  <c:v>3.47698630136986</c:v>
                </c:pt>
                <c:pt idx="84">
                  <c:v>3.50506849315068</c:v>
                </c:pt>
                <c:pt idx="85">
                  <c:v>3.48123287671233</c:v>
                </c:pt>
                <c:pt idx="86">
                  <c:v>3.49315068493151</c:v>
                </c:pt>
                <c:pt idx="87">
                  <c:v>3.5241095890411</c:v>
                </c:pt>
                <c:pt idx="88">
                  <c:v>3.53780821917808</c:v>
                </c:pt>
                <c:pt idx="89">
                  <c:v>3.57890410958904</c:v>
                </c:pt>
                <c:pt idx="90">
                  <c:v>3.51520547945205</c:v>
                </c:pt>
                <c:pt idx="91">
                  <c:v>3.51109589041096</c:v>
                </c:pt>
                <c:pt idx="92">
                  <c:v>3.51794520547945</c:v>
                </c:pt>
                <c:pt idx="93">
                  <c:v>3.53575342465753</c:v>
                </c:pt>
                <c:pt idx="94">
                  <c:v>3.54342465753425</c:v>
                </c:pt>
                <c:pt idx="95">
                  <c:v>3.55027397260274</c:v>
                </c:pt>
                <c:pt idx="96">
                  <c:v>3.55164383561644</c:v>
                </c:pt>
                <c:pt idx="97">
                  <c:v>3.52054794520548</c:v>
                </c:pt>
                <c:pt idx="98">
                  <c:v>3.48643835616438</c:v>
                </c:pt>
                <c:pt idx="99">
                  <c:v>3.49520547945205</c:v>
                </c:pt>
                <c:pt idx="100">
                  <c:v>3.48657534246575</c:v>
                </c:pt>
                <c:pt idx="101">
                  <c:v>3.46602739726027</c:v>
                </c:pt>
                <c:pt idx="102">
                  <c:v>3.45780821917808</c:v>
                </c:pt>
                <c:pt idx="103">
                  <c:v>3.46945205479452</c:v>
                </c:pt>
                <c:pt idx="104">
                  <c:v>3.50027397260274</c:v>
                </c:pt>
                <c:pt idx="105">
                  <c:v>3.48945205479452</c:v>
                </c:pt>
                <c:pt idx="106">
                  <c:v>3.48671232876712</c:v>
                </c:pt>
                <c:pt idx="107">
                  <c:v>3.47643835616438</c:v>
                </c:pt>
                <c:pt idx="108">
                  <c:v>3.47643835616438</c:v>
                </c:pt>
                <c:pt idx="109">
                  <c:v>3.46616438356164</c:v>
                </c:pt>
                <c:pt idx="110">
                  <c:v>3.4513698630137</c:v>
                </c:pt>
                <c:pt idx="111">
                  <c:v>3.45684931506849</c:v>
                </c:pt>
                <c:pt idx="112">
                  <c:v>3.4486301369863</c:v>
                </c:pt>
                <c:pt idx="113">
                  <c:v>3.42328767123288</c:v>
                </c:pt>
                <c:pt idx="114">
                  <c:v>3.43246575342466</c:v>
                </c:pt>
                <c:pt idx="115">
                  <c:v>3.40917808219178</c:v>
                </c:pt>
                <c:pt idx="116">
                  <c:v>3.39684931506849</c:v>
                </c:pt>
                <c:pt idx="117">
                  <c:v>3.38465753424658</c:v>
                </c:pt>
                <c:pt idx="118">
                  <c:v>3.39684931506849</c:v>
                </c:pt>
                <c:pt idx="119">
                  <c:v>3.37082191780822</c:v>
                </c:pt>
                <c:pt idx="120">
                  <c:v>3.35301369863014</c:v>
                </c:pt>
                <c:pt idx="121">
                  <c:v>3.34821917808219</c:v>
                </c:pt>
                <c:pt idx="122">
                  <c:v>3.32630136986301</c:v>
                </c:pt>
                <c:pt idx="123">
                  <c:v>3.32630136986301</c:v>
                </c:pt>
                <c:pt idx="124">
                  <c:v>3.39479452054795</c:v>
                </c:pt>
                <c:pt idx="125">
                  <c:v>3.38246575342466</c:v>
                </c:pt>
                <c:pt idx="126">
                  <c:v>3.38876712328767</c:v>
                </c:pt>
                <c:pt idx="127">
                  <c:v>3.39698630136986</c:v>
                </c:pt>
                <c:pt idx="128">
                  <c:v>3.44246575342466</c:v>
                </c:pt>
                <c:pt idx="129">
                  <c:v>3.4527397260274</c:v>
                </c:pt>
                <c:pt idx="130">
                  <c:v>3.42698630136986</c:v>
                </c:pt>
                <c:pt idx="131">
                  <c:v>3.43397260273973</c:v>
                </c:pt>
                <c:pt idx="132">
                  <c:v>3.42808219178082</c:v>
                </c:pt>
                <c:pt idx="133">
                  <c:v>3.41383561643836</c:v>
                </c:pt>
                <c:pt idx="134">
                  <c:v>3.39342465753425</c:v>
                </c:pt>
                <c:pt idx="135">
                  <c:v>3.39739726027397</c:v>
                </c:pt>
                <c:pt idx="136">
                  <c:v>3.39890410958904</c:v>
                </c:pt>
                <c:pt idx="137">
                  <c:v>3.41109589041096</c:v>
                </c:pt>
                <c:pt idx="138">
                  <c:v>3.40301369863014</c:v>
                </c:pt>
                <c:pt idx="139">
                  <c:v>3.38520547945205</c:v>
                </c:pt>
                <c:pt idx="140">
                  <c:v>3.38232876712329</c:v>
                </c:pt>
                <c:pt idx="141">
                  <c:v>3.38027397260274</c:v>
                </c:pt>
                <c:pt idx="142">
                  <c:v>2.00194520547945</c:v>
                </c:pt>
                <c:pt idx="143">
                  <c:v>1.99117808219178</c:v>
                </c:pt>
                <c:pt idx="144">
                  <c:v>1.96438356164384</c:v>
                </c:pt>
                <c:pt idx="145">
                  <c:v>1.95328767123288</c:v>
                </c:pt>
                <c:pt idx="146">
                  <c:v>1.95821917808219</c:v>
                </c:pt>
                <c:pt idx="147">
                  <c:v>1.94391780821918</c:v>
                </c:pt>
                <c:pt idx="148">
                  <c:v>1.9286301369863</c:v>
                </c:pt>
                <c:pt idx="149">
                  <c:v>1.92123287671233</c:v>
                </c:pt>
                <c:pt idx="150">
                  <c:v>1.93561643835616</c:v>
                </c:pt>
                <c:pt idx="151">
                  <c:v>1.91917808219178</c:v>
                </c:pt>
                <c:pt idx="152">
                  <c:v>1.94794520547945</c:v>
                </c:pt>
                <c:pt idx="153">
                  <c:v>1.95616438356164</c:v>
                </c:pt>
                <c:pt idx="154">
                  <c:v>2.0013698630137</c:v>
                </c:pt>
                <c:pt idx="155">
                  <c:v>1.97876712328767</c:v>
                </c:pt>
                <c:pt idx="156">
                  <c:v>1.95213698630137</c:v>
                </c:pt>
                <c:pt idx="157">
                  <c:v>1.96438356164384</c:v>
                </c:pt>
                <c:pt idx="158">
                  <c:v>1.96438356164384</c:v>
                </c:pt>
                <c:pt idx="159">
                  <c:v>1.9458904109589</c:v>
                </c:pt>
                <c:pt idx="160">
                  <c:v>1.93972602739726</c:v>
                </c:pt>
                <c:pt idx="161">
                  <c:v>1.93569863013699</c:v>
                </c:pt>
                <c:pt idx="162">
                  <c:v>1.92953424657534</c:v>
                </c:pt>
                <c:pt idx="163">
                  <c:v>1.9233698630137</c:v>
                </c:pt>
                <c:pt idx="164">
                  <c:v>1.92945205479452</c:v>
                </c:pt>
                <c:pt idx="165">
                  <c:v>1.95821917808219</c:v>
                </c:pt>
                <c:pt idx="166">
                  <c:v>1.93561643835616</c:v>
                </c:pt>
                <c:pt idx="167">
                  <c:v>1.94383561643836</c:v>
                </c:pt>
                <c:pt idx="168">
                  <c:v>1.94391780821918</c:v>
                </c:pt>
                <c:pt idx="169">
                  <c:v>1.92534246575342</c:v>
                </c:pt>
                <c:pt idx="170">
                  <c:v>1.92246575342466</c:v>
                </c:pt>
                <c:pt idx="171">
                  <c:v>1.90890410958904</c:v>
                </c:pt>
                <c:pt idx="172">
                  <c:v>1.90068493150685</c:v>
                </c:pt>
                <c:pt idx="173">
                  <c:v>1.89780821917808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6.45917808219178</c:v>
                </c:pt>
                <c:pt idx="192">
                  <c:v>6.27397260273973</c:v>
                </c:pt>
                <c:pt idx="193">
                  <c:v>6.3013698630137</c:v>
                </c:pt>
                <c:pt idx="194">
                  <c:v>6.3013698630137</c:v>
                </c:pt>
                <c:pt idx="195">
                  <c:v>6.3358904109589</c:v>
                </c:pt>
                <c:pt idx="196">
                  <c:v>6.33561643835616</c:v>
                </c:pt>
                <c:pt idx="197">
                  <c:v>6.37808219178082</c:v>
                </c:pt>
                <c:pt idx="198">
                  <c:v>6.28767123287671</c:v>
                </c:pt>
                <c:pt idx="199">
                  <c:v>6.31506849315069</c:v>
                </c:pt>
                <c:pt idx="200">
                  <c:v>6.32191780821918</c:v>
                </c:pt>
                <c:pt idx="201">
                  <c:v>6.41095890410959</c:v>
                </c:pt>
                <c:pt idx="202">
                  <c:v>6.45205479452055</c:v>
                </c:pt>
                <c:pt idx="203">
                  <c:v>6.45205479452055</c:v>
                </c:pt>
                <c:pt idx="204">
                  <c:v>6.46575342465753</c:v>
                </c:pt>
                <c:pt idx="205">
                  <c:v>6.52054794520548</c:v>
                </c:pt>
                <c:pt idx="206">
                  <c:v>3.24109589041096</c:v>
                </c:pt>
                <c:pt idx="207">
                  <c:v>3.23287671232877</c:v>
                </c:pt>
                <c:pt idx="208">
                  <c:v>3.1986301369863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PnL!$V$401:$V$620</c:f>
              <c:numCache>
                <c:formatCode>General</c:formatCode>
                <c:ptCount val="220"/>
                <c:pt idx="0">
                  <c:v>34.8978082191781</c:v>
                </c:pt>
                <c:pt idx="1">
                  <c:v>35.1704109589041</c:v>
                </c:pt>
                <c:pt idx="2">
                  <c:v>35.0378082191781</c:v>
                </c:pt>
                <c:pt idx="3">
                  <c:v>34.8175342465753</c:v>
                </c:pt>
                <c:pt idx="4">
                  <c:v>34.5750684931507</c:v>
                </c:pt>
                <c:pt idx="5">
                  <c:v>34.6443835616438</c:v>
                </c:pt>
                <c:pt idx="6">
                  <c:v>34.3087671232877</c:v>
                </c:pt>
                <c:pt idx="7">
                  <c:v>34.4783561643836</c:v>
                </c:pt>
                <c:pt idx="8">
                  <c:v>34.4758904109589</c:v>
                </c:pt>
                <c:pt idx="9">
                  <c:v>34.681095890411</c:v>
                </c:pt>
                <c:pt idx="10">
                  <c:v>34.7375342465753</c:v>
                </c:pt>
                <c:pt idx="11">
                  <c:v>34.8528767123288</c:v>
                </c:pt>
                <c:pt idx="12">
                  <c:v>34.4950684931507</c:v>
                </c:pt>
                <c:pt idx="13">
                  <c:v>34.4723287671233</c:v>
                </c:pt>
                <c:pt idx="14">
                  <c:v>34.3005479452055</c:v>
                </c:pt>
                <c:pt idx="15">
                  <c:v>34.1057534246575</c:v>
                </c:pt>
                <c:pt idx="16">
                  <c:v>34.2687671232877</c:v>
                </c:pt>
                <c:pt idx="17">
                  <c:v>34.2164383561644</c:v>
                </c:pt>
                <c:pt idx="18">
                  <c:v>33.9498630136986</c:v>
                </c:pt>
                <c:pt idx="19">
                  <c:v>34.0276712328767</c:v>
                </c:pt>
                <c:pt idx="20">
                  <c:v>33.8619178082192</c:v>
                </c:pt>
                <c:pt idx="21">
                  <c:v>33.3268493150685</c:v>
                </c:pt>
                <c:pt idx="22">
                  <c:v>33.1194520547945</c:v>
                </c:pt>
                <c:pt idx="23">
                  <c:v>33.226301369863</c:v>
                </c:pt>
                <c:pt idx="24">
                  <c:v>32.9969863013699</c:v>
                </c:pt>
                <c:pt idx="25">
                  <c:v>32.7775342465753</c:v>
                </c:pt>
                <c:pt idx="26">
                  <c:v>32.7342465753425</c:v>
                </c:pt>
                <c:pt idx="27">
                  <c:v>33.5032876712329</c:v>
                </c:pt>
                <c:pt idx="28">
                  <c:v>33.0109589041096</c:v>
                </c:pt>
                <c:pt idx="29">
                  <c:v>33.1597260273973</c:v>
                </c:pt>
                <c:pt idx="30">
                  <c:v>33.1175342465753</c:v>
                </c:pt>
                <c:pt idx="31">
                  <c:v>33.1945205479452</c:v>
                </c:pt>
                <c:pt idx="32">
                  <c:v>33.1709589041096</c:v>
                </c:pt>
                <c:pt idx="33">
                  <c:v>32.8191780821918</c:v>
                </c:pt>
                <c:pt idx="34">
                  <c:v>32.7709589041096</c:v>
                </c:pt>
                <c:pt idx="35">
                  <c:v>32.5627397260274</c:v>
                </c:pt>
                <c:pt idx="36">
                  <c:v>32.552602739726</c:v>
                </c:pt>
                <c:pt idx="37">
                  <c:v>32.1824657534247</c:v>
                </c:pt>
                <c:pt idx="38">
                  <c:v>32.241095890411</c:v>
                </c:pt>
                <c:pt idx="39">
                  <c:v>31.798904109589</c:v>
                </c:pt>
                <c:pt idx="40">
                  <c:v>31.7046575342466</c:v>
                </c:pt>
                <c:pt idx="41">
                  <c:v>32.1997260273973</c:v>
                </c:pt>
                <c:pt idx="42">
                  <c:v>31.9632876712329</c:v>
                </c:pt>
                <c:pt idx="43">
                  <c:v>31.6991780821918</c:v>
                </c:pt>
                <c:pt idx="44">
                  <c:v>30.9380821917808</c:v>
                </c:pt>
                <c:pt idx="45">
                  <c:v>31.172602739726</c:v>
                </c:pt>
                <c:pt idx="46">
                  <c:v>31.2775342465753</c:v>
                </c:pt>
                <c:pt idx="47">
                  <c:v>31.6454794520548</c:v>
                </c:pt>
                <c:pt idx="48">
                  <c:v>32.273698630137</c:v>
                </c:pt>
                <c:pt idx="49">
                  <c:v>32.0928767123288</c:v>
                </c:pt>
                <c:pt idx="50">
                  <c:v>37.2213698630137</c:v>
                </c:pt>
                <c:pt idx="51">
                  <c:v>36.8972602739726</c:v>
                </c:pt>
                <c:pt idx="52">
                  <c:v>36.4027397260274</c:v>
                </c:pt>
                <c:pt idx="53">
                  <c:v>36.1534246575342</c:v>
                </c:pt>
                <c:pt idx="54">
                  <c:v>36.3706849315069</c:v>
                </c:pt>
                <c:pt idx="55">
                  <c:v>36.1682191780822</c:v>
                </c:pt>
                <c:pt idx="56">
                  <c:v>30.3293150684932</c:v>
                </c:pt>
                <c:pt idx="57">
                  <c:v>30.5260273972603</c:v>
                </c:pt>
                <c:pt idx="58">
                  <c:v>36.6547945205479</c:v>
                </c:pt>
                <c:pt idx="59">
                  <c:v>36.1120547945205</c:v>
                </c:pt>
                <c:pt idx="60">
                  <c:v>36.2917808219178</c:v>
                </c:pt>
                <c:pt idx="61">
                  <c:v>36.046301369863</c:v>
                </c:pt>
                <c:pt idx="62">
                  <c:v>36.3783561643836</c:v>
                </c:pt>
                <c:pt idx="63">
                  <c:v>36.1131506849315</c:v>
                </c:pt>
                <c:pt idx="64">
                  <c:v>35.9802739726027</c:v>
                </c:pt>
                <c:pt idx="65">
                  <c:v>36.1005479452055</c:v>
                </c:pt>
                <c:pt idx="66">
                  <c:v>35.8095890410959</c:v>
                </c:pt>
                <c:pt idx="67">
                  <c:v>35.68</c:v>
                </c:pt>
                <c:pt idx="68">
                  <c:v>35.9041095890411</c:v>
                </c:pt>
                <c:pt idx="69">
                  <c:v>35.7734246575342</c:v>
                </c:pt>
                <c:pt idx="70">
                  <c:v>35.5452054794521</c:v>
                </c:pt>
                <c:pt idx="71">
                  <c:v>35.6213698630137</c:v>
                </c:pt>
                <c:pt idx="72">
                  <c:v>35.6087671232877</c:v>
                </c:pt>
                <c:pt idx="73">
                  <c:v>41.1134246575343</c:v>
                </c:pt>
                <c:pt idx="74">
                  <c:v>37.452602739726</c:v>
                </c:pt>
                <c:pt idx="75">
                  <c:v>37.3927397260274</c:v>
                </c:pt>
                <c:pt idx="76">
                  <c:v>31.1352054794521</c:v>
                </c:pt>
                <c:pt idx="77">
                  <c:v>30.8732876712329</c:v>
                </c:pt>
                <c:pt idx="78">
                  <c:v>28.0323287671233</c:v>
                </c:pt>
                <c:pt idx="79">
                  <c:v>27.5786301369863</c:v>
                </c:pt>
                <c:pt idx="80">
                  <c:v>28.3465753424657</c:v>
                </c:pt>
                <c:pt idx="81">
                  <c:v>32.2321917808219</c:v>
                </c:pt>
                <c:pt idx="82">
                  <c:v>32.8508219178082</c:v>
                </c:pt>
                <c:pt idx="83">
                  <c:v>38.3909589041096</c:v>
                </c:pt>
                <c:pt idx="84">
                  <c:v>38.296301369863</c:v>
                </c:pt>
                <c:pt idx="85">
                  <c:v>37.9475342465753</c:v>
                </c:pt>
                <c:pt idx="86">
                  <c:v>38.0643835616438</c:v>
                </c:pt>
                <c:pt idx="87">
                  <c:v>38.4452054794521</c:v>
                </c:pt>
                <c:pt idx="88">
                  <c:v>38.3846575342466</c:v>
                </c:pt>
                <c:pt idx="89">
                  <c:v>38.7794520547945</c:v>
                </c:pt>
                <c:pt idx="90">
                  <c:v>37.7883561643836</c:v>
                </c:pt>
                <c:pt idx="91">
                  <c:v>37.6447945205479</c:v>
                </c:pt>
                <c:pt idx="92">
                  <c:v>37.7431506849315</c:v>
                </c:pt>
                <c:pt idx="93">
                  <c:v>37.9683561643836</c:v>
                </c:pt>
                <c:pt idx="94">
                  <c:v>37.7930136986301</c:v>
                </c:pt>
                <c:pt idx="95">
                  <c:v>37.8776712328767</c:v>
                </c:pt>
                <c:pt idx="96">
                  <c:v>37.9338356164384</c:v>
                </c:pt>
                <c:pt idx="97">
                  <c:v>37.8150684931507</c:v>
                </c:pt>
                <c:pt idx="98">
                  <c:v>37.6954794520548</c:v>
                </c:pt>
                <c:pt idx="99">
                  <c:v>37.8850684931507</c:v>
                </c:pt>
                <c:pt idx="100">
                  <c:v>37.9147945205479</c:v>
                </c:pt>
                <c:pt idx="101">
                  <c:v>37.7545205479452</c:v>
                </c:pt>
                <c:pt idx="102">
                  <c:v>34.4920547945205</c:v>
                </c:pt>
                <c:pt idx="103">
                  <c:v>34.5258904109589</c:v>
                </c:pt>
                <c:pt idx="104">
                  <c:v>34.5641095890411</c:v>
                </c:pt>
                <c:pt idx="105">
                  <c:v>34.4027397260274</c:v>
                </c:pt>
                <c:pt idx="106">
                  <c:v>34.408904109589</c:v>
                </c:pt>
                <c:pt idx="107">
                  <c:v>34.2298630136986</c:v>
                </c:pt>
                <c:pt idx="108">
                  <c:v>29.7852054794521</c:v>
                </c:pt>
                <c:pt idx="109">
                  <c:v>29.7794520547945</c:v>
                </c:pt>
                <c:pt idx="110">
                  <c:v>29.7120547945206</c:v>
                </c:pt>
                <c:pt idx="111">
                  <c:v>29.7697260273973</c:v>
                </c:pt>
                <c:pt idx="112">
                  <c:v>29.7450684931507</c:v>
                </c:pt>
                <c:pt idx="113">
                  <c:v>29.6153424657534</c:v>
                </c:pt>
                <c:pt idx="114">
                  <c:v>29.7038356164384</c:v>
                </c:pt>
                <c:pt idx="115">
                  <c:v>29.5761643835616</c:v>
                </c:pt>
                <c:pt idx="116">
                  <c:v>29.2465753424658</c:v>
                </c:pt>
                <c:pt idx="117">
                  <c:v>29.2845205479452</c:v>
                </c:pt>
                <c:pt idx="118">
                  <c:v>29.4315068493151</c:v>
                </c:pt>
                <c:pt idx="119">
                  <c:v>29.2452054794521</c:v>
                </c:pt>
                <c:pt idx="120">
                  <c:v>29.1069863013699</c:v>
                </c:pt>
                <c:pt idx="121">
                  <c:v>28.9094520547945</c:v>
                </c:pt>
                <c:pt idx="122">
                  <c:v>28.6491780821918</c:v>
                </c:pt>
                <c:pt idx="123">
                  <c:v>28.6504109589041</c:v>
                </c:pt>
                <c:pt idx="124">
                  <c:v>29.2383561643836</c:v>
                </c:pt>
                <c:pt idx="125">
                  <c:v>28.9108219178082</c:v>
                </c:pt>
                <c:pt idx="126">
                  <c:v>28.7054794520548</c:v>
                </c:pt>
                <c:pt idx="127">
                  <c:v>28.8452054794521</c:v>
                </c:pt>
                <c:pt idx="128">
                  <c:v>29.2276712328767</c:v>
                </c:pt>
                <c:pt idx="129">
                  <c:v>29.588904109589</c:v>
                </c:pt>
                <c:pt idx="130">
                  <c:v>29.2541095890411</c:v>
                </c:pt>
                <c:pt idx="131">
                  <c:v>29.3116438356164</c:v>
                </c:pt>
                <c:pt idx="132">
                  <c:v>29.2264383561644</c:v>
                </c:pt>
                <c:pt idx="133">
                  <c:v>29.1546575342466</c:v>
                </c:pt>
                <c:pt idx="134">
                  <c:v>29.0056164383562</c:v>
                </c:pt>
                <c:pt idx="135">
                  <c:v>28.9980821917808</c:v>
                </c:pt>
                <c:pt idx="136">
                  <c:v>28.7780821917808</c:v>
                </c:pt>
                <c:pt idx="137">
                  <c:v>28.8441095890411</c:v>
                </c:pt>
                <c:pt idx="138">
                  <c:v>28.7517808219178</c:v>
                </c:pt>
                <c:pt idx="139">
                  <c:v>28.3480821917808</c:v>
                </c:pt>
                <c:pt idx="140">
                  <c:v>28.1047945205479</c:v>
                </c:pt>
                <c:pt idx="141">
                  <c:v>28.1713698630137</c:v>
                </c:pt>
                <c:pt idx="142">
                  <c:v>26.6652328767123</c:v>
                </c:pt>
                <c:pt idx="143">
                  <c:v>26.6059726027397</c:v>
                </c:pt>
                <c:pt idx="144">
                  <c:v>26.3917808219178</c:v>
                </c:pt>
                <c:pt idx="145">
                  <c:v>26.2623287671233</c:v>
                </c:pt>
                <c:pt idx="146">
                  <c:v>25.9886301369863</c:v>
                </c:pt>
                <c:pt idx="147">
                  <c:v>25.7059726027397</c:v>
                </c:pt>
                <c:pt idx="148">
                  <c:v>25.6216438356164</c:v>
                </c:pt>
                <c:pt idx="149">
                  <c:v>25.6187671232877</c:v>
                </c:pt>
                <c:pt idx="150">
                  <c:v>25.7017808219178</c:v>
                </c:pt>
                <c:pt idx="151">
                  <c:v>25.5098630136986</c:v>
                </c:pt>
                <c:pt idx="152">
                  <c:v>25.9923287671233</c:v>
                </c:pt>
                <c:pt idx="153">
                  <c:v>26.366301369863</c:v>
                </c:pt>
                <c:pt idx="154">
                  <c:v>27.1619178082192</c:v>
                </c:pt>
                <c:pt idx="155">
                  <c:v>26.7501369863014</c:v>
                </c:pt>
                <c:pt idx="156">
                  <c:v>26.4789863013699</c:v>
                </c:pt>
                <c:pt idx="157">
                  <c:v>26.6901369863014</c:v>
                </c:pt>
                <c:pt idx="158">
                  <c:v>26.5315068493151</c:v>
                </c:pt>
                <c:pt idx="159">
                  <c:v>26.3913698630137</c:v>
                </c:pt>
                <c:pt idx="160">
                  <c:v>26.3621917808219</c:v>
                </c:pt>
                <c:pt idx="161">
                  <c:v>26.2611780821918</c:v>
                </c:pt>
                <c:pt idx="162">
                  <c:v>26.1900821917808</c:v>
                </c:pt>
                <c:pt idx="163">
                  <c:v>25.973095890411</c:v>
                </c:pt>
                <c:pt idx="164">
                  <c:v>25.9795890410959</c:v>
                </c:pt>
                <c:pt idx="165">
                  <c:v>26.2947945205479</c:v>
                </c:pt>
                <c:pt idx="166">
                  <c:v>26.0905479452055</c:v>
                </c:pt>
                <c:pt idx="167">
                  <c:v>26.208904109589</c:v>
                </c:pt>
                <c:pt idx="168">
                  <c:v>35.2436438356164</c:v>
                </c:pt>
                <c:pt idx="169">
                  <c:v>34.5761643835616</c:v>
                </c:pt>
                <c:pt idx="170">
                  <c:v>34.2128767123288</c:v>
                </c:pt>
                <c:pt idx="171">
                  <c:v>34.1154794520548</c:v>
                </c:pt>
                <c:pt idx="172">
                  <c:v>34.0995890410959</c:v>
                </c:pt>
                <c:pt idx="173">
                  <c:v>44.9695890410959</c:v>
                </c:pt>
                <c:pt idx="174">
                  <c:v>42.6741095890411</c:v>
                </c:pt>
                <c:pt idx="175">
                  <c:v>41.6343835616438</c:v>
                </c:pt>
                <c:pt idx="176">
                  <c:v>38.0805479452055</c:v>
                </c:pt>
                <c:pt idx="177">
                  <c:v>38.0805479452055</c:v>
                </c:pt>
                <c:pt idx="178">
                  <c:v>32.3054794520548</c:v>
                </c:pt>
                <c:pt idx="179">
                  <c:v>32.2128767123288</c:v>
                </c:pt>
                <c:pt idx="180">
                  <c:v>32.8632876712329</c:v>
                </c:pt>
                <c:pt idx="181">
                  <c:v>33.3652054794521</c:v>
                </c:pt>
                <c:pt idx="182">
                  <c:v>33.2583561643836</c:v>
                </c:pt>
                <c:pt idx="183">
                  <c:v>33.2430136986301</c:v>
                </c:pt>
                <c:pt idx="184">
                  <c:v>33.8241095890411</c:v>
                </c:pt>
                <c:pt idx="185">
                  <c:v>25.3758904109589</c:v>
                </c:pt>
                <c:pt idx="186">
                  <c:v>25.7630136986301</c:v>
                </c:pt>
                <c:pt idx="187">
                  <c:v>26.8693150684932</c:v>
                </c:pt>
                <c:pt idx="188">
                  <c:v>27.6912328767123</c:v>
                </c:pt>
                <c:pt idx="189">
                  <c:v>18.861095890411</c:v>
                </c:pt>
                <c:pt idx="190">
                  <c:v>19.4649315068493</c:v>
                </c:pt>
                <c:pt idx="191">
                  <c:v>31.8556164383562</c:v>
                </c:pt>
                <c:pt idx="192">
                  <c:v>27.2106849315069</c:v>
                </c:pt>
                <c:pt idx="193">
                  <c:v>27.0972602739726</c:v>
                </c:pt>
                <c:pt idx="194">
                  <c:v>27.0704109589041</c:v>
                </c:pt>
                <c:pt idx="195">
                  <c:v>32.1243835616438</c:v>
                </c:pt>
                <c:pt idx="196">
                  <c:v>31.9558904109589</c:v>
                </c:pt>
                <c:pt idx="197">
                  <c:v>32.1838356164384</c:v>
                </c:pt>
                <c:pt idx="198">
                  <c:v>31.5764383561644</c:v>
                </c:pt>
                <c:pt idx="199">
                  <c:v>31.7224657534247</c:v>
                </c:pt>
                <c:pt idx="200">
                  <c:v>31.7912328767123</c:v>
                </c:pt>
                <c:pt idx="201">
                  <c:v>32.3621917808219</c:v>
                </c:pt>
                <c:pt idx="202">
                  <c:v>29.6168493150685</c:v>
                </c:pt>
                <c:pt idx="203">
                  <c:v>29.716301369863</c:v>
                </c:pt>
                <c:pt idx="204">
                  <c:v>29.6113698630137</c:v>
                </c:pt>
                <c:pt idx="205">
                  <c:v>29.5760273972603</c:v>
                </c:pt>
                <c:pt idx="206">
                  <c:v>31.2558904109589</c:v>
                </c:pt>
                <c:pt idx="207">
                  <c:v>31.1502739726027</c:v>
                </c:pt>
                <c:pt idx="208">
                  <c:v>30.7254794520548</c:v>
                </c:pt>
                <c:pt idx="209">
                  <c:v>27.1432876712329</c:v>
                </c:pt>
                <c:pt idx="210">
                  <c:v>27.2787671232877</c:v>
                </c:pt>
                <c:pt idx="211">
                  <c:v>27.1254794520548</c:v>
                </c:pt>
                <c:pt idx="212">
                  <c:v>27.221095890411</c:v>
                </c:pt>
                <c:pt idx="213">
                  <c:v>26.936301369863</c:v>
                </c:pt>
                <c:pt idx="214">
                  <c:v>29.6443835616438</c:v>
                </c:pt>
                <c:pt idx="215">
                  <c:v>29.5794520547945</c:v>
                </c:pt>
                <c:pt idx="216">
                  <c:v>29.1449315068493</c:v>
                </c:pt>
                <c:pt idx="217">
                  <c:v>29.2619178082192</c:v>
                </c:pt>
                <c:pt idx="218">
                  <c:v>29.0775342465753</c:v>
                </c:pt>
                <c:pt idx="219">
                  <c:v>29.1624657534247</c:v>
                </c:pt>
              </c:numCache>
            </c:numRef>
          </c:val>
          <c:smooth val="0"/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PnL!$W$401:$W$620</c:f>
              <c:numCache>
                <c:formatCode>General</c:formatCode>
                <c:ptCount val="220"/>
                <c:pt idx="0">
                  <c:v>69.7956164383562</c:v>
                </c:pt>
                <c:pt idx="1">
                  <c:v>104.96602739726</c:v>
                </c:pt>
                <c:pt idx="2">
                  <c:v>140.003835616438</c:v>
                </c:pt>
                <c:pt idx="3">
                  <c:v>174.821369863014</c:v>
                </c:pt>
                <c:pt idx="4">
                  <c:v>209.396438356164</c:v>
                </c:pt>
                <c:pt idx="5">
                  <c:v>244.040821917808</c:v>
                </c:pt>
                <c:pt idx="6">
                  <c:v>278.349589041096</c:v>
                </c:pt>
                <c:pt idx="7">
                  <c:v>312.827945205479</c:v>
                </c:pt>
                <c:pt idx="8">
                  <c:v>347.303835616438</c:v>
                </c:pt>
                <c:pt idx="9">
                  <c:v>381.984931506849</c:v>
                </c:pt>
                <c:pt idx="10">
                  <c:v>416.722465753425</c:v>
                </c:pt>
                <c:pt idx="11">
                  <c:v>451.575342465753</c:v>
                </c:pt>
                <c:pt idx="12">
                  <c:v>486.070410958904</c:v>
                </c:pt>
                <c:pt idx="13">
                  <c:v>520.542739726027</c:v>
                </c:pt>
                <c:pt idx="14">
                  <c:v>554.843287671233</c:v>
                </c:pt>
                <c:pt idx="15">
                  <c:v>588.94904109589</c:v>
                </c:pt>
                <c:pt idx="16">
                  <c:v>623.217808219178</c:v>
                </c:pt>
                <c:pt idx="17">
                  <c:v>657.434246575343</c:v>
                </c:pt>
                <c:pt idx="18">
                  <c:v>691.384109589041</c:v>
                </c:pt>
                <c:pt idx="19">
                  <c:v>725.411780821918</c:v>
                </c:pt>
                <c:pt idx="20">
                  <c:v>759.273698630137</c:v>
                </c:pt>
                <c:pt idx="21">
                  <c:v>792.600547945206</c:v>
                </c:pt>
                <c:pt idx="22">
                  <c:v>825.72</c:v>
                </c:pt>
                <c:pt idx="23">
                  <c:v>858.946301369863</c:v>
                </c:pt>
                <c:pt idx="24">
                  <c:v>891.943287671233</c:v>
                </c:pt>
                <c:pt idx="25">
                  <c:v>924.720821917808</c:v>
                </c:pt>
                <c:pt idx="26">
                  <c:v>957.455068493151</c:v>
                </c:pt>
                <c:pt idx="27">
                  <c:v>990.958356164384</c:v>
                </c:pt>
                <c:pt idx="28">
                  <c:v>1023.96931506849</c:v>
                </c:pt>
                <c:pt idx="29">
                  <c:v>1057.12904109589</c:v>
                </c:pt>
                <c:pt idx="30">
                  <c:v>1090.24657534247</c:v>
                </c:pt>
                <c:pt idx="31">
                  <c:v>1123.44109589041</c:v>
                </c:pt>
                <c:pt idx="32">
                  <c:v>1156.61205479452</c:v>
                </c:pt>
                <c:pt idx="33">
                  <c:v>1189.43123287671</c:v>
                </c:pt>
                <c:pt idx="34">
                  <c:v>1222.20219178082</c:v>
                </c:pt>
                <c:pt idx="35">
                  <c:v>1254.76493150685</c:v>
                </c:pt>
                <c:pt idx="36">
                  <c:v>1287.31753424658</c:v>
                </c:pt>
                <c:pt idx="37">
                  <c:v>1319.5</c:v>
                </c:pt>
                <c:pt idx="38">
                  <c:v>1351.74109589041</c:v>
                </c:pt>
                <c:pt idx="39">
                  <c:v>1383.54</c:v>
                </c:pt>
                <c:pt idx="40">
                  <c:v>1415.24465753425</c:v>
                </c:pt>
                <c:pt idx="41">
                  <c:v>1447.44438356164</c:v>
                </c:pt>
                <c:pt idx="42">
                  <c:v>1479.40767123288</c:v>
                </c:pt>
                <c:pt idx="43">
                  <c:v>1511.10684931507</c:v>
                </c:pt>
                <c:pt idx="44">
                  <c:v>1542.04493150685</c:v>
                </c:pt>
                <c:pt idx="45">
                  <c:v>1573.21753424658</c:v>
                </c:pt>
                <c:pt idx="46">
                  <c:v>1604.49506849315</c:v>
                </c:pt>
                <c:pt idx="47">
                  <c:v>1636.14054794521</c:v>
                </c:pt>
                <c:pt idx="48">
                  <c:v>1668.41424657534</c:v>
                </c:pt>
                <c:pt idx="49">
                  <c:v>1700.50712328767</c:v>
                </c:pt>
                <c:pt idx="50">
                  <c:v>1737.72849315068</c:v>
                </c:pt>
                <c:pt idx="51">
                  <c:v>1774.62575342466</c:v>
                </c:pt>
                <c:pt idx="52">
                  <c:v>1811.02849315068</c:v>
                </c:pt>
                <c:pt idx="53">
                  <c:v>1847.18191780822</c:v>
                </c:pt>
                <c:pt idx="54">
                  <c:v>1883.55260273973</c:v>
                </c:pt>
                <c:pt idx="55">
                  <c:v>1919.72082191781</c:v>
                </c:pt>
                <c:pt idx="56">
                  <c:v>1950.0501369863</c:v>
                </c:pt>
                <c:pt idx="57">
                  <c:v>1980.57616438356</c:v>
                </c:pt>
                <c:pt idx="58">
                  <c:v>2017.23095890411</c:v>
                </c:pt>
                <c:pt idx="59">
                  <c:v>2053.34301369863</c:v>
                </c:pt>
                <c:pt idx="60">
                  <c:v>2089.63479452055</c:v>
                </c:pt>
                <c:pt idx="61">
                  <c:v>2125.68109589041</c:v>
                </c:pt>
                <c:pt idx="62">
                  <c:v>2162.05945205479</c:v>
                </c:pt>
                <c:pt idx="63">
                  <c:v>2198.17260273973</c:v>
                </c:pt>
                <c:pt idx="64">
                  <c:v>2234.15287671233</c:v>
                </c:pt>
                <c:pt idx="65">
                  <c:v>2270.25342465753</c:v>
                </c:pt>
                <c:pt idx="66">
                  <c:v>2306.06301369863</c:v>
                </c:pt>
                <c:pt idx="67">
                  <c:v>2341.74301369863</c:v>
                </c:pt>
                <c:pt idx="68">
                  <c:v>2377.64712328767</c:v>
                </c:pt>
                <c:pt idx="69">
                  <c:v>2413.42054794521</c:v>
                </c:pt>
                <c:pt idx="70">
                  <c:v>2448.96575342466</c:v>
                </c:pt>
                <c:pt idx="71">
                  <c:v>2484.58712328767</c:v>
                </c:pt>
                <c:pt idx="72">
                  <c:v>2520.19589041096</c:v>
                </c:pt>
                <c:pt idx="73">
                  <c:v>2561.30931506849</c:v>
                </c:pt>
                <c:pt idx="74">
                  <c:v>2598.76191780822</c:v>
                </c:pt>
                <c:pt idx="75">
                  <c:v>2636.15465753425</c:v>
                </c:pt>
                <c:pt idx="76">
                  <c:v>2667.2898630137</c:v>
                </c:pt>
                <c:pt idx="77">
                  <c:v>2698.16315068493</c:v>
                </c:pt>
                <c:pt idx="78">
                  <c:v>2726.19547945205</c:v>
                </c:pt>
                <c:pt idx="79">
                  <c:v>2753.77410958904</c:v>
                </c:pt>
                <c:pt idx="80">
                  <c:v>2782.12068493151</c:v>
                </c:pt>
                <c:pt idx="81">
                  <c:v>2814.35287671233</c:v>
                </c:pt>
                <c:pt idx="82">
                  <c:v>2847.20369863014</c:v>
                </c:pt>
                <c:pt idx="83">
                  <c:v>2885.59465753425</c:v>
                </c:pt>
                <c:pt idx="84">
                  <c:v>2923.89095890411</c:v>
                </c:pt>
                <c:pt idx="85">
                  <c:v>2961.83849315068</c:v>
                </c:pt>
                <c:pt idx="86">
                  <c:v>2999.90287671233</c:v>
                </c:pt>
                <c:pt idx="87">
                  <c:v>3038.34808219178</c:v>
                </c:pt>
                <c:pt idx="88">
                  <c:v>3076.73273972603</c:v>
                </c:pt>
                <c:pt idx="89">
                  <c:v>3115.51219178082</c:v>
                </c:pt>
                <c:pt idx="90">
                  <c:v>3153.3005479452</c:v>
                </c:pt>
                <c:pt idx="91">
                  <c:v>3190.94534246575</c:v>
                </c:pt>
                <c:pt idx="92">
                  <c:v>3228.68849315068</c:v>
                </c:pt>
                <c:pt idx="93">
                  <c:v>3266.65684931507</c:v>
                </c:pt>
                <c:pt idx="94">
                  <c:v>3304.4498630137</c:v>
                </c:pt>
                <c:pt idx="95">
                  <c:v>3342.32753424657</c:v>
                </c:pt>
                <c:pt idx="96">
                  <c:v>3380.26136986301</c:v>
                </c:pt>
                <c:pt idx="97">
                  <c:v>3418.07643835616</c:v>
                </c:pt>
                <c:pt idx="98">
                  <c:v>3455.77191780822</c:v>
                </c:pt>
                <c:pt idx="99">
                  <c:v>3493.65698630137</c:v>
                </c:pt>
                <c:pt idx="100">
                  <c:v>3531.57178082192</c:v>
                </c:pt>
                <c:pt idx="101">
                  <c:v>3569.32630136986</c:v>
                </c:pt>
                <c:pt idx="102">
                  <c:v>3603.81835616438</c:v>
                </c:pt>
                <c:pt idx="103">
                  <c:v>3638.34424657534</c:v>
                </c:pt>
                <c:pt idx="104">
                  <c:v>3672.90835616438</c:v>
                </c:pt>
                <c:pt idx="105">
                  <c:v>3707.31109589041</c:v>
                </c:pt>
                <c:pt idx="106">
                  <c:v>3741.72</c:v>
                </c:pt>
                <c:pt idx="107">
                  <c:v>3775.9498630137</c:v>
                </c:pt>
                <c:pt idx="108">
                  <c:v>3805.73506849315</c:v>
                </c:pt>
                <c:pt idx="109">
                  <c:v>3835.51452054794</c:v>
                </c:pt>
                <c:pt idx="110">
                  <c:v>3865.22657534246</c:v>
                </c:pt>
                <c:pt idx="111">
                  <c:v>3894.99630136986</c:v>
                </c:pt>
                <c:pt idx="112">
                  <c:v>3924.74136986301</c:v>
                </c:pt>
                <c:pt idx="113">
                  <c:v>3954.35671232877</c:v>
                </c:pt>
                <c:pt idx="114">
                  <c:v>3984.0605479452</c:v>
                </c:pt>
                <c:pt idx="115">
                  <c:v>4013.63671232877</c:v>
                </c:pt>
                <c:pt idx="116">
                  <c:v>4042.88328767123</c:v>
                </c:pt>
                <c:pt idx="117">
                  <c:v>4072.16780821918</c:v>
                </c:pt>
                <c:pt idx="118">
                  <c:v>4101.59931506849</c:v>
                </c:pt>
                <c:pt idx="119">
                  <c:v>4130.84452054794</c:v>
                </c:pt>
                <c:pt idx="120">
                  <c:v>4159.95150684931</c:v>
                </c:pt>
                <c:pt idx="121">
                  <c:v>4188.86095890411</c:v>
                </c:pt>
                <c:pt idx="122">
                  <c:v>4217.5101369863</c:v>
                </c:pt>
                <c:pt idx="123">
                  <c:v>4246.1605479452</c:v>
                </c:pt>
                <c:pt idx="124">
                  <c:v>4275.39890410959</c:v>
                </c:pt>
                <c:pt idx="125">
                  <c:v>4304.3097260274</c:v>
                </c:pt>
                <c:pt idx="126">
                  <c:v>4333.01520547945</c:v>
                </c:pt>
                <c:pt idx="127">
                  <c:v>4361.8604109589</c:v>
                </c:pt>
                <c:pt idx="128">
                  <c:v>4391.08808219178</c:v>
                </c:pt>
                <c:pt idx="129">
                  <c:v>4420.67698630137</c:v>
                </c:pt>
                <c:pt idx="130">
                  <c:v>4449.93109589041</c:v>
                </c:pt>
                <c:pt idx="131">
                  <c:v>4479.24273972603</c:v>
                </c:pt>
                <c:pt idx="132">
                  <c:v>4508.46917808219</c:v>
                </c:pt>
                <c:pt idx="133">
                  <c:v>4537.62383561644</c:v>
                </c:pt>
                <c:pt idx="134">
                  <c:v>4566.62945205479</c:v>
                </c:pt>
                <c:pt idx="135">
                  <c:v>4595.62753424657</c:v>
                </c:pt>
                <c:pt idx="136">
                  <c:v>4624.40561643835</c:v>
                </c:pt>
                <c:pt idx="137">
                  <c:v>4653.24972602739</c:v>
                </c:pt>
                <c:pt idx="138">
                  <c:v>4682.00150684931</c:v>
                </c:pt>
                <c:pt idx="139">
                  <c:v>4710.34958904109</c:v>
                </c:pt>
                <c:pt idx="140">
                  <c:v>4738.45438356164</c:v>
                </c:pt>
                <c:pt idx="141">
                  <c:v>4766.62575342466</c:v>
                </c:pt>
                <c:pt idx="142">
                  <c:v>4793.29098630137</c:v>
                </c:pt>
                <c:pt idx="143">
                  <c:v>4819.89695890411</c:v>
                </c:pt>
                <c:pt idx="144">
                  <c:v>4846.28873972602</c:v>
                </c:pt>
                <c:pt idx="145">
                  <c:v>4872.55106849315</c:v>
                </c:pt>
                <c:pt idx="146">
                  <c:v>4898.53969863013</c:v>
                </c:pt>
                <c:pt idx="147">
                  <c:v>4924.24567123287</c:v>
                </c:pt>
                <c:pt idx="148">
                  <c:v>4949.86731506849</c:v>
                </c:pt>
                <c:pt idx="149">
                  <c:v>4975.48608219178</c:v>
                </c:pt>
                <c:pt idx="150">
                  <c:v>5001.1878630137</c:v>
                </c:pt>
                <c:pt idx="151">
                  <c:v>5026.6977260274</c:v>
                </c:pt>
                <c:pt idx="152">
                  <c:v>5052.69005479452</c:v>
                </c:pt>
                <c:pt idx="153">
                  <c:v>5079.05635616438</c:v>
                </c:pt>
                <c:pt idx="154">
                  <c:v>5106.2182739726</c:v>
                </c:pt>
                <c:pt idx="155">
                  <c:v>5132.9684109589</c:v>
                </c:pt>
                <c:pt idx="156">
                  <c:v>5159.44739726027</c:v>
                </c:pt>
                <c:pt idx="157">
                  <c:v>5186.13753424657</c:v>
                </c:pt>
                <c:pt idx="158">
                  <c:v>5212.66904109589</c:v>
                </c:pt>
                <c:pt idx="159">
                  <c:v>5239.0604109589</c:v>
                </c:pt>
                <c:pt idx="160">
                  <c:v>5265.42260273973</c:v>
                </c:pt>
                <c:pt idx="161">
                  <c:v>5291.68378082192</c:v>
                </c:pt>
                <c:pt idx="162">
                  <c:v>5317.8738630137</c:v>
                </c:pt>
                <c:pt idx="163">
                  <c:v>5343.84695890411</c:v>
                </c:pt>
                <c:pt idx="164">
                  <c:v>5369.8265479452</c:v>
                </c:pt>
                <c:pt idx="165">
                  <c:v>5396.12134246575</c:v>
                </c:pt>
                <c:pt idx="166">
                  <c:v>5422.21189041096</c:v>
                </c:pt>
                <c:pt idx="167">
                  <c:v>5448.42079452055</c:v>
                </c:pt>
                <c:pt idx="168">
                  <c:v>5483.66443835616</c:v>
                </c:pt>
                <c:pt idx="169">
                  <c:v>5518.24060273972</c:v>
                </c:pt>
                <c:pt idx="170">
                  <c:v>5552.45347945205</c:v>
                </c:pt>
                <c:pt idx="171">
                  <c:v>5586.56895890411</c:v>
                </c:pt>
                <c:pt idx="172">
                  <c:v>5620.6685479452</c:v>
                </c:pt>
                <c:pt idx="173">
                  <c:v>5665.6381369863</c:v>
                </c:pt>
                <c:pt idx="174">
                  <c:v>5708.31224657534</c:v>
                </c:pt>
                <c:pt idx="175">
                  <c:v>5749.94663013698</c:v>
                </c:pt>
                <c:pt idx="176">
                  <c:v>5788.02717808219</c:v>
                </c:pt>
                <c:pt idx="177">
                  <c:v>5826.1077260274</c:v>
                </c:pt>
                <c:pt idx="178">
                  <c:v>5858.41320547945</c:v>
                </c:pt>
                <c:pt idx="179">
                  <c:v>5890.62608219178</c:v>
                </c:pt>
                <c:pt idx="180">
                  <c:v>5923.48936986301</c:v>
                </c:pt>
                <c:pt idx="181">
                  <c:v>5956.85457534246</c:v>
                </c:pt>
                <c:pt idx="182">
                  <c:v>5990.11293150685</c:v>
                </c:pt>
                <c:pt idx="183">
                  <c:v>6023.35594520548</c:v>
                </c:pt>
                <c:pt idx="184">
                  <c:v>6057.18005479452</c:v>
                </c:pt>
                <c:pt idx="185">
                  <c:v>6082.55594520548</c:v>
                </c:pt>
                <c:pt idx="186">
                  <c:v>6108.31895890411</c:v>
                </c:pt>
                <c:pt idx="187">
                  <c:v>6135.1882739726</c:v>
                </c:pt>
                <c:pt idx="188">
                  <c:v>6162.87950684931</c:v>
                </c:pt>
                <c:pt idx="189">
                  <c:v>6181.74060273972</c:v>
                </c:pt>
                <c:pt idx="190">
                  <c:v>6201.20553424657</c:v>
                </c:pt>
                <c:pt idx="191">
                  <c:v>6233.06115068493</c:v>
                </c:pt>
                <c:pt idx="192">
                  <c:v>6260.27183561644</c:v>
                </c:pt>
                <c:pt idx="193">
                  <c:v>6287.36909589041</c:v>
                </c:pt>
                <c:pt idx="194">
                  <c:v>6314.43950684931</c:v>
                </c:pt>
                <c:pt idx="195">
                  <c:v>6346.56389041096</c:v>
                </c:pt>
                <c:pt idx="196">
                  <c:v>6378.51978082192</c:v>
                </c:pt>
                <c:pt idx="197">
                  <c:v>6410.70361643835</c:v>
                </c:pt>
                <c:pt idx="198">
                  <c:v>6442.28005479452</c:v>
                </c:pt>
                <c:pt idx="199">
                  <c:v>6474.00252054794</c:v>
                </c:pt>
                <c:pt idx="200">
                  <c:v>6505.79375342465</c:v>
                </c:pt>
                <c:pt idx="201">
                  <c:v>6538.15594520548</c:v>
                </c:pt>
                <c:pt idx="202">
                  <c:v>6567.77279452055</c:v>
                </c:pt>
                <c:pt idx="203">
                  <c:v>6597.48909589041</c:v>
                </c:pt>
                <c:pt idx="204">
                  <c:v>6627.10046575342</c:v>
                </c:pt>
                <c:pt idx="205">
                  <c:v>6656.67649315068</c:v>
                </c:pt>
                <c:pt idx="206">
                  <c:v>6687.93238356164</c:v>
                </c:pt>
                <c:pt idx="207">
                  <c:v>6719.08265753424</c:v>
                </c:pt>
                <c:pt idx="208">
                  <c:v>6749.8081369863</c:v>
                </c:pt>
                <c:pt idx="209">
                  <c:v>6776.95142465753</c:v>
                </c:pt>
                <c:pt idx="210">
                  <c:v>6804.23019178082</c:v>
                </c:pt>
                <c:pt idx="211">
                  <c:v>6831.35567123287</c:v>
                </c:pt>
                <c:pt idx="212">
                  <c:v>6858.57676712328</c:v>
                </c:pt>
                <c:pt idx="213">
                  <c:v>6885.51306849315</c:v>
                </c:pt>
                <c:pt idx="214">
                  <c:v>6915.15745205479</c:v>
                </c:pt>
                <c:pt idx="215">
                  <c:v>6944.73690410958</c:v>
                </c:pt>
                <c:pt idx="216">
                  <c:v>6973.88183561643</c:v>
                </c:pt>
                <c:pt idx="217">
                  <c:v>7003.14375342465</c:v>
                </c:pt>
                <c:pt idx="218">
                  <c:v>7032.22128767123</c:v>
                </c:pt>
                <c:pt idx="219">
                  <c:v>7061.38375342465</c:v>
                </c:pt>
              </c:numCache>
            </c:numRef>
          </c:val>
          <c:smooth val="0"/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PnL!$A$401:$A$620</c:f>
              <c:numCache>
                <c:formatCode>yyyy\-mm\-dd</c:formatCode>
                <c:ptCount val="220"/>
                <c:pt idx="0" c:formatCode="yyyy\-mm\-dd">
                  <c:v>45293</c:v>
                </c:pt>
                <c:pt idx="1" c:formatCode="yyyy\-mm\-dd">
                  <c:v>45294</c:v>
                </c:pt>
                <c:pt idx="2" c:formatCode="yyyy\-mm\-dd">
                  <c:v>45295</c:v>
                </c:pt>
                <c:pt idx="3" c:formatCode="yyyy\-mm\-dd">
                  <c:v>45296</c:v>
                </c:pt>
                <c:pt idx="4" c:formatCode="yyyy\-mm\-dd">
                  <c:v>45299</c:v>
                </c:pt>
                <c:pt idx="5" c:formatCode="yyyy\-mm\-dd">
                  <c:v>45300</c:v>
                </c:pt>
                <c:pt idx="6" c:formatCode="yyyy\-mm\-dd">
                  <c:v>45301</c:v>
                </c:pt>
                <c:pt idx="7" c:formatCode="yyyy\-mm\-dd">
                  <c:v>45302</c:v>
                </c:pt>
                <c:pt idx="8" c:formatCode="yyyy\-mm\-dd">
                  <c:v>45303</c:v>
                </c:pt>
                <c:pt idx="9" c:formatCode="yyyy\-mm\-dd">
                  <c:v>45306</c:v>
                </c:pt>
                <c:pt idx="10" c:formatCode="yyyy\-mm\-dd">
                  <c:v>45307</c:v>
                </c:pt>
                <c:pt idx="11" c:formatCode="yyyy\-mm\-dd">
                  <c:v>45308</c:v>
                </c:pt>
                <c:pt idx="12" c:formatCode="yyyy\-mm\-dd">
                  <c:v>45309</c:v>
                </c:pt>
                <c:pt idx="13" c:formatCode="yyyy\-mm\-dd">
                  <c:v>45310</c:v>
                </c:pt>
                <c:pt idx="14" c:formatCode="yyyy\-mm\-dd">
                  <c:v>45313</c:v>
                </c:pt>
                <c:pt idx="15" c:formatCode="yyyy\-mm\-dd">
                  <c:v>45314</c:v>
                </c:pt>
                <c:pt idx="16" c:formatCode="yyyy\-mm\-dd">
                  <c:v>45315</c:v>
                </c:pt>
                <c:pt idx="17" c:formatCode="yyyy\-mm\-dd">
                  <c:v>45316</c:v>
                </c:pt>
                <c:pt idx="18" c:formatCode="yyyy\-mm\-dd">
                  <c:v>45317</c:v>
                </c:pt>
                <c:pt idx="19" c:formatCode="yyyy\-mm\-dd">
                  <c:v>45320</c:v>
                </c:pt>
                <c:pt idx="20" c:formatCode="yyyy\-mm\-dd">
                  <c:v>45321</c:v>
                </c:pt>
                <c:pt idx="21" c:formatCode="yyyy\-mm\-dd">
                  <c:v>45322</c:v>
                </c:pt>
                <c:pt idx="22" c:formatCode="yyyy\-mm\-dd">
                  <c:v>45323</c:v>
                </c:pt>
                <c:pt idx="23" c:formatCode="yyyy\-mm\-dd">
                  <c:v>45324</c:v>
                </c:pt>
                <c:pt idx="24" c:formatCode="yyyy\-mm\-dd">
                  <c:v>45326</c:v>
                </c:pt>
                <c:pt idx="25" c:formatCode="yyyy\-mm\-dd">
                  <c:v>45327</c:v>
                </c:pt>
                <c:pt idx="26" c:formatCode="yyyy\-mm\-dd">
                  <c:v>45328</c:v>
                </c:pt>
                <c:pt idx="27" c:formatCode="yyyy\-mm\-dd">
                  <c:v>45329</c:v>
                </c:pt>
                <c:pt idx="28" c:formatCode="yyyy\-mm\-dd">
                  <c:v>45330</c:v>
                </c:pt>
                <c:pt idx="29" c:formatCode="yyyy\-mm\-dd">
                  <c:v>45331</c:v>
                </c:pt>
                <c:pt idx="30" c:formatCode="yyyy\-mm\-dd">
                  <c:v>45340</c:v>
                </c:pt>
                <c:pt idx="31" c:formatCode="yyyy\-mm\-dd">
                  <c:v>45341</c:v>
                </c:pt>
                <c:pt idx="32" c:formatCode="yyyy\-mm\-dd">
                  <c:v>45342</c:v>
                </c:pt>
                <c:pt idx="33" c:formatCode="yyyy\-mm\-dd">
                  <c:v>45343</c:v>
                </c:pt>
                <c:pt idx="34" c:formatCode="yyyy\-mm\-dd">
                  <c:v>45344</c:v>
                </c:pt>
                <c:pt idx="35" c:formatCode="yyyy\-mm\-dd">
                  <c:v>45345</c:v>
                </c:pt>
                <c:pt idx="36" c:formatCode="yyyy\-mm\-dd">
                  <c:v>45348</c:v>
                </c:pt>
                <c:pt idx="37" c:formatCode="yyyy\-mm\-dd">
                  <c:v>45349</c:v>
                </c:pt>
                <c:pt idx="38" c:formatCode="yyyy\-mm\-dd">
                  <c:v>45350</c:v>
                </c:pt>
                <c:pt idx="39" c:formatCode="yyyy\-mm\-dd">
                  <c:v>45351</c:v>
                </c:pt>
                <c:pt idx="40" c:formatCode="yyyy\-mm\-dd">
                  <c:v>45352</c:v>
                </c:pt>
                <c:pt idx="41" c:formatCode="yyyy\-mm\-dd">
                  <c:v>45355</c:v>
                </c:pt>
                <c:pt idx="42" c:formatCode="yyyy\-mm\-dd">
                  <c:v>45356</c:v>
                </c:pt>
                <c:pt idx="43" c:formatCode="yyyy\-mm\-dd">
                  <c:v>45357</c:v>
                </c:pt>
                <c:pt idx="44" c:formatCode="yyyy\-mm\-dd">
                  <c:v>45358</c:v>
                </c:pt>
                <c:pt idx="45" c:formatCode="yyyy\-mm\-dd">
                  <c:v>45359</c:v>
                </c:pt>
                <c:pt idx="46" c:formatCode="yyyy\-mm\-dd">
                  <c:v>45362</c:v>
                </c:pt>
                <c:pt idx="47" c:formatCode="yyyy\-mm\-dd">
                  <c:v>45363</c:v>
                </c:pt>
                <c:pt idx="48" c:formatCode="yyyy\-mm\-dd">
                  <c:v>45364</c:v>
                </c:pt>
                <c:pt idx="49" c:formatCode="yyyy\-mm\-dd">
                  <c:v>45365</c:v>
                </c:pt>
                <c:pt idx="50" c:formatCode="yyyy\-mm\-dd">
                  <c:v>45366</c:v>
                </c:pt>
                <c:pt idx="51" c:formatCode="yyyy\-mm\-dd">
                  <c:v>45369</c:v>
                </c:pt>
                <c:pt idx="52" c:formatCode="yyyy\-mm\-dd">
                  <c:v>45370</c:v>
                </c:pt>
                <c:pt idx="53" c:formatCode="yyyy\-mm\-dd">
                  <c:v>45371</c:v>
                </c:pt>
                <c:pt idx="54" c:formatCode="yyyy\-mm\-dd">
                  <c:v>45372</c:v>
                </c:pt>
                <c:pt idx="55" c:formatCode="yyyy\-mm\-dd">
                  <c:v>45373</c:v>
                </c:pt>
                <c:pt idx="56" c:formatCode="yyyy\-mm\-dd">
                  <c:v>45376</c:v>
                </c:pt>
                <c:pt idx="57" c:formatCode="yyyy\-mm\-dd">
                  <c:v>45377</c:v>
                </c:pt>
                <c:pt idx="58" c:formatCode="yyyy\-mm\-dd">
                  <c:v>45378</c:v>
                </c:pt>
                <c:pt idx="59" c:formatCode="yyyy\-mm\-dd">
                  <c:v>45379</c:v>
                </c:pt>
                <c:pt idx="60" c:formatCode="yyyy\-mm\-dd">
                  <c:v>45380</c:v>
                </c:pt>
                <c:pt idx="61" c:formatCode="yyyy\-mm\-dd">
                  <c:v>45383</c:v>
                </c:pt>
                <c:pt idx="62" c:formatCode="yyyy\-mm\-dd">
                  <c:v>45384</c:v>
                </c:pt>
                <c:pt idx="63" c:formatCode="yyyy\-mm\-dd">
                  <c:v>45385</c:v>
                </c:pt>
                <c:pt idx="64" c:formatCode="yyyy\-mm\-dd">
                  <c:v>45389</c:v>
                </c:pt>
                <c:pt idx="65" c:formatCode="yyyy\-mm\-dd">
                  <c:v>45390</c:v>
                </c:pt>
                <c:pt idx="66" c:formatCode="yyyy\-mm\-dd">
                  <c:v>45391</c:v>
                </c:pt>
                <c:pt idx="67" c:formatCode="yyyy\-mm\-dd">
                  <c:v>45392</c:v>
                </c:pt>
                <c:pt idx="68" c:formatCode="yyyy\-mm\-dd">
                  <c:v>45393</c:v>
                </c:pt>
                <c:pt idx="69" c:formatCode="yyyy\-mm\-dd">
                  <c:v>45394</c:v>
                </c:pt>
                <c:pt idx="70" c:formatCode="yyyy\-mm\-dd">
                  <c:v>45397</c:v>
                </c:pt>
                <c:pt idx="71" c:formatCode="yyyy\-mm\-dd">
                  <c:v>45398</c:v>
                </c:pt>
                <c:pt idx="72" c:formatCode="yyyy\-mm\-dd">
                  <c:v>45399</c:v>
                </c:pt>
                <c:pt idx="73" c:formatCode="yyyy\-mm\-dd">
                  <c:v>45400</c:v>
                </c:pt>
                <c:pt idx="74" c:formatCode="yyyy\-mm\-dd">
                  <c:v>45401</c:v>
                </c:pt>
                <c:pt idx="75" c:formatCode="yyyy\-mm\-dd">
                  <c:v>45404</c:v>
                </c:pt>
                <c:pt idx="76" c:formatCode="yyyy\-mm\-dd">
                  <c:v>45405</c:v>
                </c:pt>
                <c:pt idx="77" c:formatCode="yyyy\-mm\-dd">
                  <c:v>45406</c:v>
                </c:pt>
                <c:pt idx="78" c:formatCode="yyyy\-mm\-dd">
                  <c:v>45407</c:v>
                </c:pt>
                <c:pt idx="79" c:formatCode="yyyy\-mm\-dd">
                  <c:v>45408</c:v>
                </c:pt>
                <c:pt idx="80" c:formatCode="yyyy\-mm\-dd">
                  <c:v>45410</c:v>
                </c:pt>
                <c:pt idx="81" c:formatCode="yyyy\-mm\-dd">
                  <c:v>45411</c:v>
                </c:pt>
                <c:pt idx="82" c:formatCode="yyyy\-mm\-dd">
                  <c:v>45412</c:v>
                </c:pt>
                <c:pt idx="83" c:formatCode="yyyy\-mm\-dd">
                  <c:v>45418</c:v>
                </c:pt>
                <c:pt idx="84" c:formatCode="yyyy\-mm\-dd">
                  <c:v>45419</c:v>
                </c:pt>
                <c:pt idx="85" c:formatCode="yyyy\-mm\-dd">
                  <c:v>45420</c:v>
                </c:pt>
                <c:pt idx="86" c:formatCode="yyyy\-mm\-dd">
                  <c:v>45421</c:v>
                </c:pt>
                <c:pt idx="87" c:formatCode="yyyy\-mm\-dd">
                  <c:v>45422</c:v>
                </c:pt>
                <c:pt idx="88" c:formatCode="yyyy\-mm\-dd">
                  <c:v>45423</c:v>
                </c:pt>
                <c:pt idx="89" c:formatCode="yyyy\-mm\-dd">
                  <c:v>45425</c:v>
                </c:pt>
                <c:pt idx="90" c:formatCode="yyyy\-mm\-dd">
                  <c:v>45426</c:v>
                </c:pt>
                <c:pt idx="91" c:formatCode="yyyy\-mm\-dd">
                  <c:v>45427</c:v>
                </c:pt>
                <c:pt idx="92" c:formatCode="yyyy\-mm\-dd">
                  <c:v>45428</c:v>
                </c:pt>
                <c:pt idx="93" c:formatCode="yyyy\-mm\-dd">
                  <c:v>45429</c:v>
                </c:pt>
                <c:pt idx="94" c:formatCode="yyyy\-mm\-dd">
                  <c:v>45432</c:v>
                </c:pt>
                <c:pt idx="95" c:formatCode="yyyy\-mm\-dd">
                  <c:v>45433</c:v>
                </c:pt>
                <c:pt idx="96" c:formatCode="yyyy\-mm\-dd">
                  <c:v>45434</c:v>
                </c:pt>
                <c:pt idx="97" c:formatCode="yyyy\-mm\-dd">
                  <c:v>45435</c:v>
                </c:pt>
                <c:pt idx="98" c:formatCode="yyyy\-mm\-dd">
                  <c:v>45436</c:v>
                </c:pt>
                <c:pt idx="99" c:formatCode="yyyy\-mm\-dd">
                  <c:v>45439</c:v>
                </c:pt>
                <c:pt idx="100" c:formatCode="yyyy\-mm\-dd">
                  <c:v>45440</c:v>
                </c:pt>
                <c:pt idx="101" c:formatCode="yyyy\-mm\-dd">
                  <c:v>45441</c:v>
                </c:pt>
                <c:pt idx="102" c:formatCode="yyyy\-mm\-dd">
                  <c:v>45442</c:v>
                </c:pt>
                <c:pt idx="103" c:formatCode="yyyy\-mm\-dd">
                  <c:v>45443</c:v>
                </c:pt>
                <c:pt idx="104" c:formatCode="yyyy\-mm\-dd">
                  <c:v>45446</c:v>
                </c:pt>
                <c:pt idx="105" c:formatCode="yyyy\-mm\-dd">
                  <c:v>45447</c:v>
                </c:pt>
                <c:pt idx="106" c:formatCode="yyyy\-mm\-dd">
                  <c:v>45448</c:v>
                </c:pt>
                <c:pt idx="107" c:formatCode="yyyy\-mm\-dd">
                  <c:v>45449</c:v>
                </c:pt>
                <c:pt idx="108" c:formatCode="yyyy\-mm\-dd">
                  <c:v>45450</c:v>
                </c:pt>
                <c:pt idx="109" c:formatCode="yyyy\-mm\-dd">
                  <c:v>45454</c:v>
                </c:pt>
                <c:pt idx="110" c:formatCode="yyyy\-mm\-dd">
                  <c:v>45455</c:v>
                </c:pt>
                <c:pt idx="111" c:formatCode="yyyy\-mm\-dd">
                  <c:v>45456</c:v>
                </c:pt>
                <c:pt idx="112" c:formatCode="yyyy\-mm\-dd">
                  <c:v>45457</c:v>
                </c:pt>
                <c:pt idx="113" c:formatCode="yyyy\-mm\-dd">
                  <c:v>45460</c:v>
                </c:pt>
                <c:pt idx="114" c:formatCode="yyyy\-mm\-dd">
                  <c:v>45461</c:v>
                </c:pt>
                <c:pt idx="115" c:formatCode="yyyy\-mm\-dd">
                  <c:v>45462</c:v>
                </c:pt>
                <c:pt idx="116" c:formatCode="yyyy\-mm\-dd">
                  <c:v>45463</c:v>
                </c:pt>
                <c:pt idx="117" c:formatCode="yyyy\-mm\-dd">
                  <c:v>45464</c:v>
                </c:pt>
                <c:pt idx="118" c:formatCode="yyyy\-mm\-dd">
                  <c:v>45467</c:v>
                </c:pt>
                <c:pt idx="119" c:formatCode="yyyy\-mm\-dd">
                  <c:v>45468</c:v>
                </c:pt>
                <c:pt idx="120" c:formatCode="yyyy\-mm\-dd">
                  <c:v>45469</c:v>
                </c:pt>
                <c:pt idx="121" c:formatCode="yyyy\-mm\-dd">
                  <c:v>45470</c:v>
                </c:pt>
                <c:pt idx="122" c:formatCode="yyyy\-mm\-dd">
                  <c:v>45471</c:v>
                </c:pt>
                <c:pt idx="123" c:formatCode="yyyy\-mm\-dd">
                  <c:v>45474</c:v>
                </c:pt>
                <c:pt idx="124" c:formatCode="yyyy\-mm\-dd">
                  <c:v>45475</c:v>
                </c:pt>
                <c:pt idx="125" c:formatCode="yyyy\-mm\-dd">
                  <c:v>45476</c:v>
                </c:pt>
                <c:pt idx="126" c:formatCode="yyyy\-mm\-dd">
                  <c:v>45477</c:v>
                </c:pt>
                <c:pt idx="127" c:formatCode="yyyy\-mm\-dd">
                  <c:v>45478</c:v>
                </c:pt>
                <c:pt idx="128" c:formatCode="yyyy\-mm\-dd">
                  <c:v>45481</c:v>
                </c:pt>
                <c:pt idx="129" c:formatCode="yyyy\-mm\-dd">
                  <c:v>45482</c:v>
                </c:pt>
                <c:pt idx="130" c:formatCode="yyyy\-mm\-dd">
                  <c:v>45483</c:v>
                </c:pt>
                <c:pt idx="131" c:formatCode="yyyy\-mm\-dd">
                  <c:v>45484</c:v>
                </c:pt>
                <c:pt idx="132" c:formatCode="yyyy\-mm\-dd">
                  <c:v>45485</c:v>
                </c:pt>
                <c:pt idx="133" c:formatCode="yyyy\-mm\-dd">
                  <c:v>45488</c:v>
                </c:pt>
                <c:pt idx="134" c:formatCode="yyyy\-mm\-dd">
                  <c:v>45489</c:v>
                </c:pt>
                <c:pt idx="135" c:formatCode="yyyy\-mm\-dd">
                  <c:v>45490</c:v>
                </c:pt>
                <c:pt idx="136" c:formatCode="yyyy\-mm\-dd">
                  <c:v>45491</c:v>
                </c:pt>
                <c:pt idx="137" c:formatCode="yyyy\-mm\-dd">
                  <c:v>45492</c:v>
                </c:pt>
                <c:pt idx="138" c:formatCode="yyyy\-mm\-dd">
                  <c:v>45495</c:v>
                </c:pt>
                <c:pt idx="139" c:formatCode="yyyy\-mm\-dd">
                  <c:v>45496</c:v>
                </c:pt>
                <c:pt idx="140" c:formatCode="yyyy\-mm\-dd">
                  <c:v>45497</c:v>
                </c:pt>
                <c:pt idx="141" c:formatCode="yyyy\-mm\-dd">
                  <c:v>45498</c:v>
                </c:pt>
                <c:pt idx="142" c:formatCode="yyyy\-mm\-dd">
                  <c:v>45499</c:v>
                </c:pt>
                <c:pt idx="143" c:formatCode="yyyy\-mm\-dd">
                  <c:v>45502</c:v>
                </c:pt>
                <c:pt idx="144" c:formatCode="yyyy\-mm\-dd">
                  <c:v>45503</c:v>
                </c:pt>
                <c:pt idx="145" c:formatCode="yyyy\-mm\-dd">
                  <c:v>45504</c:v>
                </c:pt>
                <c:pt idx="146" c:formatCode="yyyy\-mm\-dd">
                  <c:v>45505</c:v>
                </c:pt>
                <c:pt idx="147" c:formatCode="yyyy\-mm\-dd">
                  <c:v>45506</c:v>
                </c:pt>
                <c:pt idx="148" c:formatCode="yyyy\-mm\-dd">
                  <c:v>45509</c:v>
                </c:pt>
                <c:pt idx="149" c:formatCode="yyyy\-mm\-dd">
                  <c:v>45510</c:v>
                </c:pt>
                <c:pt idx="150" c:formatCode="yyyy\-mm\-dd">
                  <c:v>45511</c:v>
                </c:pt>
                <c:pt idx="151" c:formatCode="yyyy\-mm\-dd">
                  <c:v>45512</c:v>
                </c:pt>
                <c:pt idx="152" c:formatCode="yyyy\-mm\-dd">
                  <c:v>45513</c:v>
                </c:pt>
                <c:pt idx="153" c:formatCode="yyyy\-mm\-dd">
                  <c:v>45516</c:v>
                </c:pt>
                <c:pt idx="154" c:formatCode="yyyy\-mm\-dd">
                  <c:v>45517</c:v>
                </c:pt>
                <c:pt idx="155" c:formatCode="yyyy\-mm\-dd">
                  <c:v>45518</c:v>
                </c:pt>
                <c:pt idx="156" c:formatCode="yyyy\-mm\-dd">
                  <c:v>45519</c:v>
                </c:pt>
                <c:pt idx="157" c:formatCode="yyyy\-mm\-dd">
                  <c:v>45520</c:v>
                </c:pt>
                <c:pt idx="158" c:formatCode="yyyy\-mm\-dd">
                  <c:v>45523</c:v>
                </c:pt>
                <c:pt idx="159" c:formatCode="yyyy\-mm\-dd">
                  <c:v>45524</c:v>
                </c:pt>
                <c:pt idx="160" c:formatCode="yyyy\-mm\-dd">
                  <c:v>45525</c:v>
                </c:pt>
                <c:pt idx="161" c:formatCode="yyyy\-mm\-dd">
                  <c:v>45526</c:v>
                </c:pt>
                <c:pt idx="162" c:formatCode="yyyy\-mm\-dd">
                  <c:v>45527</c:v>
                </c:pt>
                <c:pt idx="163" c:formatCode="yyyy\-mm\-dd">
                  <c:v>45530</c:v>
                </c:pt>
                <c:pt idx="164" c:formatCode="yyyy\-mm\-dd">
                  <c:v>45531</c:v>
                </c:pt>
                <c:pt idx="165" c:formatCode="yyyy\-mm\-dd">
                  <c:v>45532</c:v>
                </c:pt>
                <c:pt idx="166" c:formatCode="yyyy\-mm\-dd">
                  <c:v>45533</c:v>
                </c:pt>
                <c:pt idx="167" c:formatCode="yyyy\-mm\-dd">
                  <c:v>45534</c:v>
                </c:pt>
                <c:pt idx="168" c:formatCode="yyyy\-mm\-dd">
                  <c:v>45537</c:v>
                </c:pt>
                <c:pt idx="169" c:formatCode="yyyy\-mm\-dd">
                  <c:v>45538</c:v>
                </c:pt>
                <c:pt idx="170" c:formatCode="yyyy\-mm\-dd">
                  <c:v>45539</c:v>
                </c:pt>
                <c:pt idx="171" c:formatCode="yyyy\-mm\-dd">
                  <c:v>45540</c:v>
                </c:pt>
                <c:pt idx="172" c:formatCode="yyyy\-mm\-dd">
                  <c:v>45541</c:v>
                </c:pt>
                <c:pt idx="173" c:formatCode="yyyy\-mm\-dd">
                  <c:v>45544</c:v>
                </c:pt>
                <c:pt idx="174" c:formatCode="yyyy\-mm\-dd">
                  <c:v>45545</c:v>
                </c:pt>
                <c:pt idx="175" c:formatCode="yyyy\-mm\-dd">
                  <c:v>45546</c:v>
                </c:pt>
                <c:pt idx="176" c:formatCode="yyyy\-mm\-dd">
                  <c:v>45547</c:v>
                </c:pt>
                <c:pt idx="177" c:formatCode="yyyy\-mm\-dd">
                  <c:v>45548</c:v>
                </c:pt>
                <c:pt idx="178" c:formatCode="yyyy\-mm\-dd">
                  <c:v>45549</c:v>
                </c:pt>
                <c:pt idx="179" c:formatCode="yyyy\-mm\-dd">
                  <c:v>45553</c:v>
                </c:pt>
                <c:pt idx="180" c:formatCode="yyyy\-mm\-dd">
                  <c:v>45554</c:v>
                </c:pt>
                <c:pt idx="181" c:formatCode="yyyy\-mm\-dd">
                  <c:v>45555</c:v>
                </c:pt>
                <c:pt idx="182" c:formatCode="yyyy\-mm\-dd">
                  <c:v>45558</c:v>
                </c:pt>
                <c:pt idx="183" c:formatCode="yyyy\-mm\-dd">
                  <c:v>45559</c:v>
                </c:pt>
                <c:pt idx="184" c:formatCode="yyyy\-mm\-dd">
                  <c:v>45560</c:v>
                </c:pt>
                <c:pt idx="185" c:formatCode="yyyy\-mm\-dd">
                  <c:v>45561</c:v>
                </c:pt>
                <c:pt idx="186" c:formatCode="yyyy\-mm\-dd">
                  <c:v>45562</c:v>
                </c:pt>
                <c:pt idx="187" c:formatCode="yyyy\-mm\-dd">
                  <c:v>45564</c:v>
                </c:pt>
                <c:pt idx="188" c:formatCode="yyyy\-mm\-dd">
                  <c:v>45565</c:v>
                </c:pt>
                <c:pt idx="189" c:formatCode="yyyy\-mm\-dd">
                  <c:v>45573</c:v>
                </c:pt>
                <c:pt idx="190" c:formatCode="yyyy\-mm\-dd">
                  <c:v>45574</c:v>
                </c:pt>
                <c:pt idx="191" c:formatCode="yyyy\-mm\-dd">
                  <c:v>45575</c:v>
                </c:pt>
                <c:pt idx="192" c:formatCode="yyyy\-mm\-dd">
                  <c:v>45576</c:v>
                </c:pt>
                <c:pt idx="193" c:formatCode="yyyy\-mm\-dd">
                  <c:v>45577</c:v>
                </c:pt>
                <c:pt idx="194" c:formatCode="yyyy\-mm\-dd">
                  <c:v>45579</c:v>
                </c:pt>
                <c:pt idx="195" c:formatCode="yyyy\-mm\-dd">
                  <c:v>45580</c:v>
                </c:pt>
                <c:pt idx="196" c:formatCode="yyyy\-mm\-dd">
                  <c:v>45581</c:v>
                </c:pt>
                <c:pt idx="197" c:formatCode="yyyy\-mm\-dd">
                  <c:v>45582</c:v>
                </c:pt>
                <c:pt idx="198" c:formatCode="yyyy\-mm\-dd">
                  <c:v>45583</c:v>
                </c:pt>
                <c:pt idx="199" c:formatCode="yyyy\-mm\-dd">
                  <c:v>45586</c:v>
                </c:pt>
                <c:pt idx="200" c:formatCode="yyyy\-mm\-dd">
                  <c:v>45587</c:v>
                </c:pt>
                <c:pt idx="201" c:formatCode="yyyy\-mm\-dd">
                  <c:v>45588</c:v>
                </c:pt>
                <c:pt idx="202" c:formatCode="yyyy\-mm\-dd">
                  <c:v>45589</c:v>
                </c:pt>
                <c:pt idx="203" c:formatCode="yyyy\-mm\-dd">
                  <c:v>45590</c:v>
                </c:pt>
                <c:pt idx="204" c:formatCode="yyyy\-mm\-dd">
                  <c:v>45593</c:v>
                </c:pt>
                <c:pt idx="205" c:formatCode="yyyy\-mm\-dd">
                  <c:v>45594</c:v>
                </c:pt>
                <c:pt idx="206" c:formatCode="yyyy\-mm\-dd">
                  <c:v>45595</c:v>
                </c:pt>
                <c:pt idx="207" c:formatCode="yyyy\-mm\-dd">
                  <c:v>45596</c:v>
                </c:pt>
                <c:pt idx="208" c:formatCode="yyyy\-mm\-dd">
                  <c:v>45597</c:v>
                </c:pt>
                <c:pt idx="209" c:formatCode="yyyy\-mm\-dd">
                  <c:v>45600</c:v>
                </c:pt>
                <c:pt idx="210" c:formatCode="yyyy\-mm\-dd">
                  <c:v>45601</c:v>
                </c:pt>
                <c:pt idx="211" c:formatCode="yyyy\-mm\-dd">
                  <c:v>45602</c:v>
                </c:pt>
                <c:pt idx="212" c:formatCode="yyyy\-mm\-dd">
                  <c:v>45603</c:v>
                </c:pt>
                <c:pt idx="213" c:formatCode="yyyy\-mm\-dd">
                  <c:v>45604</c:v>
                </c:pt>
                <c:pt idx="214" c:formatCode="yyyy\-mm\-dd">
                  <c:v>45607</c:v>
                </c:pt>
                <c:pt idx="215" c:formatCode="yyyy\-mm\-dd">
                  <c:v>45608</c:v>
                </c:pt>
                <c:pt idx="216" c:formatCode="yyyy\-mm\-dd">
                  <c:v>45609</c:v>
                </c:pt>
                <c:pt idx="217" c:formatCode="yyyy\-mm\-dd">
                  <c:v>45610</c:v>
                </c:pt>
                <c:pt idx="218" c:formatCode="yyyy\-mm\-dd">
                  <c:v>45611</c:v>
                </c:pt>
                <c:pt idx="219" c:formatCode="yyyy\-mm\-dd">
                  <c:v>45614</c:v>
                </c:pt>
              </c:numCache>
            </c:numRef>
          </c:cat>
          <c:val>
            <c:numRef>
              <c:f>PnL!$AE$401:$AE$620</c:f>
              <c:numCache>
                <c:formatCode>General</c:formatCode>
                <c:ptCount val="220"/>
                <c:pt idx="0">
                  <c:v>579.99561643836</c:v>
                </c:pt>
                <c:pt idx="1">
                  <c:v>-52.0339726027282</c:v>
                </c:pt>
                <c:pt idx="2">
                  <c:v>334.503835616447</c:v>
                </c:pt>
                <c:pt idx="3">
                  <c:v>1209.92136986302</c:v>
                </c:pt>
                <c:pt idx="4">
                  <c:v>1960.59643835617</c:v>
                </c:pt>
                <c:pt idx="5">
                  <c:v>1841.24082191782</c:v>
                </c:pt>
                <c:pt idx="6">
                  <c:v>3209.4495890411</c:v>
                </c:pt>
                <c:pt idx="7">
                  <c:v>2850.92794520548</c:v>
                </c:pt>
                <c:pt idx="8">
                  <c:v>2920.80383561645</c:v>
                </c:pt>
                <c:pt idx="9">
                  <c:v>2245.38493150685</c:v>
                </c:pt>
                <c:pt idx="10">
                  <c:v>2027.52246575343</c:v>
                </c:pt>
                <c:pt idx="11">
                  <c:v>1975.77534246577</c:v>
                </c:pt>
                <c:pt idx="12">
                  <c:v>2840.27041095891</c:v>
                </c:pt>
                <c:pt idx="13">
                  <c:v>2753.74273972604</c:v>
                </c:pt>
                <c:pt idx="14">
                  <c:v>3234.44328767124</c:v>
                </c:pt>
                <c:pt idx="15">
                  <c:v>3970.9490410959</c:v>
                </c:pt>
                <c:pt idx="16">
                  <c:v>3631.41780821918</c:v>
                </c:pt>
                <c:pt idx="17">
                  <c:v>3749.83424657535</c:v>
                </c:pt>
                <c:pt idx="18">
                  <c:v>4708.58410958905</c:v>
                </c:pt>
                <c:pt idx="19">
                  <c:v>4514.61178082193</c:v>
                </c:pt>
                <c:pt idx="20">
                  <c:v>4939.27369863015</c:v>
                </c:pt>
                <c:pt idx="21">
                  <c:v>6743.60054794521</c:v>
                </c:pt>
                <c:pt idx="22">
                  <c:v>7745.02000000001</c:v>
                </c:pt>
                <c:pt idx="23">
                  <c:v>7523.74630136987</c:v>
                </c:pt>
                <c:pt idx="24">
                  <c:v>8164.14328767125</c:v>
                </c:pt>
                <c:pt idx="25">
                  <c:v>9103.82082191782</c:v>
                </c:pt>
                <c:pt idx="26">
                  <c:v>9368.55506849316</c:v>
                </c:pt>
                <c:pt idx="27">
                  <c:v>6914.65835616439</c:v>
                </c:pt>
                <c:pt idx="28">
                  <c:v>8624.2693150685</c:v>
                </c:pt>
                <c:pt idx="29">
                  <c:v>7939.0290410959</c:v>
                </c:pt>
                <c:pt idx="30">
                  <c:v>8133.74657534247</c:v>
                </c:pt>
                <c:pt idx="31">
                  <c:v>8056.14109589043</c:v>
                </c:pt>
                <c:pt idx="32">
                  <c:v>8451.51205479453</c:v>
                </c:pt>
                <c:pt idx="33">
                  <c:v>9713.93123287672</c:v>
                </c:pt>
                <c:pt idx="34">
                  <c:v>9931.10219178083</c:v>
                </c:pt>
                <c:pt idx="35">
                  <c:v>10474.4649315069</c:v>
                </c:pt>
                <c:pt idx="36">
                  <c:v>10578.8175342466</c:v>
                </c:pt>
                <c:pt idx="37">
                  <c:v>11752.4</c:v>
                </c:pt>
                <c:pt idx="38">
                  <c:v>11964.2410958904</c:v>
                </c:pt>
                <c:pt idx="39">
                  <c:v>13797.04</c:v>
                </c:pt>
                <c:pt idx="40">
                  <c:v>14630.7446575343</c:v>
                </c:pt>
                <c:pt idx="41">
                  <c:v>13252.5443835617</c:v>
                </c:pt>
                <c:pt idx="42">
                  <c:v>13854.7076712329</c:v>
                </c:pt>
                <c:pt idx="43">
                  <c:v>14643.6068493151</c:v>
                </c:pt>
                <c:pt idx="44">
                  <c:v>16776.7449315069</c:v>
                </c:pt>
                <c:pt idx="45">
                  <c:v>16261.5175342466</c:v>
                </c:pt>
                <c:pt idx="46">
                  <c:v>16168.5950684932</c:v>
                </c:pt>
                <c:pt idx="47">
                  <c:v>14926.6405479452</c:v>
                </c:pt>
                <c:pt idx="48">
                  <c:v>12841.7142465754</c:v>
                </c:pt>
                <c:pt idx="49">
                  <c:v>13616.0071232877</c:v>
                </c:pt>
                <c:pt idx="50">
                  <c:v>13269.5490410959</c:v>
                </c:pt>
                <c:pt idx="51">
                  <c:v>14248.3668493151</c:v>
                </c:pt>
                <c:pt idx="52">
                  <c:v>15469.6901369863</c:v>
                </c:pt>
                <c:pt idx="53">
                  <c:v>16526.564109589</c:v>
                </c:pt>
                <c:pt idx="54">
                  <c:v>15878.4553424658</c:v>
                </c:pt>
                <c:pt idx="55">
                  <c:v>16350.0071232877</c:v>
                </c:pt>
                <c:pt idx="56">
                  <c:v>15617.6364383562</c:v>
                </c:pt>
                <c:pt idx="57">
                  <c:v>14996.1624657534</c:v>
                </c:pt>
                <c:pt idx="58">
                  <c:v>14928.4049315069</c:v>
                </c:pt>
                <c:pt idx="59">
                  <c:v>16674.378630137</c:v>
                </c:pt>
                <c:pt idx="60">
                  <c:v>16225.5690410959</c:v>
                </c:pt>
                <c:pt idx="61">
                  <c:v>16760.9989041096</c:v>
                </c:pt>
                <c:pt idx="62">
                  <c:v>15841.4238356165</c:v>
                </c:pt>
                <c:pt idx="63">
                  <c:v>16531.8575342466</c:v>
                </c:pt>
                <c:pt idx="64">
                  <c:v>16849.7693150685</c:v>
                </c:pt>
                <c:pt idx="65">
                  <c:v>16374.7904109589</c:v>
                </c:pt>
                <c:pt idx="66">
                  <c:v>17098.2575342466</c:v>
                </c:pt>
                <c:pt idx="67">
                  <c:v>17444.1320547945</c:v>
                </c:pt>
                <c:pt idx="68">
                  <c:v>16740.575890411</c:v>
                </c:pt>
                <c:pt idx="69">
                  <c:v>17089.1438356165</c:v>
                </c:pt>
                <c:pt idx="70">
                  <c:v>17716.5835616439</c:v>
                </c:pt>
                <c:pt idx="71">
                  <c:v>17714.8994520548</c:v>
                </c:pt>
                <c:pt idx="72">
                  <c:v>18080.7657534247</c:v>
                </c:pt>
                <c:pt idx="73">
                  <c:v>18979.5682191781</c:v>
                </c:pt>
                <c:pt idx="74">
                  <c:v>19501.5126027397</c:v>
                </c:pt>
                <c:pt idx="75">
                  <c:v>19648.1971232877</c:v>
                </c:pt>
                <c:pt idx="76">
                  <c:v>19867.2295890411</c:v>
                </c:pt>
                <c:pt idx="77">
                  <c:v>20435.0001369863</c:v>
                </c:pt>
                <c:pt idx="78">
                  <c:v>19433.4324657534</c:v>
                </c:pt>
                <c:pt idx="79">
                  <c:v>20072.3110958904</c:v>
                </c:pt>
                <c:pt idx="80">
                  <c:v>18695.4576712329</c:v>
                </c:pt>
                <c:pt idx="81">
                  <c:v>17859.4405479452</c:v>
                </c:pt>
                <c:pt idx="82">
                  <c:v>16825.8146575343</c:v>
                </c:pt>
                <c:pt idx="83">
                  <c:v>18781.4919178082</c:v>
                </c:pt>
                <c:pt idx="84">
                  <c:v>18823.98</c:v>
                </c:pt>
                <c:pt idx="85">
                  <c:v>19693.8193150685</c:v>
                </c:pt>
                <c:pt idx="86">
                  <c:v>19448.5754794521</c:v>
                </c:pt>
                <c:pt idx="87">
                  <c:v>18591.8357534247</c:v>
                </c:pt>
                <c:pt idx="88">
                  <c:v>18664.9176712329</c:v>
                </c:pt>
                <c:pt idx="89">
                  <c:v>17586.5710958904</c:v>
                </c:pt>
                <c:pt idx="90">
                  <c:v>19723.6567123288</c:v>
                </c:pt>
                <c:pt idx="91">
                  <c:v>19930.8220547945</c:v>
                </c:pt>
                <c:pt idx="92">
                  <c:v>19714.1857534247</c:v>
                </c:pt>
                <c:pt idx="93">
                  <c:v>19246.3568493151</c:v>
                </c:pt>
                <c:pt idx="94">
                  <c:v>19549.0115068493</c:v>
                </c:pt>
                <c:pt idx="95">
                  <c:v>19389.8864383562</c:v>
                </c:pt>
                <c:pt idx="96">
                  <c:v>19365.6175342466</c:v>
                </c:pt>
                <c:pt idx="97">
                  <c:v>19770.1120547945</c:v>
                </c:pt>
                <c:pt idx="98">
                  <c:v>20311.7280821918</c:v>
                </c:pt>
                <c:pt idx="99">
                  <c:v>19890.5994520548</c:v>
                </c:pt>
                <c:pt idx="100">
                  <c:v>19931.7005479452</c:v>
                </c:pt>
                <c:pt idx="101">
                  <c:v>20360.3180821918</c:v>
                </c:pt>
                <c:pt idx="102">
                  <c:v>20840.7676712329</c:v>
                </c:pt>
                <c:pt idx="103">
                  <c:v>20783.2428767124</c:v>
                </c:pt>
                <c:pt idx="104">
                  <c:v>20543.465890411</c:v>
                </c:pt>
                <c:pt idx="105">
                  <c:v>20998.8049315069</c:v>
                </c:pt>
                <c:pt idx="106">
                  <c:v>21131.922739726</c:v>
                </c:pt>
                <c:pt idx="107">
                  <c:v>21491.9115068493</c:v>
                </c:pt>
                <c:pt idx="108">
                  <c:v>21503.6967123288</c:v>
                </c:pt>
                <c:pt idx="109">
                  <c:v>21577.2261643836</c:v>
                </c:pt>
                <c:pt idx="110">
                  <c:v>21857.5382191781</c:v>
                </c:pt>
                <c:pt idx="111">
                  <c:v>21838.6579452055</c:v>
                </c:pt>
                <c:pt idx="112">
                  <c:v>22047.6030136987</c:v>
                </c:pt>
                <c:pt idx="113">
                  <c:v>22483.7183561644</c:v>
                </c:pt>
                <c:pt idx="114">
                  <c:v>22358.4721917808</c:v>
                </c:pt>
                <c:pt idx="115">
                  <c:v>22848.7483561644</c:v>
                </c:pt>
                <c:pt idx="116">
                  <c:v>23651.7949315069</c:v>
                </c:pt>
                <c:pt idx="117">
                  <c:v>23701.1794520548</c:v>
                </c:pt>
                <c:pt idx="118">
                  <c:v>23350.8109589041</c:v>
                </c:pt>
                <c:pt idx="119">
                  <c:v>23914.5561643836</c:v>
                </c:pt>
                <c:pt idx="120">
                  <c:v>24176.013150685</c:v>
                </c:pt>
                <c:pt idx="121">
                  <c:v>24690.6726027397</c:v>
                </c:pt>
                <c:pt idx="122">
                  <c:v>25527.7217808219</c:v>
                </c:pt>
                <c:pt idx="123">
                  <c:v>25470.9221917808</c:v>
                </c:pt>
                <c:pt idx="124">
                  <c:v>23835.3605479452</c:v>
                </c:pt>
                <c:pt idx="125">
                  <c:v>24446.721369863</c:v>
                </c:pt>
                <c:pt idx="126">
                  <c:v>24913.6768493151</c:v>
                </c:pt>
                <c:pt idx="127">
                  <c:v>24618.9220547945</c:v>
                </c:pt>
                <c:pt idx="128">
                  <c:v>23633.3497260274</c:v>
                </c:pt>
                <c:pt idx="129">
                  <c:v>22928.438630137</c:v>
                </c:pt>
                <c:pt idx="130">
                  <c:v>23866.692739726</c:v>
                </c:pt>
                <c:pt idx="131">
                  <c:v>23707.5543835617</c:v>
                </c:pt>
                <c:pt idx="132">
                  <c:v>23982.3308219178</c:v>
                </c:pt>
                <c:pt idx="133">
                  <c:v>24172.0854794521</c:v>
                </c:pt>
                <c:pt idx="134">
                  <c:v>24632.8410958904</c:v>
                </c:pt>
                <c:pt idx="135">
                  <c:v>24477.4391780822</c:v>
                </c:pt>
                <c:pt idx="136">
                  <c:v>25007.667260274</c:v>
                </c:pt>
                <c:pt idx="137">
                  <c:v>24858.061369863</c:v>
                </c:pt>
                <c:pt idx="138">
                  <c:v>25288.1631506849</c:v>
                </c:pt>
                <c:pt idx="139">
                  <c:v>26200.5612328767</c:v>
                </c:pt>
                <c:pt idx="140">
                  <c:v>26785.6160273973</c:v>
                </c:pt>
                <c:pt idx="141">
                  <c:v>26637.1373972603</c:v>
                </c:pt>
                <c:pt idx="142">
                  <c:v>27179.972630137</c:v>
                </c:pt>
                <c:pt idx="143">
                  <c:v>27583.3586027398</c:v>
                </c:pt>
                <c:pt idx="144">
                  <c:v>28366.2303835617</c:v>
                </c:pt>
                <c:pt idx="145">
                  <c:v>28832.6927123288</c:v>
                </c:pt>
                <c:pt idx="146">
                  <c:v>29199.9813424658</c:v>
                </c:pt>
                <c:pt idx="147">
                  <c:v>30023.1573150685</c:v>
                </c:pt>
                <c:pt idx="148">
                  <c:v>30205.0589589041</c:v>
                </c:pt>
                <c:pt idx="149">
                  <c:v>30154.2277260274</c:v>
                </c:pt>
                <c:pt idx="150">
                  <c:v>29905.6795068493</c:v>
                </c:pt>
                <c:pt idx="151">
                  <c:v>30509.639369863</c:v>
                </c:pt>
                <c:pt idx="152">
                  <c:v>29369.0316986302</c:v>
                </c:pt>
                <c:pt idx="153">
                  <c:v>28620.298</c:v>
                </c:pt>
                <c:pt idx="154">
                  <c:v>26716.7599178083</c:v>
                </c:pt>
                <c:pt idx="155">
                  <c:v>27781.5600547946</c:v>
                </c:pt>
                <c:pt idx="156">
                  <c:v>28700.2090410959</c:v>
                </c:pt>
                <c:pt idx="157">
                  <c:v>28306.9791780822</c:v>
                </c:pt>
                <c:pt idx="158">
                  <c:v>28807.2106849315</c:v>
                </c:pt>
                <c:pt idx="159">
                  <c:v>29202.8020547945</c:v>
                </c:pt>
                <c:pt idx="160">
                  <c:v>29209.7642465754</c:v>
                </c:pt>
                <c:pt idx="161">
                  <c:v>29352.5454246576</c:v>
                </c:pt>
                <c:pt idx="162">
                  <c:v>29563.0355068493</c:v>
                </c:pt>
                <c:pt idx="163">
                  <c:v>30030.4586027398</c:v>
                </c:pt>
                <c:pt idx="164">
                  <c:v>29919.6681917809</c:v>
                </c:pt>
                <c:pt idx="165">
                  <c:v>29119.9129863014</c:v>
                </c:pt>
                <c:pt idx="166">
                  <c:v>29787.1035342466</c:v>
                </c:pt>
                <c:pt idx="167">
                  <c:v>29602.7124383562</c:v>
                </c:pt>
                <c:pt idx="168">
                  <c:v>29959.2027945206</c:v>
                </c:pt>
                <c:pt idx="169">
                  <c:v>31301.5363561644</c:v>
                </c:pt>
                <c:pt idx="170">
                  <c:v>31928.429369863</c:v>
                </c:pt>
                <c:pt idx="171">
                  <c:v>32425.0243013699</c:v>
                </c:pt>
                <c:pt idx="172">
                  <c:v>32534.5540273973</c:v>
                </c:pt>
                <c:pt idx="173">
                  <c:v>32521.4427945206</c:v>
                </c:pt>
                <c:pt idx="174">
                  <c:v>32938.4258082192</c:v>
                </c:pt>
                <c:pt idx="175">
                  <c:v>33728.0423835617</c:v>
                </c:pt>
                <c:pt idx="176">
                  <c:v>34450.9010136987</c:v>
                </c:pt>
                <c:pt idx="177">
                  <c:v>34437.0116986302</c:v>
                </c:pt>
                <c:pt idx="178">
                  <c:v>34512.5226575343</c:v>
                </c:pt>
                <c:pt idx="179">
                  <c:v>34817.6190958904</c:v>
                </c:pt>
                <c:pt idx="180">
                  <c:v>34197.3440273973</c:v>
                </c:pt>
                <c:pt idx="181">
                  <c:v>33701.6708767123</c:v>
                </c:pt>
                <c:pt idx="182">
                  <c:v>33893.6908767124</c:v>
                </c:pt>
                <c:pt idx="183">
                  <c:v>33620.7845753425</c:v>
                </c:pt>
                <c:pt idx="184">
                  <c:v>32940.9703287671</c:v>
                </c:pt>
                <c:pt idx="185">
                  <c:v>33998.7297808219</c:v>
                </c:pt>
                <c:pt idx="186">
                  <c:v>33603.7873150685</c:v>
                </c:pt>
                <c:pt idx="187">
                  <c:v>32233.2251232877</c:v>
                </c:pt>
                <c:pt idx="188">
                  <c:v>30890.8410136986</c:v>
                </c:pt>
                <c:pt idx="189">
                  <c:v>32333.2021095891</c:v>
                </c:pt>
                <c:pt idx="190">
                  <c:v>31229.6670410959</c:v>
                </c:pt>
                <c:pt idx="191">
                  <c:v>32075.3692328767</c:v>
                </c:pt>
                <c:pt idx="192">
                  <c:v>34487.2799178082</c:v>
                </c:pt>
                <c:pt idx="193">
                  <c:v>34878.9771780822</c:v>
                </c:pt>
                <c:pt idx="194">
                  <c:v>35167.4475890411</c:v>
                </c:pt>
                <c:pt idx="195">
                  <c:v>34910.5212876713</c:v>
                </c:pt>
                <c:pt idx="196">
                  <c:v>35176.4716986302</c:v>
                </c:pt>
                <c:pt idx="197">
                  <c:v>34596.2048493151</c:v>
                </c:pt>
                <c:pt idx="198">
                  <c:v>36119.0127945206</c:v>
                </c:pt>
                <c:pt idx="199">
                  <c:v>35674.9749863014</c:v>
                </c:pt>
                <c:pt idx="200">
                  <c:v>35508.2059452055</c:v>
                </c:pt>
                <c:pt idx="201">
                  <c:v>34002.0626575343</c:v>
                </c:pt>
                <c:pt idx="202">
                  <c:v>33515.1267671233</c:v>
                </c:pt>
                <c:pt idx="203">
                  <c:v>33382.2033424658</c:v>
                </c:pt>
                <c:pt idx="204">
                  <c:v>33567.5708767124</c:v>
                </c:pt>
                <c:pt idx="205">
                  <c:v>33355.4441643836</c:v>
                </c:pt>
                <c:pt idx="206">
                  <c:v>33598.0445753425</c:v>
                </c:pt>
                <c:pt idx="207">
                  <c:v>33868.0215616439</c:v>
                </c:pt>
                <c:pt idx="208">
                  <c:v>34911.2929315069</c:v>
                </c:pt>
                <c:pt idx="209">
                  <c:v>35615.4978630137</c:v>
                </c:pt>
                <c:pt idx="210">
                  <c:v>35493.7745753425</c:v>
                </c:pt>
                <c:pt idx="211">
                  <c:v>35925.498</c:v>
                </c:pt>
                <c:pt idx="212">
                  <c:v>35817.1533424658</c:v>
                </c:pt>
                <c:pt idx="213">
                  <c:v>36406.173890411</c:v>
                </c:pt>
                <c:pt idx="214">
                  <c:v>36750.3675890411</c:v>
                </c:pt>
                <c:pt idx="215">
                  <c:v>36974.5415616439</c:v>
                </c:pt>
                <c:pt idx="216">
                  <c:v>37859.3810136987</c:v>
                </c:pt>
                <c:pt idx="217">
                  <c:v>37612.1648493151</c:v>
                </c:pt>
                <c:pt idx="218">
                  <c:v>37999.873890411</c:v>
                </c:pt>
                <c:pt idx="219">
                  <c:v>37812.9678630137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11648"/>
        <c:axId val="112894848"/>
      </c:lineChart>
      <c:dateAx>
        <c:axId val="1129116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894848"/>
        <c:crosses val="autoZero"/>
        <c:auto val="1"/>
        <c:lblOffset val="100"/>
        <c:baseTimeUnit val="days"/>
      </c:dateAx>
      <c:valAx>
        <c:axId val="11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9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f026bd-2b23-4a25-b19c-777f545178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196850</xdr:colOff>
      <xdr:row>17</xdr:row>
      <xdr:rowOff>69850</xdr:rowOff>
    </xdr:from>
    <xdr:to>
      <xdr:col>7</xdr:col>
      <xdr:colOff>501650</xdr:colOff>
      <xdr:row>32</xdr:row>
      <xdr:rowOff>146050</xdr:rowOff>
    </xdr:to>
    <xdr:graphicFrame>
      <xdr:nvGraphicFramePr>
        <xdr:cNvPr id="2" name="Chart 1"/>
        <xdr:cNvGraphicFramePr/>
      </xdr:nvGraphicFramePr>
      <xdr:xfrm>
        <a:off x="196850" y="3092450"/>
        <a:ext cx="5111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260350</xdr:colOff>
      <xdr:row>0</xdr:row>
      <xdr:rowOff>171450</xdr:rowOff>
    </xdr:from>
    <xdr:to>
      <xdr:col>7</xdr:col>
      <xdr:colOff>565150</xdr:colOff>
      <xdr:row>16</xdr:row>
      <xdr:rowOff>69850</xdr:rowOff>
    </xdr:to>
    <xdr:graphicFrame>
      <xdr:nvGraphicFramePr>
        <xdr:cNvPr id="3" name="Chart 2"/>
        <xdr:cNvGraphicFramePr/>
      </xdr:nvGraphicFramePr>
      <xdr:xfrm>
        <a:off x="260350" y="171450"/>
        <a:ext cx="5111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584200</xdr:colOff>
      <xdr:row>16</xdr:row>
      <xdr:rowOff>165100</xdr:rowOff>
    </xdr:from>
    <xdr:to>
      <xdr:col>15</xdr:col>
      <xdr:colOff>279400</xdr:colOff>
      <xdr:row>32</xdr:row>
      <xdr:rowOff>63500</xdr:rowOff>
    </xdr:to>
    <xdr:graphicFrame>
      <xdr:nvGraphicFramePr>
        <xdr:cNvPr id="5" name="Chart 4"/>
        <xdr:cNvGraphicFramePr/>
      </xdr:nvGraphicFramePr>
      <xdr:xfrm>
        <a:off x="5391150" y="3009900"/>
        <a:ext cx="4724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3"/>
  <sheetViews>
    <sheetView topLeftCell="A605" workbookViewId="0">
      <selection activeCell="H401" sqref="H401"/>
    </sheetView>
  </sheetViews>
  <sheetFormatPr defaultColWidth="9" defaultRowHeight="14" outlineLevelCol="7"/>
  <cols>
    <col min="1" max="1" width="15" customWidth="1"/>
    <col min="2" max="2" width="24" customWidth="1"/>
    <col min="3" max="3" width="22" customWidth="1"/>
    <col min="4" max="4" width="24" customWidth="1"/>
    <col min="5" max="5" width="23" customWidth="1"/>
    <col min="6" max="7" width="18" customWidth="1"/>
  </cols>
  <sheetData>
    <row r="1" spans="1:8">
      <c r="A1" s="6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>
      <c r="A2" s="7">
        <v>44713</v>
      </c>
      <c r="B2" s="11" t="e">
        <f>[1]!WSD("S0059744,S0059747,S0059749,S0059752,M0048486,M0048490,M0017153","EDBclose","2022-06-01","","TradingCalendar=SSE","PriceAdj=F","rptType=1","ShowCodes=N","ShowParams=Y","cols=7;rows=622")</f>
        <v>#NAME?</v>
      </c>
      <c r="C2" s="11">
        <v>2.5594</v>
      </c>
      <c r="D2" s="11">
        <v>2.7551</v>
      </c>
      <c r="E2" s="11">
        <v>3.2643</v>
      </c>
      <c r="F2" s="11">
        <v>2.0815</v>
      </c>
      <c r="G2" s="11">
        <v>2.5254</v>
      </c>
      <c r="H2" s="12">
        <v>1.64</v>
      </c>
    </row>
    <row r="3" spans="1:8">
      <c r="A3" s="7">
        <v>44714</v>
      </c>
      <c r="B3" s="11">
        <v>1.9564</v>
      </c>
      <c r="C3" s="11">
        <v>2.563</v>
      </c>
      <c r="D3" s="11">
        <v>2.7601</v>
      </c>
      <c r="E3" s="11">
        <v>3.2669</v>
      </c>
      <c r="F3" s="11">
        <v>2.0917</v>
      </c>
      <c r="G3" s="11">
        <v>2.5397</v>
      </c>
      <c r="H3" s="12">
        <v>1.65</v>
      </c>
    </row>
    <row r="4" spans="1:8">
      <c r="A4" s="7">
        <v>44718</v>
      </c>
      <c r="B4" s="11">
        <v>2.0199</v>
      </c>
      <c r="C4" s="11">
        <v>2.5994</v>
      </c>
      <c r="D4" s="11">
        <v>2.7776</v>
      </c>
      <c r="E4" s="11">
        <v>3.2745</v>
      </c>
      <c r="F4" s="11">
        <v>2.1125</v>
      </c>
      <c r="G4" s="11">
        <v>2.5583</v>
      </c>
      <c r="H4" s="12">
        <v>1.68</v>
      </c>
    </row>
    <row r="5" spans="1:8">
      <c r="A5" s="7">
        <v>44719</v>
      </c>
      <c r="B5" s="11">
        <v>2.018</v>
      </c>
      <c r="C5" s="11">
        <v>2.5842</v>
      </c>
      <c r="D5" s="11">
        <v>2.7576</v>
      </c>
      <c r="E5" s="11">
        <v>3.2671</v>
      </c>
      <c r="F5" s="11">
        <v>2.12</v>
      </c>
      <c r="G5" s="11">
        <v>2.5627</v>
      </c>
      <c r="H5" s="12">
        <v>1.65</v>
      </c>
    </row>
    <row r="6" spans="1:8">
      <c r="A6" s="7">
        <v>44720</v>
      </c>
      <c r="B6" s="11">
        <v>2.0282</v>
      </c>
      <c r="C6" s="11">
        <v>2.585</v>
      </c>
      <c r="D6" s="11">
        <v>2.7661</v>
      </c>
      <c r="E6" s="11">
        <v>3.2746</v>
      </c>
      <c r="F6" s="11">
        <v>2.1052</v>
      </c>
      <c r="G6" s="11">
        <v>2.55</v>
      </c>
      <c r="H6" s="12">
        <v>1.65</v>
      </c>
    </row>
    <row r="7" spans="1:8">
      <c r="A7" s="7">
        <v>44721</v>
      </c>
      <c r="B7" s="11">
        <v>2.0151</v>
      </c>
      <c r="C7" s="11">
        <v>2.5726</v>
      </c>
      <c r="D7" s="11">
        <v>2.7576</v>
      </c>
      <c r="E7" s="11">
        <v>3.2646</v>
      </c>
      <c r="F7" s="11">
        <v>2.0984</v>
      </c>
      <c r="G7" s="11">
        <v>2.5421</v>
      </c>
      <c r="H7" s="12">
        <v>1.65</v>
      </c>
    </row>
    <row r="8" spans="1:8">
      <c r="A8" s="7">
        <v>44722</v>
      </c>
      <c r="B8" s="11">
        <v>2.0051</v>
      </c>
      <c r="C8" s="11">
        <v>2.568</v>
      </c>
      <c r="D8" s="11">
        <v>2.7526</v>
      </c>
      <c r="E8" s="11">
        <v>3.2622</v>
      </c>
      <c r="F8" s="11">
        <v>2.0934</v>
      </c>
      <c r="G8" s="11">
        <v>2.5368</v>
      </c>
      <c r="H8" s="12">
        <v>1.62</v>
      </c>
    </row>
    <row r="9" spans="1:8">
      <c r="A9" s="7">
        <v>44725</v>
      </c>
      <c r="B9" s="11">
        <v>2.0026</v>
      </c>
      <c r="C9" s="11">
        <v>2.5899</v>
      </c>
      <c r="D9" s="11">
        <v>2.7652</v>
      </c>
      <c r="E9" s="11">
        <v>3.2698</v>
      </c>
      <c r="F9" s="11">
        <v>2.1035</v>
      </c>
      <c r="G9" s="11">
        <v>2.5507</v>
      </c>
      <c r="H9" s="12">
        <v>1.65</v>
      </c>
    </row>
    <row r="10" spans="1:8">
      <c r="A10" s="7">
        <v>44726</v>
      </c>
      <c r="B10" s="11">
        <v>2.0176</v>
      </c>
      <c r="C10" s="11">
        <v>2.5952</v>
      </c>
      <c r="D10" s="11">
        <v>2.7702</v>
      </c>
      <c r="E10" s="11">
        <v>3.2698</v>
      </c>
      <c r="F10" s="11">
        <v>2.1193</v>
      </c>
      <c r="G10" s="11">
        <v>2.5675</v>
      </c>
      <c r="H10" s="12">
        <v>1.63</v>
      </c>
    </row>
    <row r="11" spans="1:8">
      <c r="A11" s="7">
        <v>44727</v>
      </c>
      <c r="B11" s="11">
        <v>2.036</v>
      </c>
      <c r="C11" s="11">
        <v>2.6112</v>
      </c>
      <c r="D11" s="11">
        <v>2.7827</v>
      </c>
      <c r="E11" s="11">
        <v>3.2722</v>
      </c>
      <c r="F11" s="11">
        <v>2.127</v>
      </c>
      <c r="G11" s="11">
        <v>2.5755</v>
      </c>
      <c r="H11" s="12">
        <v>1.63</v>
      </c>
    </row>
    <row r="12" spans="1:8">
      <c r="A12" s="7">
        <v>44728</v>
      </c>
      <c r="B12" s="11">
        <v>2.0352</v>
      </c>
      <c r="C12" s="11">
        <v>2.5936</v>
      </c>
      <c r="D12" s="11">
        <v>2.7728</v>
      </c>
      <c r="E12" s="11">
        <v>3.2623</v>
      </c>
      <c r="F12" s="11">
        <v>2.1182</v>
      </c>
      <c r="G12" s="11">
        <v>2.5698</v>
      </c>
      <c r="H12" s="12">
        <v>1.65</v>
      </c>
    </row>
    <row r="13" spans="1:8">
      <c r="A13" s="7">
        <v>44729</v>
      </c>
      <c r="B13" s="11">
        <v>2.0102</v>
      </c>
      <c r="C13" s="11">
        <v>2.5944</v>
      </c>
      <c r="D13" s="11">
        <v>2.7752</v>
      </c>
      <c r="E13" s="11">
        <v>3.2598</v>
      </c>
      <c r="F13" s="11">
        <v>2.1058</v>
      </c>
      <c r="G13" s="11">
        <v>2.5594</v>
      </c>
      <c r="H13" s="12">
        <v>1.7</v>
      </c>
    </row>
    <row r="14" spans="1:8">
      <c r="A14" s="7">
        <v>44732</v>
      </c>
      <c r="B14" s="11">
        <v>2.0056</v>
      </c>
      <c r="C14" s="11">
        <v>2.6163</v>
      </c>
      <c r="D14" s="11">
        <v>2.7853</v>
      </c>
      <c r="E14" s="11">
        <v>3.2674</v>
      </c>
      <c r="F14" s="11">
        <v>2.1311</v>
      </c>
      <c r="G14" s="11">
        <v>2.5829</v>
      </c>
      <c r="H14" s="12">
        <v>1.7</v>
      </c>
    </row>
    <row r="15" spans="1:8">
      <c r="A15" s="7">
        <v>44733</v>
      </c>
      <c r="B15" s="11">
        <v>2.0018</v>
      </c>
      <c r="C15" s="11">
        <v>2.6118</v>
      </c>
      <c r="D15" s="11">
        <v>2.7853</v>
      </c>
      <c r="E15" s="11">
        <v>3.2664</v>
      </c>
      <c r="F15" s="11">
        <v>2.1409</v>
      </c>
      <c r="G15" s="11">
        <v>2.5907</v>
      </c>
      <c r="H15" s="12">
        <v>1.75</v>
      </c>
    </row>
    <row r="16" spans="1:8">
      <c r="A16" s="7">
        <v>44734</v>
      </c>
      <c r="B16" s="11">
        <v>1.9869</v>
      </c>
      <c r="C16" s="11">
        <v>2.6045</v>
      </c>
      <c r="D16" s="11">
        <v>2.7773</v>
      </c>
      <c r="E16" s="11">
        <v>3.2655</v>
      </c>
      <c r="F16" s="11">
        <v>2.1308</v>
      </c>
      <c r="G16" s="11">
        <v>2.58</v>
      </c>
      <c r="H16" s="12">
        <v>1.7373</v>
      </c>
    </row>
    <row r="17" spans="1:8">
      <c r="A17" s="7">
        <v>44735</v>
      </c>
      <c r="B17" s="11">
        <v>1.9608</v>
      </c>
      <c r="C17" s="11">
        <v>2.6077</v>
      </c>
      <c r="D17" s="11">
        <v>2.7803</v>
      </c>
      <c r="E17" s="11">
        <v>3.2675</v>
      </c>
      <c r="F17" s="11">
        <v>2.126</v>
      </c>
      <c r="G17" s="11">
        <v>2.5744</v>
      </c>
      <c r="H17" s="12">
        <v>1.65</v>
      </c>
    </row>
    <row r="18" spans="1:8">
      <c r="A18" s="7">
        <v>44736</v>
      </c>
      <c r="B18" s="11">
        <v>1.9653</v>
      </c>
      <c r="C18" s="11">
        <v>2.634</v>
      </c>
      <c r="D18" s="11">
        <v>2.7978</v>
      </c>
      <c r="E18" s="11">
        <v>3.2825</v>
      </c>
      <c r="F18" s="11">
        <v>2.1468</v>
      </c>
      <c r="G18" s="11">
        <v>2.5956</v>
      </c>
      <c r="H18" s="12">
        <v>2.5</v>
      </c>
    </row>
    <row r="19" spans="1:8">
      <c r="A19" s="7">
        <v>44739</v>
      </c>
      <c r="B19" s="11">
        <v>1.9971</v>
      </c>
      <c r="C19" s="11">
        <v>2.6704</v>
      </c>
      <c r="D19" s="11">
        <v>2.8329</v>
      </c>
      <c r="E19" s="11">
        <v>3.2923</v>
      </c>
      <c r="F19" s="11">
        <v>2.1878</v>
      </c>
      <c r="G19" s="11">
        <v>2.6396</v>
      </c>
      <c r="H19" s="12">
        <v>2.5</v>
      </c>
    </row>
    <row r="20" spans="1:8">
      <c r="A20" s="7">
        <v>44740</v>
      </c>
      <c r="B20" s="11">
        <v>1.9976</v>
      </c>
      <c r="C20" s="11">
        <v>2.6825</v>
      </c>
      <c r="D20" s="11">
        <v>2.8414</v>
      </c>
      <c r="E20" s="11">
        <v>3.2973</v>
      </c>
      <c r="F20" s="11">
        <v>2.1855</v>
      </c>
      <c r="G20" s="11">
        <v>2.6508</v>
      </c>
      <c r="H20" s="12">
        <v>2.5</v>
      </c>
    </row>
    <row r="21" spans="1:8">
      <c r="A21" s="7">
        <v>44741</v>
      </c>
      <c r="B21" s="11">
        <v>1.9763</v>
      </c>
      <c r="C21" s="11">
        <v>2.6732</v>
      </c>
      <c r="D21" s="11">
        <v>2.8294</v>
      </c>
      <c r="E21" s="11">
        <v>3.295</v>
      </c>
      <c r="F21" s="11">
        <v>2.1797</v>
      </c>
      <c r="G21" s="11">
        <v>2.6478</v>
      </c>
      <c r="H21" s="12">
        <v>2.5</v>
      </c>
    </row>
    <row r="22" spans="1:8">
      <c r="A22" s="7">
        <v>44742</v>
      </c>
      <c r="B22" s="11">
        <v>1.9504</v>
      </c>
      <c r="C22" s="11">
        <v>2.6529</v>
      </c>
      <c r="D22" s="11">
        <v>2.8205</v>
      </c>
      <c r="E22" s="11">
        <v>3.29</v>
      </c>
      <c r="F22" s="11">
        <v>2.1652</v>
      </c>
      <c r="G22" s="11">
        <v>2.6323</v>
      </c>
      <c r="H22" s="12">
        <v>2.5</v>
      </c>
    </row>
    <row r="23" spans="1:8">
      <c r="A23" s="7">
        <v>44743</v>
      </c>
      <c r="B23" s="11">
        <v>1.9324</v>
      </c>
      <c r="C23" s="11">
        <v>2.6485</v>
      </c>
      <c r="D23" s="11">
        <v>2.8255</v>
      </c>
      <c r="E23" s="11">
        <v>3.2926</v>
      </c>
      <c r="F23" s="11">
        <v>2.1413</v>
      </c>
      <c r="G23" s="11">
        <v>2.6202</v>
      </c>
      <c r="H23" s="12">
        <v>1.75</v>
      </c>
    </row>
    <row r="24" spans="1:8">
      <c r="A24" s="7">
        <v>44746</v>
      </c>
      <c r="B24" s="11">
        <v>1.9831</v>
      </c>
      <c r="C24" s="11">
        <v>2.6965</v>
      </c>
      <c r="D24" s="11">
        <v>2.8445</v>
      </c>
      <c r="E24" s="11">
        <v>3.3101</v>
      </c>
      <c r="F24" s="11">
        <v>2.2051</v>
      </c>
      <c r="G24" s="11">
        <v>2.6656</v>
      </c>
      <c r="H24" s="12">
        <v>1.6</v>
      </c>
    </row>
    <row r="25" spans="1:8">
      <c r="A25" s="7">
        <v>44747</v>
      </c>
      <c r="B25" s="11">
        <v>2.01</v>
      </c>
      <c r="C25" s="11">
        <v>2.693</v>
      </c>
      <c r="D25" s="11">
        <v>2.8333</v>
      </c>
      <c r="E25" s="11">
        <v>3.3153</v>
      </c>
      <c r="F25" s="11">
        <v>2.2095</v>
      </c>
      <c r="G25" s="11">
        <v>2.6858</v>
      </c>
      <c r="H25" s="12">
        <v>1.7</v>
      </c>
    </row>
    <row r="26" spans="1:8">
      <c r="A26" s="7">
        <v>44748</v>
      </c>
      <c r="B26" s="11">
        <v>1.9911</v>
      </c>
      <c r="C26" s="11">
        <v>2.6902</v>
      </c>
      <c r="D26" s="11">
        <v>2.8356</v>
      </c>
      <c r="E26" s="11">
        <v>3.3153</v>
      </c>
      <c r="F26" s="11">
        <v>2.1925</v>
      </c>
      <c r="G26" s="11">
        <v>2.6684</v>
      </c>
      <c r="H26" s="12">
        <v>1.7</v>
      </c>
    </row>
    <row r="27" spans="1:8">
      <c r="A27" s="7">
        <v>44749</v>
      </c>
      <c r="B27" s="11">
        <v>1.9824</v>
      </c>
      <c r="C27" s="11">
        <v>2.6857</v>
      </c>
      <c r="D27" s="11">
        <v>2.8356</v>
      </c>
      <c r="E27" s="11">
        <v>3.3154</v>
      </c>
      <c r="F27" s="11">
        <v>2.1962</v>
      </c>
      <c r="G27" s="11">
        <v>2.6721</v>
      </c>
      <c r="H27" s="12">
        <v>1.65</v>
      </c>
    </row>
    <row r="28" spans="1:8">
      <c r="A28" s="7">
        <v>44750</v>
      </c>
      <c r="B28" s="11">
        <v>1.9584</v>
      </c>
      <c r="C28" s="11">
        <v>2.6785</v>
      </c>
      <c r="D28" s="11">
        <v>2.8384</v>
      </c>
      <c r="E28" s="11">
        <v>3.3407</v>
      </c>
      <c r="F28" s="11">
        <v>2.1903</v>
      </c>
      <c r="G28" s="11">
        <v>2.6721</v>
      </c>
      <c r="H28" s="12">
        <v>1.6</v>
      </c>
    </row>
    <row r="29" spans="1:8">
      <c r="A29" s="7">
        <v>44753</v>
      </c>
      <c r="B29" s="11">
        <v>1.9417</v>
      </c>
      <c r="C29" s="11">
        <v>2.6535</v>
      </c>
      <c r="D29" s="11">
        <v>2.8266</v>
      </c>
      <c r="E29" s="11">
        <v>3.3324</v>
      </c>
      <c r="F29" s="11">
        <v>2.1567</v>
      </c>
      <c r="G29" s="11">
        <v>2.6447</v>
      </c>
      <c r="H29" s="12">
        <v>1.6</v>
      </c>
    </row>
    <row r="30" spans="1:8">
      <c r="A30" s="7">
        <v>44754</v>
      </c>
      <c r="B30" s="11">
        <v>1.9345</v>
      </c>
      <c r="C30" s="11">
        <v>2.6209</v>
      </c>
      <c r="D30" s="11">
        <v>2.8117</v>
      </c>
      <c r="E30" s="11">
        <v>3.3184</v>
      </c>
      <c r="F30" s="11">
        <v>2.1309</v>
      </c>
      <c r="G30" s="11">
        <v>2.6147</v>
      </c>
      <c r="H30" s="12">
        <v>1.6</v>
      </c>
    </row>
    <row r="31" spans="1:8">
      <c r="A31" s="7">
        <v>44755</v>
      </c>
      <c r="B31" s="11">
        <v>1.9376</v>
      </c>
      <c r="C31" s="11">
        <v>2.6134</v>
      </c>
      <c r="D31" s="11">
        <v>2.8067</v>
      </c>
      <c r="E31" s="11">
        <v>3.316</v>
      </c>
      <c r="F31" s="11">
        <v>2.1196</v>
      </c>
      <c r="G31" s="11">
        <v>2.5962</v>
      </c>
      <c r="H31" s="12">
        <v>1.59</v>
      </c>
    </row>
    <row r="32" spans="1:8">
      <c r="A32" s="7">
        <v>44756</v>
      </c>
      <c r="B32" s="11">
        <v>1.9147</v>
      </c>
      <c r="C32" s="11">
        <v>2.587</v>
      </c>
      <c r="D32" s="11">
        <v>2.7907</v>
      </c>
      <c r="E32" s="11">
        <v>3.296</v>
      </c>
      <c r="F32" s="11">
        <v>2.1007</v>
      </c>
      <c r="G32" s="11">
        <v>2.5832</v>
      </c>
      <c r="H32" s="12">
        <v>1.6</v>
      </c>
    </row>
    <row r="33" spans="1:8">
      <c r="A33" s="7">
        <v>44757</v>
      </c>
      <c r="B33" s="11">
        <v>1.8837</v>
      </c>
      <c r="C33" s="11">
        <v>2.5848</v>
      </c>
      <c r="D33" s="11">
        <v>2.7857</v>
      </c>
      <c r="E33" s="11">
        <v>3.2859</v>
      </c>
      <c r="F33" s="11">
        <v>2.0883</v>
      </c>
      <c r="G33" s="11">
        <v>2.5674</v>
      </c>
      <c r="H33" s="12">
        <v>1.57</v>
      </c>
    </row>
    <row r="34" spans="1:8">
      <c r="A34" s="7">
        <v>44760</v>
      </c>
      <c r="B34" s="11">
        <v>1.8488</v>
      </c>
      <c r="C34" s="11">
        <v>2.5789</v>
      </c>
      <c r="D34" s="11">
        <v>2.7837</v>
      </c>
      <c r="E34" s="11">
        <v>3.2785</v>
      </c>
      <c r="F34" s="11">
        <v>2.0808</v>
      </c>
      <c r="G34" s="11">
        <v>2.5641</v>
      </c>
      <c r="H34" s="12">
        <v>1.6103</v>
      </c>
    </row>
    <row r="35" spans="1:8">
      <c r="A35" s="7">
        <v>44761</v>
      </c>
      <c r="B35" s="11">
        <v>1.8491</v>
      </c>
      <c r="C35" s="11">
        <v>2.5868</v>
      </c>
      <c r="D35" s="11">
        <v>2.7859</v>
      </c>
      <c r="E35" s="11">
        <v>3.2785</v>
      </c>
      <c r="F35" s="11">
        <v>2.0875</v>
      </c>
      <c r="G35" s="11">
        <v>2.5735</v>
      </c>
      <c r="H35" s="12">
        <v>1.6</v>
      </c>
    </row>
    <row r="36" spans="1:8">
      <c r="A36" s="7">
        <v>44762</v>
      </c>
      <c r="B36" s="11">
        <v>1.8712</v>
      </c>
      <c r="C36" s="11">
        <v>2.5634</v>
      </c>
      <c r="D36" s="11">
        <v>2.771</v>
      </c>
      <c r="E36" s="11">
        <v>3.2636</v>
      </c>
      <c r="F36" s="11">
        <v>2.0793</v>
      </c>
      <c r="G36" s="11">
        <v>2.5611</v>
      </c>
      <c r="H36" s="12">
        <v>1.6</v>
      </c>
    </row>
    <row r="37" spans="1:8">
      <c r="A37" s="7">
        <v>44763</v>
      </c>
      <c r="B37" s="11">
        <v>1.8717</v>
      </c>
      <c r="C37" s="11">
        <v>2.5516</v>
      </c>
      <c r="D37" s="11">
        <v>2.7635</v>
      </c>
      <c r="E37" s="11">
        <v>3.2566</v>
      </c>
      <c r="F37" s="11">
        <v>2.0574</v>
      </c>
      <c r="G37" s="11">
        <v>2.5315</v>
      </c>
      <c r="H37" s="12">
        <v>1.6</v>
      </c>
    </row>
    <row r="38" spans="1:8">
      <c r="A38" s="7">
        <v>44764</v>
      </c>
      <c r="B38" s="11">
        <v>1.9036</v>
      </c>
      <c r="C38" s="11">
        <v>2.5801</v>
      </c>
      <c r="D38" s="11">
        <v>2.787</v>
      </c>
      <c r="E38" s="11">
        <v>3.2688</v>
      </c>
      <c r="F38" s="11">
        <v>2.0743</v>
      </c>
      <c r="G38" s="11">
        <v>2.5499</v>
      </c>
      <c r="H38" s="12">
        <v>1.55</v>
      </c>
    </row>
    <row r="39" spans="1:8">
      <c r="A39" s="7">
        <v>44767</v>
      </c>
      <c r="B39" s="11">
        <v>1.9007</v>
      </c>
      <c r="C39" s="11">
        <v>2.5555</v>
      </c>
      <c r="D39" s="11">
        <v>2.779</v>
      </c>
      <c r="E39" s="11">
        <v>3.2639</v>
      </c>
      <c r="F39" s="11">
        <v>2.0713</v>
      </c>
      <c r="G39" s="11">
        <v>2.5459</v>
      </c>
      <c r="H39" s="12">
        <v>1.8</v>
      </c>
    </row>
    <row r="40" spans="1:8">
      <c r="A40" s="7">
        <v>44768</v>
      </c>
      <c r="B40" s="11">
        <v>1.881</v>
      </c>
      <c r="C40" s="11">
        <v>2.5415</v>
      </c>
      <c r="D40" s="11">
        <v>2.77</v>
      </c>
      <c r="E40" s="11">
        <v>3.2571</v>
      </c>
      <c r="F40" s="11">
        <v>2.0618</v>
      </c>
      <c r="G40" s="11">
        <v>2.5338</v>
      </c>
      <c r="H40" s="12">
        <v>1.75</v>
      </c>
    </row>
    <row r="41" spans="1:8">
      <c r="A41" s="7">
        <v>44769</v>
      </c>
      <c r="B41" s="11">
        <v>1.8772</v>
      </c>
      <c r="C41" s="11">
        <v>2.5205</v>
      </c>
      <c r="D41" s="11">
        <v>2.7701</v>
      </c>
      <c r="E41" s="11">
        <v>3.2566</v>
      </c>
      <c r="F41" s="11">
        <v>2.056</v>
      </c>
      <c r="G41" s="11">
        <v>2.5308</v>
      </c>
      <c r="H41" s="12">
        <v>1.7</v>
      </c>
    </row>
    <row r="42" spans="1:8">
      <c r="A42" s="7">
        <v>44770</v>
      </c>
      <c r="B42" s="11">
        <v>1.8905</v>
      </c>
      <c r="C42" s="11">
        <v>2.5483</v>
      </c>
      <c r="D42" s="11">
        <v>2.785</v>
      </c>
      <c r="E42" s="11">
        <v>3.2693</v>
      </c>
      <c r="F42" s="11">
        <v>2.0695</v>
      </c>
      <c r="G42" s="11">
        <v>2.5538</v>
      </c>
      <c r="H42" s="12">
        <v>1.7</v>
      </c>
    </row>
    <row r="43" spans="1:8">
      <c r="A43" s="7">
        <v>44771</v>
      </c>
      <c r="B43" s="11">
        <v>1.8623</v>
      </c>
      <c r="C43" s="11">
        <v>2.5136</v>
      </c>
      <c r="D43" s="11">
        <v>2.756</v>
      </c>
      <c r="E43" s="11">
        <v>3.2449</v>
      </c>
      <c r="F43" s="11">
        <v>2.0388</v>
      </c>
      <c r="G43" s="11">
        <v>2.5253</v>
      </c>
      <c r="H43" s="12">
        <v>1.65</v>
      </c>
    </row>
    <row r="44" spans="1:8">
      <c r="A44" s="7">
        <v>44774</v>
      </c>
      <c r="B44" s="11">
        <v>1.8269</v>
      </c>
      <c r="C44" s="11">
        <v>2.4895</v>
      </c>
      <c r="D44" s="11">
        <v>2.7292</v>
      </c>
      <c r="E44" s="11">
        <v>3.2246</v>
      </c>
      <c r="F44" s="11">
        <v>2.0158</v>
      </c>
      <c r="G44" s="11">
        <v>2.5043</v>
      </c>
      <c r="H44" s="12">
        <v>1.55</v>
      </c>
    </row>
    <row r="45" spans="1:8">
      <c r="A45" s="7">
        <v>44775</v>
      </c>
      <c r="B45" s="11">
        <v>1.7705</v>
      </c>
      <c r="C45" s="11">
        <v>2.4899</v>
      </c>
      <c r="D45" s="11">
        <v>2.7314</v>
      </c>
      <c r="E45" s="11">
        <v>3.2273</v>
      </c>
      <c r="F45" s="11">
        <v>1.9994</v>
      </c>
      <c r="G45" s="11">
        <v>2.4913</v>
      </c>
      <c r="H45" s="12">
        <v>1.5</v>
      </c>
    </row>
    <row r="46" spans="1:8">
      <c r="A46" s="7">
        <v>44776</v>
      </c>
      <c r="B46" s="11">
        <v>1.7528</v>
      </c>
      <c r="C46" s="11">
        <v>2.4501</v>
      </c>
      <c r="D46" s="11">
        <v>2.7218</v>
      </c>
      <c r="E46" s="11">
        <v>3.2197</v>
      </c>
      <c r="F46" s="11">
        <v>1.9672</v>
      </c>
      <c r="G46" s="11">
        <v>2.4784</v>
      </c>
      <c r="H46" s="12">
        <v>1.4</v>
      </c>
    </row>
    <row r="47" spans="1:8">
      <c r="A47" s="7">
        <v>44777</v>
      </c>
      <c r="B47" s="11">
        <v>1.6907</v>
      </c>
      <c r="C47" s="11">
        <v>2.4379</v>
      </c>
      <c r="D47" s="11">
        <v>2.7192</v>
      </c>
      <c r="E47" s="11">
        <v>3.2191</v>
      </c>
      <c r="F47" s="11">
        <v>1.9063</v>
      </c>
      <c r="G47" s="11">
        <v>2.4374</v>
      </c>
      <c r="H47" s="12">
        <v>1.4</v>
      </c>
    </row>
    <row r="48" spans="1:8">
      <c r="A48" s="7">
        <v>44778</v>
      </c>
      <c r="B48" s="11">
        <v>1.7116</v>
      </c>
      <c r="C48" s="11">
        <v>2.4657</v>
      </c>
      <c r="D48" s="11">
        <v>2.7339</v>
      </c>
      <c r="E48" s="11">
        <v>3.2319</v>
      </c>
      <c r="F48" s="11">
        <v>1.9325</v>
      </c>
      <c r="G48" s="11">
        <v>2.4607</v>
      </c>
      <c r="H48" s="12">
        <v>1.4</v>
      </c>
    </row>
    <row r="49" spans="1:8">
      <c r="A49" s="7">
        <v>44781</v>
      </c>
      <c r="B49" s="11">
        <v>1.7316</v>
      </c>
      <c r="C49" s="11">
        <v>2.4715</v>
      </c>
      <c r="D49" s="11">
        <v>2.7409</v>
      </c>
      <c r="E49" s="11">
        <v>3.2416</v>
      </c>
      <c r="F49" s="11">
        <v>1.9384</v>
      </c>
      <c r="G49" s="11">
        <v>2.4742</v>
      </c>
      <c r="H49" s="12">
        <v>1.37</v>
      </c>
    </row>
    <row r="50" spans="1:8">
      <c r="A50" s="7">
        <v>44782</v>
      </c>
      <c r="B50" s="11">
        <v>1.7886</v>
      </c>
      <c r="C50" s="11">
        <v>2.4889</v>
      </c>
      <c r="D50" s="11">
        <v>2.74</v>
      </c>
      <c r="E50" s="11">
        <v>3.244</v>
      </c>
      <c r="F50" s="11">
        <v>1.9788</v>
      </c>
      <c r="G50" s="11">
        <v>2.5031</v>
      </c>
      <c r="H50" s="12">
        <v>1.3737</v>
      </c>
    </row>
    <row r="51" spans="1:8">
      <c r="A51" s="7">
        <v>44783</v>
      </c>
      <c r="B51" s="11">
        <v>1.8136</v>
      </c>
      <c r="C51" s="11">
        <v>2.4914</v>
      </c>
      <c r="D51" s="11">
        <v>2.7366</v>
      </c>
      <c r="E51" s="11">
        <v>3.242</v>
      </c>
      <c r="F51" s="11">
        <v>1.9872</v>
      </c>
      <c r="G51" s="11">
        <v>2.4985</v>
      </c>
      <c r="H51" s="12">
        <v>1.4</v>
      </c>
    </row>
    <row r="52" spans="1:8">
      <c r="A52" s="7">
        <v>44784</v>
      </c>
      <c r="B52" s="11">
        <v>1.8161</v>
      </c>
      <c r="C52" s="11">
        <v>2.4839</v>
      </c>
      <c r="D52" s="11">
        <v>2.7317</v>
      </c>
      <c r="E52" s="11">
        <v>3.2403</v>
      </c>
      <c r="F52" s="11">
        <v>2.0097</v>
      </c>
      <c r="G52" s="11">
        <v>2.515</v>
      </c>
      <c r="H52" s="12">
        <v>1.4</v>
      </c>
    </row>
    <row r="53" spans="1:8">
      <c r="A53" s="7">
        <v>44785</v>
      </c>
      <c r="B53" s="11">
        <v>1.8115</v>
      </c>
      <c r="C53" s="11">
        <v>2.4892</v>
      </c>
      <c r="D53" s="11">
        <v>2.7347</v>
      </c>
      <c r="E53" s="11">
        <v>3.2422</v>
      </c>
      <c r="F53" s="11">
        <v>2.0115</v>
      </c>
      <c r="G53" s="11">
        <v>2.5156</v>
      </c>
      <c r="H53" s="12">
        <v>1.45</v>
      </c>
    </row>
    <row r="54" spans="1:8">
      <c r="A54" s="7">
        <v>44788</v>
      </c>
      <c r="B54" s="11">
        <v>1.7167</v>
      </c>
      <c r="C54" s="11">
        <v>2.395</v>
      </c>
      <c r="D54" s="11">
        <v>2.6582</v>
      </c>
      <c r="E54" s="11">
        <v>3.1883</v>
      </c>
      <c r="F54" s="11">
        <v>1.9164</v>
      </c>
      <c r="G54" s="11">
        <v>2.418</v>
      </c>
      <c r="H54" s="12">
        <v>1.41</v>
      </c>
    </row>
    <row r="55" spans="1:8">
      <c r="A55" s="7">
        <v>44789</v>
      </c>
      <c r="B55" s="11">
        <v>1.7199</v>
      </c>
      <c r="C55" s="11">
        <v>2.3828</v>
      </c>
      <c r="D55" s="11">
        <v>2.6346</v>
      </c>
      <c r="E55" s="11">
        <v>3.1759</v>
      </c>
      <c r="F55" s="11">
        <v>1.8897</v>
      </c>
      <c r="G55" s="11">
        <v>2.393</v>
      </c>
      <c r="H55" s="12">
        <v>1.4</v>
      </c>
    </row>
    <row r="56" spans="1:8">
      <c r="A56" s="7">
        <v>44790</v>
      </c>
      <c r="B56" s="11">
        <v>1.719</v>
      </c>
      <c r="C56" s="11">
        <v>2.3801</v>
      </c>
      <c r="D56" s="11">
        <v>2.6124</v>
      </c>
      <c r="E56" s="11">
        <v>3.1709</v>
      </c>
      <c r="F56" s="11">
        <v>1.9046</v>
      </c>
      <c r="G56" s="11">
        <v>2.413</v>
      </c>
      <c r="H56" s="12">
        <v>1.5</v>
      </c>
    </row>
    <row r="57" spans="1:8">
      <c r="A57" s="7">
        <v>44791</v>
      </c>
      <c r="B57" s="11">
        <v>1.7004</v>
      </c>
      <c r="C57" s="11">
        <v>2.3578</v>
      </c>
      <c r="D57" s="11">
        <v>2.58</v>
      </c>
      <c r="E57" s="11">
        <v>3.1378</v>
      </c>
      <c r="F57" s="11">
        <v>1.8854</v>
      </c>
      <c r="G57" s="11">
        <v>2.3957</v>
      </c>
      <c r="H57" s="12">
        <v>1.5</v>
      </c>
    </row>
    <row r="58" spans="1:8">
      <c r="A58" s="7">
        <v>44792</v>
      </c>
      <c r="B58" s="11">
        <v>1.7248</v>
      </c>
      <c r="C58" s="11">
        <v>2.3708</v>
      </c>
      <c r="D58" s="11">
        <v>2.5875</v>
      </c>
      <c r="E58" s="11">
        <v>3.1141</v>
      </c>
      <c r="F58" s="11">
        <v>1.8879</v>
      </c>
      <c r="G58" s="11">
        <v>2.3975</v>
      </c>
      <c r="H58" s="12">
        <v>1.5</v>
      </c>
    </row>
    <row r="59" spans="1:8">
      <c r="A59" s="7">
        <v>44795</v>
      </c>
      <c r="B59" s="11">
        <v>1.757</v>
      </c>
      <c r="C59" s="11">
        <v>2.3967</v>
      </c>
      <c r="D59" s="11">
        <v>2.5925</v>
      </c>
      <c r="E59" s="11">
        <v>3.0985</v>
      </c>
      <c r="F59" s="11">
        <v>1.9004</v>
      </c>
      <c r="G59" s="11">
        <v>2.4029</v>
      </c>
      <c r="H59" s="12">
        <v>1.5</v>
      </c>
    </row>
    <row r="60" spans="1:8">
      <c r="A60" s="7">
        <v>44796</v>
      </c>
      <c r="B60" s="11">
        <v>1.7571</v>
      </c>
      <c r="C60" s="11">
        <v>2.4091</v>
      </c>
      <c r="D60" s="11">
        <v>2.6075</v>
      </c>
      <c r="E60" s="11">
        <v>3.1105</v>
      </c>
      <c r="F60" s="11">
        <v>1.916</v>
      </c>
      <c r="G60" s="11">
        <v>2.4221</v>
      </c>
      <c r="H60" s="12">
        <v>1.45</v>
      </c>
    </row>
    <row r="61" spans="1:8">
      <c r="A61" s="7">
        <v>44797</v>
      </c>
      <c r="B61" s="11">
        <v>1.7496</v>
      </c>
      <c r="C61" s="11">
        <v>2.4122</v>
      </c>
      <c r="D61" s="11">
        <v>2.61</v>
      </c>
      <c r="E61" s="11">
        <v>3.1129</v>
      </c>
      <c r="F61" s="11">
        <v>1.9149</v>
      </c>
      <c r="G61" s="11">
        <v>2.4222</v>
      </c>
      <c r="H61" s="12">
        <v>1.45</v>
      </c>
    </row>
    <row r="62" spans="1:8">
      <c r="A62" s="7">
        <v>44798</v>
      </c>
      <c r="B62" s="11">
        <v>1.7912</v>
      </c>
      <c r="C62" s="11">
        <v>2.4448</v>
      </c>
      <c r="D62" s="11">
        <v>2.639</v>
      </c>
      <c r="E62" s="11">
        <v>3.1426</v>
      </c>
      <c r="F62" s="11">
        <v>1.9401</v>
      </c>
      <c r="G62" s="11">
        <v>2.4443</v>
      </c>
      <c r="H62" s="12">
        <v>1.7</v>
      </c>
    </row>
    <row r="63" spans="1:8">
      <c r="A63" s="7">
        <v>44799</v>
      </c>
      <c r="B63" s="11">
        <v>1.7922</v>
      </c>
      <c r="C63" s="11">
        <v>2.4433</v>
      </c>
      <c r="D63" s="11">
        <v>2.643</v>
      </c>
      <c r="E63" s="11">
        <v>3.1439</v>
      </c>
      <c r="F63" s="11">
        <v>1.9569</v>
      </c>
      <c r="G63" s="11">
        <v>2.4536</v>
      </c>
      <c r="H63" s="12">
        <v>1.8</v>
      </c>
    </row>
    <row r="64" spans="1:8">
      <c r="A64" s="7">
        <v>44802</v>
      </c>
      <c r="B64" s="11">
        <v>1.7561</v>
      </c>
      <c r="C64" s="11">
        <v>2.413</v>
      </c>
      <c r="D64" s="11">
        <v>2.6225</v>
      </c>
      <c r="E64" s="11">
        <v>3.1235</v>
      </c>
      <c r="F64" s="11">
        <v>1.941</v>
      </c>
      <c r="G64" s="11">
        <v>2.4436</v>
      </c>
      <c r="H64" s="12">
        <v>1.8</v>
      </c>
    </row>
    <row r="65" spans="1:8">
      <c r="A65" s="7">
        <v>44803</v>
      </c>
      <c r="B65" s="11">
        <v>1.7406</v>
      </c>
      <c r="C65" s="11">
        <v>2.4071</v>
      </c>
      <c r="D65" s="11">
        <v>2.613</v>
      </c>
      <c r="E65" s="11">
        <v>3.1162</v>
      </c>
      <c r="F65" s="11">
        <v>1.9261</v>
      </c>
      <c r="G65" s="11">
        <v>2.4211</v>
      </c>
      <c r="H65" s="12">
        <v>1.75</v>
      </c>
    </row>
    <row r="66" spans="1:8">
      <c r="A66" s="7">
        <v>44804</v>
      </c>
      <c r="B66" s="11">
        <v>1.7378</v>
      </c>
      <c r="C66" s="11">
        <v>2.4065</v>
      </c>
      <c r="D66" s="11">
        <v>2.6225</v>
      </c>
      <c r="E66" s="11">
        <v>3.1162</v>
      </c>
      <c r="F66" s="11">
        <v>1.9138</v>
      </c>
      <c r="G66" s="11">
        <v>2.4244</v>
      </c>
      <c r="H66" s="12">
        <v>1.7</v>
      </c>
    </row>
    <row r="67" spans="1:8">
      <c r="A67" s="7">
        <v>44805</v>
      </c>
      <c r="B67" s="11">
        <v>1.7243</v>
      </c>
      <c r="C67" s="11">
        <v>2.3965</v>
      </c>
      <c r="D67" s="11">
        <v>2.6125</v>
      </c>
      <c r="E67" s="11">
        <v>3.1032</v>
      </c>
      <c r="F67" s="11">
        <v>1.9044</v>
      </c>
      <c r="G67" s="11">
        <v>2.415</v>
      </c>
      <c r="H67" s="12">
        <v>1.5</v>
      </c>
    </row>
    <row r="68" spans="1:8">
      <c r="A68" s="7">
        <v>44806</v>
      </c>
      <c r="B68" s="11">
        <v>1.7193</v>
      </c>
      <c r="C68" s="11">
        <v>2.4024</v>
      </c>
      <c r="D68" s="11">
        <v>2.6226</v>
      </c>
      <c r="E68" s="11">
        <v>3.1008</v>
      </c>
      <c r="F68" s="11">
        <v>1.894</v>
      </c>
      <c r="G68" s="11">
        <v>2.4021</v>
      </c>
      <c r="H68" s="12">
        <v>1.5199</v>
      </c>
    </row>
    <row r="69" spans="1:8">
      <c r="A69" s="7">
        <v>44809</v>
      </c>
      <c r="B69" s="11">
        <v>1.7132</v>
      </c>
      <c r="C69" s="11">
        <v>2.3882</v>
      </c>
      <c r="D69" s="11">
        <v>2.618</v>
      </c>
      <c r="E69" s="11">
        <v>3.09</v>
      </c>
      <c r="F69" s="11">
        <v>1.8845</v>
      </c>
      <c r="G69" s="11">
        <v>2.3971</v>
      </c>
      <c r="H69" s="12">
        <v>1.5</v>
      </c>
    </row>
    <row r="70" spans="1:8">
      <c r="A70" s="7">
        <v>44810</v>
      </c>
      <c r="B70" s="11">
        <v>1.7127</v>
      </c>
      <c r="C70" s="11">
        <v>2.3835</v>
      </c>
      <c r="D70" s="11">
        <v>2.614</v>
      </c>
      <c r="E70" s="11">
        <v>3.0846</v>
      </c>
      <c r="F70" s="11">
        <v>1.8845</v>
      </c>
      <c r="G70" s="11">
        <v>2.3943</v>
      </c>
      <c r="H70" s="12">
        <v>1.5</v>
      </c>
    </row>
    <row r="71" spans="1:8">
      <c r="A71" s="7">
        <v>44811</v>
      </c>
      <c r="B71" s="11">
        <v>1.7365</v>
      </c>
      <c r="C71" s="11">
        <v>2.3914</v>
      </c>
      <c r="D71" s="11">
        <v>2.6215</v>
      </c>
      <c r="E71" s="11">
        <v>3.0887</v>
      </c>
      <c r="F71" s="11">
        <v>1.8898</v>
      </c>
      <c r="G71" s="11">
        <v>2.3988</v>
      </c>
      <c r="H71" s="12">
        <v>1.51</v>
      </c>
    </row>
    <row r="72" spans="1:8">
      <c r="A72" s="7">
        <v>44812</v>
      </c>
      <c r="B72" s="11">
        <v>1.749</v>
      </c>
      <c r="C72" s="11">
        <v>2.3986</v>
      </c>
      <c r="D72" s="11">
        <v>2.6256</v>
      </c>
      <c r="E72" s="11">
        <v>3.0901</v>
      </c>
      <c r="F72" s="11">
        <v>1.906</v>
      </c>
      <c r="G72" s="11">
        <v>2.4122</v>
      </c>
      <c r="H72" s="12">
        <v>1.5</v>
      </c>
    </row>
    <row r="73" spans="1:8">
      <c r="A73" s="7">
        <v>44813</v>
      </c>
      <c r="B73" s="11">
        <v>1.7597</v>
      </c>
      <c r="C73" s="11">
        <v>2.4184</v>
      </c>
      <c r="D73" s="11">
        <v>2.635</v>
      </c>
      <c r="E73" s="11">
        <v>3.0982</v>
      </c>
      <c r="F73" s="11">
        <v>1.9135</v>
      </c>
      <c r="G73" s="11">
        <v>2.4202</v>
      </c>
      <c r="H73" s="12">
        <v>1.55</v>
      </c>
    </row>
    <row r="74" spans="1:8">
      <c r="A74" s="7">
        <v>44817</v>
      </c>
      <c r="B74" s="11">
        <v>1.7697</v>
      </c>
      <c r="C74" s="11">
        <v>2.4303</v>
      </c>
      <c r="D74" s="11">
        <v>2.6427</v>
      </c>
      <c r="E74" s="11">
        <v>3.1011</v>
      </c>
      <c r="F74" s="11">
        <v>1.9221</v>
      </c>
      <c r="G74" s="11">
        <v>2.4356</v>
      </c>
      <c r="H74" s="12">
        <v>1.55</v>
      </c>
    </row>
    <row r="75" spans="1:8">
      <c r="A75" s="7">
        <v>44818</v>
      </c>
      <c r="B75" s="11">
        <v>1.8015</v>
      </c>
      <c r="C75" s="11">
        <v>2.4499</v>
      </c>
      <c r="D75" s="11">
        <v>2.6625</v>
      </c>
      <c r="E75" s="11">
        <v>3.1089</v>
      </c>
      <c r="F75" s="11">
        <v>1.935</v>
      </c>
      <c r="G75" s="11">
        <v>2.4498</v>
      </c>
      <c r="H75" s="12">
        <v>1.6</v>
      </c>
    </row>
    <row r="76" spans="1:8">
      <c r="A76" s="7">
        <v>44819</v>
      </c>
      <c r="B76" s="11">
        <v>1.8058</v>
      </c>
      <c r="C76" s="11">
        <v>2.4546</v>
      </c>
      <c r="D76" s="11">
        <v>2.6625</v>
      </c>
      <c r="E76" s="11">
        <v>3.106</v>
      </c>
      <c r="F76" s="11">
        <v>1.9439</v>
      </c>
      <c r="G76" s="11">
        <v>2.4521</v>
      </c>
      <c r="H76" s="12">
        <v>1.6</v>
      </c>
    </row>
    <row r="77" spans="1:8">
      <c r="A77" s="7">
        <v>44820</v>
      </c>
      <c r="B77" s="11">
        <v>1.8298</v>
      </c>
      <c r="C77" s="11">
        <v>2.4666</v>
      </c>
      <c r="D77" s="11">
        <v>2.673</v>
      </c>
      <c r="E77" s="11">
        <v>3.1059</v>
      </c>
      <c r="F77" s="11">
        <v>1.9756</v>
      </c>
      <c r="G77" s="11">
        <v>2.479</v>
      </c>
      <c r="H77" s="12">
        <v>1.63</v>
      </c>
    </row>
    <row r="78" spans="1:8">
      <c r="A78" s="7">
        <v>44823</v>
      </c>
      <c r="B78" s="11">
        <v>1.8506</v>
      </c>
      <c r="C78" s="11">
        <v>2.459</v>
      </c>
      <c r="D78" s="11">
        <v>2.675</v>
      </c>
      <c r="E78" s="11">
        <v>3.1039</v>
      </c>
      <c r="F78" s="11">
        <v>1.9686</v>
      </c>
      <c r="G78" s="11">
        <v>2.4685</v>
      </c>
      <c r="H78" s="12">
        <v>1.7</v>
      </c>
    </row>
    <row r="79" spans="1:8">
      <c r="A79" s="7">
        <v>44824</v>
      </c>
      <c r="B79" s="11">
        <v>1.8483</v>
      </c>
      <c r="C79" s="11">
        <v>2.4415</v>
      </c>
      <c r="D79" s="11">
        <v>2.664</v>
      </c>
      <c r="E79" s="11">
        <v>3.101</v>
      </c>
      <c r="F79" s="11">
        <v>1.9562</v>
      </c>
      <c r="G79" s="11">
        <v>2.4554</v>
      </c>
      <c r="H79" s="12">
        <v>1.75</v>
      </c>
    </row>
    <row r="80" spans="1:8">
      <c r="A80" s="7">
        <v>44825</v>
      </c>
      <c r="B80" s="11">
        <v>1.8282</v>
      </c>
      <c r="C80" s="11">
        <v>2.4325</v>
      </c>
      <c r="D80" s="11">
        <v>2.6451</v>
      </c>
      <c r="E80" s="11">
        <v>3.089</v>
      </c>
      <c r="F80" s="11">
        <v>1.9533</v>
      </c>
      <c r="G80" s="11">
        <v>2.4465</v>
      </c>
      <c r="H80" s="12">
        <v>1.74</v>
      </c>
    </row>
    <row r="81" spans="1:8">
      <c r="A81" s="7">
        <v>44826</v>
      </c>
      <c r="B81" s="11">
        <v>1.8232</v>
      </c>
      <c r="C81" s="11">
        <v>2.4429</v>
      </c>
      <c r="D81" s="11">
        <v>2.6501</v>
      </c>
      <c r="E81" s="11">
        <v>3.0913</v>
      </c>
      <c r="F81" s="11">
        <v>1.9617</v>
      </c>
      <c r="G81" s="11">
        <v>2.451</v>
      </c>
      <c r="H81" s="12">
        <v>1.65</v>
      </c>
    </row>
    <row r="82" spans="1:8">
      <c r="A82" s="7">
        <v>44827</v>
      </c>
      <c r="B82" s="11">
        <v>1.828</v>
      </c>
      <c r="C82" s="11">
        <v>2.4688</v>
      </c>
      <c r="D82" s="11">
        <v>2.6802</v>
      </c>
      <c r="E82" s="11">
        <v>3.1008</v>
      </c>
      <c r="F82" s="11">
        <v>1.9687</v>
      </c>
      <c r="G82" s="11">
        <v>2.4721</v>
      </c>
      <c r="H82" s="12">
        <v>1.55</v>
      </c>
    </row>
    <row r="83" spans="1:8">
      <c r="A83" s="7">
        <v>44830</v>
      </c>
      <c r="B83" s="11">
        <v>1.8608</v>
      </c>
      <c r="C83" s="11">
        <v>2.512</v>
      </c>
      <c r="D83" s="11">
        <v>2.7154</v>
      </c>
      <c r="E83" s="11">
        <v>3.1274</v>
      </c>
      <c r="F83" s="11">
        <v>2.0095</v>
      </c>
      <c r="G83" s="11">
        <v>2.5082</v>
      </c>
      <c r="H83" s="12">
        <v>1.79</v>
      </c>
    </row>
    <row r="84" spans="1:8">
      <c r="A84" s="7">
        <v>44831</v>
      </c>
      <c r="B84" s="11">
        <v>1.8711</v>
      </c>
      <c r="C84" s="11">
        <v>2.5026</v>
      </c>
      <c r="D84" s="11">
        <v>2.7051</v>
      </c>
      <c r="E84" s="11">
        <v>3.1202</v>
      </c>
      <c r="F84" s="11">
        <v>1.9974</v>
      </c>
      <c r="G84" s="11">
        <v>2.5158</v>
      </c>
      <c r="H84" s="12">
        <v>1.45</v>
      </c>
    </row>
    <row r="85" spans="1:8">
      <c r="A85" s="7">
        <v>44832</v>
      </c>
      <c r="B85" s="11">
        <v>1.9024</v>
      </c>
      <c r="C85" s="11">
        <v>2.5315</v>
      </c>
      <c r="D85" s="11">
        <v>2.7401</v>
      </c>
      <c r="E85" s="11">
        <v>3.1448</v>
      </c>
      <c r="F85" s="11">
        <v>1.9991</v>
      </c>
      <c r="G85" s="11">
        <v>2.5303</v>
      </c>
      <c r="H85" s="12">
        <v>1.6854</v>
      </c>
    </row>
    <row r="86" spans="1:8">
      <c r="A86" s="7">
        <v>44833</v>
      </c>
      <c r="B86" s="11">
        <v>1.893</v>
      </c>
      <c r="C86" s="11">
        <v>2.5616</v>
      </c>
      <c r="D86" s="11">
        <v>2.7501</v>
      </c>
      <c r="E86" s="11">
        <v>3.1445</v>
      </c>
      <c r="F86" s="11">
        <v>2.0235</v>
      </c>
      <c r="G86" s="11">
        <v>2.5461</v>
      </c>
      <c r="H86" s="12">
        <v>2.06</v>
      </c>
    </row>
    <row r="87" spans="1:8">
      <c r="A87" s="7">
        <v>44834</v>
      </c>
      <c r="B87" s="11">
        <v>1.8535</v>
      </c>
      <c r="C87" s="11">
        <v>2.5836</v>
      </c>
      <c r="D87" s="11">
        <v>2.7601</v>
      </c>
      <c r="E87" s="11">
        <v>3.179</v>
      </c>
      <c r="F87" s="11">
        <v>2.0235</v>
      </c>
      <c r="G87" s="11">
        <v>2.5707</v>
      </c>
      <c r="H87" s="12">
        <v>2.06</v>
      </c>
    </row>
    <row r="88" spans="1:8">
      <c r="A88" s="7">
        <v>44842</v>
      </c>
      <c r="B88" s="11">
        <v>1.8323</v>
      </c>
      <c r="C88" s="11">
        <v>2.5811</v>
      </c>
      <c r="D88" s="11">
        <v>2.7626</v>
      </c>
      <c r="E88" s="11">
        <v>3.1851</v>
      </c>
      <c r="F88" s="11">
        <v>2.015</v>
      </c>
      <c r="G88" s="11">
        <v>2.55</v>
      </c>
      <c r="H88" s="12">
        <v>1.65</v>
      </c>
    </row>
    <row r="89" spans="1:8">
      <c r="A89" s="7">
        <v>44843</v>
      </c>
      <c r="B89" s="11">
        <v>1.829</v>
      </c>
      <c r="C89" s="11">
        <v>2.5486</v>
      </c>
      <c r="D89" s="11">
        <v>2.7452</v>
      </c>
      <c r="E89" s="11">
        <v>3.164</v>
      </c>
      <c r="F89" s="11">
        <v>2.0033</v>
      </c>
      <c r="G89" s="11">
        <v>2.5503</v>
      </c>
      <c r="H89" s="12">
        <v>1.4</v>
      </c>
    </row>
    <row r="90" spans="1:8">
      <c r="A90" s="7">
        <v>44844</v>
      </c>
      <c r="B90" s="11">
        <v>1.7908</v>
      </c>
      <c r="C90" s="11">
        <v>2.5306</v>
      </c>
      <c r="D90" s="11">
        <v>2.7402</v>
      </c>
      <c r="E90" s="11">
        <v>3.1637</v>
      </c>
      <c r="F90" s="11">
        <v>1.9757</v>
      </c>
      <c r="G90" s="11">
        <v>2.5374</v>
      </c>
      <c r="H90" s="12">
        <v>1.5401</v>
      </c>
    </row>
    <row r="91" spans="1:8">
      <c r="A91" s="7">
        <v>44845</v>
      </c>
      <c r="B91" s="11">
        <v>1.7867</v>
      </c>
      <c r="C91" s="11">
        <v>2.535</v>
      </c>
      <c r="D91" s="11">
        <v>2.7426</v>
      </c>
      <c r="E91" s="11">
        <v>3.1632</v>
      </c>
      <c r="F91" s="11">
        <v>1.9723</v>
      </c>
      <c r="G91" s="11">
        <v>2.5285</v>
      </c>
      <c r="H91" s="12">
        <v>1.6</v>
      </c>
    </row>
    <row r="92" spans="1:8">
      <c r="A92" s="7">
        <v>44846</v>
      </c>
      <c r="B92" s="11">
        <v>1.8067</v>
      </c>
      <c r="C92" s="11">
        <v>2.5219</v>
      </c>
      <c r="D92" s="11">
        <v>2.7352</v>
      </c>
      <c r="E92" s="11">
        <v>3.1607</v>
      </c>
      <c r="F92" s="11">
        <v>1.9716</v>
      </c>
      <c r="G92" s="11">
        <v>2.5302</v>
      </c>
      <c r="H92" s="12">
        <v>1.61</v>
      </c>
    </row>
    <row r="93" spans="1:8">
      <c r="A93" s="7">
        <v>44847</v>
      </c>
      <c r="B93" s="11">
        <v>1.8051</v>
      </c>
      <c r="C93" s="11">
        <v>2.5122</v>
      </c>
      <c r="D93" s="11">
        <v>2.7252</v>
      </c>
      <c r="E93" s="11">
        <v>3.1533</v>
      </c>
      <c r="F93" s="11">
        <v>1.9607</v>
      </c>
      <c r="G93" s="11">
        <v>2.5193</v>
      </c>
      <c r="H93" s="12">
        <v>1.62</v>
      </c>
    </row>
    <row r="94" spans="1:8">
      <c r="A94" s="7">
        <v>44848</v>
      </c>
      <c r="B94" s="11">
        <v>1.7851</v>
      </c>
      <c r="C94" s="11">
        <v>2.4905</v>
      </c>
      <c r="D94" s="11">
        <v>2.6977</v>
      </c>
      <c r="E94" s="11">
        <v>3.1289</v>
      </c>
      <c r="F94" s="11">
        <v>1.9555</v>
      </c>
      <c r="G94" s="11">
        <v>2.5115</v>
      </c>
      <c r="H94" s="12">
        <v>1.6</v>
      </c>
    </row>
    <row r="95" spans="1:8">
      <c r="A95" s="7">
        <v>44851</v>
      </c>
      <c r="B95" s="11">
        <v>1.7856</v>
      </c>
      <c r="C95" s="11">
        <v>2.4931</v>
      </c>
      <c r="D95" s="11">
        <v>2.7002</v>
      </c>
      <c r="E95" s="11">
        <v>3.129</v>
      </c>
      <c r="F95" s="11">
        <v>1.9473</v>
      </c>
      <c r="G95" s="11">
        <v>2.499</v>
      </c>
      <c r="H95" s="12">
        <v>1.55</v>
      </c>
    </row>
    <row r="96" spans="1:8">
      <c r="A96" s="7">
        <v>44852</v>
      </c>
      <c r="B96" s="11">
        <v>1.7856</v>
      </c>
      <c r="C96" s="11">
        <v>2.4911</v>
      </c>
      <c r="D96" s="11">
        <v>2.7002</v>
      </c>
      <c r="E96" s="11">
        <v>3.1314</v>
      </c>
      <c r="F96" s="11">
        <v>1.9466</v>
      </c>
      <c r="G96" s="11">
        <v>2.5018</v>
      </c>
      <c r="H96" s="12">
        <v>1.5249</v>
      </c>
    </row>
    <row r="97" spans="1:8">
      <c r="A97" s="7">
        <v>44853</v>
      </c>
      <c r="B97" s="11">
        <v>1.7806</v>
      </c>
      <c r="C97" s="11">
        <v>2.4762</v>
      </c>
      <c r="D97" s="11">
        <v>2.7052</v>
      </c>
      <c r="E97" s="11">
        <v>3.1343</v>
      </c>
      <c r="F97" s="11">
        <v>1.9461</v>
      </c>
      <c r="G97" s="11">
        <v>2.5002</v>
      </c>
      <c r="H97" s="12">
        <v>1.58</v>
      </c>
    </row>
    <row r="98" spans="1:8">
      <c r="A98" s="7">
        <v>44854</v>
      </c>
      <c r="B98" s="11">
        <v>1.7656</v>
      </c>
      <c r="C98" s="11">
        <v>2.4841</v>
      </c>
      <c r="D98" s="11">
        <v>2.7175</v>
      </c>
      <c r="E98" s="11">
        <v>3.1471</v>
      </c>
      <c r="F98" s="11">
        <v>1.9568</v>
      </c>
      <c r="G98" s="11">
        <v>2.5167</v>
      </c>
      <c r="H98" s="12">
        <v>1.6</v>
      </c>
    </row>
    <row r="99" spans="1:8">
      <c r="A99" s="7">
        <v>44855</v>
      </c>
      <c r="B99" s="11">
        <v>1.7706</v>
      </c>
      <c r="C99" s="11">
        <v>2.4918</v>
      </c>
      <c r="D99" s="11">
        <v>2.7278</v>
      </c>
      <c r="E99" s="11">
        <v>3.1555</v>
      </c>
      <c r="F99" s="11">
        <v>1.9751</v>
      </c>
      <c r="G99" s="11">
        <v>2.5251</v>
      </c>
      <c r="H99" s="12">
        <v>1.67</v>
      </c>
    </row>
    <row r="100" spans="1:8">
      <c r="A100" s="7">
        <v>44858</v>
      </c>
      <c r="B100" s="11">
        <v>1.77</v>
      </c>
      <c r="C100" s="11">
        <v>2.4852</v>
      </c>
      <c r="D100" s="11">
        <v>2.7153</v>
      </c>
      <c r="E100" s="11">
        <v>3.1416</v>
      </c>
      <c r="F100" s="11">
        <v>1.9792</v>
      </c>
      <c r="G100" s="11">
        <v>2.5198</v>
      </c>
      <c r="H100" s="12">
        <v>1.71</v>
      </c>
    </row>
    <row r="101" spans="1:8">
      <c r="A101" s="7">
        <v>44859</v>
      </c>
      <c r="B101" s="11">
        <v>1.7945</v>
      </c>
      <c r="C101" s="11">
        <v>2.5031</v>
      </c>
      <c r="D101" s="11">
        <v>2.7278</v>
      </c>
      <c r="E101" s="11">
        <v>3.1486</v>
      </c>
      <c r="F101" s="11">
        <v>1.9999</v>
      </c>
      <c r="G101" s="11">
        <v>2.5276</v>
      </c>
      <c r="H101" s="12">
        <v>2.2</v>
      </c>
    </row>
    <row r="102" spans="1:8">
      <c r="A102" s="7">
        <v>44860</v>
      </c>
      <c r="B102" s="11">
        <v>1.8005</v>
      </c>
      <c r="C102" s="11">
        <v>2.4835</v>
      </c>
      <c r="D102" s="11">
        <v>2.7025</v>
      </c>
      <c r="E102" s="11">
        <v>3.1394</v>
      </c>
      <c r="F102" s="11">
        <v>1.9944</v>
      </c>
      <c r="G102" s="11">
        <v>2.5217</v>
      </c>
      <c r="H102" s="12">
        <v>2.2</v>
      </c>
    </row>
    <row r="103" spans="1:8">
      <c r="A103" s="7">
        <v>44861</v>
      </c>
      <c r="B103" s="11">
        <v>1.7551</v>
      </c>
      <c r="C103" s="11">
        <v>2.4636</v>
      </c>
      <c r="D103" s="11">
        <v>2.6953</v>
      </c>
      <c r="E103" s="11">
        <v>3.1142</v>
      </c>
      <c r="F103" s="11">
        <v>1.9782</v>
      </c>
      <c r="G103" s="11">
        <v>2.499</v>
      </c>
      <c r="H103" s="12">
        <v>2.2</v>
      </c>
    </row>
    <row r="104" spans="1:8">
      <c r="A104" s="7">
        <v>44862</v>
      </c>
      <c r="B104" s="11">
        <v>1.7403</v>
      </c>
      <c r="C104" s="11">
        <v>2.4337</v>
      </c>
      <c r="D104" s="11">
        <v>2.6653</v>
      </c>
      <c r="E104" s="11">
        <v>3.0776</v>
      </c>
      <c r="F104" s="11">
        <v>1.9619</v>
      </c>
      <c r="G104" s="11">
        <v>2.4864</v>
      </c>
      <c r="H104" s="12">
        <v>1.99</v>
      </c>
    </row>
    <row r="105" spans="1:8">
      <c r="A105" s="7">
        <v>44865</v>
      </c>
      <c r="B105" s="11">
        <v>1.7305</v>
      </c>
      <c r="C105" s="11">
        <v>2.4272</v>
      </c>
      <c r="D105" s="11">
        <v>2.6433</v>
      </c>
      <c r="E105" s="11">
        <v>3.0653</v>
      </c>
      <c r="F105" s="11">
        <v>1.9516</v>
      </c>
      <c r="G105" s="11">
        <v>2.4597</v>
      </c>
      <c r="H105" s="12">
        <v>1.94</v>
      </c>
    </row>
    <row r="106" spans="1:8">
      <c r="A106" s="7">
        <v>44866</v>
      </c>
      <c r="B106" s="11">
        <v>1.7523</v>
      </c>
      <c r="C106" s="11">
        <v>2.4476</v>
      </c>
      <c r="D106" s="11">
        <v>2.6629</v>
      </c>
      <c r="E106" s="11">
        <v>3.0753</v>
      </c>
      <c r="F106" s="11">
        <v>1.9781</v>
      </c>
      <c r="G106" s="11">
        <v>2.4834</v>
      </c>
      <c r="H106" s="12">
        <v>1.85</v>
      </c>
    </row>
    <row r="107" spans="1:8">
      <c r="A107" s="7">
        <v>44867</v>
      </c>
      <c r="B107" s="11">
        <v>1.7633</v>
      </c>
      <c r="C107" s="11">
        <v>2.4629</v>
      </c>
      <c r="D107" s="11">
        <v>2.6854</v>
      </c>
      <c r="E107" s="11">
        <v>3.0853</v>
      </c>
      <c r="F107" s="11">
        <v>1.9851</v>
      </c>
      <c r="G107" s="11">
        <v>2.4981</v>
      </c>
      <c r="H107" s="12">
        <v>1.8</v>
      </c>
    </row>
    <row r="108" spans="1:8">
      <c r="A108" s="7">
        <v>44868</v>
      </c>
      <c r="B108" s="11">
        <v>1.753</v>
      </c>
      <c r="C108" s="11">
        <v>2.4632</v>
      </c>
      <c r="D108" s="11">
        <v>2.6776</v>
      </c>
      <c r="E108" s="11">
        <v>3.0854</v>
      </c>
      <c r="F108" s="11">
        <v>1.9866</v>
      </c>
      <c r="G108" s="11">
        <v>2.5004</v>
      </c>
      <c r="H108" s="12">
        <v>1.65</v>
      </c>
    </row>
    <row r="109" spans="1:8">
      <c r="A109" s="7">
        <v>44869</v>
      </c>
      <c r="B109" s="11">
        <v>1.7628</v>
      </c>
      <c r="C109" s="11">
        <v>2.4887</v>
      </c>
      <c r="D109" s="11">
        <v>2.7023</v>
      </c>
      <c r="E109" s="11">
        <v>3.1029</v>
      </c>
      <c r="F109" s="11">
        <v>1.9992</v>
      </c>
      <c r="G109" s="11">
        <v>2.5267</v>
      </c>
      <c r="H109" s="12">
        <v>1.68</v>
      </c>
    </row>
    <row r="110" spans="1:8">
      <c r="A110" s="7">
        <v>44872</v>
      </c>
      <c r="B110" s="11">
        <v>1.7516</v>
      </c>
      <c r="C110" s="11">
        <v>2.4945</v>
      </c>
      <c r="D110" s="11">
        <v>2.7003</v>
      </c>
      <c r="E110" s="11">
        <v>3.1045</v>
      </c>
      <c r="F110" s="11">
        <v>2.015</v>
      </c>
      <c r="G110" s="11">
        <v>2.539</v>
      </c>
      <c r="H110" s="12">
        <v>1.75</v>
      </c>
    </row>
    <row r="111" spans="1:8">
      <c r="A111" s="7">
        <v>44873</v>
      </c>
      <c r="B111" s="11">
        <v>1.7774</v>
      </c>
      <c r="C111" s="11">
        <v>2.4841</v>
      </c>
      <c r="D111" s="11">
        <v>2.6853</v>
      </c>
      <c r="E111" s="11">
        <v>3.1006</v>
      </c>
      <c r="F111" s="11">
        <v>2.0413</v>
      </c>
      <c r="G111" s="11">
        <v>2.5566</v>
      </c>
      <c r="H111" s="12">
        <v>1.84</v>
      </c>
    </row>
    <row r="112" spans="1:8">
      <c r="A112" s="7">
        <v>44874</v>
      </c>
      <c r="B112" s="11">
        <v>1.8156</v>
      </c>
      <c r="C112" s="11">
        <v>2.4968</v>
      </c>
      <c r="D112" s="11">
        <v>2.6953</v>
      </c>
      <c r="E112" s="11">
        <v>3.1105</v>
      </c>
      <c r="F112" s="11">
        <v>2.0456</v>
      </c>
      <c r="G112" s="11">
        <v>2.5458</v>
      </c>
      <c r="H112" s="12">
        <v>1.91</v>
      </c>
    </row>
    <row r="113" spans="1:8">
      <c r="A113" s="7">
        <v>44875</v>
      </c>
      <c r="B113" s="11">
        <v>1.8584</v>
      </c>
      <c r="C113" s="11">
        <v>2.5022</v>
      </c>
      <c r="D113" s="11">
        <v>2.7028</v>
      </c>
      <c r="E113" s="11">
        <v>3.1166</v>
      </c>
      <c r="F113" s="11">
        <v>2.0662</v>
      </c>
      <c r="G113" s="11">
        <v>2.5515</v>
      </c>
      <c r="H113" s="12">
        <v>1.9</v>
      </c>
    </row>
    <row r="114" spans="1:8">
      <c r="A114" s="7">
        <v>44876</v>
      </c>
      <c r="B114" s="11">
        <v>1.9614</v>
      </c>
      <c r="C114" s="11">
        <v>2.5348</v>
      </c>
      <c r="D114" s="11">
        <v>2.7354</v>
      </c>
      <c r="E114" s="11">
        <v>3.1357</v>
      </c>
      <c r="F114" s="11">
        <v>2.0819</v>
      </c>
      <c r="G114" s="11">
        <v>2.5866</v>
      </c>
      <c r="H114" s="12">
        <v>1.85</v>
      </c>
    </row>
    <row r="115" spans="1:8">
      <c r="A115" s="7">
        <v>44879</v>
      </c>
      <c r="B115" s="11">
        <v>2.0663</v>
      </c>
      <c r="C115" s="11">
        <v>2.6474</v>
      </c>
      <c r="D115" s="11">
        <v>2.8354</v>
      </c>
      <c r="E115" s="11">
        <v>3.2207</v>
      </c>
      <c r="F115" s="11">
        <v>2.1809</v>
      </c>
      <c r="G115" s="11">
        <v>2.7143</v>
      </c>
      <c r="H115" s="12">
        <v>1.85</v>
      </c>
    </row>
    <row r="116" spans="1:8">
      <c r="A116" s="7">
        <v>44880</v>
      </c>
      <c r="B116" s="11">
        <v>2.1342</v>
      </c>
      <c r="C116" s="11">
        <v>2.6475</v>
      </c>
      <c r="D116" s="11">
        <v>2.8155</v>
      </c>
      <c r="E116" s="11">
        <v>3.2158</v>
      </c>
      <c r="F116" s="11">
        <v>2.2251</v>
      </c>
      <c r="G116" s="11">
        <v>2.7483</v>
      </c>
      <c r="H116" s="12">
        <v>2</v>
      </c>
    </row>
    <row r="117" spans="1:8">
      <c r="A117" s="7">
        <v>44881</v>
      </c>
      <c r="B117" s="11">
        <v>2.2014</v>
      </c>
      <c r="C117" s="11">
        <v>2.6824</v>
      </c>
      <c r="D117" s="11">
        <v>2.8329</v>
      </c>
      <c r="E117" s="11">
        <v>3.2309</v>
      </c>
      <c r="F117" s="11">
        <v>2.2874</v>
      </c>
      <c r="G117" s="11">
        <v>2.7884</v>
      </c>
      <c r="H117" s="12">
        <v>2.0313</v>
      </c>
    </row>
    <row r="118" spans="1:8">
      <c r="A118" s="7">
        <v>44882</v>
      </c>
      <c r="B118" s="11">
        <v>2.1715</v>
      </c>
      <c r="C118" s="11">
        <v>2.6379</v>
      </c>
      <c r="D118" s="11">
        <v>2.8026</v>
      </c>
      <c r="E118" s="11">
        <v>3.2109</v>
      </c>
      <c r="F118" s="11">
        <v>2.2745</v>
      </c>
      <c r="G118" s="11">
        <v>2.7924</v>
      </c>
      <c r="H118" s="12">
        <v>1.95</v>
      </c>
    </row>
    <row r="119" spans="1:8">
      <c r="A119" s="7">
        <v>44883</v>
      </c>
      <c r="B119" s="11">
        <v>2.1718</v>
      </c>
      <c r="C119" s="11">
        <v>2.6281</v>
      </c>
      <c r="D119" s="11">
        <v>2.825</v>
      </c>
      <c r="E119" s="11">
        <v>3.2209</v>
      </c>
      <c r="F119" s="11">
        <v>2.2353</v>
      </c>
      <c r="G119" s="11">
        <v>2.7644</v>
      </c>
      <c r="H119" s="12">
        <v>1.81</v>
      </c>
    </row>
    <row r="120" spans="1:8">
      <c r="A120" s="7">
        <v>44886</v>
      </c>
      <c r="B120" s="11">
        <v>2.1504</v>
      </c>
      <c r="C120" s="11">
        <v>2.6195</v>
      </c>
      <c r="D120" s="11">
        <v>2.818</v>
      </c>
      <c r="E120" s="11">
        <v>3.2086</v>
      </c>
      <c r="F120" s="11">
        <v>2.2123</v>
      </c>
      <c r="G120" s="11">
        <v>2.7362</v>
      </c>
      <c r="H120" s="12">
        <v>1.7</v>
      </c>
    </row>
    <row r="121" spans="1:8">
      <c r="A121" s="7">
        <v>44887</v>
      </c>
      <c r="B121" s="11">
        <v>2.1431</v>
      </c>
      <c r="C121" s="11">
        <v>2.6158</v>
      </c>
      <c r="D121" s="11">
        <v>2.8276</v>
      </c>
      <c r="E121" s="11">
        <v>3.2161</v>
      </c>
      <c r="F121" s="11">
        <v>2.2187</v>
      </c>
      <c r="G121" s="11">
        <v>2.7525</v>
      </c>
      <c r="H121" s="12">
        <v>1.7111</v>
      </c>
    </row>
    <row r="122" spans="1:8">
      <c r="A122" s="7">
        <v>44888</v>
      </c>
      <c r="B122" s="11">
        <v>2.1024</v>
      </c>
      <c r="C122" s="11">
        <v>2.5813</v>
      </c>
      <c r="D122" s="11">
        <v>2.7975</v>
      </c>
      <c r="E122" s="11">
        <v>3.1912</v>
      </c>
      <c r="F122" s="11">
        <v>2.1915</v>
      </c>
      <c r="G122" s="11">
        <v>2.7231</v>
      </c>
      <c r="H122" s="12">
        <v>1.7</v>
      </c>
    </row>
    <row r="123" spans="1:8">
      <c r="A123" s="7">
        <v>44889</v>
      </c>
      <c r="B123" s="11">
        <v>2.0581</v>
      </c>
      <c r="C123" s="11">
        <v>2.5723</v>
      </c>
      <c r="D123" s="11">
        <v>2.795</v>
      </c>
      <c r="E123" s="11">
        <v>3.1813</v>
      </c>
      <c r="F123" s="11">
        <v>2.1409</v>
      </c>
      <c r="G123" s="11">
        <v>2.6673</v>
      </c>
      <c r="H123" s="12">
        <v>2.1</v>
      </c>
    </row>
    <row r="124" spans="1:8">
      <c r="A124" s="7">
        <v>44890</v>
      </c>
      <c r="B124" s="11">
        <v>2.0685</v>
      </c>
      <c r="C124" s="11">
        <v>2.6144</v>
      </c>
      <c r="D124" s="11">
        <v>2.83</v>
      </c>
      <c r="E124" s="11">
        <v>3.2162</v>
      </c>
      <c r="F124" s="11">
        <v>2.1792</v>
      </c>
      <c r="G124" s="11">
        <v>2.707</v>
      </c>
      <c r="H124" s="12">
        <v>2.15</v>
      </c>
    </row>
    <row r="125" spans="1:8">
      <c r="A125" s="7">
        <v>44893</v>
      </c>
      <c r="B125" s="11">
        <v>2.0699</v>
      </c>
      <c r="C125" s="11">
        <v>2.6541</v>
      </c>
      <c r="D125" s="11">
        <v>2.86</v>
      </c>
      <c r="E125" s="11">
        <v>3.2337</v>
      </c>
      <c r="F125" s="11">
        <v>2.2192</v>
      </c>
      <c r="G125" s="11">
        <v>2.7538</v>
      </c>
      <c r="H125" s="12">
        <v>2.05</v>
      </c>
    </row>
    <row r="126" spans="1:8">
      <c r="A126" s="7">
        <v>44894</v>
      </c>
      <c r="B126" s="11">
        <v>2.1139</v>
      </c>
      <c r="C126" s="11">
        <v>2.7047</v>
      </c>
      <c r="D126" s="11">
        <v>2.88</v>
      </c>
      <c r="E126" s="11">
        <v>3.2663</v>
      </c>
      <c r="F126" s="11">
        <v>2.2684</v>
      </c>
      <c r="G126" s="11">
        <v>2.8334</v>
      </c>
      <c r="H126" s="12">
        <v>2.1</v>
      </c>
    </row>
    <row r="127" spans="1:8">
      <c r="A127" s="7">
        <v>44895</v>
      </c>
      <c r="B127" s="11">
        <v>2.1341</v>
      </c>
      <c r="C127" s="11">
        <v>2.6945</v>
      </c>
      <c r="D127" s="11">
        <v>2.885</v>
      </c>
      <c r="E127" s="11">
        <v>3.2763</v>
      </c>
      <c r="F127" s="11">
        <v>2.2498</v>
      </c>
      <c r="G127" s="11">
        <v>2.815</v>
      </c>
      <c r="H127" s="12">
        <v>2.2</v>
      </c>
    </row>
    <row r="128" spans="1:8">
      <c r="A128" s="7">
        <v>44896</v>
      </c>
      <c r="B128" s="11">
        <v>2.1456</v>
      </c>
      <c r="C128" s="11">
        <v>2.6749</v>
      </c>
      <c r="D128" s="11">
        <v>2.86</v>
      </c>
      <c r="E128" s="11">
        <v>3.2615</v>
      </c>
      <c r="F128" s="11">
        <v>2.2383</v>
      </c>
      <c r="G128" s="11">
        <v>2.8149</v>
      </c>
      <c r="H128" s="12">
        <v>1.75</v>
      </c>
    </row>
    <row r="129" spans="1:8">
      <c r="A129" s="7">
        <v>44897</v>
      </c>
      <c r="B129" s="11">
        <v>2.1554</v>
      </c>
      <c r="C129" s="11">
        <v>2.6702</v>
      </c>
      <c r="D129" s="11">
        <v>2.8676</v>
      </c>
      <c r="E129" s="11">
        <v>3.263</v>
      </c>
      <c r="F129" s="11">
        <v>2.2187</v>
      </c>
      <c r="G129" s="11">
        <v>2.7849</v>
      </c>
      <c r="H129" s="12">
        <v>1.7</v>
      </c>
    </row>
    <row r="130" spans="1:8">
      <c r="A130" s="7">
        <v>44900</v>
      </c>
      <c r="B130" s="11">
        <v>2.1462</v>
      </c>
      <c r="C130" s="11">
        <v>2.6866</v>
      </c>
      <c r="D130" s="11">
        <v>2.8902</v>
      </c>
      <c r="E130" s="11">
        <v>3.2716</v>
      </c>
      <c r="F130" s="11">
        <v>2.2316</v>
      </c>
      <c r="G130" s="11">
        <v>2.807</v>
      </c>
      <c r="H130" s="12">
        <v>1.7</v>
      </c>
    </row>
    <row r="131" spans="1:8">
      <c r="A131" s="7">
        <v>44901</v>
      </c>
      <c r="B131" s="11">
        <v>2.1566</v>
      </c>
      <c r="C131" s="11">
        <v>2.7325</v>
      </c>
      <c r="D131" s="11">
        <v>2.9152</v>
      </c>
      <c r="E131" s="11">
        <v>3.2865</v>
      </c>
      <c r="F131" s="11">
        <v>2.2552</v>
      </c>
      <c r="G131" s="11">
        <v>2.8505</v>
      </c>
      <c r="H131" s="12">
        <v>1.66</v>
      </c>
    </row>
    <row r="132" spans="1:8">
      <c r="A132" s="7">
        <v>44902</v>
      </c>
      <c r="B132" s="11">
        <v>2.2495</v>
      </c>
      <c r="C132" s="11">
        <v>2.7061</v>
      </c>
      <c r="D132" s="11">
        <v>2.8702</v>
      </c>
      <c r="E132" s="11">
        <v>3.2719</v>
      </c>
      <c r="F132" s="11">
        <v>2.279</v>
      </c>
      <c r="G132" s="11">
        <v>2.8789</v>
      </c>
      <c r="H132" s="12">
        <v>1.68</v>
      </c>
    </row>
    <row r="133" spans="1:8">
      <c r="A133" s="7">
        <v>44903</v>
      </c>
      <c r="B133" s="11">
        <v>2.2457</v>
      </c>
      <c r="C133" s="11">
        <v>2.6952</v>
      </c>
      <c r="D133" s="11">
        <v>2.8853</v>
      </c>
      <c r="E133" s="11">
        <v>3.2755</v>
      </c>
      <c r="F133" s="11">
        <v>2.2443</v>
      </c>
      <c r="G133" s="11">
        <v>2.8278</v>
      </c>
      <c r="H133" s="12">
        <v>1.7</v>
      </c>
    </row>
    <row r="134" spans="1:8">
      <c r="A134" s="7">
        <v>44904</v>
      </c>
      <c r="B134" s="11">
        <v>2.2869</v>
      </c>
      <c r="C134" s="11">
        <v>2.7344</v>
      </c>
      <c r="D134" s="11">
        <v>2.8903</v>
      </c>
      <c r="E134" s="11">
        <v>3.2843</v>
      </c>
      <c r="F134" s="11">
        <v>2.2579</v>
      </c>
      <c r="G134" s="11">
        <v>2.8489</v>
      </c>
      <c r="H134" s="12">
        <v>1.76</v>
      </c>
    </row>
    <row r="135" spans="1:8">
      <c r="A135" s="7">
        <v>44907</v>
      </c>
      <c r="B135" s="11">
        <v>2.3019</v>
      </c>
      <c r="C135" s="11">
        <v>2.7414</v>
      </c>
      <c r="D135" s="11">
        <v>2.8902</v>
      </c>
      <c r="E135" s="11">
        <v>3.2844</v>
      </c>
      <c r="F135" s="11">
        <v>2.2464</v>
      </c>
      <c r="G135" s="11">
        <v>2.8391</v>
      </c>
      <c r="H135" s="12">
        <v>1.75</v>
      </c>
    </row>
    <row r="136" spans="1:8">
      <c r="A136" s="7">
        <v>44908</v>
      </c>
      <c r="B136" s="11">
        <v>2.3369</v>
      </c>
      <c r="C136" s="11">
        <v>2.7595</v>
      </c>
      <c r="D136" s="11">
        <v>2.8952</v>
      </c>
      <c r="E136" s="11">
        <v>3.2896</v>
      </c>
      <c r="F136" s="11">
        <v>2.2655</v>
      </c>
      <c r="G136" s="11">
        <v>2.8539</v>
      </c>
      <c r="H136" s="12">
        <v>1.81</v>
      </c>
    </row>
    <row r="137" spans="1:8">
      <c r="A137" s="7">
        <v>44909</v>
      </c>
      <c r="B137" s="11">
        <v>2.3019</v>
      </c>
      <c r="C137" s="11">
        <v>2.6968</v>
      </c>
      <c r="D137" s="11">
        <v>2.8655</v>
      </c>
      <c r="E137" s="11">
        <v>3.2621</v>
      </c>
      <c r="F137" s="11">
        <v>2.2333</v>
      </c>
      <c r="G137" s="11">
        <v>2.8037</v>
      </c>
      <c r="H137" s="12">
        <v>1.8</v>
      </c>
    </row>
    <row r="138" spans="1:8">
      <c r="A138" s="7">
        <v>44910</v>
      </c>
      <c r="B138" s="11">
        <v>2.3169</v>
      </c>
      <c r="C138" s="11">
        <v>2.7057</v>
      </c>
      <c r="D138" s="11">
        <v>2.8829</v>
      </c>
      <c r="E138" s="11">
        <v>3.277</v>
      </c>
      <c r="F138" s="11">
        <v>2.2343</v>
      </c>
      <c r="G138" s="11">
        <v>2.7991</v>
      </c>
      <c r="H138" s="12">
        <v>1.88</v>
      </c>
    </row>
    <row r="139" spans="1:8">
      <c r="A139" s="7">
        <v>44911</v>
      </c>
      <c r="B139" s="11">
        <v>2.3169</v>
      </c>
      <c r="C139" s="11">
        <v>2.7052</v>
      </c>
      <c r="D139" s="11">
        <v>2.8856</v>
      </c>
      <c r="E139" s="11">
        <v>3.2697</v>
      </c>
      <c r="F139" s="11">
        <v>2.239</v>
      </c>
      <c r="G139" s="11">
        <v>2.8139</v>
      </c>
      <c r="H139" s="12">
        <v>1.82</v>
      </c>
    </row>
    <row r="140" spans="1:8">
      <c r="A140" s="7">
        <v>44914</v>
      </c>
      <c r="B140" s="11">
        <v>2.2969</v>
      </c>
      <c r="C140" s="11">
        <v>2.6705</v>
      </c>
      <c r="D140" s="11">
        <v>2.8632</v>
      </c>
      <c r="E140" s="11">
        <v>3.2525</v>
      </c>
      <c r="F140" s="11">
        <v>2.1921</v>
      </c>
      <c r="G140" s="11">
        <v>2.7663</v>
      </c>
      <c r="H140" s="12">
        <v>1.83</v>
      </c>
    </row>
    <row r="141" spans="1:8">
      <c r="A141" s="7">
        <v>44915</v>
      </c>
      <c r="B141" s="11">
        <v>2.2969</v>
      </c>
      <c r="C141" s="11">
        <v>2.6757</v>
      </c>
      <c r="D141" s="11">
        <v>2.8732</v>
      </c>
      <c r="E141" s="11">
        <v>3.2474</v>
      </c>
      <c r="F141" s="11">
        <v>2.2037</v>
      </c>
      <c r="G141" s="11">
        <v>2.7745</v>
      </c>
      <c r="H141" s="12">
        <v>1.9</v>
      </c>
    </row>
    <row r="142" spans="1:8">
      <c r="A142" s="7">
        <v>44916</v>
      </c>
      <c r="B142" s="11">
        <v>2.2919</v>
      </c>
      <c r="C142" s="11">
        <v>2.6612</v>
      </c>
      <c r="D142" s="11">
        <v>2.8606</v>
      </c>
      <c r="E142" s="11">
        <v>3.2375</v>
      </c>
      <c r="F142" s="11">
        <v>2.2011</v>
      </c>
      <c r="G142" s="11">
        <v>2.7808</v>
      </c>
      <c r="H142" s="12">
        <v>2</v>
      </c>
    </row>
    <row r="143" spans="1:8">
      <c r="A143" s="7">
        <v>44917</v>
      </c>
      <c r="B143" s="11">
        <v>2.2669</v>
      </c>
      <c r="C143" s="11">
        <v>2.6416</v>
      </c>
      <c r="D143" s="11">
        <v>2.8503</v>
      </c>
      <c r="E143" s="11">
        <v>3.23</v>
      </c>
      <c r="F143" s="11">
        <v>2.1806</v>
      </c>
      <c r="G143" s="11">
        <v>2.7535</v>
      </c>
      <c r="H143" s="12">
        <v>1.8</v>
      </c>
    </row>
    <row r="144" spans="1:8">
      <c r="A144" s="7">
        <v>44918</v>
      </c>
      <c r="B144" s="11">
        <v>2.2269</v>
      </c>
      <c r="C144" s="11">
        <v>2.6062</v>
      </c>
      <c r="D144" s="11">
        <v>2.8251</v>
      </c>
      <c r="E144" s="11">
        <v>3.2152</v>
      </c>
      <c r="F144" s="11">
        <v>2.1688</v>
      </c>
      <c r="G144" s="11">
        <v>2.7376</v>
      </c>
      <c r="H144" s="12">
        <v>1.8</v>
      </c>
    </row>
    <row r="145" spans="1:8">
      <c r="A145" s="7">
        <v>44921</v>
      </c>
      <c r="B145" s="11">
        <v>2.2469</v>
      </c>
      <c r="C145" s="11">
        <v>2.6276</v>
      </c>
      <c r="D145" s="11">
        <v>2.8378</v>
      </c>
      <c r="E145" s="11">
        <v>3.2202</v>
      </c>
      <c r="F145" s="11"/>
      <c r="G145" s="11"/>
      <c r="H145" s="12">
        <v>2.0558</v>
      </c>
    </row>
    <row r="146" spans="1:8">
      <c r="A146" s="7">
        <v>44922</v>
      </c>
      <c r="B146" s="11">
        <v>2.2469</v>
      </c>
      <c r="C146" s="11">
        <v>2.6703</v>
      </c>
      <c r="D146" s="11">
        <v>2.8657</v>
      </c>
      <c r="E146" s="11">
        <v>3.2175</v>
      </c>
      <c r="F146" s="11">
        <v>2.2315</v>
      </c>
      <c r="G146" s="11">
        <v>2.7833</v>
      </c>
      <c r="H146" s="12">
        <v>5</v>
      </c>
    </row>
    <row r="147" spans="1:8">
      <c r="A147" s="7">
        <v>44923</v>
      </c>
      <c r="B147" s="11">
        <v>2.2369</v>
      </c>
      <c r="C147" s="11">
        <v>2.6704</v>
      </c>
      <c r="D147" s="11">
        <v>2.8503</v>
      </c>
      <c r="E147" s="11">
        <v>3.2127</v>
      </c>
      <c r="F147" s="11">
        <v>2.2309</v>
      </c>
      <c r="G147" s="11">
        <v>2.7813</v>
      </c>
      <c r="H147" s="12">
        <v>4.8</v>
      </c>
    </row>
    <row r="148" spans="1:8">
      <c r="A148" s="7">
        <v>44924</v>
      </c>
      <c r="B148" s="11">
        <v>2.1669</v>
      </c>
      <c r="C148" s="11">
        <v>2.6382</v>
      </c>
      <c r="D148" s="11">
        <v>2.8376</v>
      </c>
      <c r="E148" s="11">
        <v>3.1926</v>
      </c>
      <c r="F148" s="11">
        <v>2.2007</v>
      </c>
      <c r="G148" s="11">
        <v>2.7574</v>
      </c>
      <c r="H148" s="12">
        <v>3.5</v>
      </c>
    </row>
    <row r="149" spans="1:8">
      <c r="A149" s="7">
        <v>44925</v>
      </c>
      <c r="B149" s="11">
        <v>2.0969</v>
      </c>
      <c r="C149" s="11">
        <v>2.6446</v>
      </c>
      <c r="D149" s="11">
        <v>2.8353</v>
      </c>
      <c r="E149" s="11">
        <v>3.1952</v>
      </c>
      <c r="F149" s="11">
        <v>2.1801</v>
      </c>
      <c r="G149" s="11">
        <v>2.759</v>
      </c>
      <c r="H149" s="12">
        <v>3</v>
      </c>
    </row>
    <row r="150" spans="1:8">
      <c r="A150" s="7">
        <v>44926</v>
      </c>
      <c r="B150" s="11">
        <v>2.0969</v>
      </c>
      <c r="C150" s="11">
        <v>2.6446</v>
      </c>
      <c r="D150" s="11">
        <v>2.8353</v>
      </c>
      <c r="E150" s="11">
        <v>3.1952</v>
      </c>
      <c r="F150" s="11"/>
      <c r="G150" s="11"/>
      <c r="H150" s="12"/>
    </row>
    <row r="151" spans="1:8">
      <c r="A151" s="7">
        <v>44929</v>
      </c>
      <c r="B151" s="11">
        <v>2.112</v>
      </c>
      <c r="C151" s="11">
        <v>2.6298</v>
      </c>
      <c r="D151" s="11">
        <v>2.8228</v>
      </c>
      <c r="E151" s="11">
        <v>3.193</v>
      </c>
      <c r="F151" s="11">
        <v>2.1752</v>
      </c>
      <c r="G151" s="11">
        <v>2.7651</v>
      </c>
      <c r="H151" s="12">
        <v>1.9243</v>
      </c>
    </row>
    <row r="152" spans="1:8">
      <c r="A152" s="7">
        <v>44930</v>
      </c>
      <c r="B152" s="11">
        <v>2.067</v>
      </c>
      <c r="C152" s="11">
        <v>2.6071</v>
      </c>
      <c r="D152" s="11">
        <v>2.8103</v>
      </c>
      <c r="E152" s="11">
        <v>3.1931</v>
      </c>
      <c r="F152" s="11">
        <v>2.1469</v>
      </c>
      <c r="G152" s="11">
        <v>2.7342</v>
      </c>
      <c r="H152" s="12">
        <v>1.7</v>
      </c>
    </row>
    <row r="153" spans="1:8">
      <c r="A153" s="7">
        <v>44931</v>
      </c>
      <c r="B153" s="11">
        <v>2.082</v>
      </c>
      <c r="C153" s="11">
        <v>2.625</v>
      </c>
      <c r="D153" s="11">
        <v>2.8304</v>
      </c>
      <c r="E153" s="11">
        <v>3.2056</v>
      </c>
      <c r="F153" s="11">
        <v>2.144</v>
      </c>
      <c r="G153" s="11">
        <v>2.7366</v>
      </c>
      <c r="H153" s="12">
        <v>1.7</v>
      </c>
    </row>
    <row r="154" spans="1:8">
      <c r="A154" s="7">
        <v>44932</v>
      </c>
      <c r="B154" s="11">
        <v>2.097</v>
      </c>
      <c r="C154" s="11">
        <v>2.6495</v>
      </c>
      <c r="D154" s="11">
        <v>2.8328</v>
      </c>
      <c r="E154" s="11">
        <v>3.2106</v>
      </c>
      <c r="F154" s="11">
        <v>2.1611</v>
      </c>
      <c r="G154" s="11">
        <v>2.7604</v>
      </c>
      <c r="H154" s="12">
        <v>1.75</v>
      </c>
    </row>
    <row r="155" spans="1:8">
      <c r="A155" s="7">
        <v>44935</v>
      </c>
      <c r="B155" s="11">
        <v>2.0996</v>
      </c>
      <c r="C155" s="11">
        <v>2.6649</v>
      </c>
      <c r="D155" s="11">
        <v>2.8428</v>
      </c>
      <c r="E155" s="11">
        <v>3.2156</v>
      </c>
      <c r="F155" s="11">
        <v>2.1796</v>
      </c>
      <c r="G155" s="11">
        <v>2.7701</v>
      </c>
      <c r="H155" s="12">
        <v>1.85</v>
      </c>
    </row>
    <row r="156" spans="1:8">
      <c r="A156" s="7">
        <v>44936</v>
      </c>
      <c r="B156" s="11">
        <v>2.122</v>
      </c>
      <c r="C156" s="11">
        <v>2.7104</v>
      </c>
      <c r="D156" s="11">
        <v>2.8602</v>
      </c>
      <c r="E156" s="11">
        <v>3.2331</v>
      </c>
      <c r="F156" s="11">
        <v>2.2331</v>
      </c>
      <c r="G156" s="11">
        <v>2.8136</v>
      </c>
      <c r="H156" s="12">
        <v>1.98</v>
      </c>
    </row>
    <row r="157" spans="1:8">
      <c r="A157" s="7">
        <v>44937</v>
      </c>
      <c r="B157" s="11">
        <v>2.127</v>
      </c>
      <c r="C157" s="11">
        <v>2.6989</v>
      </c>
      <c r="D157" s="11">
        <v>2.8603</v>
      </c>
      <c r="E157" s="11">
        <v>3.2331</v>
      </c>
      <c r="F157" s="11">
        <v>2.2547</v>
      </c>
      <c r="G157" s="11">
        <v>2.8284</v>
      </c>
      <c r="H157" s="12">
        <v>2.3</v>
      </c>
    </row>
    <row r="158" spans="1:8">
      <c r="A158" s="7">
        <v>44938</v>
      </c>
      <c r="B158" s="11">
        <v>2.097</v>
      </c>
      <c r="C158" s="11">
        <v>2.6974</v>
      </c>
      <c r="D158" s="11">
        <v>2.8778</v>
      </c>
      <c r="E158" s="11">
        <v>3.2378</v>
      </c>
      <c r="F158" s="11">
        <v>2.2357</v>
      </c>
      <c r="G158" s="11">
        <v>2.8169</v>
      </c>
      <c r="H158" s="12">
        <v>2.2</v>
      </c>
    </row>
    <row r="159" spans="1:8">
      <c r="A159" s="7">
        <v>44939</v>
      </c>
      <c r="B159" s="11">
        <v>2.097</v>
      </c>
      <c r="C159" s="11">
        <v>2.7096</v>
      </c>
      <c r="D159" s="11">
        <v>2.901</v>
      </c>
      <c r="E159" s="11">
        <v>3.2476</v>
      </c>
      <c r="F159" s="11">
        <v>2.2449</v>
      </c>
      <c r="G159" s="11">
        <v>2.8414</v>
      </c>
      <c r="H159" s="12">
        <v>1.95</v>
      </c>
    </row>
    <row r="160" spans="1:8">
      <c r="A160" s="7">
        <v>44942</v>
      </c>
      <c r="B160" s="11">
        <v>2.127</v>
      </c>
      <c r="C160" s="11">
        <v>2.7571</v>
      </c>
      <c r="D160" s="11">
        <v>2.9167</v>
      </c>
      <c r="E160" s="11">
        <v>3.2677</v>
      </c>
      <c r="F160" s="11">
        <v>2.2877</v>
      </c>
      <c r="G160" s="11">
        <v>2.8972</v>
      </c>
      <c r="H160" s="12">
        <v>2.15</v>
      </c>
    </row>
    <row r="161" spans="1:8">
      <c r="A161" s="7">
        <v>44943</v>
      </c>
      <c r="B161" s="11">
        <v>2.127</v>
      </c>
      <c r="C161" s="11">
        <v>2.7346</v>
      </c>
      <c r="D161" s="11">
        <v>2.9017</v>
      </c>
      <c r="E161" s="11">
        <v>3.2531</v>
      </c>
      <c r="F161" s="11">
        <v>2.297</v>
      </c>
      <c r="G161" s="11">
        <v>2.8954</v>
      </c>
      <c r="H161" s="12">
        <v>2.6</v>
      </c>
    </row>
    <row r="162" spans="1:8">
      <c r="A162" s="7">
        <v>44944</v>
      </c>
      <c r="B162" s="11">
        <v>2.1615</v>
      </c>
      <c r="C162" s="11">
        <v>2.7257</v>
      </c>
      <c r="D162" s="11">
        <v>2.9222</v>
      </c>
      <c r="E162" s="11">
        <v>3.2754</v>
      </c>
      <c r="F162" s="11">
        <v>2.2933</v>
      </c>
      <c r="G162" s="11">
        <v>2.8874</v>
      </c>
      <c r="H162" s="12">
        <v>2.6</v>
      </c>
    </row>
    <row r="163" spans="1:8">
      <c r="A163" s="7">
        <v>44945</v>
      </c>
      <c r="B163" s="11">
        <v>2.1677</v>
      </c>
      <c r="C163" s="11">
        <v>2.721</v>
      </c>
      <c r="D163" s="11">
        <v>2.9145</v>
      </c>
      <c r="E163" s="11">
        <v>3.273</v>
      </c>
      <c r="F163" s="11">
        <v>2.308</v>
      </c>
      <c r="G163" s="11">
        <v>2.9123</v>
      </c>
      <c r="H163" s="12">
        <v>2.4</v>
      </c>
    </row>
    <row r="164" spans="1:8">
      <c r="A164" s="7">
        <v>44946</v>
      </c>
      <c r="B164" s="11">
        <v>2.1648</v>
      </c>
      <c r="C164" s="11">
        <v>2.7288</v>
      </c>
      <c r="D164" s="11">
        <v>2.9331</v>
      </c>
      <c r="E164" s="11">
        <v>3.2779</v>
      </c>
      <c r="F164" s="11">
        <v>2.2937</v>
      </c>
      <c r="G164" s="11">
        <v>2.9066</v>
      </c>
      <c r="H164" s="12">
        <v>2</v>
      </c>
    </row>
    <row r="165" spans="1:8">
      <c r="A165" s="7">
        <v>44954</v>
      </c>
      <c r="B165" s="11">
        <v>2.1496</v>
      </c>
      <c r="C165" s="11">
        <v>2.7283</v>
      </c>
      <c r="D165" s="11">
        <v>2.9341</v>
      </c>
      <c r="E165" s="11">
        <v>3.283</v>
      </c>
      <c r="F165" s="11"/>
      <c r="G165" s="11">
        <v>2.9434</v>
      </c>
      <c r="H165" s="12">
        <v>1.95</v>
      </c>
    </row>
    <row r="166" spans="1:8">
      <c r="A166" s="7">
        <v>44955</v>
      </c>
      <c r="B166" s="11">
        <v>2.1519</v>
      </c>
      <c r="C166" s="11">
        <v>2.7225</v>
      </c>
      <c r="D166" s="11">
        <v>2.9219</v>
      </c>
      <c r="E166" s="11">
        <v>3.2805</v>
      </c>
      <c r="F166" s="11"/>
      <c r="G166" s="11"/>
      <c r="H166" s="12">
        <v>1.854</v>
      </c>
    </row>
    <row r="167" spans="1:8">
      <c r="A167" s="7">
        <v>44956</v>
      </c>
      <c r="B167" s="11">
        <v>2.176</v>
      </c>
      <c r="C167" s="11">
        <v>2.7238</v>
      </c>
      <c r="D167" s="11">
        <v>2.9133</v>
      </c>
      <c r="E167" s="11">
        <v>3.2782</v>
      </c>
      <c r="F167" s="11">
        <v>2.3007</v>
      </c>
      <c r="G167" s="11">
        <v>2.9292</v>
      </c>
      <c r="H167" s="12">
        <v>2.14</v>
      </c>
    </row>
    <row r="168" spans="1:8">
      <c r="A168" s="7">
        <v>44957</v>
      </c>
      <c r="B168" s="11">
        <v>2.1535</v>
      </c>
      <c r="C168" s="11">
        <v>2.7039</v>
      </c>
      <c r="D168" s="11">
        <v>2.8977</v>
      </c>
      <c r="E168" s="11">
        <v>3.2793</v>
      </c>
      <c r="F168" s="11">
        <v>2.2868</v>
      </c>
      <c r="G168" s="11">
        <v>2.9067</v>
      </c>
      <c r="H168" s="12">
        <v>2.2</v>
      </c>
    </row>
    <row r="169" spans="1:8">
      <c r="A169" s="7">
        <v>44958</v>
      </c>
      <c r="B169" s="11">
        <v>2.1631</v>
      </c>
      <c r="C169" s="11">
        <v>2.7091</v>
      </c>
      <c r="D169" s="11">
        <v>2.9101</v>
      </c>
      <c r="E169" s="11">
        <v>3.2889</v>
      </c>
      <c r="F169" s="11">
        <v>2.2814</v>
      </c>
      <c r="G169" s="11">
        <v>2.9032</v>
      </c>
      <c r="H169" s="12">
        <v>2.05</v>
      </c>
    </row>
    <row r="170" spans="1:8">
      <c r="A170" s="7">
        <v>44959</v>
      </c>
      <c r="B170" s="11">
        <v>2.1507</v>
      </c>
      <c r="C170" s="11">
        <v>2.6945</v>
      </c>
      <c r="D170" s="11">
        <v>2.897</v>
      </c>
      <c r="E170" s="11">
        <v>3.2853</v>
      </c>
      <c r="F170" s="11">
        <v>2.266</v>
      </c>
      <c r="G170" s="11">
        <v>2.8845</v>
      </c>
      <c r="H170" s="12">
        <v>2.05</v>
      </c>
    </row>
    <row r="171" spans="1:8">
      <c r="A171" s="7">
        <v>44960</v>
      </c>
      <c r="B171" s="11">
        <v>2.1504</v>
      </c>
      <c r="C171" s="11">
        <v>2.6921</v>
      </c>
      <c r="D171" s="11">
        <v>2.8943</v>
      </c>
      <c r="E171" s="11">
        <v>3.283</v>
      </c>
      <c r="F171" s="11">
        <v>2.2525</v>
      </c>
      <c r="G171" s="11">
        <v>2.8571</v>
      </c>
      <c r="H171" s="12">
        <v>1.9</v>
      </c>
    </row>
    <row r="172" spans="1:8">
      <c r="A172" s="7">
        <v>44963</v>
      </c>
      <c r="B172" s="11">
        <v>2.1581</v>
      </c>
      <c r="C172" s="11">
        <v>2.7054</v>
      </c>
      <c r="D172" s="11">
        <v>2.9017</v>
      </c>
      <c r="E172" s="11">
        <v>3.2879</v>
      </c>
      <c r="F172" s="11">
        <v>2.2653</v>
      </c>
      <c r="G172" s="11">
        <v>2.8654</v>
      </c>
      <c r="H172" s="12">
        <v>2.03</v>
      </c>
    </row>
    <row r="173" spans="1:8">
      <c r="A173" s="7">
        <v>44964</v>
      </c>
      <c r="B173" s="11">
        <v>2.163</v>
      </c>
      <c r="C173" s="11">
        <v>2.6983</v>
      </c>
      <c r="D173" s="11">
        <v>2.8964</v>
      </c>
      <c r="E173" s="11">
        <v>3.2827</v>
      </c>
      <c r="F173" s="11">
        <v>2.2894</v>
      </c>
      <c r="G173" s="11">
        <v>2.8793</v>
      </c>
      <c r="H173" s="12">
        <v>2.3</v>
      </c>
    </row>
    <row r="174" spans="1:8">
      <c r="A174" s="7">
        <v>44965</v>
      </c>
      <c r="B174" s="11">
        <v>2.1617</v>
      </c>
      <c r="C174" s="11">
        <v>2.703</v>
      </c>
      <c r="D174" s="11">
        <v>2.8973</v>
      </c>
      <c r="E174" s="11">
        <v>3.2808</v>
      </c>
      <c r="F174" s="11">
        <v>2.2994</v>
      </c>
      <c r="G174" s="11">
        <v>2.8748</v>
      </c>
      <c r="H174" s="12">
        <v>2.45</v>
      </c>
    </row>
    <row r="175" spans="1:8">
      <c r="A175" s="7">
        <v>44966</v>
      </c>
      <c r="B175" s="11">
        <v>2.1673</v>
      </c>
      <c r="C175" s="11">
        <v>2.6959</v>
      </c>
      <c r="D175" s="11">
        <v>2.8912</v>
      </c>
      <c r="E175" s="11">
        <v>3.2784</v>
      </c>
      <c r="F175" s="11">
        <v>2.2948</v>
      </c>
      <c r="G175" s="11">
        <v>2.874</v>
      </c>
      <c r="H175" s="12">
        <v>2.4</v>
      </c>
    </row>
    <row r="176" spans="1:8">
      <c r="A176" s="7">
        <v>44967</v>
      </c>
      <c r="B176" s="11">
        <v>2.1682</v>
      </c>
      <c r="C176" s="11">
        <v>2.6961</v>
      </c>
      <c r="D176" s="11">
        <v>2.9003</v>
      </c>
      <c r="E176" s="11">
        <v>3.2857</v>
      </c>
      <c r="F176" s="11">
        <v>2.2805</v>
      </c>
      <c r="G176" s="11">
        <v>2.8666</v>
      </c>
      <c r="H176" s="12">
        <v>2.08</v>
      </c>
    </row>
    <row r="177" spans="1:8">
      <c r="A177" s="7">
        <v>44970</v>
      </c>
      <c r="B177" s="11">
        <v>2.1734</v>
      </c>
      <c r="C177" s="11">
        <v>2.6967</v>
      </c>
      <c r="D177" s="11">
        <v>2.8943</v>
      </c>
      <c r="E177" s="11">
        <v>3.2829</v>
      </c>
      <c r="F177" s="11">
        <v>2.2771</v>
      </c>
      <c r="G177" s="11">
        <v>2.8551</v>
      </c>
      <c r="H177" s="12">
        <v>2</v>
      </c>
    </row>
    <row r="178" spans="1:8">
      <c r="A178" s="7">
        <v>44971</v>
      </c>
      <c r="B178" s="11">
        <v>2.1781</v>
      </c>
      <c r="C178" s="11">
        <v>2.695</v>
      </c>
      <c r="D178" s="11">
        <v>2.8914</v>
      </c>
      <c r="E178" s="11">
        <v>3.281</v>
      </c>
      <c r="F178" s="11">
        <v>2.2895</v>
      </c>
      <c r="G178" s="11">
        <v>2.8551</v>
      </c>
      <c r="H178" s="12">
        <v>2.13</v>
      </c>
    </row>
    <row r="179" spans="1:8">
      <c r="A179" s="7">
        <v>44972</v>
      </c>
      <c r="B179" s="11">
        <v>2.1792</v>
      </c>
      <c r="C179" s="11">
        <v>2.6945</v>
      </c>
      <c r="D179" s="11">
        <v>2.8918</v>
      </c>
      <c r="E179" s="11">
        <v>3.2816</v>
      </c>
      <c r="F179" s="11">
        <v>2.3081</v>
      </c>
      <c r="G179" s="11">
        <v>2.8626</v>
      </c>
      <c r="H179" s="12">
        <v>2.1</v>
      </c>
    </row>
    <row r="180" spans="1:8">
      <c r="A180" s="7">
        <v>44973</v>
      </c>
      <c r="B180" s="11">
        <v>2.1916</v>
      </c>
      <c r="C180" s="11">
        <v>2.6921</v>
      </c>
      <c r="D180" s="11">
        <v>2.8907</v>
      </c>
      <c r="E180" s="11">
        <v>3.283</v>
      </c>
      <c r="F180" s="11">
        <v>2.3165</v>
      </c>
      <c r="G180" s="11">
        <v>2.8639</v>
      </c>
      <c r="H180" s="12">
        <v>2.13</v>
      </c>
    </row>
    <row r="181" spans="1:8">
      <c r="A181" s="7">
        <v>44974</v>
      </c>
      <c r="B181" s="11">
        <v>2.1973</v>
      </c>
      <c r="C181" s="11">
        <v>2.6976</v>
      </c>
      <c r="D181" s="11">
        <v>2.892</v>
      </c>
      <c r="E181" s="11">
        <v>3.283</v>
      </c>
      <c r="F181" s="11">
        <v>2.3192</v>
      </c>
      <c r="G181" s="11">
        <v>2.8667</v>
      </c>
      <c r="H181" s="12">
        <v>2.5</v>
      </c>
    </row>
    <row r="182" spans="1:8">
      <c r="A182" s="7">
        <v>44977</v>
      </c>
      <c r="B182" s="11">
        <v>2.2395</v>
      </c>
      <c r="C182" s="11">
        <v>2.7392</v>
      </c>
      <c r="D182" s="11">
        <v>2.917</v>
      </c>
      <c r="E182" s="11">
        <v>3.2977</v>
      </c>
      <c r="F182" s="11">
        <v>2.339</v>
      </c>
      <c r="G182" s="11">
        <v>2.8947</v>
      </c>
      <c r="H182" s="12">
        <v>2.3</v>
      </c>
    </row>
    <row r="183" spans="1:8">
      <c r="A183" s="7">
        <v>44978</v>
      </c>
      <c r="B183" s="11">
        <v>2.2422</v>
      </c>
      <c r="C183" s="11">
        <v>2.739</v>
      </c>
      <c r="D183" s="11">
        <v>2.919</v>
      </c>
      <c r="E183" s="11">
        <v>3.3025</v>
      </c>
      <c r="F183" s="11">
        <v>2.3627</v>
      </c>
      <c r="G183" s="11">
        <v>2.9356</v>
      </c>
      <c r="H183" s="12">
        <v>2.2007</v>
      </c>
    </row>
    <row r="184" spans="1:8">
      <c r="A184" s="7">
        <v>44979</v>
      </c>
      <c r="B184" s="11">
        <v>2.24</v>
      </c>
      <c r="C184" s="11">
        <v>2.7342</v>
      </c>
      <c r="D184" s="11">
        <v>2.9175</v>
      </c>
      <c r="E184" s="11">
        <v>3.3025</v>
      </c>
      <c r="F184" s="11">
        <v>2.3757</v>
      </c>
      <c r="G184" s="11">
        <v>2.9193</v>
      </c>
      <c r="H184" s="12">
        <v>2.65</v>
      </c>
    </row>
    <row r="185" spans="1:8">
      <c r="A185" s="7">
        <v>44980</v>
      </c>
      <c r="B185" s="11">
        <v>2.2603</v>
      </c>
      <c r="C185" s="11">
        <v>2.7446</v>
      </c>
      <c r="D185" s="11">
        <v>2.922</v>
      </c>
      <c r="E185" s="11">
        <v>3.3053</v>
      </c>
      <c r="F185" s="11">
        <v>2.4116</v>
      </c>
      <c r="G185" s="11">
        <v>2.9359</v>
      </c>
      <c r="H185" s="12">
        <v>2.6</v>
      </c>
    </row>
    <row r="186" spans="1:8">
      <c r="A186" s="7">
        <v>44981</v>
      </c>
      <c r="B186" s="11">
        <v>2.2948</v>
      </c>
      <c r="C186" s="11">
        <v>2.7395</v>
      </c>
      <c r="D186" s="11">
        <v>2.9126</v>
      </c>
      <c r="E186" s="11">
        <v>3.3016</v>
      </c>
      <c r="F186" s="11">
        <v>2.4157</v>
      </c>
      <c r="G186" s="11">
        <v>2.938</v>
      </c>
      <c r="H186" s="12">
        <v>2.6</v>
      </c>
    </row>
    <row r="187" spans="1:8">
      <c r="A187" s="7">
        <v>44984</v>
      </c>
      <c r="B187" s="11">
        <v>2.3165</v>
      </c>
      <c r="C187" s="11">
        <v>2.7398</v>
      </c>
      <c r="D187" s="11">
        <v>2.9117</v>
      </c>
      <c r="E187" s="11">
        <v>3.3051</v>
      </c>
      <c r="F187" s="11">
        <v>2.4226</v>
      </c>
      <c r="G187" s="11">
        <v>2.9427</v>
      </c>
      <c r="H187" s="12">
        <v>2.65</v>
      </c>
    </row>
    <row r="188" spans="1:8">
      <c r="A188" s="7">
        <v>44985</v>
      </c>
      <c r="B188" s="11">
        <v>2.3291</v>
      </c>
      <c r="C188" s="11">
        <v>2.7374</v>
      </c>
      <c r="D188" s="11">
        <v>2.9017</v>
      </c>
      <c r="E188" s="11">
        <v>3.3029</v>
      </c>
      <c r="F188" s="11">
        <v>2.4549</v>
      </c>
      <c r="G188" s="11">
        <v>2.9598</v>
      </c>
      <c r="H188" s="12">
        <v>2.85</v>
      </c>
    </row>
    <row r="189" spans="1:8">
      <c r="A189" s="7">
        <v>44986</v>
      </c>
      <c r="B189" s="11">
        <v>2.3197</v>
      </c>
      <c r="C189" s="11">
        <v>2.7354</v>
      </c>
      <c r="D189" s="11">
        <v>2.8977</v>
      </c>
      <c r="E189" s="11">
        <v>3.3049</v>
      </c>
      <c r="F189" s="11">
        <v>2.4229</v>
      </c>
      <c r="G189" s="11">
        <v>2.9554</v>
      </c>
      <c r="H189" s="12">
        <v>2.12</v>
      </c>
    </row>
    <row r="190" spans="1:8">
      <c r="A190" s="7">
        <v>44987</v>
      </c>
      <c r="B190" s="11">
        <v>2.3247</v>
      </c>
      <c r="C190" s="11">
        <v>2.7513</v>
      </c>
      <c r="D190" s="11">
        <v>2.9111</v>
      </c>
      <c r="E190" s="11">
        <v>3.31</v>
      </c>
      <c r="F190" s="11">
        <v>2.431</v>
      </c>
      <c r="G190" s="11">
        <v>2.969</v>
      </c>
      <c r="H190" s="12">
        <v>2.2</v>
      </c>
    </row>
    <row r="191" spans="1:8">
      <c r="A191" s="7">
        <v>44988</v>
      </c>
      <c r="B191" s="11">
        <v>2.323</v>
      </c>
      <c r="C191" s="11">
        <v>2.7387</v>
      </c>
      <c r="D191" s="11">
        <v>2.9026</v>
      </c>
      <c r="E191" s="11">
        <v>3.3079</v>
      </c>
      <c r="F191" s="11">
        <v>2.4585</v>
      </c>
      <c r="G191" s="11">
        <v>2.9923</v>
      </c>
      <c r="H191" s="12">
        <v>2</v>
      </c>
    </row>
    <row r="192" spans="1:8">
      <c r="A192" s="7">
        <v>44991</v>
      </c>
      <c r="B192" s="11">
        <v>2.2955</v>
      </c>
      <c r="C192" s="11">
        <v>2.7114</v>
      </c>
      <c r="D192" s="11">
        <v>2.8826</v>
      </c>
      <c r="E192" s="11">
        <v>3.2897</v>
      </c>
      <c r="F192" s="11">
        <v>2.4212</v>
      </c>
      <c r="G192" s="11">
        <v>2.9408</v>
      </c>
      <c r="H192" s="12">
        <v>2</v>
      </c>
    </row>
    <row r="193" spans="1:8">
      <c r="A193" s="7">
        <v>44992</v>
      </c>
      <c r="B193" s="11">
        <v>2.288</v>
      </c>
      <c r="C193" s="11">
        <v>2.7014</v>
      </c>
      <c r="D193" s="11">
        <v>2.8726</v>
      </c>
      <c r="E193" s="11">
        <v>3.286</v>
      </c>
      <c r="F193" s="11">
        <v>2.4198</v>
      </c>
      <c r="G193" s="11">
        <v>2.9298</v>
      </c>
      <c r="H193" s="12">
        <v>2</v>
      </c>
    </row>
    <row r="194" spans="1:8">
      <c r="A194" s="7">
        <v>44993</v>
      </c>
      <c r="B194" s="11">
        <v>2.273</v>
      </c>
      <c r="C194" s="11">
        <v>2.7123</v>
      </c>
      <c r="D194" s="11">
        <v>2.8828</v>
      </c>
      <c r="E194" s="11">
        <v>3.2907</v>
      </c>
      <c r="F194" s="11">
        <v>2.4237</v>
      </c>
      <c r="G194" s="11">
        <v>2.9234</v>
      </c>
      <c r="H194" s="12">
        <v>2</v>
      </c>
    </row>
    <row r="195" spans="1:8">
      <c r="A195" s="7">
        <v>44994</v>
      </c>
      <c r="B195" s="11">
        <v>2.273</v>
      </c>
      <c r="C195" s="11">
        <v>2.7027</v>
      </c>
      <c r="D195" s="11">
        <v>2.8752</v>
      </c>
      <c r="E195" s="11">
        <v>3.2854</v>
      </c>
      <c r="F195" s="11">
        <v>2.425</v>
      </c>
      <c r="G195" s="11">
        <v>2.91</v>
      </c>
      <c r="H195" s="12">
        <v>2.1</v>
      </c>
    </row>
    <row r="196" spans="1:8">
      <c r="A196" s="7">
        <v>44995</v>
      </c>
      <c r="B196" s="11">
        <v>2.263</v>
      </c>
      <c r="C196" s="11">
        <v>2.6955</v>
      </c>
      <c r="D196" s="11">
        <v>2.8627</v>
      </c>
      <c r="E196" s="11">
        <v>3.2735</v>
      </c>
      <c r="F196" s="11">
        <v>2.4083</v>
      </c>
      <c r="G196" s="11">
        <v>2.8704</v>
      </c>
      <c r="H196" s="12">
        <v>2.1</v>
      </c>
    </row>
    <row r="197" spans="1:8">
      <c r="A197" s="7">
        <v>44998</v>
      </c>
      <c r="B197" s="11">
        <v>2.263</v>
      </c>
      <c r="C197" s="11">
        <v>2.7047</v>
      </c>
      <c r="D197" s="11">
        <v>2.8703</v>
      </c>
      <c r="E197" s="11">
        <v>3.2764</v>
      </c>
      <c r="F197" s="11">
        <v>2.4078</v>
      </c>
      <c r="G197" s="11">
        <v>2.8763</v>
      </c>
      <c r="H197" s="12">
        <v>2.2</v>
      </c>
    </row>
    <row r="198" spans="1:8">
      <c r="A198" s="7">
        <v>44999</v>
      </c>
      <c r="B198" s="11">
        <v>2.269</v>
      </c>
      <c r="C198" s="11">
        <v>2.6968</v>
      </c>
      <c r="D198" s="11">
        <v>2.8652</v>
      </c>
      <c r="E198" s="11">
        <v>3.271</v>
      </c>
      <c r="F198" s="11">
        <v>2.4021</v>
      </c>
      <c r="G198" s="11">
        <v>2.8395</v>
      </c>
      <c r="H198" s="12">
        <v>2.2</v>
      </c>
    </row>
    <row r="199" spans="1:8">
      <c r="A199" s="7">
        <v>45000</v>
      </c>
      <c r="B199" s="11">
        <v>2.279</v>
      </c>
      <c r="C199" s="11">
        <v>2.6987</v>
      </c>
      <c r="D199" s="11">
        <v>2.8652</v>
      </c>
      <c r="E199" s="11">
        <v>3.2724</v>
      </c>
      <c r="F199" s="11">
        <v>2.4229</v>
      </c>
      <c r="G199" s="11">
        <v>2.8614</v>
      </c>
      <c r="H199" s="12">
        <v>2.25</v>
      </c>
    </row>
    <row r="200" spans="1:8">
      <c r="A200" s="7">
        <v>45001</v>
      </c>
      <c r="B200" s="11">
        <v>2.249</v>
      </c>
      <c r="C200" s="11">
        <v>2.6839</v>
      </c>
      <c r="D200" s="11">
        <v>2.8552</v>
      </c>
      <c r="E200" s="11">
        <v>3.2517</v>
      </c>
      <c r="F200" s="11">
        <v>2.4104</v>
      </c>
      <c r="G200" s="11">
        <v>2.8322</v>
      </c>
      <c r="H200" s="12">
        <v>2.3</v>
      </c>
    </row>
    <row r="201" spans="1:8">
      <c r="A201" s="7">
        <v>45002</v>
      </c>
      <c r="B201" s="11">
        <v>2.249</v>
      </c>
      <c r="C201" s="11">
        <v>2.6865</v>
      </c>
      <c r="D201" s="11">
        <v>2.8602</v>
      </c>
      <c r="E201" s="11">
        <v>3.2381</v>
      </c>
      <c r="F201" s="11">
        <v>2.3992</v>
      </c>
      <c r="G201" s="11">
        <v>2.8323</v>
      </c>
      <c r="H201" s="12">
        <v>2.3</v>
      </c>
    </row>
    <row r="202" spans="1:8">
      <c r="A202" s="7">
        <v>45005</v>
      </c>
      <c r="B202" s="11">
        <v>2.234</v>
      </c>
      <c r="C202" s="11">
        <v>2.6576</v>
      </c>
      <c r="D202" s="11">
        <v>2.8504</v>
      </c>
      <c r="E202" s="11">
        <v>3.2237</v>
      </c>
      <c r="F202" s="11">
        <v>2.3431</v>
      </c>
      <c r="G202" s="11">
        <v>2.8061</v>
      </c>
      <c r="H202" s="12">
        <v>2.25</v>
      </c>
    </row>
    <row r="203" spans="1:8">
      <c r="A203" s="7">
        <v>45006</v>
      </c>
      <c r="B203" s="11">
        <v>2.249</v>
      </c>
      <c r="C203" s="11">
        <v>2.6801</v>
      </c>
      <c r="D203" s="11">
        <v>2.8604</v>
      </c>
      <c r="E203" s="11">
        <v>3.227</v>
      </c>
      <c r="F203" s="11">
        <v>2.3723</v>
      </c>
      <c r="G203" s="11">
        <v>2.8157</v>
      </c>
      <c r="H203" s="12">
        <v>2.35</v>
      </c>
    </row>
    <row r="204" spans="1:8">
      <c r="A204" s="7">
        <v>45007</v>
      </c>
      <c r="B204" s="11">
        <v>2.2728</v>
      </c>
      <c r="C204" s="11">
        <v>2.6882</v>
      </c>
      <c r="D204" s="11">
        <v>2.8577</v>
      </c>
      <c r="E204" s="11">
        <v>3.2276</v>
      </c>
      <c r="F204" s="11">
        <v>2.3812</v>
      </c>
      <c r="G204" s="11">
        <v>2.8362</v>
      </c>
      <c r="H204" s="12">
        <v>2.3</v>
      </c>
    </row>
    <row r="205" spans="1:8">
      <c r="A205" s="7">
        <v>45008</v>
      </c>
      <c r="B205" s="11">
        <v>2.2678</v>
      </c>
      <c r="C205" s="11">
        <v>2.694</v>
      </c>
      <c r="D205" s="11">
        <v>2.8652</v>
      </c>
      <c r="E205" s="11">
        <v>3.2366</v>
      </c>
      <c r="F205" s="11">
        <v>2.3687</v>
      </c>
      <c r="G205" s="11">
        <v>2.8307</v>
      </c>
      <c r="H205" s="12">
        <v>2.2</v>
      </c>
    </row>
    <row r="206" spans="1:8">
      <c r="A206" s="7">
        <v>45009</v>
      </c>
      <c r="B206" s="11">
        <v>2.2928</v>
      </c>
      <c r="C206" s="11">
        <v>2.7066</v>
      </c>
      <c r="D206" s="11">
        <v>2.8676</v>
      </c>
      <c r="E206" s="11">
        <v>3.2419</v>
      </c>
      <c r="F206" s="11">
        <v>2.3804</v>
      </c>
      <c r="G206" s="11">
        <v>2.8498</v>
      </c>
      <c r="H206" s="12">
        <v>1.9</v>
      </c>
    </row>
    <row r="207" spans="1:8">
      <c r="A207" s="7">
        <v>45012</v>
      </c>
      <c r="B207" s="11">
        <v>2.2728</v>
      </c>
      <c r="C207" s="11">
        <v>2.6922</v>
      </c>
      <c r="D207" s="11">
        <v>2.8551</v>
      </c>
      <c r="E207" s="11">
        <v>3.2319</v>
      </c>
      <c r="F207" s="11">
        <v>2.3633</v>
      </c>
      <c r="G207" s="11">
        <v>2.8229</v>
      </c>
      <c r="H207" s="12">
        <v>2.85</v>
      </c>
    </row>
    <row r="208" spans="1:8">
      <c r="A208" s="7">
        <v>45013</v>
      </c>
      <c r="B208" s="11">
        <v>2.2778</v>
      </c>
      <c r="C208" s="11">
        <v>2.7003</v>
      </c>
      <c r="D208" s="11">
        <v>2.8556</v>
      </c>
      <c r="E208" s="11">
        <v>3.2319</v>
      </c>
      <c r="F208" s="11">
        <v>2.3752</v>
      </c>
      <c r="G208" s="11">
        <v>2.8217</v>
      </c>
      <c r="H208" s="12">
        <v>3.6</v>
      </c>
    </row>
    <row r="209" spans="1:8">
      <c r="A209" s="7">
        <v>45014</v>
      </c>
      <c r="B209" s="11">
        <v>2.2753</v>
      </c>
      <c r="C209" s="11">
        <v>2.6954</v>
      </c>
      <c r="D209" s="11">
        <v>2.8532</v>
      </c>
      <c r="E209" s="11">
        <v>3.2286</v>
      </c>
      <c r="F209" s="11">
        <v>2.3715</v>
      </c>
      <c r="G209" s="11">
        <v>2.8279</v>
      </c>
      <c r="H209" s="12">
        <v>3.49</v>
      </c>
    </row>
    <row r="210" spans="1:8">
      <c r="A210" s="7">
        <v>45015</v>
      </c>
      <c r="B210" s="11">
        <v>2.2728</v>
      </c>
      <c r="C210" s="11">
        <v>2.7007</v>
      </c>
      <c r="D210" s="11">
        <v>2.8603</v>
      </c>
      <c r="E210" s="11">
        <v>3.2295</v>
      </c>
      <c r="F210" s="11">
        <v>2.3631</v>
      </c>
      <c r="G210" s="11">
        <v>2.8227</v>
      </c>
      <c r="H210" s="12">
        <v>3.1</v>
      </c>
    </row>
    <row r="211" spans="1:8">
      <c r="A211" s="7">
        <v>45016</v>
      </c>
      <c r="B211" s="11">
        <v>2.2328</v>
      </c>
      <c r="C211" s="11">
        <v>2.6837</v>
      </c>
      <c r="D211" s="11">
        <v>2.8528</v>
      </c>
      <c r="E211" s="11">
        <v>3.2332</v>
      </c>
      <c r="F211" s="11">
        <v>2.3523</v>
      </c>
      <c r="G211" s="11">
        <v>2.8285</v>
      </c>
      <c r="H211" s="12">
        <v>2.7</v>
      </c>
    </row>
    <row r="212" spans="1:8">
      <c r="A212" s="7">
        <v>45019</v>
      </c>
      <c r="B212" s="11">
        <v>2.2328</v>
      </c>
      <c r="C212" s="11">
        <v>2.6949</v>
      </c>
      <c r="D212" s="11">
        <v>2.8604</v>
      </c>
      <c r="E212" s="11">
        <v>3.2407</v>
      </c>
      <c r="F212" s="11">
        <v>2.339</v>
      </c>
      <c r="G212" s="11">
        <v>2.8303</v>
      </c>
      <c r="H212" s="12">
        <v>2.02</v>
      </c>
    </row>
    <row r="213" spans="1:8">
      <c r="A213" s="7">
        <v>45020</v>
      </c>
      <c r="B213" s="11">
        <v>2.2303</v>
      </c>
      <c r="C213" s="11">
        <v>2.6979</v>
      </c>
      <c r="D213" s="11">
        <v>2.8584</v>
      </c>
      <c r="E213" s="11">
        <v>3.2421</v>
      </c>
      <c r="F213" s="11">
        <v>2.3536</v>
      </c>
      <c r="G213" s="11">
        <v>2.8412</v>
      </c>
      <c r="H213" s="12">
        <v>2</v>
      </c>
    </row>
    <row r="214" spans="1:8">
      <c r="A214" s="7">
        <v>45022</v>
      </c>
      <c r="B214" s="11">
        <v>2.2278</v>
      </c>
      <c r="C214" s="11">
        <v>2.7028</v>
      </c>
      <c r="D214" s="11">
        <v>2.8605</v>
      </c>
      <c r="E214" s="11">
        <v>3.2463</v>
      </c>
      <c r="F214" s="11">
        <v>2.3853</v>
      </c>
      <c r="G214" s="11">
        <v>2.8576</v>
      </c>
      <c r="H214" s="12">
        <v>2.15</v>
      </c>
    </row>
    <row r="215" spans="1:8">
      <c r="A215" s="7">
        <v>45023</v>
      </c>
      <c r="B215" s="11">
        <v>2.2278</v>
      </c>
      <c r="C215" s="11">
        <v>2.688</v>
      </c>
      <c r="D215" s="11">
        <v>2.8464</v>
      </c>
      <c r="E215" s="11">
        <v>3.236</v>
      </c>
      <c r="F215" s="11">
        <v>2.3904</v>
      </c>
      <c r="G215" s="11">
        <v>2.8625</v>
      </c>
      <c r="H215" s="12">
        <v>2.2</v>
      </c>
    </row>
    <row r="216" spans="1:8">
      <c r="A216" s="7">
        <v>45026</v>
      </c>
      <c r="B216" s="11">
        <v>2.2228</v>
      </c>
      <c r="C216" s="11">
        <v>2.6918</v>
      </c>
      <c r="D216" s="11">
        <v>2.8455</v>
      </c>
      <c r="E216" s="11">
        <v>3.2347</v>
      </c>
      <c r="F216" s="11">
        <v>2.3852</v>
      </c>
      <c r="G216" s="11">
        <v>2.8525</v>
      </c>
      <c r="H216" s="12">
        <v>2.1</v>
      </c>
    </row>
    <row r="217" spans="1:8">
      <c r="A217" s="7">
        <v>45027</v>
      </c>
      <c r="B217" s="11">
        <v>2.2128</v>
      </c>
      <c r="C217" s="11">
        <v>2.6793</v>
      </c>
      <c r="D217" s="11">
        <v>2.8203</v>
      </c>
      <c r="E217" s="11">
        <v>3.2173</v>
      </c>
      <c r="F217" s="11">
        <v>2.3776</v>
      </c>
      <c r="G217" s="11">
        <v>2.8301</v>
      </c>
      <c r="H217" s="12">
        <v>2.15</v>
      </c>
    </row>
    <row r="218" spans="1:8">
      <c r="A218" s="7">
        <v>45028</v>
      </c>
      <c r="B218" s="11">
        <v>2.2091</v>
      </c>
      <c r="C218" s="11">
        <v>2.669</v>
      </c>
      <c r="D218" s="11">
        <v>2.8158</v>
      </c>
      <c r="E218" s="11">
        <v>3.1977</v>
      </c>
      <c r="F218" s="11">
        <v>2.3695</v>
      </c>
      <c r="G218" s="11">
        <v>2.8144</v>
      </c>
      <c r="H218" s="12">
        <v>2.1</v>
      </c>
    </row>
    <row r="219" spans="1:8">
      <c r="A219" s="7">
        <v>45029</v>
      </c>
      <c r="B219" s="11">
        <v>2.2066</v>
      </c>
      <c r="C219" s="11">
        <v>2.6793</v>
      </c>
      <c r="D219" s="11">
        <v>2.8277</v>
      </c>
      <c r="E219" s="11">
        <v>3.2031</v>
      </c>
      <c r="F219" s="11">
        <v>2.3792</v>
      </c>
      <c r="G219" s="11">
        <v>2.8284</v>
      </c>
      <c r="H219" s="12">
        <v>2.1</v>
      </c>
    </row>
    <row r="220" spans="1:8">
      <c r="A220" s="7">
        <v>45030</v>
      </c>
      <c r="B220" s="11">
        <v>2.2091</v>
      </c>
      <c r="C220" s="11">
        <v>2.6826</v>
      </c>
      <c r="D220" s="11">
        <v>2.8281</v>
      </c>
      <c r="E220" s="11">
        <v>3.2032</v>
      </c>
      <c r="F220" s="11">
        <v>2.3704</v>
      </c>
      <c r="G220" s="11">
        <v>2.831</v>
      </c>
      <c r="H220" s="12">
        <v>2.1</v>
      </c>
    </row>
    <row r="221" spans="1:8">
      <c r="A221" s="7">
        <v>45033</v>
      </c>
      <c r="B221" s="11">
        <v>2.2141</v>
      </c>
      <c r="C221" s="11">
        <v>2.6946</v>
      </c>
      <c r="D221" s="11">
        <v>2.8432</v>
      </c>
      <c r="E221" s="11">
        <v>3.2136</v>
      </c>
      <c r="F221" s="11">
        <v>2.388</v>
      </c>
      <c r="G221" s="11">
        <v>2.8465</v>
      </c>
      <c r="H221" s="12">
        <v>2.2</v>
      </c>
    </row>
    <row r="222" spans="1:8">
      <c r="A222" s="7">
        <v>45034</v>
      </c>
      <c r="B222" s="11">
        <v>2.2016</v>
      </c>
      <c r="C222" s="11">
        <v>2.6852</v>
      </c>
      <c r="D222" s="11">
        <v>2.8319</v>
      </c>
      <c r="E222" s="11">
        <v>3.2056</v>
      </c>
      <c r="F222" s="11">
        <v>2.3875</v>
      </c>
      <c r="G222" s="11">
        <v>2.8487</v>
      </c>
      <c r="H222" s="12">
        <v>2.25</v>
      </c>
    </row>
    <row r="223" spans="1:8">
      <c r="A223" s="7">
        <v>45035</v>
      </c>
      <c r="B223" s="11">
        <v>2.1891</v>
      </c>
      <c r="C223" s="11">
        <v>2.6735</v>
      </c>
      <c r="D223" s="11">
        <v>2.8333</v>
      </c>
      <c r="E223" s="11">
        <v>3.1875</v>
      </c>
      <c r="F223" s="11">
        <v>2.379</v>
      </c>
      <c r="G223" s="11">
        <v>2.8373</v>
      </c>
      <c r="H223" s="12">
        <v>2.15</v>
      </c>
    </row>
    <row r="224" spans="1:8">
      <c r="A224" s="7">
        <v>45036</v>
      </c>
      <c r="B224" s="11">
        <v>2.1905</v>
      </c>
      <c r="C224" s="11">
        <v>2.671</v>
      </c>
      <c r="D224" s="11">
        <v>2.8332</v>
      </c>
      <c r="E224" s="11">
        <v>3.1775</v>
      </c>
      <c r="F224" s="11">
        <v>2.381</v>
      </c>
      <c r="G224" s="11">
        <v>2.8465</v>
      </c>
      <c r="H224" s="12">
        <v>2.15</v>
      </c>
    </row>
    <row r="225" spans="1:8">
      <c r="A225" s="7">
        <v>45037</v>
      </c>
      <c r="B225" s="11">
        <v>2.1894</v>
      </c>
      <c r="C225" s="11">
        <v>2.669</v>
      </c>
      <c r="D225" s="11">
        <v>2.8258</v>
      </c>
      <c r="E225" s="11">
        <v>3.1726</v>
      </c>
      <c r="F225" s="11">
        <v>2.387</v>
      </c>
      <c r="G225" s="11">
        <v>2.8434</v>
      </c>
      <c r="H225" s="12">
        <v>2.5</v>
      </c>
    </row>
    <row r="226" spans="1:8">
      <c r="A226" s="7">
        <v>45039</v>
      </c>
      <c r="B226" s="11">
        <v>2.1906</v>
      </c>
      <c r="C226" s="11">
        <v>2.6682</v>
      </c>
      <c r="D226" s="11">
        <v>2.822</v>
      </c>
      <c r="E226" s="11">
        <v>3.1715</v>
      </c>
      <c r="F226" s="11">
        <v>2.37</v>
      </c>
      <c r="G226" s="11"/>
      <c r="H226" s="12">
        <v>2.1</v>
      </c>
    </row>
    <row r="227" spans="1:8">
      <c r="A227" s="7">
        <v>45040</v>
      </c>
      <c r="B227" s="11">
        <v>2.1855</v>
      </c>
      <c r="C227" s="11">
        <v>2.6632</v>
      </c>
      <c r="D227" s="11">
        <v>2.8176</v>
      </c>
      <c r="E227" s="11">
        <v>3.1608</v>
      </c>
      <c r="F227" s="11">
        <v>2.3791</v>
      </c>
      <c r="G227" s="11">
        <v>2.8272</v>
      </c>
      <c r="H227" s="12">
        <v>2.55</v>
      </c>
    </row>
    <row r="228" spans="1:8">
      <c r="A228" s="7">
        <v>45041</v>
      </c>
      <c r="B228" s="11">
        <v>2.1754</v>
      </c>
      <c r="C228" s="11">
        <v>2.6599</v>
      </c>
      <c r="D228" s="11">
        <v>2.8157</v>
      </c>
      <c r="E228" s="11">
        <v>3.1584</v>
      </c>
      <c r="F228" s="11">
        <v>2.3815</v>
      </c>
      <c r="G228" s="11">
        <v>2.8264</v>
      </c>
      <c r="H228" s="12">
        <v>2.6</v>
      </c>
    </row>
    <row r="229" spans="1:8">
      <c r="A229" s="7">
        <v>45042</v>
      </c>
      <c r="B229" s="11">
        <v>2.1727</v>
      </c>
      <c r="C229" s="11">
        <v>2.6375</v>
      </c>
      <c r="D229" s="11">
        <v>2.8058</v>
      </c>
      <c r="E229" s="11">
        <v>3.1574</v>
      </c>
      <c r="F229" s="11">
        <v>2.3632</v>
      </c>
      <c r="G229" s="11">
        <v>2.8108</v>
      </c>
      <c r="H229" s="12">
        <v>2.5</v>
      </c>
    </row>
    <row r="230" spans="1:8">
      <c r="A230" s="7">
        <v>45043</v>
      </c>
      <c r="B230" s="11">
        <v>2.156</v>
      </c>
      <c r="C230" s="11">
        <v>2.6152</v>
      </c>
      <c r="D230" s="11">
        <v>2.7852</v>
      </c>
      <c r="E230" s="11">
        <v>3.1379</v>
      </c>
      <c r="F230" s="11">
        <v>2.3338</v>
      </c>
      <c r="G230" s="11">
        <v>2.7755</v>
      </c>
      <c r="H230" s="12">
        <v>2.5</v>
      </c>
    </row>
    <row r="231" spans="1:8">
      <c r="A231" s="7">
        <v>45044</v>
      </c>
      <c r="B231" s="11">
        <v>2.1464</v>
      </c>
      <c r="C231" s="11">
        <v>2.613</v>
      </c>
      <c r="D231" s="11">
        <v>2.7788</v>
      </c>
      <c r="E231" s="11">
        <v>3.1355</v>
      </c>
      <c r="F231" s="11">
        <v>2.3372</v>
      </c>
      <c r="G231" s="11">
        <v>2.7793</v>
      </c>
      <c r="H231" s="12">
        <v>2.4</v>
      </c>
    </row>
    <row r="232" spans="1:8">
      <c r="A232" s="7">
        <v>45050</v>
      </c>
      <c r="B232" s="11">
        <v>2.1362</v>
      </c>
      <c r="C232" s="11">
        <v>2.5968</v>
      </c>
      <c r="D232" s="11">
        <v>2.7613</v>
      </c>
      <c r="E232" s="11">
        <v>3.1182</v>
      </c>
      <c r="F232" s="11">
        <v>2.3003</v>
      </c>
      <c r="G232" s="11">
        <v>2.7403</v>
      </c>
      <c r="H232" s="12">
        <v>2.0145</v>
      </c>
    </row>
    <row r="233" spans="1:8">
      <c r="A233" s="7">
        <v>45051</v>
      </c>
      <c r="B233" s="11">
        <v>2.1266</v>
      </c>
      <c r="C233" s="11">
        <v>2.5645</v>
      </c>
      <c r="D233" s="11">
        <v>2.7338</v>
      </c>
      <c r="E233" s="11">
        <v>3.0831</v>
      </c>
      <c r="F233" s="11">
        <v>2.2637</v>
      </c>
      <c r="G233" s="11">
        <v>2.7107</v>
      </c>
      <c r="H233" s="12">
        <v>1.95</v>
      </c>
    </row>
    <row r="234" spans="1:8">
      <c r="A234" s="7">
        <v>45052</v>
      </c>
      <c r="B234" s="11">
        <v>2.1215</v>
      </c>
      <c r="C234" s="11">
        <v>2.5635</v>
      </c>
      <c r="D234" s="11">
        <v>2.7311</v>
      </c>
      <c r="E234" s="11">
        <v>3.0882</v>
      </c>
      <c r="F234" s="11">
        <v>2.2339</v>
      </c>
      <c r="G234" s="11">
        <v>2.682</v>
      </c>
      <c r="H234" s="12">
        <v>1.75</v>
      </c>
    </row>
    <row r="235" spans="1:8">
      <c r="A235" s="7">
        <v>45054</v>
      </c>
      <c r="B235" s="11">
        <v>2.1323</v>
      </c>
      <c r="C235" s="11">
        <v>2.5854</v>
      </c>
      <c r="D235" s="11">
        <v>2.7484</v>
      </c>
      <c r="E235" s="11">
        <v>3.1058</v>
      </c>
      <c r="F235" s="11">
        <v>2.2538</v>
      </c>
      <c r="G235" s="11">
        <v>2.7032</v>
      </c>
      <c r="H235" s="12">
        <v>2</v>
      </c>
    </row>
    <row r="236" spans="1:8">
      <c r="A236" s="7">
        <v>45055</v>
      </c>
      <c r="B236" s="11">
        <v>2.1203</v>
      </c>
      <c r="C236" s="11">
        <v>2.578</v>
      </c>
      <c r="D236" s="11">
        <v>2.7383</v>
      </c>
      <c r="E236" s="11">
        <v>3.0998</v>
      </c>
      <c r="F236" s="11">
        <v>2.2453</v>
      </c>
      <c r="G236" s="11">
        <v>2.6888</v>
      </c>
      <c r="H236" s="12">
        <v>1.93</v>
      </c>
    </row>
    <row r="237" spans="1:8">
      <c r="A237" s="7">
        <v>45056</v>
      </c>
      <c r="B237" s="11">
        <v>2.0883</v>
      </c>
      <c r="C237" s="11">
        <v>2.5482</v>
      </c>
      <c r="D237" s="11">
        <v>2.721</v>
      </c>
      <c r="E237" s="11">
        <v>3.0849</v>
      </c>
      <c r="F237" s="11">
        <v>2.2196</v>
      </c>
      <c r="G237" s="11">
        <v>2.6612</v>
      </c>
      <c r="H237" s="12">
        <v>1.9</v>
      </c>
    </row>
    <row r="238" spans="1:8">
      <c r="A238" s="7">
        <v>45057</v>
      </c>
      <c r="B238" s="11">
        <v>2.0353</v>
      </c>
      <c r="C238" s="11">
        <v>2.5211</v>
      </c>
      <c r="D238" s="11">
        <v>2.701</v>
      </c>
      <c r="E238" s="11">
        <v>3.0672</v>
      </c>
      <c r="F238" s="11">
        <v>2.1735</v>
      </c>
      <c r="G238" s="11">
        <v>2.6194</v>
      </c>
      <c r="H238" s="12">
        <v>1.85</v>
      </c>
    </row>
    <row r="239" spans="1:8">
      <c r="A239" s="7">
        <v>45058</v>
      </c>
      <c r="B239" s="11">
        <v>2.0441</v>
      </c>
      <c r="C239" s="11">
        <v>2.5164</v>
      </c>
      <c r="D239" s="11">
        <v>2.7058</v>
      </c>
      <c r="E239" s="11">
        <v>3.0608</v>
      </c>
      <c r="F239" s="11">
        <v>2.1561</v>
      </c>
      <c r="G239" s="11">
        <v>2.6243</v>
      </c>
      <c r="H239" s="12">
        <v>1.85</v>
      </c>
    </row>
    <row r="240" spans="1:8">
      <c r="A240" s="7">
        <v>45061</v>
      </c>
      <c r="B240" s="11">
        <v>2.0602</v>
      </c>
      <c r="C240" s="11">
        <v>2.5395</v>
      </c>
      <c r="D240" s="11">
        <v>2.719</v>
      </c>
      <c r="E240" s="11">
        <v>3.0649</v>
      </c>
      <c r="F240" s="11">
        <v>2.1534</v>
      </c>
      <c r="G240" s="11">
        <v>2.6218</v>
      </c>
      <c r="H240" s="12">
        <v>1.9</v>
      </c>
    </row>
    <row r="241" spans="1:8">
      <c r="A241" s="7">
        <v>45062</v>
      </c>
      <c r="B241" s="11">
        <v>2.0653</v>
      </c>
      <c r="C241" s="11">
        <v>2.5371</v>
      </c>
      <c r="D241" s="11">
        <v>2.7129</v>
      </c>
      <c r="E241" s="11">
        <v>3.066</v>
      </c>
      <c r="F241" s="11">
        <v>2.1794</v>
      </c>
      <c r="G241" s="11">
        <v>2.6344</v>
      </c>
      <c r="H241" s="12">
        <v>1.95</v>
      </c>
    </row>
    <row r="242" spans="1:8">
      <c r="A242" s="7">
        <v>45063</v>
      </c>
      <c r="B242" s="11">
        <v>2.078</v>
      </c>
      <c r="C242" s="11">
        <v>2.5533</v>
      </c>
      <c r="D242" s="11">
        <v>2.721</v>
      </c>
      <c r="E242" s="11">
        <v>3.081</v>
      </c>
      <c r="F242" s="11">
        <v>2.1709</v>
      </c>
      <c r="G242" s="11">
        <v>2.6348</v>
      </c>
      <c r="H242" s="12">
        <v>2</v>
      </c>
    </row>
    <row r="243" spans="1:8">
      <c r="A243" s="7">
        <v>45064</v>
      </c>
      <c r="B243" s="11">
        <v>2.0729</v>
      </c>
      <c r="C243" s="11">
        <v>2.5454</v>
      </c>
      <c r="D243" s="11">
        <v>2.7184</v>
      </c>
      <c r="E243" s="11">
        <v>3.081</v>
      </c>
      <c r="F243" s="11">
        <v>2.177</v>
      </c>
      <c r="G243" s="11">
        <v>2.6497</v>
      </c>
      <c r="H243" s="12">
        <v>1.95</v>
      </c>
    </row>
    <row r="244" spans="1:8">
      <c r="A244" s="7">
        <v>45065</v>
      </c>
      <c r="B244" s="11">
        <v>2.0554</v>
      </c>
      <c r="C244" s="11">
        <v>2.5204</v>
      </c>
      <c r="D244" s="11">
        <v>2.7151</v>
      </c>
      <c r="E244" s="11">
        <v>3.0773</v>
      </c>
      <c r="F244" s="11">
        <v>2.1478</v>
      </c>
      <c r="G244" s="11">
        <v>2.6191</v>
      </c>
      <c r="H244" s="12">
        <v>1.91</v>
      </c>
    </row>
    <row r="245" spans="1:8">
      <c r="A245" s="7">
        <v>45068</v>
      </c>
      <c r="B245" s="11">
        <v>2.0218</v>
      </c>
      <c r="C245" s="11">
        <v>2.4888</v>
      </c>
      <c r="D245" s="11">
        <v>2.7132</v>
      </c>
      <c r="E245" s="11">
        <v>3.0762</v>
      </c>
      <c r="F245" s="11">
        <v>2.1126</v>
      </c>
      <c r="G245" s="11">
        <v>2.5773</v>
      </c>
      <c r="H245" s="12">
        <v>1.9</v>
      </c>
    </row>
    <row r="246" spans="1:8">
      <c r="A246" s="7">
        <v>45069</v>
      </c>
      <c r="B246" s="11">
        <v>1.9909</v>
      </c>
      <c r="C246" s="11">
        <v>2.4665</v>
      </c>
      <c r="D246" s="11">
        <v>2.6962</v>
      </c>
      <c r="E246" s="11">
        <v>3.0687</v>
      </c>
      <c r="F246" s="11">
        <v>2.0731</v>
      </c>
      <c r="G246" s="11">
        <v>2.5177</v>
      </c>
      <c r="H246" s="12">
        <v>1.85</v>
      </c>
    </row>
    <row r="247" spans="1:8">
      <c r="A247" s="7">
        <v>45070</v>
      </c>
      <c r="B247" s="11">
        <v>1.9893</v>
      </c>
      <c r="C247" s="11">
        <v>2.4794</v>
      </c>
      <c r="D247" s="11">
        <v>2.7037</v>
      </c>
      <c r="E247" s="11">
        <v>3.0723</v>
      </c>
      <c r="F247" s="11">
        <v>2.0947</v>
      </c>
      <c r="G247" s="11">
        <v>2.534</v>
      </c>
      <c r="H247" s="12">
        <v>1.8</v>
      </c>
    </row>
    <row r="248" spans="1:8">
      <c r="A248" s="7">
        <v>45071</v>
      </c>
      <c r="B248" s="11">
        <v>1.979</v>
      </c>
      <c r="C248" s="11">
        <v>2.4795</v>
      </c>
      <c r="D248" s="11">
        <v>2.7065</v>
      </c>
      <c r="E248" s="11">
        <v>3.0773</v>
      </c>
      <c r="F248" s="11">
        <v>2.1073</v>
      </c>
      <c r="G248" s="11">
        <v>2.5491</v>
      </c>
      <c r="H248" s="12">
        <v>2.1</v>
      </c>
    </row>
    <row r="249" spans="1:8">
      <c r="A249" s="7">
        <v>45072</v>
      </c>
      <c r="B249" s="11">
        <v>2.0188</v>
      </c>
      <c r="C249" s="11">
        <v>2.5007</v>
      </c>
      <c r="D249" s="11">
        <v>2.7205</v>
      </c>
      <c r="E249" s="11">
        <v>3.0913</v>
      </c>
      <c r="F249" s="11">
        <v>2.1029</v>
      </c>
      <c r="G249" s="11">
        <v>2.5494</v>
      </c>
      <c r="H249" s="12">
        <v>2.15</v>
      </c>
    </row>
    <row r="250" spans="1:8">
      <c r="A250" s="7">
        <v>45075</v>
      </c>
      <c r="B250" s="11">
        <v>1.9979</v>
      </c>
      <c r="C250" s="11">
        <v>2.4871</v>
      </c>
      <c r="D250" s="11">
        <v>2.695</v>
      </c>
      <c r="E250" s="11">
        <v>3.0839</v>
      </c>
      <c r="F250" s="11">
        <v>2.101</v>
      </c>
      <c r="G250" s="11">
        <v>2.5503</v>
      </c>
      <c r="H250" s="12">
        <v>2.15</v>
      </c>
    </row>
    <row r="251" spans="1:8">
      <c r="A251" s="7">
        <v>45076</v>
      </c>
      <c r="B251" s="11">
        <v>1.9835</v>
      </c>
      <c r="C251" s="11">
        <v>2.488</v>
      </c>
      <c r="D251" s="11">
        <v>2.7</v>
      </c>
      <c r="E251" s="11">
        <v>3.0839</v>
      </c>
      <c r="F251" s="11">
        <v>2.0926</v>
      </c>
      <c r="G251" s="11">
        <v>2.5331</v>
      </c>
      <c r="H251" s="12">
        <v>2.15</v>
      </c>
    </row>
    <row r="252" spans="1:8">
      <c r="A252" s="7">
        <v>45077</v>
      </c>
      <c r="B252" s="11">
        <v>1.9829</v>
      </c>
      <c r="C252" s="11">
        <v>2.4558</v>
      </c>
      <c r="D252" s="11">
        <v>2.685</v>
      </c>
      <c r="E252" s="11">
        <v>3.0733</v>
      </c>
      <c r="F252" s="11">
        <v>2.085</v>
      </c>
      <c r="G252" s="11">
        <v>2.5349</v>
      </c>
      <c r="H252" s="12">
        <v>2.1</v>
      </c>
    </row>
    <row r="253" spans="1:8">
      <c r="A253" s="7">
        <v>45078</v>
      </c>
      <c r="B253" s="11">
        <v>1.9721</v>
      </c>
      <c r="C253" s="11">
        <v>2.4256</v>
      </c>
      <c r="D253" s="11">
        <v>2.6825</v>
      </c>
      <c r="E253" s="11">
        <v>3.0694</v>
      </c>
      <c r="F253" s="11">
        <v>2.0597</v>
      </c>
      <c r="G253" s="11">
        <v>2.5028</v>
      </c>
      <c r="H253" s="12">
        <v>1.85</v>
      </c>
    </row>
    <row r="254" spans="1:8">
      <c r="A254" s="7">
        <v>45079</v>
      </c>
      <c r="B254" s="11">
        <v>1.9731</v>
      </c>
      <c r="C254" s="11">
        <v>2.4532</v>
      </c>
      <c r="D254" s="11">
        <v>2.6951</v>
      </c>
      <c r="E254" s="11">
        <v>3.0784</v>
      </c>
      <c r="F254" s="11">
        <v>2.0722</v>
      </c>
      <c r="G254" s="11">
        <v>2.5305</v>
      </c>
      <c r="H254" s="12">
        <v>1.9</v>
      </c>
    </row>
    <row r="255" spans="1:8">
      <c r="A255" s="7">
        <v>45082</v>
      </c>
      <c r="B255" s="11">
        <v>1.939</v>
      </c>
      <c r="C255" s="11">
        <v>2.4549</v>
      </c>
      <c r="D255" s="11">
        <v>2.6926</v>
      </c>
      <c r="E255" s="11">
        <v>3.079</v>
      </c>
      <c r="F255" s="11">
        <v>2.0722</v>
      </c>
      <c r="G255" s="11">
        <v>2.5394</v>
      </c>
      <c r="H255" s="12">
        <v>1.85</v>
      </c>
    </row>
    <row r="256" spans="1:8">
      <c r="A256" s="7">
        <v>45083</v>
      </c>
      <c r="B256" s="11">
        <v>1.9177</v>
      </c>
      <c r="C256" s="11">
        <v>2.438</v>
      </c>
      <c r="D256" s="11">
        <v>2.6826</v>
      </c>
      <c r="E256" s="11">
        <v>3.0716</v>
      </c>
      <c r="F256" s="11">
        <v>2.0616</v>
      </c>
      <c r="G256" s="11">
        <v>2.5193</v>
      </c>
      <c r="H256" s="12">
        <v>1.8</v>
      </c>
    </row>
    <row r="257" spans="1:8">
      <c r="A257" s="7">
        <v>45084</v>
      </c>
      <c r="B257" s="11">
        <v>1.8955</v>
      </c>
      <c r="C257" s="11">
        <v>2.4413</v>
      </c>
      <c r="D257" s="11">
        <v>2.6827</v>
      </c>
      <c r="E257" s="11">
        <v>3.0645</v>
      </c>
      <c r="F257" s="11">
        <v>2.0618</v>
      </c>
      <c r="G257" s="11">
        <v>2.5089</v>
      </c>
      <c r="H257" s="12">
        <v>1.84</v>
      </c>
    </row>
    <row r="258" spans="1:8">
      <c r="A258" s="7">
        <v>45085</v>
      </c>
      <c r="B258" s="11">
        <v>1.8887</v>
      </c>
      <c r="C258" s="11">
        <v>2.4522</v>
      </c>
      <c r="D258" s="11">
        <v>2.6822</v>
      </c>
      <c r="E258" s="11">
        <v>3.0651</v>
      </c>
      <c r="F258" s="11">
        <v>2.0682</v>
      </c>
      <c r="G258" s="11">
        <v>2.5251</v>
      </c>
      <c r="H258" s="12">
        <v>1.8</v>
      </c>
    </row>
    <row r="259" spans="1:8">
      <c r="A259" s="7">
        <v>45086</v>
      </c>
      <c r="B259" s="11">
        <v>1.8636</v>
      </c>
      <c r="C259" s="11">
        <v>2.434</v>
      </c>
      <c r="D259" s="11">
        <v>2.6703</v>
      </c>
      <c r="E259" s="11">
        <v>3.044</v>
      </c>
      <c r="F259" s="11">
        <v>2.0566</v>
      </c>
      <c r="G259" s="11">
        <v>2.5078</v>
      </c>
      <c r="H259" s="12">
        <v>1.85</v>
      </c>
    </row>
    <row r="260" spans="1:8">
      <c r="A260" s="7">
        <v>45089</v>
      </c>
      <c r="B260" s="11">
        <v>1.8663</v>
      </c>
      <c r="C260" s="11">
        <v>2.4361</v>
      </c>
      <c r="D260" s="11">
        <v>2.6704</v>
      </c>
      <c r="E260" s="11">
        <v>3.0391</v>
      </c>
      <c r="F260" s="11">
        <v>2.049</v>
      </c>
      <c r="G260" s="11">
        <v>2.4837</v>
      </c>
      <c r="H260" s="12">
        <v>1.9</v>
      </c>
    </row>
    <row r="261" spans="1:8">
      <c r="A261" s="7">
        <v>45090</v>
      </c>
      <c r="B261" s="11">
        <v>1.8514</v>
      </c>
      <c r="C261" s="11">
        <v>2.4031</v>
      </c>
      <c r="D261" s="11">
        <v>2.6227</v>
      </c>
      <c r="E261" s="11">
        <v>3.0064</v>
      </c>
      <c r="F261" s="11">
        <v>2.0248</v>
      </c>
      <c r="G261" s="11">
        <v>2.4347</v>
      </c>
      <c r="H261" s="12">
        <v>1.95</v>
      </c>
    </row>
    <row r="262" spans="1:8">
      <c r="A262" s="7">
        <v>45091</v>
      </c>
      <c r="B262" s="11">
        <v>1.8365</v>
      </c>
      <c r="C262" s="11">
        <v>2.398</v>
      </c>
      <c r="D262" s="11">
        <v>2.6178</v>
      </c>
      <c r="E262" s="11">
        <v>2.9963</v>
      </c>
      <c r="F262" s="11">
        <v>2.0254</v>
      </c>
      <c r="G262" s="11">
        <v>2.4223</v>
      </c>
      <c r="H262" s="12">
        <v>1.85</v>
      </c>
    </row>
    <row r="263" spans="1:8">
      <c r="A263" s="7">
        <v>45092</v>
      </c>
      <c r="B263" s="11">
        <v>1.8616</v>
      </c>
      <c r="C263" s="11">
        <v>2.4366</v>
      </c>
      <c r="D263" s="11">
        <v>2.6482</v>
      </c>
      <c r="E263" s="11">
        <v>3.0267</v>
      </c>
      <c r="F263" s="11">
        <v>2.0461</v>
      </c>
      <c r="G263" s="11">
        <v>2.4646</v>
      </c>
      <c r="H263" s="12">
        <v>1.85</v>
      </c>
    </row>
    <row r="264" spans="1:8">
      <c r="A264" s="7">
        <v>45093</v>
      </c>
      <c r="B264" s="11">
        <v>1.8817</v>
      </c>
      <c r="C264" s="11">
        <v>2.4543</v>
      </c>
      <c r="D264" s="11">
        <v>2.6626</v>
      </c>
      <c r="E264" s="11">
        <v>3.0419</v>
      </c>
      <c r="F264" s="11">
        <v>2.0862</v>
      </c>
      <c r="G264" s="11">
        <v>2.5277</v>
      </c>
      <c r="H264" s="12">
        <v>1.95</v>
      </c>
    </row>
    <row r="265" spans="1:8">
      <c r="A265" s="7">
        <v>45096</v>
      </c>
      <c r="B265" s="11">
        <v>1.9018</v>
      </c>
      <c r="C265" s="11">
        <v>2.5027</v>
      </c>
      <c r="D265" s="11">
        <v>2.6876</v>
      </c>
      <c r="E265" s="11">
        <v>3.0619</v>
      </c>
      <c r="F265" s="11">
        <v>2.1031</v>
      </c>
      <c r="G265" s="11">
        <v>2.5492</v>
      </c>
      <c r="H265" s="12">
        <v>2.09</v>
      </c>
    </row>
    <row r="266" spans="1:8">
      <c r="A266" s="7">
        <v>45097</v>
      </c>
      <c r="B266" s="11">
        <v>1.9118</v>
      </c>
      <c r="C266" s="11">
        <v>2.4811</v>
      </c>
      <c r="D266" s="11">
        <v>2.6751</v>
      </c>
      <c r="E266" s="11">
        <v>3.0444</v>
      </c>
      <c r="F266" s="11">
        <v>2.0909</v>
      </c>
      <c r="G266" s="11">
        <v>2.533</v>
      </c>
      <c r="H266" s="12">
        <v>2.1</v>
      </c>
    </row>
    <row r="267" spans="1:8">
      <c r="A267" s="7">
        <v>45098</v>
      </c>
      <c r="B267" s="11">
        <v>1.9161</v>
      </c>
      <c r="C267" s="11">
        <v>2.4744</v>
      </c>
      <c r="D267" s="11">
        <v>2.6701</v>
      </c>
      <c r="E267" s="11">
        <v>3.042</v>
      </c>
      <c r="F267" s="11">
        <v>2.0817</v>
      </c>
      <c r="G267" s="11">
        <v>2.5138</v>
      </c>
      <c r="H267" s="12">
        <v>2.2</v>
      </c>
    </row>
    <row r="268" spans="1:8">
      <c r="A268" s="7">
        <v>45102</v>
      </c>
      <c r="B268" s="11">
        <v>1.912</v>
      </c>
      <c r="C268" s="11">
        <v>2.4592</v>
      </c>
      <c r="D268" s="11">
        <v>2.6576</v>
      </c>
      <c r="E268" s="11">
        <v>3.028</v>
      </c>
      <c r="F268" s="11">
        <v>2.03</v>
      </c>
      <c r="G268" s="11">
        <v>2.51</v>
      </c>
      <c r="H268" s="12">
        <v>2</v>
      </c>
    </row>
    <row r="269" spans="1:8">
      <c r="A269" s="7">
        <v>45103</v>
      </c>
      <c r="B269" s="11">
        <v>1.912</v>
      </c>
      <c r="C269" s="11">
        <v>2.4723</v>
      </c>
      <c r="D269" s="11">
        <v>2.6677</v>
      </c>
      <c r="E269" s="11">
        <v>3.0346</v>
      </c>
      <c r="F269" s="11">
        <v>2.0702</v>
      </c>
      <c r="G269" s="11">
        <v>2.5051</v>
      </c>
      <c r="H269" s="12">
        <v>2.35</v>
      </c>
    </row>
    <row r="270" spans="1:8">
      <c r="A270" s="7">
        <v>45104</v>
      </c>
      <c r="B270" s="11">
        <v>1.952</v>
      </c>
      <c r="C270" s="11">
        <v>2.4773</v>
      </c>
      <c r="D270" s="11">
        <v>2.6676</v>
      </c>
      <c r="E270" s="11">
        <v>3.0295</v>
      </c>
      <c r="F270" s="11">
        <v>2.0799</v>
      </c>
      <c r="G270" s="11">
        <v>2.525</v>
      </c>
      <c r="H270" s="12">
        <v>2.8</v>
      </c>
    </row>
    <row r="271" spans="1:8">
      <c r="A271" s="7">
        <v>45105</v>
      </c>
      <c r="B271" s="11">
        <v>1.942</v>
      </c>
      <c r="C271" s="11">
        <v>2.466</v>
      </c>
      <c r="D271" s="11">
        <v>2.6651</v>
      </c>
      <c r="E271" s="11">
        <v>3.0271</v>
      </c>
      <c r="F271" s="11">
        <v>2.0701</v>
      </c>
      <c r="G271" s="11">
        <v>2.503</v>
      </c>
      <c r="H271" s="12">
        <v>2.85</v>
      </c>
    </row>
    <row r="272" spans="1:8">
      <c r="A272" s="7">
        <v>45106</v>
      </c>
      <c r="B272" s="11">
        <v>1.932</v>
      </c>
      <c r="C272" s="11">
        <v>2.457</v>
      </c>
      <c r="D272" s="11">
        <v>2.6526</v>
      </c>
      <c r="E272" s="11">
        <v>3.0171</v>
      </c>
      <c r="F272" s="11">
        <v>2.0658</v>
      </c>
      <c r="G272" s="11">
        <v>2.4965</v>
      </c>
      <c r="H272" s="12">
        <v>2.9</v>
      </c>
    </row>
    <row r="273" spans="1:8">
      <c r="A273" s="7">
        <v>45107</v>
      </c>
      <c r="B273" s="11">
        <v>1.8723</v>
      </c>
      <c r="C273" s="11">
        <v>2.4247</v>
      </c>
      <c r="D273" s="11">
        <v>2.6351</v>
      </c>
      <c r="E273" s="11">
        <v>3.0072</v>
      </c>
      <c r="F273" s="11">
        <v>2.0245</v>
      </c>
      <c r="G273" s="11">
        <v>2.4626</v>
      </c>
      <c r="H273" s="12">
        <v>2.6</v>
      </c>
    </row>
    <row r="274" spans="1:8">
      <c r="A274" s="7">
        <v>45110</v>
      </c>
      <c r="B274" s="11">
        <v>1.8425</v>
      </c>
      <c r="C274" s="11">
        <v>2.4333</v>
      </c>
      <c r="D274" s="11">
        <v>2.6402</v>
      </c>
      <c r="E274" s="11">
        <v>3.0133</v>
      </c>
      <c r="F274" s="11">
        <v>2.0145</v>
      </c>
      <c r="G274" s="11">
        <v>2.4583</v>
      </c>
      <c r="H274" s="12">
        <v>2</v>
      </c>
    </row>
    <row r="275" spans="1:8">
      <c r="A275" s="7">
        <v>45111</v>
      </c>
      <c r="B275" s="11">
        <v>1.8326</v>
      </c>
      <c r="C275" s="11">
        <v>2.4436</v>
      </c>
      <c r="D275" s="11">
        <v>2.6477</v>
      </c>
      <c r="E275" s="11">
        <v>3.0225</v>
      </c>
      <c r="F275" s="11">
        <v>2.0276</v>
      </c>
      <c r="G275" s="11">
        <v>2.4656</v>
      </c>
      <c r="H275" s="12">
        <v>2</v>
      </c>
    </row>
    <row r="276" spans="1:8">
      <c r="A276" s="7">
        <v>45112</v>
      </c>
      <c r="B276" s="11">
        <v>1.8227</v>
      </c>
      <c r="C276" s="11">
        <v>2.4333</v>
      </c>
      <c r="D276" s="11">
        <v>2.6402</v>
      </c>
      <c r="E276" s="11">
        <v>3.0176</v>
      </c>
      <c r="F276" s="11">
        <v>2.0237</v>
      </c>
      <c r="G276" s="11">
        <v>2.462</v>
      </c>
      <c r="H276" s="12">
        <v>1.95</v>
      </c>
    </row>
    <row r="277" spans="1:8">
      <c r="A277" s="7">
        <v>45113</v>
      </c>
      <c r="B277" s="11">
        <v>1.8227</v>
      </c>
      <c r="C277" s="11">
        <v>2.4335</v>
      </c>
      <c r="D277" s="11">
        <v>2.6392</v>
      </c>
      <c r="E277" s="11">
        <v>3.018</v>
      </c>
      <c r="F277" s="11">
        <v>2.0188</v>
      </c>
      <c r="G277" s="11">
        <v>2.4526</v>
      </c>
      <c r="H277" s="12">
        <v>1.9</v>
      </c>
    </row>
    <row r="278" spans="1:8">
      <c r="A278" s="7">
        <v>45114</v>
      </c>
      <c r="B278" s="11">
        <v>1.8279</v>
      </c>
      <c r="C278" s="11">
        <v>2.4295</v>
      </c>
      <c r="D278" s="11">
        <v>2.6403</v>
      </c>
      <c r="E278" s="11">
        <v>3.013</v>
      </c>
      <c r="F278" s="11">
        <v>2.0195</v>
      </c>
      <c r="G278" s="11">
        <v>2.4527</v>
      </c>
      <c r="H278" s="12">
        <v>1.88</v>
      </c>
    </row>
    <row r="279" spans="1:8">
      <c r="A279" s="7">
        <v>45117</v>
      </c>
      <c r="B279" s="11">
        <v>1.8279</v>
      </c>
      <c r="C279" s="11">
        <v>2.4395</v>
      </c>
      <c r="D279" s="11">
        <v>2.6403</v>
      </c>
      <c r="E279" s="11">
        <v>3.0091</v>
      </c>
      <c r="F279" s="11">
        <v>2.0265</v>
      </c>
      <c r="G279" s="11">
        <v>2.462</v>
      </c>
      <c r="H279" s="12">
        <v>1.86</v>
      </c>
    </row>
    <row r="280" spans="1:8">
      <c r="A280" s="7">
        <v>45118</v>
      </c>
      <c r="B280" s="11">
        <v>1.8231</v>
      </c>
      <c r="C280" s="11">
        <v>2.4343</v>
      </c>
      <c r="D280" s="11">
        <v>2.6353</v>
      </c>
      <c r="E280" s="11">
        <v>3.0011</v>
      </c>
      <c r="F280" s="11">
        <v>2.0262</v>
      </c>
      <c r="G280" s="11">
        <v>2.4504</v>
      </c>
      <c r="H280" s="12">
        <v>1.9</v>
      </c>
    </row>
    <row r="281" spans="1:8">
      <c r="A281" s="7">
        <v>45119</v>
      </c>
      <c r="B281" s="11">
        <v>1.8183</v>
      </c>
      <c r="C281" s="11">
        <v>2.4369</v>
      </c>
      <c r="D281" s="11">
        <v>2.6378</v>
      </c>
      <c r="E281" s="11">
        <v>3.0011</v>
      </c>
      <c r="F281" s="11">
        <v>2.0339</v>
      </c>
      <c r="G281" s="11">
        <v>2.4635</v>
      </c>
      <c r="H281" s="12">
        <v>1.85</v>
      </c>
    </row>
    <row r="282" spans="1:8">
      <c r="A282" s="7">
        <v>45120</v>
      </c>
      <c r="B282" s="11">
        <v>1.8384</v>
      </c>
      <c r="C282" s="11">
        <v>2.4502</v>
      </c>
      <c r="D282" s="11">
        <v>2.6413</v>
      </c>
      <c r="E282" s="11">
        <v>3.0084</v>
      </c>
      <c r="F282" s="11">
        <v>2.0407</v>
      </c>
      <c r="G282" s="11">
        <v>2.4721</v>
      </c>
      <c r="H282" s="12">
        <v>1.85</v>
      </c>
    </row>
    <row r="283" spans="1:8">
      <c r="A283" s="7">
        <v>45121</v>
      </c>
      <c r="B283" s="11">
        <v>1.8385</v>
      </c>
      <c r="C283" s="11">
        <v>2.4512</v>
      </c>
      <c r="D283" s="11">
        <v>2.6444</v>
      </c>
      <c r="E283" s="11">
        <v>3.0144</v>
      </c>
      <c r="F283" s="11">
        <v>2.0448</v>
      </c>
      <c r="G283" s="11">
        <v>2.4807</v>
      </c>
      <c r="H283" s="12">
        <v>1.9</v>
      </c>
    </row>
    <row r="284" spans="1:8">
      <c r="A284" s="7">
        <v>45124</v>
      </c>
      <c r="B284" s="11">
        <v>1.7635</v>
      </c>
      <c r="C284" s="11">
        <v>2.4348</v>
      </c>
      <c r="D284" s="11">
        <v>2.6364</v>
      </c>
      <c r="E284" s="11">
        <v>3.0085</v>
      </c>
      <c r="F284" s="11">
        <v>2.037</v>
      </c>
      <c r="G284" s="11">
        <v>2.462</v>
      </c>
      <c r="H284" s="12">
        <v>1.95</v>
      </c>
    </row>
    <row r="285" spans="1:8">
      <c r="A285" s="7">
        <v>45125</v>
      </c>
      <c r="B285" s="11">
        <v>1.7635</v>
      </c>
      <c r="C285" s="11">
        <v>2.4248</v>
      </c>
      <c r="D285" s="11">
        <v>2.6234</v>
      </c>
      <c r="E285" s="11">
        <v>2.9965</v>
      </c>
      <c r="F285" s="11">
        <v>2.0273</v>
      </c>
      <c r="G285" s="11">
        <v>2.4495</v>
      </c>
      <c r="H285" s="12">
        <v>1.98</v>
      </c>
    </row>
    <row r="286" spans="1:8">
      <c r="A286" s="7">
        <v>45126</v>
      </c>
      <c r="B286" s="11">
        <v>1.7535</v>
      </c>
      <c r="C286" s="11">
        <v>2.409</v>
      </c>
      <c r="D286" s="11">
        <v>2.6233</v>
      </c>
      <c r="E286" s="11">
        <v>2.9987</v>
      </c>
      <c r="F286" s="11">
        <v>2.0251</v>
      </c>
      <c r="G286" s="11">
        <v>2.4482</v>
      </c>
      <c r="H286" s="12">
        <v>1.95</v>
      </c>
    </row>
    <row r="287" spans="1:8">
      <c r="A287" s="7">
        <v>45127</v>
      </c>
      <c r="B287" s="11">
        <v>1.7485</v>
      </c>
      <c r="C287" s="11">
        <v>2.4043</v>
      </c>
      <c r="D287" s="11">
        <v>2.6214</v>
      </c>
      <c r="E287" s="11">
        <v>2.9967</v>
      </c>
      <c r="F287" s="11">
        <v>2.0192</v>
      </c>
      <c r="G287" s="11">
        <v>2.4538</v>
      </c>
      <c r="H287" s="12">
        <v>1.9</v>
      </c>
    </row>
    <row r="288" spans="1:8">
      <c r="A288" s="7">
        <v>45128</v>
      </c>
      <c r="B288" s="11">
        <v>1.7385</v>
      </c>
      <c r="C288" s="11">
        <v>2.392</v>
      </c>
      <c r="D288" s="11">
        <v>2.6079</v>
      </c>
      <c r="E288" s="11">
        <v>2.9828</v>
      </c>
      <c r="F288" s="11">
        <v>2.0086</v>
      </c>
      <c r="G288" s="11">
        <v>2.4352</v>
      </c>
      <c r="H288" s="12">
        <v>1.85</v>
      </c>
    </row>
    <row r="289" spans="1:8">
      <c r="A289" s="7">
        <v>45131</v>
      </c>
      <c r="B289" s="11">
        <v>1.7335</v>
      </c>
      <c r="C289" s="11">
        <v>2.3873</v>
      </c>
      <c r="D289" s="11">
        <v>2.5934</v>
      </c>
      <c r="E289" s="11">
        <v>2.9588</v>
      </c>
      <c r="F289" s="11">
        <v>2.0084</v>
      </c>
      <c r="G289" s="11">
        <v>2.4377</v>
      </c>
      <c r="H289" s="12">
        <v>1.81</v>
      </c>
    </row>
    <row r="290" spans="1:8">
      <c r="A290" s="7">
        <v>45132</v>
      </c>
      <c r="B290" s="11">
        <v>1.7782</v>
      </c>
      <c r="C290" s="11">
        <v>2.4627</v>
      </c>
      <c r="D290" s="11">
        <v>2.663</v>
      </c>
      <c r="E290" s="11">
        <v>3.0156</v>
      </c>
      <c r="F290" s="11">
        <v>2.0442</v>
      </c>
      <c r="G290" s="11">
        <v>2.4898</v>
      </c>
      <c r="H290" s="12">
        <v>2.15</v>
      </c>
    </row>
    <row r="291" spans="1:8">
      <c r="A291" s="7">
        <v>45133</v>
      </c>
      <c r="B291" s="11">
        <v>1.7882</v>
      </c>
      <c r="C291" s="11">
        <v>2.4328</v>
      </c>
      <c r="D291" s="11">
        <v>2.643</v>
      </c>
      <c r="E291" s="11">
        <v>3.0003</v>
      </c>
      <c r="F291" s="11">
        <v>2.044</v>
      </c>
      <c r="G291" s="11">
        <v>2.5028</v>
      </c>
      <c r="H291" s="12">
        <v>2.15</v>
      </c>
    </row>
    <row r="292" spans="1:8">
      <c r="A292" s="7">
        <v>45134</v>
      </c>
      <c r="B292" s="11">
        <v>1.8182</v>
      </c>
      <c r="C292" s="11">
        <v>2.4232</v>
      </c>
      <c r="D292" s="11">
        <v>2.6395</v>
      </c>
      <c r="E292" s="11">
        <v>2.9948</v>
      </c>
      <c r="F292" s="11">
        <v>2.0224</v>
      </c>
      <c r="G292" s="11">
        <v>2.478</v>
      </c>
      <c r="H292" s="12">
        <v>2.1</v>
      </c>
    </row>
    <row r="293" spans="1:8">
      <c r="A293" s="7">
        <v>45135</v>
      </c>
      <c r="B293" s="11">
        <v>1.8181</v>
      </c>
      <c r="C293" s="11">
        <v>2.441</v>
      </c>
      <c r="D293" s="11">
        <v>2.6533</v>
      </c>
      <c r="E293" s="11">
        <v>3.0061</v>
      </c>
      <c r="F293" s="11">
        <v>2.0305</v>
      </c>
      <c r="G293" s="11">
        <v>2.4967</v>
      </c>
      <c r="H293" s="12">
        <v>2</v>
      </c>
    </row>
    <row r="294" spans="1:8">
      <c r="A294" s="7">
        <v>45138</v>
      </c>
      <c r="B294" s="11">
        <v>1.8102</v>
      </c>
      <c r="C294" s="11">
        <v>2.4544</v>
      </c>
      <c r="D294" s="11">
        <v>2.6597</v>
      </c>
      <c r="E294" s="11">
        <v>3.0103</v>
      </c>
      <c r="F294" s="11">
        <v>2.045</v>
      </c>
      <c r="G294" s="11">
        <v>2.524</v>
      </c>
      <c r="H294" s="12">
        <v>1.97</v>
      </c>
    </row>
    <row r="295" spans="1:8">
      <c r="A295" s="7">
        <v>45139</v>
      </c>
      <c r="B295" s="11">
        <v>1.7751</v>
      </c>
      <c r="C295" s="11">
        <v>2.4599</v>
      </c>
      <c r="D295" s="11">
        <v>2.6607</v>
      </c>
      <c r="E295" s="11">
        <v>3.0119</v>
      </c>
      <c r="F295" s="11">
        <v>2.0257</v>
      </c>
      <c r="G295" s="11">
        <v>2.5033</v>
      </c>
      <c r="H295" s="12">
        <v>1.85</v>
      </c>
    </row>
    <row r="296" spans="1:8">
      <c r="A296" s="7">
        <v>45140</v>
      </c>
      <c r="B296" s="11">
        <v>1.7663</v>
      </c>
      <c r="C296" s="11">
        <v>2.4526</v>
      </c>
      <c r="D296" s="11">
        <v>2.6525</v>
      </c>
      <c r="E296" s="11">
        <v>2.9989</v>
      </c>
      <c r="F296" s="11">
        <v>2.0195</v>
      </c>
      <c r="G296" s="11">
        <v>2.5</v>
      </c>
      <c r="H296" s="12">
        <v>1.83</v>
      </c>
    </row>
    <row r="297" spans="1:8">
      <c r="A297" s="7">
        <v>45141</v>
      </c>
      <c r="B297" s="11">
        <v>1.7421</v>
      </c>
      <c r="C297" s="11">
        <v>2.4254</v>
      </c>
      <c r="D297" s="11">
        <v>2.6435</v>
      </c>
      <c r="E297" s="11">
        <v>2.9927</v>
      </c>
      <c r="F297" s="11">
        <v>1.9928</v>
      </c>
      <c r="G297" s="11">
        <v>2.4726</v>
      </c>
      <c r="H297" s="12">
        <v>1.75</v>
      </c>
    </row>
    <row r="298" spans="1:8">
      <c r="A298" s="7">
        <v>45142</v>
      </c>
      <c r="B298" s="11">
        <v>1.7511</v>
      </c>
      <c r="C298" s="11">
        <v>2.428</v>
      </c>
      <c r="D298" s="11">
        <v>2.6469</v>
      </c>
      <c r="E298" s="11">
        <v>2.9927</v>
      </c>
      <c r="F298" s="11">
        <v>1.9783</v>
      </c>
      <c r="G298" s="11">
        <v>2.4678</v>
      </c>
      <c r="H298" s="12">
        <v>1.7</v>
      </c>
    </row>
    <row r="299" spans="1:8">
      <c r="A299" s="7">
        <v>45145</v>
      </c>
      <c r="B299" s="11">
        <v>1.7599</v>
      </c>
      <c r="C299" s="11">
        <v>2.4259</v>
      </c>
      <c r="D299" s="11">
        <v>2.6462</v>
      </c>
      <c r="E299" s="11">
        <v>2.9904</v>
      </c>
      <c r="F299" s="11">
        <v>1.9977</v>
      </c>
      <c r="G299" s="11">
        <v>2.4638</v>
      </c>
      <c r="H299" s="12">
        <v>1.72</v>
      </c>
    </row>
    <row r="300" spans="1:8">
      <c r="A300" s="7">
        <v>45146</v>
      </c>
      <c r="B300" s="11">
        <v>1.7796</v>
      </c>
      <c r="C300" s="11">
        <v>2.4211</v>
      </c>
      <c r="D300" s="11">
        <v>2.6454</v>
      </c>
      <c r="E300" s="11">
        <v>2.9879</v>
      </c>
      <c r="F300" s="11">
        <v>1.9855</v>
      </c>
      <c r="G300" s="11">
        <v>2.4623</v>
      </c>
      <c r="H300" s="12">
        <v>1.8</v>
      </c>
    </row>
    <row r="301" spans="1:8">
      <c r="A301" s="7">
        <v>45147</v>
      </c>
      <c r="B301" s="11">
        <v>1.8093</v>
      </c>
      <c r="C301" s="11">
        <v>2.4237</v>
      </c>
      <c r="D301" s="11">
        <v>2.6461</v>
      </c>
      <c r="E301" s="11">
        <v>2.9896</v>
      </c>
      <c r="F301" s="11">
        <v>1.9891</v>
      </c>
      <c r="G301" s="11">
        <v>2.4542</v>
      </c>
      <c r="H301" s="12">
        <v>1.8</v>
      </c>
    </row>
    <row r="302" spans="1:8">
      <c r="A302" s="7">
        <v>45148</v>
      </c>
      <c r="B302" s="11">
        <v>1.8265</v>
      </c>
      <c r="C302" s="11">
        <v>2.429</v>
      </c>
      <c r="D302" s="11">
        <v>2.6475</v>
      </c>
      <c r="E302" s="11">
        <v>2.992</v>
      </c>
      <c r="F302" s="11">
        <v>1.9893</v>
      </c>
      <c r="G302" s="11">
        <v>2.4613</v>
      </c>
      <c r="H302" s="12">
        <v>1.78</v>
      </c>
    </row>
    <row r="303" spans="1:8">
      <c r="A303" s="7">
        <v>45149</v>
      </c>
      <c r="B303" s="11">
        <v>1.8305</v>
      </c>
      <c r="C303" s="11">
        <v>2.4216</v>
      </c>
      <c r="D303" s="11">
        <v>2.6381</v>
      </c>
      <c r="E303" s="11">
        <v>2.985</v>
      </c>
      <c r="F303" s="11">
        <v>1.9756</v>
      </c>
      <c r="G303" s="11">
        <v>2.4493</v>
      </c>
      <c r="H303" s="12">
        <v>1.78</v>
      </c>
    </row>
    <row r="304" spans="1:8">
      <c r="A304" s="7">
        <v>45152</v>
      </c>
      <c r="B304" s="11">
        <v>1.8156</v>
      </c>
      <c r="C304" s="11">
        <v>2.4048</v>
      </c>
      <c r="D304" s="11">
        <v>2.6212</v>
      </c>
      <c r="E304" s="11">
        <v>2.971</v>
      </c>
      <c r="F304" s="11">
        <v>1.9521</v>
      </c>
      <c r="G304" s="11">
        <v>2.408</v>
      </c>
      <c r="H304" s="12">
        <v>1.85</v>
      </c>
    </row>
    <row r="305" spans="1:8">
      <c r="A305" s="7">
        <v>45153</v>
      </c>
      <c r="B305" s="11">
        <v>1.8245</v>
      </c>
      <c r="C305" s="11">
        <v>2.3772</v>
      </c>
      <c r="D305" s="11">
        <v>2.5759</v>
      </c>
      <c r="E305" s="11">
        <v>2.9342</v>
      </c>
      <c r="F305" s="11">
        <v>1.9104</v>
      </c>
      <c r="G305" s="11">
        <v>2.3412</v>
      </c>
      <c r="H305" s="12">
        <v>1.93</v>
      </c>
    </row>
    <row r="306" spans="1:8">
      <c r="A306" s="7">
        <v>45154</v>
      </c>
      <c r="B306" s="11">
        <v>1.8375</v>
      </c>
      <c r="C306" s="11">
        <v>2.365</v>
      </c>
      <c r="D306" s="11">
        <v>2.5649</v>
      </c>
      <c r="E306" s="11">
        <v>2.9259</v>
      </c>
      <c r="F306" s="11">
        <v>1.9109</v>
      </c>
      <c r="G306" s="11">
        <v>2.3408</v>
      </c>
      <c r="H306" s="12">
        <v>1.9</v>
      </c>
    </row>
    <row r="307" spans="1:8">
      <c r="A307" s="7">
        <v>45155</v>
      </c>
      <c r="B307" s="11">
        <v>1.8397</v>
      </c>
      <c r="C307" s="11">
        <v>2.3703</v>
      </c>
      <c r="D307" s="11">
        <v>2.5678</v>
      </c>
      <c r="E307" s="11">
        <v>2.9285</v>
      </c>
      <c r="F307" s="11">
        <v>1.9145</v>
      </c>
      <c r="G307" s="11">
        <v>2.3517</v>
      </c>
      <c r="H307" s="12">
        <v>1.95</v>
      </c>
    </row>
    <row r="308" spans="1:8">
      <c r="A308" s="7">
        <v>45156</v>
      </c>
      <c r="B308" s="11">
        <v>1.8323</v>
      </c>
      <c r="C308" s="11">
        <v>2.3657</v>
      </c>
      <c r="D308" s="11">
        <v>2.5639</v>
      </c>
      <c r="E308" s="11">
        <v>2.9225</v>
      </c>
      <c r="F308" s="11">
        <v>1.9028</v>
      </c>
      <c r="G308" s="11">
        <v>2.3346</v>
      </c>
      <c r="H308" s="12">
        <v>1.95</v>
      </c>
    </row>
    <row r="309" spans="1:8">
      <c r="A309" s="7">
        <v>45159</v>
      </c>
      <c r="B309" s="11">
        <v>1.8705</v>
      </c>
      <c r="C309" s="11">
        <v>2.3456</v>
      </c>
      <c r="D309" s="11">
        <v>2.5403</v>
      </c>
      <c r="E309" s="11">
        <v>2.8894</v>
      </c>
      <c r="F309" s="11">
        <v>1.8898</v>
      </c>
      <c r="G309" s="11">
        <v>2.3018</v>
      </c>
      <c r="H309" s="12">
        <v>1.95</v>
      </c>
    </row>
    <row r="310" spans="1:8">
      <c r="A310" s="7">
        <v>45160</v>
      </c>
      <c r="B310" s="11">
        <v>1.899</v>
      </c>
      <c r="C310" s="11">
        <v>2.3636</v>
      </c>
      <c r="D310" s="11">
        <v>2.5564</v>
      </c>
      <c r="E310" s="11">
        <v>2.8938</v>
      </c>
      <c r="F310" s="11">
        <v>1.9052</v>
      </c>
      <c r="G310" s="11">
        <v>2.3178</v>
      </c>
      <c r="H310" s="12">
        <v>1.95</v>
      </c>
    </row>
    <row r="311" spans="1:8">
      <c r="A311" s="7">
        <v>45161</v>
      </c>
      <c r="B311" s="11">
        <v>1.8964</v>
      </c>
      <c r="C311" s="11">
        <v>2.3665</v>
      </c>
      <c r="D311" s="11">
        <v>2.5535</v>
      </c>
      <c r="E311" s="11">
        <v>2.8834</v>
      </c>
      <c r="F311" s="11">
        <v>1.9068</v>
      </c>
      <c r="G311" s="11">
        <v>2.3306</v>
      </c>
      <c r="H311" s="12">
        <v>1.93</v>
      </c>
    </row>
    <row r="312" spans="1:8">
      <c r="A312" s="7">
        <v>45162</v>
      </c>
      <c r="B312" s="11">
        <v>1.8772</v>
      </c>
      <c r="C312" s="11">
        <v>2.3653</v>
      </c>
      <c r="D312" s="11">
        <v>2.5543</v>
      </c>
      <c r="E312" s="11">
        <v>2.8812</v>
      </c>
      <c r="F312" s="11">
        <v>1.8941</v>
      </c>
      <c r="G312" s="11">
        <v>2.3216</v>
      </c>
      <c r="H312" s="12">
        <v>1.85</v>
      </c>
    </row>
    <row r="313" spans="1:8">
      <c r="A313" s="7">
        <v>45163</v>
      </c>
      <c r="B313" s="11">
        <v>1.8951</v>
      </c>
      <c r="C313" s="11">
        <v>2.3877</v>
      </c>
      <c r="D313" s="11">
        <v>2.5702</v>
      </c>
      <c r="E313" s="11">
        <v>2.8877</v>
      </c>
      <c r="F313" s="11">
        <v>1.916</v>
      </c>
      <c r="G313" s="11">
        <v>2.3389</v>
      </c>
      <c r="H313" s="12">
        <v>2.15</v>
      </c>
    </row>
    <row r="314" spans="1:8">
      <c r="A314" s="7">
        <v>45166</v>
      </c>
      <c r="B314" s="11">
        <v>1.9245</v>
      </c>
      <c r="C314" s="11">
        <v>2.4075</v>
      </c>
      <c r="D314" s="11">
        <v>2.5837</v>
      </c>
      <c r="E314" s="11">
        <v>2.8955</v>
      </c>
      <c r="F314" s="11">
        <v>1.9401</v>
      </c>
      <c r="G314" s="11">
        <v>2.3773</v>
      </c>
      <c r="H314" s="12">
        <v>2.2</v>
      </c>
    </row>
    <row r="315" spans="1:8">
      <c r="A315" s="7">
        <v>45167</v>
      </c>
      <c r="B315" s="11">
        <v>1.9902</v>
      </c>
      <c r="C315" s="11">
        <v>2.4203</v>
      </c>
      <c r="D315" s="11">
        <v>2.57</v>
      </c>
      <c r="E315" s="11">
        <v>2.9006</v>
      </c>
      <c r="F315" s="11">
        <v>1.9459</v>
      </c>
      <c r="G315" s="11">
        <v>2.3744</v>
      </c>
      <c r="H315" s="12">
        <v>2.25</v>
      </c>
    </row>
    <row r="316" spans="1:8">
      <c r="A316" s="7">
        <v>45168</v>
      </c>
      <c r="B316" s="11">
        <v>1.9392</v>
      </c>
      <c r="C316" s="11">
        <v>2.3989</v>
      </c>
      <c r="D316" s="11">
        <v>2.56</v>
      </c>
      <c r="E316" s="11">
        <v>2.9026</v>
      </c>
      <c r="F316" s="11">
        <v>1.9393</v>
      </c>
      <c r="G316" s="11">
        <v>2.363</v>
      </c>
      <c r="H316" s="12">
        <v>2.4</v>
      </c>
    </row>
    <row r="317" spans="1:8">
      <c r="A317" s="7">
        <v>45169</v>
      </c>
      <c r="B317" s="11">
        <v>1.9051</v>
      </c>
      <c r="C317" s="11">
        <v>2.3996</v>
      </c>
      <c r="D317" s="11">
        <v>2.5575</v>
      </c>
      <c r="E317" s="11">
        <v>2.9027</v>
      </c>
      <c r="F317" s="11">
        <v>1.9358</v>
      </c>
      <c r="G317" s="11">
        <v>2.3583</v>
      </c>
      <c r="H317" s="12">
        <v>2.28</v>
      </c>
    </row>
    <row r="318" spans="1:8">
      <c r="A318" s="7">
        <v>45170</v>
      </c>
      <c r="B318" s="11">
        <v>1.9578</v>
      </c>
      <c r="C318" s="11">
        <v>2.4382</v>
      </c>
      <c r="D318" s="11">
        <v>2.585</v>
      </c>
      <c r="E318" s="11">
        <v>2.928</v>
      </c>
      <c r="F318" s="11">
        <v>1.9549</v>
      </c>
      <c r="G318" s="11">
        <v>2.3989</v>
      </c>
      <c r="H318" s="12">
        <v>1.95</v>
      </c>
    </row>
    <row r="319" spans="1:8">
      <c r="A319" s="7">
        <v>45173</v>
      </c>
      <c r="B319" s="11">
        <v>1.9822</v>
      </c>
      <c r="C319" s="11">
        <v>2.4691</v>
      </c>
      <c r="D319" s="11">
        <v>2.6124</v>
      </c>
      <c r="E319" s="11">
        <v>2.9611</v>
      </c>
      <c r="F319" s="11">
        <v>1.9782</v>
      </c>
      <c r="G319" s="11">
        <v>2.444</v>
      </c>
      <c r="H319" s="12">
        <v>1.86</v>
      </c>
    </row>
    <row r="320" spans="1:8">
      <c r="A320" s="7">
        <v>45174</v>
      </c>
      <c r="B320" s="11">
        <v>1.9929</v>
      </c>
      <c r="C320" s="11">
        <v>2.4697</v>
      </c>
      <c r="D320" s="11">
        <v>2.615</v>
      </c>
      <c r="E320" s="11">
        <v>2.9666</v>
      </c>
      <c r="F320" s="11">
        <v>1.9762</v>
      </c>
      <c r="G320" s="11">
        <v>2.4362</v>
      </c>
      <c r="H320" s="12">
        <v>1.85</v>
      </c>
    </row>
    <row r="321" spans="1:8">
      <c r="A321" s="7">
        <v>45175</v>
      </c>
      <c r="B321" s="11">
        <v>2.0801</v>
      </c>
      <c r="C321" s="11">
        <v>2.5039</v>
      </c>
      <c r="D321" s="11">
        <v>2.6375</v>
      </c>
      <c r="E321" s="11">
        <v>2.9869</v>
      </c>
      <c r="F321" s="11">
        <v>2.0075</v>
      </c>
      <c r="G321" s="11">
        <v>2.4655</v>
      </c>
      <c r="H321" s="12">
        <v>1.88</v>
      </c>
    </row>
    <row r="322" spans="1:8">
      <c r="A322" s="7">
        <v>45176</v>
      </c>
      <c r="B322" s="11">
        <v>2.0874</v>
      </c>
      <c r="C322" s="11">
        <v>2.4986</v>
      </c>
      <c r="D322" s="11">
        <v>2.635</v>
      </c>
      <c r="E322" s="11">
        <v>2.9834</v>
      </c>
      <c r="F322" s="11">
        <v>2.0472</v>
      </c>
      <c r="G322" s="11">
        <v>2.4887</v>
      </c>
      <c r="H322" s="12">
        <v>2</v>
      </c>
    </row>
    <row r="323" spans="1:8">
      <c r="A323" s="7">
        <v>45177</v>
      </c>
      <c r="B323" s="11">
        <v>2.0952</v>
      </c>
      <c r="C323" s="11">
        <v>2.493</v>
      </c>
      <c r="D323" s="11">
        <v>2.6375</v>
      </c>
      <c r="E323" s="11">
        <v>2.9849</v>
      </c>
      <c r="F323" s="11">
        <v>2.046</v>
      </c>
      <c r="G323" s="11">
        <v>2.4867</v>
      </c>
      <c r="H323" s="12">
        <v>2</v>
      </c>
    </row>
    <row r="324" spans="1:8">
      <c r="A324" s="7">
        <v>45180</v>
      </c>
      <c r="B324" s="11">
        <v>2.1352</v>
      </c>
      <c r="C324" s="11">
        <v>2.493</v>
      </c>
      <c r="D324" s="11">
        <v>2.63</v>
      </c>
      <c r="E324" s="11">
        <v>2.983</v>
      </c>
      <c r="F324" s="11">
        <v>2.0687</v>
      </c>
      <c r="G324" s="11">
        <v>2.4962</v>
      </c>
      <c r="H324" s="12">
        <v>2.05</v>
      </c>
    </row>
    <row r="325" spans="1:8">
      <c r="A325" s="7">
        <v>45181</v>
      </c>
      <c r="B325" s="11">
        <v>2.1252</v>
      </c>
      <c r="C325" s="11">
        <v>2.4808</v>
      </c>
      <c r="D325" s="11">
        <v>2.623</v>
      </c>
      <c r="E325" s="11">
        <v>2.9824</v>
      </c>
      <c r="F325" s="11">
        <v>2.0333</v>
      </c>
      <c r="G325" s="11">
        <v>2.4618</v>
      </c>
      <c r="H325" s="12">
        <v>2</v>
      </c>
    </row>
    <row r="326" spans="1:8">
      <c r="A326" s="7">
        <v>45182</v>
      </c>
      <c r="B326" s="11">
        <v>2.1027</v>
      </c>
      <c r="C326" s="11">
        <v>2.4685</v>
      </c>
      <c r="D326" s="11">
        <v>2.615</v>
      </c>
      <c r="E326" s="11">
        <v>2.9732</v>
      </c>
      <c r="F326" s="11">
        <v>2.0084</v>
      </c>
      <c r="G326" s="11">
        <v>2.4391</v>
      </c>
      <c r="H326" s="12">
        <v>1.98</v>
      </c>
    </row>
    <row r="327" spans="1:8">
      <c r="A327" s="7">
        <v>45183</v>
      </c>
      <c r="B327" s="11">
        <v>2.1027</v>
      </c>
      <c r="C327" s="11">
        <v>2.462</v>
      </c>
      <c r="D327" s="11">
        <v>2.6075</v>
      </c>
      <c r="E327" s="11">
        <v>2.9545</v>
      </c>
      <c r="F327" s="11">
        <v>2.0138</v>
      </c>
      <c r="G327" s="11">
        <v>2.4341</v>
      </c>
      <c r="H327" s="12">
        <v>2.05</v>
      </c>
    </row>
    <row r="328" spans="1:8">
      <c r="A328" s="7">
        <v>45184</v>
      </c>
      <c r="B328" s="11">
        <v>2.1327</v>
      </c>
      <c r="C328" s="11">
        <v>2.4939</v>
      </c>
      <c r="D328" s="11">
        <v>2.64</v>
      </c>
      <c r="E328" s="11">
        <v>2.984</v>
      </c>
      <c r="F328" s="11">
        <v>2.0089</v>
      </c>
      <c r="G328" s="11">
        <v>2.4423</v>
      </c>
      <c r="H328" s="12">
        <v>2</v>
      </c>
    </row>
    <row r="329" spans="1:8">
      <c r="A329" s="7">
        <v>45187</v>
      </c>
      <c r="B329" s="11">
        <v>2.1727</v>
      </c>
      <c r="C329" s="11">
        <v>2.5126</v>
      </c>
      <c r="D329" s="11">
        <v>2.65</v>
      </c>
      <c r="E329" s="11">
        <v>2.9841</v>
      </c>
      <c r="F329" s="11">
        <v>2.0505</v>
      </c>
      <c r="G329" s="11">
        <v>2.4858</v>
      </c>
      <c r="H329" s="12">
        <v>2.08</v>
      </c>
    </row>
    <row r="330" spans="1:8">
      <c r="A330" s="7">
        <v>45188</v>
      </c>
      <c r="B330" s="11">
        <v>2.1877</v>
      </c>
      <c r="C330" s="11">
        <v>2.5234</v>
      </c>
      <c r="D330" s="11">
        <v>2.6625</v>
      </c>
      <c r="E330" s="11">
        <v>2.9895</v>
      </c>
      <c r="F330" s="11">
        <v>2.0597</v>
      </c>
      <c r="G330" s="11">
        <v>2.4778</v>
      </c>
      <c r="H330" s="12">
        <v>2.15</v>
      </c>
    </row>
    <row r="331" spans="1:8">
      <c r="A331" s="7">
        <v>45189</v>
      </c>
      <c r="B331" s="11">
        <v>2.2077</v>
      </c>
      <c r="C331" s="11">
        <v>2.5211</v>
      </c>
      <c r="D331" s="11">
        <v>2.665</v>
      </c>
      <c r="E331" s="11">
        <v>2.9919</v>
      </c>
      <c r="F331" s="11">
        <v>2.0564</v>
      </c>
      <c r="G331" s="11">
        <v>2.4757</v>
      </c>
      <c r="H331" s="12">
        <v>2.15</v>
      </c>
    </row>
    <row r="332" spans="1:8">
      <c r="A332" s="7">
        <v>45190</v>
      </c>
      <c r="B332" s="11">
        <v>2.1877</v>
      </c>
      <c r="C332" s="11">
        <v>2.5092</v>
      </c>
      <c r="D332" s="11">
        <v>2.6576</v>
      </c>
      <c r="E332" s="11">
        <v>2.984</v>
      </c>
      <c r="F332" s="11">
        <v>2.0333</v>
      </c>
      <c r="G332" s="11">
        <v>2.4506</v>
      </c>
      <c r="H332" s="12">
        <v>2.15</v>
      </c>
    </row>
    <row r="333" spans="1:8">
      <c r="A333" s="7">
        <v>45191</v>
      </c>
      <c r="B333" s="11">
        <v>2.1977</v>
      </c>
      <c r="C333" s="11">
        <v>2.5296</v>
      </c>
      <c r="D333" s="11">
        <v>2.6776</v>
      </c>
      <c r="E333" s="11">
        <v>2.9971</v>
      </c>
      <c r="F333" s="11">
        <v>2.0287</v>
      </c>
      <c r="G333" s="11">
        <v>2.4663</v>
      </c>
      <c r="H333" s="12">
        <v>2</v>
      </c>
    </row>
    <row r="334" spans="1:8">
      <c r="A334" s="7">
        <v>45194</v>
      </c>
      <c r="B334" s="11">
        <v>2.2127</v>
      </c>
      <c r="C334" s="11">
        <v>2.5511</v>
      </c>
      <c r="D334" s="11">
        <v>2.6976</v>
      </c>
      <c r="E334" s="11">
        <v>3.0119</v>
      </c>
      <c r="F334" s="11">
        <v>2.0411</v>
      </c>
      <c r="G334" s="11">
        <v>2.4764</v>
      </c>
      <c r="H334" s="12">
        <v>1.9725</v>
      </c>
    </row>
    <row r="335" spans="1:8">
      <c r="A335" s="7">
        <v>45195</v>
      </c>
      <c r="B335" s="11">
        <v>2.2327</v>
      </c>
      <c r="C335" s="11">
        <v>2.5491</v>
      </c>
      <c r="D335" s="11">
        <v>2.6951</v>
      </c>
      <c r="E335" s="11">
        <v>3.0068</v>
      </c>
      <c r="F335" s="11">
        <v>2.0561</v>
      </c>
      <c r="G335" s="11">
        <v>2.4884</v>
      </c>
      <c r="H335" s="12">
        <v>1.95</v>
      </c>
    </row>
    <row r="336" spans="1:8">
      <c r="A336" s="7">
        <v>45196</v>
      </c>
      <c r="B336" s="11">
        <v>2.2077</v>
      </c>
      <c r="C336" s="11">
        <v>2.5354</v>
      </c>
      <c r="D336" s="11">
        <v>2.6877</v>
      </c>
      <c r="E336" s="11">
        <v>3.007</v>
      </c>
      <c r="F336" s="11">
        <v>2.0319</v>
      </c>
      <c r="G336" s="11">
        <v>2.4758</v>
      </c>
      <c r="H336" s="12">
        <v>1.83</v>
      </c>
    </row>
    <row r="337" spans="1:8">
      <c r="A337" s="7">
        <v>45197</v>
      </c>
      <c r="B337" s="11">
        <v>2.1677</v>
      </c>
      <c r="C337" s="11">
        <v>2.5256</v>
      </c>
      <c r="D337" s="11">
        <v>2.6751</v>
      </c>
      <c r="E337" s="11">
        <v>3.0022</v>
      </c>
      <c r="F337" s="11">
        <v>2.018</v>
      </c>
      <c r="G337" s="11">
        <v>2.4547</v>
      </c>
      <c r="H337" s="12">
        <v>2.2</v>
      </c>
    </row>
    <row r="338" spans="1:8">
      <c r="A338" s="7">
        <v>45206</v>
      </c>
      <c r="B338" s="11">
        <v>2.1477</v>
      </c>
      <c r="C338" s="11">
        <v>2.5175</v>
      </c>
      <c r="D338" s="11">
        <v>2.6651</v>
      </c>
      <c r="E338" s="11">
        <v>2.9926</v>
      </c>
      <c r="F338" s="11"/>
      <c r="G338" s="11"/>
      <c r="H338" s="12">
        <v>1.85</v>
      </c>
    </row>
    <row r="339" spans="1:8">
      <c r="A339" s="7">
        <v>45207</v>
      </c>
      <c r="B339" s="11">
        <v>2.1377</v>
      </c>
      <c r="C339" s="11">
        <v>2.5178</v>
      </c>
      <c r="D339" s="11">
        <v>2.6626</v>
      </c>
      <c r="E339" s="11">
        <v>2.9948</v>
      </c>
      <c r="F339" s="11"/>
      <c r="G339" s="11"/>
      <c r="H339" s="12">
        <v>1.8</v>
      </c>
    </row>
    <row r="340" spans="1:8">
      <c r="A340" s="7">
        <v>45208</v>
      </c>
      <c r="B340" s="11">
        <v>2.1577</v>
      </c>
      <c r="C340" s="11">
        <v>2.5352</v>
      </c>
      <c r="D340" s="11">
        <v>2.6702</v>
      </c>
      <c r="E340" s="11">
        <v>2.999</v>
      </c>
      <c r="F340" s="11">
        <v>2.0345</v>
      </c>
      <c r="G340" s="11">
        <v>2.4585</v>
      </c>
      <c r="H340" s="12">
        <v>2.01</v>
      </c>
    </row>
    <row r="341" spans="1:8">
      <c r="A341" s="7">
        <v>45209</v>
      </c>
      <c r="B341" s="11">
        <v>2.1977</v>
      </c>
      <c r="C341" s="11">
        <v>2.555</v>
      </c>
      <c r="D341" s="11">
        <v>2.6811</v>
      </c>
      <c r="E341" s="11">
        <v>3.0019</v>
      </c>
      <c r="F341" s="11">
        <v>2.0616</v>
      </c>
      <c r="G341" s="11">
        <v>2.481</v>
      </c>
      <c r="H341" s="12">
        <v>2.05</v>
      </c>
    </row>
    <row r="342" spans="1:8">
      <c r="A342" s="7">
        <v>45210</v>
      </c>
      <c r="B342" s="11">
        <v>2.2377</v>
      </c>
      <c r="C342" s="11">
        <v>2.5899</v>
      </c>
      <c r="D342" s="11">
        <v>2.6976</v>
      </c>
      <c r="E342" s="11">
        <v>3.0153</v>
      </c>
      <c r="F342" s="11">
        <v>2.0856</v>
      </c>
      <c r="G342" s="11">
        <v>2.5085</v>
      </c>
      <c r="H342" s="12">
        <v>2.14</v>
      </c>
    </row>
    <row r="343" spans="1:8">
      <c r="A343" s="7">
        <v>45211</v>
      </c>
      <c r="B343" s="11">
        <v>2.1977</v>
      </c>
      <c r="C343" s="11">
        <v>2.5803</v>
      </c>
      <c r="D343" s="11">
        <v>2.6911</v>
      </c>
      <c r="E343" s="11">
        <v>3.0139</v>
      </c>
      <c r="F343" s="11">
        <v>2.0857</v>
      </c>
      <c r="G343" s="11">
        <v>2.5174</v>
      </c>
      <c r="H343" s="12">
        <v>2.1</v>
      </c>
    </row>
    <row r="344" spans="1:8">
      <c r="A344" s="7">
        <v>45212</v>
      </c>
      <c r="B344" s="11">
        <v>2.1777</v>
      </c>
      <c r="C344" s="11">
        <v>2.5528</v>
      </c>
      <c r="D344" s="11">
        <v>2.6702</v>
      </c>
      <c r="E344" s="11">
        <v>2.9952</v>
      </c>
      <c r="F344" s="11">
        <v>2.0721</v>
      </c>
      <c r="G344" s="11">
        <v>2.4907</v>
      </c>
      <c r="H344" s="12">
        <v>2.05</v>
      </c>
    </row>
    <row r="345" spans="1:8">
      <c r="A345" s="7">
        <v>45215</v>
      </c>
      <c r="B345" s="11">
        <v>2.1877</v>
      </c>
      <c r="C345" s="11">
        <v>2.5629</v>
      </c>
      <c r="D345" s="11">
        <v>2.6777</v>
      </c>
      <c r="E345" s="11">
        <v>2.9997</v>
      </c>
      <c r="F345" s="11">
        <v>2.0716</v>
      </c>
      <c r="G345" s="11">
        <v>2.4864</v>
      </c>
      <c r="H345" s="12">
        <v>2.05</v>
      </c>
    </row>
    <row r="346" spans="1:8">
      <c r="A346" s="7">
        <v>45216</v>
      </c>
      <c r="B346" s="11">
        <v>2.2227</v>
      </c>
      <c r="C346" s="11">
        <v>2.573</v>
      </c>
      <c r="D346" s="11">
        <v>2.6882</v>
      </c>
      <c r="E346" s="11">
        <v>3.0021</v>
      </c>
      <c r="F346" s="11">
        <v>2.0892</v>
      </c>
      <c r="G346" s="11">
        <v>2.5047</v>
      </c>
      <c r="H346" s="12">
        <v>2</v>
      </c>
    </row>
    <row r="347" spans="1:8">
      <c r="A347" s="7">
        <v>45217</v>
      </c>
      <c r="B347" s="11">
        <v>2.2457</v>
      </c>
      <c r="C347" s="11">
        <v>2.6029</v>
      </c>
      <c r="D347" s="11">
        <v>2.7052</v>
      </c>
      <c r="E347" s="11">
        <v>3.0021</v>
      </c>
      <c r="F347" s="11">
        <v>2.0948</v>
      </c>
      <c r="G347" s="11">
        <v>2.5093</v>
      </c>
      <c r="H347" s="12">
        <v>2.05</v>
      </c>
    </row>
    <row r="348" spans="1:8">
      <c r="A348" s="7">
        <v>45218</v>
      </c>
      <c r="B348" s="11">
        <v>2.2907</v>
      </c>
      <c r="C348" s="11">
        <v>2.6205</v>
      </c>
      <c r="D348" s="11">
        <v>2.7177</v>
      </c>
      <c r="E348" s="11">
        <v>3.0077</v>
      </c>
      <c r="F348" s="11">
        <v>2.1315</v>
      </c>
      <c r="G348" s="11">
        <v>2.5373</v>
      </c>
      <c r="H348" s="12">
        <v>2.3</v>
      </c>
    </row>
    <row r="349" spans="1:8">
      <c r="A349" s="7">
        <v>45219</v>
      </c>
      <c r="B349" s="11">
        <v>2.3107</v>
      </c>
      <c r="C349" s="11">
        <v>2.5982</v>
      </c>
      <c r="D349" s="11">
        <v>2.7052</v>
      </c>
      <c r="E349" s="11">
        <v>2.9962</v>
      </c>
      <c r="F349" s="11">
        <v>2.1546</v>
      </c>
      <c r="G349" s="11">
        <v>2.543</v>
      </c>
      <c r="H349" s="12">
        <v>2.8</v>
      </c>
    </row>
    <row r="350" spans="1:8">
      <c r="A350" s="7">
        <v>45222</v>
      </c>
      <c r="B350" s="11">
        <v>2.3007</v>
      </c>
      <c r="C350" s="11">
        <v>2.5887</v>
      </c>
      <c r="D350" s="11">
        <v>2.7047</v>
      </c>
      <c r="E350" s="11">
        <v>2.9903</v>
      </c>
      <c r="F350" s="11">
        <v>2.1248</v>
      </c>
      <c r="G350" s="11">
        <v>2.5147</v>
      </c>
      <c r="H350" s="12">
        <v>2.6</v>
      </c>
    </row>
    <row r="351" spans="1:8">
      <c r="A351" s="7">
        <v>45223</v>
      </c>
      <c r="B351" s="11">
        <v>2.3257</v>
      </c>
      <c r="C351" s="11">
        <v>2.5862</v>
      </c>
      <c r="D351" s="11">
        <v>2.7177</v>
      </c>
      <c r="E351" s="11">
        <v>2.9978</v>
      </c>
      <c r="F351" s="11">
        <v>2.1514</v>
      </c>
      <c r="G351" s="11">
        <v>2.5376</v>
      </c>
      <c r="H351" s="12">
        <v>2.7</v>
      </c>
    </row>
    <row r="352" spans="1:8">
      <c r="A352" s="7">
        <v>45224</v>
      </c>
      <c r="B352" s="11">
        <v>2.2838</v>
      </c>
      <c r="C352" s="11">
        <v>2.5515</v>
      </c>
      <c r="D352" s="11">
        <v>2.7052</v>
      </c>
      <c r="E352" s="11">
        <v>3.0004</v>
      </c>
      <c r="F352" s="11">
        <v>2.1161</v>
      </c>
      <c r="G352" s="11">
        <v>2.5179</v>
      </c>
      <c r="H352" s="12">
        <v>2.8</v>
      </c>
    </row>
    <row r="353" spans="1:8">
      <c r="A353" s="7">
        <v>45225</v>
      </c>
      <c r="B353" s="11">
        <v>2.2838</v>
      </c>
      <c r="C353" s="11">
        <v>2.5667</v>
      </c>
      <c r="D353" s="11">
        <v>2.7152</v>
      </c>
      <c r="E353" s="11">
        <v>3.0054</v>
      </c>
      <c r="F353" s="11">
        <v>2.0937</v>
      </c>
      <c r="G353" s="11">
        <v>2.493</v>
      </c>
      <c r="H353" s="12">
        <v>2.5</v>
      </c>
    </row>
    <row r="354" spans="1:8">
      <c r="A354" s="7">
        <v>45226</v>
      </c>
      <c r="B354" s="11">
        <v>2.2807</v>
      </c>
      <c r="C354" s="11">
        <v>2.5518</v>
      </c>
      <c r="D354" s="11">
        <v>2.7133</v>
      </c>
      <c r="E354" s="11">
        <v>3.0104</v>
      </c>
      <c r="F354" s="11">
        <v>2.0931</v>
      </c>
      <c r="G354" s="11">
        <v>2.4967</v>
      </c>
      <c r="H354" s="12">
        <v>2.5</v>
      </c>
    </row>
    <row r="355" spans="1:8">
      <c r="A355" s="7">
        <v>45229</v>
      </c>
      <c r="B355" s="11">
        <v>2.2251</v>
      </c>
      <c r="C355" s="11">
        <v>2.5526</v>
      </c>
      <c r="D355" s="11">
        <v>2.7141</v>
      </c>
      <c r="E355" s="11">
        <v>3.0106</v>
      </c>
      <c r="F355" s="11">
        <v>2.0753</v>
      </c>
      <c r="G355" s="11">
        <v>2.4802</v>
      </c>
      <c r="H355" s="12">
        <v>2.5</v>
      </c>
    </row>
    <row r="356" spans="1:8">
      <c r="A356" s="7">
        <v>45230</v>
      </c>
      <c r="B356" s="11">
        <v>2.2051</v>
      </c>
      <c r="C356" s="11">
        <v>2.5325</v>
      </c>
      <c r="D356" s="11">
        <v>2.6938</v>
      </c>
      <c r="E356" s="11">
        <v>2.9956</v>
      </c>
      <c r="F356" s="11">
        <v>2.0688</v>
      </c>
      <c r="G356" s="11">
        <v>2.4624</v>
      </c>
      <c r="H356" s="12">
        <v>2.5</v>
      </c>
    </row>
    <row r="357" spans="1:8">
      <c r="A357" s="7">
        <v>45231</v>
      </c>
      <c r="B357" s="11">
        <v>2.2501</v>
      </c>
      <c r="C357" s="11">
        <v>2.5299</v>
      </c>
      <c r="D357" s="11">
        <v>2.6853</v>
      </c>
      <c r="E357" s="11">
        <v>2.9911</v>
      </c>
      <c r="F357" s="11">
        <v>2.086</v>
      </c>
      <c r="G357" s="11">
        <v>2.4655</v>
      </c>
      <c r="H357" s="12">
        <v>2.4</v>
      </c>
    </row>
    <row r="358" spans="1:8">
      <c r="A358" s="7">
        <v>45232</v>
      </c>
      <c r="B358" s="11">
        <v>2.2151</v>
      </c>
      <c r="C358" s="11">
        <v>2.4975</v>
      </c>
      <c r="D358" s="11">
        <v>2.6553</v>
      </c>
      <c r="E358" s="11">
        <v>2.9666</v>
      </c>
      <c r="F358" s="11">
        <v>2.0516</v>
      </c>
      <c r="G358" s="11">
        <v>2.4391</v>
      </c>
      <c r="H358" s="12">
        <v>2</v>
      </c>
    </row>
    <row r="359" spans="1:8">
      <c r="A359" s="7">
        <v>45233</v>
      </c>
      <c r="B359" s="11">
        <v>2.2202</v>
      </c>
      <c r="C359" s="11">
        <v>2.5177</v>
      </c>
      <c r="D359" s="11">
        <v>2.6613</v>
      </c>
      <c r="E359" s="11">
        <v>2.9727</v>
      </c>
      <c r="F359" s="11">
        <v>2.0484</v>
      </c>
      <c r="G359" s="11">
        <v>2.4415</v>
      </c>
      <c r="H359" s="12">
        <v>1.82</v>
      </c>
    </row>
    <row r="360" spans="1:8">
      <c r="A360" s="7">
        <v>45236</v>
      </c>
      <c r="B360" s="11">
        <v>2.2303</v>
      </c>
      <c r="C360" s="11">
        <v>2.5181</v>
      </c>
      <c r="D360" s="11">
        <v>2.6554</v>
      </c>
      <c r="E360" s="11">
        <v>2.9683</v>
      </c>
      <c r="F360" s="11">
        <v>2.0545</v>
      </c>
      <c r="G360" s="11">
        <v>2.4391</v>
      </c>
      <c r="H360" s="12">
        <v>2</v>
      </c>
    </row>
    <row r="361" spans="1:8">
      <c r="A361" s="7">
        <v>45237</v>
      </c>
      <c r="B361" s="11">
        <v>2.2505</v>
      </c>
      <c r="C361" s="11">
        <v>2.5329</v>
      </c>
      <c r="D361" s="11">
        <v>2.6632</v>
      </c>
      <c r="E361" s="11">
        <v>2.9718</v>
      </c>
      <c r="F361" s="11">
        <v>2.0692</v>
      </c>
      <c r="G361" s="11">
        <v>2.4395</v>
      </c>
      <c r="H361" s="12">
        <v>2.03</v>
      </c>
    </row>
    <row r="362" spans="1:8">
      <c r="A362" s="7">
        <v>45238</v>
      </c>
      <c r="B362" s="11">
        <v>2.2479</v>
      </c>
      <c r="C362" s="11">
        <v>2.5211</v>
      </c>
      <c r="D362" s="11">
        <v>2.6464</v>
      </c>
      <c r="E362" s="11">
        <v>2.9583</v>
      </c>
      <c r="F362" s="11">
        <v>2.0783</v>
      </c>
      <c r="G362" s="11">
        <v>2.4431</v>
      </c>
      <c r="H362" s="12">
        <v>2.05</v>
      </c>
    </row>
    <row r="363" spans="1:8">
      <c r="A363" s="7">
        <v>45239</v>
      </c>
      <c r="B363" s="11">
        <v>2.2406</v>
      </c>
      <c r="C363" s="11">
        <v>2.5204</v>
      </c>
      <c r="D363" s="11">
        <v>2.6494</v>
      </c>
      <c r="E363" s="11">
        <v>2.9584</v>
      </c>
      <c r="F363" s="11">
        <v>2.071</v>
      </c>
      <c r="G363" s="11">
        <v>2.4228</v>
      </c>
      <c r="H363" s="12">
        <v>2.05</v>
      </c>
    </row>
    <row r="364" spans="1:8">
      <c r="A364" s="7">
        <v>45240</v>
      </c>
      <c r="B364" s="11">
        <v>2.2306</v>
      </c>
      <c r="C364" s="11">
        <v>2.5029</v>
      </c>
      <c r="D364" s="11">
        <v>2.6444</v>
      </c>
      <c r="E364" s="11">
        <v>2.9459</v>
      </c>
      <c r="F364" s="11">
        <v>2.0693</v>
      </c>
      <c r="G364" s="11">
        <v>2.4223</v>
      </c>
      <c r="H364" s="12">
        <v>2.03</v>
      </c>
    </row>
    <row r="365" spans="1:8">
      <c r="A365" s="7">
        <v>45243</v>
      </c>
      <c r="B365" s="11">
        <v>2.2059</v>
      </c>
      <c r="C365" s="11">
        <v>2.4909</v>
      </c>
      <c r="D365" s="11">
        <v>2.6454</v>
      </c>
      <c r="E365" s="11">
        <v>2.9385</v>
      </c>
      <c r="F365" s="11">
        <v>2.0534</v>
      </c>
      <c r="G365" s="11">
        <v>2.4036</v>
      </c>
      <c r="H365" s="12">
        <v>2.05</v>
      </c>
    </row>
    <row r="366" spans="1:8">
      <c r="A366" s="7">
        <v>45244</v>
      </c>
      <c r="B366" s="11">
        <v>2.1713</v>
      </c>
      <c r="C366" s="11">
        <v>2.5039</v>
      </c>
      <c r="D366" s="11">
        <v>2.6573</v>
      </c>
      <c r="E366" s="11">
        <v>2.9439</v>
      </c>
      <c r="F366" s="11">
        <v>2.0639</v>
      </c>
      <c r="G366" s="11">
        <v>2.4125</v>
      </c>
      <c r="H366" s="12">
        <v>2.2</v>
      </c>
    </row>
    <row r="367" spans="1:8">
      <c r="A367" s="7">
        <v>45245</v>
      </c>
      <c r="B367" s="11">
        <v>2.1613</v>
      </c>
      <c r="C367" s="11">
        <v>2.5021</v>
      </c>
      <c r="D367" s="11">
        <v>2.6633</v>
      </c>
      <c r="E367" s="11">
        <v>2.9485</v>
      </c>
      <c r="F367" s="11">
        <v>2.0645</v>
      </c>
      <c r="G367" s="11">
        <v>2.4214</v>
      </c>
      <c r="H367" s="12">
        <v>2.22</v>
      </c>
    </row>
    <row r="368" spans="1:8">
      <c r="A368" s="7">
        <v>45246</v>
      </c>
      <c r="B368" s="11">
        <v>2.1415</v>
      </c>
      <c r="C368" s="11">
        <v>2.5027</v>
      </c>
      <c r="D368" s="11">
        <v>2.6558</v>
      </c>
      <c r="E368" s="11">
        <v>2.944</v>
      </c>
      <c r="F368" s="11">
        <v>2.0637</v>
      </c>
      <c r="G368" s="11">
        <v>2.4097</v>
      </c>
      <c r="H368" s="12">
        <v>2.2</v>
      </c>
    </row>
    <row r="369" spans="1:8">
      <c r="A369" s="7">
        <v>45247</v>
      </c>
      <c r="B369" s="11">
        <v>2.1221</v>
      </c>
      <c r="C369" s="11">
        <v>2.5058</v>
      </c>
      <c r="D369" s="11">
        <v>2.6524</v>
      </c>
      <c r="E369" s="11">
        <v>2.9336</v>
      </c>
      <c r="F369" s="11">
        <v>2.0651</v>
      </c>
      <c r="G369" s="11">
        <v>2.4087</v>
      </c>
      <c r="H369" s="12">
        <v>2.25</v>
      </c>
    </row>
    <row r="370" spans="1:8">
      <c r="A370" s="7">
        <v>45250</v>
      </c>
      <c r="B370" s="11">
        <v>2.1477</v>
      </c>
      <c r="C370" s="11">
        <v>2.5243</v>
      </c>
      <c r="D370" s="11">
        <v>2.6584</v>
      </c>
      <c r="E370" s="11">
        <v>2.9321</v>
      </c>
      <c r="F370" s="11">
        <v>2.0781</v>
      </c>
      <c r="G370" s="11">
        <v>2.4187</v>
      </c>
      <c r="H370" s="12">
        <v>2.25</v>
      </c>
    </row>
    <row r="371" spans="1:8">
      <c r="A371" s="7">
        <v>45251</v>
      </c>
      <c r="B371" s="11">
        <v>2.2024</v>
      </c>
      <c r="C371" s="11">
        <v>2.545</v>
      </c>
      <c r="D371" s="11">
        <v>2.6684</v>
      </c>
      <c r="E371" s="11">
        <v>2.9388</v>
      </c>
      <c r="F371" s="11">
        <v>2.096</v>
      </c>
      <c r="G371" s="11">
        <v>2.4322</v>
      </c>
      <c r="H371" s="12">
        <v>2.2</v>
      </c>
    </row>
    <row r="372" spans="1:8">
      <c r="A372" s="7">
        <v>45252</v>
      </c>
      <c r="B372" s="11">
        <v>2.3112</v>
      </c>
      <c r="C372" s="11">
        <v>2.5661</v>
      </c>
      <c r="D372" s="11">
        <v>2.6823</v>
      </c>
      <c r="E372" s="11">
        <v>2.9538</v>
      </c>
      <c r="F372" s="11">
        <v>2.1167</v>
      </c>
      <c r="G372" s="11">
        <v>2.4423</v>
      </c>
      <c r="H372" s="12">
        <v>2.2</v>
      </c>
    </row>
    <row r="373" spans="1:8">
      <c r="A373" s="7">
        <v>45253</v>
      </c>
      <c r="B373" s="11">
        <v>2.3264</v>
      </c>
      <c r="C373" s="11">
        <v>2.5837</v>
      </c>
      <c r="D373" s="11">
        <v>2.7023</v>
      </c>
      <c r="E373" s="11">
        <v>2.9704</v>
      </c>
      <c r="F373" s="11">
        <v>2.1343</v>
      </c>
      <c r="G373" s="11">
        <v>2.4745</v>
      </c>
      <c r="H373" s="12">
        <v>2.25</v>
      </c>
    </row>
    <row r="374" spans="1:8">
      <c r="A374" s="7">
        <v>45254</v>
      </c>
      <c r="B374" s="11">
        <v>2.3317</v>
      </c>
      <c r="C374" s="11">
        <v>2.5961</v>
      </c>
      <c r="D374" s="11">
        <v>2.7053</v>
      </c>
      <c r="E374" s="11">
        <v>2.9684</v>
      </c>
      <c r="F374" s="11">
        <v>2.1393</v>
      </c>
      <c r="G374" s="11">
        <v>2.4763</v>
      </c>
      <c r="H374" s="12">
        <v>2.96</v>
      </c>
    </row>
    <row r="375" spans="1:8">
      <c r="A375" s="7">
        <v>45257</v>
      </c>
      <c r="B375" s="11">
        <v>2.3889</v>
      </c>
      <c r="C375" s="11">
        <v>2.6012</v>
      </c>
      <c r="D375" s="11">
        <v>2.7108</v>
      </c>
      <c r="E375" s="11">
        <v>2.9745</v>
      </c>
      <c r="F375" s="11">
        <v>2.179</v>
      </c>
      <c r="G375" s="11">
        <v>2.495</v>
      </c>
      <c r="H375" s="12">
        <v>3.3</v>
      </c>
    </row>
    <row r="376" spans="1:8">
      <c r="A376" s="7">
        <v>45258</v>
      </c>
      <c r="B376" s="11">
        <v>2.3564</v>
      </c>
      <c r="C376" s="11">
        <v>2.5762</v>
      </c>
      <c r="D376" s="11">
        <v>2.6898</v>
      </c>
      <c r="E376" s="11">
        <v>2.954</v>
      </c>
      <c r="F376" s="11">
        <v>2.1637</v>
      </c>
      <c r="G376" s="11">
        <v>2.4751</v>
      </c>
      <c r="H376" s="12">
        <v>3.4</v>
      </c>
    </row>
    <row r="377" spans="1:8">
      <c r="A377" s="7">
        <v>45259</v>
      </c>
      <c r="B377" s="11">
        <v>2.3566</v>
      </c>
      <c r="C377" s="11">
        <v>2.584</v>
      </c>
      <c r="D377" s="11">
        <v>2.6826</v>
      </c>
      <c r="E377" s="11">
        <v>2.9525</v>
      </c>
      <c r="F377" s="11">
        <v>2.1634</v>
      </c>
      <c r="G377" s="11">
        <v>2.4624</v>
      </c>
      <c r="H377" s="12">
        <v>3.6</v>
      </c>
    </row>
    <row r="378" spans="1:8">
      <c r="A378" s="7">
        <v>45260</v>
      </c>
      <c r="B378" s="11">
        <v>2.3367</v>
      </c>
      <c r="C378" s="11">
        <v>2.5691</v>
      </c>
      <c r="D378" s="11">
        <v>2.668</v>
      </c>
      <c r="E378" s="11">
        <v>2.9405</v>
      </c>
      <c r="F378" s="11">
        <v>2.133</v>
      </c>
      <c r="G378" s="11">
        <v>2.4491</v>
      </c>
      <c r="H378" s="12">
        <v>2.75</v>
      </c>
    </row>
    <row r="379" spans="1:8">
      <c r="A379" s="7">
        <v>45261</v>
      </c>
      <c r="B379" s="11">
        <v>2.3439</v>
      </c>
      <c r="C379" s="11">
        <v>2.5665</v>
      </c>
      <c r="D379" s="11">
        <v>2.6625</v>
      </c>
      <c r="E379" s="11">
        <v>2.9445</v>
      </c>
      <c r="F379" s="11">
        <v>2.1199</v>
      </c>
      <c r="G379" s="11">
        <v>2.4516</v>
      </c>
      <c r="H379" s="12">
        <v>2.15</v>
      </c>
    </row>
    <row r="380" spans="1:8">
      <c r="A380" s="7">
        <v>45264</v>
      </c>
      <c r="B380" s="11">
        <v>2.3769</v>
      </c>
      <c r="C380" s="11">
        <v>2.592</v>
      </c>
      <c r="D380" s="11">
        <v>2.6725</v>
      </c>
      <c r="E380" s="11">
        <v>2.9537</v>
      </c>
      <c r="F380" s="11">
        <v>2.1579</v>
      </c>
      <c r="G380" s="11">
        <v>2.4602</v>
      </c>
      <c r="H380" s="12">
        <v>2.1</v>
      </c>
    </row>
    <row r="381" spans="1:8">
      <c r="A381" s="7">
        <v>45265</v>
      </c>
      <c r="B381" s="11">
        <v>2.3817</v>
      </c>
      <c r="C381" s="11">
        <v>2.5843</v>
      </c>
      <c r="D381" s="11">
        <v>2.665</v>
      </c>
      <c r="E381" s="11">
        <v>2.9487</v>
      </c>
      <c r="F381" s="11">
        <v>2.1798</v>
      </c>
      <c r="G381" s="11">
        <v>2.4677</v>
      </c>
      <c r="H381" s="12">
        <v>2.25</v>
      </c>
    </row>
    <row r="382" spans="1:8">
      <c r="A382" s="7">
        <v>45266</v>
      </c>
      <c r="B382" s="11">
        <v>2.3971</v>
      </c>
      <c r="C382" s="11">
        <v>2.5952</v>
      </c>
      <c r="D382" s="11">
        <v>2.6725</v>
      </c>
      <c r="E382" s="11">
        <v>2.9517</v>
      </c>
      <c r="F382" s="11">
        <v>2.1959</v>
      </c>
      <c r="G382" s="11">
        <v>2.4696</v>
      </c>
      <c r="H382" s="12">
        <v>2.25</v>
      </c>
    </row>
    <row r="383" spans="1:8">
      <c r="A383" s="7">
        <v>45267</v>
      </c>
      <c r="B383" s="11">
        <v>2.3816</v>
      </c>
      <c r="C383" s="11">
        <v>2.5644</v>
      </c>
      <c r="D383" s="11">
        <v>2.664</v>
      </c>
      <c r="E383" s="11">
        <v>2.9457</v>
      </c>
      <c r="F383" s="11">
        <v>2.1865</v>
      </c>
      <c r="G383" s="11">
        <v>2.4673</v>
      </c>
      <c r="H383" s="12">
        <v>2.25</v>
      </c>
    </row>
    <row r="384" spans="1:8">
      <c r="A384" s="7">
        <v>45268</v>
      </c>
      <c r="B384" s="11">
        <v>2.3791</v>
      </c>
      <c r="C384" s="11">
        <v>2.557</v>
      </c>
      <c r="D384" s="11">
        <v>2.6636</v>
      </c>
      <c r="E384" s="11">
        <v>2.9428</v>
      </c>
      <c r="F384" s="11">
        <v>2.1711</v>
      </c>
      <c r="G384" s="11">
        <v>2.4532</v>
      </c>
      <c r="H384" s="12">
        <v>2.3</v>
      </c>
    </row>
    <row r="385" spans="1:8">
      <c r="A385" s="7">
        <v>45271</v>
      </c>
      <c r="B385" s="11">
        <v>2.3816</v>
      </c>
      <c r="C385" s="11">
        <v>2.5427</v>
      </c>
      <c r="D385" s="11">
        <v>2.644</v>
      </c>
      <c r="E385" s="11">
        <v>2.9288</v>
      </c>
      <c r="F385" s="11">
        <v>2.1694</v>
      </c>
      <c r="G385" s="11">
        <v>2.4233</v>
      </c>
      <c r="H385" s="12">
        <v>2.35</v>
      </c>
    </row>
    <row r="386" spans="1:8">
      <c r="A386" s="7">
        <v>45272</v>
      </c>
      <c r="B386" s="11">
        <v>2.3826</v>
      </c>
      <c r="C386" s="11">
        <v>2.5342</v>
      </c>
      <c r="D386" s="11">
        <v>2.6375</v>
      </c>
      <c r="E386" s="11">
        <v>2.9293</v>
      </c>
      <c r="F386" s="11">
        <v>2.1657</v>
      </c>
      <c r="G386" s="11">
        <v>2.4199</v>
      </c>
      <c r="H386" s="12">
        <v>2.4</v>
      </c>
    </row>
    <row r="387" spans="1:8">
      <c r="A387" s="7">
        <v>45273</v>
      </c>
      <c r="B387" s="11">
        <v>2.3526</v>
      </c>
      <c r="C387" s="11">
        <v>2.5136</v>
      </c>
      <c r="D387" s="11">
        <v>2.6226</v>
      </c>
      <c r="E387" s="11">
        <v>2.9148</v>
      </c>
      <c r="F387" s="11">
        <v>2.1264</v>
      </c>
      <c r="G387" s="11">
        <v>2.3908</v>
      </c>
      <c r="H387" s="12">
        <v>2.25</v>
      </c>
    </row>
    <row r="388" spans="1:8">
      <c r="A388" s="7">
        <v>45274</v>
      </c>
      <c r="B388" s="11">
        <v>2.3351</v>
      </c>
      <c r="C388" s="11">
        <v>2.5188</v>
      </c>
      <c r="D388" s="11">
        <v>2.6376</v>
      </c>
      <c r="E388" s="11">
        <v>2.9219</v>
      </c>
      <c r="F388" s="11">
        <v>2.0979</v>
      </c>
      <c r="G388" s="11">
        <v>2.3744</v>
      </c>
      <c r="H388" s="12">
        <v>2.25</v>
      </c>
    </row>
    <row r="389" spans="1:8">
      <c r="A389" s="7">
        <v>45275</v>
      </c>
      <c r="B389" s="11">
        <v>2.3076</v>
      </c>
      <c r="C389" s="11">
        <v>2.4916</v>
      </c>
      <c r="D389" s="11">
        <v>2.6227</v>
      </c>
      <c r="E389" s="11">
        <v>2.9039</v>
      </c>
      <c r="F389" s="11">
        <v>2.082</v>
      </c>
      <c r="G389" s="11">
        <v>2.3714</v>
      </c>
      <c r="H389" s="12">
        <v>2.2</v>
      </c>
    </row>
    <row r="390" spans="1:8">
      <c r="A390" s="7">
        <v>45278</v>
      </c>
      <c r="B390" s="11">
        <v>2.2951</v>
      </c>
      <c r="C390" s="11">
        <v>2.4867</v>
      </c>
      <c r="D390" s="11">
        <v>2.6126</v>
      </c>
      <c r="E390" s="11">
        <v>2.8869</v>
      </c>
      <c r="F390" s="11">
        <v>2.0943</v>
      </c>
      <c r="G390" s="11">
        <v>2.363</v>
      </c>
      <c r="H390" s="12">
        <v>2.2</v>
      </c>
    </row>
    <row r="391" spans="1:8">
      <c r="A391" s="7">
        <v>45279</v>
      </c>
      <c r="B391" s="11">
        <v>2.3001</v>
      </c>
      <c r="C391" s="11">
        <v>2.5088</v>
      </c>
      <c r="D391" s="11">
        <v>2.6191</v>
      </c>
      <c r="E391" s="11">
        <v>2.892</v>
      </c>
      <c r="F391" s="11">
        <v>2.1047</v>
      </c>
      <c r="G391" s="11">
        <v>2.3641</v>
      </c>
      <c r="H391" s="12">
        <v>2.2</v>
      </c>
    </row>
    <row r="392" spans="1:8">
      <c r="A392" s="7">
        <v>45280</v>
      </c>
      <c r="B392" s="11">
        <v>2.3051</v>
      </c>
      <c r="C392" s="11">
        <v>2.5197</v>
      </c>
      <c r="D392" s="11">
        <v>2.6222</v>
      </c>
      <c r="E392" s="11">
        <v>2.8849</v>
      </c>
      <c r="F392" s="11">
        <v>2.1045</v>
      </c>
      <c r="G392" s="11">
        <v>2.3639</v>
      </c>
      <c r="H392" s="12">
        <v>2.2</v>
      </c>
    </row>
    <row r="393" spans="1:8">
      <c r="A393" s="7">
        <v>45281</v>
      </c>
      <c r="B393" s="11">
        <v>2.2801</v>
      </c>
      <c r="C393" s="11">
        <v>2.4783</v>
      </c>
      <c r="D393" s="11">
        <v>2.5901</v>
      </c>
      <c r="E393" s="11">
        <v>2.8492</v>
      </c>
      <c r="F393" s="11">
        <v>2.1073</v>
      </c>
      <c r="G393" s="11">
        <v>2.3622</v>
      </c>
      <c r="H393" s="12">
        <v>2.02</v>
      </c>
    </row>
    <row r="394" spans="1:8">
      <c r="A394" s="7">
        <v>45282</v>
      </c>
      <c r="B394" s="11">
        <v>2.2526</v>
      </c>
      <c r="C394" s="11">
        <v>2.4562</v>
      </c>
      <c r="D394" s="11">
        <v>2.5877</v>
      </c>
      <c r="E394" s="11">
        <v>2.8341</v>
      </c>
      <c r="F394" s="11">
        <v>2.0612</v>
      </c>
      <c r="G394" s="11">
        <v>2.3331</v>
      </c>
      <c r="H394" s="12">
        <v>2.05</v>
      </c>
    </row>
    <row r="395" spans="1:8">
      <c r="A395" s="7">
        <v>45285</v>
      </c>
      <c r="B395" s="11">
        <v>2.2246</v>
      </c>
      <c r="C395" s="11">
        <v>2.4172</v>
      </c>
      <c r="D395" s="11">
        <v>2.5678</v>
      </c>
      <c r="E395" s="11">
        <v>2.8077</v>
      </c>
      <c r="F395" s="11">
        <v>2.0443</v>
      </c>
      <c r="G395" s="11">
        <v>2.3162</v>
      </c>
      <c r="H395" s="12">
        <v>1.8117</v>
      </c>
    </row>
    <row r="396" spans="1:8">
      <c r="A396" s="7">
        <v>45286</v>
      </c>
      <c r="B396" s="11">
        <v>2.2046</v>
      </c>
      <c r="C396" s="11">
        <v>2.4123</v>
      </c>
      <c r="D396" s="11">
        <v>2.5804</v>
      </c>
      <c r="E396" s="11">
        <v>2.8267</v>
      </c>
      <c r="F396" s="11">
        <v>2.0352</v>
      </c>
      <c r="G396" s="11">
        <v>2.3104</v>
      </c>
      <c r="H396" s="12">
        <v>4.35</v>
      </c>
    </row>
    <row r="397" spans="1:8">
      <c r="A397" s="7">
        <v>45287</v>
      </c>
      <c r="B397" s="11">
        <v>2.1546</v>
      </c>
      <c r="C397" s="11">
        <v>2.3836</v>
      </c>
      <c r="D397" s="11">
        <v>2.5577</v>
      </c>
      <c r="E397" s="11">
        <v>2.8167</v>
      </c>
      <c r="F397" s="11">
        <v>2.0189</v>
      </c>
      <c r="G397" s="11">
        <v>2.3184</v>
      </c>
      <c r="H397" s="12">
        <v>4</v>
      </c>
    </row>
    <row r="398" spans="1:8">
      <c r="A398" s="7">
        <v>45288</v>
      </c>
      <c r="B398" s="11">
        <v>2.1196</v>
      </c>
      <c r="C398" s="11">
        <v>2.4081</v>
      </c>
      <c r="D398" s="11">
        <v>2.5694</v>
      </c>
      <c r="E398" s="11">
        <v>2.8288</v>
      </c>
      <c r="F398" s="11">
        <v>1.9952</v>
      </c>
      <c r="G398" s="11">
        <v>2.3223</v>
      </c>
      <c r="H398" s="12">
        <v>3.2</v>
      </c>
    </row>
    <row r="399" spans="1:8">
      <c r="A399" s="7">
        <v>45289</v>
      </c>
      <c r="B399" s="11">
        <v>2.0796</v>
      </c>
      <c r="C399" s="11">
        <v>2.4001</v>
      </c>
      <c r="D399" s="11">
        <v>2.5553</v>
      </c>
      <c r="E399" s="11">
        <v>2.8269</v>
      </c>
      <c r="F399" s="11">
        <v>1.9857</v>
      </c>
      <c r="G399" s="11">
        <v>2.3245</v>
      </c>
      <c r="H399" s="12">
        <v>2.4</v>
      </c>
    </row>
    <row r="400" spans="1:8">
      <c r="A400" s="7">
        <v>45291</v>
      </c>
      <c r="B400" s="11">
        <v>2.0796</v>
      </c>
      <c r="C400" s="11">
        <v>2.4001</v>
      </c>
      <c r="D400" s="11">
        <v>2.5553</v>
      </c>
      <c r="E400" s="11">
        <v>2.8269</v>
      </c>
      <c r="F400" s="11"/>
      <c r="G400" s="11"/>
      <c r="H400" s="12"/>
    </row>
    <row r="401" spans="1:8">
      <c r="A401" s="7">
        <v>45293</v>
      </c>
      <c r="B401" s="11">
        <v>2.1166</v>
      </c>
      <c r="C401" s="11">
        <v>2.4374</v>
      </c>
      <c r="D401" s="11">
        <v>2.5601</v>
      </c>
      <c r="E401" s="11">
        <v>2.8422</v>
      </c>
      <c r="F401" s="11">
        <v>2.0208</v>
      </c>
      <c r="G401" s="11">
        <v>2.3324</v>
      </c>
      <c r="H401" s="12">
        <v>2.1</v>
      </c>
    </row>
    <row r="402" spans="1:8">
      <c r="A402" s="7">
        <v>45294</v>
      </c>
      <c r="B402" s="11">
        <v>2.1416</v>
      </c>
      <c r="C402" s="11">
        <v>2.4212</v>
      </c>
      <c r="D402" s="11">
        <v>2.5531</v>
      </c>
      <c r="E402" s="11">
        <v>2.8402</v>
      </c>
      <c r="F402" s="11">
        <v>2.0652</v>
      </c>
      <c r="G402" s="11">
        <v>2.346</v>
      </c>
      <c r="H402" s="12">
        <v>2.15</v>
      </c>
    </row>
    <row r="403" spans="1:8">
      <c r="A403" s="7">
        <v>45295</v>
      </c>
      <c r="B403" s="11">
        <v>2.1541</v>
      </c>
      <c r="C403" s="11">
        <v>2.4089</v>
      </c>
      <c r="D403" s="11">
        <v>2.5368</v>
      </c>
      <c r="E403" s="11">
        <v>2.817</v>
      </c>
      <c r="F403" s="11">
        <v>2.0672</v>
      </c>
      <c r="G403" s="11">
        <v>2.3387</v>
      </c>
      <c r="H403" s="12">
        <v>2.25</v>
      </c>
    </row>
    <row r="404" spans="1:8">
      <c r="A404" s="7">
        <v>45296</v>
      </c>
      <c r="B404" s="11">
        <v>2.1091</v>
      </c>
      <c r="C404" s="11">
        <v>2.3903</v>
      </c>
      <c r="D404" s="11">
        <v>2.5175</v>
      </c>
      <c r="E404" s="11">
        <v>2.8043</v>
      </c>
      <c r="F404" s="11">
        <v>2.0512</v>
      </c>
      <c r="G404" s="11">
        <v>2.3121</v>
      </c>
      <c r="H404" s="12">
        <v>2.15</v>
      </c>
    </row>
    <row r="405" spans="1:8">
      <c r="A405" s="7">
        <v>45299</v>
      </c>
      <c r="B405" s="11">
        <v>2.1191</v>
      </c>
      <c r="C405" s="11">
        <v>2.408</v>
      </c>
      <c r="D405" s="11">
        <v>2.5136</v>
      </c>
      <c r="E405" s="11">
        <v>2.802</v>
      </c>
      <c r="F405" s="11">
        <v>2.0606</v>
      </c>
      <c r="G405" s="11">
        <v>2.3141</v>
      </c>
      <c r="H405" s="12">
        <v>2.2</v>
      </c>
    </row>
    <row r="406" spans="1:8">
      <c r="A406" s="7">
        <v>45300</v>
      </c>
      <c r="B406" s="11">
        <v>2.0991</v>
      </c>
      <c r="C406" s="11">
        <v>2.3905</v>
      </c>
      <c r="D406" s="11">
        <v>2.4862</v>
      </c>
      <c r="E406" s="11">
        <v>2.7693</v>
      </c>
      <c r="F406" s="11">
        <v>2.0431</v>
      </c>
      <c r="G406" s="11">
        <v>2.2903</v>
      </c>
      <c r="H406" s="12">
        <v>2.29</v>
      </c>
    </row>
    <row r="407" spans="1:8">
      <c r="A407" s="7">
        <v>45301</v>
      </c>
      <c r="B407" s="11">
        <v>2.1091</v>
      </c>
      <c r="C407" s="11">
        <v>2.4062</v>
      </c>
      <c r="D407" s="11">
        <v>2.4982</v>
      </c>
      <c r="E407" s="11">
        <v>2.7758</v>
      </c>
      <c r="F407" s="11">
        <v>2.0585</v>
      </c>
      <c r="G407" s="11">
        <v>2.2951</v>
      </c>
      <c r="H407" s="12">
        <v>2.2</v>
      </c>
    </row>
    <row r="408" spans="1:8">
      <c r="A408" s="7">
        <v>45302</v>
      </c>
      <c r="B408" s="11">
        <v>2.0941</v>
      </c>
      <c r="C408" s="11">
        <v>2.4042</v>
      </c>
      <c r="D408" s="11">
        <v>2.4992</v>
      </c>
      <c r="E408" s="11">
        <v>2.7769</v>
      </c>
      <c r="F408" s="11">
        <v>2.0534</v>
      </c>
      <c r="G408" s="11">
        <v>2.2941</v>
      </c>
      <c r="H408" s="12">
        <v>2.2</v>
      </c>
    </row>
    <row r="409" spans="1:8">
      <c r="A409" s="7">
        <v>45303</v>
      </c>
      <c r="B409" s="11">
        <v>2.0941</v>
      </c>
      <c r="C409" s="11">
        <v>2.4156</v>
      </c>
      <c r="D409" s="11">
        <v>2.5172</v>
      </c>
      <c r="E409" s="11">
        <v>2.793</v>
      </c>
      <c r="F409" s="11">
        <v>2.0402</v>
      </c>
      <c r="G409" s="11">
        <v>2.2977</v>
      </c>
      <c r="H409" s="12">
        <v>2.2</v>
      </c>
    </row>
    <row r="410" spans="1:8">
      <c r="A410" s="7">
        <v>45306</v>
      </c>
      <c r="B410" s="11">
        <v>2.0991</v>
      </c>
      <c r="C410" s="11">
        <v>2.4256</v>
      </c>
      <c r="D410" s="11">
        <v>2.5212</v>
      </c>
      <c r="E410" s="11">
        <v>2.7856</v>
      </c>
      <c r="F410" s="11">
        <v>2.0704</v>
      </c>
      <c r="G410" s="11">
        <v>2.2994</v>
      </c>
      <c r="H410" s="12">
        <v>2.25</v>
      </c>
    </row>
    <row r="411" spans="1:8">
      <c r="A411" s="7">
        <v>45307</v>
      </c>
      <c r="B411" s="11">
        <v>2.1091</v>
      </c>
      <c r="C411" s="11">
        <v>2.4406</v>
      </c>
      <c r="D411" s="11">
        <v>2.5252</v>
      </c>
      <c r="E411" s="11">
        <v>2.7897</v>
      </c>
      <c r="F411" s="11">
        <v>2.1048</v>
      </c>
      <c r="G411" s="11">
        <v>2.317</v>
      </c>
      <c r="H411" s="12">
        <v>2.25</v>
      </c>
    </row>
    <row r="412" spans="1:8">
      <c r="A412" s="7">
        <v>45308</v>
      </c>
      <c r="B412" s="11">
        <v>2.1041</v>
      </c>
      <c r="C412" s="11">
        <v>2.4003</v>
      </c>
      <c r="D412" s="11">
        <v>2.5077</v>
      </c>
      <c r="E412" s="11">
        <v>2.7747</v>
      </c>
      <c r="F412" s="11">
        <v>2.103</v>
      </c>
      <c r="G412" s="11">
        <v>2.305</v>
      </c>
      <c r="H412" s="12">
        <v>2.3</v>
      </c>
    </row>
    <row r="413" spans="1:8">
      <c r="A413" s="7">
        <v>45309</v>
      </c>
      <c r="B413" s="11">
        <v>2.0991</v>
      </c>
      <c r="C413" s="11">
        <v>2.3954</v>
      </c>
      <c r="D413" s="11">
        <v>2.5092</v>
      </c>
      <c r="E413" s="11">
        <v>2.7732</v>
      </c>
      <c r="F413" s="11">
        <v>2.0938</v>
      </c>
      <c r="G413" s="11">
        <v>2.2987</v>
      </c>
      <c r="H413" s="12">
        <v>2.2</v>
      </c>
    </row>
    <row r="414" spans="1:8">
      <c r="A414" s="7">
        <v>45310</v>
      </c>
      <c r="B414" s="11">
        <v>2.0841</v>
      </c>
      <c r="C414" s="11">
        <v>2.378</v>
      </c>
      <c r="D414" s="11">
        <v>2.5027</v>
      </c>
      <c r="E414" s="11">
        <v>2.7583</v>
      </c>
      <c r="F414" s="11">
        <v>2.0717</v>
      </c>
      <c r="G414" s="11">
        <v>2.2965</v>
      </c>
      <c r="H414" s="12">
        <v>2.15</v>
      </c>
    </row>
    <row r="415" spans="1:8">
      <c r="A415" s="7">
        <v>45313</v>
      </c>
      <c r="B415" s="11">
        <v>2.0813</v>
      </c>
      <c r="C415" s="11">
        <v>2.3709</v>
      </c>
      <c r="D415" s="11">
        <v>2.4922</v>
      </c>
      <c r="E415" s="11">
        <v>2.7224</v>
      </c>
      <c r="F415" s="11">
        <v>2.0869</v>
      </c>
      <c r="G415" s="11">
        <v>2.2916</v>
      </c>
      <c r="H415" s="12">
        <v>2.1</v>
      </c>
    </row>
    <row r="416" spans="1:8">
      <c r="A416" s="7">
        <v>45314</v>
      </c>
      <c r="B416" s="11">
        <v>2.0841</v>
      </c>
      <c r="C416" s="11">
        <v>2.3835</v>
      </c>
      <c r="D416" s="11">
        <v>2.5042</v>
      </c>
      <c r="E416" s="11">
        <v>2.7327</v>
      </c>
      <c r="F416" s="11">
        <v>2.085</v>
      </c>
      <c r="G416" s="11">
        <v>2.3025</v>
      </c>
      <c r="H416" s="12">
        <v>2.15</v>
      </c>
    </row>
    <row r="417" spans="1:8">
      <c r="A417" s="7">
        <v>45315</v>
      </c>
      <c r="B417" s="11">
        <v>2.0691</v>
      </c>
      <c r="C417" s="11">
        <v>2.3713</v>
      </c>
      <c r="D417" s="11">
        <v>2.5042</v>
      </c>
      <c r="E417" s="11">
        <v>2.738</v>
      </c>
      <c r="F417" s="11">
        <v>2.0613</v>
      </c>
      <c r="G417" s="11">
        <v>2.2955</v>
      </c>
      <c r="H417" s="12">
        <v>2.12</v>
      </c>
    </row>
    <row r="418" spans="1:8">
      <c r="A418" s="7">
        <v>45316</v>
      </c>
      <c r="B418" s="11">
        <v>2.0342</v>
      </c>
      <c r="C418" s="11">
        <v>2.3314</v>
      </c>
      <c r="D418" s="11">
        <v>2.4984</v>
      </c>
      <c r="E418" s="11">
        <v>2.7321</v>
      </c>
      <c r="F418" s="11">
        <v>2.0223</v>
      </c>
      <c r="G418" s="11">
        <v>2.2648</v>
      </c>
      <c r="H418" s="12">
        <v>2.35</v>
      </c>
    </row>
    <row r="419" spans="1:8">
      <c r="A419" s="7">
        <v>45317</v>
      </c>
      <c r="B419" s="11">
        <v>2.0229</v>
      </c>
      <c r="C419" s="11">
        <v>2.3441</v>
      </c>
      <c r="D419" s="11">
        <v>2.4994</v>
      </c>
      <c r="E419" s="11">
        <v>2.7331</v>
      </c>
      <c r="F419" s="11">
        <v>2.0028</v>
      </c>
      <c r="G419" s="11">
        <v>2.2585</v>
      </c>
      <c r="H419" s="12">
        <v>2.4</v>
      </c>
    </row>
    <row r="420" spans="1:8">
      <c r="A420" s="7">
        <v>45320</v>
      </c>
      <c r="B420" s="11">
        <v>1.9401</v>
      </c>
      <c r="C420" s="11">
        <v>2.3222</v>
      </c>
      <c r="D420" s="11">
        <v>2.494</v>
      </c>
      <c r="E420" s="11">
        <v>2.7272</v>
      </c>
      <c r="F420" s="11">
        <v>1.9965</v>
      </c>
      <c r="G420" s="11">
        <v>2.2389</v>
      </c>
      <c r="H420" s="12">
        <v>2.5</v>
      </c>
    </row>
    <row r="421" spans="1:8">
      <c r="A421" s="7">
        <v>45321</v>
      </c>
      <c r="B421" s="11">
        <v>1.8751</v>
      </c>
      <c r="C421" s="11">
        <v>2.2849</v>
      </c>
      <c r="D421" s="11">
        <v>2.4557</v>
      </c>
      <c r="E421" s="11">
        <v>2.6831</v>
      </c>
      <c r="F421" s="11">
        <v>1.9438</v>
      </c>
      <c r="G421" s="11">
        <v>2.1815</v>
      </c>
      <c r="H421" s="12">
        <v>2.35</v>
      </c>
    </row>
    <row r="422" spans="1:8">
      <c r="A422" s="7">
        <v>45322</v>
      </c>
      <c r="B422" s="11">
        <v>1.8802</v>
      </c>
      <c r="C422" s="11">
        <v>2.2872</v>
      </c>
      <c r="D422" s="11">
        <v>2.433</v>
      </c>
      <c r="E422" s="11">
        <v>2.6482</v>
      </c>
      <c r="F422" s="11">
        <v>1.9714</v>
      </c>
      <c r="G422" s="11">
        <v>2.1764</v>
      </c>
      <c r="H422" s="12">
        <v>2.35</v>
      </c>
    </row>
    <row r="423" spans="1:8">
      <c r="A423" s="7">
        <v>45323</v>
      </c>
      <c r="B423" s="11">
        <v>1.8802</v>
      </c>
      <c r="C423" s="11">
        <v>2.3048</v>
      </c>
      <c r="D423" s="11">
        <v>2.4354</v>
      </c>
      <c r="E423" s="11">
        <v>2.6472</v>
      </c>
      <c r="F423" s="11">
        <v>1.9749</v>
      </c>
      <c r="G423" s="11">
        <v>2.1866</v>
      </c>
      <c r="H423" s="12">
        <v>1.95</v>
      </c>
    </row>
    <row r="424" spans="1:8">
      <c r="A424" s="7">
        <v>45324</v>
      </c>
      <c r="B424" s="11">
        <v>1.8903</v>
      </c>
      <c r="C424" s="11">
        <v>2.2799</v>
      </c>
      <c r="D424" s="11">
        <v>2.4244</v>
      </c>
      <c r="E424" s="11">
        <v>2.6353</v>
      </c>
      <c r="F424" s="11">
        <v>1.9718</v>
      </c>
      <c r="G424" s="11">
        <v>2.1901</v>
      </c>
      <c r="H424" s="12">
        <v>2.21</v>
      </c>
    </row>
    <row r="425" spans="1:8">
      <c r="A425" s="7">
        <v>45326</v>
      </c>
      <c r="B425" s="11">
        <v>1.8803</v>
      </c>
      <c r="C425" s="11">
        <v>2.2728</v>
      </c>
      <c r="D425" s="11">
        <v>2.4053</v>
      </c>
      <c r="E425" s="11">
        <v>2.6076</v>
      </c>
      <c r="F425" s="11">
        <v>1.9572</v>
      </c>
      <c r="G425" s="11">
        <v>2.1745</v>
      </c>
      <c r="H425" s="12">
        <v>1.9544</v>
      </c>
    </row>
    <row r="426" spans="1:8">
      <c r="A426" s="7">
        <v>45327</v>
      </c>
      <c r="B426" s="11">
        <v>1.8829</v>
      </c>
      <c r="C426" s="11">
        <v>2.2751</v>
      </c>
      <c r="D426" s="11">
        <v>2.4002</v>
      </c>
      <c r="E426" s="11">
        <v>2.5974</v>
      </c>
      <c r="F426" s="11">
        <v>1.9676</v>
      </c>
      <c r="G426" s="11">
        <v>2.1768</v>
      </c>
      <c r="H426" s="12">
        <v>1.931</v>
      </c>
    </row>
    <row r="427" spans="1:8">
      <c r="A427" s="7">
        <v>45328</v>
      </c>
      <c r="B427" s="11">
        <v>1.9269</v>
      </c>
      <c r="C427" s="11">
        <v>2.3329</v>
      </c>
      <c r="D427" s="11">
        <v>2.4525</v>
      </c>
      <c r="E427" s="11">
        <v>2.6579</v>
      </c>
      <c r="F427" s="11">
        <v>1.9814</v>
      </c>
      <c r="G427" s="11">
        <v>2.2077</v>
      </c>
      <c r="H427" s="12">
        <v>1.95</v>
      </c>
    </row>
    <row r="428" spans="1:8">
      <c r="A428" s="7">
        <v>45329</v>
      </c>
      <c r="B428" s="11">
        <v>1.9287</v>
      </c>
      <c r="C428" s="11">
        <v>2.2985</v>
      </c>
      <c r="D428" s="11">
        <v>2.4153</v>
      </c>
      <c r="E428" s="11">
        <v>2.6214</v>
      </c>
      <c r="F428" s="11">
        <v>1.9721</v>
      </c>
      <c r="G428" s="11">
        <v>2.2084</v>
      </c>
      <c r="H428" s="12">
        <v>1.95</v>
      </c>
    </row>
    <row r="429" spans="1:8">
      <c r="A429" s="7">
        <v>45330</v>
      </c>
      <c r="B429" s="11">
        <v>1.9265</v>
      </c>
      <c r="C429" s="11">
        <v>2.2885</v>
      </c>
      <c r="D429" s="11">
        <v>2.4379</v>
      </c>
      <c r="E429" s="11">
        <v>2.6505</v>
      </c>
      <c r="F429" s="11">
        <v>1.9469</v>
      </c>
      <c r="G429" s="11">
        <v>2.1921</v>
      </c>
      <c r="H429" s="12">
        <v>1.8</v>
      </c>
    </row>
    <row r="430" spans="1:8">
      <c r="A430" s="7">
        <v>45331</v>
      </c>
      <c r="B430" s="11">
        <v>1.9265</v>
      </c>
      <c r="C430" s="11">
        <v>2.2885</v>
      </c>
      <c r="D430" s="11">
        <v>2.4302</v>
      </c>
      <c r="E430" s="11">
        <v>2.6505</v>
      </c>
      <c r="F430" s="11"/>
      <c r="G430" s="11">
        <v>2.21</v>
      </c>
      <c r="H430" s="12">
        <v>1.85</v>
      </c>
    </row>
    <row r="431" spans="1:8">
      <c r="A431" s="7">
        <v>45340</v>
      </c>
      <c r="B431" s="11">
        <v>1.9292</v>
      </c>
      <c r="C431" s="11">
        <v>2.2972</v>
      </c>
      <c r="D431" s="11">
        <v>2.4393</v>
      </c>
      <c r="E431" s="11">
        <v>2.643</v>
      </c>
      <c r="F431" s="11">
        <v>1.9608</v>
      </c>
      <c r="G431" s="11">
        <v>2.2092</v>
      </c>
      <c r="H431" s="12">
        <v>1.81</v>
      </c>
    </row>
    <row r="432" spans="1:8">
      <c r="A432" s="7">
        <v>45341</v>
      </c>
      <c r="B432" s="11">
        <v>1.9157</v>
      </c>
      <c r="C432" s="11">
        <v>2.3058</v>
      </c>
      <c r="D432" s="11">
        <v>2.4344</v>
      </c>
      <c r="E432" s="11">
        <v>2.627</v>
      </c>
      <c r="F432" s="11">
        <v>1.9744</v>
      </c>
      <c r="G432" s="11">
        <v>2.2149</v>
      </c>
      <c r="H432" s="12">
        <v>2.05</v>
      </c>
    </row>
    <row r="433" spans="1:8">
      <c r="A433" s="7">
        <v>45342</v>
      </c>
      <c r="B433" s="11">
        <v>1.8649</v>
      </c>
      <c r="C433" s="11">
        <v>2.2759</v>
      </c>
      <c r="D433" s="11">
        <v>2.4134</v>
      </c>
      <c r="E433" s="11">
        <v>2.6004</v>
      </c>
      <c r="F433" s="11">
        <v>1.9593</v>
      </c>
      <c r="G433" s="11">
        <v>2.1944</v>
      </c>
      <c r="H433" s="12">
        <v>1.95</v>
      </c>
    </row>
    <row r="434" spans="1:8">
      <c r="A434" s="7">
        <v>45343</v>
      </c>
      <c r="B434" s="11">
        <v>1.8149</v>
      </c>
      <c r="C434" s="11">
        <v>2.2683</v>
      </c>
      <c r="D434" s="11">
        <v>2.4119</v>
      </c>
      <c r="E434" s="11">
        <v>2.601</v>
      </c>
      <c r="F434" s="11">
        <v>1.9506</v>
      </c>
      <c r="G434" s="11">
        <v>2.1834</v>
      </c>
      <c r="H434" s="12">
        <v>2</v>
      </c>
    </row>
    <row r="435" spans="1:8">
      <c r="A435" s="7">
        <v>45344</v>
      </c>
      <c r="B435" s="11">
        <v>1.7731</v>
      </c>
      <c r="C435" s="11">
        <v>2.2439</v>
      </c>
      <c r="D435" s="11">
        <v>2.4033</v>
      </c>
      <c r="E435" s="11">
        <v>2.591</v>
      </c>
      <c r="F435" s="11">
        <v>1.941</v>
      </c>
      <c r="G435" s="11">
        <v>2.1718</v>
      </c>
      <c r="H435" s="12">
        <v>2</v>
      </c>
    </row>
    <row r="436" spans="1:8">
      <c r="A436" s="7">
        <v>45345</v>
      </c>
      <c r="B436" s="11">
        <v>1.7699</v>
      </c>
      <c r="C436" s="11">
        <v>2.2495</v>
      </c>
      <c r="D436" s="11">
        <v>2.4009</v>
      </c>
      <c r="E436" s="11">
        <v>2.5809</v>
      </c>
      <c r="F436" s="11">
        <v>1.9219</v>
      </c>
      <c r="G436" s="11">
        <v>2.1423</v>
      </c>
      <c r="H436" s="12">
        <v>2.2</v>
      </c>
    </row>
    <row r="437" spans="1:8">
      <c r="A437" s="7">
        <v>45348</v>
      </c>
      <c r="B437" s="11">
        <v>1.767</v>
      </c>
      <c r="C437" s="11">
        <v>2.2244</v>
      </c>
      <c r="D437" s="11">
        <v>2.3789</v>
      </c>
      <c r="E437" s="11">
        <v>2.54</v>
      </c>
      <c r="F437" s="11">
        <v>1.9391</v>
      </c>
      <c r="G437" s="11">
        <v>2.1468</v>
      </c>
      <c r="H437" s="12">
        <v>2.15</v>
      </c>
    </row>
    <row r="438" spans="1:8">
      <c r="A438" s="7">
        <v>45349</v>
      </c>
      <c r="B438" s="11">
        <v>1.7739</v>
      </c>
      <c r="C438" s="11">
        <v>2.2419</v>
      </c>
      <c r="D438" s="11">
        <v>2.3809</v>
      </c>
      <c r="E438" s="11">
        <v>2.5224</v>
      </c>
      <c r="F438" s="11">
        <v>1.9447</v>
      </c>
      <c r="G438" s="11">
        <v>2.1433</v>
      </c>
      <c r="H438" s="12">
        <v>2.15</v>
      </c>
    </row>
    <row r="439" spans="1:8">
      <c r="A439" s="7">
        <v>45350</v>
      </c>
      <c r="B439" s="11">
        <v>1.7863</v>
      </c>
      <c r="C439" s="11">
        <v>2.2223</v>
      </c>
      <c r="D439" s="11">
        <v>2.3376</v>
      </c>
      <c r="E439" s="11">
        <v>2.4868</v>
      </c>
      <c r="F439" s="11">
        <v>1.944</v>
      </c>
      <c r="G439" s="11">
        <v>2.1474</v>
      </c>
      <c r="H439" s="12">
        <v>2.1</v>
      </c>
    </row>
    <row r="440" spans="1:8">
      <c r="A440" s="7">
        <v>45351</v>
      </c>
      <c r="B440" s="11">
        <v>1.7871</v>
      </c>
      <c r="C440" s="11">
        <v>2.2178</v>
      </c>
      <c r="D440" s="11">
        <v>2.3375</v>
      </c>
      <c r="E440" s="11">
        <v>2.4616</v>
      </c>
      <c r="F440" s="11">
        <v>1.9267</v>
      </c>
      <c r="G440" s="11">
        <v>2.1378</v>
      </c>
      <c r="H440" s="12">
        <v>2.05</v>
      </c>
    </row>
    <row r="441" spans="1:8">
      <c r="A441" s="7">
        <v>45352</v>
      </c>
      <c r="B441" s="11">
        <v>1.7833</v>
      </c>
      <c r="C441" s="11">
        <v>2.2632</v>
      </c>
      <c r="D441" s="11">
        <v>2.3675</v>
      </c>
      <c r="E441" s="11">
        <v>2.4915</v>
      </c>
      <c r="F441" s="11">
        <v>1.9451</v>
      </c>
      <c r="G441" s="11">
        <v>2.1722</v>
      </c>
      <c r="H441" s="12">
        <v>2</v>
      </c>
    </row>
    <row r="442" spans="1:8">
      <c r="A442" s="7">
        <v>45355</v>
      </c>
      <c r="B442" s="11">
        <v>1.7612</v>
      </c>
      <c r="C442" s="11">
        <v>2.2489</v>
      </c>
      <c r="D442" s="11">
        <v>2.3475</v>
      </c>
      <c r="E442" s="11">
        <v>2.4738</v>
      </c>
      <c r="F442" s="11">
        <v>1.9476</v>
      </c>
      <c r="G442" s="11">
        <v>2.1638</v>
      </c>
      <c r="H442" s="12">
        <v>2</v>
      </c>
    </row>
    <row r="443" spans="1:8">
      <c r="A443" s="7">
        <v>45356</v>
      </c>
      <c r="B443" s="11">
        <v>1.7732</v>
      </c>
      <c r="C443" s="11">
        <v>2.2285</v>
      </c>
      <c r="D443" s="11">
        <v>2.3169</v>
      </c>
      <c r="E443" s="11">
        <v>2.4794</v>
      </c>
      <c r="F443" s="11">
        <v>1.9557</v>
      </c>
      <c r="G443" s="11">
        <v>2.1591</v>
      </c>
      <c r="H443" s="12">
        <v>2.04</v>
      </c>
    </row>
    <row r="444" spans="1:8">
      <c r="A444" s="7">
        <v>45357</v>
      </c>
      <c r="B444" s="11">
        <v>1.7574</v>
      </c>
      <c r="C444" s="11">
        <v>2.1675</v>
      </c>
      <c r="D444" s="11">
        <v>2.265</v>
      </c>
      <c r="E444" s="11">
        <v>2.4274</v>
      </c>
      <c r="F444" s="11">
        <v>1.946</v>
      </c>
      <c r="G444" s="11">
        <v>2.1318</v>
      </c>
      <c r="H444" s="12">
        <v>2.05</v>
      </c>
    </row>
    <row r="445" spans="1:8">
      <c r="A445" s="7">
        <v>45358</v>
      </c>
      <c r="B445" s="11">
        <v>1.7578</v>
      </c>
      <c r="C445" s="11">
        <v>2.1959</v>
      </c>
      <c r="D445" s="11">
        <v>2.2776</v>
      </c>
      <c r="E445" s="11">
        <v>2.431</v>
      </c>
      <c r="F445" s="11">
        <v>1.9312</v>
      </c>
      <c r="G445" s="11">
        <v>2.1139</v>
      </c>
      <c r="H445" s="12">
        <v>2</v>
      </c>
    </row>
    <row r="446" spans="1:8">
      <c r="A446" s="7">
        <v>45359</v>
      </c>
      <c r="B446" s="11">
        <v>1.7525</v>
      </c>
      <c r="C446" s="11">
        <v>2.2089</v>
      </c>
      <c r="D446" s="11">
        <v>2.2825</v>
      </c>
      <c r="E446" s="11">
        <v>2.4335</v>
      </c>
      <c r="F446" s="11">
        <v>1.9374</v>
      </c>
      <c r="G446" s="11">
        <v>2.1309</v>
      </c>
      <c r="H446" s="12">
        <v>2</v>
      </c>
    </row>
    <row r="447" spans="1:8">
      <c r="A447" s="7">
        <v>45362</v>
      </c>
      <c r="B447" s="11">
        <v>1.7575</v>
      </c>
      <c r="C447" s="11">
        <v>2.232</v>
      </c>
      <c r="D447" s="11">
        <v>2.305</v>
      </c>
      <c r="E447" s="11">
        <v>2.4766</v>
      </c>
      <c r="F447" s="11">
        <v>1.9505</v>
      </c>
      <c r="G447" s="11">
        <v>2.1394</v>
      </c>
      <c r="H447" s="12">
        <v>2</v>
      </c>
    </row>
    <row r="448" spans="1:8">
      <c r="A448" s="7">
        <v>45363</v>
      </c>
      <c r="B448" s="11">
        <v>1.7975</v>
      </c>
      <c r="C448" s="11">
        <v>2.2716</v>
      </c>
      <c r="D448" s="11">
        <v>2.3476</v>
      </c>
      <c r="E448" s="11">
        <v>2.5415</v>
      </c>
      <c r="F448" s="11">
        <v>1.9616</v>
      </c>
      <c r="G448" s="11">
        <v>2.1642</v>
      </c>
      <c r="H448" s="12">
        <v>2</v>
      </c>
    </row>
    <row r="449" spans="1:8">
      <c r="A449" s="7">
        <v>45364</v>
      </c>
      <c r="B449" s="11">
        <v>1.8175</v>
      </c>
      <c r="C449" s="11">
        <v>2.2587</v>
      </c>
      <c r="D449" s="11">
        <v>2.3326</v>
      </c>
      <c r="E449" s="11">
        <v>2.5313</v>
      </c>
      <c r="F449" s="11">
        <v>1.9695</v>
      </c>
      <c r="G449" s="11">
        <v>2.171</v>
      </c>
      <c r="H449" s="12">
        <v>2</v>
      </c>
    </row>
    <row r="450" spans="1:8">
      <c r="A450" s="7">
        <v>45365</v>
      </c>
      <c r="B450" s="11">
        <v>1.8475</v>
      </c>
      <c r="C450" s="11">
        <v>2.2595</v>
      </c>
      <c r="D450" s="11">
        <v>2.3425</v>
      </c>
      <c r="E450" s="11">
        <v>2.5343</v>
      </c>
      <c r="F450" s="11">
        <v>1.9735</v>
      </c>
      <c r="G450" s="11">
        <v>2.1683</v>
      </c>
      <c r="H450" s="12">
        <v>2</v>
      </c>
    </row>
    <row r="451" spans="1:8">
      <c r="A451" s="7">
        <v>45366</v>
      </c>
      <c r="B451" s="11">
        <v>1.8325</v>
      </c>
      <c r="C451" s="11">
        <v>2.2428</v>
      </c>
      <c r="D451" s="11">
        <v>2.32</v>
      </c>
      <c r="E451" s="11">
        <v>2.5094</v>
      </c>
      <c r="F451" s="11">
        <v>1.971</v>
      </c>
      <c r="G451" s="11">
        <v>2.1632</v>
      </c>
      <c r="H451" s="12">
        <v>2</v>
      </c>
    </row>
    <row r="452" spans="1:8">
      <c r="A452" s="7">
        <v>45369</v>
      </c>
      <c r="B452" s="11">
        <v>1.7825</v>
      </c>
      <c r="C452" s="11">
        <v>2.2168</v>
      </c>
      <c r="D452" s="11">
        <v>2.2926</v>
      </c>
      <c r="E452" s="11">
        <v>2.4857</v>
      </c>
      <c r="F452" s="11">
        <v>1.9663</v>
      </c>
      <c r="G452" s="11">
        <v>2.1543</v>
      </c>
      <c r="H452" s="12">
        <v>2</v>
      </c>
    </row>
    <row r="453" spans="1:8">
      <c r="A453" s="7">
        <v>45370</v>
      </c>
      <c r="B453" s="11">
        <v>1.7725</v>
      </c>
      <c r="C453" s="11">
        <v>2.2074</v>
      </c>
      <c r="D453" s="11">
        <v>2.2801</v>
      </c>
      <c r="E453" s="11">
        <v>2.4485</v>
      </c>
      <c r="F453" s="11">
        <v>1.9648</v>
      </c>
      <c r="G453" s="11">
        <v>2.1438</v>
      </c>
      <c r="H453" s="12">
        <v>2</v>
      </c>
    </row>
    <row r="454" spans="1:8">
      <c r="A454" s="7">
        <v>45371</v>
      </c>
      <c r="B454" s="11">
        <v>1.7725</v>
      </c>
      <c r="C454" s="11">
        <v>2.2233</v>
      </c>
      <c r="D454" s="11">
        <v>2.2951</v>
      </c>
      <c r="E454" s="11">
        <v>2.466</v>
      </c>
      <c r="F454" s="11">
        <v>1.9796</v>
      </c>
      <c r="G454" s="11">
        <v>2.1643</v>
      </c>
      <c r="H454" s="12">
        <v>2</v>
      </c>
    </row>
    <row r="455" spans="1:8">
      <c r="A455" s="7">
        <v>45372</v>
      </c>
      <c r="B455" s="11">
        <v>1.7625</v>
      </c>
      <c r="C455" s="11">
        <v>2.2036</v>
      </c>
      <c r="D455" s="11">
        <v>2.2851</v>
      </c>
      <c r="E455" s="11">
        <v>2.4615</v>
      </c>
      <c r="F455" s="11">
        <v>1.9691</v>
      </c>
      <c r="G455" s="11">
        <v>2.1557</v>
      </c>
      <c r="H455" s="12">
        <v>2</v>
      </c>
    </row>
    <row r="456" spans="1:8">
      <c r="A456" s="7">
        <v>45373</v>
      </c>
      <c r="B456" s="11">
        <v>1.7625</v>
      </c>
      <c r="C456" s="11">
        <v>2.2143</v>
      </c>
      <c r="D456" s="11">
        <v>2.3051</v>
      </c>
      <c r="E456" s="11">
        <v>2.4832</v>
      </c>
      <c r="F456" s="11">
        <v>1.973</v>
      </c>
      <c r="G456" s="11">
        <v>2.1592</v>
      </c>
      <c r="H456" s="12">
        <v>2.05</v>
      </c>
    </row>
    <row r="457" spans="1:8">
      <c r="A457" s="7">
        <v>45376</v>
      </c>
      <c r="B457" s="11">
        <v>1.7875</v>
      </c>
      <c r="C457" s="11">
        <v>2.2281</v>
      </c>
      <c r="D457" s="11">
        <v>2.3151</v>
      </c>
      <c r="E457" s="11">
        <v>2.4962</v>
      </c>
      <c r="F457" s="11">
        <v>1.9905</v>
      </c>
      <c r="G457" s="11">
        <v>2.1716</v>
      </c>
      <c r="H457" s="12">
        <v>2.4</v>
      </c>
    </row>
    <row r="458" spans="1:8">
      <c r="A458" s="7">
        <v>45377</v>
      </c>
      <c r="B458" s="11">
        <v>1.79</v>
      </c>
      <c r="C458" s="11">
        <v>2.2279</v>
      </c>
      <c r="D458" s="11">
        <v>2.3175</v>
      </c>
      <c r="E458" s="11">
        <v>2.4982</v>
      </c>
      <c r="F458" s="11">
        <v>2.0019</v>
      </c>
      <c r="G458" s="11">
        <v>2.1815</v>
      </c>
      <c r="H458" s="12">
        <v>2.4</v>
      </c>
    </row>
    <row r="459" spans="1:8">
      <c r="A459" s="7">
        <v>45378</v>
      </c>
      <c r="B459" s="11">
        <v>1.7525</v>
      </c>
      <c r="C459" s="11">
        <v>2.1948</v>
      </c>
      <c r="D459" s="11">
        <v>2.2876</v>
      </c>
      <c r="E459" s="11">
        <v>2.4636</v>
      </c>
      <c r="F459" s="11">
        <v>1.9926</v>
      </c>
      <c r="G459" s="11">
        <v>2.1731</v>
      </c>
      <c r="H459" s="12">
        <v>2.45</v>
      </c>
    </row>
    <row r="460" spans="1:8">
      <c r="A460" s="7">
        <v>45379</v>
      </c>
      <c r="B460" s="11">
        <v>1.7525</v>
      </c>
      <c r="C460" s="11">
        <v>2.2112</v>
      </c>
      <c r="D460" s="11">
        <v>2.3026</v>
      </c>
      <c r="E460" s="11">
        <v>2.4664</v>
      </c>
      <c r="F460" s="11">
        <v>1.9808</v>
      </c>
      <c r="G460" s="11">
        <v>2.1614</v>
      </c>
      <c r="H460" s="12">
        <v>2.35</v>
      </c>
    </row>
    <row r="461" spans="1:8">
      <c r="A461" s="7">
        <v>45380</v>
      </c>
      <c r="B461" s="11">
        <v>1.7225</v>
      </c>
      <c r="C461" s="11">
        <v>2.1974</v>
      </c>
      <c r="D461" s="11">
        <v>2.2901</v>
      </c>
      <c r="E461" s="11">
        <v>2.4594</v>
      </c>
      <c r="F461" s="11">
        <v>1.9564</v>
      </c>
      <c r="G461" s="11">
        <v>2.1455</v>
      </c>
      <c r="H461" s="12">
        <v>2.3</v>
      </c>
    </row>
    <row r="462" spans="1:8">
      <c r="A462" s="7">
        <v>45383</v>
      </c>
      <c r="B462" s="11">
        <v>1.7425</v>
      </c>
      <c r="C462" s="11">
        <v>2.2172</v>
      </c>
      <c r="D462" s="11">
        <v>2.3082</v>
      </c>
      <c r="E462" s="11">
        <v>2.4848</v>
      </c>
      <c r="F462" s="11">
        <v>1.9632</v>
      </c>
      <c r="G462" s="11">
        <v>2.1534</v>
      </c>
      <c r="H462" s="12">
        <v>2.05</v>
      </c>
    </row>
    <row r="463" spans="1:8">
      <c r="A463" s="7">
        <v>45384</v>
      </c>
      <c r="B463" s="11">
        <v>1.7275</v>
      </c>
      <c r="C463" s="11">
        <v>2.1967</v>
      </c>
      <c r="D463" s="11">
        <v>2.2927</v>
      </c>
      <c r="E463" s="11">
        <v>2.475</v>
      </c>
      <c r="F463" s="11">
        <v>1.9717</v>
      </c>
      <c r="G463" s="11">
        <v>2.1491</v>
      </c>
      <c r="H463" s="12">
        <v>2.1</v>
      </c>
    </row>
    <row r="464" spans="1:8">
      <c r="A464" s="7">
        <v>45385</v>
      </c>
      <c r="B464" s="11">
        <v>1.7225</v>
      </c>
      <c r="C464" s="11">
        <v>2.1897</v>
      </c>
      <c r="D464" s="11">
        <v>2.2837</v>
      </c>
      <c r="E464" s="11">
        <v>2.4635</v>
      </c>
      <c r="F464" s="11">
        <v>1.9649</v>
      </c>
      <c r="G464" s="11">
        <v>2.1367</v>
      </c>
      <c r="H464" s="12">
        <v>2</v>
      </c>
    </row>
    <row r="465" spans="1:8">
      <c r="A465" s="7">
        <v>45389</v>
      </c>
      <c r="B465" s="11">
        <v>1.7225</v>
      </c>
      <c r="C465" s="11">
        <v>2.1946</v>
      </c>
      <c r="D465" s="11">
        <v>2.2937</v>
      </c>
      <c r="E465" s="11">
        <v>2.4776</v>
      </c>
      <c r="F465" s="11"/>
      <c r="G465" s="11"/>
      <c r="H465" s="12">
        <v>1.85</v>
      </c>
    </row>
    <row r="466" spans="1:8">
      <c r="A466" s="7">
        <v>45390</v>
      </c>
      <c r="B466" s="11">
        <v>1.7025</v>
      </c>
      <c r="C466" s="11">
        <v>2.169</v>
      </c>
      <c r="D466" s="11">
        <v>2.2822</v>
      </c>
      <c r="E466" s="11">
        <v>2.4656</v>
      </c>
      <c r="F466" s="11">
        <v>1.9583</v>
      </c>
      <c r="G466" s="11">
        <v>2.1318</v>
      </c>
      <c r="H466" s="12">
        <v>2</v>
      </c>
    </row>
    <row r="467" spans="1:8">
      <c r="A467" s="7">
        <v>45391</v>
      </c>
      <c r="B467" s="11">
        <v>1.6925</v>
      </c>
      <c r="C467" s="11">
        <v>2.1533</v>
      </c>
      <c r="D467" s="11">
        <v>2.2802</v>
      </c>
      <c r="E467" s="11">
        <v>2.4637</v>
      </c>
      <c r="F467" s="11">
        <v>1.955</v>
      </c>
      <c r="G467" s="11">
        <v>2.1281</v>
      </c>
      <c r="H467" s="12">
        <v>1.95</v>
      </c>
    </row>
    <row r="468" spans="1:8">
      <c r="A468" s="7">
        <v>45392</v>
      </c>
      <c r="B468" s="11">
        <v>1.7033</v>
      </c>
      <c r="C468" s="11">
        <v>2.1591</v>
      </c>
      <c r="D468" s="11">
        <v>2.2972</v>
      </c>
      <c r="E468" s="11">
        <v>2.4891</v>
      </c>
      <c r="F468" s="11">
        <v>1.9427</v>
      </c>
      <c r="G468" s="11">
        <v>2.1292</v>
      </c>
      <c r="H468" s="12">
        <v>1.9</v>
      </c>
    </row>
    <row r="469" spans="1:8">
      <c r="A469" s="7">
        <v>45393</v>
      </c>
      <c r="B469" s="11">
        <v>1.7033</v>
      </c>
      <c r="C469" s="11">
        <v>2.1378</v>
      </c>
      <c r="D469" s="11">
        <v>2.2928</v>
      </c>
      <c r="E469" s="11">
        <v>2.4928</v>
      </c>
      <c r="F469" s="11">
        <v>1.9326</v>
      </c>
      <c r="G469" s="11">
        <v>2.1242</v>
      </c>
      <c r="H469" s="12">
        <v>1.92</v>
      </c>
    </row>
    <row r="470" spans="1:8">
      <c r="A470" s="7">
        <v>45394</v>
      </c>
      <c r="B470" s="11">
        <v>1.6958</v>
      </c>
      <c r="C470" s="11">
        <v>2.1119</v>
      </c>
      <c r="D470" s="11">
        <v>2.2837</v>
      </c>
      <c r="E470" s="11">
        <v>2.487</v>
      </c>
      <c r="F470" s="11">
        <v>1.9141</v>
      </c>
      <c r="G470" s="11">
        <v>2.1039</v>
      </c>
      <c r="H470" s="12">
        <v>1.9</v>
      </c>
    </row>
    <row r="471" spans="1:8">
      <c r="A471" s="7">
        <v>45397</v>
      </c>
      <c r="B471" s="11">
        <v>1.7033</v>
      </c>
      <c r="C471" s="11">
        <v>2.1263</v>
      </c>
      <c r="D471" s="11">
        <v>2.2798</v>
      </c>
      <c r="E471" s="11">
        <v>2.4863</v>
      </c>
      <c r="F471" s="11">
        <v>1.9227</v>
      </c>
      <c r="G471" s="11">
        <v>2.1043</v>
      </c>
      <c r="H471" s="12">
        <v>1.9</v>
      </c>
    </row>
    <row r="472" spans="1:8">
      <c r="A472" s="7">
        <v>45398</v>
      </c>
      <c r="B472" s="11">
        <v>1.7233</v>
      </c>
      <c r="C472" s="11">
        <v>2.1288</v>
      </c>
      <c r="D472" s="11">
        <v>2.2723</v>
      </c>
      <c r="E472" s="11">
        <v>2.4717</v>
      </c>
      <c r="F472" s="11">
        <v>1.9325</v>
      </c>
      <c r="G472" s="11">
        <v>2.1094</v>
      </c>
      <c r="H472" s="12">
        <v>1.9</v>
      </c>
    </row>
    <row r="473" spans="1:8">
      <c r="A473" s="7">
        <v>45399</v>
      </c>
      <c r="B473" s="11">
        <v>1.7133</v>
      </c>
      <c r="C473" s="11">
        <v>2.1053</v>
      </c>
      <c r="D473" s="11">
        <v>2.2608</v>
      </c>
      <c r="E473" s="11">
        <v>2.4556</v>
      </c>
      <c r="F473" s="11">
        <v>1.9393</v>
      </c>
      <c r="G473" s="11">
        <v>2.1077</v>
      </c>
      <c r="H473" s="12">
        <v>1.95</v>
      </c>
    </row>
    <row r="474" spans="1:8">
      <c r="A474" s="7">
        <v>45400</v>
      </c>
      <c r="B474" s="11">
        <v>1.6983</v>
      </c>
      <c r="C474" s="11">
        <v>2.0804</v>
      </c>
      <c r="D474" s="11">
        <v>2.2537</v>
      </c>
      <c r="E474" s="11">
        <v>2.4466</v>
      </c>
      <c r="F474" s="11">
        <v>1.9328</v>
      </c>
      <c r="G474" s="11">
        <v>2.0938</v>
      </c>
      <c r="H474" s="12">
        <v>1.9</v>
      </c>
    </row>
    <row r="475" spans="1:8">
      <c r="A475" s="7">
        <v>45401</v>
      </c>
      <c r="B475" s="11">
        <v>1.6933</v>
      </c>
      <c r="C475" s="11">
        <v>2.0755</v>
      </c>
      <c r="D475" s="11">
        <v>2.254</v>
      </c>
      <c r="E475" s="11">
        <v>2.4411</v>
      </c>
      <c r="F475" s="11">
        <v>1.9297</v>
      </c>
      <c r="G475" s="11">
        <v>2.0869</v>
      </c>
      <c r="H475" s="12">
        <v>1.9</v>
      </c>
    </row>
    <row r="476" spans="1:8">
      <c r="A476" s="7">
        <v>45404</v>
      </c>
      <c r="B476" s="11">
        <v>1.6833</v>
      </c>
      <c r="C476" s="11">
        <v>2.0735</v>
      </c>
      <c r="D476" s="11">
        <v>2.2435</v>
      </c>
      <c r="E476" s="11">
        <v>2.4341</v>
      </c>
      <c r="F476" s="11">
        <v>1.9286</v>
      </c>
      <c r="G476" s="11">
        <v>2.0846</v>
      </c>
      <c r="H476" s="12">
        <v>1.9</v>
      </c>
    </row>
    <row r="477" spans="1:8">
      <c r="A477" s="7">
        <v>45405</v>
      </c>
      <c r="B477" s="11">
        <v>1.6633</v>
      </c>
      <c r="C477" s="11">
        <v>2.0563</v>
      </c>
      <c r="D477" s="11">
        <v>2.226</v>
      </c>
      <c r="E477" s="11">
        <v>2.4211</v>
      </c>
      <c r="F477" s="11">
        <v>1.9221</v>
      </c>
      <c r="G477" s="11">
        <v>2.074</v>
      </c>
      <c r="H477" s="12">
        <v>1.9</v>
      </c>
    </row>
    <row r="478" spans="1:8">
      <c r="A478" s="7">
        <v>45406</v>
      </c>
      <c r="B478" s="11">
        <v>1.6696</v>
      </c>
      <c r="C478" s="11">
        <v>2.0965</v>
      </c>
      <c r="D478" s="11">
        <v>2.2727</v>
      </c>
      <c r="E478" s="11">
        <v>2.4791</v>
      </c>
      <c r="F478" s="11">
        <v>1.9291</v>
      </c>
      <c r="G478" s="11">
        <v>2.0906</v>
      </c>
      <c r="H478" s="12">
        <v>1.9</v>
      </c>
    </row>
    <row r="479" spans="1:8">
      <c r="A479" s="7">
        <v>45407</v>
      </c>
      <c r="B479" s="11">
        <v>1.6046</v>
      </c>
      <c r="C479" s="11">
        <v>2.0668</v>
      </c>
      <c r="D479" s="11">
        <v>2.2612</v>
      </c>
      <c r="E479" s="11">
        <v>2.4841</v>
      </c>
      <c r="F479" s="11">
        <v>1.9361</v>
      </c>
      <c r="G479" s="11">
        <v>2.0967</v>
      </c>
      <c r="H479" s="12">
        <v>1.98</v>
      </c>
    </row>
    <row r="480" spans="1:8">
      <c r="A480" s="7">
        <v>45408</v>
      </c>
      <c r="B480" s="11">
        <v>1.6646</v>
      </c>
      <c r="C480" s="11">
        <v>2.1245</v>
      </c>
      <c r="D480" s="11">
        <v>2.3084</v>
      </c>
      <c r="E480" s="11">
        <v>2.5257</v>
      </c>
      <c r="F480" s="11">
        <v>1.9539</v>
      </c>
      <c r="G480" s="11">
        <v>2.1278</v>
      </c>
      <c r="H480" s="12">
        <v>1.95</v>
      </c>
    </row>
    <row r="481" spans="1:8">
      <c r="A481" s="7">
        <v>45410</v>
      </c>
      <c r="B481" s="11">
        <v>1.6932</v>
      </c>
      <c r="C481" s="11">
        <v>2.1575</v>
      </c>
      <c r="D481" s="11">
        <v>2.3244</v>
      </c>
      <c r="E481" s="11">
        <v>2.5493</v>
      </c>
      <c r="F481" s="11"/>
      <c r="G481" s="11">
        <v>2.1575</v>
      </c>
      <c r="H481" s="12">
        <v>1.98</v>
      </c>
    </row>
    <row r="482" spans="1:8">
      <c r="A482" s="7">
        <v>45411</v>
      </c>
      <c r="B482" s="11">
        <v>1.7831</v>
      </c>
      <c r="C482" s="11">
        <v>2.1876</v>
      </c>
      <c r="D482" s="11">
        <v>2.353</v>
      </c>
      <c r="E482" s="11">
        <v>2.5833</v>
      </c>
      <c r="F482" s="11">
        <v>2.0313</v>
      </c>
      <c r="G482" s="11">
        <v>2.2056</v>
      </c>
      <c r="H482" s="12">
        <v>2.08</v>
      </c>
    </row>
    <row r="483" spans="1:8">
      <c r="A483" s="7">
        <v>45412</v>
      </c>
      <c r="B483" s="11">
        <v>1.6928</v>
      </c>
      <c r="C483" s="11">
        <v>2.1484</v>
      </c>
      <c r="D483" s="11">
        <v>2.3028</v>
      </c>
      <c r="E483" s="11">
        <v>2.5382</v>
      </c>
      <c r="F483" s="11">
        <v>2.0029</v>
      </c>
      <c r="G483" s="11">
        <v>2.1781</v>
      </c>
      <c r="H483" s="12">
        <v>2.1</v>
      </c>
    </row>
    <row r="484" spans="1:8">
      <c r="A484" s="7">
        <v>45418</v>
      </c>
      <c r="B484" s="11">
        <v>1.7022</v>
      </c>
      <c r="C484" s="11">
        <v>2.1268</v>
      </c>
      <c r="D484" s="11">
        <v>2.3081</v>
      </c>
      <c r="E484" s="11">
        <v>2.5587</v>
      </c>
      <c r="F484" s="11">
        <v>1.9665</v>
      </c>
      <c r="G484" s="11">
        <v>2.16</v>
      </c>
      <c r="H484" s="12">
        <v>1.95</v>
      </c>
    </row>
    <row r="485" spans="1:8">
      <c r="A485" s="7">
        <v>45419</v>
      </c>
      <c r="B485" s="11">
        <v>1.7028</v>
      </c>
      <c r="C485" s="11">
        <v>2.0994</v>
      </c>
      <c r="D485" s="11">
        <v>2.2896</v>
      </c>
      <c r="E485" s="11">
        <v>2.5413</v>
      </c>
      <c r="F485" s="11">
        <v>1.9347</v>
      </c>
      <c r="G485" s="11">
        <v>2.1312</v>
      </c>
      <c r="H485" s="12">
        <v>1.9</v>
      </c>
    </row>
    <row r="486" spans="1:8">
      <c r="A486" s="7">
        <v>45420</v>
      </c>
      <c r="B486" s="11">
        <v>1.7071</v>
      </c>
      <c r="C486" s="11">
        <v>2.1068</v>
      </c>
      <c r="D486" s="11">
        <v>2.2955</v>
      </c>
      <c r="E486" s="11">
        <v>2.55</v>
      </c>
      <c r="F486" s="11">
        <v>1.9272</v>
      </c>
      <c r="G486" s="11">
        <v>2.1213</v>
      </c>
      <c r="H486" s="12">
        <v>1.9</v>
      </c>
    </row>
    <row r="487" spans="1:8">
      <c r="A487" s="7">
        <v>45421</v>
      </c>
      <c r="B487" s="11">
        <v>1.7205</v>
      </c>
      <c r="C487" s="11">
        <v>2.1295</v>
      </c>
      <c r="D487" s="11">
        <v>2.3186</v>
      </c>
      <c r="E487" s="11">
        <v>2.5726</v>
      </c>
      <c r="F487" s="11">
        <v>1.9384</v>
      </c>
      <c r="G487" s="11">
        <v>2.1383</v>
      </c>
      <c r="H487" s="12">
        <v>1.9</v>
      </c>
    </row>
    <row r="488" spans="1:8">
      <c r="A488" s="7">
        <v>45422</v>
      </c>
      <c r="B488" s="11">
        <v>1.7044</v>
      </c>
      <c r="C488" s="11">
        <v>2.1301</v>
      </c>
      <c r="D488" s="11">
        <v>2.3122</v>
      </c>
      <c r="E488" s="11">
        <v>2.5826</v>
      </c>
      <c r="F488" s="11">
        <v>1.9312</v>
      </c>
      <c r="G488" s="11">
        <v>2.1455</v>
      </c>
      <c r="H488" s="12">
        <v>1.87</v>
      </c>
    </row>
    <row r="489" spans="1:8">
      <c r="A489" s="7">
        <v>45423</v>
      </c>
      <c r="B489" s="11">
        <v>1.7092</v>
      </c>
      <c r="C489" s="11">
        <v>2.1556</v>
      </c>
      <c r="D489" s="11">
        <v>2.3361</v>
      </c>
      <c r="E489" s="11">
        <v>2.6126</v>
      </c>
      <c r="F489" s="11">
        <v>1.94</v>
      </c>
      <c r="G489" s="11">
        <v>2.1686</v>
      </c>
      <c r="H489" s="12">
        <v>1.85</v>
      </c>
    </row>
    <row r="490" spans="1:8">
      <c r="A490" s="7">
        <v>45425</v>
      </c>
      <c r="B490" s="11">
        <v>1.6417</v>
      </c>
      <c r="C490" s="11">
        <v>2.096</v>
      </c>
      <c r="D490" s="11">
        <v>2.29</v>
      </c>
      <c r="E490" s="11">
        <v>2.5661</v>
      </c>
      <c r="F490" s="11">
        <v>1.886</v>
      </c>
      <c r="G490" s="11">
        <v>2.1094</v>
      </c>
      <c r="H490" s="12">
        <v>1.88</v>
      </c>
    </row>
    <row r="491" spans="1:8">
      <c r="A491" s="7">
        <v>45426</v>
      </c>
      <c r="B491" s="11">
        <v>1.6132</v>
      </c>
      <c r="C491" s="11">
        <v>2.086</v>
      </c>
      <c r="D491" s="11">
        <v>2.2938</v>
      </c>
      <c r="E491" s="11">
        <v>2.5631</v>
      </c>
      <c r="F491" s="11">
        <v>1.8673</v>
      </c>
      <c r="G491" s="11">
        <v>2.0697</v>
      </c>
      <c r="H491" s="12">
        <v>1.85</v>
      </c>
    </row>
    <row r="492" spans="1:8">
      <c r="A492" s="7">
        <v>45427</v>
      </c>
      <c r="B492" s="11">
        <v>1.6134</v>
      </c>
      <c r="C492" s="11">
        <v>2.0916</v>
      </c>
      <c r="D492" s="11">
        <v>2.302</v>
      </c>
      <c r="E492" s="11">
        <v>2.5681</v>
      </c>
      <c r="F492" s="11">
        <v>1.8813</v>
      </c>
      <c r="G492" s="11">
        <v>2.0837</v>
      </c>
      <c r="H492" s="12">
        <v>1.82</v>
      </c>
    </row>
    <row r="493" spans="1:8">
      <c r="A493" s="7">
        <v>45428</v>
      </c>
      <c r="B493" s="11">
        <v>1.628</v>
      </c>
      <c r="C493" s="11">
        <v>2.1035</v>
      </c>
      <c r="D493" s="11">
        <v>2.3147</v>
      </c>
      <c r="E493" s="11">
        <v>2.5811</v>
      </c>
      <c r="F493" s="11">
        <v>1.8841</v>
      </c>
      <c r="G493" s="11">
        <v>2.1038</v>
      </c>
      <c r="H493" s="12">
        <v>1.82</v>
      </c>
    </row>
    <row r="494" spans="1:8">
      <c r="A494" s="7">
        <v>45429</v>
      </c>
      <c r="B494" s="11">
        <v>1.6073</v>
      </c>
      <c r="C494" s="11">
        <v>2.0928</v>
      </c>
      <c r="D494" s="11">
        <v>2.3077</v>
      </c>
      <c r="E494" s="11">
        <v>2.5867</v>
      </c>
      <c r="F494" s="11">
        <v>1.8693</v>
      </c>
      <c r="G494" s="11">
        <v>2.1078</v>
      </c>
      <c r="H494" s="12">
        <v>1.8</v>
      </c>
    </row>
    <row r="495" spans="1:8">
      <c r="A495" s="7">
        <v>45432</v>
      </c>
      <c r="B495" s="11">
        <v>1.6136</v>
      </c>
      <c r="C495" s="11">
        <v>2.0983</v>
      </c>
      <c r="D495" s="11">
        <v>2.3105</v>
      </c>
      <c r="E495" s="11">
        <v>2.5917</v>
      </c>
      <c r="F495" s="11">
        <v>1.852</v>
      </c>
      <c r="G495" s="11">
        <v>2.0762</v>
      </c>
      <c r="H495" s="12">
        <v>1.81</v>
      </c>
    </row>
    <row r="496" spans="1:8">
      <c r="A496" s="7">
        <v>45433</v>
      </c>
      <c r="B496" s="11">
        <v>1.6129</v>
      </c>
      <c r="C496" s="11">
        <v>2.1028</v>
      </c>
      <c r="D496" s="11">
        <v>2.3141</v>
      </c>
      <c r="E496" s="11">
        <v>2.5927</v>
      </c>
      <c r="F496" s="11">
        <v>1.8687</v>
      </c>
      <c r="G496" s="11">
        <v>2.0846</v>
      </c>
      <c r="H496" s="12">
        <v>1.85</v>
      </c>
    </row>
    <row r="497" spans="1:8">
      <c r="A497" s="7">
        <v>45434</v>
      </c>
      <c r="B497" s="11">
        <v>1.6052</v>
      </c>
      <c r="C497" s="11">
        <v>2.0959</v>
      </c>
      <c r="D497" s="11">
        <v>2.3123</v>
      </c>
      <c r="E497" s="11">
        <v>2.57</v>
      </c>
      <c r="F497" s="11">
        <v>1.8624</v>
      </c>
      <c r="G497" s="11">
        <v>2.0692</v>
      </c>
      <c r="H497" s="12">
        <v>1.85</v>
      </c>
    </row>
    <row r="498" spans="1:8">
      <c r="A498" s="7">
        <v>45435</v>
      </c>
      <c r="B498" s="11">
        <v>1.6085</v>
      </c>
      <c r="C498" s="11">
        <v>2.0884</v>
      </c>
      <c r="D498" s="11">
        <v>2.3063</v>
      </c>
      <c r="E498" s="11">
        <v>2.5451</v>
      </c>
      <c r="F498" s="11">
        <v>1.8583</v>
      </c>
      <c r="G498" s="11">
        <v>2.0618</v>
      </c>
      <c r="H498" s="12">
        <v>1.83</v>
      </c>
    </row>
    <row r="499" spans="1:8">
      <c r="A499" s="7">
        <v>45436</v>
      </c>
      <c r="B499" s="11">
        <v>1.6375</v>
      </c>
      <c r="C499" s="11">
        <v>2.096</v>
      </c>
      <c r="D499" s="11">
        <v>2.3134</v>
      </c>
      <c r="E499" s="11">
        <v>2.5515</v>
      </c>
      <c r="F499" s="11">
        <v>1.8605</v>
      </c>
      <c r="G499" s="11">
        <v>2.0674</v>
      </c>
      <c r="H499" s="12">
        <v>1.82</v>
      </c>
    </row>
    <row r="500" spans="1:8">
      <c r="A500" s="7">
        <v>45439</v>
      </c>
      <c r="B500" s="11">
        <v>1.6612</v>
      </c>
      <c r="C500" s="11">
        <v>2.0961</v>
      </c>
      <c r="D500" s="11">
        <v>2.3084</v>
      </c>
      <c r="E500" s="11">
        <v>2.5452</v>
      </c>
      <c r="F500" s="11">
        <v>1.876</v>
      </c>
      <c r="G500" s="11">
        <v>2.0744</v>
      </c>
      <c r="H500" s="12">
        <v>1.95</v>
      </c>
    </row>
    <row r="501" spans="1:8">
      <c r="A501" s="7">
        <v>45440</v>
      </c>
      <c r="B501" s="11">
        <v>1.6552</v>
      </c>
      <c r="C501" s="11">
        <v>2.0871</v>
      </c>
      <c r="D501" s="11">
        <v>2.2994</v>
      </c>
      <c r="E501" s="11">
        <v>2.5302</v>
      </c>
      <c r="F501" s="11">
        <v>1.8631</v>
      </c>
      <c r="G501" s="11">
        <v>2.0566</v>
      </c>
      <c r="H501" s="12">
        <v>1.95</v>
      </c>
    </row>
    <row r="502" spans="1:8">
      <c r="A502" s="7">
        <v>45441</v>
      </c>
      <c r="B502" s="11">
        <v>1.6567</v>
      </c>
      <c r="C502" s="11">
        <v>2.0848</v>
      </c>
      <c r="D502" s="11">
        <v>2.2776</v>
      </c>
      <c r="E502" s="11">
        <v>2.5242</v>
      </c>
      <c r="F502" s="11">
        <v>1.8542</v>
      </c>
      <c r="G502" s="11">
        <v>2.0382</v>
      </c>
      <c r="H502" s="12">
        <v>1.98</v>
      </c>
    </row>
    <row r="503" spans="1:8">
      <c r="A503" s="7">
        <v>45442</v>
      </c>
      <c r="B503" s="11">
        <v>1.6531</v>
      </c>
      <c r="C503" s="11">
        <v>2.0862</v>
      </c>
      <c r="D503" s="11">
        <v>2.2826</v>
      </c>
      <c r="E503" s="11">
        <v>2.5327</v>
      </c>
      <c r="F503" s="11">
        <v>1.8482</v>
      </c>
      <c r="G503" s="11">
        <v>2.0451</v>
      </c>
      <c r="H503" s="12">
        <v>1.95</v>
      </c>
    </row>
    <row r="504" spans="1:8">
      <c r="A504" s="7">
        <v>45443</v>
      </c>
      <c r="B504" s="11">
        <v>1.6444</v>
      </c>
      <c r="C504" s="11">
        <v>2.085</v>
      </c>
      <c r="D504" s="11">
        <v>2.2926</v>
      </c>
      <c r="E504" s="11">
        <v>2.5552</v>
      </c>
      <c r="F504" s="11">
        <v>1.8437</v>
      </c>
      <c r="G504" s="11">
        <v>2.051</v>
      </c>
      <c r="H504" s="12">
        <v>1.88</v>
      </c>
    </row>
    <row r="505" spans="1:8">
      <c r="A505" s="7">
        <v>45446</v>
      </c>
      <c r="B505" s="11">
        <v>1.6457</v>
      </c>
      <c r="C505" s="11">
        <v>2.0699</v>
      </c>
      <c r="D505" s="11">
        <v>2.2853</v>
      </c>
      <c r="E505" s="11">
        <v>2.5473</v>
      </c>
      <c r="F505" s="11">
        <v>1.8358</v>
      </c>
      <c r="G505" s="11">
        <v>2.0455</v>
      </c>
      <c r="H505" s="12">
        <v>1.84</v>
      </c>
    </row>
    <row r="506" spans="1:8">
      <c r="A506" s="7">
        <v>45447</v>
      </c>
      <c r="B506" s="11">
        <v>1.6461</v>
      </c>
      <c r="C506" s="11">
        <v>2.0708</v>
      </c>
      <c r="D506" s="11">
        <v>2.2854</v>
      </c>
      <c r="E506" s="11">
        <v>2.5453</v>
      </c>
      <c r="F506" s="11">
        <v>1.8376</v>
      </c>
      <c r="G506" s="11">
        <v>2.0397</v>
      </c>
      <c r="H506" s="12">
        <v>1.83</v>
      </c>
    </row>
    <row r="507" spans="1:8">
      <c r="A507" s="7">
        <v>45448</v>
      </c>
      <c r="B507" s="11">
        <v>1.6319</v>
      </c>
      <c r="C507" s="11">
        <v>2.0573</v>
      </c>
      <c r="D507" s="11">
        <v>2.2808</v>
      </c>
      <c r="E507" s="11">
        <v>2.5378</v>
      </c>
      <c r="F507" s="11">
        <v>1.8299</v>
      </c>
      <c r="G507" s="11">
        <v>2.0254</v>
      </c>
      <c r="H507" s="12">
        <v>1.84</v>
      </c>
    </row>
    <row r="508" spans="1:8">
      <c r="A508" s="7">
        <v>45449</v>
      </c>
      <c r="B508" s="11">
        <v>1.6105</v>
      </c>
      <c r="C508" s="11">
        <v>2.0595</v>
      </c>
      <c r="D508" s="11">
        <v>2.2828</v>
      </c>
      <c r="E508" s="11">
        <v>2.5378</v>
      </c>
      <c r="F508" s="11">
        <v>1.828</v>
      </c>
      <c r="G508" s="11">
        <v>2.0216</v>
      </c>
      <c r="H508" s="12">
        <v>1.84</v>
      </c>
    </row>
    <row r="509" spans="1:8">
      <c r="A509" s="7">
        <v>45450</v>
      </c>
      <c r="B509" s="11">
        <v>1.604</v>
      </c>
      <c r="C509" s="11">
        <v>2.0598</v>
      </c>
      <c r="D509" s="11">
        <v>2.2833</v>
      </c>
      <c r="E509" s="11">
        <v>2.5303</v>
      </c>
      <c r="F509" s="11">
        <v>1.8267</v>
      </c>
      <c r="G509" s="11">
        <v>2.0164</v>
      </c>
      <c r="H509" s="12">
        <v>1.85</v>
      </c>
    </row>
    <row r="510" spans="1:8">
      <c r="A510" s="7">
        <v>45454</v>
      </c>
      <c r="B510" s="11">
        <v>1.599</v>
      </c>
      <c r="C510" s="11">
        <v>2.0555</v>
      </c>
      <c r="D510" s="11">
        <v>2.2791</v>
      </c>
      <c r="E510" s="11">
        <v>2.5195</v>
      </c>
      <c r="F510" s="11">
        <v>1.8255</v>
      </c>
      <c r="G510" s="11">
        <v>2.0049</v>
      </c>
      <c r="H510" s="12">
        <v>1.83</v>
      </c>
    </row>
    <row r="511" spans="1:8">
      <c r="A511" s="7">
        <v>45455</v>
      </c>
      <c r="B511" s="11">
        <v>1.599</v>
      </c>
      <c r="C511" s="11">
        <v>2.0634</v>
      </c>
      <c r="D511" s="11">
        <v>2.276</v>
      </c>
      <c r="E511" s="11">
        <v>2.5235</v>
      </c>
      <c r="F511" s="11">
        <v>1.8313</v>
      </c>
      <c r="G511" s="11">
        <v>2.0115</v>
      </c>
      <c r="H511" s="12">
        <v>1.83</v>
      </c>
    </row>
    <row r="512" spans="1:8">
      <c r="A512" s="9">
        <v>45456</v>
      </c>
      <c r="B512" s="12">
        <v>1.597</v>
      </c>
      <c r="C512" s="12">
        <v>2.0655</v>
      </c>
      <c r="D512" s="12">
        <v>2.2678</v>
      </c>
      <c r="E512" s="12">
        <v>2.5175</v>
      </c>
      <c r="F512" s="12">
        <v>1.8439</v>
      </c>
      <c r="G512" s="12">
        <v>2.0199</v>
      </c>
      <c r="H512" s="12">
        <v>1.83</v>
      </c>
    </row>
    <row r="513" ht="14.5" spans="1:8">
      <c r="A513" s="10">
        <v>45457</v>
      </c>
      <c r="B513" s="12">
        <v>1.594</v>
      </c>
      <c r="C513" s="12">
        <v>2.0588</v>
      </c>
      <c r="D513" s="12">
        <v>2.2558</v>
      </c>
      <c r="E513" s="12">
        <v>2.499</v>
      </c>
      <c r="F513" s="12">
        <v>1.8423</v>
      </c>
      <c r="G513" s="12">
        <v>2.0188</v>
      </c>
      <c r="H513" s="12">
        <v>1.83</v>
      </c>
    </row>
    <row r="514" spans="1:8">
      <c r="A514" s="9">
        <v>45460</v>
      </c>
      <c r="B514" s="12">
        <v>1.604</v>
      </c>
      <c r="C514" s="12">
        <v>2.0659</v>
      </c>
      <c r="D514" s="12">
        <v>2.2609</v>
      </c>
      <c r="E514" s="12">
        <v>2.5057</v>
      </c>
      <c r="F514" s="12">
        <v>1.853</v>
      </c>
      <c r="G514" s="12">
        <v>2.0252</v>
      </c>
      <c r="H514" s="12">
        <v>1.85</v>
      </c>
    </row>
    <row r="515" spans="1:8">
      <c r="A515" s="9">
        <v>45461</v>
      </c>
      <c r="B515" s="12">
        <v>1.604</v>
      </c>
      <c r="C515" s="12">
        <v>2.0568</v>
      </c>
      <c r="D515" s="12">
        <v>2.2537</v>
      </c>
      <c r="E515" s="12">
        <v>2.4887</v>
      </c>
      <c r="F515" s="12">
        <v>1.8544</v>
      </c>
      <c r="G515" s="12">
        <v>2.0206</v>
      </c>
      <c r="H515" s="12">
        <v>1.89</v>
      </c>
    </row>
    <row r="516" spans="1:8">
      <c r="A516" s="9">
        <v>45462</v>
      </c>
      <c r="B516" s="12">
        <v>1.599</v>
      </c>
      <c r="C516" s="12">
        <v>2.0236</v>
      </c>
      <c r="D516" s="12">
        <v>2.2429</v>
      </c>
      <c r="E516" s="12">
        <v>2.4797</v>
      </c>
      <c r="F516" s="12">
        <v>1.8499</v>
      </c>
      <c r="G516" s="12">
        <v>2.0109</v>
      </c>
      <c r="H516" s="12">
        <v>1.91</v>
      </c>
    </row>
    <row r="517" spans="1:8">
      <c r="A517" s="9">
        <v>45463</v>
      </c>
      <c r="B517" s="12">
        <v>1.599</v>
      </c>
      <c r="C517" s="12">
        <v>2.0289</v>
      </c>
      <c r="D517" s="12">
        <v>2.2445</v>
      </c>
      <c r="E517" s="12">
        <v>2.4708</v>
      </c>
      <c r="F517" s="12">
        <v>1.8395</v>
      </c>
      <c r="G517" s="12">
        <v>2.0009</v>
      </c>
      <c r="H517" s="12">
        <v>1.9</v>
      </c>
    </row>
    <row r="518" spans="1:8">
      <c r="A518" s="9">
        <v>45464</v>
      </c>
      <c r="B518" s="12">
        <v>1.5915</v>
      </c>
      <c r="C518" s="12">
        <v>2.039</v>
      </c>
      <c r="D518" s="12">
        <v>2.2571</v>
      </c>
      <c r="E518" s="12">
        <v>2.4797</v>
      </c>
      <c r="F518" s="12">
        <v>1.8579</v>
      </c>
      <c r="G518" s="12">
        <v>2.0119</v>
      </c>
      <c r="H518" s="12">
        <v>2.03</v>
      </c>
    </row>
    <row r="519" spans="1:8">
      <c r="A519" s="9">
        <v>45467</v>
      </c>
      <c r="B519" s="12">
        <v>1.5915</v>
      </c>
      <c r="C519" s="12">
        <v>2.0255</v>
      </c>
      <c r="D519" s="12">
        <v>2.2451</v>
      </c>
      <c r="E519" s="12">
        <v>2.4607</v>
      </c>
      <c r="F519" s="12">
        <v>1.861</v>
      </c>
      <c r="G519" s="12">
        <v>2.0059</v>
      </c>
      <c r="H519" s="12">
        <v>2.35</v>
      </c>
    </row>
    <row r="520" spans="1:8">
      <c r="A520" s="9">
        <v>45468</v>
      </c>
      <c r="B520" s="12">
        <v>1.5615</v>
      </c>
      <c r="C520" s="12">
        <v>2.0159</v>
      </c>
      <c r="D520" s="12">
        <v>2.235</v>
      </c>
      <c r="E520" s="12">
        <v>2.4477</v>
      </c>
      <c r="F520" s="12">
        <v>1.8433</v>
      </c>
      <c r="G520" s="12">
        <v>1.9824</v>
      </c>
      <c r="H520" s="12">
        <v>2.3</v>
      </c>
    </row>
    <row r="521" spans="1:8">
      <c r="A521" s="9">
        <v>45469</v>
      </c>
      <c r="B521" s="12">
        <v>1.544</v>
      </c>
      <c r="C521" s="12">
        <v>1.9987</v>
      </c>
      <c r="D521" s="12">
        <v>2.2225</v>
      </c>
      <c r="E521" s="12">
        <v>2.4442</v>
      </c>
      <c r="F521" s="12">
        <v>1.8474</v>
      </c>
      <c r="G521" s="12">
        <v>1.9815</v>
      </c>
      <c r="H521" s="12">
        <v>2.3</v>
      </c>
    </row>
    <row r="522" spans="1:8">
      <c r="A522" s="9">
        <v>45470</v>
      </c>
      <c r="B522" s="12">
        <v>1.549</v>
      </c>
      <c r="C522" s="12">
        <v>1.9769</v>
      </c>
      <c r="D522" s="12">
        <v>2.2081</v>
      </c>
      <c r="E522" s="12">
        <v>2.4282</v>
      </c>
      <c r="F522" s="12">
        <v>1.8306</v>
      </c>
      <c r="G522" s="12">
        <v>1.9634</v>
      </c>
      <c r="H522" s="12">
        <v>2.35</v>
      </c>
    </row>
    <row r="523" spans="1:8">
      <c r="A523" s="9">
        <v>45471</v>
      </c>
      <c r="B523" s="12">
        <v>1.539</v>
      </c>
      <c r="C523" s="12">
        <v>1.9782</v>
      </c>
      <c r="D523" s="12">
        <v>2.2058</v>
      </c>
      <c r="E523" s="12">
        <v>2.4282</v>
      </c>
      <c r="F523" s="12">
        <v>1.834</v>
      </c>
      <c r="G523" s="12">
        <v>1.965</v>
      </c>
      <c r="H523" s="12">
        <v>2.3</v>
      </c>
    </row>
    <row r="524" spans="1:8">
      <c r="A524" s="9">
        <v>45474</v>
      </c>
      <c r="B524" s="12">
        <v>1.5565</v>
      </c>
      <c r="C524" s="12">
        <v>2.02</v>
      </c>
      <c r="D524" s="12">
        <v>2.2486</v>
      </c>
      <c r="E524" s="12">
        <v>2.4782</v>
      </c>
      <c r="F524" s="12">
        <v>1.8448</v>
      </c>
      <c r="G524" s="12">
        <v>1.991</v>
      </c>
      <c r="H524" s="12">
        <v>1.95</v>
      </c>
    </row>
    <row r="525" spans="1:8">
      <c r="A525" s="9">
        <v>45475</v>
      </c>
      <c r="B525" s="12">
        <v>1.5365</v>
      </c>
      <c r="C525" s="12">
        <v>1.9875</v>
      </c>
      <c r="D525" s="12">
        <v>2.2369</v>
      </c>
      <c r="E525" s="12">
        <v>2.4692</v>
      </c>
      <c r="F525" s="12">
        <v>1.8503</v>
      </c>
      <c r="G525" s="12">
        <v>1.9934</v>
      </c>
      <c r="H525" s="12">
        <v>1.85</v>
      </c>
    </row>
    <row r="526" spans="1:8">
      <c r="A526" s="9">
        <v>45476</v>
      </c>
      <c r="B526" s="12">
        <v>1.524</v>
      </c>
      <c r="C526" s="12">
        <v>1.9589</v>
      </c>
      <c r="D526" s="12">
        <v>2.2426</v>
      </c>
      <c r="E526" s="12">
        <v>2.4738</v>
      </c>
      <c r="F526" s="12">
        <v>1.8512</v>
      </c>
      <c r="G526" s="12">
        <v>1.9784</v>
      </c>
      <c r="H526" s="12">
        <v>1.85</v>
      </c>
    </row>
    <row r="527" spans="1:8">
      <c r="A527" s="9">
        <v>45477</v>
      </c>
      <c r="B527" s="12">
        <v>1.529</v>
      </c>
      <c r="C527" s="12">
        <v>1.9711</v>
      </c>
      <c r="D527" s="12">
        <v>2.2502</v>
      </c>
      <c r="E527" s="12">
        <v>2.4798</v>
      </c>
      <c r="F527" s="12">
        <v>1.8518</v>
      </c>
      <c r="G527" s="12">
        <v>1.9887</v>
      </c>
      <c r="H527" s="12">
        <v>1.83</v>
      </c>
    </row>
    <row r="528" spans="1:8">
      <c r="A528" s="9">
        <v>45478</v>
      </c>
      <c r="B528" s="12">
        <v>1.529</v>
      </c>
      <c r="C528" s="12">
        <v>1.9995</v>
      </c>
      <c r="D528" s="12">
        <v>2.2754</v>
      </c>
      <c r="E528" s="12">
        <v>2.513</v>
      </c>
      <c r="F528" s="12">
        <v>1.8663</v>
      </c>
      <c r="G528" s="12">
        <v>2.0092</v>
      </c>
      <c r="H528" s="12">
        <v>1.85</v>
      </c>
    </row>
    <row r="529" spans="1:8">
      <c r="A529" s="9">
        <v>45481</v>
      </c>
      <c r="B529" s="12">
        <v>1.579</v>
      </c>
      <c r="C529" s="12">
        <v>2.0347</v>
      </c>
      <c r="D529" s="12">
        <v>2.2904</v>
      </c>
      <c r="E529" s="12">
        <v>2.5205</v>
      </c>
      <c r="F529" s="12">
        <v>1.8916</v>
      </c>
      <c r="G529" s="12">
        <v>2.048</v>
      </c>
      <c r="H529" s="12">
        <v>1.87</v>
      </c>
    </row>
    <row r="530" spans="1:8">
      <c r="A530" s="9">
        <v>45482</v>
      </c>
      <c r="B530" s="12">
        <v>1.554</v>
      </c>
      <c r="C530" s="12">
        <v>2.0074</v>
      </c>
      <c r="D530" s="12">
        <v>2.2698</v>
      </c>
      <c r="E530" s="12">
        <v>2.5017</v>
      </c>
      <c r="F530" s="12">
        <v>1.8726</v>
      </c>
      <c r="G530" s="12">
        <v>2.0167</v>
      </c>
      <c r="H530" s="12">
        <v>1.87</v>
      </c>
    </row>
    <row r="531" spans="1:8">
      <c r="A531" s="9">
        <v>45483</v>
      </c>
      <c r="B531" s="12">
        <v>1.5515</v>
      </c>
      <c r="C531" s="12">
        <v>2.0131</v>
      </c>
      <c r="D531" s="12">
        <v>2.2707</v>
      </c>
      <c r="E531" s="12">
        <v>2.5068</v>
      </c>
      <c r="F531" s="12">
        <v>1.8636</v>
      </c>
      <c r="G531" s="12">
        <v>2.0067</v>
      </c>
      <c r="H531" s="12">
        <v>1.85</v>
      </c>
    </row>
    <row r="532" spans="1:8">
      <c r="A532" s="9">
        <v>45484</v>
      </c>
      <c r="B532" s="12">
        <v>1.539</v>
      </c>
      <c r="C532" s="12">
        <v>2.0064</v>
      </c>
      <c r="D532" s="12">
        <v>2.2648</v>
      </c>
      <c r="E532" s="12">
        <v>2.5025</v>
      </c>
      <c r="F532" s="12">
        <v>1.8532</v>
      </c>
      <c r="G532" s="12">
        <v>1.9946</v>
      </c>
      <c r="H532" s="12">
        <v>1.83</v>
      </c>
    </row>
    <row r="533" spans="1:8">
      <c r="A533" s="9">
        <v>45485</v>
      </c>
      <c r="B533" s="12">
        <v>1.539</v>
      </c>
      <c r="C533" s="12">
        <v>2.0016</v>
      </c>
      <c r="D533" s="12">
        <v>2.2604</v>
      </c>
      <c r="E533" s="12">
        <v>2.4921</v>
      </c>
      <c r="F533" s="12">
        <v>1.8421</v>
      </c>
      <c r="G533" s="12">
        <v>1.9779</v>
      </c>
      <c r="H533" s="12">
        <v>1.84</v>
      </c>
    </row>
    <row r="534" spans="1:8">
      <c r="A534" s="9">
        <v>45488</v>
      </c>
      <c r="B534" s="12">
        <v>1.5365</v>
      </c>
      <c r="C534" s="12">
        <v>1.9891</v>
      </c>
      <c r="D534" s="12">
        <v>2.2541</v>
      </c>
      <c r="E534" s="12">
        <v>2.4772</v>
      </c>
      <c r="F534" s="12">
        <v>1.847</v>
      </c>
      <c r="G534" s="12">
        <v>1.9757</v>
      </c>
      <c r="H534" s="12">
        <v>1.85</v>
      </c>
    </row>
    <row r="535" spans="1:8">
      <c r="A535" s="9">
        <v>45489</v>
      </c>
      <c r="B535" s="12">
        <v>1.529</v>
      </c>
      <c r="C535" s="12">
        <v>1.9841</v>
      </c>
      <c r="D535" s="12">
        <v>2.2613</v>
      </c>
      <c r="E535" s="12">
        <v>2.4801</v>
      </c>
      <c r="F535" s="12">
        <v>1.8509</v>
      </c>
      <c r="G535" s="12">
        <v>1.9846</v>
      </c>
      <c r="H535" s="12">
        <v>1.92</v>
      </c>
    </row>
    <row r="536" spans="1:8">
      <c r="A536" s="9">
        <v>45490</v>
      </c>
      <c r="B536" s="12">
        <v>1.524</v>
      </c>
      <c r="C536" s="12">
        <v>1.9579</v>
      </c>
      <c r="D536" s="12">
        <v>2.2598</v>
      </c>
      <c r="E536" s="12">
        <v>2.4812</v>
      </c>
      <c r="F536" s="12">
        <v>1.849</v>
      </c>
      <c r="G536" s="12">
        <v>1.9796</v>
      </c>
      <c r="H536" s="12">
        <v>1.9</v>
      </c>
    </row>
    <row r="537" spans="1:8">
      <c r="A537" s="9">
        <v>45491</v>
      </c>
      <c r="B537" s="12">
        <v>1.5315</v>
      </c>
      <c r="C537" s="12">
        <v>1.9607</v>
      </c>
      <c r="D537" s="12">
        <v>2.2673</v>
      </c>
      <c r="E537" s="12">
        <v>2.4901</v>
      </c>
      <c r="F537" s="12">
        <v>1.8456</v>
      </c>
      <c r="G537" s="12">
        <v>1.9816</v>
      </c>
      <c r="H537" s="12">
        <v>1.9</v>
      </c>
    </row>
    <row r="538" spans="1:8">
      <c r="A538" s="9">
        <v>45492</v>
      </c>
      <c r="B538" s="12">
        <v>1.5265</v>
      </c>
      <c r="C538" s="12">
        <v>1.9534</v>
      </c>
      <c r="D538" s="12">
        <v>2.2614</v>
      </c>
      <c r="E538" s="12">
        <v>2.4842</v>
      </c>
      <c r="F538" s="12">
        <v>1.8365</v>
      </c>
      <c r="G538" s="12">
        <v>1.9685</v>
      </c>
      <c r="H538" s="12">
        <v>1.9</v>
      </c>
    </row>
    <row r="539" spans="1:8">
      <c r="A539" s="9">
        <v>45495</v>
      </c>
      <c r="B539" s="12">
        <v>1.488</v>
      </c>
      <c r="C539" s="12">
        <v>1.9141</v>
      </c>
      <c r="D539" s="12">
        <v>2.2461</v>
      </c>
      <c r="E539" s="12">
        <v>2.4712</v>
      </c>
      <c r="F539" s="12">
        <v>1.7721</v>
      </c>
      <c r="G539" s="12">
        <v>1.918</v>
      </c>
      <c r="H539" s="12">
        <v>1.85</v>
      </c>
    </row>
    <row r="540" spans="1:8">
      <c r="A540" s="9">
        <v>45496</v>
      </c>
      <c r="B540" s="12">
        <v>1.4705</v>
      </c>
      <c r="C540" s="12">
        <v>1.8918</v>
      </c>
      <c r="D540" s="12">
        <v>2.2322</v>
      </c>
      <c r="E540" s="12">
        <v>2.4691</v>
      </c>
      <c r="F540" s="12">
        <v>1.7618</v>
      </c>
      <c r="G540" s="12">
        <v>1.898</v>
      </c>
      <c r="H540" s="12">
        <v>1.85</v>
      </c>
    </row>
    <row r="541" spans="1:8">
      <c r="A541" s="9">
        <v>45497</v>
      </c>
      <c r="B541" s="12">
        <v>1.4655</v>
      </c>
      <c r="C541" s="12">
        <v>1.8972</v>
      </c>
      <c r="D541" s="12">
        <v>2.2381</v>
      </c>
      <c r="E541" s="12">
        <v>2.4676</v>
      </c>
      <c r="F541" s="12">
        <v>1.7576</v>
      </c>
      <c r="G541" s="12">
        <v>1.8902</v>
      </c>
      <c r="H541" s="12">
        <v>1.85</v>
      </c>
    </row>
    <row r="542" spans="1:8">
      <c r="A542" s="9">
        <v>45498</v>
      </c>
      <c r="B542" s="12">
        <v>1.465</v>
      </c>
      <c r="C542" s="12">
        <v>1.8923</v>
      </c>
      <c r="D542" s="12">
        <v>2.2168</v>
      </c>
      <c r="E542" s="12">
        <v>2.4357</v>
      </c>
      <c r="F542" s="12">
        <v>1.7528</v>
      </c>
      <c r="G542" s="12">
        <v>1.8689</v>
      </c>
      <c r="H542" s="12">
        <v>2</v>
      </c>
    </row>
    <row r="543" spans="1:8">
      <c r="A543" s="9">
        <v>45499</v>
      </c>
      <c r="B543" s="12">
        <v>1.4769</v>
      </c>
      <c r="C543" s="12">
        <v>1.8976</v>
      </c>
      <c r="D543" s="12">
        <v>2.1944</v>
      </c>
      <c r="E543" s="12">
        <v>2.4226</v>
      </c>
      <c r="F543" s="12">
        <v>1.751</v>
      </c>
      <c r="G543" s="12">
        <v>1.8687</v>
      </c>
      <c r="H543" s="12">
        <v>1.99</v>
      </c>
    </row>
    <row r="544" spans="1:8">
      <c r="A544" s="9">
        <v>45502</v>
      </c>
      <c r="B544" s="12">
        <v>1.45</v>
      </c>
      <c r="C544" s="12">
        <v>1.8933</v>
      </c>
      <c r="D544" s="12">
        <v>2.1574</v>
      </c>
      <c r="E544" s="12">
        <v>2.39</v>
      </c>
      <c r="F544" s="12">
        <v>1.7502</v>
      </c>
      <c r="G544" s="12">
        <v>1.8661</v>
      </c>
      <c r="H544" s="12">
        <v>1.95</v>
      </c>
    </row>
    <row r="545" spans="1:8">
      <c r="A545" s="9">
        <v>45503</v>
      </c>
      <c r="B545" s="12">
        <v>1.43</v>
      </c>
      <c r="C545" s="12">
        <v>1.8836</v>
      </c>
      <c r="D545" s="12">
        <v>2.148</v>
      </c>
      <c r="E545" s="12">
        <v>2.3765</v>
      </c>
      <c r="F545" s="12">
        <v>1.7399</v>
      </c>
      <c r="G545" s="12">
        <v>1.8586</v>
      </c>
      <c r="H545" s="12">
        <v>1.93</v>
      </c>
    </row>
    <row r="546" spans="1:8">
      <c r="A546" s="9">
        <v>45504</v>
      </c>
      <c r="B546" s="12">
        <v>1.4201</v>
      </c>
      <c r="C546" s="12">
        <v>1.849</v>
      </c>
      <c r="D546" s="12">
        <v>2.1494</v>
      </c>
      <c r="E546" s="12">
        <v>2.3825</v>
      </c>
      <c r="F546" s="12">
        <v>1.7185</v>
      </c>
      <c r="G546" s="12">
        <v>1.837</v>
      </c>
      <c r="H546" s="12">
        <v>1.9</v>
      </c>
    </row>
    <row r="547" spans="1:8">
      <c r="A547" s="9">
        <v>45505</v>
      </c>
      <c r="B547" s="12">
        <v>1.4101</v>
      </c>
      <c r="C547" s="12">
        <v>1.8262</v>
      </c>
      <c r="D547" s="12">
        <v>2.1297</v>
      </c>
      <c r="E547" s="12">
        <v>2.3651</v>
      </c>
      <c r="F547" s="12">
        <v>1.7188</v>
      </c>
      <c r="G547" s="12">
        <v>1.8282</v>
      </c>
      <c r="H547" s="12">
        <v>1.85</v>
      </c>
    </row>
    <row r="548" spans="1:8">
      <c r="A548" s="9">
        <v>45506</v>
      </c>
      <c r="B548" s="12">
        <v>1.3901</v>
      </c>
      <c r="C548" s="12">
        <v>1.8188</v>
      </c>
      <c r="D548" s="12">
        <v>2.1277</v>
      </c>
      <c r="E548" s="12">
        <v>2.3465</v>
      </c>
      <c r="F548" s="12">
        <v>1.7135</v>
      </c>
      <c r="G548" s="12">
        <v>1.8193</v>
      </c>
      <c r="H548" s="12">
        <v>1.82</v>
      </c>
    </row>
    <row r="549" spans="1:8">
      <c r="A549" s="9">
        <v>45509</v>
      </c>
      <c r="B549" s="12">
        <v>1.3902</v>
      </c>
      <c r="C549" s="12">
        <v>1.8144</v>
      </c>
      <c r="D549" s="12">
        <v>2.1376</v>
      </c>
      <c r="E549" s="12">
        <v>2.3375</v>
      </c>
      <c r="F549" s="12">
        <v>1.7122</v>
      </c>
      <c r="G549" s="12">
        <v>1.8077</v>
      </c>
      <c r="H549" s="12">
        <v>1.8</v>
      </c>
    </row>
    <row r="550" spans="1:8">
      <c r="A550" s="9">
        <v>45510</v>
      </c>
      <c r="B550" s="12">
        <v>1.4103</v>
      </c>
      <c r="C550" s="12">
        <v>1.817</v>
      </c>
      <c r="D550" s="12">
        <v>2.1491</v>
      </c>
      <c r="E550" s="12">
        <v>2.355</v>
      </c>
      <c r="F550" s="12">
        <v>1.7265</v>
      </c>
      <c r="G550" s="12">
        <v>1.835</v>
      </c>
      <c r="H550" s="12">
        <v>1.84</v>
      </c>
    </row>
    <row r="551" spans="1:8">
      <c r="A551" s="9">
        <v>45511</v>
      </c>
      <c r="B551" s="12">
        <v>1.4065</v>
      </c>
      <c r="C551" s="12">
        <v>1.7995</v>
      </c>
      <c r="D551" s="12">
        <v>2.1414</v>
      </c>
      <c r="E551" s="12">
        <v>2.335</v>
      </c>
      <c r="F551" s="12">
        <v>1.7242</v>
      </c>
      <c r="G551" s="12">
        <v>1.8221</v>
      </c>
      <c r="H551" s="12">
        <v>1.83</v>
      </c>
    </row>
    <row r="552" spans="1:8">
      <c r="A552" s="9">
        <v>45512</v>
      </c>
      <c r="B552" s="12">
        <v>1.4268</v>
      </c>
      <c r="C552" s="12">
        <v>1.8349</v>
      </c>
      <c r="D552" s="12">
        <v>2.181</v>
      </c>
      <c r="E552" s="12">
        <v>2.37</v>
      </c>
      <c r="F552" s="12">
        <v>1.743</v>
      </c>
      <c r="G552" s="12">
        <v>1.848</v>
      </c>
      <c r="H552" s="12">
        <v>1.85</v>
      </c>
    </row>
    <row r="553" spans="1:8">
      <c r="A553" s="9">
        <v>45513</v>
      </c>
      <c r="B553" s="12">
        <v>1.4562</v>
      </c>
      <c r="C553" s="12">
        <v>1.8706</v>
      </c>
      <c r="D553" s="12">
        <v>2.1986</v>
      </c>
      <c r="E553" s="12">
        <v>2.38</v>
      </c>
      <c r="F553" s="12">
        <v>1.7574</v>
      </c>
      <c r="G553" s="12">
        <v>1.8676</v>
      </c>
      <c r="H553" s="12">
        <v>1.86</v>
      </c>
    </row>
    <row r="554" spans="1:8">
      <c r="A554" s="9">
        <v>45516</v>
      </c>
      <c r="B554" s="12">
        <v>1.5283</v>
      </c>
      <c r="C554" s="12">
        <v>1.9358</v>
      </c>
      <c r="D554" s="12">
        <v>2.2508</v>
      </c>
      <c r="E554" s="12">
        <v>2.435</v>
      </c>
      <c r="F554" s="12">
        <v>1.7911</v>
      </c>
      <c r="G554" s="12">
        <v>1.9009</v>
      </c>
      <c r="H554" s="12">
        <v>1.92</v>
      </c>
    </row>
    <row r="555" spans="1:8">
      <c r="A555" s="9">
        <v>45517</v>
      </c>
      <c r="B555" s="12">
        <v>1.5008</v>
      </c>
      <c r="C555" s="12">
        <v>1.9011</v>
      </c>
      <c r="D555" s="12">
        <v>2.2255</v>
      </c>
      <c r="E555" s="12">
        <v>2.4075</v>
      </c>
      <c r="F555" s="12">
        <v>1.7678</v>
      </c>
      <c r="G555" s="12">
        <v>1.866</v>
      </c>
      <c r="H555" s="12">
        <v>1.95</v>
      </c>
    </row>
    <row r="556" spans="1:8">
      <c r="A556" s="9">
        <v>45518</v>
      </c>
      <c r="B556" s="12">
        <v>1.5059</v>
      </c>
      <c r="C556" s="12">
        <v>1.8858</v>
      </c>
      <c r="D556" s="12">
        <v>2.1966</v>
      </c>
      <c r="E556" s="12">
        <v>2.3751</v>
      </c>
      <c r="F556" s="12">
        <v>1.7389</v>
      </c>
      <c r="G556" s="12">
        <v>1.8304</v>
      </c>
      <c r="H556" s="12">
        <v>1.92</v>
      </c>
    </row>
    <row r="557" spans="1:8">
      <c r="A557" s="9">
        <v>45519</v>
      </c>
      <c r="B557" s="12">
        <v>1.5211</v>
      </c>
      <c r="C557" s="12">
        <v>1.9058</v>
      </c>
      <c r="D557" s="12">
        <v>2.205</v>
      </c>
      <c r="E557" s="12">
        <v>2.39</v>
      </c>
      <c r="F557" s="12">
        <v>1.7524</v>
      </c>
      <c r="G557" s="12">
        <v>1.8393</v>
      </c>
      <c r="H557" s="12">
        <v>1.9</v>
      </c>
    </row>
    <row r="558" spans="1:8">
      <c r="A558" s="9">
        <v>45520</v>
      </c>
      <c r="B558" s="12">
        <v>1.5341</v>
      </c>
      <c r="C558" s="12">
        <v>1.8901</v>
      </c>
      <c r="D558" s="12">
        <v>2.1978</v>
      </c>
      <c r="E558" s="12">
        <v>2.39</v>
      </c>
      <c r="F558" s="12">
        <v>1.75</v>
      </c>
      <c r="G558" s="12">
        <v>1.8353</v>
      </c>
      <c r="H558" s="12">
        <v>1.86</v>
      </c>
    </row>
    <row r="559" spans="1:8">
      <c r="A559" s="9">
        <v>45523</v>
      </c>
      <c r="B559" s="12">
        <v>1.5406</v>
      </c>
      <c r="C559" s="12">
        <v>1.8834</v>
      </c>
      <c r="D559" s="12">
        <v>2.1816</v>
      </c>
      <c r="E559" s="12">
        <v>2.3675</v>
      </c>
      <c r="F559" s="12">
        <v>1.7506</v>
      </c>
      <c r="G559" s="12">
        <v>1.8315</v>
      </c>
      <c r="H559" s="12">
        <v>1.85</v>
      </c>
    </row>
    <row r="560" spans="1:8">
      <c r="A560" s="9">
        <v>45524</v>
      </c>
      <c r="B560" s="12">
        <v>1.5535</v>
      </c>
      <c r="C560" s="12">
        <v>1.8859</v>
      </c>
      <c r="D560" s="12">
        <v>2.171</v>
      </c>
      <c r="E560" s="12">
        <v>2.36</v>
      </c>
      <c r="F560" s="12">
        <v>1.7561</v>
      </c>
      <c r="G560" s="12">
        <v>1.8253</v>
      </c>
      <c r="H560" s="12">
        <v>1.86</v>
      </c>
    </row>
    <row r="561" spans="1:8">
      <c r="A561" s="9">
        <v>45525</v>
      </c>
      <c r="B561" s="12">
        <v>1.5443</v>
      </c>
      <c r="C561" s="12">
        <v>1.8761</v>
      </c>
      <c r="D561" s="12">
        <v>2.167</v>
      </c>
      <c r="E561" s="12">
        <v>2.3551</v>
      </c>
      <c r="F561" s="12">
        <v>1.7826</v>
      </c>
      <c r="G561" s="12">
        <v>1.8453</v>
      </c>
      <c r="H561" s="12">
        <v>1.88</v>
      </c>
    </row>
    <row r="562" spans="1:8">
      <c r="A562" s="9">
        <v>45526</v>
      </c>
      <c r="B562" s="12">
        <v>1.5211</v>
      </c>
      <c r="C562" s="12">
        <v>1.8726</v>
      </c>
      <c r="D562" s="12">
        <v>2.1582</v>
      </c>
      <c r="E562" s="12">
        <v>2.3476</v>
      </c>
      <c r="F562" s="12">
        <v>1.7816</v>
      </c>
      <c r="G562" s="12">
        <v>1.8302</v>
      </c>
      <c r="H562" s="12">
        <v>1.91</v>
      </c>
    </row>
    <row r="563" spans="1:8">
      <c r="A563" s="9">
        <v>45527</v>
      </c>
      <c r="B563" s="12">
        <v>1.4973</v>
      </c>
      <c r="C563" s="12">
        <v>1.8487</v>
      </c>
      <c r="D563" s="12">
        <v>2.1547</v>
      </c>
      <c r="E563" s="12">
        <v>2.3401</v>
      </c>
      <c r="F563" s="12">
        <v>1.784</v>
      </c>
      <c r="G563" s="12">
        <v>1.8384</v>
      </c>
      <c r="H563" s="12">
        <v>1.92</v>
      </c>
    </row>
    <row r="564" spans="1:8">
      <c r="A564" s="9">
        <v>45530</v>
      </c>
      <c r="B564" s="12">
        <v>1.5042</v>
      </c>
      <c r="C564" s="12">
        <v>1.8447</v>
      </c>
      <c r="D564" s="12">
        <v>2.1628</v>
      </c>
      <c r="E564" s="12">
        <v>2.3475</v>
      </c>
      <c r="F564" s="12">
        <v>1.7584</v>
      </c>
      <c r="G564" s="12">
        <v>1.8289</v>
      </c>
      <c r="H564" s="12">
        <v>2.05</v>
      </c>
    </row>
    <row r="565" spans="1:8">
      <c r="A565" s="9">
        <v>45531</v>
      </c>
      <c r="B565" s="12">
        <v>1.5073</v>
      </c>
      <c r="C565" s="12">
        <v>1.8658</v>
      </c>
      <c r="D565" s="12">
        <v>2.1903</v>
      </c>
      <c r="E565" s="12">
        <v>2.3825</v>
      </c>
      <c r="F565" s="12">
        <v>1.7676</v>
      </c>
      <c r="G565" s="12">
        <v>1.8489</v>
      </c>
      <c r="H565" s="12">
        <v>2</v>
      </c>
    </row>
    <row r="566" spans="1:8">
      <c r="A566" s="9">
        <v>45532</v>
      </c>
      <c r="B566" s="12">
        <v>1.4963</v>
      </c>
      <c r="C566" s="12">
        <v>1.8552</v>
      </c>
      <c r="D566" s="12">
        <v>2.1673</v>
      </c>
      <c r="E566" s="12">
        <v>2.355</v>
      </c>
      <c r="F566" s="12">
        <v>1.763</v>
      </c>
      <c r="G566" s="12">
        <v>1.8466</v>
      </c>
      <c r="H566" s="12">
        <v>1.9</v>
      </c>
    </row>
    <row r="567" spans="1:8">
      <c r="A567" s="9">
        <v>45533</v>
      </c>
      <c r="B567" s="12">
        <v>1.4912</v>
      </c>
      <c r="C567" s="12">
        <v>1.8671</v>
      </c>
      <c r="D567" s="12">
        <v>2.1703</v>
      </c>
      <c r="E567" s="12">
        <v>2.365</v>
      </c>
      <c r="F567" s="12">
        <v>1.7561</v>
      </c>
      <c r="G567" s="12">
        <v>1.8398</v>
      </c>
      <c r="H567" s="12">
        <v>1.9</v>
      </c>
    </row>
    <row r="568" spans="1:8">
      <c r="A568" s="9">
        <v>45534</v>
      </c>
      <c r="B568" s="12">
        <v>1.49</v>
      </c>
      <c r="C568" s="12">
        <v>1.8522</v>
      </c>
      <c r="D568" s="12">
        <v>2.1704</v>
      </c>
      <c r="E568" s="12">
        <v>2.3651</v>
      </c>
      <c r="F568" s="12">
        <v>1.7538</v>
      </c>
      <c r="G568" s="12">
        <v>1.8548</v>
      </c>
      <c r="H568" s="12">
        <v>1.87</v>
      </c>
    </row>
    <row r="569" spans="1:8">
      <c r="A569" s="9">
        <v>45537</v>
      </c>
      <c r="B569" s="12">
        <v>1.465</v>
      </c>
      <c r="C569" s="12">
        <v>1.8085</v>
      </c>
      <c r="D569" s="12">
        <v>2.1457</v>
      </c>
      <c r="E569" s="12">
        <v>2.3425</v>
      </c>
      <c r="F569" s="12">
        <v>1.7177</v>
      </c>
      <c r="G569" s="12">
        <v>1.8088</v>
      </c>
      <c r="H569" s="12">
        <v>1.85</v>
      </c>
    </row>
    <row r="570" spans="1:8">
      <c r="A570" s="9">
        <v>45538</v>
      </c>
      <c r="B570" s="12">
        <v>1.43</v>
      </c>
      <c r="C570" s="12">
        <v>1.7853</v>
      </c>
      <c r="D570" s="12">
        <v>2.1432</v>
      </c>
      <c r="E570" s="12">
        <v>2.339</v>
      </c>
      <c r="F570" s="12">
        <v>1.7107</v>
      </c>
      <c r="G570" s="12">
        <v>1.7886</v>
      </c>
      <c r="H570" s="12">
        <v>1.86</v>
      </c>
    </row>
    <row r="571" spans="1:8">
      <c r="A571" s="9">
        <v>45539</v>
      </c>
      <c r="B571" s="12">
        <v>1.455</v>
      </c>
      <c r="C571" s="12">
        <v>1.775</v>
      </c>
      <c r="D571" s="12">
        <v>2.1336</v>
      </c>
      <c r="E571" s="12">
        <v>2.3225</v>
      </c>
      <c r="F571" s="12">
        <v>1.7072</v>
      </c>
      <c r="G571" s="12">
        <v>1.7663</v>
      </c>
      <c r="H571" s="12">
        <v>1.9</v>
      </c>
    </row>
    <row r="572" spans="1:8">
      <c r="A572" s="9">
        <v>45540</v>
      </c>
      <c r="B572" s="12">
        <v>1.4475</v>
      </c>
      <c r="C572" s="12">
        <v>1.7761</v>
      </c>
      <c r="D572" s="12">
        <v>2.1338</v>
      </c>
      <c r="E572" s="12">
        <v>2.3125</v>
      </c>
      <c r="F572" s="12">
        <v>1.6992</v>
      </c>
      <c r="G572" s="12">
        <v>1.7473</v>
      </c>
      <c r="H572" s="12">
        <v>1.89</v>
      </c>
    </row>
    <row r="573" spans="1:8">
      <c r="A573" s="9">
        <v>45541</v>
      </c>
      <c r="B573" s="12">
        <v>1.4352</v>
      </c>
      <c r="C573" s="12">
        <v>1.779</v>
      </c>
      <c r="D573" s="12">
        <v>2.1388</v>
      </c>
      <c r="E573" s="12">
        <v>2.309</v>
      </c>
      <c r="F573" s="12">
        <v>1.6958</v>
      </c>
      <c r="G573" s="12">
        <v>1.7519</v>
      </c>
      <c r="H573" s="12">
        <v>1.9</v>
      </c>
    </row>
    <row r="574" spans="1:8">
      <c r="A574" s="9">
        <v>45544</v>
      </c>
      <c r="B574" s="12">
        <v>1.4152</v>
      </c>
      <c r="C574" s="12">
        <v>1.77</v>
      </c>
      <c r="D574" s="12">
        <v>2.1267</v>
      </c>
      <c r="E574" s="12">
        <v>2.29</v>
      </c>
      <c r="F574" s="12">
        <v>1.7022</v>
      </c>
      <c r="G574" s="12">
        <v>1.7408</v>
      </c>
      <c r="H574" s="12">
        <v>1.93</v>
      </c>
    </row>
    <row r="575" spans="1:8">
      <c r="A575" s="9">
        <v>45545</v>
      </c>
      <c r="B575" s="12">
        <v>1.3552</v>
      </c>
      <c r="C575" s="12">
        <v>1.7497</v>
      </c>
      <c r="D575" s="12">
        <v>2.1143</v>
      </c>
      <c r="E575" s="12">
        <v>2.267</v>
      </c>
      <c r="F575" s="12">
        <v>1.6969</v>
      </c>
      <c r="G575" s="12">
        <v>1.7191</v>
      </c>
      <c r="H575" s="12">
        <v>1.95</v>
      </c>
    </row>
    <row r="576" spans="1:8">
      <c r="A576" s="9">
        <v>45546</v>
      </c>
      <c r="B576" s="12">
        <v>1.3285</v>
      </c>
      <c r="C576" s="12">
        <v>1.7175</v>
      </c>
      <c r="D576" s="12">
        <v>2.1044</v>
      </c>
      <c r="E576" s="12">
        <v>2.263</v>
      </c>
      <c r="F576" s="12">
        <v>1.6987</v>
      </c>
      <c r="G576" s="12">
        <v>1.7101</v>
      </c>
      <c r="H576" s="12">
        <v>1.94</v>
      </c>
    </row>
    <row r="577" spans="1:8">
      <c r="A577" s="9">
        <v>45547</v>
      </c>
      <c r="B577" s="12">
        <v>1.326</v>
      </c>
      <c r="C577" s="12">
        <v>1.7232</v>
      </c>
      <c r="D577" s="12">
        <v>2.0998</v>
      </c>
      <c r="E577" s="12">
        <v>2.2471</v>
      </c>
      <c r="F577" s="12">
        <v>1.7086</v>
      </c>
      <c r="G577" s="12">
        <v>1.7218</v>
      </c>
      <c r="H577" s="12">
        <v>1.9</v>
      </c>
    </row>
    <row r="578" spans="1:8">
      <c r="A578" s="9">
        <v>45548</v>
      </c>
      <c r="B578" s="12">
        <v>1.326</v>
      </c>
      <c r="C578" s="12">
        <v>1.7205</v>
      </c>
      <c r="D578" s="12">
        <v>2.0724</v>
      </c>
      <c r="E578" s="12">
        <v>2.2176</v>
      </c>
      <c r="F578" s="12">
        <v>1.7171</v>
      </c>
      <c r="G578" s="12">
        <v>1.7174</v>
      </c>
      <c r="H578" s="12">
        <v>1.95</v>
      </c>
    </row>
    <row r="579" spans="1:8">
      <c r="A579" s="9">
        <v>45549</v>
      </c>
      <c r="B579" s="12">
        <v>1.331</v>
      </c>
      <c r="C579" s="12">
        <v>1.7009</v>
      </c>
      <c r="D579" s="12">
        <v>2.0425</v>
      </c>
      <c r="E579" s="12">
        <v>2.183</v>
      </c>
      <c r="F579" s="12">
        <v>1.71</v>
      </c>
      <c r="G579" s="12"/>
      <c r="H579" s="12">
        <v>1.8</v>
      </c>
    </row>
    <row r="580" spans="1:8">
      <c r="A580" s="9">
        <v>45553</v>
      </c>
      <c r="B580" s="12">
        <v>1.366</v>
      </c>
      <c r="C580" s="12">
        <v>1.7217</v>
      </c>
      <c r="D580" s="12">
        <v>2.0403</v>
      </c>
      <c r="E580" s="12">
        <v>2.165</v>
      </c>
      <c r="F580" s="12">
        <v>1.7107</v>
      </c>
      <c r="G580" s="12">
        <v>1.6963</v>
      </c>
      <c r="H580" s="12">
        <v>1.9</v>
      </c>
    </row>
    <row r="581" spans="1:8">
      <c r="A581" s="9">
        <v>45554</v>
      </c>
      <c r="B581" s="12">
        <v>1.391</v>
      </c>
      <c r="C581" s="12">
        <v>1.7411</v>
      </c>
      <c r="D581" s="12">
        <v>2.045</v>
      </c>
      <c r="E581" s="12">
        <v>2.17</v>
      </c>
      <c r="F581" s="12">
        <v>1.7201</v>
      </c>
      <c r="G581" s="12">
        <v>1.7055</v>
      </c>
      <c r="H581" s="12">
        <v>2</v>
      </c>
    </row>
    <row r="582" spans="1:8">
      <c r="A582" s="9">
        <v>45555</v>
      </c>
      <c r="B582" s="12">
        <v>1.391</v>
      </c>
      <c r="C582" s="12">
        <v>1.7281</v>
      </c>
      <c r="D582" s="12">
        <v>2.0431</v>
      </c>
      <c r="E582" s="12">
        <v>2.15</v>
      </c>
      <c r="F582" s="12">
        <v>1.7201</v>
      </c>
      <c r="G582" s="12">
        <v>1.702</v>
      </c>
      <c r="H582" s="12">
        <v>2</v>
      </c>
    </row>
    <row r="583" spans="1:8">
      <c r="A583" s="9">
        <v>45558</v>
      </c>
      <c r="B583" s="12">
        <v>1.3879</v>
      </c>
      <c r="C583" s="12">
        <v>1.7314</v>
      </c>
      <c r="D583" s="12">
        <v>2.0381</v>
      </c>
      <c r="E583" s="12">
        <v>2.14</v>
      </c>
      <c r="F583" s="12">
        <v>1.7273</v>
      </c>
      <c r="G583" s="12">
        <v>1.7027</v>
      </c>
      <c r="H583" s="12">
        <v>2</v>
      </c>
    </row>
    <row r="584" spans="1:8">
      <c r="A584" s="9">
        <v>45559</v>
      </c>
      <c r="B584" s="12">
        <v>1.4179</v>
      </c>
      <c r="C584" s="12">
        <v>1.7521</v>
      </c>
      <c r="D584" s="12">
        <v>2.0728</v>
      </c>
      <c r="E584" s="12">
        <v>2.19</v>
      </c>
      <c r="F584" s="12">
        <v>1.6675</v>
      </c>
      <c r="G584" s="12">
        <v>1.6928</v>
      </c>
      <c r="H584" s="12">
        <v>2.05</v>
      </c>
    </row>
    <row r="585" spans="1:8">
      <c r="A585" s="9">
        <v>45560</v>
      </c>
      <c r="B585" s="12">
        <v>1.3879</v>
      </c>
      <c r="C585" s="12">
        <v>1.6995</v>
      </c>
      <c r="D585" s="12">
        <v>2.0437</v>
      </c>
      <c r="E585" s="12">
        <v>2.155</v>
      </c>
      <c r="F585" s="12">
        <v>1.6255</v>
      </c>
      <c r="G585" s="12">
        <v>1.683</v>
      </c>
      <c r="H585" s="12">
        <v>2</v>
      </c>
    </row>
    <row r="586" spans="1:8">
      <c r="A586" s="9">
        <v>45561</v>
      </c>
      <c r="B586" s="12">
        <v>1.4029</v>
      </c>
      <c r="C586" s="12">
        <v>1.7316</v>
      </c>
      <c r="D586" s="12">
        <v>2.0787</v>
      </c>
      <c r="E586" s="12">
        <v>2.22</v>
      </c>
      <c r="F586" s="12">
        <v>1.6123</v>
      </c>
      <c r="G586" s="12">
        <v>1.6764</v>
      </c>
      <c r="H586" s="12">
        <v>2.05</v>
      </c>
    </row>
    <row r="587" spans="1:8">
      <c r="A587" s="9">
        <v>45562</v>
      </c>
      <c r="B587" s="12">
        <v>1.4379</v>
      </c>
      <c r="C587" s="12">
        <v>1.8312</v>
      </c>
      <c r="D587" s="12">
        <v>2.1714</v>
      </c>
      <c r="E587" s="12">
        <v>2.3475</v>
      </c>
      <c r="F587" s="12">
        <v>1.6131</v>
      </c>
      <c r="G587" s="12">
        <v>1.7623</v>
      </c>
      <c r="H587" s="12">
        <v>1.9</v>
      </c>
    </row>
    <row r="588" spans="1:8">
      <c r="A588" s="9">
        <v>45564</v>
      </c>
      <c r="B588" s="12">
        <v>1.4379</v>
      </c>
      <c r="C588" s="12">
        <v>1.9312</v>
      </c>
      <c r="D588" s="12">
        <v>2.2534</v>
      </c>
      <c r="E588" s="12">
        <v>2.435</v>
      </c>
      <c r="F588" s="12">
        <v>1.6612</v>
      </c>
      <c r="G588" s="12">
        <v>1.8893</v>
      </c>
      <c r="H588" s="12">
        <v>1.8</v>
      </c>
    </row>
    <row r="589" spans="1:8">
      <c r="A589" s="9">
        <v>45565</v>
      </c>
      <c r="B589" s="12">
        <v>1.3679</v>
      </c>
      <c r="C589" s="12">
        <v>1.8388</v>
      </c>
      <c r="D589" s="12">
        <v>2.1518</v>
      </c>
      <c r="E589" s="12">
        <v>2.355</v>
      </c>
      <c r="F589" s="12">
        <v>1.6431</v>
      </c>
      <c r="G589" s="12">
        <v>1.8394</v>
      </c>
      <c r="H589" s="12">
        <v>2.4</v>
      </c>
    </row>
    <row r="590" spans="1:8">
      <c r="A590" s="9">
        <v>45573</v>
      </c>
      <c r="B590" s="12">
        <v>1.3729</v>
      </c>
      <c r="C590" s="12">
        <v>1.9106</v>
      </c>
      <c r="D590" s="12">
        <v>2.1928</v>
      </c>
      <c r="E590" s="12">
        <v>2.38</v>
      </c>
      <c r="F590" s="12">
        <v>1.6655</v>
      </c>
      <c r="G590" s="12">
        <v>1.8396</v>
      </c>
      <c r="H590" s="12">
        <v>1.9</v>
      </c>
    </row>
    <row r="591" spans="1:8">
      <c r="A591" s="9">
        <v>45574</v>
      </c>
      <c r="B591" s="12">
        <v>1.4279</v>
      </c>
      <c r="C591" s="12">
        <v>1.8886</v>
      </c>
      <c r="D591" s="12">
        <v>2.176</v>
      </c>
      <c r="E591" s="12">
        <v>2.3576</v>
      </c>
      <c r="F591" s="12">
        <v>1.7126</v>
      </c>
      <c r="G591" s="12">
        <v>1.8454</v>
      </c>
      <c r="H591" s="12">
        <v>2.05</v>
      </c>
    </row>
    <row r="592" spans="1:8">
      <c r="A592" s="9">
        <v>45575</v>
      </c>
      <c r="B592" s="12">
        <v>1.4379</v>
      </c>
      <c r="C592" s="12">
        <v>1.8326</v>
      </c>
      <c r="D592" s="12">
        <v>2.1441</v>
      </c>
      <c r="E592" s="12">
        <v>2.29</v>
      </c>
      <c r="F592" s="12">
        <v>1.6885</v>
      </c>
      <c r="G592" s="12">
        <v>1.794</v>
      </c>
      <c r="H592" s="12">
        <v>2.1</v>
      </c>
    </row>
    <row r="593" spans="1:8">
      <c r="A593" s="9">
        <v>45576</v>
      </c>
      <c r="B593" s="12">
        <v>1.4429</v>
      </c>
      <c r="C593" s="12">
        <v>1.8171</v>
      </c>
      <c r="D593" s="12">
        <v>2.1392</v>
      </c>
      <c r="E593" s="12">
        <v>2.3</v>
      </c>
      <c r="F593" s="12">
        <v>1.6549</v>
      </c>
      <c r="G593" s="12">
        <v>1.7669</v>
      </c>
      <c r="H593" s="12">
        <v>1.9</v>
      </c>
    </row>
    <row r="594" spans="1:8">
      <c r="A594" s="9">
        <v>45577</v>
      </c>
      <c r="B594" s="12">
        <v>1.4179</v>
      </c>
      <c r="C594" s="12">
        <v>1.8122</v>
      </c>
      <c r="D594" s="12">
        <v>2.1441</v>
      </c>
      <c r="E594" s="12">
        <v>2.3</v>
      </c>
      <c r="F594" s="12">
        <v>1.6637</v>
      </c>
      <c r="G594" s="12">
        <v>1.7798</v>
      </c>
      <c r="H594" s="12">
        <v>1.57</v>
      </c>
    </row>
    <row r="595" spans="1:8">
      <c r="A595" s="9">
        <v>45579</v>
      </c>
      <c r="B595" s="12">
        <v>1.4479</v>
      </c>
      <c r="C595" s="12">
        <v>1.819</v>
      </c>
      <c r="D595" s="12">
        <v>2.1368</v>
      </c>
      <c r="E595" s="12">
        <v>2.3126</v>
      </c>
      <c r="F595" s="12">
        <v>1.6561</v>
      </c>
      <c r="G595" s="12">
        <v>1.7687</v>
      </c>
      <c r="H595" s="12">
        <v>1.92</v>
      </c>
    </row>
    <row r="596" spans="1:8">
      <c r="A596" s="9">
        <v>45580</v>
      </c>
      <c r="B596" s="12">
        <v>1.4504</v>
      </c>
      <c r="C596" s="12">
        <v>1.8065</v>
      </c>
      <c r="D596" s="12">
        <v>2.1254</v>
      </c>
      <c r="E596" s="12">
        <v>2.3125</v>
      </c>
      <c r="F596" s="12">
        <v>1.6666</v>
      </c>
      <c r="G596" s="12">
        <v>1.7616</v>
      </c>
      <c r="H596" s="12">
        <v>1.88</v>
      </c>
    </row>
    <row r="597" spans="1:8">
      <c r="A597" s="9">
        <v>45581</v>
      </c>
      <c r="B597" s="12">
        <v>1.4504</v>
      </c>
      <c r="C597" s="12">
        <v>1.8215</v>
      </c>
      <c r="D597" s="12">
        <v>2.1331</v>
      </c>
      <c r="E597" s="12">
        <v>2.328</v>
      </c>
      <c r="F597" s="12">
        <v>1.6801</v>
      </c>
      <c r="G597" s="12">
        <v>1.7503</v>
      </c>
      <c r="H597" s="12">
        <v>1.9</v>
      </c>
    </row>
    <row r="598" spans="1:8">
      <c r="A598" s="9">
        <v>45582</v>
      </c>
      <c r="B598" s="12">
        <v>1.4279</v>
      </c>
      <c r="C598" s="12">
        <v>1.7805</v>
      </c>
      <c r="D598" s="12">
        <v>2.1084</v>
      </c>
      <c r="E598" s="12">
        <v>2.295</v>
      </c>
      <c r="F598" s="12">
        <v>1.6891</v>
      </c>
      <c r="G598" s="12">
        <v>1.7361</v>
      </c>
      <c r="H598" s="12">
        <v>1.88</v>
      </c>
    </row>
    <row r="599" spans="1:8">
      <c r="A599" s="9">
        <v>45583</v>
      </c>
      <c r="B599" s="12">
        <v>1.4329</v>
      </c>
      <c r="C599" s="12">
        <v>1.7882</v>
      </c>
      <c r="D599" s="12">
        <v>2.1209</v>
      </c>
      <c r="E599" s="12">
        <v>2.305</v>
      </c>
      <c r="F599" s="12">
        <v>1.69</v>
      </c>
      <c r="G599" s="12">
        <v>1.7382</v>
      </c>
      <c r="H599" s="12">
        <v>1.85</v>
      </c>
    </row>
    <row r="600" spans="1:8">
      <c r="A600" s="9">
        <v>45586</v>
      </c>
      <c r="B600" s="12">
        <v>1.4354</v>
      </c>
      <c r="C600" s="12">
        <v>1.7938</v>
      </c>
      <c r="D600" s="12">
        <v>2.1211</v>
      </c>
      <c r="E600" s="12">
        <v>2.3075</v>
      </c>
      <c r="F600" s="12">
        <v>1.696</v>
      </c>
      <c r="G600" s="12">
        <v>1.7557</v>
      </c>
      <c r="H600" s="12">
        <v>1.92</v>
      </c>
    </row>
    <row r="601" spans="1:8">
      <c r="A601" s="9">
        <v>45587</v>
      </c>
      <c r="B601" s="12">
        <v>1.4349</v>
      </c>
      <c r="C601" s="12">
        <v>1.8316</v>
      </c>
      <c r="D601" s="12">
        <v>2.1458</v>
      </c>
      <c r="E601" s="12">
        <v>2.34</v>
      </c>
      <c r="F601" s="12">
        <v>1.7191</v>
      </c>
      <c r="G601" s="12">
        <v>1.7778</v>
      </c>
      <c r="H601" s="12">
        <v>1.92</v>
      </c>
    </row>
    <row r="602" spans="1:8">
      <c r="A602" s="9">
        <v>45588</v>
      </c>
      <c r="B602" s="12">
        <v>1.4254</v>
      </c>
      <c r="C602" s="12">
        <v>1.8443</v>
      </c>
      <c r="D602" s="12">
        <v>2.1559</v>
      </c>
      <c r="E602" s="12">
        <v>2.355</v>
      </c>
      <c r="F602" s="12">
        <v>1.737</v>
      </c>
      <c r="G602" s="12">
        <v>1.8105</v>
      </c>
      <c r="H602" s="12">
        <v>1.9</v>
      </c>
    </row>
    <row r="603" spans="1:8">
      <c r="A603" s="9">
        <v>45589</v>
      </c>
      <c r="B603" s="12">
        <v>1.4302</v>
      </c>
      <c r="C603" s="12">
        <v>1.8521</v>
      </c>
      <c r="D603" s="12">
        <v>2.1661</v>
      </c>
      <c r="E603" s="12">
        <v>2.355</v>
      </c>
      <c r="F603" s="12">
        <v>1.7297</v>
      </c>
      <c r="G603" s="12">
        <v>1.812</v>
      </c>
      <c r="H603" s="12">
        <v>1.9</v>
      </c>
    </row>
    <row r="604" spans="1:8">
      <c r="A604" s="9">
        <v>45590</v>
      </c>
      <c r="B604" s="12">
        <v>1.4169</v>
      </c>
      <c r="C604" s="12">
        <v>1.8428</v>
      </c>
      <c r="D604" s="12">
        <v>2.1539</v>
      </c>
      <c r="E604" s="12">
        <v>2.36</v>
      </c>
      <c r="F604" s="12">
        <v>1.7315</v>
      </c>
      <c r="G604" s="12">
        <v>1.8217</v>
      </c>
      <c r="H604" s="12">
        <v>2</v>
      </c>
    </row>
    <row r="605" spans="1:8">
      <c r="A605" s="9">
        <v>45593</v>
      </c>
      <c r="B605" s="12">
        <v>1.407</v>
      </c>
      <c r="C605" s="12">
        <v>1.8336</v>
      </c>
      <c r="D605" s="12">
        <v>2.1617</v>
      </c>
      <c r="E605" s="12">
        <v>2.38</v>
      </c>
      <c r="F605" s="12">
        <v>1.7142</v>
      </c>
      <c r="G605" s="12">
        <v>1.8114</v>
      </c>
      <c r="H605" s="12">
        <v>1.93</v>
      </c>
    </row>
    <row r="606" spans="1:8">
      <c r="A606" s="9">
        <v>45594</v>
      </c>
      <c r="B606" s="12">
        <v>1.4367</v>
      </c>
      <c r="C606" s="12">
        <v>1.8291</v>
      </c>
      <c r="D606" s="12">
        <v>2.1598</v>
      </c>
      <c r="E606" s="12">
        <v>2.366</v>
      </c>
      <c r="F606" s="12">
        <v>1.7064</v>
      </c>
      <c r="G606" s="12">
        <v>1.7985</v>
      </c>
      <c r="H606" s="12">
        <v>1.9</v>
      </c>
    </row>
    <row r="607" spans="1:8">
      <c r="A607" s="9">
        <v>45595</v>
      </c>
      <c r="B607" s="12">
        <v>1.4461</v>
      </c>
      <c r="C607" s="12">
        <v>1.822</v>
      </c>
      <c r="D607" s="12">
        <v>2.1597</v>
      </c>
      <c r="E607" s="12">
        <v>2.36</v>
      </c>
      <c r="F607" s="12">
        <v>1.7115</v>
      </c>
      <c r="G607" s="12">
        <v>1.7952</v>
      </c>
      <c r="H607" s="12">
        <v>1.9</v>
      </c>
    </row>
    <row r="608" spans="1:8">
      <c r="A608" s="9">
        <v>45596</v>
      </c>
      <c r="B608" s="12">
        <v>1.426</v>
      </c>
      <c r="C608" s="12">
        <v>1.7947</v>
      </c>
      <c r="D608" s="12">
        <v>2.1476</v>
      </c>
      <c r="E608" s="12">
        <v>2.335</v>
      </c>
      <c r="F608" s="12">
        <v>1.7156</v>
      </c>
      <c r="G608" s="12">
        <v>1.7998</v>
      </c>
      <c r="H608" s="12">
        <v>1.87</v>
      </c>
    </row>
    <row r="609" spans="1:8">
      <c r="A609" s="9">
        <v>45597</v>
      </c>
      <c r="B609" s="12">
        <v>1.4065</v>
      </c>
      <c r="C609" s="12">
        <v>1.7674</v>
      </c>
      <c r="D609" s="12">
        <v>2.1406</v>
      </c>
      <c r="E609" s="12">
        <v>2.3175</v>
      </c>
      <c r="F609" s="12">
        <v>1.6841</v>
      </c>
      <c r="G609" s="12">
        <v>1.7819</v>
      </c>
      <c r="H609" s="12">
        <v>1.79</v>
      </c>
    </row>
    <row r="610" spans="1:8">
      <c r="A610" s="9">
        <v>45600</v>
      </c>
      <c r="B610" s="12">
        <v>1.4044</v>
      </c>
      <c r="C610" s="12">
        <v>1.7786</v>
      </c>
      <c r="D610" s="12">
        <v>2.1275</v>
      </c>
      <c r="E610" s="12">
        <v>2.305</v>
      </c>
      <c r="F610" s="12">
        <v>1.6728</v>
      </c>
      <c r="G610" s="12">
        <v>1.7739</v>
      </c>
      <c r="H610" s="12">
        <v>1.78</v>
      </c>
    </row>
    <row r="611" spans="1:8">
      <c r="A611" s="9">
        <v>45601</v>
      </c>
      <c r="B611" s="12">
        <v>1.4077</v>
      </c>
      <c r="C611" s="12">
        <v>1.7691</v>
      </c>
      <c r="D611" s="12">
        <v>2.1106</v>
      </c>
      <c r="E611" s="12">
        <v>2.2825</v>
      </c>
      <c r="F611" s="12">
        <v>1.6725</v>
      </c>
      <c r="G611" s="12">
        <v>1.77</v>
      </c>
      <c r="H611" s="12">
        <v>1.79</v>
      </c>
    </row>
    <row r="612" spans="1:8">
      <c r="A612" s="9">
        <v>45602</v>
      </c>
      <c r="B612" s="12">
        <v>1.4103</v>
      </c>
      <c r="C612" s="12">
        <v>1.7748</v>
      </c>
      <c r="D612" s="12">
        <v>2.1234</v>
      </c>
      <c r="E612" s="12">
        <v>2.29</v>
      </c>
      <c r="F612" s="12">
        <v>1.669</v>
      </c>
      <c r="G612" s="12">
        <v>1.7504</v>
      </c>
      <c r="H612" s="12">
        <v>1.79</v>
      </c>
    </row>
    <row r="613" spans="1:8">
      <c r="A613" s="9">
        <v>45603</v>
      </c>
      <c r="B613" s="12">
        <v>1.4022</v>
      </c>
      <c r="C613" s="12">
        <v>1.7552</v>
      </c>
      <c r="D613" s="12">
        <v>2.1115</v>
      </c>
      <c r="E613" s="12">
        <v>2.28</v>
      </c>
      <c r="F613" s="12">
        <v>1.6471</v>
      </c>
      <c r="G613" s="12">
        <v>1.7354</v>
      </c>
      <c r="H613" s="12">
        <v>1.8</v>
      </c>
    </row>
    <row r="614" spans="1:8">
      <c r="A614" s="9">
        <v>45604</v>
      </c>
      <c r="B614" s="12">
        <v>1.4062</v>
      </c>
      <c r="C614" s="12">
        <v>1.7427</v>
      </c>
      <c r="D614" s="12">
        <v>2.1067</v>
      </c>
      <c r="E614" s="12">
        <v>2.2775</v>
      </c>
      <c r="F614" s="12">
        <v>1.651</v>
      </c>
      <c r="G614" s="12">
        <v>1.7244</v>
      </c>
      <c r="H614" s="12">
        <v>1.8</v>
      </c>
    </row>
    <row r="615" spans="1:8">
      <c r="A615" s="9">
        <v>45607</v>
      </c>
      <c r="B615" s="12">
        <v>1.4032</v>
      </c>
      <c r="C615" s="12">
        <v>1.7409</v>
      </c>
      <c r="D615" s="12">
        <v>2.092</v>
      </c>
      <c r="E615" s="12">
        <v>2.2575</v>
      </c>
      <c r="F615" s="12">
        <v>1.6617</v>
      </c>
      <c r="G615" s="12">
        <v>1.7164</v>
      </c>
      <c r="H615" s="12">
        <v>1.88</v>
      </c>
    </row>
    <row r="616" spans="1:8">
      <c r="A616" s="9">
        <v>45608</v>
      </c>
      <c r="B616" s="12">
        <v>1.4008</v>
      </c>
      <c r="C616" s="12">
        <v>1.713</v>
      </c>
      <c r="D616" s="12">
        <v>2.0729</v>
      </c>
      <c r="E616" s="12">
        <v>2.236</v>
      </c>
      <c r="F616" s="12">
        <v>1.6502</v>
      </c>
      <c r="G616" s="12">
        <v>1.6915</v>
      </c>
      <c r="H616" s="12">
        <v>1.9</v>
      </c>
    </row>
    <row r="617" spans="1:8">
      <c r="A617" s="9">
        <v>45609</v>
      </c>
      <c r="B617" s="12">
        <v>1.4028</v>
      </c>
      <c r="C617" s="12">
        <v>1.7186</v>
      </c>
      <c r="D617" s="12">
        <v>2.0876</v>
      </c>
      <c r="E617" s="12">
        <v>2.26</v>
      </c>
      <c r="F617" s="12">
        <v>1.6563</v>
      </c>
      <c r="G617" s="12">
        <v>1.6934</v>
      </c>
      <c r="H617" s="12">
        <v>1.9</v>
      </c>
    </row>
    <row r="618" spans="1:8">
      <c r="A618" s="9">
        <v>45610</v>
      </c>
      <c r="B618" s="12">
        <v>1.391</v>
      </c>
      <c r="C618" s="12">
        <v>1.7065</v>
      </c>
      <c r="D618" s="12">
        <v>2.0808</v>
      </c>
      <c r="E618" s="12">
        <v>2.261</v>
      </c>
      <c r="F618" s="12">
        <v>1.6515</v>
      </c>
      <c r="G618" s="12">
        <v>1.6958</v>
      </c>
      <c r="H618" s="12">
        <v>1.89</v>
      </c>
    </row>
    <row r="619" spans="1:8">
      <c r="A619" s="9">
        <v>45611</v>
      </c>
      <c r="B619" s="12">
        <v>1.3875</v>
      </c>
      <c r="C619" s="12">
        <v>1.7099</v>
      </c>
      <c r="D619" s="12">
        <v>2.0948</v>
      </c>
      <c r="E619" s="12">
        <v>2.2825</v>
      </c>
      <c r="F619" s="12">
        <v>1.6461</v>
      </c>
      <c r="G619" s="12">
        <v>1.6859</v>
      </c>
      <c r="H619" s="12">
        <v>1.85</v>
      </c>
    </row>
    <row r="620" spans="1:8">
      <c r="A620" s="9">
        <v>45614</v>
      </c>
      <c r="B620" s="12">
        <v>1.3703</v>
      </c>
      <c r="C620" s="12">
        <v>1.724</v>
      </c>
      <c r="D620" s="12">
        <v>2.1117</v>
      </c>
      <c r="E620" s="12">
        <v>2.3175</v>
      </c>
      <c r="F620" s="12">
        <v>1.6745</v>
      </c>
      <c r="G620" s="12">
        <v>1.716</v>
      </c>
      <c r="H620" s="12">
        <v>1.85</v>
      </c>
    </row>
    <row r="621" spans="1:8">
      <c r="A621" s="9">
        <v>45615</v>
      </c>
      <c r="B621" s="12">
        <v>1.3579</v>
      </c>
      <c r="C621" s="12">
        <v>1.7122</v>
      </c>
      <c r="D621" s="12">
        <v>2.0947</v>
      </c>
      <c r="E621" s="12">
        <v>2.286</v>
      </c>
      <c r="F621" s="12">
        <v>1.671</v>
      </c>
      <c r="G621" s="12">
        <v>1.7123</v>
      </c>
      <c r="H621" s="12">
        <v>1.84</v>
      </c>
    </row>
    <row r="622" spans="1:8">
      <c r="A622" s="9">
        <v>45616</v>
      </c>
      <c r="B622" s="12">
        <v>1.348</v>
      </c>
      <c r="C622" s="12">
        <v>1.7074</v>
      </c>
      <c r="D622" s="12">
        <v>2.1025</v>
      </c>
      <c r="E622" s="12">
        <v>2.305</v>
      </c>
      <c r="F622" s="12">
        <v>1.6661</v>
      </c>
      <c r="G622" s="12">
        <v>1.7044</v>
      </c>
      <c r="H622" s="12">
        <v>1.84</v>
      </c>
    </row>
    <row r="623" spans="1:8">
      <c r="A623" s="9">
        <v>45617</v>
      </c>
      <c r="B623" s="12">
        <v>1.3479</v>
      </c>
      <c r="C623" s="12">
        <v>1.6977</v>
      </c>
      <c r="D623" s="12">
        <v>2.0843</v>
      </c>
      <c r="E623" s="12">
        <v>2.2751</v>
      </c>
      <c r="F623" s="12"/>
      <c r="G623" s="12"/>
      <c r="H623" s="12">
        <v>1.84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2"/>
  <sheetViews>
    <sheetView topLeftCell="A597" workbookViewId="0">
      <selection activeCell="B4" sqref="B4:G622"/>
    </sheetView>
  </sheetViews>
  <sheetFormatPr defaultColWidth="8.72727272727273" defaultRowHeight="14" outlineLevelCol="6"/>
  <cols>
    <col min="1" max="1" width="15" customWidth="1"/>
  </cols>
  <sheetData>
    <row r="1" spans="1:1">
      <c r="A1" s="6" t="s">
        <v>0</v>
      </c>
    </row>
    <row r="2" spans="1:1">
      <c r="A2" s="7">
        <v>44713</v>
      </c>
    </row>
    <row r="3" spans="1:1">
      <c r="A3" s="7">
        <v>44714</v>
      </c>
    </row>
    <row r="4" spans="1:7">
      <c r="A4" s="7">
        <v>44718</v>
      </c>
      <c r="B4" t="e">
        <f>-中国_中债国债到期收益率_1年!B3+中国_中债国债到期收益率_1年!B2</f>
        <v>#NAME?</v>
      </c>
      <c r="C4">
        <f>-中国_中债国债到期收益率_1年!C3+中国_中债国债到期收益率_1年!C2</f>
        <v>-0.00360000000000005</v>
      </c>
      <c r="D4">
        <f>-中国_中债国债到期收益率_1年!D3+中国_中债国债到期收益率_1年!D2</f>
        <v>-0.00499999999999989</v>
      </c>
      <c r="E4">
        <f>-中国_中债国债到期收益率_1年!E3+中国_中债国债到期收益率_1年!E2</f>
        <v>-0.00260000000000016</v>
      </c>
      <c r="F4">
        <f>-中国_中债国债到期收益率_1年!F3+中国_中债国债到期收益率_1年!F2</f>
        <v>-0.0101999999999998</v>
      </c>
      <c r="G4">
        <f>-中国_中债国债到期收益率_1年!G3+中国_中债国债到期收益率_1年!G2</f>
        <v>-0.0143</v>
      </c>
    </row>
    <row r="5" spans="1:7">
      <c r="A5" s="7">
        <v>44719</v>
      </c>
      <c r="B5">
        <f>-中国_中债国债到期收益率_1年!B4+中国_中债国债到期收益率_1年!B3</f>
        <v>-0.0634999999999999</v>
      </c>
      <c r="C5">
        <f>-中国_中债国债到期收益率_1年!C4+中国_中债国债到期收益率_1年!C3</f>
        <v>-0.0364</v>
      </c>
      <c r="D5">
        <f>-中国_中债国债到期收益率_1年!D4+中国_中债国债到期收益率_1年!D3</f>
        <v>-0.0175000000000001</v>
      </c>
      <c r="E5">
        <f>-中国_中债国债到期收益率_1年!E4+中国_中债国债到期收益率_1年!E3</f>
        <v>-0.00760000000000005</v>
      </c>
      <c r="F5">
        <f>-中国_中债国债到期收益率_1年!F4+中国_中债国债到期收益率_1年!F3</f>
        <v>-0.0207999999999999</v>
      </c>
      <c r="G5">
        <f>-中国_中债国债到期收益率_1年!G4+中国_中债国债到期收益率_1年!G3</f>
        <v>-0.0186000000000002</v>
      </c>
    </row>
    <row r="6" spans="1:7">
      <c r="A6" s="7">
        <v>44720</v>
      </c>
      <c r="B6">
        <f>-中国_中债国债到期收益率_1年!B5+中国_中债国债到期收益率_1年!B4</f>
        <v>0.00190000000000001</v>
      </c>
      <c r="C6">
        <f>-中国_中债国债到期收益率_1年!C5+中国_中债国债到期收益率_1年!C4</f>
        <v>0.0152000000000001</v>
      </c>
      <c r="D6">
        <f>-中国_中债国债到期收益率_1年!D5+中国_中债国债到期收益率_1年!D4</f>
        <v>0.02</v>
      </c>
      <c r="E6">
        <f>-中国_中债国债到期收益率_1年!E5+中国_中债国债到期收益率_1年!E4</f>
        <v>0.00740000000000007</v>
      </c>
      <c r="F6">
        <f>-中国_中债国债到期收益率_1年!F5+中国_中债国债到期收益率_1年!F4</f>
        <v>-0.00750000000000028</v>
      </c>
      <c r="G6">
        <f>-中国_中债国债到期收益率_1年!G5+中国_中债国债到期收益率_1年!G4</f>
        <v>-0.00439999999999996</v>
      </c>
    </row>
    <row r="7" spans="1:7">
      <c r="A7" s="7">
        <v>44721</v>
      </c>
      <c r="B7">
        <f>-中国_中债国债到期收益率_1年!B6+中国_中债国债到期收益率_1年!B5</f>
        <v>-0.0102000000000002</v>
      </c>
      <c r="C7">
        <f>-中国_中债国债到期收益率_1年!C6+中国_中债国债到期收益率_1年!C5</f>
        <v>-0.000799999999999912</v>
      </c>
      <c r="D7">
        <f>-中国_中债国债到期收益率_1年!D6+中国_中债国债到期收益率_1年!D5</f>
        <v>-0.00849999999999973</v>
      </c>
      <c r="E7">
        <f>-中国_中债国债到期收益率_1年!E6+中国_中债国债到期收益率_1年!E5</f>
        <v>-0.00749999999999984</v>
      </c>
      <c r="F7">
        <f>-中国_中债国债到期收益率_1年!F6+中国_中债国债到期收益率_1年!F5</f>
        <v>0.0148000000000001</v>
      </c>
      <c r="G7">
        <f>-中国_中债国债到期收益率_1年!G6+中国_中债国债到期收益率_1年!G5</f>
        <v>0.0127000000000002</v>
      </c>
    </row>
    <row r="8" spans="1:7">
      <c r="A8" s="7">
        <v>44722</v>
      </c>
      <c r="B8">
        <f>-中国_中债国债到期收益率_1年!B7+中国_中债国债到期收益率_1年!B6</f>
        <v>0.0131000000000001</v>
      </c>
      <c r="C8">
        <f>-中国_中债国债到期收益率_1年!C7+中国_中债国债到期收益率_1年!C6</f>
        <v>0.0124</v>
      </c>
      <c r="D8">
        <f>-中国_中债国债到期收益率_1年!D7+中国_中债国债到期收益率_1年!D6</f>
        <v>0.00849999999999973</v>
      </c>
      <c r="E8">
        <f>-中国_中债国债到期收益率_1年!E7+中国_中债国债到期收益率_1年!E6</f>
        <v>0.00999999999999979</v>
      </c>
      <c r="F8">
        <f>-中国_中债国债到期收益率_1年!F7+中国_中债国债到期收益率_1年!F6</f>
        <v>0.00680000000000014</v>
      </c>
      <c r="G8">
        <f>-中国_中债国债到期收益率_1年!G7+中国_中债国债到期收益率_1年!G6</f>
        <v>0.0078999999999998</v>
      </c>
    </row>
    <row r="9" spans="1:7">
      <c r="A9" s="7">
        <v>44725</v>
      </c>
      <c r="B9">
        <f>-中国_中债国债到期收益率_1年!B8+中国_中债国债到期收益率_1年!B7</f>
        <v>0.00999999999999979</v>
      </c>
      <c r="C9">
        <f>-中国_中债国债到期收益率_1年!C8+中国_中债国债到期收益率_1年!C7</f>
        <v>0.00459999999999994</v>
      </c>
      <c r="D9">
        <f>-中国_中债国债到期收益率_1年!D8+中国_中债国债到期收益率_1年!D7</f>
        <v>0.00499999999999989</v>
      </c>
      <c r="E9">
        <f>-中国_中债国债到期收益率_1年!E8+中国_中债国债到期收益率_1年!E7</f>
        <v>0.00240000000000018</v>
      </c>
      <c r="F9">
        <f>-中国_中债国债到期收益率_1年!F8+中国_中债国债到期收益率_1年!F7</f>
        <v>0.00499999999999989</v>
      </c>
      <c r="G9">
        <f>-中国_中债国债到期收益率_1年!G8+中国_中债国债到期收益率_1年!G7</f>
        <v>0.00530000000000008</v>
      </c>
    </row>
    <row r="10" spans="1:7">
      <c r="A10" s="7">
        <v>44726</v>
      </c>
      <c r="B10">
        <f>-中国_中债国债到期收益率_1年!B9+中国_中债国债到期收益率_1年!B8</f>
        <v>0.00249999999999995</v>
      </c>
      <c r="C10">
        <f>-中国_中债国债到期收益率_1年!C9+中国_中债国债到期收益率_1年!C8</f>
        <v>-0.0219</v>
      </c>
      <c r="D10">
        <f>-中国_中债国债到期收益率_1年!D9+中国_中债国债到期收益率_1年!D8</f>
        <v>-0.0125999999999999</v>
      </c>
      <c r="E10">
        <f>-中国_中债国债到期收益率_1年!E9+中国_中债国债到期收益率_1年!E8</f>
        <v>-0.00760000000000005</v>
      </c>
      <c r="F10">
        <f>-中国_中债国债到期收益率_1年!F9+中国_中债国债到期收益率_1年!F8</f>
        <v>-0.0101</v>
      </c>
      <c r="G10">
        <f>-中国_中债国债到期收益率_1年!G9+中国_中债国债到期收益率_1年!G8</f>
        <v>-0.0139</v>
      </c>
    </row>
    <row r="11" spans="1:7">
      <c r="A11" s="7">
        <v>44727</v>
      </c>
      <c r="B11">
        <f>-中国_中债国债到期收益率_1年!B10+中国_中债国债到期收益率_1年!B9</f>
        <v>-0.0149999999999997</v>
      </c>
      <c r="C11">
        <f>-中国_中债国债到期收益率_1年!C10+中国_中债国债到期收益率_1年!C9</f>
        <v>-0.00530000000000008</v>
      </c>
      <c r="D11">
        <f>-中国_中债国债到期收益率_1年!D10+中国_中债国债到期收益率_1年!D9</f>
        <v>-0.00499999999999989</v>
      </c>
      <c r="E11">
        <f>-中国_中债国债到期收益率_1年!E10+中国_中债国债到期收益率_1年!E9</f>
        <v>0</v>
      </c>
      <c r="F11">
        <f>-中国_中债国债到期收益率_1年!F10+中国_中债国债到期收益率_1年!F9</f>
        <v>-0.0158</v>
      </c>
      <c r="G11">
        <f>-中国_中债国债到期收益率_1年!G10+中国_中债国债到期收益率_1年!G9</f>
        <v>-0.0167999999999999</v>
      </c>
    </row>
    <row r="12" spans="1:7">
      <c r="A12" s="7">
        <v>44728</v>
      </c>
      <c r="B12">
        <f>-中国_中债国债到期收益率_1年!B11+中国_中债国债到期收益率_1年!B10</f>
        <v>-0.0184000000000002</v>
      </c>
      <c r="C12">
        <f>-中国_中债国债到期收益率_1年!C11+中国_中债国债到期收益率_1年!C10</f>
        <v>-0.016</v>
      </c>
      <c r="D12">
        <f>-中国_中债国债到期收益率_1年!D11+中国_中债国债到期收益率_1年!D10</f>
        <v>-0.0125000000000002</v>
      </c>
      <c r="E12">
        <f>-中国_中债国债到期收益率_1年!E11+中国_中债国债到期收益率_1年!E10</f>
        <v>-0.00240000000000018</v>
      </c>
      <c r="F12">
        <f>-中国_中债国债到期收益率_1年!F11+中国_中债国债到期收益率_1年!F10</f>
        <v>-0.00769999999999982</v>
      </c>
      <c r="G12">
        <f>-中国_中债国债到期收益率_1年!G11+中国_中债国债到期收益率_1年!G10</f>
        <v>-0.00800000000000001</v>
      </c>
    </row>
    <row r="13" spans="1:7">
      <c r="A13" s="7">
        <v>44729</v>
      </c>
      <c r="B13">
        <f>-中国_中债国债到期收益率_1年!B12+中国_中债国债到期收益率_1年!B11</f>
        <v>0.000799999999999912</v>
      </c>
      <c r="C13">
        <f>-中国_中债国债到期收益率_1年!C12+中国_中债国债到期收益率_1年!C11</f>
        <v>0.0176000000000003</v>
      </c>
      <c r="D13">
        <f>-中国_中债国债到期收益率_1年!D12+中国_中债国债到期收益率_1年!D11</f>
        <v>0.00990000000000002</v>
      </c>
      <c r="E13">
        <f>-中国_中债国债到期收益率_1年!E12+中国_中债国债到期收益率_1年!E11</f>
        <v>0.00990000000000002</v>
      </c>
      <c r="F13">
        <f>-中国_中债国债到期收益率_1年!F12+中国_中债国债到期收益率_1年!F11</f>
        <v>0.00879999999999992</v>
      </c>
      <c r="G13">
        <f>-中国_中债国债到期收益率_1年!G12+中国_中债国债到期收益率_1年!G11</f>
        <v>0.00570000000000004</v>
      </c>
    </row>
    <row r="14" spans="1:7">
      <c r="A14" s="7">
        <v>44732</v>
      </c>
      <c r="B14">
        <f>-中国_中债国债到期收益率_1年!B13+中国_中债国债到期收益率_1年!B12</f>
        <v>0.0249999999999999</v>
      </c>
      <c r="C14">
        <f>-中国_中债国债到期收益率_1年!C13+中国_中债国债到期收益率_1年!C12</f>
        <v>-0.000799999999999912</v>
      </c>
      <c r="D14">
        <f>-中国_中债国债到期收益率_1年!D13+中国_中债国债到期收益率_1年!D12</f>
        <v>-0.00239999999999974</v>
      </c>
      <c r="E14">
        <f>-中国_中债国债到期收益率_1年!E13+中国_中债国债到期收益率_1年!E12</f>
        <v>0.00250000000000039</v>
      </c>
      <c r="F14">
        <f>-中国_中债国债到期收益率_1年!F13+中国_中债国债到期收益率_1年!F12</f>
        <v>0.0124</v>
      </c>
      <c r="G14">
        <f>-中国_中债国债到期收益率_1年!G13+中国_中债国债到期收益率_1年!G12</f>
        <v>0.0103999999999997</v>
      </c>
    </row>
    <row r="15" spans="1:7">
      <c r="A15" s="7">
        <v>44733</v>
      </c>
      <c r="B15">
        <f>-中国_中债国债到期收益率_1年!B14+中国_中债国债到期收益率_1年!B13</f>
        <v>0.00460000000000038</v>
      </c>
      <c r="C15">
        <f>-中国_中债国债到期收益率_1年!C14+中国_中债国债到期收益率_1年!C13</f>
        <v>-0.0219</v>
      </c>
      <c r="D15">
        <f>-中国_中债国债到期收益率_1年!D14+中国_中债国债到期收益率_1年!D13</f>
        <v>-0.0101</v>
      </c>
      <c r="E15">
        <f>-中国_中债国债到期收益率_1年!E14+中国_中债国债到期收益率_1年!E13</f>
        <v>-0.00760000000000005</v>
      </c>
      <c r="F15">
        <f>-中国_中债国债到期收益率_1年!F14+中国_中债国债到期收益率_1年!F13</f>
        <v>-0.0253000000000001</v>
      </c>
      <c r="G15">
        <f>-中国_中债国债到期收益率_1年!G14+中国_中债国债到期收益率_1年!G13</f>
        <v>-0.0234999999999999</v>
      </c>
    </row>
    <row r="16" spans="1:7">
      <c r="A16" s="7">
        <v>44734</v>
      </c>
      <c r="B16">
        <f>-中国_中债国债到期收益率_1年!B15+中国_中债国债到期收益率_1年!B14</f>
        <v>0.00380000000000003</v>
      </c>
      <c r="C16">
        <f>-中国_中债国债到期收益率_1年!C15+中国_中债国债到期收益率_1年!C14</f>
        <v>0.00449999999999973</v>
      </c>
      <c r="D16">
        <f>-中国_中债国债到期收益率_1年!D15+中国_中债国债到期收益率_1年!D14</f>
        <v>0</v>
      </c>
      <c r="E16">
        <f>-中国_中债国债到期收益率_1年!E15+中国_中债国债到期收益率_1年!E14</f>
        <v>0.00099999999999989</v>
      </c>
      <c r="F16">
        <f>-中国_中债国债到期收益率_1年!F15+中国_中债国债到期收益率_1年!F14</f>
        <v>-0.00979999999999981</v>
      </c>
      <c r="G16">
        <f>-中国_中债国债到期收益率_1年!G15+中国_中债国债到期收益率_1年!G14</f>
        <v>-0.00780000000000003</v>
      </c>
    </row>
    <row r="17" spans="1:7">
      <c r="A17" s="7">
        <v>44735</v>
      </c>
      <c r="B17">
        <f>-中国_中债国债到期收益率_1年!B16+中国_中债国债到期收益率_1年!B15</f>
        <v>0.0148999999999997</v>
      </c>
      <c r="C17">
        <f>-中国_中债国债到期收益率_1年!C16+中国_中债国债到期收益率_1年!C15</f>
        <v>0.00730000000000031</v>
      </c>
      <c r="D17">
        <f>-中国_中债国债到期收益率_1年!D16+中国_中债国债到期收益率_1年!D15</f>
        <v>0.00800000000000001</v>
      </c>
      <c r="E17">
        <f>-中国_中债国债到期收益率_1年!E16+中国_中债国债到期收益率_1年!E15</f>
        <v>0.000900000000000123</v>
      </c>
      <c r="F17">
        <f>-中国_中债国债到期收益率_1年!F16+中国_中债国债到期收益率_1年!F15</f>
        <v>0.0101</v>
      </c>
      <c r="G17">
        <f>-中国_中债国债到期收益率_1年!G16+中国_中债国债到期收益率_1年!G15</f>
        <v>0.0106999999999999</v>
      </c>
    </row>
    <row r="18" spans="1:7">
      <c r="A18" s="7">
        <v>44736</v>
      </c>
      <c r="B18">
        <f>-中国_中债国债到期收益率_1年!B17+中国_中债国债到期收益率_1年!B16</f>
        <v>0.0261</v>
      </c>
      <c r="C18">
        <f>-中国_中债国债到期收益率_1年!C17+中国_中债国债到期收益率_1年!C16</f>
        <v>-0.00320000000000009</v>
      </c>
      <c r="D18">
        <f>-中国_中债国债到期收益率_1年!D17+中国_中债国债到期收益率_1年!D16</f>
        <v>-0.00300000000000011</v>
      </c>
      <c r="E18">
        <f>-中国_中债国债到期收益率_1年!E17+中国_中债国债到期收益率_1年!E16</f>
        <v>-0.00200000000000022</v>
      </c>
      <c r="F18">
        <f>-中国_中债国债到期收益率_1年!F17+中国_中债国债到期收益率_1年!F16</f>
        <v>0.00479999999999992</v>
      </c>
      <c r="G18">
        <f>-中国_中债国债到期收益率_1年!G17+中国_中债国债到期收益率_1年!G16</f>
        <v>0.00560000000000027</v>
      </c>
    </row>
    <row r="19" spans="1:7">
      <c r="A19" s="7">
        <v>44739</v>
      </c>
      <c r="B19">
        <f>-中国_中债国债到期收益率_1年!B18+中国_中债国债到期收益率_1年!B17</f>
        <v>-0.00449999999999995</v>
      </c>
      <c r="C19">
        <f>-中国_中债国债到期收益率_1年!C18+中国_中债国债到期收益率_1年!C17</f>
        <v>-0.0263</v>
      </c>
      <c r="D19">
        <f>-中国_中债国债到期收益率_1年!D18+中国_中债国债到期收益率_1年!D17</f>
        <v>-0.0175000000000001</v>
      </c>
      <c r="E19">
        <f>-中国_中债国债到期收益率_1年!E18+中国_中债国债到期收益率_1年!E17</f>
        <v>-0.0150000000000001</v>
      </c>
      <c r="F19">
        <f>-中国_中债国债到期收益率_1年!F18+中国_中债国债到期收益率_1年!F17</f>
        <v>-0.0207999999999999</v>
      </c>
      <c r="G19">
        <f>-中国_中债国债到期收益率_1年!G18+中国_中债国债到期收益率_1年!G17</f>
        <v>-0.0212000000000003</v>
      </c>
    </row>
    <row r="20" spans="1:7">
      <c r="A20" s="7">
        <v>44740</v>
      </c>
      <c r="B20">
        <f>-中国_中债国债到期收益率_1年!B19+中国_中债国债到期收益率_1年!B18</f>
        <v>-0.0318000000000001</v>
      </c>
      <c r="C20">
        <f>-中国_中债国债到期收益率_1年!C19+中国_中债国债到期收益率_1年!C18</f>
        <v>-0.0364</v>
      </c>
      <c r="D20">
        <f>-中国_中债国债到期收益率_1年!D19+中国_中债国债到期收益率_1年!D18</f>
        <v>-0.0350999999999999</v>
      </c>
      <c r="E20">
        <f>-中国_中债国债到期收益率_1年!E19+中国_中债国债到期收益率_1年!E18</f>
        <v>-0.00979999999999981</v>
      </c>
      <c r="F20">
        <f>-中国_中债国债到期收益率_1年!F19+中国_中债国债到期收益率_1年!F18</f>
        <v>-0.0410000000000004</v>
      </c>
      <c r="G20">
        <f>-中国_中债国债到期收益率_1年!G19+中国_中债国债到期收益率_1年!G18</f>
        <v>-0.044</v>
      </c>
    </row>
    <row r="21" spans="1:7">
      <c r="A21" s="7">
        <v>44741</v>
      </c>
      <c r="B21">
        <f>-中国_中债国债到期收益率_1年!B20+中国_中债国债到期收益率_1年!B19</f>
        <v>-0.000499999999999945</v>
      </c>
      <c r="C21">
        <f>-中国_中债国债到期收益率_1年!C20+中国_中债国债到期收益率_1年!C19</f>
        <v>-0.0121000000000002</v>
      </c>
      <c r="D21">
        <f>-中国_中债国债到期收益率_1年!D20+中国_中债国债到期收益率_1年!D19</f>
        <v>-0.00850000000000017</v>
      </c>
      <c r="E21">
        <f>-中国_中债国债到期收益率_1年!E20+中国_中债国债到期收益率_1年!E19</f>
        <v>-0.00499999999999989</v>
      </c>
      <c r="F21">
        <f>-中国_中债国债到期收益率_1年!F20+中国_中债国债到期收益率_1年!F19</f>
        <v>0.00229999999999997</v>
      </c>
      <c r="G21">
        <f>-中国_中债国债到期收益率_1年!G20+中国_中债国债到期收益率_1年!G19</f>
        <v>-0.0111999999999997</v>
      </c>
    </row>
    <row r="22" spans="1:7">
      <c r="A22" s="7">
        <v>44742</v>
      </c>
      <c r="B22">
        <f>-中国_中债国债到期收益率_1年!B21+中国_中债国债到期收益率_1年!B20</f>
        <v>0.0213000000000001</v>
      </c>
      <c r="C22">
        <f>-中国_中债国债到期收益率_1年!C21+中国_中债国债到期收益率_1年!C20</f>
        <v>0.00930000000000009</v>
      </c>
      <c r="D22">
        <f>-中国_中债国债到期收益率_1年!D21+中国_中债国债到期收益率_1年!D20</f>
        <v>0.012</v>
      </c>
      <c r="E22">
        <f>-中国_中债国债到期收益率_1年!E21+中国_中债国债到期收益率_1年!E20</f>
        <v>0.00229999999999997</v>
      </c>
      <c r="F22">
        <f>-中国_中债国债到期收益率_1年!F21+中国_中债国债到期收益率_1年!F20</f>
        <v>0.00580000000000025</v>
      </c>
      <c r="G22">
        <f>-中国_中债国债到期收益率_1年!G21+中国_中债国债到期收益率_1年!G20</f>
        <v>0.00299999999999967</v>
      </c>
    </row>
    <row r="23" spans="1:7">
      <c r="A23" s="7">
        <v>44743</v>
      </c>
      <c r="B23">
        <f>-中国_中债国债到期收益率_1年!B22+中国_中债国债到期收益率_1年!B21</f>
        <v>0.0259</v>
      </c>
      <c r="C23">
        <f>-中国_中债国债到期收益率_1年!C22+中国_中债国债到期收益率_1年!C21</f>
        <v>0.0203000000000002</v>
      </c>
      <c r="D23">
        <f>-中国_中债国债到期收益率_1年!D22+中国_中债国债到期收益率_1年!D21</f>
        <v>0.00890000000000013</v>
      </c>
      <c r="E23">
        <f>-中国_中债国债到期收益率_1年!E22+中国_中债国债到期收益率_1年!E21</f>
        <v>0.00499999999999989</v>
      </c>
      <c r="F23">
        <f>-中国_中债国债到期收益率_1年!F22+中国_中债国债到期收益率_1年!F21</f>
        <v>0.0145</v>
      </c>
      <c r="G23">
        <f>-中国_中债国债到期收益率_1年!G22+中国_中债国债到期收益率_1年!G21</f>
        <v>0.0155000000000003</v>
      </c>
    </row>
    <row r="24" spans="1:7">
      <c r="A24" s="7">
        <v>44746</v>
      </c>
      <c r="B24">
        <f>-中国_中债国债到期收益率_1年!B23+中国_中债国债到期收益率_1年!B22</f>
        <v>0.018</v>
      </c>
      <c r="C24">
        <f>-中国_中债国债到期收益率_1年!C23+中国_中债国债到期收益率_1年!C22</f>
        <v>0.00439999999999996</v>
      </c>
      <c r="D24">
        <f>-中国_中债国债到期收益率_1年!D23+中国_中债国债到期收益率_1年!D22</f>
        <v>-0.00499999999999989</v>
      </c>
      <c r="E24">
        <f>-中国_中债国债到期收益率_1年!E23+中国_中债国债到期收益率_1年!E22</f>
        <v>-0.00260000000000016</v>
      </c>
      <c r="F24">
        <f>-中国_中债国债到期收益率_1年!F23+中国_中债国债到期收益率_1年!F22</f>
        <v>0.0238999999999998</v>
      </c>
      <c r="G24">
        <f>-中国_中债国债到期收益率_1年!G23+中国_中债国债到期收益率_1年!G22</f>
        <v>0.0120999999999998</v>
      </c>
    </row>
    <row r="25" spans="1:7">
      <c r="A25" s="7">
        <v>44747</v>
      </c>
      <c r="B25">
        <f>-中国_中债国债到期收益率_1年!B24+中国_中债国债到期收益率_1年!B23</f>
        <v>-0.0507000000000002</v>
      </c>
      <c r="C25">
        <f>-中国_中债国债到期收益率_1年!C24+中国_中债国债到期收益率_1年!C23</f>
        <v>-0.048</v>
      </c>
      <c r="D25">
        <f>-中国_中债国债到期收益率_1年!D24+中国_中债国债到期收益率_1年!D23</f>
        <v>-0.0190000000000001</v>
      </c>
      <c r="E25">
        <f>-中国_中债国债到期收益率_1年!E24+中国_中债国债到期收益率_1年!E23</f>
        <v>-0.0174999999999996</v>
      </c>
      <c r="F25">
        <f>-中国_中债国债到期收益率_1年!F24+中国_中债国债到期收益率_1年!F23</f>
        <v>-0.0637999999999996</v>
      </c>
      <c r="G25">
        <f>-中国_中债国债到期收益率_1年!G24+中国_中债国债到期收益率_1年!G23</f>
        <v>-0.0453999999999999</v>
      </c>
    </row>
    <row r="26" spans="1:7">
      <c r="A26" s="7">
        <v>44748</v>
      </c>
      <c r="B26">
        <f>-中国_中债国债到期收益率_1年!B25+中国_中债国债到期收益率_1年!B24</f>
        <v>-0.0268999999999997</v>
      </c>
      <c r="C26">
        <f>-中国_中债国债到期收益率_1年!C25+中国_中债国债到期收益率_1年!C24</f>
        <v>0.00349999999999984</v>
      </c>
      <c r="D26">
        <f>-中国_中债国债到期收益率_1年!D25+中国_中债国债到期收益率_1年!D24</f>
        <v>0.0112000000000001</v>
      </c>
      <c r="E26">
        <f>-中国_中债国债到期收益率_1年!E25+中国_中债国债到期收益率_1年!E24</f>
        <v>-0.00520000000000032</v>
      </c>
      <c r="F26">
        <f>-中国_中债国债到期收益率_1年!F25+中国_中债国债到期收益率_1年!F24</f>
        <v>-0.00439999999999996</v>
      </c>
      <c r="G26">
        <f>-中国_中债国债到期收益率_1年!G25+中国_中债国债到期收益率_1年!G24</f>
        <v>-0.0202</v>
      </c>
    </row>
    <row r="27" spans="1:7">
      <c r="A27" s="7">
        <v>44749</v>
      </c>
      <c r="B27">
        <f>-中国_中债国债到期收益率_1年!B26+中国_中债国债到期收益率_1年!B25</f>
        <v>0.0188999999999997</v>
      </c>
      <c r="C27">
        <f>-中国_中债国债到期收益率_1年!C26+中国_中债国债到期收益率_1年!C25</f>
        <v>0.00280000000000014</v>
      </c>
      <c r="D27">
        <f>-中国_中债国债到期收益率_1年!D26+中国_中债国债到期收益率_1年!D25</f>
        <v>-0.00229999999999997</v>
      </c>
      <c r="E27">
        <f>-中国_中债国债到期收益率_1年!E26+中国_中债国债到期收益率_1年!E25</f>
        <v>0</v>
      </c>
      <c r="F27">
        <f>-中国_中债国债到期收益率_1年!F26+中国_中债国债到期收益率_1年!F25</f>
        <v>0.0169999999999999</v>
      </c>
      <c r="G27">
        <f>-中国_中债国债到期收益率_1年!G26+中国_中债国债到期收益率_1年!G25</f>
        <v>0.0173999999999999</v>
      </c>
    </row>
    <row r="28" spans="1:7">
      <c r="A28" s="7">
        <v>44750</v>
      </c>
      <c r="B28">
        <f>-中国_中债国债到期收益率_1年!B27+中国_中债国债到期收益率_1年!B26</f>
        <v>0.00870000000000015</v>
      </c>
      <c r="C28">
        <f>-中国_中债国债到期收益率_1年!C27+中国_中债国债到期收益率_1年!C26</f>
        <v>0.00449999999999973</v>
      </c>
      <c r="D28">
        <f>-中国_中债国债到期收益率_1年!D27+中国_中债国债到期收益率_1年!D26</f>
        <v>0</v>
      </c>
      <c r="E28">
        <f>-中国_中债国债到期收益率_1年!E27+中国_中债国债到期收益率_1年!E26</f>
        <v>-9.99999999997669e-5</v>
      </c>
      <c r="F28">
        <f>-中国_中债国债到期收益率_1年!F27+中国_中债国债到期收益率_1年!F26</f>
        <v>-0.00370000000000026</v>
      </c>
      <c r="G28">
        <f>-中国_中债国债到期收益率_1年!G27+中国_中债国债到期收益率_1年!G26</f>
        <v>-0.00369999999999981</v>
      </c>
    </row>
    <row r="29" spans="1:7">
      <c r="A29" s="7">
        <v>44753</v>
      </c>
      <c r="B29">
        <f>-中国_中债国债到期收益率_1年!B28+中国_中债国债到期收益率_1年!B27</f>
        <v>0.024</v>
      </c>
      <c r="C29">
        <f>-中国_中债国债到期收益率_1年!C28+中国_中债国债到期收益率_1年!C27</f>
        <v>0.0072000000000001</v>
      </c>
      <c r="D29">
        <f>-中国_中债国债到期收益率_1年!D28+中国_中债国债到期收益率_1年!D27</f>
        <v>-0.00280000000000014</v>
      </c>
      <c r="E29">
        <f>-中国_中债国债到期收益率_1年!E28+中国_中债国债到期收益率_1年!E27</f>
        <v>-0.0253000000000001</v>
      </c>
      <c r="F29">
        <f>-中国_中债国债到期收益率_1年!F28+中国_中债国债到期收益率_1年!F27</f>
        <v>0.00590000000000002</v>
      </c>
      <c r="G29">
        <f>-中国_中债国债到期收益率_1年!G28+中国_中债国债到期收益率_1年!G27</f>
        <v>0</v>
      </c>
    </row>
    <row r="30" spans="1:7">
      <c r="A30" s="7">
        <v>44754</v>
      </c>
      <c r="B30">
        <f>-中国_中债国债到期收益率_1年!B29+中国_中债国债到期收益率_1年!B28</f>
        <v>0.0166999999999999</v>
      </c>
      <c r="C30">
        <f>-中国_中债国债到期收益率_1年!C29+中国_中债国债到期收益率_1年!C28</f>
        <v>0.0249999999999999</v>
      </c>
      <c r="D30">
        <f>-中国_中债国债到期收益率_1年!D29+中国_中债国债到期收益率_1年!D28</f>
        <v>0.0118</v>
      </c>
      <c r="E30">
        <f>-中国_中债国债到期收益率_1年!E29+中国_中债国债到期收益率_1年!E28</f>
        <v>0.0083000000000002</v>
      </c>
      <c r="F30">
        <f>-中国_中债国债到期收益率_1年!F29+中国_中债国债到期收益率_1年!F28</f>
        <v>0.0336000000000003</v>
      </c>
      <c r="G30">
        <f>-中国_中债国债到期收益率_1年!G29+中国_中债国债到期收益率_1年!G28</f>
        <v>0.0274000000000001</v>
      </c>
    </row>
    <row r="31" spans="1:7">
      <c r="A31" s="7">
        <v>44755</v>
      </c>
      <c r="B31">
        <f>-中国_中债国债到期收益率_1年!B30+中国_中债国债到期收益率_1年!B29</f>
        <v>0.00719999999999987</v>
      </c>
      <c r="C31">
        <f>-中国_中债国债到期收益率_1年!C30+中国_中债国债到期收益率_1年!C29</f>
        <v>0.0326000000000004</v>
      </c>
      <c r="D31">
        <f>-中国_中债国债到期收益率_1年!D30+中国_中债国债到期收益率_1年!D29</f>
        <v>0.0148999999999999</v>
      </c>
      <c r="E31">
        <f>-中国_中债国债到期收益率_1年!E30+中国_中债国债到期收益率_1年!E29</f>
        <v>0.0139999999999998</v>
      </c>
      <c r="F31">
        <f>-中国_中债国债到期收益率_1年!F30+中国_中债国债到期收益率_1年!F29</f>
        <v>0.0257999999999998</v>
      </c>
      <c r="G31">
        <f>-中国_中债国债到期收益率_1年!G30+中国_中债国债到期收益率_1年!G29</f>
        <v>0.0299999999999998</v>
      </c>
    </row>
    <row r="32" spans="1:7">
      <c r="A32" s="7">
        <v>44756</v>
      </c>
      <c r="B32">
        <f>-中国_中债国债到期收益率_1年!B31+中国_中债国债到期收益率_1年!B30</f>
        <v>-0.00309999999999988</v>
      </c>
      <c r="C32">
        <f>-中国_中债国债到期收益率_1年!C31+中国_中债国债到期收益率_1年!C30</f>
        <v>0.00749999999999984</v>
      </c>
      <c r="D32">
        <f>-中国_中债国债到期收益率_1年!D31+中国_中债国债到期收益率_1年!D30</f>
        <v>0.00499999999999989</v>
      </c>
      <c r="E32">
        <f>-中国_中债国债到期收益率_1年!E31+中国_中债国债到期收益率_1年!E30</f>
        <v>0.00240000000000018</v>
      </c>
      <c r="F32">
        <f>-中国_中债国债到期收益率_1年!F31+中国_中债国债到期收益率_1年!F30</f>
        <v>0.0112999999999999</v>
      </c>
      <c r="G32">
        <f>-中国_中债国债到期收益率_1年!G31+中国_中债国债到期收益率_1年!G30</f>
        <v>0.0185</v>
      </c>
    </row>
    <row r="33" spans="1:7">
      <c r="A33" s="7">
        <v>44757</v>
      </c>
      <c r="B33">
        <f>-中国_中债国债到期收益率_1年!B32+中国_中债国债到期收益率_1年!B31</f>
        <v>0.0228999999999999</v>
      </c>
      <c r="C33">
        <f>-中国_中债国债到期收益率_1年!C32+中国_中债国债到期收益率_1年!C31</f>
        <v>0.0263999999999998</v>
      </c>
      <c r="D33">
        <f>-中国_中债国债到期收益率_1年!D32+中国_中债国债到期收益率_1年!D31</f>
        <v>0.016</v>
      </c>
      <c r="E33">
        <f>-中国_中债国债到期收益率_1年!E32+中国_中债国债到期收益率_1年!E31</f>
        <v>0.02</v>
      </c>
      <c r="F33">
        <f>-中国_中债国债到期收益率_1年!F32+中国_中债国债到期收益率_1年!F31</f>
        <v>0.0189000000000004</v>
      </c>
      <c r="G33">
        <f>-中国_中债国债到期收益率_1年!G32+中国_中债国债到期收益率_1年!G31</f>
        <v>0.0129999999999999</v>
      </c>
    </row>
    <row r="34" spans="1:7">
      <c r="A34" s="7">
        <v>44760</v>
      </c>
      <c r="B34">
        <f>-中国_中债国债到期收益率_1年!B33+中国_中债国债到期收益率_1年!B32</f>
        <v>0.0310000000000001</v>
      </c>
      <c r="C34">
        <f>-中国_中债国债到期收益率_1年!C33+中国_中债国债到期收益率_1年!C32</f>
        <v>0.0022000000000002</v>
      </c>
      <c r="D34">
        <f>-中国_中债国债到期收益率_1年!D33+中国_中债国债到期收益率_1年!D32</f>
        <v>0.00500000000000034</v>
      </c>
      <c r="E34">
        <f>-中国_中债国债到期收益率_1年!E33+中国_中债国债到期收益率_1年!E32</f>
        <v>0.0101</v>
      </c>
      <c r="F34">
        <f>-中国_中债国债到期收益率_1年!F33+中国_中债国债到期收益率_1年!F32</f>
        <v>0.0124</v>
      </c>
      <c r="G34">
        <f>-中国_中债国债到期收益率_1年!G33+中国_中债国债到期收益率_1年!G32</f>
        <v>0.0158</v>
      </c>
    </row>
    <row r="35" spans="1:7">
      <c r="A35" s="7">
        <v>44761</v>
      </c>
      <c r="B35">
        <f>-中国_中债国债到期收益率_1年!B34+中国_中债国债到期收益率_1年!B33</f>
        <v>0.0348999999999999</v>
      </c>
      <c r="C35">
        <f>-中国_中债国债到期收益率_1年!C34+中国_中债国债到期收益率_1年!C33</f>
        <v>0.00590000000000002</v>
      </c>
      <c r="D35">
        <f>-中国_中债国债到期收益率_1年!D34+中国_中债国债到期收益率_1年!D33</f>
        <v>0.00199999999999978</v>
      </c>
      <c r="E35">
        <f>-中国_中债国债到期收益率_1年!E34+中国_中债国债到期收益率_1年!E33</f>
        <v>0.00739999999999963</v>
      </c>
      <c r="F35">
        <f>-中国_中债国债到期收益率_1年!F34+中国_中债国债到期收益率_1年!F33</f>
        <v>0.00749999999999984</v>
      </c>
      <c r="G35">
        <f>-中国_中债国债到期收益率_1年!G34+中国_中债国债到期收益率_1年!G33</f>
        <v>0.0033000000000003</v>
      </c>
    </row>
    <row r="36" spans="1:7">
      <c r="A36" s="7">
        <v>44762</v>
      </c>
      <c r="B36">
        <f>-中国_中债国债到期收益率_1年!B35+中国_中债国债到期收益率_1年!B34</f>
        <v>-0.000299999999999967</v>
      </c>
      <c r="C36">
        <f>-中国_中债国债到期收益率_1年!C35+中国_中债国债到期收益率_1年!C34</f>
        <v>-0.00790000000000024</v>
      </c>
      <c r="D36">
        <f>-中国_中债国债到期收益率_1年!D35+中国_中债国债到期收益率_1年!D34</f>
        <v>-0.00219999999999976</v>
      </c>
      <c r="E36">
        <f>-中国_中债国债到期收益率_1年!E35+中国_中债国债到期收益率_1年!E34</f>
        <v>0</v>
      </c>
      <c r="F36">
        <f>-中国_中债国债到期收益率_1年!F35+中国_中债国债到期收益率_1年!F34</f>
        <v>-0.00669999999999993</v>
      </c>
      <c r="G36">
        <f>-中国_中债国债到期收益率_1年!G35+中国_中债国债到期收益率_1年!G34</f>
        <v>-0.0094000000000003</v>
      </c>
    </row>
    <row r="37" spans="1:7">
      <c r="A37" s="7">
        <v>44763</v>
      </c>
      <c r="B37">
        <f>-中国_中债国债到期收益率_1年!B36+中国_中债国债到期收益率_1年!B35</f>
        <v>-0.0221</v>
      </c>
      <c r="C37">
        <f>-中国_中债国债到期收益率_1年!C36+中国_中债国债到期收益率_1年!C35</f>
        <v>0.0234000000000001</v>
      </c>
      <c r="D37">
        <f>-中国_中债国债到期收益率_1年!D36+中国_中债国债到期收益率_1年!D35</f>
        <v>0.0148999999999999</v>
      </c>
      <c r="E37">
        <f>-中国_中债国债到期收益率_1年!E36+中国_中债国债到期收益率_1年!E35</f>
        <v>0.0149000000000004</v>
      </c>
      <c r="F37">
        <f>-中国_中债国债到期收益率_1年!F36+中国_中债国债到期收益率_1年!F35</f>
        <v>0.00819999999999999</v>
      </c>
      <c r="G37">
        <f>-中国_中债国债到期收益率_1年!G36+中国_中债国债到期收益率_1年!G35</f>
        <v>0.0124</v>
      </c>
    </row>
    <row r="38" spans="1:7">
      <c r="A38" s="7">
        <v>44764</v>
      </c>
      <c r="B38">
        <f>-中国_中债国债到期收益率_1年!B37+中国_中债国债到期收益率_1年!B36</f>
        <v>-0.000499999999999945</v>
      </c>
      <c r="C38">
        <f>-中国_中债国债到期收益率_1年!C37+中国_中债国债到期收益率_1年!C36</f>
        <v>0.0118</v>
      </c>
      <c r="D38">
        <f>-中国_中债国债到期收益率_1年!D37+中国_中债国债到期收益率_1年!D36</f>
        <v>0.00749999999999984</v>
      </c>
      <c r="E38">
        <f>-中国_中债国债到期收益率_1年!E37+中国_中债国债到期收益率_1年!E36</f>
        <v>0.00699999999999967</v>
      </c>
      <c r="F38">
        <f>-中国_中债国债到期收益率_1年!F37+中国_中债国债到期收益率_1年!F36</f>
        <v>0.0219</v>
      </c>
      <c r="G38">
        <f>-中国_中债国债到期收益率_1年!G37+中国_中债国债到期收益率_1年!G36</f>
        <v>0.0296000000000003</v>
      </c>
    </row>
    <row r="39" spans="1:7">
      <c r="A39" s="7">
        <v>44767</v>
      </c>
      <c r="B39">
        <f>-中国_中债国债到期收益率_1年!B38+中国_中债国债到期收益率_1年!B37</f>
        <v>-0.0319</v>
      </c>
      <c r="C39">
        <f>-中国_中债国债到期收益率_1年!C38+中国_中债国债到期收益率_1年!C37</f>
        <v>-0.0284999999999997</v>
      </c>
      <c r="D39">
        <f>-中国_中债国债到期收益率_1年!D38+中国_中债国债到期收益率_1年!D37</f>
        <v>-0.0234999999999999</v>
      </c>
      <c r="E39">
        <f>-中国_中债国债到期收益率_1年!E38+中国_中债国债到期收益率_1年!E37</f>
        <v>-0.0122</v>
      </c>
      <c r="F39">
        <f>-中国_中债国债到期收益率_1年!F38+中国_中债国债到期收益率_1年!F37</f>
        <v>-0.0169000000000001</v>
      </c>
      <c r="G39">
        <f>-中国_中债国债到期收益率_1年!G38+中国_中债国债到期收益率_1年!G37</f>
        <v>-0.0184000000000002</v>
      </c>
    </row>
    <row r="40" spans="1:7">
      <c r="A40" s="7">
        <v>44768</v>
      </c>
      <c r="B40">
        <f>-中国_中债国债到期收益率_1年!B39+中国_中债国债到期收益率_1年!B38</f>
        <v>0.0028999999999999</v>
      </c>
      <c r="C40">
        <f>-中国_中债国债到期收益率_1年!C39+中国_中债国债到期收益率_1年!C38</f>
        <v>0.0246</v>
      </c>
      <c r="D40">
        <f>-中国_中债国债到期收益率_1年!D39+中国_中债国债到期收益率_1年!D38</f>
        <v>0.00800000000000001</v>
      </c>
      <c r="E40">
        <f>-中国_中债国债到期收益率_1年!E39+中国_中债国债到期收益率_1年!E38</f>
        <v>0.00490000000000013</v>
      </c>
      <c r="F40">
        <f>-中国_中债国债到期收益率_1年!F39+中国_中债国债到期收益率_1年!F38</f>
        <v>0.00300000000000011</v>
      </c>
      <c r="G40">
        <f>-中国_中债国债到期收益率_1年!G39+中国_中债国债到期收益率_1年!G38</f>
        <v>0.004</v>
      </c>
    </row>
    <row r="41" spans="1:7">
      <c r="A41" s="7">
        <v>44769</v>
      </c>
      <c r="B41">
        <f>-中国_中债国债到期收益率_1年!B40+中国_中债国债到期收益率_1年!B39</f>
        <v>0.0197000000000001</v>
      </c>
      <c r="C41">
        <f>-中国_中债国债到期收益率_1年!C40+中国_中债国债到期收益率_1年!C39</f>
        <v>0.0139999999999998</v>
      </c>
      <c r="D41">
        <f>-中国_中债国债到期收益率_1年!D40+中国_中债国债到期收益率_1年!D39</f>
        <v>0.0089999999999999</v>
      </c>
      <c r="E41">
        <f>-中国_中债国债到期收益率_1年!E40+中国_中债国债到期收益率_1年!E39</f>
        <v>0.00680000000000014</v>
      </c>
      <c r="F41">
        <f>-中国_中债国债到期收益率_1年!F40+中国_中债国债到期收益率_1年!F39</f>
        <v>0.00950000000000006</v>
      </c>
      <c r="G41">
        <f>-中国_中债国债到期收益率_1年!G40+中国_中债国债到期收益率_1年!G39</f>
        <v>0.0121000000000002</v>
      </c>
    </row>
    <row r="42" spans="1:7">
      <c r="A42" s="7">
        <v>44770</v>
      </c>
      <c r="B42">
        <f>-中国_中债国债到期收益率_1年!B41+中国_中债国债到期收益率_1年!B40</f>
        <v>0.00380000000000003</v>
      </c>
      <c r="C42">
        <f>-中国_中债国债到期收益率_1年!C41+中国_中债国债到期收益率_1年!C40</f>
        <v>0.0209999999999999</v>
      </c>
      <c r="D42">
        <f>-中国_中债国债到期收益率_1年!D41+中国_中债国债到期收益率_1年!D40</f>
        <v>-9.99999999997669e-5</v>
      </c>
      <c r="E42">
        <f>-中国_中债国债到期收益率_1年!E41+中国_中债国债到期收益率_1年!E40</f>
        <v>0.000499999999999723</v>
      </c>
      <c r="F42">
        <f>-中国_中债国债到期收益率_1年!F41+中国_中债国债到期收益率_1年!F40</f>
        <v>0.00579999999999981</v>
      </c>
      <c r="G42">
        <f>-中国_中债国债到期收益率_1年!G41+中国_中债国债到期收益率_1年!G40</f>
        <v>0.00299999999999967</v>
      </c>
    </row>
    <row r="43" spans="1:7">
      <c r="A43" s="7">
        <v>44771</v>
      </c>
      <c r="B43">
        <f>-中国_中债国债到期收益率_1年!B42+中国_中债国债到期收益率_1年!B41</f>
        <v>-0.0133000000000001</v>
      </c>
      <c r="C43">
        <f>-中国_中债国债到期收益率_1年!C42+中国_中债国债到期收益率_1年!C41</f>
        <v>-0.0277999999999996</v>
      </c>
      <c r="D43">
        <f>-中国_中债国债到期收益率_1年!D42+中国_中债国债到期收益率_1年!D41</f>
        <v>-0.0149000000000004</v>
      </c>
      <c r="E43">
        <f>-中国_中债国债到期收益率_1年!E42+中国_中债国债到期收益率_1年!E41</f>
        <v>-0.0126999999999997</v>
      </c>
      <c r="F43">
        <f>-中国_中债国债到期收益率_1年!F42+中国_中债国债到期收益率_1年!F41</f>
        <v>-0.0135000000000001</v>
      </c>
      <c r="G43">
        <f>-中国_中债国债到期收益率_1年!G42+中国_中债国债到期收益率_1年!G41</f>
        <v>-0.0229999999999997</v>
      </c>
    </row>
    <row r="44" spans="1:7">
      <c r="A44" s="7">
        <v>44774</v>
      </c>
      <c r="B44">
        <f>-中国_中债国债到期收益率_1年!B43+中国_中债国债到期收益率_1年!B42</f>
        <v>0.0282</v>
      </c>
      <c r="C44">
        <f>-中国_中债国债到期收益率_1年!C43+中国_中债国债到期收益率_1年!C42</f>
        <v>0.0347</v>
      </c>
      <c r="D44">
        <f>-中国_中债国债到期收益率_1年!D43+中国_中债国债到期收益率_1年!D42</f>
        <v>0.0290000000000004</v>
      </c>
      <c r="E44">
        <f>-中国_中债国债到期收益率_1年!E43+中国_中债国债到期收益率_1年!E42</f>
        <v>0.0244</v>
      </c>
      <c r="F44">
        <f>-中国_中债国债到期收益率_1年!F43+中国_中债国债到期收益率_1年!F42</f>
        <v>0.0306999999999999</v>
      </c>
      <c r="G44">
        <f>-中国_中债国债到期收益率_1年!G43+中国_中债国债到期收益率_1年!G42</f>
        <v>0.0284999999999997</v>
      </c>
    </row>
    <row r="45" spans="1:7">
      <c r="A45" s="7">
        <v>44775</v>
      </c>
      <c r="B45">
        <f>-中国_中债国债到期收益率_1年!B44+中国_中债国债到期收益率_1年!B43</f>
        <v>0.0354000000000001</v>
      </c>
      <c r="C45">
        <f>-中国_中债国债到期收益率_1年!C44+中国_中债国债到期收益率_1年!C43</f>
        <v>0.0240999999999998</v>
      </c>
      <c r="D45">
        <f>-中国_中债国债到期收益率_1年!D44+中国_中债国债到期收益率_1年!D43</f>
        <v>0.0267999999999997</v>
      </c>
      <c r="E45">
        <f>-中国_中债国债到期收益率_1年!E44+中国_中债国债到期收益率_1年!E43</f>
        <v>0.0202999999999998</v>
      </c>
      <c r="F45">
        <f>-中国_中债国债到期收益率_1年!F44+中国_中债国债到期收益率_1年!F43</f>
        <v>0.0230000000000001</v>
      </c>
      <c r="G45">
        <f>-中国_中债国债到期收益率_1年!G44+中国_中债国债到期收益率_1年!G43</f>
        <v>0.0209999999999999</v>
      </c>
    </row>
    <row r="46" spans="1:7">
      <c r="A46" s="7">
        <v>44776</v>
      </c>
      <c r="B46">
        <f>-中国_中债国债到期收益率_1年!B45+中国_中债国债到期收益率_1年!B44</f>
        <v>0.0564</v>
      </c>
      <c r="C46">
        <f>-中国_中债国债到期收益率_1年!C45+中国_中债国债到期收益率_1年!C44</f>
        <v>-0.000399999999999956</v>
      </c>
      <c r="D46">
        <f>-中国_中债国债到期收益率_1年!D45+中国_中债国债到期收益率_1年!D44</f>
        <v>-0.00219999999999976</v>
      </c>
      <c r="E46">
        <f>-中国_中债国债到期收益率_1年!E45+中国_中债国债到期收益率_1年!E44</f>
        <v>-0.00269999999999992</v>
      </c>
      <c r="F46">
        <f>-中国_中债国债到期收益率_1年!F45+中国_中债国债到期收益率_1年!F44</f>
        <v>0.0164</v>
      </c>
      <c r="G46">
        <f>-中国_中债国债到期收益率_1年!G45+中国_中债国债到期收益率_1年!G44</f>
        <v>0.0130000000000003</v>
      </c>
    </row>
    <row r="47" spans="1:7">
      <c r="A47" s="7">
        <v>44777</v>
      </c>
      <c r="B47">
        <f>-中国_中债国债到期收益率_1年!B46+中国_中债国债到期收益率_1年!B45</f>
        <v>0.0177</v>
      </c>
      <c r="C47">
        <f>-中国_中债国债到期收益率_1年!C46+中国_中债国债到期收益率_1年!C45</f>
        <v>0.0398000000000001</v>
      </c>
      <c r="D47">
        <f>-中国_中债国债到期收益率_1年!D46+中国_中债国债到期收益率_1年!D45</f>
        <v>0.00959999999999983</v>
      </c>
      <c r="E47">
        <f>-中国_中债国债到期收益率_1年!E46+中国_中债国债到期收益率_1年!E45</f>
        <v>0.00760000000000005</v>
      </c>
      <c r="F47">
        <f>-中国_中债国债到期收益率_1年!F46+中国_中债国债到期收益率_1年!F45</f>
        <v>0.0322</v>
      </c>
      <c r="G47">
        <f>-中国_中债国债到期收益率_1年!G46+中国_中债国债到期收益率_1年!G45</f>
        <v>0.0128999999999997</v>
      </c>
    </row>
    <row r="48" spans="1:7">
      <c r="A48" s="7">
        <v>44778</v>
      </c>
      <c r="B48">
        <f>-中国_中债国债到期收益率_1年!B47+中国_中债国债到期收益率_1年!B46</f>
        <v>0.0620999999999998</v>
      </c>
      <c r="C48">
        <f>-中国_中债国债到期收益率_1年!C47+中国_中债国债到期收益率_1年!C46</f>
        <v>0.0122</v>
      </c>
      <c r="D48">
        <f>-中国_中债国债到期收益率_1年!D47+中国_中债国债到期收益率_1年!D46</f>
        <v>0.00260000000000016</v>
      </c>
      <c r="E48">
        <f>-中国_中债国债到期收益率_1年!E47+中国_中债国债到期收益率_1年!E46</f>
        <v>0.000599999999999934</v>
      </c>
      <c r="F48">
        <f>-中国_中债国债到期收益率_1年!F47+中国_中债国债到期收益率_1年!F46</f>
        <v>0.0609</v>
      </c>
      <c r="G48">
        <f>-中国_中债国债到期收益率_1年!G47+中国_中债国债到期收益率_1年!G46</f>
        <v>0.0410000000000004</v>
      </c>
    </row>
    <row r="49" spans="1:7">
      <c r="A49" s="7">
        <v>44781</v>
      </c>
      <c r="B49">
        <f>-中国_中债国债到期收益率_1年!B48+中国_中债国债到期收益率_1年!B47</f>
        <v>-0.0208999999999999</v>
      </c>
      <c r="C49">
        <f>-中国_中债国债到期收益率_1年!C48+中国_中债国债到期收益率_1年!C47</f>
        <v>-0.0278</v>
      </c>
      <c r="D49">
        <f>-中国_中债国债到期收益率_1年!D48+中国_中债国债到期收益率_1年!D47</f>
        <v>-0.0147000000000004</v>
      </c>
      <c r="E49">
        <f>-中国_中债国债到期收益率_1年!E48+中国_中债国债到期收益率_1年!E47</f>
        <v>-0.0127999999999999</v>
      </c>
      <c r="F49">
        <f>-中国_中债国债到期收益率_1年!F48+中国_中债国债到期收益率_1年!F47</f>
        <v>-0.0262</v>
      </c>
      <c r="G49">
        <f>-中国_中债国债到期收益率_1年!G48+中国_中债国债到期收益率_1年!G47</f>
        <v>-0.0233000000000003</v>
      </c>
    </row>
    <row r="50" spans="1:7">
      <c r="A50" s="7">
        <v>44782</v>
      </c>
      <c r="B50">
        <f>-中国_中债国债到期收益率_1年!B49+中国_中债国债到期收益率_1年!B48</f>
        <v>-0.02</v>
      </c>
      <c r="C50">
        <f>-中国_中债国债到期收益率_1年!C49+中国_中债国债到期收益率_1年!C48</f>
        <v>-0.00579999999999981</v>
      </c>
      <c r="D50">
        <f>-中国_中债国债到期收益率_1年!D49+中国_中债国债到期收益率_1年!D48</f>
        <v>-0.00699999999999967</v>
      </c>
      <c r="E50">
        <f>-中国_中债国债到期收益率_1年!E49+中国_中债国债到期收益率_1年!E48</f>
        <v>-0.00970000000000004</v>
      </c>
      <c r="F50">
        <f>-中国_中债国债到期收益率_1年!F49+中国_中债国债到期收益率_1年!F48</f>
        <v>-0.00589999999999979</v>
      </c>
      <c r="G50">
        <f>-中国_中债国债到期收益率_1年!G49+中国_中债国债到期收益率_1年!G48</f>
        <v>-0.0135000000000001</v>
      </c>
    </row>
    <row r="51" spans="1:7">
      <c r="A51" s="7">
        <v>44783</v>
      </c>
      <c r="B51">
        <f>-中国_中债国债到期收益率_1年!B50+中国_中债国债到期收益率_1年!B49</f>
        <v>-0.0569999999999999</v>
      </c>
      <c r="C51">
        <f>-中国_中债国债到期收益率_1年!C50+中国_中债国债到期收益率_1年!C49</f>
        <v>-0.0174000000000003</v>
      </c>
      <c r="D51">
        <f>-中国_中债国债到期收益率_1年!D50+中国_中债国债到期收益率_1年!D49</f>
        <v>0.000899999999999679</v>
      </c>
      <c r="E51">
        <f>-中国_中债国债到期收益率_1年!E50+中国_中债国债到期收益率_1年!E49</f>
        <v>-0.00240000000000018</v>
      </c>
      <c r="F51">
        <f>-中国_中债国债到期收益率_1年!F50+中国_中债国债到期收益率_1年!F49</f>
        <v>-0.0404</v>
      </c>
      <c r="G51">
        <f>-中国_中债国债到期收益率_1年!G50+中国_中债国债到期收益率_1年!G49</f>
        <v>-0.0288999999999997</v>
      </c>
    </row>
    <row r="52" spans="1:7">
      <c r="A52" s="7">
        <v>44784</v>
      </c>
      <c r="B52">
        <f>-中国_中债国债到期收益率_1年!B51+中国_中债国债到期收益率_1年!B50</f>
        <v>-0.0250000000000001</v>
      </c>
      <c r="C52">
        <f>-中国_中债国债到期收益率_1年!C51+中国_中债国债到期收益率_1年!C50</f>
        <v>-0.00249999999999995</v>
      </c>
      <c r="D52">
        <f>-中国_中债国债到期收益率_1年!D51+中国_中债国债到期收益率_1年!D50</f>
        <v>0.00340000000000007</v>
      </c>
      <c r="E52">
        <f>-中国_中债国债到期收益率_1年!E51+中国_中债国债到期收益率_1年!E50</f>
        <v>0.00200000000000022</v>
      </c>
      <c r="F52">
        <f>-中国_中债国债到期收益率_1年!F51+中国_中债国债到期收益率_1年!F50</f>
        <v>-0.00840000000000019</v>
      </c>
      <c r="G52">
        <f>-中国_中债国债到期收益率_1年!G51+中国_中债国债到期收益率_1年!G50</f>
        <v>0.00459999999999994</v>
      </c>
    </row>
    <row r="53" spans="1:7">
      <c r="A53" s="7">
        <v>44785</v>
      </c>
      <c r="B53">
        <f>-中国_中债国债到期收益率_1年!B52+中国_中债国债到期收益率_1年!B51</f>
        <v>-0.00249999999999995</v>
      </c>
      <c r="C53">
        <f>-中国_中债国债到期收益率_1年!C52+中国_中债国债到期收益率_1年!C51</f>
        <v>0.00749999999999984</v>
      </c>
      <c r="D53">
        <f>-中国_中债国债到期收益率_1年!D52+中国_中债国债到期收益率_1年!D51</f>
        <v>0.00490000000000013</v>
      </c>
      <c r="E53">
        <f>-中国_中债国债到期收益率_1年!E52+中国_中债国债到期收益率_1年!E51</f>
        <v>0.00170000000000003</v>
      </c>
      <c r="F53">
        <f>-中国_中债国债到期收益率_1年!F52+中国_中债国债到期收益率_1年!F51</f>
        <v>-0.0225</v>
      </c>
      <c r="G53">
        <f>-中国_中债国债到期收益率_1年!G52+中国_中债国债到期收益率_1年!G51</f>
        <v>-0.0165000000000002</v>
      </c>
    </row>
    <row r="54" spans="1:7">
      <c r="A54" s="7">
        <v>44788</v>
      </c>
      <c r="B54">
        <f>-中国_中债国债到期收益率_1年!B53+中国_中债国债到期收益率_1年!B52</f>
        <v>0.00459999999999994</v>
      </c>
      <c r="C54">
        <f>-中国_中债国债到期收益率_1年!C53+中国_中债国债到期收益率_1年!C52</f>
        <v>-0.00529999999999964</v>
      </c>
      <c r="D54">
        <f>-中国_中债国债到期收益率_1年!D53+中国_中债国债到期收益率_1年!D52</f>
        <v>-0.00300000000000011</v>
      </c>
      <c r="E54">
        <f>-中国_中债国债到期收益率_1年!E53+中国_中债国债到期收益率_1年!E52</f>
        <v>-0.00190000000000001</v>
      </c>
      <c r="F54">
        <f>-中国_中债国债到期收益率_1年!F53+中国_中债国债到期收益率_1年!F52</f>
        <v>-0.0017999999999998</v>
      </c>
      <c r="G54">
        <f>-中国_中债国债到期收益率_1年!G53+中国_中债国债到期收益率_1年!G52</f>
        <v>-0.000599999999999934</v>
      </c>
    </row>
    <row r="55" spans="1:7">
      <c r="A55" s="7">
        <v>44789</v>
      </c>
      <c r="B55">
        <f>-中国_中债国债到期收益率_1年!B54+中国_中债国债到期收益率_1年!B53</f>
        <v>0.0948000000000002</v>
      </c>
      <c r="C55">
        <f>-中国_中债国债到期收益率_1年!C54+中国_中债国债到期收益率_1年!C53</f>
        <v>0.0941999999999998</v>
      </c>
      <c r="D55">
        <f>-中国_中债国债到期收益率_1年!D54+中国_中债国债到期收益率_1年!D53</f>
        <v>0.0765000000000002</v>
      </c>
      <c r="E55">
        <f>-中国_中债国债到期收益率_1年!E54+中国_中债国债到期收益率_1年!E53</f>
        <v>0.0539000000000001</v>
      </c>
      <c r="F55">
        <f>-中国_中债国债到期收益率_1年!F54+中国_中债国债到期收益率_1年!F53</f>
        <v>0.0950999999999997</v>
      </c>
      <c r="G55">
        <f>-中国_中债国债到期收益率_1年!G54+中国_中债国债到期收益率_1年!G53</f>
        <v>0.0975999999999999</v>
      </c>
    </row>
    <row r="56" spans="1:7">
      <c r="A56" s="7">
        <v>44790</v>
      </c>
      <c r="B56">
        <f>-中国_中债国债到期收益率_1年!B55+中国_中债国债到期收益率_1年!B54</f>
        <v>-0.00320000000000009</v>
      </c>
      <c r="C56">
        <f>-中国_中债国债到期收益率_1年!C55+中国_中债国债到期收益率_1年!C54</f>
        <v>0.0122</v>
      </c>
      <c r="D56">
        <f>-中国_中债国债到期收益率_1年!D55+中国_中债国债到期收益率_1年!D54</f>
        <v>0.0236000000000001</v>
      </c>
      <c r="E56">
        <f>-中国_中债国债到期收益率_1年!E55+中国_中债国债到期收益率_1年!E54</f>
        <v>0.0124</v>
      </c>
      <c r="F56">
        <f>-中国_中债国债到期收益率_1年!F55+中国_中债国债到期收益率_1年!F54</f>
        <v>0.0267000000000002</v>
      </c>
      <c r="G56">
        <f>-中国_中债国债到期收益率_1年!G55+中国_中债国债到期收益率_1年!G54</f>
        <v>0.0250000000000004</v>
      </c>
    </row>
    <row r="57" spans="1:7">
      <c r="A57" s="7">
        <v>44791</v>
      </c>
      <c r="B57">
        <f>-中国_中债国债到期收益率_1年!B56+中国_中债国债到期收益率_1年!B55</f>
        <v>0.000899999999999901</v>
      </c>
      <c r="C57">
        <f>-中国_中债国债到期收益率_1年!C56+中国_中债国债到期收益率_1年!C55</f>
        <v>0.00269999999999992</v>
      </c>
      <c r="D57">
        <f>-中国_中债国债到期收益率_1年!D56+中国_中债国债到期收益率_1年!D55</f>
        <v>0.0221999999999998</v>
      </c>
      <c r="E57">
        <f>-中国_中债国债到期收益率_1年!E56+中国_中债国债到期收益率_1年!E55</f>
        <v>0.00499999999999989</v>
      </c>
      <c r="F57">
        <f>-中国_中债国债到期收益率_1年!F56+中国_中债国债到期收益率_1年!F55</f>
        <v>-0.0149000000000001</v>
      </c>
      <c r="G57">
        <f>-中国_中债国债到期收益率_1年!G56+中国_中债国债到期收益率_1年!G55</f>
        <v>-0.02</v>
      </c>
    </row>
    <row r="58" spans="1:7">
      <c r="A58" s="7">
        <v>44792</v>
      </c>
      <c r="B58">
        <f>-中国_中债国债到期收益率_1年!B57+中国_中债国债到期收益率_1年!B56</f>
        <v>0.0186000000000002</v>
      </c>
      <c r="C58">
        <f>-中国_中债国债到期收益率_1年!C57+中国_中债国债到期收益率_1年!C56</f>
        <v>0.0223</v>
      </c>
      <c r="D58">
        <f>-中国_中债国债到期收益率_1年!D57+中国_中债国债到期收益率_1年!D56</f>
        <v>0.0324</v>
      </c>
      <c r="E58">
        <f>-中国_中债国债到期收益率_1年!E57+中国_中债国债到期收益率_1年!E56</f>
        <v>0.0331000000000001</v>
      </c>
      <c r="F58">
        <f>-中国_中债国债到期收益率_1年!F57+中国_中债国债到期收益率_1年!F56</f>
        <v>0.0192000000000001</v>
      </c>
      <c r="G58">
        <f>-中国_中债国债到期收益率_1年!G57+中国_中债国债到期收益率_1年!G56</f>
        <v>0.0172999999999996</v>
      </c>
    </row>
    <row r="59" spans="1:7">
      <c r="A59" s="7">
        <v>44795</v>
      </c>
      <c r="B59">
        <f>-中国_中债国债到期收益率_1年!B58+中国_中债国债到期收益率_1年!B57</f>
        <v>-0.0244000000000002</v>
      </c>
      <c r="C59">
        <f>-中国_中债国债到期收益率_1年!C58+中国_中债国债到期收益率_1年!C57</f>
        <v>-0.0129999999999999</v>
      </c>
      <c r="D59">
        <f>-中国_中债国债到期收益率_1年!D58+中国_中债国债到期收益率_1年!D57</f>
        <v>-0.00749999999999984</v>
      </c>
      <c r="E59">
        <f>-中国_中债国债到期收益率_1年!E58+中国_中债国债到期收益率_1年!E57</f>
        <v>0.0236999999999998</v>
      </c>
      <c r="F59">
        <f>-中国_中债国债到期收益率_1年!F58+中国_中债国债到期收益率_1年!F57</f>
        <v>-0.00249999999999995</v>
      </c>
      <c r="G59">
        <f>-中国_中债国债到期收益率_1年!G58+中国_中债国债到期收益率_1年!G57</f>
        <v>-0.0017999999999998</v>
      </c>
    </row>
    <row r="60" spans="1:7">
      <c r="A60" s="7">
        <v>44796</v>
      </c>
      <c r="B60">
        <f>-中国_中债国债到期收益率_1年!B59+中国_中债国债到期收益率_1年!B58</f>
        <v>-0.0321999999999998</v>
      </c>
      <c r="C60">
        <f>-中国_中债国债到期收益率_1年!C59+中国_中债国债到期收益率_1年!C58</f>
        <v>-0.0259</v>
      </c>
      <c r="D60">
        <f>-中国_中债国债到期收益率_1年!D59+中国_中债国债到期收益率_1年!D58</f>
        <v>-0.00499999999999989</v>
      </c>
      <c r="E60">
        <f>-中国_中债国债到期收益率_1年!E59+中国_中债国债到期收益率_1年!E58</f>
        <v>0.0156000000000001</v>
      </c>
      <c r="F60">
        <f>-中国_中债国债到期收益率_1年!F59+中国_中债国债到期收益率_1年!F58</f>
        <v>-0.0125000000000002</v>
      </c>
      <c r="G60">
        <f>-中国_中债国债到期收益率_1年!G59+中国_中债国债到期收益率_1年!G58</f>
        <v>-0.00539999999999985</v>
      </c>
    </row>
    <row r="61" spans="1:7">
      <c r="A61" s="7">
        <v>44797</v>
      </c>
      <c r="B61">
        <f>-中国_中债国债到期收益率_1年!B60+中国_中债国债到期收益率_1年!B59</f>
        <v>-0.000100000000000211</v>
      </c>
      <c r="C61">
        <f>-中国_中债国债到期收益率_1年!C60+中国_中债国债到期收益率_1年!C59</f>
        <v>-0.0124</v>
      </c>
      <c r="D61">
        <f>-中国_中债国债到期收益率_1年!D60+中国_中债国债到期收益率_1年!D59</f>
        <v>-0.0150000000000001</v>
      </c>
      <c r="E61">
        <f>-中国_中债国债到期收益率_1年!E60+中国_中债国债到期收益率_1年!E59</f>
        <v>-0.012</v>
      </c>
      <c r="F61">
        <f>-中国_中债国债到期收益率_1年!F60+中国_中债国债到期收益率_1年!F59</f>
        <v>-0.0155999999999998</v>
      </c>
      <c r="G61">
        <f>-中国_中债国债到期收益率_1年!G60+中国_中债国债到期收益率_1年!G59</f>
        <v>-0.0192000000000001</v>
      </c>
    </row>
    <row r="62" spans="1:7">
      <c r="A62" s="7">
        <v>44798</v>
      </c>
      <c r="B62">
        <f>-中国_中债国债到期收益率_1年!B61+中国_中债国债到期收益率_1年!B60</f>
        <v>0.00750000000000006</v>
      </c>
      <c r="C62">
        <f>-中国_中债国债到期收益率_1年!C61+中国_中债国债到期收益率_1年!C60</f>
        <v>-0.00309999999999988</v>
      </c>
      <c r="D62">
        <f>-中国_中债国债到期收益率_1年!D61+中国_中债国债到期收益率_1年!D60</f>
        <v>-0.00249999999999995</v>
      </c>
      <c r="E62">
        <f>-中国_中债国债到期收益率_1年!E61+中国_中债国债到期收益率_1年!E60</f>
        <v>-0.00239999999999974</v>
      </c>
      <c r="F62">
        <f>-中国_中债国债到期收益率_1年!F61+中国_中债国债到期收益率_1年!F60</f>
        <v>0.00109999999999988</v>
      </c>
      <c r="G62">
        <f>-中国_中债国债到期收益率_1年!G61+中国_中债国债到期收益率_1年!G60</f>
        <v>-0.000100000000000211</v>
      </c>
    </row>
    <row r="63" spans="1:7">
      <c r="A63" s="7">
        <v>44799</v>
      </c>
      <c r="B63">
        <f>-中国_中债国债到期收益率_1年!B62+中国_中债国债到期收益率_1年!B61</f>
        <v>-0.0415999999999999</v>
      </c>
      <c r="C63">
        <f>-中国_中债国债到期收益率_1年!C62+中国_中债国债到期收益率_1年!C61</f>
        <v>-0.0326</v>
      </c>
      <c r="D63">
        <f>-中国_中债国债到期收益率_1年!D62+中国_中债国债到期收益率_1年!D61</f>
        <v>-0.0289999999999999</v>
      </c>
      <c r="E63">
        <f>-中国_中债国债到期收益率_1年!E62+中国_中债国债到期收益率_1年!E61</f>
        <v>-0.0297000000000001</v>
      </c>
      <c r="F63">
        <f>-中国_中债国债到期收益率_1年!F62+中国_中债国债到期收益率_1年!F61</f>
        <v>-0.0251999999999999</v>
      </c>
      <c r="G63">
        <f>-中国_中债国债到期收益率_1年!G62+中国_中债国债到期收益率_1年!G61</f>
        <v>-0.0221</v>
      </c>
    </row>
    <row r="64" spans="1:7">
      <c r="A64" s="7">
        <v>44802</v>
      </c>
      <c r="B64">
        <f>-中国_中债国债到期收益率_1年!B63+中国_中债国债到期收益率_1年!B62</f>
        <v>-0.00100000000000011</v>
      </c>
      <c r="C64">
        <f>-中国_中债国债到期收益率_1年!C63+中国_中债国债到期收益率_1年!C62</f>
        <v>0.00150000000000006</v>
      </c>
      <c r="D64">
        <f>-中国_中债国债到期收益率_1年!D63+中国_中债国债到期收益率_1年!D62</f>
        <v>-0.004</v>
      </c>
      <c r="E64">
        <f>-中国_中债国债到期收益率_1年!E63+中国_中债国债到期收益率_1年!E62</f>
        <v>-0.00130000000000008</v>
      </c>
      <c r="F64">
        <f>-中国_中债国债到期收益率_1年!F63+中国_中债国债到期收益率_1年!F62</f>
        <v>-0.0168000000000001</v>
      </c>
      <c r="G64">
        <f>-中国_中债国债到期收益率_1年!G63+中国_中债国债到期收益率_1年!G62</f>
        <v>-0.00929999999999964</v>
      </c>
    </row>
    <row r="65" spans="1:7">
      <c r="A65" s="7">
        <v>44803</v>
      </c>
      <c r="B65">
        <f>-中国_中债国债到期收益率_1年!B64+中国_中债国债到期收益率_1年!B63</f>
        <v>0.0361</v>
      </c>
      <c r="C65">
        <f>-中国_中债国债到期收益率_1年!C64+中国_中债国债到期收益率_1年!C63</f>
        <v>0.0303</v>
      </c>
      <c r="D65">
        <f>-中国_中债国债到期收益率_1年!D64+中国_中债国债到期收益率_1年!D63</f>
        <v>0.0204999999999997</v>
      </c>
      <c r="E65">
        <f>-中国_中债国债到期收益率_1年!E64+中国_中债国债到期收益率_1年!E63</f>
        <v>0.0204</v>
      </c>
      <c r="F65">
        <f>-中国_中债国债到期收益率_1年!F64+中国_中债国债到期收益率_1年!F63</f>
        <v>0.0159</v>
      </c>
      <c r="G65">
        <f>-中国_中债国债到期收益率_1年!G64+中国_中债国债到期收益率_1年!G63</f>
        <v>0.00999999999999979</v>
      </c>
    </row>
    <row r="66" spans="1:7">
      <c r="A66" s="7">
        <v>44804</v>
      </c>
      <c r="B66">
        <f>-中国_中债国债到期收益率_1年!B65+中国_中债国债到期收益率_1年!B64</f>
        <v>0.0155000000000001</v>
      </c>
      <c r="C66">
        <f>-中国_中债国债到期收益率_1年!C65+中国_中债国债到期收益率_1年!C64</f>
        <v>0.00590000000000002</v>
      </c>
      <c r="D66">
        <f>-中国_中债国债到期收益率_1年!D65+中国_中债国债到期收益率_1年!D64</f>
        <v>0.00950000000000006</v>
      </c>
      <c r="E66">
        <f>-中国_中债国债到期收益率_1年!E65+中国_中债国债到期收益率_1年!E64</f>
        <v>0.00729999999999986</v>
      </c>
      <c r="F66">
        <f>-中国_中债国债到期收益率_1年!F65+中国_中债国债到期收益率_1年!F64</f>
        <v>0.0149000000000001</v>
      </c>
      <c r="G66">
        <f>-中国_中债国债到期收益率_1年!G65+中国_中债国债到期收益率_1年!G64</f>
        <v>0.0225</v>
      </c>
    </row>
    <row r="67" spans="1:7">
      <c r="A67" s="7">
        <v>44805</v>
      </c>
      <c r="B67">
        <f>-中国_中债国债到期收益率_1年!B66+中国_中债国债到期收益率_1年!B65</f>
        <v>0.00279999999999991</v>
      </c>
      <c r="C67">
        <f>-中国_中债国债到期收益率_1年!C66+中国_中债国债到期收益率_1年!C65</f>
        <v>0.000599999999999934</v>
      </c>
      <c r="D67">
        <f>-中国_中债国债到期收益率_1年!D66+中国_中债国债到期收益率_1年!D65</f>
        <v>-0.00950000000000006</v>
      </c>
      <c r="E67">
        <f>-中国_中债国债到期收益率_1年!E66+中国_中债国债到期收益率_1年!E65</f>
        <v>0</v>
      </c>
      <c r="F67">
        <f>-中国_中债国债到期收益率_1年!F66+中国_中债国债到期收益率_1年!F65</f>
        <v>0.0123</v>
      </c>
      <c r="G67">
        <f>-中国_中债国债到期收益率_1年!G66+中国_中债国债到期收益率_1年!G65</f>
        <v>-0.00329999999999986</v>
      </c>
    </row>
    <row r="68" spans="1:7">
      <c r="A68" s="7">
        <v>44806</v>
      </c>
      <c r="B68">
        <f>-中国_中债国债到期收益率_1年!B67+中国_中债国债到期收益率_1年!B66</f>
        <v>0.0135000000000001</v>
      </c>
      <c r="C68">
        <f>-中国_中债国债到期收益率_1年!C67+中国_中债国债到期收益率_1年!C66</f>
        <v>0.00999999999999979</v>
      </c>
      <c r="D68">
        <f>-中国_中债国债到期收益率_1年!D67+中国_中债国债到期收益率_1年!D66</f>
        <v>0.0100000000000002</v>
      </c>
      <c r="E68">
        <f>-中国_中债国债到期收益率_1年!E67+中国_中债国债到期收益率_1年!E66</f>
        <v>0.0129999999999999</v>
      </c>
      <c r="F68">
        <f>-中国_中债国债到期收益率_1年!F67+中国_中债国债到期收益率_1年!F66</f>
        <v>0.00939999999999985</v>
      </c>
      <c r="G68">
        <f>-中国_中债国债到期收益率_1年!G67+中国_中债国债到期收益率_1年!G66</f>
        <v>0.00939999999999985</v>
      </c>
    </row>
    <row r="69" spans="1:7">
      <c r="A69" s="7">
        <v>44809</v>
      </c>
      <c r="B69">
        <f>-中国_中债国债到期收益率_1年!B68+中国_中债国债到期收益率_1年!B67</f>
        <v>0.00499999999999989</v>
      </c>
      <c r="C69">
        <f>-中国_中债国债到期收益率_1年!C68+中国_中债国债到期收益率_1年!C67</f>
        <v>-0.00590000000000002</v>
      </c>
      <c r="D69">
        <f>-中国_中债国债到期收益率_1年!D68+中国_中债国债到期收益率_1年!D67</f>
        <v>-0.0101</v>
      </c>
      <c r="E69">
        <f>-中国_中债国债到期收益率_1年!E68+中国_中债国债到期收益率_1年!E67</f>
        <v>0.00240000000000018</v>
      </c>
      <c r="F69">
        <f>-中国_中债国债到期收益率_1年!F68+中国_中债国债到期收益率_1年!F67</f>
        <v>0.0104000000000002</v>
      </c>
      <c r="G69">
        <f>-中国_中债国债到期收益率_1年!G68+中国_中债国债到期收益率_1年!G67</f>
        <v>0.0129000000000001</v>
      </c>
    </row>
    <row r="70" spans="1:7">
      <c r="A70" s="7">
        <v>44810</v>
      </c>
      <c r="B70">
        <f>-中国_中债国债到期收益率_1年!B69+中国_中债国债到期收益率_1年!B68</f>
        <v>0.00609999999999999</v>
      </c>
      <c r="C70">
        <f>-中国_中债国债到期收益率_1年!C69+中国_中债国债到期收益率_1年!C68</f>
        <v>0.0142000000000002</v>
      </c>
      <c r="D70">
        <f>-中国_中债国债到期收益率_1年!D69+中国_中债国债到期收益率_1年!D68</f>
        <v>0.00459999999999994</v>
      </c>
      <c r="E70">
        <f>-中国_中债国债到期收益率_1年!E69+中国_中债国债到期收益率_1年!E68</f>
        <v>0.0108000000000001</v>
      </c>
      <c r="F70">
        <f>-中国_中债国债到期收益率_1年!F69+中国_中债国债到期收益率_1年!F68</f>
        <v>0.00949999999999984</v>
      </c>
      <c r="G70">
        <f>-中国_中债国债到期收益率_1年!G69+中国_中债国债到期收益率_1年!G68</f>
        <v>0.00499999999999989</v>
      </c>
    </row>
    <row r="71" spans="1:7">
      <c r="A71" s="7">
        <v>44811</v>
      </c>
      <c r="B71">
        <f>-中国_中债国债到期收益率_1年!B70+中国_中债国债到期收益率_1年!B69</f>
        <v>0.000500000000000167</v>
      </c>
      <c r="C71">
        <f>-中国_中债国债到期收益率_1年!C70+中国_中债国债到期收益率_1年!C69</f>
        <v>0.0046999999999997</v>
      </c>
      <c r="D71">
        <f>-中国_中债国债到期收益率_1年!D70+中国_中债国债到期收益率_1年!D69</f>
        <v>0.004</v>
      </c>
      <c r="E71">
        <f>-中国_中债国债到期收益率_1年!E70+中国_中债国债到期收益率_1年!E69</f>
        <v>0.00539999999999985</v>
      </c>
      <c r="F71">
        <f>-中国_中债国债到期收益率_1年!F70+中国_中债国债到期收益率_1年!F69</f>
        <v>0</v>
      </c>
      <c r="G71">
        <f>-中国_中债国债到期收益率_1年!G70+中国_中债国债到期收益率_1年!G69</f>
        <v>0.00280000000000014</v>
      </c>
    </row>
    <row r="72" spans="1:7">
      <c r="A72" s="7">
        <v>44812</v>
      </c>
      <c r="B72">
        <f>-中国_中债国债到期收益率_1年!B71+中国_中债国债到期收益率_1年!B70</f>
        <v>-0.0238</v>
      </c>
      <c r="C72">
        <f>-中国_中债国债到期收益率_1年!C71+中国_中债国债到期收益率_1年!C70</f>
        <v>-0.0078999999999998</v>
      </c>
      <c r="D72">
        <f>-中国_中债国债到期收益率_1年!D71+中国_中债国债到期收益率_1年!D70</f>
        <v>-0.00750000000000028</v>
      </c>
      <c r="E72">
        <f>-中国_中债国债到期收益率_1年!E71+中国_中债国债到期收益率_1年!E70</f>
        <v>-0.00409999999999977</v>
      </c>
      <c r="F72">
        <f>-中国_中债国债到期收益率_1年!F71+中国_中债国债到期收益率_1年!F70</f>
        <v>-0.00529999999999986</v>
      </c>
      <c r="G72">
        <f>-中国_中债国债到期收益率_1年!G71+中国_中债国债到期收益率_1年!G70</f>
        <v>-0.00450000000000017</v>
      </c>
    </row>
    <row r="73" spans="1:7">
      <c r="A73" s="7">
        <v>44813</v>
      </c>
      <c r="B73">
        <f>-中国_中债国债到期收益率_1年!B72+中国_中债国债到期收益率_1年!B71</f>
        <v>-0.0125000000000002</v>
      </c>
      <c r="C73">
        <f>-中国_中债国债到期收益率_1年!C72+中国_中债国债到期收益率_1年!C71</f>
        <v>-0.0072000000000001</v>
      </c>
      <c r="D73">
        <f>-中国_中债国债到期收益率_1年!D72+中国_中债国债到期收益率_1年!D71</f>
        <v>-0.00409999999999977</v>
      </c>
      <c r="E73">
        <f>-中国_中债国债到期收益率_1年!E72+中国_中债国债到期收益率_1年!E71</f>
        <v>-0.00140000000000029</v>
      </c>
      <c r="F73">
        <f>-中国_中债国债到期收益率_1年!F72+中国_中债国债到期收益率_1年!F71</f>
        <v>-0.0162</v>
      </c>
      <c r="G73">
        <f>-中国_中债国债到期收益率_1年!G72+中国_中债国债到期收益率_1年!G71</f>
        <v>-0.0133999999999999</v>
      </c>
    </row>
    <row r="74" spans="1:7">
      <c r="A74" s="7">
        <v>44817</v>
      </c>
      <c r="B74">
        <f>-中国_中债国债到期收益率_1年!B73+中国_中债国债到期收益率_1年!B72</f>
        <v>-0.0106999999999999</v>
      </c>
      <c r="C74">
        <f>-中国_中债国债到期收益率_1年!C73+中国_中债国债到期收益率_1年!C72</f>
        <v>-0.0198</v>
      </c>
      <c r="D74">
        <f>-中国_中债国债到期收益率_1年!D73+中国_中债国债到期收益率_1年!D72</f>
        <v>-0.00939999999999985</v>
      </c>
      <c r="E74">
        <f>-中国_中债国债到期收益率_1年!E73+中国_中债国债到期收益率_1年!E72</f>
        <v>-0.00809999999999977</v>
      </c>
      <c r="F74">
        <f>-中国_中债国债到期收益率_1年!F73+中国_中债国债到期收益率_1年!F72</f>
        <v>-0.00750000000000006</v>
      </c>
      <c r="G74">
        <f>-中国_中债国债到期收益率_1年!G73+中国_中债国债到期收益率_1年!G72</f>
        <v>-0.00800000000000001</v>
      </c>
    </row>
    <row r="75" spans="1:7">
      <c r="A75" s="7">
        <v>44818</v>
      </c>
      <c r="B75">
        <f>-中国_中债国债到期收益率_1年!B74+中国_中债国债到期收益率_1年!B73</f>
        <v>-0.01</v>
      </c>
      <c r="C75">
        <f>-中国_中债国债到期收益率_1年!C74+中国_中债国债到期收益率_1年!C73</f>
        <v>-0.0118999999999998</v>
      </c>
      <c r="D75">
        <f>-中国_中债国债到期收益率_1年!D74+中国_中债国债到期收益率_1年!D73</f>
        <v>-0.00770000000000026</v>
      </c>
      <c r="E75">
        <f>-中国_中债国债到期收益率_1年!E74+中国_中债国债到期收益率_1年!E73</f>
        <v>-0.00290000000000035</v>
      </c>
      <c r="F75">
        <f>-中国_中债国债到期收益率_1年!F74+中国_中债国债到期收益率_1年!F73</f>
        <v>-0.00859999999999994</v>
      </c>
      <c r="G75">
        <f>-中国_中债国债到期收益率_1年!G74+中国_中债国债到期收益率_1年!G73</f>
        <v>-0.0154000000000001</v>
      </c>
    </row>
    <row r="76" spans="1:7">
      <c r="A76" s="7">
        <v>44819</v>
      </c>
      <c r="B76">
        <f>-中国_中债国债到期收益率_1年!B75+中国_中债国债到期收益率_1年!B74</f>
        <v>-0.0318000000000001</v>
      </c>
      <c r="C76">
        <f>-中国_中债国债到期收益率_1年!C75+中国_中债国债到期收益率_1年!C74</f>
        <v>-0.0196000000000001</v>
      </c>
      <c r="D76">
        <f>-中国_中债国债到期收益率_1年!D75+中国_中债国债到期收益率_1年!D74</f>
        <v>-0.0198</v>
      </c>
      <c r="E76">
        <f>-中国_中债国债到期收益率_1年!E75+中国_中债国债到期收益率_1年!E74</f>
        <v>-0.00780000000000003</v>
      </c>
      <c r="F76">
        <f>-中国_中债国债到期收益率_1年!F75+中国_中债国债到期收益率_1年!F74</f>
        <v>-0.0129000000000001</v>
      </c>
      <c r="G76">
        <f>-中国_中债国债到期收益率_1年!G75+中国_中债国债到期收益率_1年!G74</f>
        <v>-0.0142000000000002</v>
      </c>
    </row>
    <row r="77" spans="1:7">
      <c r="A77" s="7">
        <v>44820</v>
      </c>
      <c r="B77">
        <f>-中国_中债国债到期收益率_1年!B76+中国_中债国债到期收益率_1年!B75</f>
        <v>-0.00429999999999997</v>
      </c>
      <c r="C77">
        <f>-中国_中债国债到期收益率_1年!C76+中国_中债国债到期收益率_1年!C75</f>
        <v>-0.00470000000000015</v>
      </c>
      <c r="D77">
        <f>-中国_中债国债到期收益率_1年!D76+中国_中债国债到期收益率_1年!D75</f>
        <v>0</v>
      </c>
      <c r="E77">
        <f>-中国_中债国债到期收益率_1年!E76+中国_中债国债到期收益率_1年!E75</f>
        <v>0.00290000000000035</v>
      </c>
      <c r="F77">
        <f>-中国_中债国债到期收益率_1年!F76+中国_中债国债到期收益率_1年!F75</f>
        <v>-0.00889999999999991</v>
      </c>
      <c r="G77">
        <f>-中国_中债国债到期收益率_1年!G76+中国_中债国债到期收益率_1年!G75</f>
        <v>-0.00229999999999997</v>
      </c>
    </row>
    <row r="78" spans="1:7">
      <c r="A78" s="7">
        <v>44823</v>
      </c>
      <c r="B78">
        <f>-中国_中债国债到期收益率_1年!B77+中国_中债国债到期收益率_1年!B76</f>
        <v>-0.024</v>
      </c>
      <c r="C78">
        <f>-中国_中债国债到期收益率_1年!C77+中国_中债国债到期收益率_1年!C76</f>
        <v>-0.012</v>
      </c>
      <c r="D78">
        <f>-中国_中债国债到期收益率_1年!D77+中国_中债国债到期收益率_1年!D76</f>
        <v>-0.0105</v>
      </c>
      <c r="E78">
        <f>-中国_中债国债到期收益率_1年!E77+中国_中债国债到期收益率_1年!E76</f>
        <v>9.99999999997669e-5</v>
      </c>
      <c r="F78">
        <f>-中国_中债国债到期收益率_1年!F77+中国_中债国债到期收益率_1年!F76</f>
        <v>-0.0317000000000001</v>
      </c>
      <c r="G78">
        <f>-中国_中债国债到期收益率_1年!G77+中国_中债国债到期收益率_1年!G76</f>
        <v>-0.0268999999999999</v>
      </c>
    </row>
    <row r="79" spans="1:7">
      <c r="A79" s="7">
        <v>44824</v>
      </c>
      <c r="B79">
        <f>-中国_中债国债到期收益率_1年!B78+中国_中债国债到期收益率_1年!B77</f>
        <v>-0.0207999999999999</v>
      </c>
      <c r="C79">
        <f>-中国_中债国债到期收益率_1年!C78+中国_中债国债到期收益率_1年!C77</f>
        <v>0.00760000000000005</v>
      </c>
      <c r="D79">
        <f>-中国_中债国债到期收益率_1年!D78+中国_中债国债到期收益率_1年!D77</f>
        <v>-0.00199999999999978</v>
      </c>
      <c r="E79">
        <f>-中国_中债国债到期收益率_1年!E78+中国_中债国债到期收益率_1年!E77</f>
        <v>0.00200000000000022</v>
      </c>
      <c r="F79">
        <f>-中国_中债国债到期收益率_1年!F78+中国_中债国债到期收益率_1年!F77</f>
        <v>0.00700000000000012</v>
      </c>
      <c r="G79">
        <f>-中国_中债国债到期收益率_1年!G78+中国_中债国债到期收益率_1年!G77</f>
        <v>0.0105</v>
      </c>
    </row>
    <row r="80" spans="1:7">
      <c r="A80" s="7">
        <v>44825</v>
      </c>
      <c r="B80">
        <f>-中国_中债国债到期收益率_1年!B79+中国_中债国债到期收益率_1年!B78</f>
        <v>0.00229999999999997</v>
      </c>
      <c r="C80">
        <f>-中国_中债国债到期收益率_1年!C79+中国_中债国债到期收益率_1年!C78</f>
        <v>0.0175000000000001</v>
      </c>
      <c r="D80">
        <f>-中国_中债国债到期收益率_1年!D79+中国_中债国债到期收益率_1年!D78</f>
        <v>0.0109999999999997</v>
      </c>
      <c r="E80">
        <f>-中国_中债国债到期收益率_1年!E79+中国_中债国债到期收益率_1年!E78</f>
        <v>0.0028999999999999</v>
      </c>
      <c r="F80">
        <f>-中国_中债国债到期收益率_1年!F79+中国_中债国债到期收益率_1年!F78</f>
        <v>0.0124</v>
      </c>
      <c r="G80">
        <f>-中国_中债国债到期收益率_1年!G79+中国_中债国债到期收益率_1年!G78</f>
        <v>0.0131000000000001</v>
      </c>
    </row>
    <row r="81" spans="1:7">
      <c r="A81" s="7">
        <v>44826</v>
      </c>
      <c r="B81">
        <f>-中国_中债国债到期收益率_1年!B80+中国_中债国债到期收益率_1年!B79</f>
        <v>0.0201</v>
      </c>
      <c r="C81">
        <f>-中国_中债国债到期收益率_1年!C80+中国_中债国债到期收益率_1年!C79</f>
        <v>0.0089999999999999</v>
      </c>
      <c r="D81">
        <f>-中国_中债国债到期收益率_1年!D80+中国_中债国债到期收益率_1年!D79</f>
        <v>0.0189000000000004</v>
      </c>
      <c r="E81">
        <f>-中国_中债国债到期收益率_1年!E80+中国_中债国债到期收益率_1年!E79</f>
        <v>0.012</v>
      </c>
      <c r="F81">
        <f>-中国_中债国债到期收益率_1年!F80+中国_中债国债到期收益率_1年!F79</f>
        <v>0.0028999999999999</v>
      </c>
      <c r="G81">
        <f>-中国_中债国债到期收益率_1年!G80+中国_中债国债到期收益率_1年!G79</f>
        <v>0.00890000000000013</v>
      </c>
    </row>
    <row r="82" spans="1:7">
      <c r="A82" s="7">
        <v>44827</v>
      </c>
      <c r="B82">
        <f>-中国_中债国债到期收益率_1年!B81+中国_中债国债到期收益率_1年!B80</f>
        <v>0.00500000000000012</v>
      </c>
      <c r="C82">
        <f>-中国_中债国债到期收益率_1年!C81+中国_中债国债到期收益率_1年!C80</f>
        <v>-0.0103999999999997</v>
      </c>
      <c r="D82">
        <f>-中国_中债国债到期收益率_1年!D81+中国_中债国债到期收益率_1年!D80</f>
        <v>-0.00500000000000034</v>
      </c>
      <c r="E82">
        <f>-中国_中债国债到期收益率_1年!E81+中国_中债国债到期收益率_1年!E80</f>
        <v>-0.00229999999999997</v>
      </c>
      <c r="F82">
        <f>-中国_中债国债到期收益率_1年!F81+中国_中债国债到期收益率_1年!F80</f>
        <v>-0.00839999999999996</v>
      </c>
      <c r="G82">
        <f>-中国_中债国债到期收益率_1年!G81+中国_中债国债到期收益率_1年!G80</f>
        <v>-0.00450000000000017</v>
      </c>
    </row>
    <row r="83" spans="1:7">
      <c r="A83" s="7">
        <v>44830</v>
      </c>
      <c r="B83">
        <f>-中国_中债国债到期收益率_1年!B82+中国_中债国债到期收益率_1年!B81</f>
        <v>-0.00480000000000014</v>
      </c>
      <c r="C83">
        <f>-中国_中债国债到期收益率_1年!C82+中国_中债国债到期收益率_1年!C81</f>
        <v>-0.0259</v>
      </c>
      <c r="D83">
        <f>-中国_中债国债到期收益率_1年!D82+中国_中债国债到期收益率_1年!D81</f>
        <v>-0.0301</v>
      </c>
      <c r="E83">
        <f>-中国_中债国债到期收益率_1年!E82+中国_中债国债到期收益率_1年!E81</f>
        <v>-0.00950000000000006</v>
      </c>
      <c r="F83">
        <f>-中国_中债国债到期收益率_1年!F82+中国_中债国债到期收益率_1年!F81</f>
        <v>-0.0069999999999999</v>
      </c>
      <c r="G83">
        <f>-中国_中债国债到期收益率_1年!G82+中国_中债国债到期收益率_1年!G81</f>
        <v>-0.0211000000000001</v>
      </c>
    </row>
    <row r="84" spans="1:7">
      <c r="A84" s="7">
        <v>44831</v>
      </c>
      <c r="B84">
        <f>-中国_中债国债到期收益率_1年!B83+中国_中债国债到期收益率_1年!B82</f>
        <v>-0.0327999999999999</v>
      </c>
      <c r="C84">
        <f>-中国_中债国债到期收益率_1年!C83+中国_中债国债到期收益率_1年!C82</f>
        <v>-0.0432000000000001</v>
      </c>
      <c r="D84">
        <f>-中国_中债国债到期收益率_1年!D83+中国_中债国债到期收益率_1年!D82</f>
        <v>-0.0351999999999997</v>
      </c>
      <c r="E84">
        <f>-中国_中债国债到期收益率_1年!E83+中国_中债国债到期收益率_1年!E82</f>
        <v>-0.0266000000000002</v>
      </c>
      <c r="F84">
        <f>-中国_中债国债到期收益率_1年!F83+中国_中债国债到期收益率_1年!F82</f>
        <v>-0.0408000000000002</v>
      </c>
      <c r="G84">
        <f>-中国_中债国债到期收益率_1年!G83+中国_中债国债到期收益率_1年!G82</f>
        <v>-0.0360999999999998</v>
      </c>
    </row>
    <row r="85" spans="1:7">
      <c r="A85" s="7">
        <v>44832</v>
      </c>
      <c r="B85">
        <f>-中国_中债国债到期收益率_1年!B84+中国_中债国债到期收益率_1年!B83</f>
        <v>-0.0103</v>
      </c>
      <c r="C85">
        <f>-中国_中债国债到期收益率_1年!C84+中国_中债国债到期收益率_1年!C83</f>
        <v>0.00939999999999985</v>
      </c>
      <c r="D85">
        <f>-中国_中债国债到期收益率_1年!D84+中国_中债国债到期收益率_1年!D83</f>
        <v>0.0103</v>
      </c>
      <c r="E85">
        <f>-中国_中债国债到期收益率_1年!E84+中国_中债国债到期收益率_1年!E83</f>
        <v>0.0072000000000001</v>
      </c>
      <c r="F85">
        <f>-中国_中债国债到期收益率_1年!F84+中国_中债国债到期收益率_1年!F83</f>
        <v>0.0121</v>
      </c>
      <c r="G85">
        <f>-中国_中债国债到期收益率_1年!G84+中国_中债国债到期收益率_1年!G83</f>
        <v>-0.00760000000000005</v>
      </c>
    </row>
    <row r="86" spans="1:7">
      <c r="A86" s="7">
        <v>44833</v>
      </c>
      <c r="B86">
        <f>-中国_中债国债到期收益率_1年!B85+中国_中债国债到期收益率_1年!B84</f>
        <v>-0.0313000000000001</v>
      </c>
      <c r="C86">
        <f>-中国_中债国债到期收益率_1年!C85+中国_中债国债到期收益率_1年!C84</f>
        <v>-0.0288999999999997</v>
      </c>
      <c r="D86">
        <f>-中国_中债国债到期收益率_1年!D85+中国_中债国债到期收益率_1年!D84</f>
        <v>-0.0350000000000001</v>
      </c>
      <c r="E86">
        <f>-中国_中债国债到期收益率_1年!E85+中国_中债国债到期收益率_1年!E84</f>
        <v>-0.0246</v>
      </c>
      <c r="F86">
        <f>-中国_中债国债到期收益率_1年!F85+中国_中债国债到期收益率_1年!F84</f>
        <v>-0.00170000000000003</v>
      </c>
      <c r="G86">
        <f>-中国_中债国债到期收益率_1年!G85+中国_中债国债到期收益率_1年!G84</f>
        <v>-0.0145</v>
      </c>
    </row>
    <row r="87" spans="1:7">
      <c r="A87" s="7">
        <v>44834</v>
      </c>
      <c r="B87">
        <f>-中国_中债国债到期收益率_1年!B86+中国_中债国债到期收益率_1年!B85</f>
        <v>0.00940000000000007</v>
      </c>
      <c r="C87">
        <f>-中国_中债国债到期收益率_1年!C86+中国_中债国债到期收益率_1年!C85</f>
        <v>-0.0301</v>
      </c>
      <c r="D87">
        <f>-中国_中债国债到期收益率_1年!D86+中国_中债国债到期收益率_1年!D85</f>
        <v>-0.0100000000000002</v>
      </c>
      <c r="E87">
        <f>-中国_中债国债到期收益率_1年!E86+中国_中债国债到期收益率_1年!E85</f>
        <v>0.000300000000000189</v>
      </c>
      <c r="F87">
        <f>-中国_中债国债到期收益率_1年!F86+中国_中债国债到期收益率_1年!F85</f>
        <v>-0.0243999999999998</v>
      </c>
      <c r="G87">
        <f>-中国_中债国债到期收益率_1年!G86+中国_中债国债到期收益率_1年!G85</f>
        <v>-0.0158</v>
      </c>
    </row>
    <row r="88" spans="1:7">
      <c r="A88" s="7">
        <v>44842</v>
      </c>
      <c r="B88">
        <f>-中国_中债国债到期收益率_1年!B87+中国_中债国债到期收益率_1年!B86</f>
        <v>0.0395000000000001</v>
      </c>
      <c r="C88">
        <f>-中国_中债国债到期收益率_1年!C87+中国_中债国债到期收益率_1年!C86</f>
        <v>-0.0220000000000002</v>
      </c>
      <c r="D88">
        <f>-中国_中债国债到期收益率_1年!D87+中国_中债国债到期收益率_1年!D86</f>
        <v>-0.00999999999999979</v>
      </c>
      <c r="E88">
        <f>-中国_中债国债到期收益率_1年!E87+中国_中债国债到期收益率_1年!E86</f>
        <v>-0.0345</v>
      </c>
      <c r="F88">
        <f>-中国_中债国债到期收益率_1年!F87+中国_中债国债到期收益率_1年!F86</f>
        <v>0</v>
      </c>
      <c r="G88">
        <f>-中国_中债国债到期收益率_1年!G87+中国_中债国债到期收益率_1年!G86</f>
        <v>-0.0246</v>
      </c>
    </row>
    <row r="89" spans="1:7">
      <c r="A89" s="7">
        <v>44843</v>
      </c>
      <c r="B89">
        <f>-中国_中债国债到期收益率_1年!B88+中国_中债国债到期收益率_1年!B87</f>
        <v>0.0211999999999999</v>
      </c>
      <c r="C89">
        <f>-中国_中债国债到期收益率_1年!C88+中国_中债国债到期收益率_1年!C87</f>
        <v>0.00249999999999995</v>
      </c>
      <c r="D89">
        <f>-中国_中债国债到期收益率_1年!D88+中国_中债国债到期收益率_1年!D87</f>
        <v>-0.00249999999999995</v>
      </c>
      <c r="E89">
        <f>-中国_中债国债到期收益率_1年!E88+中国_中债国债到期收益率_1年!E87</f>
        <v>-0.00609999999999999</v>
      </c>
      <c r="F89">
        <f>-中国_中债国债到期收益率_1年!F88+中国_中债国债到期收益率_1年!F87</f>
        <v>0.00849999999999973</v>
      </c>
      <c r="G89">
        <f>-中国_中债国债到期收益率_1年!G88+中国_中债国债到期收益率_1年!G87</f>
        <v>0.0207000000000002</v>
      </c>
    </row>
    <row r="90" spans="1:7">
      <c r="A90" s="7">
        <v>44844</v>
      </c>
      <c r="B90">
        <f>-中国_中债国债到期收益率_1年!B89+中国_中债国债到期收益率_1年!B88</f>
        <v>0.00330000000000008</v>
      </c>
      <c r="C90">
        <f>-中国_中债国债到期收益率_1年!C89+中国_中债国债到期收益率_1年!C88</f>
        <v>0.0325000000000002</v>
      </c>
      <c r="D90">
        <f>-中国_中债国债到期收益率_1年!D89+中国_中债国债到期收益率_1年!D88</f>
        <v>0.0173999999999999</v>
      </c>
      <c r="E90">
        <f>-中国_中债国债到期收益率_1年!E89+中国_中债国债到期收益率_1年!E88</f>
        <v>0.0210999999999997</v>
      </c>
      <c r="F90">
        <f>-中国_中债国债到期收益率_1年!F89+中国_中债国债到期收益率_1年!F88</f>
        <v>0.0117000000000003</v>
      </c>
      <c r="G90">
        <f>-中国_中债国债到期收益率_1年!G89+中国_中债国债到期收益率_1年!G88</f>
        <v>-0.000300000000000189</v>
      </c>
    </row>
    <row r="91" spans="1:7">
      <c r="A91" s="7">
        <v>44845</v>
      </c>
      <c r="B91">
        <f>-中国_中债国债到期收益率_1年!B90+中国_中债国债到期收益率_1年!B89</f>
        <v>0.0382</v>
      </c>
      <c r="C91">
        <f>-中国_中债国债到期收益率_1年!C90+中国_中债国债到期收益率_1年!C89</f>
        <v>0.0179999999999998</v>
      </c>
      <c r="D91">
        <f>-中国_中债国债到期收益率_1年!D90+中国_中债国债到期收益率_1年!D89</f>
        <v>0.00499999999999989</v>
      </c>
      <c r="E91">
        <f>-中国_中债国债到期收益率_1年!E90+中国_中债国债到期收益率_1年!E89</f>
        <v>0.000300000000000189</v>
      </c>
      <c r="F91">
        <f>-中国_中债国债到期收益率_1年!F90+中国_中债国债到期收益率_1年!F89</f>
        <v>0.0275999999999998</v>
      </c>
      <c r="G91">
        <f>-中国_中债国债到期收益率_1年!G90+中国_中债国债到期收益率_1年!G89</f>
        <v>0.0129000000000001</v>
      </c>
    </row>
    <row r="92" spans="1:7">
      <c r="A92" s="7">
        <v>44846</v>
      </c>
      <c r="B92">
        <f>-中国_中债国债到期收益率_1年!B91+中国_中债国债到期收益率_1年!B90</f>
        <v>0.00409999999999999</v>
      </c>
      <c r="C92">
        <f>-中国_中债国债到期收益率_1年!C91+中国_中债国债到期收益率_1年!C90</f>
        <v>-0.00439999999999996</v>
      </c>
      <c r="D92">
        <f>-中国_中债国债到期收益率_1年!D91+中国_中债国债到期收益率_1年!D90</f>
        <v>-0.00239999999999974</v>
      </c>
      <c r="E92">
        <f>-中国_中债国债到期收益率_1年!E91+中国_中债国债到期收益率_1年!E90</f>
        <v>0.000500000000000167</v>
      </c>
      <c r="F92">
        <f>-中国_中债国债到期收益率_1年!F91+中国_中债国债到期收益率_1年!F90</f>
        <v>0.00340000000000007</v>
      </c>
      <c r="G92">
        <f>-中国_中债国债到期收益率_1年!G91+中国_中债国债到期收益率_1年!G90</f>
        <v>0.00889999999999969</v>
      </c>
    </row>
    <row r="93" spans="1:7">
      <c r="A93" s="7">
        <v>44847</v>
      </c>
      <c r="B93">
        <f>-中国_中债国债到期收益率_1年!B92+中国_中债国债到期收益率_1年!B91</f>
        <v>-0.02</v>
      </c>
      <c r="C93">
        <f>-中国_中债国债到期收益率_1年!C92+中国_中债国债到期收益率_1年!C91</f>
        <v>0.0131000000000001</v>
      </c>
      <c r="D93">
        <f>-中国_中债国债到期收益率_1年!D92+中国_中债国债到期收益率_1年!D91</f>
        <v>0.00740000000000007</v>
      </c>
      <c r="E93">
        <f>-中国_中债国债到期收益率_1年!E92+中国_中债国债到期收益率_1年!E91</f>
        <v>0.00249999999999995</v>
      </c>
      <c r="F93">
        <f>-中国_中债国债到期收益率_1年!F92+中国_中债国债到期收益率_1年!F91</f>
        <v>0.000699999999999923</v>
      </c>
      <c r="G93">
        <f>-中国_中债国债到期收益率_1年!G92+中国_中债国债到期收益率_1年!G91</f>
        <v>-0.00169999999999959</v>
      </c>
    </row>
    <row r="94" spans="1:7">
      <c r="A94" s="7">
        <v>44848</v>
      </c>
      <c r="B94">
        <f>-中国_中债国债到期收益率_1年!B93+中国_中债国债到期收益率_1年!B92</f>
        <v>0.00160000000000005</v>
      </c>
      <c r="C94">
        <f>-中国_中债国债到期收益率_1年!C93+中国_中债国债到期收益率_1年!C92</f>
        <v>0.00970000000000004</v>
      </c>
      <c r="D94">
        <f>-中国_中债国债到期收益率_1年!D93+中国_中债国债到期收益率_1年!D92</f>
        <v>0.00999999999999979</v>
      </c>
      <c r="E94">
        <f>-中国_中债国债到期收益率_1年!E93+中国_中债国债到期收益率_1年!E92</f>
        <v>0.00739999999999963</v>
      </c>
      <c r="F94">
        <f>-中国_中债国债到期收益率_1年!F93+中国_中债国债到期收益率_1年!F92</f>
        <v>0.0108999999999999</v>
      </c>
      <c r="G94">
        <f>-中国_中债国债到期收益率_1年!G93+中国_中债国债到期收益率_1年!G92</f>
        <v>0.0108999999999999</v>
      </c>
    </row>
    <row r="95" spans="1:7">
      <c r="A95" s="7">
        <v>44851</v>
      </c>
      <c r="B95">
        <f>-中国_中债国债到期收益率_1年!B94+中国_中债国债到期收益率_1年!B93</f>
        <v>0.02</v>
      </c>
      <c r="C95">
        <f>-中国_中债国债到期收益率_1年!C94+中国_中债国债到期收益率_1年!C93</f>
        <v>0.0217000000000001</v>
      </c>
      <c r="D95">
        <f>-中国_中债国债到期收益率_1年!D94+中国_中债国债到期收益率_1年!D93</f>
        <v>0.0274999999999999</v>
      </c>
      <c r="E95">
        <f>-中国_中债国债到期收益率_1年!E94+中国_中债国债到期收益率_1年!E93</f>
        <v>0.0244000000000004</v>
      </c>
      <c r="F95">
        <f>-中国_中债国债到期收益率_1年!F94+中国_中债国债到期收益率_1年!F93</f>
        <v>0.00520000000000009</v>
      </c>
      <c r="G95">
        <f>-中国_中债国债到期收益率_1年!G94+中国_中债国债到期收益率_1年!G93</f>
        <v>0.00780000000000003</v>
      </c>
    </row>
    <row r="96" spans="1:7">
      <c r="A96" s="7">
        <v>44852</v>
      </c>
      <c r="B96">
        <f>-中国_中债国债到期收益率_1年!B95+中国_中债国债到期收益率_1年!B94</f>
        <v>-0.000500000000000167</v>
      </c>
      <c r="C96">
        <f>-中国_中债国债到期收益率_1年!C95+中国_中债国债到期收益率_1年!C94</f>
        <v>-0.00260000000000016</v>
      </c>
      <c r="D96">
        <f>-中国_中债国债到期收益率_1年!D95+中国_中债国债到期收益率_1年!D94</f>
        <v>-0.00249999999999995</v>
      </c>
      <c r="E96">
        <f>-中国_中债国债到期收益率_1年!E95+中国_中债国债到期收益率_1年!E94</f>
        <v>-0.000100000000000211</v>
      </c>
      <c r="F96">
        <f>-中国_中债国债到期收益率_1年!F95+中国_中债国债到期收益率_1年!F94</f>
        <v>0.00819999999999999</v>
      </c>
      <c r="G96">
        <f>-中国_中债国债到期收益率_1年!G95+中国_中债国债到期收益率_1年!G94</f>
        <v>0.0124999999999997</v>
      </c>
    </row>
    <row r="97" spans="1:7">
      <c r="A97" s="7">
        <v>44853</v>
      </c>
      <c r="B97">
        <f>-中国_中债国债到期收益率_1年!B96+中国_中债国债到期收益率_1年!B95</f>
        <v>0</v>
      </c>
      <c r="C97">
        <f>-中国_中债国债到期收益率_1年!C96+中国_中债国债到期收益率_1年!C95</f>
        <v>0.00200000000000022</v>
      </c>
      <c r="D97">
        <f>-中国_中债国债到期收益率_1年!D96+中国_中债国债到期收益率_1年!D95</f>
        <v>0</v>
      </c>
      <c r="E97">
        <f>-中国_中债国债到期收益率_1年!E96+中国_中债国债到期收益率_1年!E95</f>
        <v>-0.00240000000000018</v>
      </c>
      <c r="F97">
        <f>-中国_中债国债到期收益率_1年!F96+中国_中债国债到期收益率_1年!F95</f>
        <v>0.000699999999999923</v>
      </c>
      <c r="G97">
        <f>-中国_中债国债到期收益率_1年!G96+中国_中债国债到期收益率_1年!G95</f>
        <v>-0.00279999999999969</v>
      </c>
    </row>
    <row r="98" spans="1:7">
      <c r="A98" s="7">
        <v>44854</v>
      </c>
      <c r="B98">
        <f>-中国_中债国债到期收益率_1年!B97+中国_中债国债到期收益率_1年!B96</f>
        <v>0.00500000000000012</v>
      </c>
      <c r="C98">
        <f>-中国_中债国债到期收益率_1年!C97+中国_中债国债到期收益率_1年!C96</f>
        <v>0.0148999999999999</v>
      </c>
      <c r="D98">
        <f>-中国_中债国债到期收益率_1年!D97+中国_中债国债到期收益率_1年!D96</f>
        <v>-0.00499999999999989</v>
      </c>
      <c r="E98">
        <f>-中国_中债国债到期收益率_1年!E97+中国_中债国债到期收益率_1年!E96</f>
        <v>-0.0028999999999999</v>
      </c>
      <c r="F98">
        <f>-中国_中债国债到期收益率_1年!F97+中国_中债国债到期收益率_1年!F96</f>
        <v>0.000500000000000167</v>
      </c>
      <c r="G98">
        <f>-中国_中债国债到期收益率_1年!G97+中国_中债国债到期收益率_1年!G96</f>
        <v>0.00159999999999982</v>
      </c>
    </row>
    <row r="99" spans="1:7">
      <c r="A99" s="7">
        <v>44855</v>
      </c>
      <c r="B99">
        <f>-中国_中债国债到期收益率_1年!B98+中国_中债国债到期收益率_1年!B97</f>
        <v>0.0149999999999999</v>
      </c>
      <c r="C99">
        <f>-中国_中债国债到期收益率_1年!C98+中国_中债国债到期收益率_1年!C97</f>
        <v>-0.00790000000000024</v>
      </c>
      <c r="D99">
        <f>-中国_中债国债到期收益率_1年!D98+中国_中债国债到期收益率_1年!D97</f>
        <v>-0.0122999999999998</v>
      </c>
      <c r="E99">
        <f>-中国_中债国债到期收益率_1年!E98+中国_中债国债到期收益率_1年!E97</f>
        <v>-0.0127999999999999</v>
      </c>
      <c r="F99">
        <f>-中国_中债国债到期收益率_1年!F98+中国_中债国债到期收益率_1年!F97</f>
        <v>-0.0107000000000002</v>
      </c>
      <c r="G99">
        <f>-中国_中债国债到期收益率_1年!G98+中国_中债国债到期收益率_1年!G97</f>
        <v>-0.0165000000000002</v>
      </c>
    </row>
    <row r="100" spans="1:7">
      <c r="A100" s="7">
        <v>44858</v>
      </c>
      <c r="B100">
        <f>-中国_中债国债到期收益率_1年!B99+中国_中债国债到期收益率_1年!B98</f>
        <v>-0.00499999999999989</v>
      </c>
      <c r="C100">
        <f>-中国_中债国债到期收益率_1年!C99+中国_中债国债到期收益率_1年!C98</f>
        <v>-0.00769999999999982</v>
      </c>
      <c r="D100">
        <f>-中国_中债国债到期收益率_1年!D99+中国_中债国债到期收益率_1年!D98</f>
        <v>-0.0103</v>
      </c>
      <c r="E100">
        <f>-中国_中债国债到期收益率_1年!E99+中国_中债国债到期收益率_1年!E98</f>
        <v>-0.00839999999999996</v>
      </c>
      <c r="F100">
        <f>-中国_中债国债到期收益率_1年!F99+中国_中债国债到期收益率_1年!F98</f>
        <v>-0.0183</v>
      </c>
      <c r="G100">
        <f>-中国_中债国债到期收益率_1年!G99+中国_中债国债到期收益率_1年!G98</f>
        <v>-0.00839999999999996</v>
      </c>
    </row>
    <row r="101" spans="1:7">
      <c r="A101" s="7">
        <v>44859</v>
      </c>
      <c r="B101">
        <f>-中国_中债国债到期收益率_1年!B100+中国_中债国债到期收益率_1年!B99</f>
        <v>0.000599999999999934</v>
      </c>
      <c r="C101">
        <f>-中国_中债国债到期收益率_1年!C100+中国_中债国债到期收益率_1年!C99</f>
        <v>0.00660000000000016</v>
      </c>
      <c r="D101">
        <f>-中国_中债国债到期收益率_1年!D100+中国_中债国债到期收益率_1年!D99</f>
        <v>0.0124999999999997</v>
      </c>
      <c r="E101">
        <f>-中国_中债国债到期收益率_1年!E100+中国_中债国债到期收益率_1年!E99</f>
        <v>0.0139</v>
      </c>
      <c r="F101">
        <f>-中国_中债国债到期收益率_1年!F100+中国_中债国债到期收益率_1年!F99</f>
        <v>-0.00409999999999999</v>
      </c>
      <c r="G101">
        <f>-中国_中债国债到期收益率_1年!G100+中国_中债国债到期收益率_1年!G99</f>
        <v>0.00530000000000008</v>
      </c>
    </row>
    <row r="102" spans="1:7">
      <c r="A102" s="7">
        <v>44860</v>
      </c>
      <c r="B102">
        <f>-中国_中债国债到期收益率_1年!B101+中国_中债国债到期收益率_1年!B100</f>
        <v>-0.0245</v>
      </c>
      <c r="C102">
        <f>-中国_中债国债到期收益率_1年!C101+中国_中债国债到期收益率_1年!C100</f>
        <v>-0.0179</v>
      </c>
      <c r="D102">
        <f>-中国_中债国债到期收益率_1年!D101+中国_中债国债到期收益率_1年!D100</f>
        <v>-0.0124999999999997</v>
      </c>
      <c r="E102">
        <f>-中国_中债国债到期收益率_1年!E101+中国_中债国债到期收益率_1年!E100</f>
        <v>-0.00700000000000012</v>
      </c>
      <c r="F102">
        <f>-中国_中债国债到期收益率_1年!F101+中国_中债国债到期收益率_1年!F100</f>
        <v>-0.0206999999999999</v>
      </c>
      <c r="G102">
        <f>-中国_中债国债到期收益率_1年!G101+中国_中债国债到期收益率_1年!G100</f>
        <v>-0.00780000000000003</v>
      </c>
    </row>
    <row r="103" spans="1:7">
      <c r="A103" s="7">
        <v>44861</v>
      </c>
      <c r="B103">
        <f>-中国_中债国债到期收益率_1年!B102+中国_中债国债到期收益率_1年!B101</f>
        <v>-0.00600000000000001</v>
      </c>
      <c r="C103">
        <f>-中国_中债国债到期收益率_1年!C102+中国_中债国债到期收益率_1年!C101</f>
        <v>0.0196000000000001</v>
      </c>
      <c r="D103">
        <f>-中国_中债国债到期收益率_1年!D102+中国_中债国债到期收益率_1年!D101</f>
        <v>0.0252999999999997</v>
      </c>
      <c r="E103">
        <f>-中国_中债国债到期收益率_1年!E102+中国_中债国债到期收益率_1年!E101</f>
        <v>0.00919999999999987</v>
      </c>
      <c r="F103">
        <f>-中国_中债国债到期收益率_1年!F102+中国_中债国债到期收益率_1年!F101</f>
        <v>0.00550000000000006</v>
      </c>
      <c r="G103">
        <f>-中国_中债国债到期收益率_1年!G102+中国_中债国债到期收益率_1年!G101</f>
        <v>0.00590000000000002</v>
      </c>
    </row>
    <row r="104" spans="1:7">
      <c r="A104" s="7">
        <v>44862</v>
      </c>
      <c r="B104">
        <f>-中国_中债国债到期收益率_1年!B103+中国_中债国债到期收益率_1年!B102</f>
        <v>0.0453999999999999</v>
      </c>
      <c r="C104">
        <f>-中国_中债国债到期收益率_1年!C103+中国_中债国债到期收益率_1年!C102</f>
        <v>0.0198999999999998</v>
      </c>
      <c r="D104">
        <f>-中国_中债国债到期收益率_1年!D103+中国_中债国债到期收益率_1年!D102</f>
        <v>0.0072000000000001</v>
      </c>
      <c r="E104">
        <f>-中国_中债国债到期收益率_1年!E103+中国_中债国债到期收益率_1年!E102</f>
        <v>0.0252000000000003</v>
      </c>
      <c r="F104">
        <f>-中国_中债国债到期收益率_1年!F103+中国_中债国债到期收益率_1年!F102</f>
        <v>0.0162</v>
      </c>
      <c r="G104">
        <f>-中国_中债国债到期收益率_1年!G103+中国_中债国债到期收益率_1年!G102</f>
        <v>0.0226999999999999</v>
      </c>
    </row>
    <row r="105" spans="1:7">
      <c r="A105" s="7">
        <v>44865</v>
      </c>
      <c r="B105">
        <f>-中国_中债国债到期收益率_1年!B104+中国_中债国债到期收益率_1年!B103</f>
        <v>0.0148000000000001</v>
      </c>
      <c r="C105">
        <f>-中国_中债国债到期收益率_1年!C104+中国_中债国债到期收益率_1年!C103</f>
        <v>0.0299</v>
      </c>
      <c r="D105">
        <f>-中国_中债国债到期收益率_1年!D104+中国_中债国债到期收益率_1年!D103</f>
        <v>0.0300000000000002</v>
      </c>
      <c r="E105">
        <f>-中国_中债国债到期收益率_1年!E104+中国_中债国债到期收益率_1年!E103</f>
        <v>0.0366</v>
      </c>
      <c r="F105">
        <f>-中国_中债国债到期收益率_1年!F104+中国_中债国债到期收益率_1年!F103</f>
        <v>0.0163</v>
      </c>
      <c r="G105">
        <f>-中国_中债国债到期收益率_1年!G104+中国_中债国债到期收益率_1年!G103</f>
        <v>0.0125999999999999</v>
      </c>
    </row>
    <row r="106" spans="1:7">
      <c r="A106" s="7">
        <v>44866</v>
      </c>
      <c r="B106">
        <f>-中国_中债国债到期收益率_1年!B105+中国_中债国债到期收益率_1年!B104</f>
        <v>0.00980000000000003</v>
      </c>
      <c r="C106">
        <f>-中国_中债国债到期收益率_1年!C105+中国_中债国债到期收益率_1年!C104</f>
        <v>0.00649999999999995</v>
      </c>
      <c r="D106">
        <f>-中国_中债国债到期收益率_1年!D105+中国_中债国债到期收益率_1年!D104</f>
        <v>0.0219999999999998</v>
      </c>
      <c r="E106">
        <f>-中国_中债国债到期收益率_1年!E105+中国_中债国债到期收益率_1年!E104</f>
        <v>0.0122999999999998</v>
      </c>
      <c r="F106">
        <f>-中国_中债国债到期收益率_1年!F105+中国_中债国债到期收益率_1年!F104</f>
        <v>0.0103</v>
      </c>
      <c r="G106">
        <f>-中国_中债国债到期收益率_1年!G105+中国_中债国债到期收益率_1年!G104</f>
        <v>0.0266999999999999</v>
      </c>
    </row>
    <row r="107" spans="1:7">
      <c r="A107" s="7">
        <v>44867</v>
      </c>
      <c r="B107">
        <f>-中国_中债国债到期收益率_1年!B106+中国_中债国债到期收益率_1年!B105</f>
        <v>-0.0218</v>
      </c>
      <c r="C107">
        <f>-中国_中债国债到期收益率_1年!C106+中国_中债国债到期收益率_1年!C105</f>
        <v>-0.0204</v>
      </c>
      <c r="D107">
        <f>-中国_中债国债到期收益率_1年!D106+中国_中债国债到期收益率_1年!D105</f>
        <v>-0.0196000000000001</v>
      </c>
      <c r="E107">
        <f>-中国_中债国债到期收益率_1年!E106+中国_中债国债到期收益率_1年!E105</f>
        <v>-0.00999999999999979</v>
      </c>
      <c r="F107">
        <f>-中国_中债国债到期收益率_1年!F106+中国_中债国债到期收益率_1年!F105</f>
        <v>-0.0265</v>
      </c>
      <c r="G107">
        <f>-中国_中债国债到期收益率_1年!G106+中国_中债国债到期收益率_1年!G105</f>
        <v>-0.0236999999999998</v>
      </c>
    </row>
    <row r="108" spans="1:7">
      <c r="A108" s="7">
        <v>44868</v>
      </c>
      <c r="B108">
        <f>-中国_中债国债到期收益率_1年!B107+中国_中债国债到期收益率_1年!B106</f>
        <v>-0.0110000000000001</v>
      </c>
      <c r="C108">
        <f>-中国_中债国债到期收益率_1年!C107+中国_中债国债到期收益率_1年!C106</f>
        <v>-0.0152999999999999</v>
      </c>
      <c r="D108">
        <f>-中国_中债国债到期收益率_1年!D107+中国_中债国债到期收益率_1年!D106</f>
        <v>-0.0225</v>
      </c>
      <c r="E108">
        <f>-中国_中债国债到期收益率_1年!E107+中国_中债国债到期收益率_1年!E106</f>
        <v>-0.0100000000000002</v>
      </c>
      <c r="F108">
        <f>-中国_中债国债到期收益率_1年!F107+中国_中债国债到期收益率_1年!F106</f>
        <v>-0.00700000000000012</v>
      </c>
      <c r="G108">
        <f>-中国_中债国债到期收益率_1年!G107+中国_中债国债到期收益率_1年!G106</f>
        <v>-0.0146999999999999</v>
      </c>
    </row>
    <row r="109" spans="1:7">
      <c r="A109" s="7">
        <v>44869</v>
      </c>
      <c r="B109">
        <f>-中国_中债国债到期收益率_1年!B108+中国_中债国债到期收益率_1年!B107</f>
        <v>0.0103000000000002</v>
      </c>
      <c r="C109">
        <f>-中国_中债国债到期收益率_1年!C108+中国_中债国债到期收益率_1年!C107</f>
        <v>-0.000300000000000189</v>
      </c>
      <c r="D109">
        <f>-中国_中债国债到期收益率_1年!D108+中国_中债国债到期收益率_1年!D107</f>
        <v>0.00780000000000003</v>
      </c>
      <c r="E109">
        <f>-中国_中债国债到期收益率_1年!E108+中国_中债国债到期收益率_1年!E107</f>
        <v>-9.99999999997669e-5</v>
      </c>
      <c r="F109">
        <f>-中国_中债国债到期收益率_1年!F108+中国_中债国债到期收益率_1年!F107</f>
        <v>-0.00149999999999983</v>
      </c>
      <c r="G109">
        <f>-中国_中债国债到期收益率_1年!G108+中国_中债国债到期收益率_1年!G107</f>
        <v>-0.00229999999999997</v>
      </c>
    </row>
    <row r="110" spans="1:7">
      <c r="A110" s="7">
        <v>44872</v>
      </c>
      <c r="B110">
        <f>-中国_中债国债到期收益率_1年!B109+中国_中债国债到期收益率_1年!B108</f>
        <v>-0.00980000000000003</v>
      </c>
      <c r="C110">
        <f>-中国_中债国债到期收益率_1年!C109+中国_中债国债到期收益率_1年!C108</f>
        <v>-0.0255000000000001</v>
      </c>
      <c r="D110">
        <f>-中国_中债国债到期收益率_1年!D109+中国_中债国债到期收益率_1年!D108</f>
        <v>-0.0247000000000002</v>
      </c>
      <c r="E110">
        <f>-中国_中债国债到期收益率_1年!E109+中国_中债国债到期收益率_1年!E108</f>
        <v>-0.0175000000000001</v>
      </c>
      <c r="F110">
        <f>-中国_中债国债到期收益率_1年!F109+中国_中债国债到期收益率_1年!F108</f>
        <v>-0.0126000000000002</v>
      </c>
      <c r="G110">
        <f>-中国_中债国债到期收益率_1年!G109+中国_中债国债到期收益率_1年!G108</f>
        <v>-0.0263</v>
      </c>
    </row>
    <row r="111" spans="1:7">
      <c r="A111" s="7">
        <v>44873</v>
      </c>
      <c r="B111">
        <f>-中国_中债国债到期收益率_1年!B110+中国_中债国债到期收益率_1年!B109</f>
        <v>0.0111999999999999</v>
      </c>
      <c r="C111">
        <f>-中国_中债国债到期收益率_1年!C110+中国_中债国债到期收益率_1年!C109</f>
        <v>-0.00579999999999981</v>
      </c>
      <c r="D111">
        <f>-中国_中债国债到期收益率_1年!D110+中国_中债国债到期收益率_1年!D109</f>
        <v>0.00200000000000022</v>
      </c>
      <c r="E111">
        <f>-中国_中债国债到期收益率_1年!E110+中国_中债国债到期收益率_1年!E109</f>
        <v>-0.00159999999999982</v>
      </c>
      <c r="F111">
        <f>-中国_中债国债到期收益率_1年!F110+中国_中债国债到期收益率_1年!F109</f>
        <v>-0.0158</v>
      </c>
      <c r="G111">
        <f>-中国_中债国债到期收益率_1年!G110+中国_中债国债到期收益率_1年!G109</f>
        <v>-0.0123000000000002</v>
      </c>
    </row>
    <row r="112" spans="1:7">
      <c r="A112" s="7">
        <v>44874</v>
      </c>
      <c r="B112">
        <f>-中国_中债国债到期收益率_1年!B111+中国_中债国债到期收益率_1年!B110</f>
        <v>-0.0258</v>
      </c>
      <c r="C112">
        <f>-中国_中债国债到期收益率_1年!C111+中国_中债国债到期收益率_1年!C110</f>
        <v>0.0103999999999997</v>
      </c>
      <c r="D112">
        <f>-中国_中债国债到期收益率_1年!D111+中国_中债国债到期收益率_1年!D110</f>
        <v>0.0150000000000001</v>
      </c>
      <c r="E112">
        <f>-中国_中债国债到期收益率_1年!E111+中国_中债国债到期收益率_1年!E110</f>
        <v>0.00389999999999979</v>
      </c>
      <c r="F112">
        <f>-中国_中债国债到期收益率_1年!F111+中国_中债国债到期收益率_1年!F110</f>
        <v>-0.0263</v>
      </c>
      <c r="G112">
        <f>-中国_中债国债到期收益率_1年!G111+中国_中债国债到期收益率_1年!G110</f>
        <v>-0.0175999999999998</v>
      </c>
    </row>
    <row r="113" spans="1:7">
      <c r="A113" s="7">
        <v>44875</v>
      </c>
      <c r="B113">
        <f>-中国_中债国债到期收益率_1年!B112+中国_中债国债到期收益率_1年!B111</f>
        <v>-0.0382</v>
      </c>
      <c r="C113">
        <f>-中国_中债国债到期收益率_1年!C112+中国_中债国债到期收益率_1年!C111</f>
        <v>-0.0126999999999997</v>
      </c>
      <c r="D113">
        <f>-中国_中债国债到期收益率_1年!D112+中国_中债国债到期收益率_1年!D111</f>
        <v>-0.0100000000000002</v>
      </c>
      <c r="E113">
        <f>-中国_中债国债到期收益率_1年!E112+中国_中债国债到期收益率_1年!E111</f>
        <v>-0.00990000000000002</v>
      </c>
      <c r="F113">
        <f>-中国_中债国债到期收益率_1年!F112+中国_中债国债到期收益率_1年!F111</f>
        <v>-0.00429999999999975</v>
      </c>
      <c r="G113">
        <f>-中国_中债国债到期收益率_1年!G112+中国_中债国债到期收益率_1年!G111</f>
        <v>0.0108000000000001</v>
      </c>
    </row>
    <row r="114" spans="1:7">
      <c r="A114" s="7">
        <v>44876</v>
      </c>
      <c r="B114">
        <f>-中国_中债国债到期收益率_1年!B113+中国_中债国债到期收益率_1年!B112</f>
        <v>-0.0427999999999999</v>
      </c>
      <c r="C114">
        <f>-中国_中债国债到期收益率_1年!C113+中国_中债国债到期收益率_1年!C112</f>
        <v>-0.00540000000000029</v>
      </c>
      <c r="D114">
        <f>-中国_中债国债到期收益率_1年!D113+中国_中债国债到期收益率_1年!D112</f>
        <v>-0.00749999999999984</v>
      </c>
      <c r="E114">
        <f>-中国_中债国债到期收益率_1年!E113+中国_中债国债到期收益率_1年!E112</f>
        <v>-0.00609999999999999</v>
      </c>
      <c r="F114">
        <f>-中国_中债国债到期收益率_1年!F113+中国_中债国债到期收益率_1年!F112</f>
        <v>-0.0206</v>
      </c>
      <c r="G114">
        <f>-中国_中债国债到期收益率_1年!G113+中国_中债国债到期收益率_1年!G112</f>
        <v>-0.00570000000000004</v>
      </c>
    </row>
    <row r="115" spans="1:7">
      <c r="A115" s="7">
        <v>44879</v>
      </c>
      <c r="B115">
        <f>-中国_中债国债到期收益率_1年!B114+中国_中债国债到期收益率_1年!B113</f>
        <v>-0.103</v>
      </c>
      <c r="C115">
        <f>-中国_中债国债到期收益率_1年!C114+中国_中债国债到期收益率_1年!C113</f>
        <v>-0.0326</v>
      </c>
      <c r="D115">
        <f>-中国_中债国债到期收益率_1年!D114+中国_中债国债到期收益率_1年!D113</f>
        <v>-0.0326</v>
      </c>
      <c r="E115">
        <f>-中国_中债国债到期收益率_1年!E114+中国_中债国债到期收益率_1年!E113</f>
        <v>-0.0190999999999999</v>
      </c>
      <c r="F115">
        <f>-中国_中债国债到期收益率_1年!F114+中国_中债国债到期收益率_1年!F113</f>
        <v>-0.0157000000000003</v>
      </c>
      <c r="G115">
        <f>-中国_中债国债到期收益率_1年!G114+中国_中债国债到期收益率_1年!G113</f>
        <v>-0.0350999999999999</v>
      </c>
    </row>
    <row r="116" spans="1:7">
      <c r="A116" s="7">
        <v>44880</v>
      </c>
      <c r="B116">
        <f>-中国_中债国债到期收益率_1年!B115+中国_中债国债到期收益率_1年!B114</f>
        <v>-0.1049</v>
      </c>
      <c r="C116">
        <f>-中国_中债国债到期收益率_1年!C115+中国_中债国债到期收益率_1年!C114</f>
        <v>-0.1126</v>
      </c>
      <c r="D116">
        <f>-中国_中债国债到期收益率_1年!D115+中国_中债国债到期收益率_1年!D114</f>
        <v>-0.1</v>
      </c>
      <c r="E116">
        <f>-中国_中债国债到期收益率_1年!E115+中国_中债国债到期收益率_1年!E114</f>
        <v>-0.085</v>
      </c>
      <c r="F116">
        <f>-中国_中债国债到期收益率_1年!F115+中国_中债国债到期收益率_1年!F114</f>
        <v>-0.0989999999999998</v>
      </c>
      <c r="G116">
        <f>-中国_中债国债到期收益率_1年!G115+中国_中债国债到期收益率_1年!G114</f>
        <v>-0.1277</v>
      </c>
    </row>
    <row r="117" spans="1:7">
      <c r="A117" s="7">
        <v>44881</v>
      </c>
      <c r="B117">
        <f>-中国_中债国债到期收益率_1年!B116+中国_中债国债到期收益率_1年!B115</f>
        <v>-0.0678999999999998</v>
      </c>
      <c r="C117">
        <f>-中国_中债国债到期收益率_1年!C116+中国_中债国债到期收益率_1年!C115</f>
        <v>-9.99999999997669e-5</v>
      </c>
      <c r="D117">
        <f>-中国_中债国债到期收益率_1年!D116+中国_中债国债到期收益率_1年!D115</f>
        <v>0.0198999999999998</v>
      </c>
      <c r="E117">
        <f>-中国_中债国债到期收益率_1年!E116+中国_中债国债到期收益率_1年!E115</f>
        <v>0.00489999999999968</v>
      </c>
      <c r="F117">
        <f>-中国_中债国债到期收益率_1年!F116+中国_中债国债到期收益率_1年!F115</f>
        <v>-0.0442</v>
      </c>
      <c r="G117">
        <f>-中国_中债国债到期收益率_1年!G116+中国_中债国债到期收益率_1年!G115</f>
        <v>-0.0339999999999998</v>
      </c>
    </row>
    <row r="118" spans="1:7">
      <c r="A118" s="7">
        <v>44882</v>
      </c>
      <c r="B118">
        <f>-中国_中债国债到期收益率_1年!B117+中国_中债国债到期收益率_1年!B116</f>
        <v>-0.0672000000000001</v>
      </c>
      <c r="C118">
        <f>-中国_中债国债到期收益率_1年!C117+中国_中债国债到期收益率_1年!C116</f>
        <v>-0.0348999999999999</v>
      </c>
      <c r="D118">
        <f>-中国_中债国债到期收益率_1年!D117+中国_中债国债到期收益率_1年!D116</f>
        <v>-0.0173999999999999</v>
      </c>
      <c r="E118">
        <f>-中国_中债国债到期收益率_1年!E117+中国_中债国债到期收益率_1年!E116</f>
        <v>-0.0150999999999999</v>
      </c>
      <c r="F118">
        <f>-中国_中债国债到期收益率_1年!F117+中国_中债国债到期收益率_1年!F116</f>
        <v>-0.0623</v>
      </c>
      <c r="G118">
        <f>-中国_中债国债到期收益率_1年!G117+中国_中债国债到期收益率_1年!G116</f>
        <v>-0.0401000000000002</v>
      </c>
    </row>
    <row r="119" spans="1:7">
      <c r="A119" s="7">
        <v>44883</v>
      </c>
      <c r="B119">
        <f>-中国_中债国债到期收益率_1年!B118+中国_中债国债到期收益率_1年!B117</f>
        <v>0.0299</v>
      </c>
      <c r="C119">
        <f>-中国_中债国债到期收益率_1年!C118+中国_中债国债到期收益率_1年!C117</f>
        <v>0.0444999999999998</v>
      </c>
      <c r="D119">
        <f>-中国_中债国债到期收益率_1年!D118+中国_中债国债到期收益率_1年!D117</f>
        <v>0.0303</v>
      </c>
      <c r="E119">
        <f>-中国_中债国债到期收益率_1年!E118+中国_中债国债到期收益率_1年!E117</f>
        <v>0.02</v>
      </c>
      <c r="F119">
        <f>-中国_中债国债到期收益率_1年!F118+中国_中债国债到期收益率_1年!F117</f>
        <v>0.0128999999999997</v>
      </c>
      <c r="G119">
        <f>-中国_中债国债到期收益率_1年!G118+中国_中债国债到期收益率_1年!G117</f>
        <v>-0.004</v>
      </c>
    </row>
    <row r="120" spans="1:7">
      <c r="A120" s="7">
        <v>44886</v>
      </c>
      <c r="B120">
        <f>-中国_中债国债到期收益率_1年!B119+中国_中债国债到期收益率_1年!B118</f>
        <v>-0.000300000000000189</v>
      </c>
      <c r="C120">
        <f>-中国_中债国债到期收益率_1年!C119+中国_中债国债到期收益率_1年!C118</f>
        <v>0.00980000000000025</v>
      </c>
      <c r="D120">
        <f>-中国_中债国债到期收益率_1年!D119+中国_中债国债到期收益率_1年!D118</f>
        <v>-0.0224000000000002</v>
      </c>
      <c r="E120">
        <f>-中国_中债国债到期收益率_1年!E119+中国_中债国债到期收益率_1年!E118</f>
        <v>-0.00999999999999979</v>
      </c>
      <c r="F120">
        <f>-中国_中债国债到期收益率_1年!F119+中国_中债国债到期收益率_1年!F118</f>
        <v>0.0392000000000001</v>
      </c>
      <c r="G120">
        <f>-中国_中债国债到期收益率_1年!G119+中国_中债国债到期收益率_1年!G118</f>
        <v>0.028</v>
      </c>
    </row>
    <row r="121" spans="1:7">
      <c r="A121" s="7">
        <v>44887</v>
      </c>
      <c r="B121">
        <f>-中国_中债国债到期收益率_1年!B120+中国_中债国债到期收益率_1年!B119</f>
        <v>0.0214000000000003</v>
      </c>
      <c r="C121">
        <f>-中国_中债国债到期收益率_1年!C120+中国_中债国债到期收益率_1年!C119</f>
        <v>0.00859999999999994</v>
      </c>
      <c r="D121">
        <f>-中国_中债国债到期收益率_1年!D120+中国_中债国债到期收益率_1年!D119</f>
        <v>0.00700000000000012</v>
      </c>
      <c r="E121">
        <f>-中国_中债国债到期收益率_1年!E120+中国_中债国债到期收益率_1年!E119</f>
        <v>0.0122999999999998</v>
      </c>
      <c r="F121">
        <f>-中国_中债国债到期收益率_1年!F120+中国_中债国债到期收益率_1年!F119</f>
        <v>0.0230000000000001</v>
      </c>
      <c r="G121">
        <f>-中国_中债国债到期收益率_1年!G120+中国_中债国债到期收益率_1年!G119</f>
        <v>0.0282</v>
      </c>
    </row>
    <row r="122" spans="1:7">
      <c r="A122" s="7">
        <v>44888</v>
      </c>
      <c r="B122">
        <f>-中国_中债国债到期收益率_1年!B121+中国_中债国债到期收益率_1年!B120</f>
        <v>0.00729999999999986</v>
      </c>
      <c r="C122">
        <f>-中国_中债国债到期收益率_1年!C121+中国_中债国债到期收益率_1年!C120</f>
        <v>0.00369999999999981</v>
      </c>
      <c r="D122">
        <f>-中国_中债国债到期收益率_1年!D121+中国_中债国债到期收益率_1年!D120</f>
        <v>-0.00959999999999983</v>
      </c>
      <c r="E122">
        <f>-中国_中债国债到期收益率_1年!E121+中国_中债国债到期收益率_1年!E120</f>
        <v>-0.00749999999999984</v>
      </c>
      <c r="F122">
        <f>-中国_中债国债到期收益率_1年!F121+中国_中债国债到期收益率_1年!F120</f>
        <v>-0.00640000000000018</v>
      </c>
      <c r="G122">
        <f>-中国_中债国债到期收益率_1年!G121+中国_中债国债到期收益率_1年!G120</f>
        <v>-0.0162999999999998</v>
      </c>
    </row>
    <row r="123" spans="1:7">
      <c r="A123" s="7">
        <v>44889</v>
      </c>
      <c r="B123">
        <f>-中国_中债国债到期收益率_1年!B122+中国_中债国债到期收益率_1年!B121</f>
        <v>0.0407000000000002</v>
      </c>
      <c r="C123">
        <f>-中国_中债国债到期收益率_1年!C122+中国_中债国债到期收益率_1年!C121</f>
        <v>0.0345</v>
      </c>
      <c r="D123">
        <f>-中国_中债国债到期收益率_1年!D122+中国_中债国债到期收益率_1年!D121</f>
        <v>0.0301</v>
      </c>
      <c r="E123">
        <f>-中国_中债国债到期收益率_1年!E122+中国_中债国债到期收益率_1年!E121</f>
        <v>0.0249000000000001</v>
      </c>
      <c r="F123">
        <f>-中国_中债国债到期收益率_1年!F122+中国_中债国债到期收益率_1年!F121</f>
        <v>0.0272000000000001</v>
      </c>
      <c r="G123">
        <f>-中国_中债国债到期收益率_1年!G122+中国_中债国债到期收益率_1年!G121</f>
        <v>0.0293999999999999</v>
      </c>
    </row>
    <row r="124" spans="1:7">
      <c r="A124" s="7">
        <v>44890</v>
      </c>
      <c r="B124">
        <f>-中国_中债国债到期收益率_1年!B123+中国_中债国债到期收益率_1年!B122</f>
        <v>0.0442999999999998</v>
      </c>
      <c r="C124">
        <f>-中国_中债国债到期收益率_1年!C123+中国_中债国债到期收益率_1年!C122</f>
        <v>0.00900000000000034</v>
      </c>
      <c r="D124">
        <f>-中国_中债国债到期收益率_1年!D123+中国_中债国债到期收益率_1年!D122</f>
        <v>0.00249999999999995</v>
      </c>
      <c r="E124">
        <f>-中国_中债国债到期收益率_1年!E123+中国_中债国债到期收益率_1年!E122</f>
        <v>0.00990000000000002</v>
      </c>
      <c r="F124">
        <f>-中国_中债国债到期收益率_1年!F123+中国_中债国债到期收益率_1年!F122</f>
        <v>0.0506000000000002</v>
      </c>
      <c r="G124">
        <f>-中国_中债国债到期收益率_1年!G123+中国_中债国债到期收益率_1年!G122</f>
        <v>0.0558000000000001</v>
      </c>
    </row>
    <row r="125" spans="1:7">
      <c r="A125" s="7">
        <v>44893</v>
      </c>
      <c r="B125">
        <f>-中国_中债国债到期收益率_1年!B124+中国_中债国债到期收益率_1年!B123</f>
        <v>-0.0103999999999997</v>
      </c>
      <c r="C125">
        <f>-中国_中债国债到期收益率_1年!C124+中国_中债国债到期收益率_1年!C123</f>
        <v>-0.0421</v>
      </c>
      <c r="D125">
        <f>-中国_中债国债到期收益率_1年!D124+中国_中债国债到期收益率_1年!D123</f>
        <v>-0.0350000000000001</v>
      </c>
      <c r="E125">
        <f>-中国_中债国债到期收益率_1年!E124+中国_中债国债到期收益率_1年!E123</f>
        <v>-0.0349000000000004</v>
      </c>
      <c r="F125">
        <f>-中国_中债国债到期收益率_1年!F124+中国_中债国债到期收益率_1年!F123</f>
        <v>-0.0383</v>
      </c>
      <c r="G125">
        <f>-中国_中债国债到期收益率_1年!G124+中国_中债国债到期收益率_1年!G123</f>
        <v>-0.0396999999999998</v>
      </c>
    </row>
    <row r="126" spans="1:7">
      <c r="A126" s="7">
        <v>44894</v>
      </c>
      <c r="B126">
        <f>-中国_中债国债到期收益率_1年!B125+中国_中债国债到期收益率_1年!B124</f>
        <v>-0.00140000000000029</v>
      </c>
      <c r="C126">
        <f>-中国_中债国债到期收益率_1年!C125+中国_中债国债到期收益率_1年!C124</f>
        <v>-0.0397000000000003</v>
      </c>
      <c r="D126">
        <f>-中国_中债国债到期收益率_1年!D125+中国_中债国债到期收益率_1年!D124</f>
        <v>-0.0299999999999998</v>
      </c>
      <c r="E126">
        <f>-中国_中债国债到期收益率_1年!E125+中国_中债国债到期收益率_1年!E124</f>
        <v>-0.0174999999999996</v>
      </c>
      <c r="F126">
        <f>-中国_中债国债到期收益率_1年!F125+中国_中债国债到期收益率_1年!F124</f>
        <v>-0.04</v>
      </c>
      <c r="G126">
        <f>-中国_中债国债到期收益率_1年!G125+中国_中债国债到期收益率_1年!G124</f>
        <v>-0.0468000000000002</v>
      </c>
    </row>
    <row r="127" spans="1:7">
      <c r="A127" s="7">
        <v>44895</v>
      </c>
      <c r="B127">
        <f>-中国_中债国债到期收益率_1年!B126+中国_中债国债到期收益率_1年!B125</f>
        <v>-0.044</v>
      </c>
      <c r="C127">
        <f>-中国_中债国债到期收益率_1年!C126+中国_中债国债到期收益率_1年!C125</f>
        <v>-0.0505999999999998</v>
      </c>
      <c r="D127">
        <f>-中国_中债国债到期收益率_1年!D126+中国_中债国债到期收益率_1年!D125</f>
        <v>-0.02</v>
      </c>
      <c r="E127">
        <f>-中国_中债国债到期收益率_1年!E126+中国_中债国债到期收益率_1年!E125</f>
        <v>-0.0326000000000004</v>
      </c>
      <c r="F127">
        <f>-中国_中债国债到期收益率_1年!F126+中国_中债国债到期收益率_1年!F125</f>
        <v>-0.0492000000000004</v>
      </c>
      <c r="G127">
        <f>-中国_中债国债到期收益率_1年!G126+中国_中债国债到期收益率_1年!G125</f>
        <v>-0.0796000000000001</v>
      </c>
    </row>
    <row r="128" spans="1:7">
      <c r="A128" s="7">
        <v>44896</v>
      </c>
      <c r="B128">
        <f>-中国_中债国债到期收益率_1年!B127+中国_中债国债到期收益率_1年!B126</f>
        <v>-0.0202</v>
      </c>
      <c r="C128">
        <f>-中国_中债国债到期收益率_1年!C127+中国_中债国债到期收益率_1年!C126</f>
        <v>0.0101999999999998</v>
      </c>
      <c r="D128">
        <f>-中国_中债国债到期收益率_1年!D127+中国_中债国债到期收益率_1年!D126</f>
        <v>-0.00499999999999989</v>
      </c>
      <c r="E128">
        <f>-中国_中债国债到期收益率_1年!E127+中国_中债国债到期收益率_1年!E126</f>
        <v>-0.00999999999999979</v>
      </c>
      <c r="F128">
        <f>-中国_中债国债到期收益率_1年!F127+中国_中债国债到期收益率_1年!F126</f>
        <v>0.0186000000000002</v>
      </c>
      <c r="G128">
        <f>-中国_中债国债到期收益率_1年!G127+中国_中债国债到期收益率_1年!G126</f>
        <v>0.0184000000000002</v>
      </c>
    </row>
    <row r="129" spans="1:7">
      <c r="A129" s="7">
        <v>44897</v>
      </c>
      <c r="B129">
        <f>-中国_中债国债到期收益率_1年!B128+中国_中债国债到期收益率_1年!B127</f>
        <v>-0.0114999999999998</v>
      </c>
      <c r="C129">
        <f>-中国_中债国债到期收益率_1年!C128+中国_中债国债到期收益率_1年!C127</f>
        <v>0.0196000000000001</v>
      </c>
      <c r="D129">
        <f>-中国_中债国债到期收益率_1年!D128+中国_中债国债到期收益率_1年!D127</f>
        <v>0.0249999999999999</v>
      </c>
      <c r="E129">
        <f>-中国_中债国债到期收益率_1年!E128+中国_中债国债到期收益率_1年!E127</f>
        <v>0.0148000000000001</v>
      </c>
      <c r="F129">
        <f>-中国_中债国债到期收益率_1年!F128+中国_中债国债到期收益率_1年!F127</f>
        <v>0.0114999999999998</v>
      </c>
      <c r="G129">
        <f>-中国_中债国债到期收益率_1年!G128+中国_中债国债到期收益率_1年!G127</f>
        <v>9.99999999997669e-5</v>
      </c>
    </row>
    <row r="130" spans="1:7">
      <c r="A130" s="7">
        <v>44900</v>
      </c>
      <c r="B130">
        <f>-中国_中债国债到期收益率_1年!B129+中国_中债国债到期收益率_1年!B128</f>
        <v>-0.00980000000000025</v>
      </c>
      <c r="C130">
        <f>-中国_中债国债到期收益率_1年!C129+中国_中债国债到期收益率_1年!C128</f>
        <v>0.00470000000000015</v>
      </c>
      <c r="D130">
        <f>-中国_中债国债到期收益率_1年!D129+中国_中债国债到期收益率_1年!D128</f>
        <v>-0.00760000000000005</v>
      </c>
      <c r="E130">
        <f>-中国_中债国债到期收益率_1年!E129+中国_中债国债到期收益率_1年!E128</f>
        <v>-0.00150000000000006</v>
      </c>
      <c r="F130">
        <f>-中国_中债国债到期收益率_1年!F129+中国_中债国债到期收益率_1年!F128</f>
        <v>0.0196000000000001</v>
      </c>
      <c r="G130">
        <f>-中国_中债国债到期收益率_1年!G129+中国_中债国债到期收益率_1年!G128</f>
        <v>0.0300000000000002</v>
      </c>
    </row>
    <row r="131" spans="1:7">
      <c r="A131" s="7">
        <v>44901</v>
      </c>
      <c r="B131">
        <f>-中国_中债国债到期收益率_1年!B130+中国_中债国债到期收益率_1年!B129</f>
        <v>0.00920000000000032</v>
      </c>
      <c r="C131">
        <f>-中国_中债国债到期收益率_1年!C130+中国_中债国债到期收益率_1年!C129</f>
        <v>-0.0164</v>
      </c>
      <c r="D131">
        <f>-中国_中债国债到期收益率_1年!D130+中国_中债国债到期收益率_1年!D129</f>
        <v>-0.0226000000000002</v>
      </c>
      <c r="E131">
        <f>-中国_中债国债到期收益率_1年!E130+中国_中债国债到期收益率_1年!E129</f>
        <v>-0.00859999999999994</v>
      </c>
      <c r="F131">
        <f>-中国_中债国债到期收益率_1年!F130+中国_中债国债到期收益率_1年!F129</f>
        <v>-0.0128999999999997</v>
      </c>
      <c r="G131">
        <f>-中国_中债国债到期收益率_1年!G130+中国_中债国债到期收益率_1年!G129</f>
        <v>-0.0221</v>
      </c>
    </row>
    <row r="132" spans="1:7">
      <c r="A132" s="7">
        <v>44902</v>
      </c>
      <c r="B132">
        <f>-中国_中债国债到期收益率_1年!B131+中国_中债国债到期收益率_1年!B130</f>
        <v>-0.0104000000000002</v>
      </c>
      <c r="C132">
        <f>-中国_中债国债到期收益率_1年!C131+中国_中债国债到期收益率_1年!C130</f>
        <v>-0.0459000000000001</v>
      </c>
      <c r="D132">
        <f>-中国_中债国债到期收益率_1年!D131+中国_中债国债到期收益率_1年!D130</f>
        <v>-0.0249999999999999</v>
      </c>
      <c r="E132">
        <f>-中国_中债国债到期收益率_1年!E131+中国_中债国债到期收益率_1年!E130</f>
        <v>-0.0149000000000004</v>
      </c>
      <c r="F132">
        <f>-中国_中债国债到期收益率_1年!F131+中国_中债国债到期收益率_1年!F130</f>
        <v>-0.0236000000000001</v>
      </c>
      <c r="G132">
        <f>-中国_中债国债到期收益率_1年!G131+中国_中债国债到期收益率_1年!G130</f>
        <v>-0.0434999999999999</v>
      </c>
    </row>
    <row r="133" spans="1:7">
      <c r="A133" s="7">
        <v>44903</v>
      </c>
      <c r="B133">
        <f>-中国_中债国债到期收益率_1年!B132+中国_中债国债到期收益率_1年!B131</f>
        <v>-0.0928999999999998</v>
      </c>
      <c r="C133">
        <f>-中国_中债国债到期收益率_1年!C132+中国_中债国债到期收益率_1年!C131</f>
        <v>0.0263999999999998</v>
      </c>
      <c r="D133">
        <f>-中国_中债国债到期收益率_1年!D132+中国_中债国债到期收益率_1年!D131</f>
        <v>0.0449999999999999</v>
      </c>
      <c r="E133">
        <f>-中国_中债国债到期收益率_1年!E132+中国_中债国债到期收益率_1年!E131</f>
        <v>0.0146000000000002</v>
      </c>
      <c r="F133">
        <f>-中国_中债国债到期收益率_1年!F132+中国_中债国债到期收益率_1年!F131</f>
        <v>-0.0238</v>
      </c>
      <c r="G133">
        <f>-中国_中债国债到期收益率_1年!G132+中国_中债国债到期收益率_1年!G131</f>
        <v>-0.0284</v>
      </c>
    </row>
    <row r="134" spans="1:7">
      <c r="A134" s="7">
        <v>44904</v>
      </c>
      <c r="B134">
        <f>-中国_中债国债到期收益率_1年!B133+中国_中债国债到期收益率_1年!B132</f>
        <v>0.00380000000000003</v>
      </c>
      <c r="C134">
        <f>-中国_中债国债到期收益率_1年!C133+中国_中债国债到期收益率_1年!C132</f>
        <v>0.0109000000000004</v>
      </c>
      <c r="D134">
        <f>-中国_中债国债到期收益率_1年!D133+中国_中债国债到期收益率_1年!D132</f>
        <v>-0.0150999999999999</v>
      </c>
      <c r="E134">
        <f>-中国_中债国债到期收益率_1年!E133+中国_中债国债到期收益率_1年!E132</f>
        <v>-0.00360000000000005</v>
      </c>
      <c r="F134">
        <f>-中国_中债国债到期收益率_1年!F133+中国_中债国债到期收益率_1年!F132</f>
        <v>0.0347</v>
      </c>
      <c r="G134">
        <f>-中国_中债国债到期收益率_1年!G133+中国_中债国债到期收益率_1年!G132</f>
        <v>0.0510999999999999</v>
      </c>
    </row>
    <row r="135" spans="1:7">
      <c r="A135" s="7">
        <v>44907</v>
      </c>
      <c r="B135">
        <f>-中国_中债国债到期收益率_1年!B134+中国_中债国债到期收益率_1年!B133</f>
        <v>-0.0412000000000003</v>
      </c>
      <c r="C135">
        <f>-中国_中债国债到期收益率_1年!C134+中国_中债国债到期收益率_1年!C133</f>
        <v>-0.0392000000000001</v>
      </c>
      <c r="D135">
        <f>-中国_中债国债到期收益率_1年!D134+中国_中债国债到期收益率_1年!D133</f>
        <v>-0.00499999999999989</v>
      </c>
      <c r="E135">
        <f>-中国_中债国债到期收益率_1年!E134+中国_中债国债到期收益率_1年!E133</f>
        <v>-0.00879999999999992</v>
      </c>
      <c r="F135">
        <f>-中国_中债国债到期收益率_1年!F134+中国_中债国债到期收益率_1年!F133</f>
        <v>-0.0135999999999998</v>
      </c>
      <c r="G135">
        <f>-中国_中债国债到期收益率_1年!G134+中国_中债国债到期收益率_1年!G133</f>
        <v>-0.0211000000000001</v>
      </c>
    </row>
    <row r="136" spans="1:7">
      <c r="A136" s="7">
        <v>44908</v>
      </c>
      <c r="B136">
        <f>-中国_中债国债到期收益率_1年!B135+中国_中债国债到期收益率_1年!B134</f>
        <v>-0.0149999999999997</v>
      </c>
      <c r="C136">
        <f>-中国_中债国债到期收益率_1年!C135+中国_中债国债到期收益率_1年!C134</f>
        <v>-0.00700000000000012</v>
      </c>
      <c r="D136">
        <f>-中国_中债国债到期收益率_1年!D135+中国_中债国债到期收益率_1年!D134</f>
        <v>9.99999999997669e-5</v>
      </c>
      <c r="E136">
        <f>-中国_中债国债到期收益率_1年!E135+中国_中债国债到期收益率_1年!E134</f>
        <v>-0.000100000000000211</v>
      </c>
      <c r="F136">
        <f>-中国_中债国债到期收益率_1年!F135+中国_中债国债到期收益率_1年!F134</f>
        <v>0.0114999999999998</v>
      </c>
      <c r="G136">
        <f>-中国_中债国债到期收益率_1年!G135+中国_中债国债到期收益率_1年!G134</f>
        <v>0.00979999999999981</v>
      </c>
    </row>
    <row r="137" spans="1:7">
      <c r="A137" s="7">
        <v>44909</v>
      </c>
      <c r="B137">
        <f>-中国_中债国债到期收益率_1年!B136+中国_中债国债到期收益率_1年!B135</f>
        <v>-0.0350000000000001</v>
      </c>
      <c r="C137">
        <f>-中国_中债国债到期收益率_1年!C136+中国_中债国债到期收益率_1年!C135</f>
        <v>-0.0181</v>
      </c>
      <c r="D137">
        <f>-中国_中债国债到期收益率_1年!D136+中国_中债国债到期收益率_1年!D135</f>
        <v>-0.00499999999999989</v>
      </c>
      <c r="E137">
        <f>-中国_中债国债到期收益率_1年!E136+中国_中债国债到期收益率_1年!E135</f>
        <v>-0.00519999999999987</v>
      </c>
      <c r="F137">
        <f>-中国_中债国债到期收益率_1年!F136+中国_中债国债到期收益率_1年!F135</f>
        <v>-0.0190999999999999</v>
      </c>
      <c r="G137">
        <f>-中国_中债国债到期收益率_1年!G136+中国_中债国债到期收益率_1年!G135</f>
        <v>-0.0147999999999997</v>
      </c>
    </row>
    <row r="138" spans="1:7">
      <c r="A138" s="7">
        <v>44910</v>
      </c>
      <c r="B138">
        <f>-中国_中债国债到期收益率_1年!B137+中国_中债国债到期收益率_1年!B136</f>
        <v>0.0350000000000001</v>
      </c>
      <c r="C138">
        <f>-中国_中债国债到期收益率_1年!C137+中国_中债国债到期收益率_1年!C136</f>
        <v>0.0627</v>
      </c>
      <c r="D138">
        <f>-中国_中债国债到期收益率_1年!D137+中国_中债国债到期收益率_1年!D136</f>
        <v>0.0297000000000001</v>
      </c>
      <c r="E138">
        <f>-中国_中债国债到期收益率_1年!E137+中国_中债国债到期收益率_1年!E136</f>
        <v>0.0274999999999999</v>
      </c>
      <c r="F138">
        <f>-中国_中债国债到期收益率_1年!F137+中国_中债国债到期收益率_1年!F136</f>
        <v>0.0322</v>
      </c>
      <c r="G138">
        <f>-中国_中债国债到期收益率_1年!G137+中国_中债国债到期收益率_1年!G136</f>
        <v>0.0501999999999998</v>
      </c>
    </row>
    <row r="139" spans="1:7">
      <c r="A139" s="7">
        <v>44911</v>
      </c>
      <c r="B139">
        <f>-中国_中债国债到期收益率_1年!B138+中国_中债国债到期收益率_1年!B137</f>
        <v>-0.0150000000000001</v>
      </c>
      <c r="C139">
        <f>-中国_中债国债到期收益率_1年!C138+中国_中债国债到期收益率_1年!C137</f>
        <v>-0.00890000000000013</v>
      </c>
      <c r="D139">
        <f>-中国_中债国债到期收益率_1年!D138+中国_中债国债到期收益率_1年!D137</f>
        <v>-0.0173999999999999</v>
      </c>
      <c r="E139">
        <f>-中国_中债国债到期收益率_1年!E138+中国_中债国债到期收益率_1年!E137</f>
        <v>-0.0148999999999999</v>
      </c>
      <c r="F139">
        <f>-中国_中债国债到期收益率_1年!F138+中国_中债国债到期收益率_1年!F137</f>
        <v>-0.00100000000000033</v>
      </c>
      <c r="G139">
        <f>-中国_中债国债到期收益率_1年!G138+中国_中债国债到期收益率_1年!G137</f>
        <v>0.00459999999999994</v>
      </c>
    </row>
    <row r="140" spans="1:7">
      <c r="A140" s="7">
        <v>44914</v>
      </c>
      <c r="B140">
        <f>-中国_中债国债到期收益率_1年!B139+中国_中债国债到期收益率_1年!B138</f>
        <v>0</v>
      </c>
      <c r="C140">
        <f>-中国_中债国债到期收益率_1年!C139+中国_中债国债到期收益率_1年!C138</f>
        <v>0.000500000000000167</v>
      </c>
      <c r="D140">
        <f>-中国_中债国债到期收益率_1年!D139+中国_中债国债到期收益率_1年!D138</f>
        <v>-0.00270000000000037</v>
      </c>
      <c r="E140">
        <f>-中国_中债国债到期收益率_1年!E139+中国_中债国债到期收益率_1年!E138</f>
        <v>0.00730000000000031</v>
      </c>
      <c r="F140">
        <f>-中国_中债国债到期收益率_1年!F139+中国_中债国债到期收益率_1年!F138</f>
        <v>-0.0046999999999997</v>
      </c>
      <c r="G140">
        <f>-中国_中债国债到期收益率_1年!G139+中国_中债国债到期收益率_1年!G138</f>
        <v>-0.0147999999999997</v>
      </c>
    </row>
    <row r="141" spans="1:7">
      <c r="A141" s="7">
        <v>44915</v>
      </c>
      <c r="B141">
        <f>-中国_中债国债到期收益率_1年!B140+中国_中债国债到期收益率_1年!B139</f>
        <v>0.02</v>
      </c>
      <c r="C141">
        <f>-中国_中债国债到期收益率_1年!C140+中国_中债国债到期收益率_1年!C139</f>
        <v>0.0347</v>
      </c>
      <c r="D141">
        <f>-中国_中债国债到期收益率_1年!D140+中国_中债国债到期收益率_1年!D139</f>
        <v>0.0224000000000002</v>
      </c>
      <c r="E141">
        <f>-中国_中债国债到期收益率_1年!E140+中国_中债国债到期收益率_1年!E139</f>
        <v>0.0171999999999999</v>
      </c>
      <c r="F141">
        <f>-中国_中债国债到期收益率_1年!F140+中国_中债国债到期收益率_1年!F139</f>
        <v>0.0468999999999999</v>
      </c>
      <c r="G141">
        <f>-中国_中债国债到期收益率_1年!G140+中国_中债国债到期收益率_1年!G139</f>
        <v>0.0475999999999996</v>
      </c>
    </row>
    <row r="142" spans="1:7">
      <c r="A142" s="7">
        <v>44916</v>
      </c>
      <c r="B142">
        <f>-中国_中债国债到期收益率_1年!B141+中国_中债国债到期收益率_1年!B140</f>
        <v>0</v>
      </c>
      <c r="C142">
        <f>-中国_中债国债到期收益率_1年!C141+中国_中债国债到期收益率_1年!C140</f>
        <v>-0.00519999999999987</v>
      </c>
      <c r="D142">
        <f>-中国_中债国债到期收益率_1年!D141+中国_中债国债到期收益率_1年!D140</f>
        <v>-0.0100000000000002</v>
      </c>
      <c r="E142">
        <f>-中国_中债国债到期收益率_1年!E141+中国_中债国债到期收益率_1年!E140</f>
        <v>0.0051000000000001</v>
      </c>
      <c r="F142">
        <f>-中国_中债国债到期收益率_1年!F141+中国_中债国债到期收益率_1年!F140</f>
        <v>-0.0116000000000001</v>
      </c>
      <c r="G142">
        <f>-中国_中债国债到期收益率_1年!G141+中国_中债国债到期收益率_1年!G140</f>
        <v>-0.00819999999999999</v>
      </c>
    </row>
    <row r="143" spans="1:7">
      <c r="A143" s="7">
        <v>44917</v>
      </c>
      <c r="B143">
        <f>-中国_中债国债到期收益率_1年!B142+中国_中债国债到期收益率_1年!B141</f>
        <v>0.00499999999999989</v>
      </c>
      <c r="C143">
        <f>-中国_中债国债到期收益率_1年!C142+中国_中债国债到期收益率_1年!C141</f>
        <v>0.0145</v>
      </c>
      <c r="D143">
        <f>-中国_中债国债到期收益率_1年!D142+中国_中债国债到期收益率_1年!D141</f>
        <v>0.0126000000000004</v>
      </c>
      <c r="E143">
        <f>-中国_中债国债到期收益率_1年!E142+中国_中债国债到期收益率_1年!E141</f>
        <v>0.00990000000000002</v>
      </c>
      <c r="F143">
        <f>-中国_中债国债到期收益率_1年!F142+中国_中债国债到期收益率_1年!F141</f>
        <v>0.00260000000000016</v>
      </c>
      <c r="G143">
        <f>-中国_中债国债到期收益率_1年!G142+中国_中债国债到期收益率_1年!G141</f>
        <v>-0.00629999999999997</v>
      </c>
    </row>
    <row r="144" spans="1:7">
      <c r="A144" s="7">
        <v>44918</v>
      </c>
      <c r="B144">
        <f>-中国_中债国债到期收益率_1年!B143+中国_中债国债到期收益率_1年!B142</f>
        <v>0.0249999999999999</v>
      </c>
      <c r="C144">
        <f>-中国_中债国债到期收益率_1年!C143+中国_中债国债到期收益率_1年!C142</f>
        <v>0.0196000000000001</v>
      </c>
      <c r="D144">
        <f>-中国_中债国债到期收益率_1年!D143+中国_中债国债到期收益率_1年!D142</f>
        <v>0.0103</v>
      </c>
      <c r="E144">
        <f>-中国_中债国债到期收益率_1年!E143+中国_中债国债到期收益率_1年!E142</f>
        <v>0.00749999999999984</v>
      </c>
      <c r="F144">
        <f>-中国_中债国债到期收益率_1年!F143+中国_中债国债到期收益率_1年!F142</f>
        <v>0.0204999999999997</v>
      </c>
      <c r="G144">
        <f>-中国_中债国债到期收益率_1年!G143+中国_中债国债到期收益率_1年!G142</f>
        <v>0.0273000000000003</v>
      </c>
    </row>
    <row r="145" spans="1:7">
      <c r="A145" s="7">
        <v>44921</v>
      </c>
      <c r="B145">
        <f>-中国_中债国债到期收益率_1年!B144+中国_中债国债到期收益率_1年!B143</f>
        <v>0.04</v>
      </c>
      <c r="C145">
        <f>-中国_中债国债到期收益率_1年!C144+中国_中债国债到期收益率_1年!C143</f>
        <v>0.0354000000000001</v>
      </c>
      <c r="D145">
        <f>-中国_中债国债到期收益率_1年!D144+中国_中债国债到期收益率_1年!D143</f>
        <v>0.0251999999999999</v>
      </c>
      <c r="E145">
        <f>-中国_中债国债到期收益率_1年!E144+中国_中债国债到期收益率_1年!E143</f>
        <v>0.0148000000000001</v>
      </c>
      <c r="F145">
        <f>-中国_中债国债到期收益率_1年!F144+中国_中债国债到期收益率_1年!F143</f>
        <v>0.0118</v>
      </c>
      <c r="G145">
        <f>-中国_中债国债到期收益率_1年!G144+中国_中债国债到期收益率_1年!G143</f>
        <v>0.0158999999999998</v>
      </c>
    </row>
    <row r="146" spans="1:7">
      <c r="A146" s="7">
        <v>44922</v>
      </c>
      <c r="B146">
        <f>-中国_中债国债到期收益率_1年!B145+中国_中债国债到期收益率_1年!B144</f>
        <v>-0.02</v>
      </c>
      <c r="C146">
        <f>-中国_中债国债到期收益率_1年!C145+中国_中债国债到期收益率_1年!C144</f>
        <v>-0.0214000000000003</v>
      </c>
      <c r="D146">
        <f>-中国_中债国债到期收益率_1年!D145+中国_中债国债到期收益率_1年!D144</f>
        <v>-0.0127000000000002</v>
      </c>
      <c r="E146">
        <f>-中国_中债国债到期收益率_1年!E145+中国_中债国债到期收益率_1年!E144</f>
        <v>-0.00500000000000034</v>
      </c>
      <c r="F146">
        <f>-中国_中债国债到期收益率_1年!F145+中国_中债国债到期收益率_1年!F144</f>
        <v>2.1688</v>
      </c>
      <c r="G146">
        <f>-中国_中债国债到期收益率_1年!G145+中国_中债国债到期收益率_1年!G144</f>
        <v>2.7376</v>
      </c>
    </row>
    <row r="147" spans="1:7">
      <c r="A147" s="7">
        <v>44923</v>
      </c>
      <c r="B147">
        <f>-中国_中债国债到期收益率_1年!B146+中国_中债国债到期收益率_1年!B145</f>
        <v>0</v>
      </c>
      <c r="C147">
        <f>-中国_中债国债到期收益率_1年!C146+中国_中债国债到期收益率_1年!C145</f>
        <v>-0.0427</v>
      </c>
      <c r="D147">
        <f>-中国_中债国债到期收益率_1年!D146+中国_中债国债到期收益率_1年!D145</f>
        <v>-0.0278999999999998</v>
      </c>
      <c r="E147">
        <f>-中国_中债国债到期收益率_1年!E146+中国_中债国债到期收益率_1年!E145</f>
        <v>0.00270000000000037</v>
      </c>
      <c r="F147">
        <f>-中国_中债国债到期收益率_1年!F146+中国_中债国债到期收益率_1年!F145</f>
        <v>-2.2315</v>
      </c>
      <c r="G147">
        <f>-中国_中债国债到期收益率_1年!G146+中国_中债国债到期收益率_1年!G145</f>
        <v>-2.7833</v>
      </c>
    </row>
    <row r="148" spans="1:7">
      <c r="A148" s="7">
        <v>44924</v>
      </c>
      <c r="B148">
        <f>-中国_中债国债到期收益率_1年!B147+中国_中债国债到期收益率_1年!B146</f>
        <v>0.0100000000000002</v>
      </c>
      <c r="C148">
        <f>-中国_中债国债到期收益率_1年!C147+中国_中债国债到期收益率_1年!C146</f>
        <v>-9.99999999997669e-5</v>
      </c>
      <c r="D148">
        <f>-中国_中债国债到期收益率_1年!D147+中国_中债国债到期收益率_1年!D146</f>
        <v>0.0154000000000001</v>
      </c>
      <c r="E148">
        <f>-中国_中债国债到期收益率_1年!E147+中国_中债国债到期收益率_1年!E146</f>
        <v>0.00479999999999992</v>
      </c>
      <c r="F148">
        <f>-中国_中债国债到期收益率_1年!F147+中国_中债国债到期收益率_1年!F146</f>
        <v>0.000599999999999934</v>
      </c>
      <c r="G148">
        <f>-中国_中债国债到期收益率_1年!G147+中国_中债国债到期收益率_1年!G146</f>
        <v>0.00200000000000022</v>
      </c>
    </row>
    <row r="149" spans="1:7">
      <c r="A149" s="7">
        <v>44925</v>
      </c>
      <c r="B149">
        <f>-中国_中债国债到期收益率_1年!B148+中国_中债国债到期收益率_1年!B147</f>
        <v>0.0699999999999998</v>
      </c>
      <c r="C149">
        <f>-中国_中债国债到期收益率_1年!C148+中国_中债国债到期收益率_1年!C147</f>
        <v>0.0322</v>
      </c>
      <c r="D149">
        <f>-中国_中债国债到期收益率_1年!D148+中国_中债国债到期收益率_1年!D147</f>
        <v>0.0126999999999997</v>
      </c>
      <c r="E149">
        <f>-中国_中债国债到期收益率_1年!E148+中国_中债国债到期收益率_1年!E147</f>
        <v>0.0200999999999998</v>
      </c>
      <c r="F149">
        <f>-中国_中债国债到期收益率_1年!F148+中国_中债国债到期收益率_1年!F147</f>
        <v>0.0302000000000002</v>
      </c>
      <c r="G149">
        <f>-中国_中债国债到期收益率_1年!G148+中国_中债国债到期收益率_1年!G147</f>
        <v>0.0238999999999998</v>
      </c>
    </row>
    <row r="150" spans="1:7">
      <c r="A150" s="7">
        <v>44926</v>
      </c>
      <c r="B150">
        <f>-中国_中债国债到期收益率_1年!B149+中国_中债国债到期收益率_1年!B148</f>
        <v>0.0699999999999998</v>
      </c>
      <c r="C150">
        <f>-中国_中债国债到期收益率_1年!C149+中国_中债国债到期收益率_1年!C148</f>
        <v>-0.00640000000000018</v>
      </c>
      <c r="D150">
        <f>-中国_中债国债到期收益率_1年!D149+中国_中债国债到期收益率_1年!D148</f>
        <v>0.00229999999999997</v>
      </c>
      <c r="E150">
        <f>-中国_中债国债到期收益率_1年!E149+中国_中债国债到期收益率_1年!E148</f>
        <v>-0.00259999999999971</v>
      </c>
      <c r="F150">
        <f>-中国_中债国债到期收益率_1年!F149+中国_中债国债到期收益率_1年!F148</f>
        <v>0.0206</v>
      </c>
      <c r="G150">
        <f>-中国_中债国债到期收益率_1年!G149+中国_中债国债到期收益率_1年!G148</f>
        <v>-0.00159999999999982</v>
      </c>
    </row>
    <row r="151" spans="1:7">
      <c r="A151" s="7">
        <v>44929</v>
      </c>
      <c r="B151">
        <f>-中国_中债国债到期收益率_1年!B150+中国_中债国债到期收益率_1年!B149</f>
        <v>0</v>
      </c>
      <c r="C151">
        <f>-中国_中债国债到期收益率_1年!C150+中国_中债国债到期收益率_1年!C149</f>
        <v>0</v>
      </c>
      <c r="D151">
        <f>-中国_中债国债到期收益率_1年!D150+中国_中债国债到期收益率_1年!D149</f>
        <v>0</v>
      </c>
      <c r="E151">
        <f>-中国_中债国债到期收益率_1年!E150+中国_中债国债到期收益率_1年!E149</f>
        <v>0</v>
      </c>
      <c r="F151">
        <f>-中国_中债国债到期收益率_1年!F150+中国_中债国债到期收益率_1年!F149</f>
        <v>2.1801</v>
      </c>
      <c r="G151">
        <f>-中国_中债国债到期收益率_1年!G150+中国_中债国债到期收益率_1年!G149</f>
        <v>2.759</v>
      </c>
    </row>
    <row r="152" spans="1:7">
      <c r="A152" s="7">
        <v>44930</v>
      </c>
      <c r="B152">
        <f>-中国_中债国债到期收益率_1年!B151+中国_中债国债到期收益率_1年!B150</f>
        <v>-0.0150999999999999</v>
      </c>
      <c r="C152">
        <f>-中国_中债国债到期收益率_1年!C151+中国_中债国债到期收益率_1年!C150</f>
        <v>0.0148000000000001</v>
      </c>
      <c r="D152">
        <f>-中国_中债国债到期收益率_1年!D151+中国_中债国债到期收益率_1年!D150</f>
        <v>0.0125000000000002</v>
      </c>
      <c r="E152">
        <f>-中国_中债国债到期收益率_1年!E151+中国_中债国债到期收益率_1年!E150</f>
        <v>0.00219999999999976</v>
      </c>
      <c r="F152">
        <f>-中国_中债国债到期收益率_1年!F151+中国_中债国债到期收益率_1年!F150</f>
        <v>-2.1752</v>
      </c>
      <c r="G152">
        <f>-中国_中债国债到期收益率_1年!G151+中国_中债国债到期收益率_1年!G150</f>
        <v>-2.7651</v>
      </c>
    </row>
    <row r="153" spans="1:7">
      <c r="A153" s="7">
        <v>44931</v>
      </c>
      <c r="B153">
        <f>-中国_中债国债到期收益率_1年!B152+中国_中债国债到期收益率_1年!B151</f>
        <v>0.0449999999999999</v>
      </c>
      <c r="C153">
        <f>-中国_中债国债到期收益率_1年!C152+中国_中债国债到期收益率_1年!C151</f>
        <v>0.0226999999999999</v>
      </c>
      <c r="D153">
        <f>-中国_中债国债到期收益率_1年!D152+中国_中债国债到期收益率_1年!D151</f>
        <v>0.0125000000000002</v>
      </c>
      <c r="E153">
        <f>-中国_中债国债到期收益率_1年!E152+中国_中债国债到期收益率_1年!E151</f>
        <v>-9.99999999997669e-5</v>
      </c>
      <c r="F153">
        <f>-中国_中债国债到期收益率_1年!F152+中国_中债国债到期收益率_1年!F151</f>
        <v>0.0282999999999998</v>
      </c>
      <c r="G153">
        <f>-中国_中债国债到期收益率_1年!G152+中国_中债国债到期收益率_1年!G151</f>
        <v>0.0308999999999999</v>
      </c>
    </row>
    <row r="154" spans="1:7">
      <c r="A154" s="7">
        <v>44932</v>
      </c>
      <c r="B154">
        <f>-中国_中债国债到期收益率_1年!B153+中国_中债国债到期收益率_1年!B152</f>
        <v>-0.0149999999999997</v>
      </c>
      <c r="C154">
        <f>-中国_中债国债到期收益率_1年!C153+中国_中债国债到期收益率_1年!C152</f>
        <v>-0.0179</v>
      </c>
      <c r="D154">
        <f>-中国_中债国债到期收益率_1年!D153+中国_中债国债到期收益率_1年!D152</f>
        <v>-0.0201000000000002</v>
      </c>
      <c r="E154">
        <f>-中国_中债国债到期收益率_1年!E153+中国_中债国债到期收益率_1年!E152</f>
        <v>-0.0125000000000002</v>
      </c>
      <c r="F154">
        <f>-中国_中债国债到期收益率_1年!F153+中国_中债国债到期收益率_1年!F152</f>
        <v>0.0028999999999999</v>
      </c>
      <c r="G154">
        <f>-中国_中债国债到期收益率_1年!G153+中国_中债国债到期收益率_1年!G152</f>
        <v>-0.00240000000000018</v>
      </c>
    </row>
    <row r="155" spans="1:7">
      <c r="A155" s="7">
        <v>44935</v>
      </c>
      <c r="B155">
        <f>-中国_中债国债到期收益率_1年!B154+中国_中债国债到期收益率_1年!B153</f>
        <v>-0.0150000000000001</v>
      </c>
      <c r="C155">
        <f>-中国_中债国债到期收益率_1年!C154+中国_中债国债到期收益率_1年!C153</f>
        <v>-0.0245000000000002</v>
      </c>
      <c r="D155">
        <f>-中国_中债国债到期收益率_1年!D154+中国_中债国债到期收益率_1年!D153</f>
        <v>-0.00240000000000018</v>
      </c>
      <c r="E155">
        <f>-中国_中债国债到期收益率_1年!E154+中国_中债国债到期收益率_1年!E153</f>
        <v>-0.00499999999999989</v>
      </c>
      <c r="F155">
        <f>-中国_中债国债到期收益率_1年!F154+中国_中债国债到期收益率_1年!F153</f>
        <v>-0.0170999999999997</v>
      </c>
      <c r="G155">
        <f>-中国_中债国债到期收益率_1年!G154+中国_中债国债到期收益率_1年!G153</f>
        <v>-0.0238</v>
      </c>
    </row>
    <row r="156" spans="1:7">
      <c r="A156" s="7">
        <v>44936</v>
      </c>
      <c r="B156">
        <f>-中国_中债国债到期收益率_1年!B155+中国_中债国债到期收益率_1年!B154</f>
        <v>-0.00260000000000016</v>
      </c>
      <c r="C156">
        <f>-中国_中债国债到期收益率_1年!C155+中国_中债国债到期收益率_1年!C154</f>
        <v>-0.0153999999999996</v>
      </c>
      <c r="D156">
        <f>-中国_中债国债到期收益率_1年!D155+中国_中债国债到期收益率_1年!D154</f>
        <v>-0.00999999999999979</v>
      </c>
      <c r="E156">
        <f>-中国_中债国债到期收益率_1年!E155+中国_中债国债到期收益率_1年!E154</f>
        <v>-0.00499999999999989</v>
      </c>
      <c r="F156">
        <f>-中国_中债国债到期收益率_1年!F155+中国_中债国债到期收益率_1年!F154</f>
        <v>-0.0185000000000004</v>
      </c>
      <c r="G156">
        <f>-中国_中债国债到期收益率_1年!G155+中国_中债国债到期收益率_1年!G154</f>
        <v>-0.0096999999999996</v>
      </c>
    </row>
    <row r="157" spans="1:7">
      <c r="A157" s="7">
        <v>44937</v>
      </c>
      <c r="B157">
        <f>-中国_中债国债到期收益率_1年!B156+中国_中债国债到期收益率_1年!B155</f>
        <v>-0.0223999999999998</v>
      </c>
      <c r="C157">
        <f>-中国_中债国债到期收益率_1年!C156+中国_中债国债到期收益率_1年!C155</f>
        <v>-0.0455000000000001</v>
      </c>
      <c r="D157">
        <f>-中国_中债国债到期收益率_1年!D156+中国_中债国债到期收益率_1年!D155</f>
        <v>-0.0173999999999999</v>
      </c>
      <c r="E157">
        <f>-中国_中债国债到期收益率_1年!E156+中国_中债国债到期收益率_1年!E155</f>
        <v>-0.0175000000000001</v>
      </c>
      <c r="F157">
        <f>-中国_中债国债到期收益率_1年!F156+中国_中债国债到期收益率_1年!F155</f>
        <v>-0.0534999999999997</v>
      </c>
      <c r="G157">
        <f>-中国_中债国债到期收益率_1年!G156+中国_中债国债到期收益率_1年!G155</f>
        <v>-0.0435000000000003</v>
      </c>
    </row>
    <row r="158" spans="1:7">
      <c r="A158" s="7">
        <v>44938</v>
      </c>
      <c r="B158">
        <f>-中国_中债国债到期收益率_1年!B157+中国_中债国债到期收益率_1年!B156</f>
        <v>-0.00499999999999989</v>
      </c>
      <c r="C158">
        <f>-中国_中债国债到期收益率_1年!C157+中国_中债国债到期收益率_1年!C156</f>
        <v>0.0114999999999998</v>
      </c>
      <c r="D158">
        <f>-中国_中债国债到期收益率_1年!D157+中国_中债国债到期收益率_1年!D156</f>
        <v>-0.000100000000000211</v>
      </c>
      <c r="E158">
        <f>-中国_中债国债到期收益率_1年!E157+中国_中债国债到期收益率_1年!E156</f>
        <v>0</v>
      </c>
      <c r="F158">
        <f>-中国_中债国债到期收益率_1年!F157+中国_中债国债到期收益率_1年!F156</f>
        <v>-0.0216000000000003</v>
      </c>
      <c r="G158">
        <f>-中国_中债国债到期收益率_1年!G157+中国_中债国债到期收益率_1年!G156</f>
        <v>-0.0147999999999997</v>
      </c>
    </row>
    <row r="159" spans="1:7">
      <c r="A159" s="7">
        <v>44939</v>
      </c>
      <c r="B159">
        <f>-中国_中债国债到期收益率_1年!B158+中国_中债国债到期收益率_1年!B157</f>
        <v>0.0299999999999998</v>
      </c>
      <c r="C159">
        <f>-中国_中债国债到期收益率_1年!C158+中国_中债国债到期收益率_1年!C157</f>
        <v>0.00150000000000006</v>
      </c>
      <c r="D159">
        <f>-中国_中债国债到期收益率_1年!D158+中国_中债国债到期收益率_1年!D157</f>
        <v>-0.0175000000000001</v>
      </c>
      <c r="E159">
        <f>-中国_中债国债到期收益率_1年!E158+中国_中债国债到期收益率_1年!E157</f>
        <v>-0.00470000000000015</v>
      </c>
      <c r="F159">
        <f>-中国_中债国债到期收益率_1年!F158+中国_中债国债到期收益率_1年!F157</f>
        <v>0.0190000000000001</v>
      </c>
      <c r="G159">
        <f>-中国_中债国债到期收益率_1年!G158+中国_中债国债到期收益率_1年!G157</f>
        <v>0.0114999999999998</v>
      </c>
    </row>
    <row r="160" spans="1:7">
      <c r="A160" s="7">
        <v>44942</v>
      </c>
      <c r="B160">
        <f>-中国_中债国债到期收益率_1年!B159+中国_中债国债到期收益率_1年!B158</f>
        <v>0</v>
      </c>
      <c r="C160">
        <f>-中国_中债国债到期收益率_1年!C159+中国_中债国债到期收益率_1年!C158</f>
        <v>-0.0122</v>
      </c>
      <c r="D160">
        <f>-中国_中债国债到期收益率_1年!D159+中国_中债国债到期收益率_1年!D158</f>
        <v>-0.0231999999999997</v>
      </c>
      <c r="E160">
        <f>-中国_中债国债到期收益率_1年!E159+中国_中债国债到期收益率_1年!E158</f>
        <v>-0.00979999999999981</v>
      </c>
      <c r="F160">
        <f>-中国_中债国债到期收益率_1年!F159+中国_中债国债到期收益率_1年!F158</f>
        <v>-0.00919999999999987</v>
      </c>
      <c r="G160">
        <f>-中国_中债国债到期收益率_1年!G159+中国_中债国债到期收益率_1年!G158</f>
        <v>-0.0245000000000002</v>
      </c>
    </row>
    <row r="161" spans="1:7">
      <c r="A161" s="7">
        <v>44943</v>
      </c>
      <c r="B161">
        <f>-中国_中债国债到期收益率_1年!B160+中国_中债国债到期收益率_1年!B159</f>
        <v>-0.0299999999999998</v>
      </c>
      <c r="C161">
        <f>-中国_中债国债到期收益率_1年!C160+中国_中债国债到期收益率_1年!C159</f>
        <v>-0.0474999999999999</v>
      </c>
      <c r="D161">
        <f>-中国_中债国债到期收益率_1年!D160+中国_中债国债到期收益率_1年!D159</f>
        <v>-0.0157000000000003</v>
      </c>
      <c r="E161">
        <f>-中国_中债国债到期收益率_1年!E160+中国_中债国债到期收益率_1年!E159</f>
        <v>-0.0201000000000002</v>
      </c>
      <c r="F161">
        <f>-中国_中债国债到期收益率_1年!F160+中国_中债国债到期收益率_1年!F159</f>
        <v>-0.0428000000000002</v>
      </c>
      <c r="G161">
        <f>-中国_中债国债到期收益率_1年!G160+中国_中债国债到期收益率_1年!G159</f>
        <v>-0.0558000000000001</v>
      </c>
    </row>
    <row r="162" spans="1:7">
      <c r="A162" s="7">
        <v>44944</v>
      </c>
      <c r="B162">
        <f>-中国_中债国债到期收益率_1年!B161+中国_中债国债到期收益率_1年!B160</f>
        <v>0</v>
      </c>
      <c r="C162">
        <f>-中国_中债国债到期收益率_1年!C161+中国_中债国债到期收益率_1年!C160</f>
        <v>0.0225</v>
      </c>
      <c r="D162">
        <f>-中国_中债国债到期收益率_1年!D161+中国_中债国债到期收益率_1年!D160</f>
        <v>0.0150000000000001</v>
      </c>
      <c r="E162">
        <f>-中国_中债国债到期收益率_1年!E161+中国_中债国债到期收益率_1年!E160</f>
        <v>0.0146000000000002</v>
      </c>
      <c r="F162">
        <f>-中国_中债国债到期收益率_1年!F161+中国_中债国债到期收益率_1年!F160</f>
        <v>-0.00930000000000009</v>
      </c>
      <c r="G162">
        <f>-中国_中债国债到期收益率_1年!G161+中国_中债国债到期收益率_1年!G160</f>
        <v>0.00180000000000025</v>
      </c>
    </row>
    <row r="163" spans="1:7">
      <c r="A163" s="7">
        <v>44945</v>
      </c>
      <c r="B163">
        <f>-中国_中债国债到期收益率_1年!B162+中国_中债国债到期收益率_1年!B161</f>
        <v>-0.0345000000000004</v>
      </c>
      <c r="C163">
        <f>-中国_中债国债到期收益率_1年!C162+中国_中债国债到期收益率_1年!C161</f>
        <v>0.00890000000000013</v>
      </c>
      <c r="D163">
        <f>-中国_中债国债到期收益率_1年!D162+中国_中债国债到期收益率_1年!D161</f>
        <v>-0.0205000000000002</v>
      </c>
      <c r="E163">
        <f>-中国_中债国债到期收益率_1年!E162+中国_中债国债到期收益率_1年!E161</f>
        <v>-0.0223</v>
      </c>
      <c r="F163">
        <f>-中国_中债国债到期收益率_1年!F162+中国_中债国债到期收益率_1年!F161</f>
        <v>0.00370000000000026</v>
      </c>
      <c r="G163">
        <f>-中国_中债国债到期收益率_1年!G162+中国_中债国债到期收益率_1年!G161</f>
        <v>0.00800000000000001</v>
      </c>
    </row>
    <row r="164" spans="1:7">
      <c r="A164" s="7">
        <v>44946</v>
      </c>
      <c r="B164">
        <f>-中国_中债国债到期收益率_1年!B163+中国_中债国债到期收益率_1年!B162</f>
        <v>-0.00619999999999976</v>
      </c>
      <c r="C164">
        <f>-中国_中债国债到期收益率_1年!C163+中国_中债国债到期收益率_1年!C162</f>
        <v>0.0046999999999997</v>
      </c>
      <c r="D164">
        <f>-中国_中债国债到期收益率_1年!D163+中国_中债国债到期收益率_1年!D162</f>
        <v>0.00770000000000026</v>
      </c>
      <c r="E164">
        <f>-中国_中债国债到期收益率_1年!E163+中国_中债国债到期收益率_1年!E162</f>
        <v>0.00239999999999974</v>
      </c>
      <c r="F164">
        <f>-中国_中债国债到期收益率_1年!F163+中国_中债国债到期收益率_1年!F162</f>
        <v>-0.0146999999999999</v>
      </c>
      <c r="G164">
        <f>-中国_中债国债到期收益率_1年!G163+中国_中债国债到期收益率_1年!G162</f>
        <v>-0.0249000000000001</v>
      </c>
    </row>
    <row r="165" spans="1:7">
      <c r="A165" s="7">
        <v>44954</v>
      </c>
      <c r="B165">
        <f>-中国_中债国债到期收益率_1年!B164+中国_中债国债到期收益率_1年!B163</f>
        <v>0.0028999999999999</v>
      </c>
      <c r="C165">
        <f>-中国_中债国债到期收益率_1年!C164+中国_中债国债到期收益率_1年!C163</f>
        <v>-0.00780000000000003</v>
      </c>
      <c r="D165">
        <f>-中国_中债国债到期收益率_1年!D164+中国_中债国债到期收益率_1年!D163</f>
        <v>-0.0186000000000002</v>
      </c>
      <c r="E165">
        <f>-中国_中债国债到期收益率_1年!E164+中国_中债国债到期收益率_1年!E163</f>
        <v>-0.00489999999999968</v>
      </c>
      <c r="F165">
        <f>-中国_中债国债到期收益率_1年!F164+中国_中债国债到期收益率_1年!F163</f>
        <v>0.0143</v>
      </c>
      <c r="G165">
        <f>-中国_中债国债到期收益率_1年!G164+中国_中债国债到期收益率_1年!G163</f>
        <v>0.00570000000000004</v>
      </c>
    </row>
    <row r="166" spans="1:7">
      <c r="A166" s="7">
        <v>44955</v>
      </c>
      <c r="B166">
        <f>-中国_中债国债到期收益率_1年!B165+中国_中债国债到期收益率_1年!B164</f>
        <v>0.0152000000000001</v>
      </c>
      <c r="C166">
        <f>-中国_中债国债到期收益率_1年!C165+中国_中债国债到期收益率_1年!C164</f>
        <v>0.000500000000000167</v>
      </c>
      <c r="D166">
        <f>-中国_中债国债到期收益率_1年!D165+中国_中债国债到期收益率_1年!D164</f>
        <v>-0.00099999999999989</v>
      </c>
      <c r="E166">
        <f>-中国_中债国债到期收益率_1年!E165+中国_中债国债到期收益率_1年!E164</f>
        <v>-0.0051000000000001</v>
      </c>
      <c r="F166">
        <f>-中国_中债国债到期收益率_1年!F165+中国_中债国债到期收益率_1年!F164</f>
        <v>2.2937</v>
      </c>
      <c r="G166">
        <f>-中国_中债国债到期收益率_1年!G165+中国_中债国债到期收益率_1年!G164</f>
        <v>-0.0367999999999999</v>
      </c>
    </row>
    <row r="167" spans="1:7">
      <c r="A167" s="7">
        <v>44956</v>
      </c>
      <c r="B167">
        <f>-中国_中债国债到期收益率_1年!B166+中国_中债国债到期收益率_1年!B165</f>
        <v>-0.00229999999999997</v>
      </c>
      <c r="C167">
        <f>-中国_中债国债到期收益率_1年!C166+中国_中债国债到期收益率_1年!C165</f>
        <v>0.00579999999999981</v>
      </c>
      <c r="D167">
        <f>-中国_中债国债到期收益率_1年!D166+中国_中债国债到期收益率_1年!D165</f>
        <v>0.0122</v>
      </c>
      <c r="E167">
        <f>-中国_中债国债到期收益率_1年!E166+中国_中债国债到期收益率_1年!E165</f>
        <v>0.00249999999999995</v>
      </c>
      <c r="F167">
        <f>-中国_中债国债到期收益率_1年!F166+中国_中债国债到期收益率_1年!F165</f>
        <v>0</v>
      </c>
      <c r="G167">
        <f>-中国_中债国债到期收益率_1年!G166+中国_中债国债到期收益率_1年!G165</f>
        <v>2.9434</v>
      </c>
    </row>
    <row r="168" spans="1:7">
      <c r="A168" s="7">
        <v>44957</v>
      </c>
      <c r="B168">
        <f>-中国_中债国债到期收益率_1年!B167+中国_中债国债到期收益率_1年!B166</f>
        <v>-0.0241000000000002</v>
      </c>
      <c r="C168">
        <f>-中国_中债国债到期收益率_1年!C167+中国_中债国债到期收益率_1年!C166</f>
        <v>-0.00130000000000008</v>
      </c>
      <c r="D168">
        <f>-中国_中债国债到期收益率_1年!D167+中国_中债国债到期收益率_1年!D166</f>
        <v>0.00859999999999994</v>
      </c>
      <c r="E168">
        <f>-中国_中债国债到期收益率_1年!E167+中国_中债国债到期收益率_1年!E166</f>
        <v>0.00229999999999997</v>
      </c>
      <c r="F168">
        <f>-中国_中债国债到期收益率_1年!F167+中国_中债国债到期收益率_1年!F166</f>
        <v>-2.3007</v>
      </c>
      <c r="G168">
        <f>-中国_中债国债到期收益率_1年!G167+中国_中债国债到期收益率_1年!G166</f>
        <v>-2.9292</v>
      </c>
    </row>
    <row r="169" spans="1:7">
      <c r="A169" s="7">
        <v>44958</v>
      </c>
      <c r="B169">
        <f>-中国_中债国债到期收益率_1年!B168+中国_中债国债到期收益率_1年!B167</f>
        <v>0.0225</v>
      </c>
      <c r="C169">
        <f>-中国_中债国债到期收益率_1年!C168+中国_中债国债到期收益率_1年!C167</f>
        <v>0.0199000000000003</v>
      </c>
      <c r="D169">
        <f>-中国_中债国债到期收益率_1年!D168+中国_中债国债到期收益率_1年!D167</f>
        <v>0.0156000000000001</v>
      </c>
      <c r="E169">
        <f>-中国_中债国债到期收益率_1年!E168+中国_中债国债到期收益率_1年!E167</f>
        <v>-0.0011000000000001</v>
      </c>
      <c r="F169">
        <f>-中国_中债国债到期收益率_1年!F168+中国_中债国债到期收益率_1年!F167</f>
        <v>0.0139</v>
      </c>
      <c r="G169">
        <f>-中国_中债国债到期收益率_1年!G168+中国_中债国债到期收益率_1年!G167</f>
        <v>0.0225</v>
      </c>
    </row>
    <row r="170" spans="1:7">
      <c r="A170" s="7">
        <v>44959</v>
      </c>
      <c r="B170">
        <f>-中国_中债国债到期收益率_1年!B169+中国_中债国债到期收益率_1年!B168</f>
        <v>-0.00959999999999983</v>
      </c>
      <c r="C170">
        <f>-中国_中债国债到期收益率_1年!C169+中国_中债国债到期收益率_1年!C168</f>
        <v>-0.00519999999999987</v>
      </c>
      <c r="D170">
        <f>-中国_中债国债到期收益率_1年!D169+中国_中债国债到期收益率_1年!D168</f>
        <v>-0.0124</v>
      </c>
      <c r="E170">
        <f>-中国_中债国债到期收益率_1年!E169+中国_中债国债到期收益率_1年!E168</f>
        <v>-0.00959999999999983</v>
      </c>
      <c r="F170">
        <f>-中国_中债国债到期收益率_1年!F169+中国_中债国债到期收益率_1年!F168</f>
        <v>0.00539999999999985</v>
      </c>
      <c r="G170">
        <f>-中国_中债国债到期收益率_1年!G169+中国_中债国债到期收益率_1年!G168</f>
        <v>0.00349999999999984</v>
      </c>
    </row>
    <row r="171" spans="1:7">
      <c r="A171" s="7">
        <v>44960</v>
      </c>
      <c r="B171">
        <f>-中国_中债国债到期收益率_1年!B170+中国_中债国债到期收益率_1年!B169</f>
        <v>0.0124</v>
      </c>
      <c r="C171">
        <f>-中国_中债国债到期收益率_1年!C170+中国_中债国债到期收益率_1年!C169</f>
        <v>0.0145999999999997</v>
      </c>
      <c r="D171">
        <f>-中国_中债国债到期收益率_1年!D170+中国_中债国债到期收益率_1年!D169</f>
        <v>0.0131000000000001</v>
      </c>
      <c r="E171">
        <f>-中国_中债国债到期收益率_1年!E170+中国_中债国债到期收益率_1年!E169</f>
        <v>0.00360000000000005</v>
      </c>
      <c r="F171">
        <f>-中国_中债国债到期收益率_1年!F170+中国_中债国债到期收益率_1年!F169</f>
        <v>0.0154000000000001</v>
      </c>
      <c r="G171">
        <f>-中国_中债国债到期收益率_1年!G170+中国_中债国债到期收益率_1年!G169</f>
        <v>0.0186999999999999</v>
      </c>
    </row>
    <row r="172" spans="1:7">
      <c r="A172" s="7">
        <v>44963</v>
      </c>
      <c r="B172">
        <f>-中国_中债国债到期收益率_1年!B171+中国_中债国债到期收益率_1年!B170</f>
        <v>0.000300000000000189</v>
      </c>
      <c r="C172">
        <f>-中国_中债国债到期收益率_1年!C171+中国_中债国债到期收益率_1年!C170</f>
        <v>0.00240000000000018</v>
      </c>
      <c r="D172">
        <f>-中国_中债国债到期收益率_1年!D171+中国_中债国债到期收益率_1年!D170</f>
        <v>0.00269999999999992</v>
      </c>
      <c r="E172">
        <f>-中国_中债国债到期收益率_1年!E171+中国_中债国债到期收益率_1年!E170</f>
        <v>0.00229999999999997</v>
      </c>
      <c r="F172">
        <f>-中国_中债国债到期收益率_1年!F171+中国_中债国债到期收益率_1年!F170</f>
        <v>0.0135000000000001</v>
      </c>
      <c r="G172">
        <f>-中国_中债国债到期收益率_1年!G171+中国_中债国债到期收益率_1年!G170</f>
        <v>0.0274000000000001</v>
      </c>
    </row>
    <row r="173" spans="1:7">
      <c r="A173" s="7">
        <v>44964</v>
      </c>
      <c r="B173">
        <f>-中国_中债国债到期收益率_1年!B172+中国_中债国债到期收益率_1年!B171</f>
        <v>-0.00770000000000026</v>
      </c>
      <c r="C173">
        <f>-中国_中债国债到期收益率_1年!C172+中国_中债国债到期收益率_1年!C171</f>
        <v>-0.0133000000000001</v>
      </c>
      <c r="D173">
        <f>-中国_中债国债到期收益率_1年!D172+中国_中债国债到期收益率_1年!D171</f>
        <v>-0.00740000000000007</v>
      </c>
      <c r="E173">
        <f>-中国_中债国债到期收益率_1年!E172+中国_中债国债到期收益率_1年!E171</f>
        <v>-0.00490000000000013</v>
      </c>
      <c r="F173">
        <f>-中国_中债国债到期收益率_1年!F172+中国_中债国债到期收益率_1年!F171</f>
        <v>-0.0127999999999999</v>
      </c>
      <c r="G173">
        <f>-中国_中债国债到期收益率_1年!G172+中国_中债国债到期收益率_1年!G171</f>
        <v>-0.0083000000000002</v>
      </c>
    </row>
    <row r="174" spans="1:7">
      <c r="A174" s="7">
        <v>44965</v>
      </c>
      <c r="B174">
        <f>-中国_中债国债到期收益率_1年!B173+中国_中债国债到期收益率_1年!B172</f>
        <v>-0.00489999999999968</v>
      </c>
      <c r="C174">
        <f>-中国_中债国债到期收益率_1年!C173+中国_中债国债到期收益率_1年!C172</f>
        <v>0.00709999999999988</v>
      </c>
      <c r="D174">
        <f>-中国_中债国债到期收益率_1年!D173+中国_中债国债到期收益率_1年!D172</f>
        <v>0.00530000000000008</v>
      </c>
      <c r="E174">
        <f>-中国_中债国债到期收益率_1年!E173+中国_中债国债到期收益率_1年!E172</f>
        <v>0.00519999999999987</v>
      </c>
      <c r="F174">
        <f>-中国_中债国债到期收益率_1年!F173+中国_中债国债到期收益率_1年!F172</f>
        <v>-0.0241000000000002</v>
      </c>
      <c r="G174">
        <f>-中国_中债国债到期收益率_1年!G173+中国_中债国债到期收益率_1年!G172</f>
        <v>-0.0139</v>
      </c>
    </row>
    <row r="175" spans="1:7">
      <c r="A175" s="7">
        <v>44966</v>
      </c>
      <c r="B175">
        <f>-中国_中债国债到期收益率_1年!B174+中国_中债国债到期收益率_1年!B173</f>
        <v>0.00129999999999963</v>
      </c>
      <c r="C175">
        <f>-中国_中债国债到期收益率_1年!C174+中国_中债国债到期收益率_1年!C173</f>
        <v>-0.0046999999999997</v>
      </c>
      <c r="D175">
        <f>-中国_中债国债到期收益率_1年!D174+中国_中债国债到期收益率_1年!D173</f>
        <v>-0.000900000000000123</v>
      </c>
      <c r="E175">
        <f>-中国_中债国债到期收益率_1年!E174+中国_中债国债到期收益率_1年!E173</f>
        <v>0.00190000000000001</v>
      </c>
      <c r="F175">
        <f>-中国_中债国债到期收益率_1年!F174+中国_中债国债到期收益率_1年!F173</f>
        <v>-0.00999999999999979</v>
      </c>
      <c r="G175">
        <f>-中国_中债国债到期收益率_1年!G174+中国_中债国债到期收益率_1年!G173</f>
        <v>0.00450000000000017</v>
      </c>
    </row>
    <row r="176" spans="1:7">
      <c r="A176" s="7">
        <v>44967</v>
      </c>
      <c r="B176">
        <f>-中国_中债国债到期收益率_1年!B175+中国_中债国债到期收益率_1年!B174</f>
        <v>-0.00559999999999983</v>
      </c>
      <c r="C176">
        <f>-中国_中债国债到期收益率_1年!C175+中国_中债国债到期收益率_1年!C174</f>
        <v>0.00709999999999988</v>
      </c>
      <c r="D176">
        <f>-中国_中债国债到期收益率_1年!D175+中国_中债国债到期收益率_1年!D174</f>
        <v>0.00609999999999999</v>
      </c>
      <c r="E176">
        <f>-中国_中债国债到期收益率_1年!E175+中国_中债国债到期收益率_1年!E174</f>
        <v>0.00240000000000018</v>
      </c>
      <c r="F176">
        <f>-中国_中债国债到期收益率_1年!F175+中国_中债国债到期收益率_1年!F174</f>
        <v>0.00459999999999994</v>
      </c>
      <c r="G176">
        <f>-中国_中债国债到期收益率_1年!G175+中国_中债国债到期收益率_1年!G174</f>
        <v>0.000799999999999912</v>
      </c>
    </row>
    <row r="177" spans="1:7">
      <c r="A177" s="7">
        <v>44970</v>
      </c>
      <c r="B177">
        <f>-中国_中债国债到期收益率_1年!B176+中国_中债国债到期收益率_1年!B175</f>
        <v>-0.000900000000000123</v>
      </c>
      <c r="C177">
        <f>-中国_中债国债到期收益率_1年!C176+中国_中债国债到期收益率_1年!C175</f>
        <v>-0.000199999999999978</v>
      </c>
      <c r="D177">
        <f>-中国_中债国债到期收益率_1年!D176+中国_中债国债到期收益率_1年!D175</f>
        <v>-0.00910000000000011</v>
      </c>
      <c r="E177">
        <f>-中国_中债国债到期收益率_1年!E176+中国_中债国债到期收益率_1年!E175</f>
        <v>-0.00729999999999986</v>
      </c>
      <c r="F177">
        <f>-中国_中债国债到期收益率_1年!F176+中国_中债国债到期收益率_1年!F175</f>
        <v>0.0143</v>
      </c>
      <c r="G177">
        <f>-中国_中债国债到期收益率_1年!G176+中国_中债国债到期收益率_1年!G175</f>
        <v>0.00740000000000007</v>
      </c>
    </row>
    <row r="178" spans="1:7">
      <c r="A178" s="7">
        <v>44971</v>
      </c>
      <c r="B178">
        <f>-中国_中债国债到期收益率_1年!B177+中国_中债国债到期收益率_1年!B176</f>
        <v>-0.00519999999999987</v>
      </c>
      <c r="C178">
        <f>-中国_中债国债到期收益率_1年!C177+中国_中债国债到期收益率_1年!C176</f>
        <v>-0.000599999999999934</v>
      </c>
      <c r="D178">
        <f>-中国_中债国债到期收益率_1年!D177+中国_中债国债到期收益率_1年!D176</f>
        <v>0.00600000000000023</v>
      </c>
      <c r="E178">
        <f>-中国_中债国债到期收益率_1年!E177+中国_中债国债到期收益率_1年!E176</f>
        <v>0.00279999999999969</v>
      </c>
      <c r="F178">
        <f>-中国_中债国债到期收益率_1年!F177+中国_中债国债到期收益率_1年!F176</f>
        <v>0.00340000000000007</v>
      </c>
      <c r="G178">
        <f>-中国_中债国债到期收益率_1年!G177+中国_中债国债到期收益率_1年!G176</f>
        <v>0.0114999999999998</v>
      </c>
    </row>
    <row r="179" spans="1:7">
      <c r="A179" s="7">
        <v>44972</v>
      </c>
      <c r="B179">
        <f>-中国_中债国债到期收益率_1年!B178+中国_中债国债到期收益率_1年!B177</f>
        <v>-0.00470000000000015</v>
      </c>
      <c r="C179">
        <f>-中国_中债国债到期收益率_1年!C178+中国_中债国债到期收益率_1年!C177</f>
        <v>0.00170000000000003</v>
      </c>
      <c r="D179">
        <f>-中国_中债国债到期收益率_1年!D178+中国_中债国债到期收益率_1年!D177</f>
        <v>0.0028999999999999</v>
      </c>
      <c r="E179">
        <f>-中国_中债国债到期收益率_1年!E178+中国_中债国债到期收益率_1年!E177</f>
        <v>0.00190000000000001</v>
      </c>
      <c r="F179">
        <f>-中国_中债国债到期收益率_1年!F178+中国_中债国债到期收益率_1年!F177</f>
        <v>-0.0124</v>
      </c>
      <c r="G179">
        <f>-中国_中债国债到期收益率_1年!G178+中国_中债国债到期收益率_1年!G177</f>
        <v>0</v>
      </c>
    </row>
    <row r="180" spans="1:7">
      <c r="A180" s="7">
        <v>44973</v>
      </c>
      <c r="B180">
        <f>-中国_中债国债到期收益率_1年!B179+中国_中债国债到期收益率_1年!B178</f>
        <v>-0.00109999999999966</v>
      </c>
      <c r="C180">
        <f>-中国_中债国债到期收益率_1年!C179+中国_中债国债到期收益率_1年!C178</f>
        <v>0.000499999999999723</v>
      </c>
      <c r="D180">
        <f>-中国_中债国债到期收益率_1年!D179+中国_中债国债到期收益率_1年!D178</f>
        <v>-0.000399999999999956</v>
      </c>
      <c r="E180">
        <f>-中国_中债国债到期收益率_1年!E179+中国_中债国债到期收益率_1年!E178</f>
        <v>-0.000599999999999934</v>
      </c>
      <c r="F180">
        <f>-中国_中债国债到期收益率_1年!F179+中国_中债国债到期收益率_1年!F178</f>
        <v>-0.0186000000000002</v>
      </c>
      <c r="G180">
        <f>-中国_中债国债到期收益率_1年!G179+中国_中债国债到期收益率_1年!G178</f>
        <v>-0.00749999999999984</v>
      </c>
    </row>
    <row r="181" spans="1:7">
      <c r="A181" s="7">
        <v>44974</v>
      </c>
      <c r="B181">
        <f>-中国_中债国债到期收益率_1年!B180+中国_中债国债到期收益率_1年!B179</f>
        <v>-0.0124000000000004</v>
      </c>
      <c r="C181">
        <f>-中国_中债国债到期收益率_1年!C180+中国_中债国债到期收益率_1年!C179</f>
        <v>0.00240000000000018</v>
      </c>
      <c r="D181">
        <f>-中国_中债国债到期收益率_1年!D180+中国_中债国债到期收益率_1年!D179</f>
        <v>0.0011000000000001</v>
      </c>
      <c r="E181">
        <f>-中国_中债国债到期收益率_1年!E180+中国_中债国债到期收益率_1年!E179</f>
        <v>-0.00139999999999985</v>
      </c>
      <c r="F181">
        <f>-中国_中债国债到期收益率_1年!F180+中国_中债国债到期收益率_1年!F179</f>
        <v>-0.00839999999999996</v>
      </c>
      <c r="G181">
        <f>-中国_中债国债到期收益率_1年!G180+中国_中债国债到期收益率_1年!G179</f>
        <v>-0.00130000000000008</v>
      </c>
    </row>
    <row r="182" spans="1:7">
      <c r="A182" s="7">
        <v>44977</v>
      </c>
      <c r="B182">
        <f>-中国_中债国债到期收益率_1年!B181+中国_中债国债到期收益率_1年!B180</f>
        <v>-0.00569999999999959</v>
      </c>
      <c r="C182">
        <f>-中国_中债国债到期收益率_1年!C181+中国_中债国债到期收益率_1年!C180</f>
        <v>-0.00550000000000006</v>
      </c>
      <c r="D182">
        <f>-中国_中债国债到期收益率_1年!D181+中国_中债国债到期收益率_1年!D180</f>
        <v>-0.00130000000000008</v>
      </c>
      <c r="E182">
        <f>-中国_中债国债到期收益率_1年!E181+中国_中债国债到期收益率_1年!E180</f>
        <v>0</v>
      </c>
      <c r="F182">
        <f>-中国_中债国债到期收益率_1年!F181+中国_中债国债到期收益率_1年!F180</f>
        <v>-0.00269999999999992</v>
      </c>
      <c r="G182">
        <f>-中国_中债国债到期收益率_1年!G181+中国_中债国债到期收益率_1年!G180</f>
        <v>-0.00279999999999969</v>
      </c>
    </row>
    <row r="183" spans="1:7">
      <c r="A183" s="7">
        <v>44978</v>
      </c>
      <c r="B183">
        <f>-中国_中债国债到期收益率_1年!B182+中国_中债国债到期收益率_1年!B181</f>
        <v>-0.0422000000000002</v>
      </c>
      <c r="C183">
        <f>-中国_中债国债到期收益率_1年!C182+中国_中债国债到期收益率_1年!C181</f>
        <v>-0.0415999999999999</v>
      </c>
      <c r="D183">
        <f>-中国_中债国债到期收益率_1年!D182+中国_中债国债到期收益率_1年!D181</f>
        <v>-0.0249999999999999</v>
      </c>
      <c r="E183">
        <f>-中国_中债国债到期收益率_1年!E182+中国_中债国债到期收益率_1年!E181</f>
        <v>-0.0146999999999999</v>
      </c>
      <c r="F183">
        <f>-中国_中债国债到期收益率_1年!F182+中国_中债国债到期收益率_1年!F181</f>
        <v>-0.0198</v>
      </c>
      <c r="G183">
        <f>-中国_中债国债到期收益率_1年!G182+中国_中债国债到期收益率_1年!G181</f>
        <v>-0.028</v>
      </c>
    </row>
    <row r="184" spans="1:7">
      <c r="A184" s="7">
        <v>44979</v>
      </c>
      <c r="B184">
        <f>-中国_中债国债到期收益率_1年!B183+中国_中债国债到期收益率_1年!B182</f>
        <v>-0.00269999999999992</v>
      </c>
      <c r="C184">
        <f>-中国_中债国债到期收益率_1年!C183+中国_中债国债到期收益率_1年!C182</f>
        <v>0.000199999999999978</v>
      </c>
      <c r="D184">
        <f>-中国_中债国债到期收益率_1年!D183+中国_中债国债到期收益率_1年!D182</f>
        <v>-0.00200000000000022</v>
      </c>
      <c r="E184">
        <f>-中国_中债国债到期收益率_1年!E183+中国_中债国债到期收益率_1年!E182</f>
        <v>-0.00480000000000036</v>
      </c>
      <c r="F184">
        <f>-中国_中债国债到期收益率_1年!F183+中国_中债国债到期收益率_1年!F182</f>
        <v>-0.0236999999999998</v>
      </c>
      <c r="G184">
        <f>-中国_中债国债到期收益率_1年!G183+中国_中债国债到期收益率_1年!G182</f>
        <v>-0.0409000000000002</v>
      </c>
    </row>
    <row r="185" spans="1:7">
      <c r="A185" s="7">
        <v>44980</v>
      </c>
      <c r="B185">
        <f>-中国_中债国债到期收益率_1年!B184+中国_中债国债到期收益率_1年!B183</f>
        <v>0.00219999999999976</v>
      </c>
      <c r="C185">
        <f>-中国_中债国债到期收益率_1年!C184+中国_中债国债到期收益率_1年!C183</f>
        <v>0.00479999999999992</v>
      </c>
      <c r="D185">
        <f>-中国_中债国债到期收益率_1年!D184+中国_中债国债到期收益率_1年!D183</f>
        <v>0.00150000000000006</v>
      </c>
      <c r="E185">
        <f>-中国_中债国债到期收益率_1年!E184+中国_中债国债到期收益率_1年!E183</f>
        <v>0</v>
      </c>
      <c r="F185">
        <f>-中国_中债国债到期收益率_1年!F184+中国_中债国债到期收益率_1年!F183</f>
        <v>-0.0130000000000003</v>
      </c>
      <c r="G185">
        <f>-中国_中债国债到期收益率_1年!G184+中国_中债国债到期收益率_1年!G183</f>
        <v>0.0163000000000002</v>
      </c>
    </row>
    <row r="186" spans="1:7">
      <c r="A186" s="7">
        <v>44981</v>
      </c>
      <c r="B186">
        <f>-中国_中债国债到期收益率_1年!B185+中国_中债国债到期收益率_1年!B184</f>
        <v>-0.0202999999999998</v>
      </c>
      <c r="C186">
        <f>-中国_中债国债到期收益率_1年!C185+中国_中债国债到期收益率_1年!C184</f>
        <v>-0.0104000000000002</v>
      </c>
      <c r="D186">
        <f>-中国_中债国债到期收益率_1年!D185+中国_中债国债到期收益率_1年!D184</f>
        <v>-0.00450000000000017</v>
      </c>
      <c r="E186">
        <f>-中国_中债国债到期收益率_1年!E185+中国_中债国债到期收益率_1年!E184</f>
        <v>-0.00279999999999969</v>
      </c>
      <c r="F186">
        <f>-中国_中债国债到期收益率_1年!F185+中国_中债国债到期收益率_1年!F184</f>
        <v>-0.0358999999999998</v>
      </c>
      <c r="G186">
        <f>-中国_中债国债到期收益率_1年!G185+中国_中债国债到期收益率_1年!G184</f>
        <v>-0.0166000000000004</v>
      </c>
    </row>
    <row r="187" spans="1:7">
      <c r="A187" s="7">
        <v>44984</v>
      </c>
      <c r="B187">
        <f>-中国_中债国债到期收益率_1年!B186+中国_中债国债到期收益率_1年!B185</f>
        <v>-0.0345</v>
      </c>
      <c r="C187">
        <f>-中国_中债国债到期收益率_1年!C186+中国_中债国债到期收益率_1年!C185</f>
        <v>0.0051000000000001</v>
      </c>
      <c r="D187">
        <f>-中国_中债国债到期收益率_1年!D186+中国_中债国债到期收益率_1年!D185</f>
        <v>0.0094000000000003</v>
      </c>
      <c r="E187">
        <f>-中国_中债国债到期收益率_1年!E186+中国_中债国债到期收益率_1年!E185</f>
        <v>0.00369999999999981</v>
      </c>
      <c r="F187">
        <f>-中国_中债国债到期收益率_1年!F186+中国_中债国债到期收益率_1年!F185</f>
        <v>-0.00410000000000021</v>
      </c>
      <c r="G187">
        <f>-中国_中债国债到期收益率_1年!G186+中国_中债国债到期收益率_1年!G185</f>
        <v>-0.00209999999999999</v>
      </c>
    </row>
    <row r="188" spans="1:7">
      <c r="A188" s="7">
        <v>44985</v>
      </c>
      <c r="B188">
        <f>-中国_中债国债到期收益率_1年!B187+中国_中债国债到期收益率_1年!B186</f>
        <v>-0.0217000000000001</v>
      </c>
      <c r="C188">
        <f>-中国_中债国债到期收益率_1年!C187+中国_中债国债到期收益率_1年!C186</f>
        <v>-0.000299999999999745</v>
      </c>
      <c r="D188">
        <f>-中国_中债国债到期收益率_1年!D187+中国_中债国债到期收益率_1年!D186</f>
        <v>0.000899999999999679</v>
      </c>
      <c r="E188">
        <f>-中国_中债国债到期收益率_1年!E187+中国_中债国债到期收益率_1年!E186</f>
        <v>-0.00349999999999984</v>
      </c>
      <c r="F188">
        <f>-中国_中债国债到期收益率_1年!F187+中国_中债国债到期收益率_1年!F186</f>
        <v>-0.00689999999999991</v>
      </c>
      <c r="G188">
        <f>-中国_中债国债到期收益率_1年!G187+中国_中债国债到期收益率_1年!G186</f>
        <v>-0.0046999999999997</v>
      </c>
    </row>
    <row r="189" spans="1:7">
      <c r="A189" s="7">
        <v>44986</v>
      </c>
      <c r="B189">
        <f>-中国_中债国债到期收益率_1年!B188+中国_中债国债到期收益率_1年!B187</f>
        <v>-0.0125999999999999</v>
      </c>
      <c r="C189">
        <f>-中国_中债国债到期收益率_1年!C188+中国_中债国债到期收益率_1年!C187</f>
        <v>0.00239999999999974</v>
      </c>
      <c r="D189">
        <f>-中国_中债国债到期收益率_1年!D188+中国_中债国债到期收益率_1年!D187</f>
        <v>0.0100000000000002</v>
      </c>
      <c r="E189">
        <f>-中国_中债国债到期收益率_1年!E188+中国_中债国债到期收益率_1年!E187</f>
        <v>0.00219999999999976</v>
      </c>
      <c r="F189">
        <f>-中国_中债国债到期收益率_1年!F188+中国_中债国债到期收益率_1年!F187</f>
        <v>-0.0322999999999998</v>
      </c>
      <c r="G189">
        <f>-中国_中债国债到期收益率_1年!G188+中国_中债国债到期收益率_1年!G187</f>
        <v>-0.0171000000000001</v>
      </c>
    </row>
    <row r="190" spans="1:7">
      <c r="A190" s="7">
        <v>44987</v>
      </c>
      <c r="B190">
        <f>-中国_中债国债到期收益率_1年!B189+中国_中债国债到期收益率_1年!B188</f>
        <v>0.00939999999999985</v>
      </c>
      <c r="C190">
        <f>-中国_中债国债到期收益率_1年!C189+中国_中债国债到期收益率_1年!C188</f>
        <v>0.00200000000000022</v>
      </c>
      <c r="D190">
        <f>-中国_中债国债到期收益率_1年!D189+中国_中债国债到期收益率_1年!D188</f>
        <v>0.004</v>
      </c>
      <c r="E190">
        <f>-中国_中债国债到期收益率_1年!E189+中国_中债国债到期收益率_1年!E188</f>
        <v>-0.00199999999999978</v>
      </c>
      <c r="F190">
        <f>-中国_中债国债到期收益率_1年!F189+中国_中债国债到期收益率_1年!F188</f>
        <v>0.032</v>
      </c>
      <c r="G190">
        <f>-中国_中债国债到期收益率_1年!G189+中国_中债国债到期收益率_1年!G188</f>
        <v>0.00439999999999996</v>
      </c>
    </row>
    <row r="191" spans="1:7">
      <c r="A191" s="7">
        <v>44988</v>
      </c>
      <c r="B191">
        <f>-中国_中债国债到期收益率_1年!B190+中国_中债国债到期收益率_1年!B189</f>
        <v>-0.00499999999999989</v>
      </c>
      <c r="C191">
        <f>-中国_中债国债到期收益率_1年!C190+中国_中债国债到期收益率_1年!C189</f>
        <v>-0.0159000000000002</v>
      </c>
      <c r="D191">
        <f>-中国_中债国债到期收益率_1年!D190+中国_中债国债到期收益率_1年!D189</f>
        <v>-0.0133999999999999</v>
      </c>
      <c r="E191">
        <f>-中国_中债国债到期收益率_1年!E190+中国_中债国债到期收益率_1年!E189</f>
        <v>-0.0051000000000001</v>
      </c>
      <c r="F191">
        <f>-中国_中债国债到期收益率_1年!F190+中国_中债国债到期收益率_1年!F189</f>
        <v>-0.00810000000000022</v>
      </c>
      <c r="G191">
        <f>-中国_中债国债到期收益率_1年!G190+中国_中债国债到期收益率_1年!G189</f>
        <v>-0.0135999999999998</v>
      </c>
    </row>
    <row r="192" spans="1:7">
      <c r="A192" s="7">
        <v>44991</v>
      </c>
      <c r="B192">
        <f>-中国_中债国债到期收益率_1年!B191+中国_中债国债到期收益率_1年!B190</f>
        <v>0.00170000000000003</v>
      </c>
      <c r="C192">
        <f>-中国_中债国债到期收益率_1年!C191+中国_中债国债到期收益率_1年!C190</f>
        <v>0.0125999999999999</v>
      </c>
      <c r="D192">
        <f>-中国_中债国债到期收益率_1年!D191+中国_中债国债到期收益率_1年!D190</f>
        <v>0.00849999999999973</v>
      </c>
      <c r="E192">
        <f>-中国_中债国债到期收益率_1年!E191+中国_中债国债到期收益率_1年!E190</f>
        <v>0.00209999999999999</v>
      </c>
      <c r="F192">
        <f>-中国_中债国债到期收益率_1年!F191+中国_中债国债到期收益率_1年!F190</f>
        <v>-0.0274999999999999</v>
      </c>
      <c r="G192">
        <f>-中国_中债国债到期收益率_1年!G191+中国_中债国债到期收益率_1年!G190</f>
        <v>-0.0233000000000003</v>
      </c>
    </row>
    <row r="193" spans="1:7">
      <c r="A193" s="7">
        <v>44992</v>
      </c>
      <c r="B193">
        <f>-中国_中债国债到期收益率_1年!B192+中国_中债国债到期收益率_1年!B191</f>
        <v>0.0274999999999999</v>
      </c>
      <c r="C193">
        <f>-中国_中债国债到期收益率_1年!C192+中国_中债国债到期收益率_1年!C191</f>
        <v>0.0273000000000003</v>
      </c>
      <c r="D193">
        <f>-中国_中债国债到期收益率_1年!D192+中国_中债国债到期收益率_1年!D191</f>
        <v>0.02</v>
      </c>
      <c r="E193">
        <f>-中国_中债国债到期收益率_1年!E192+中国_中债国债到期收益率_1年!E191</f>
        <v>0.0182000000000002</v>
      </c>
      <c r="F193">
        <f>-中国_中债国债到期收益率_1年!F192+中国_中债国债到期收益率_1年!F191</f>
        <v>0.0373000000000001</v>
      </c>
      <c r="G193">
        <f>-中国_中债国债到期收益率_1年!G192+中国_中债国债到期收益率_1年!G191</f>
        <v>0.0515000000000003</v>
      </c>
    </row>
    <row r="194" spans="1:7">
      <c r="A194" s="7">
        <v>44993</v>
      </c>
      <c r="B194">
        <f>-中国_中债国债到期收益率_1年!B193+中国_中债国债到期收益率_1年!B192</f>
        <v>0.00750000000000028</v>
      </c>
      <c r="C194">
        <f>-中国_中债国债到期收益率_1年!C193+中国_中债国债到期收益率_1年!C192</f>
        <v>0.00999999999999979</v>
      </c>
      <c r="D194">
        <f>-中国_中债国债到期收益率_1年!D193+中国_中债国债到期收益率_1年!D192</f>
        <v>0.0100000000000002</v>
      </c>
      <c r="E194">
        <f>-中国_中债国债到期收益率_1年!E193+中国_中债国债到期收益率_1年!E192</f>
        <v>0.00369999999999981</v>
      </c>
      <c r="F194">
        <f>-中国_中债国债到期收益率_1年!F193+中国_中债国债到期收益率_1年!F192</f>
        <v>0.00139999999999985</v>
      </c>
      <c r="G194">
        <f>-中国_中债国债到期收益率_1年!G193+中国_中债国债到期收益率_1年!G192</f>
        <v>0.0109999999999997</v>
      </c>
    </row>
    <row r="195" spans="1:7">
      <c r="A195" s="7">
        <v>44994</v>
      </c>
      <c r="B195">
        <f>-中国_中债国债到期收益率_1年!B194+中国_中债国债到期收益率_1年!B193</f>
        <v>0.0149999999999997</v>
      </c>
      <c r="C195">
        <f>-中国_中债国债到期收益率_1年!C194+中国_中债国债到期收益率_1年!C193</f>
        <v>-0.0108999999999999</v>
      </c>
      <c r="D195">
        <f>-中国_中债国债到期收益率_1年!D194+中国_中债国债到期收益率_1年!D193</f>
        <v>-0.0102000000000002</v>
      </c>
      <c r="E195">
        <f>-中国_中债国债到期收益率_1年!E194+中国_中债国债到期收益率_1年!E193</f>
        <v>-0.00470000000000015</v>
      </c>
      <c r="F195">
        <f>-中国_中债国债到期收益率_1年!F194+中国_中债国债到期收益率_1年!F193</f>
        <v>-0.00390000000000024</v>
      </c>
      <c r="G195">
        <f>-中国_中债国债到期收益率_1年!G194+中国_中债国债到期收益率_1年!G193</f>
        <v>0.00640000000000018</v>
      </c>
    </row>
    <row r="196" spans="1:7">
      <c r="A196" s="7">
        <v>44995</v>
      </c>
      <c r="B196">
        <f>-中国_中债国债到期收益率_1年!B195+中国_中债国债到期收益率_1年!B194</f>
        <v>0</v>
      </c>
      <c r="C196">
        <f>-中国_中债国债到期收益率_1年!C195+中国_中债国债到期收益率_1年!C194</f>
        <v>0.00959999999999983</v>
      </c>
      <c r="D196">
        <f>-中国_中债国债到期收益率_1年!D195+中国_中债国债到期收益率_1年!D194</f>
        <v>0.00760000000000005</v>
      </c>
      <c r="E196">
        <f>-中国_中债国债到期收益率_1年!E195+中国_中债国债到期收益率_1年!E194</f>
        <v>0.00530000000000008</v>
      </c>
      <c r="F196">
        <f>-中国_中债国债到期收益率_1年!F195+中国_中债国债到期收益率_1年!F194</f>
        <v>-0.00129999999999963</v>
      </c>
      <c r="G196">
        <f>-中国_中债国债到期收益率_1年!G195+中国_中债国债到期收益率_1年!G194</f>
        <v>0.0133999999999999</v>
      </c>
    </row>
    <row r="197" spans="1:7">
      <c r="A197" s="7">
        <v>44998</v>
      </c>
      <c r="B197">
        <f>-中国_中债国债到期收益率_1年!B196+中国_中债国债到期收益率_1年!B195</f>
        <v>0.0100000000000002</v>
      </c>
      <c r="C197">
        <f>-中国_中债国债到期收益率_1年!C196+中国_中债国债到期收益率_1年!C195</f>
        <v>0.0072000000000001</v>
      </c>
      <c r="D197">
        <f>-中国_中债国债到期收益率_1年!D196+中国_中债国债到期收益率_1年!D195</f>
        <v>0.0125000000000002</v>
      </c>
      <c r="E197">
        <f>-中国_中债国债到期收益率_1年!E196+中国_中债国债到期收益率_1年!E195</f>
        <v>0.0119000000000002</v>
      </c>
      <c r="F197">
        <f>-中国_中债国债到期收益率_1年!F196+中国_中债国债到期收益率_1年!F195</f>
        <v>0.0166999999999997</v>
      </c>
      <c r="G197">
        <f>-中国_中债国债到期收益率_1年!G196+中国_中债国债到期收益率_1年!G195</f>
        <v>0.0396000000000001</v>
      </c>
    </row>
    <row r="198" spans="1:7">
      <c r="A198" s="7">
        <v>44999</v>
      </c>
      <c r="B198">
        <f>-中国_中债国债到期收益率_1年!B197+中国_中债国债到期收益率_1年!B196</f>
        <v>0</v>
      </c>
      <c r="C198">
        <f>-中国_中债国债到期收益率_1年!C197+中国_中债国债到期收益率_1年!C196</f>
        <v>-0.00919999999999987</v>
      </c>
      <c r="D198">
        <f>-中国_中债国债到期收益率_1年!D197+中国_中债国债到期收益率_1年!D196</f>
        <v>-0.00760000000000005</v>
      </c>
      <c r="E198">
        <f>-中国_中债国债到期收益率_1年!E197+中国_中债国债到期收益率_1年!E196</f>
        <v>-0.00290000000000035</v>
      </c>
      <c r="F198">
        <f>-中国_中债国债到期收益率_1年!F197+中国_中债国债到期收益率_1年!F196</f>
        <v>0.000500000000000167</v>
      </c>
      <c r="G198">
        <f>-中国_中债国债到期收益率_1年!G197+中国_中债国债到期收益率_1年!G196</f>
        <v>-0.00590000000000002</v>
      </c>
    </row>
    <row r="199" spans="1:7">
      <c r="A199" s="7">
        <v>45000</v>
      </c>
      <c r="B199">
        <f>-中国_中债国债到期收益率_1年!B198+中国_中债国债到期收益率_1年!B197</f>
        <v>-0.00600000000000023</v>
      </c>
      <c r="C199">
        <f>-中国_中债国债到期收益率_1年!C198+中国_中债国债到期收益率_1年!C197</f>
        <v>0.0078999999999998</v>
      </c>
      <c r="D199">
        <f>-中国_中债国债到期收益率_1年!D198+中国_中债国债到期收益率_1年!D197</f>
        <v>0.00509999999999966</v>
      </c>
      <c r="E199">
        <f>-中国_中债国债到期收益率_1年!E198+中国_中债国债到期收益率_1年!E197</f>
        <v>0.00540000000000029</v>
      </c>
      <c r="F199">
        <f>-中国_中债国债到期收益率_1年!F198+中国_中债国债到期收益率_1年!F197</f>
        <v>0.00570000000000004</v>
      </c>
      <c r="G199">
        <f>-中国_中债国债到期收益率_1年!G198+中国_中债国债到期收益率_1年!G197</f>
        <v>0.0367999999999999</v>
      </c>
    </row>
    <row r="200" spans="1:7">
      <c r="A200" s="7">
        <v>45001</v>
      </c>
      <c r="B200">
        <f>-中国_中债国债到期收益率_1年!B199+中国_中债国债到期收益率_1年!B198</f>
        <v>-0.00999999999999979</v>
      </c>
      <c r="C200">
        <f>-中国_中债国债到期收益率_1年!C199+中国_中债国债到期收益率_1年!C198</f>
        <v>-0.00190000000000001</v>
      </c>
      <c r="D200">
        <f>-中国_中债国债到期收益率_1年!D199+中国_中债国债到期收益率_1年!D198</f>
        <v>0</v>
      </c>
      <c r="E200">
        <f>-中国_中债国债到期收益率_1年!E199+中国_中债国债到期收益率_1年!E198</f>
        <v>-0.00140000000000029</v>
      </c>
      <c r="F200">
        <f>-中国_中债国债到期收益率_1年!F199+中国_中债国债到期收益率_1年!F198</f>
        <v>-0.0207999999999999</v>
      </c>
      <c r="G200">
        <f>-中国_中债国债到期收益率_1年!G199+中国_中债国债到期收益率_1年!G198</f>
        <v>-0.0219</v>
      </c>
    </row>
    <row r="201" spans="1:7">
      <c r="A201" s="7">
        <v>45002</v>
      </c>
      <c r="B201">
        <f>-中国_中债国债到期收益率_1年!B200+中国_中债国债到期收益率_1年!B199</f>
        <v>0.0299999999999998</v>
      </c>
      <c r="C201">
        <f>-中国_中债国债到期收益率_1年!C200+中国_中债国债到期收益率_1年!C199</f>
        <v>0.0148000000000001</v>
      </c>
      <c r="D201">
        <f>-中国_中债国债到期收益率_1年!D200+中国_中债国债到期收益率_1年!D199</f>
        <v>0.0100000000000002</v>
      </c>
      <c r="E201">
        <f>-中国_中债国债到期收益率_1年!E200+中国_中债国债到期收益率_1年!E199</f>
        <v>0.0207000000000002</v>
      </c>
      <c r="F201">
        <f>-中国_中债国债到期收益率_1年!F200+中国_中债国债到期收益率_1年!F199</f>
        <v>0.0124999999999997</v>
      </c>
      <c r="G201">
        <f>-中国_中债国债到期收益率_1年!G200+中国_中债国债到期收益率_1年!G199</f>
        <v>0.0292000000000003</v>
      </c>
    </row>
    <row r="202" spans="1:7">
      <c r="A202" s="7">
        <v>45005</v>
      </c>
      <c r="B202">
        <f>-中国_中债国债到期收益率_1年!B201+中国_中债国债到期收益率_1年!B200</f>
        <v>0</v>
      </c>
      <c r="C202">
        <f>-中国_中债国债到期收益率_1年!C201+中国_中债国债到期收益率_1年!C200</f>
        <v>-0.00260000000000016</v>
      </c>
      <c r="D202">
        <f>-中国_中债国债到期收益率_1年!D201+中国_中债国债到期收益率_1年!D200</f>
        <v>-0.00499999999999989</v>
      </c>
      <c r="E202">
        <f>-中国_中债国债到期收益率_1年!E201+中国_中债国债到期收益率_1年!E200</f>
        <v>0.0135999999999998</v>
      </c>
      <c r="F202">
        <f>-中国_中债国债到期收益率_1年!F201+中国_中债国债到期收益率_1年!F200</f>
        <v>0.0112000000000001</v>
      </c>
      <c r="G202">
        <f>-中国_中债国债到期收益率_1年!G201+中国_中债国债到期收益率_1年!G200</f>
        <v>-0.000100000000000211</v>
      </c>
    </row>
    <row r="203" spans="1:7">
      <c r="A203" s="7">
        <v>45006</v>
      </c>
      <c r="B203">
        <f>-中国_中债国债到期收益率_1年!B202+中国_中债国债到期收益率_1年!B201</f>
        <v>0.0150000000000001</v>
      </c>
      <c r="C203">
        <f>-中国_中债国债到期收益率_1年!C202+中国_中债国债到期收益率_1年!C201</f>
        <v>0.0289000000000001</v>
      </c>
      <c r="D203">
        <f>-中国_中债国债到期收益率_1年!D202+中国_中债国债到期收益率_1年!D201</f>
        <v>0.00979999999999981</v>
      </c>
      <c r="E203">
        <f>-中国_中债国债到期收益率_1年!E202+中国_中债国债到期收益率_1年!E201</f>
        <v>0.0144000000000002</v>
      </c>
      <c r="F203">
        <f>-中国_中债国债到期收益率_1年!F202+中国_中债国债到期收益率_1年!F201</f>
        <v>0.0560999999999998</v>
      </c>
      <c r="G203">
        <f>-中国_中债国债到期收益率_1年!G202+中国_中债国债到期收益率_1年!G201</f>
        <v>0.0262000000000002</v>
      </c>
    </row>
    <row r="204" spans="1:7">
      <c r="A204" s="7">
        <v>45007</v>
      </c>
      <c r="B204">
        <f>-中国_中债国债到期收益率_1年!B203+中国_中债国债到期收益率_1年!B202</f>
        <v>-0.0150000000000001</v>
      </c>
      <c r="C204">
        <f>-中国_中债国债到期收益率_1年!C203+中国_中债国债到期收益率_1年!C202</f>
        <v>-0.0225</v>
      </c>
      <c r="D204">
        <f>-中国_中债国债到期收益率_1年!D203+中国_中债国债到期收益率_1年!D202</f>
        <v>-0.00999999999999979</v>
      </c>
      <c r="E204">
        <f>-中国_中债国债到期收益率_1年!E203+中国_中债国债到期收益率_1年!E202</f>
        <v>-0.00329999999999986</v>
      </c>
      <c r="F204">
        <f>-中国_中债国债到期收益率_1年!F203+中国_中债国债到期收益率_1年!F202</f>
        <v>-0.0291999999999999</v>
      </c>
      <c r="G204">
        <f>-中国_中债国债到期收益率_1年!G203+中国_中债国债到期收益率_1年!G202</f>
        <v>-0.00960000000000027</v>
      </c>
    </row>
    <row r="205" spans="1:7">
      <c r="A205" s="7">
        <v>45008</v>
      </c>
      <c r="B205">
        <f>-中国_中债国债到期收益率_1年!B204+中国_中债国债到期收益率_1年!B203</f>
        <v>-0.0238</v>
      </c>
      <c r="C205">
        <f>-中国_中债国债到期收益率_1年!C204+中国_中债国债到期收益率_1年!C203</f>
        <v>-0.00810000000000022</v>
      </c>
      <c r="D205">
        <f>-中国_中债国债到期收益率_1年!D204+中国_中债国债到期收益率_1年!D203</f>
        <v>0.00269999999999992</v>
      </c>
      <c r="E205">
        <f>-中国_中债国债到期收益率_1年!E204+中国_中债国债到期收益率_1年!E203</f>
        <v>-0.000599999999999934</v>
      </c>
      <c r="F205">
        <f>-中国_中债国债到期收益率_1年!F204+中国_中债国债到期收益率_1年!F203</f>
        <v>-0.00890000000000013</v>
      </c>
      <c r="G205">
        <f>-中国_中债国债到期收益率_1年!G204+中国_中债国债到期收益率_1年!G203</f>
        <v>-0.0204999999999997</v>
      </c>
    </row>
    <row r="206" spans="1:7">
      <c r="A206" s="7">
        <v>45009</v>
      </c>
      <c r="B206">
        <f>-中国_中债国债到期收益率_1年!B205+中国_中债国债到期收益率_1年!B204</f>
        <v>0.00500000000000034</v>
      </c>
      <c r="C206">
        <f>-中国_中债国债到期收益率_1年!C205+中国_中债国债到期收益率_1年!C204</f>
        <v>-0.00579999999999981</v>
      </c>
      <c r="D206">
        <f>-中国_中债国债到期收益率_1年!D205+中国_中债国债到期收益率_1年!D204</f>
        <v>-0.00750000000000028</v>
      </c>
      <c r="E206">
        <f>-中国_中债国债到期收益率_1年!E205+中国_中债国债到期收益率_1年!E204</f>
        <v>-0.00900000000000034</v>
      </c>
      <c r="F206">
        <f>-中国_中债国债到期收益率_1年!F205+中国_中债国债到期收益率_1年!F204</f>
        <v>0.0125000000000002</v>
      </c>
      <c r="G206">
        <f>-中国_中债国债到期收益率_1年!G205+中国_中债国债到期收益率_1年!G204</f>
        <v>0.00549999999999962</v>
      </c>
    </row>
    <row r="207" spans="1:7">
      <c r="A207" s="7">
        <v>45012</v>
      </c>
      <c r="B207">
        <f>-中国_中债国债到期收益率_1年!B206+中国_中债国债到期收益率_1年!B205</f>
        <v>-0.0250000000000004</v>
      </c>
      <c r="C207">
        <f>-中国_中债国债到期收益率_1年!C206+中国_中债国债到期收益率_1年!C205</f>
        <v>-0.0125999999999999</v>
      </c>
      <c r="D207">
        <f>-中国_中债国债到期收益率_1年!D206+中国_中债国债到期收益率_1年!D205</f>
        <v>-0.00239999999999974</v>
      </c>
      <c r="E207">
        <f>-中国_中债国债到期收益率_1年!E206+中国_中债国债到期收益率_1年!E205</f>
        <v>-0.00529999999999964</v>
      </c>
      <c r="F207">
        <f>-中国_中债国债到期收益率_1年!F206+中国_中债国债到期收益率_1年!F205</f>
        <v>-0.0116999999999998</v>
      </c>
      <c r="G207">
        <f>-中国_中债国债到期收益率_1年!G206+中国_中债国债到期收益率_1年!G205</f>
        <v>-0.0190999999999999</v>
      </c>
    </row>
    <row r="208" spans="1:7">
      <c r="A208" s="7">
        <v>45013</v>
      </c>
      <c r="B208">
        <f>-中国_中债国债到期收益率_1年!B207+中国_中债国债到期收益率_1年!B206</f>
        <v>0.02</v>
      </c>
      <c r="C208">
        <f>-中国_中债国债到期收益率_1年!C207+中国_中债国债到期收益率_1年!C206</f>
        <v>0.0143999999999997</v>
      </c>
      <c r="D208">
        <f>-中国_中债国债到期收益率_1年!D207+中国_中债国债到期收益率_1年!D206</f>
        <v>0.0124999999999997</v>
      </c>
      <c r="E208">
        <f>-中国_中债国债到期收益率_1年!E207+中国_中债国债到期收益率_1年!E206</f>
        <v>0.00999999999999979</v>
      </c>
      <c r="F208">
        <f>-中国_中债国债到期收益率_1年!F207+中国_中债国债到期收益率_1年!F206</f>
        <v>0.0170999999999997</v>
      </c>
      <c r="G208">
        <f>-中国_中债国债到期收益率_1年!G207+中国_中债国债到期收益率_1年!G206</f>
        <v>0.0268999999999999</v>
      </c>
    </row>
    <row r="209" spans="1:7">
      <c r="A209" s="7">
        <v>45014</v>
      </c>
      <c r="B209">
        <f>-中国_中债国债到期收益率_1年!B208+中国_中债国债到期收益率_1年!B207</f>
        <v>-0.00499999999999989</v>
      </c>
      <c r="C209">
        <f>-中国_中债国债到期收益率_1年!C208+中国_中债国债到期收益率_1年!C207</f>
        <v>-0.00809999999999977</v>
      </c>
      <c r="D209">
        <f>-中国_中债国债到期收益率_1年!D208+中国_中债国债到期收益率_1年!D207</f>
        <v>-0.000499999999999723</v>
      </c>
      <c r="E209">
        <f>-中国_中债国债到期收益率_1年!E208+中国_中债国债到期收益率_1年!E207</f>
        <v>0</v>
      </c>
      <c r="F209">
        <f>-中国_中债国债到期收益率_1年!F208+中国_中债国债到期收益率_1年!F207</f>
        <v>-0.0118999999999998</v>
      </c>
      <c r="G209">
        <f>-中国_中债国债到期收益率_1年!G208+中国_中债国债到期收益率_1年!G207</f>
        <v>0.00120000000000031</v>
      </c>
    </row>
    <row r="210" spans="1:7">
      <c r="A210" s="7">
        <v>45015</v>
      </c>
      <c r="B210">
        <f>-中国_中债国债到期收益率_1年!B209+中国_中债国债到期收益率_1年!B208</f>
        <v>0.00249999999999995</v>
      </c>
      <c r="C210">
        <f>-中国_中债国债到期收益率_1年!C209+中国_中债国债到期收益率_1年!C208</f>
        <v>0.00490000000000013</v>
      </c>
      <c r="D210">
        <f>-中国_中债国债到期收益率_1年!D209+中国_中债国债到期收益率_1年!D208</f>
        <v>0.00239999999999974</v>
      </c>
      <c r="E210">
        <f>-中国_中债国债到期收益率_1年!E209+中国_中债国债到期收益率_1年!E208</f>
        <v>0.00329999999999986</v>
      </c>
      <c r="F210">
        <f>-中国_中债国债到期收益率_1年!F209+中国_中债国债到期收益率_1年!F208</f>
        <v>0.00369999999999981</v>
      </c>
      <c r="G210">
        <f>-中国_中债国债到期收益率_1年!G209+中国_中债国债到期收益率_1年!G208</f>
        <v>-0.00620000000000021</v>
      </c>
    </row>
    <row r="211" spans="1:7">
      <c r="A211" s="7">
        <v>45016</v>
      </c>
      <c r="B211">
        <f>-中国_中债国债到期收益率_1年!B210+中国_中债国债到期收益率_1年!B209</f>
        <v>0.00249999999999995</v>
      </c>
      <c r="C211">
        <f>-中国_中债国债到期收益率_1年!C210+中国_中债国债到期收益率_1年!C209</f>
        <v>-0.00530000000000008</v>
      </c>
      <c r="D211">
        <f>-中国_中债国债到期收益率_1年!D210+中国_中债国债到期收益率_1年!D209</f>
        <v>-0.00709999999999988</v>
      </c>
      <c r="E211">
        <f>-中国_中债国债到期收益率_1年!E210+中国_中债国债到期收益率_1年!E209</f>
        <v>-0.000899999999999679</v>
      </c>
      <c r="F211">
        <f>-中国_中债国债到期收益率_1年!F210+中国_中债国债到期收益率_1年!F209</f>
        <v>0.00839999999999996</v>
      </c>
      <c r="G211">
        <f>-中国_中债国债到期收益率_1年!G210+中国_中债国债到期收益率_1年!G209</f>
        <v>0.00519999999999987</v>
      </c>
    </row>
    <row r="212" spans="1:7">
      <c r="A212" s="7">
        <v>45019</v>
      </c>
      <c r="B212">
        <f>-中国_中债国债到期收益率_1年!B211+中国_中债国债到期收益率_1年!B210</f>
        <v>0.04</v>
      </c>
      <c r="C212">
        <f>-中国_中债国债到期收益率_1年!C211+中国_中债国债到期收益率_1年!C210</f>
        <v>0.0169999999999999</v>
      </c>
      <c r="D212">
        <f>-中国_中债国债到期收益率_1年!D211+中国_中债国债到期收益率_1年!D210</f>
        <v>0.00750000000000028</v>
      </c>
      <c r="E212">
        <f>-中国_中债国债到期收益率_1年!E211+中国_中债国债到期收益率_1年!E210</f>
        <v>-0.00370000000000026</v>
      </c>
      <c r="F212">
        <f>-中国_中债国债到期收益率_1年!F211+中国_中债国债到期收益率_1年!F210</f>
        <v>0.0108000000000001</v>
      </c>
      <c r="G212">
        <f>-中国_中债国债到期收益率_1年!G211+中国_中债国债到期收益率_1年!G210</f>
        <v>-0.00579999999999981</v>
      </c>
    </row>
    <row r="213" spans="1:7">
      <c r="A213" s="7">
        <v>45020</v>
      </c>
      <c r="B213">
        <f>-中国_中债国债到期收益率_1年!B212+中国_中债国债到期收益率_1年!B211</f>
        <v>0</v>
      </c>
      <c r="C213">
        <f>-中国_中债国债到期收益率_1年!C212+中国_中债国债到期收益率_1年!C211</f>
        <v>-0.0112000000000001</v>
      </c>
      <c r="D213">
        <f>-中国_中债国债到期收益率_1年!D212+中国_中债国债到期收益率_1年!D211</f>
        <v>-0.00760000000000005</v>
      </c>
      <c r="E213">
        <f>-中国_中债国债到期收益率_1年!E212+中国_中债国债到期收益率_1年!E211</f>
        <v>-0.00749999999999984</v>
      </c>
      <c r="F213">
        <f>-中国_中债国债到期收益率_1年!F212+中国_中债国债到期收益率_1年!F211</f>
        <v>0.0133000000000001</v>
      </c>
      <c r="G213">
        <f>-中国_中债国债到期收益率_1年!G212+中国_中债国债到期收益率_1年!G211</f>
        <v>-0.0017999999999998</v>
      </c>
    </row>
    <row r="214" spans="1:7">
      <c r="A214" s="7">
        <v>45022</v>
      </c>
      <c r="B214">
        <f>-中国_中债国债到期收益率_1年!B213+中国_中债国债到期收益率_1年!B212</f>
        <v>0.00249999999999995</v>
      </c>
      <c r="C214">
        <f>-中国_中债国债到期收益率_1年!C213+中国_中债国债到期收益率_1年!C212</f>
        <v>-0.00300000000000011</v>
      </c>
      <c r="D214">
        <f>-中国_中债国债到期收益率_1年!D213+中国_中债国债到期收益率_1年!D212</f>
        <v>0.00199999999999978</v>
      </c>
      <c r="E214">
        <f>-中国_中债国债到期收益率_1年!E213+中国_中债国债到期收益率_1年!E212</f>
        <v>-0.00140000000000029</v>
      </c>
      <c r="F214">
        <f>-中国_中债国债到期收益率_1年!F213+中国_中债国债到期收益率_1年!F212</f>
        <v>-0.0146000000000002</v>
      </c>
      <c r="G214">
        <f>-中国_中债国债到期收益率_1年!G213+中国_中债国债到期收益率_1年!G212</f>
        <v>-0.0109000000000004</v>
      </c>
    </row>
    <row r="215" spans="1:7">
      <c r="A215" s="7">
        <v>45023</v>
      </c>
      <c r="B215">
        <f>-中国_中债国债到期收益率_1年!B214+中国_中债国债到期收益率_1年!B213</f>
        <v>0.00250000000000039</v>
      </c>
      <c r="C215">
        <f>-中国_中债国债到期收益率_1年!C214+中国_中债国债到期收益率_1年!C213</f>
        <v>-0.00489999999999968</v>
      </c>
      <c r="D215">
        <f>-中国_中债国债到期收益率_1年!D214+中国_中债国债到期收益率_1年!D213</f>
        <v>-0.00209999999999999</v>
      </c>
      <c r="E215">
        <f>-中国_中债国债到期收益率_1年!E214+中国_中债国债到期收益率_1年!E213</f>
        <v>-0.00419999999999998</v>
      </c>
      <c r="F215">
        <f>-中国_中债国债到期收益率_1年!F214+中国_中债国债到期收益率_1年!F213</f>
        <v>-0.0316999999999998</v>
      </c>
      <c r="G215">
        <f>-中国_中债国债到期收益率_1年!G214+中国_中债国债到期收益率_1年!G213</f>
        <v>-0.0164</v>
      </c>
    </row>
    <row r="216" spans="1:7">
      <c r="A216" s="7">
        <v>45026</v>
      </c>
      <c r="B216">
        <f>-中国_中债国债到期收益率_1年!B215+中国_中债国债到期收益率_1年!B214</f>
        <v>0</v>
      </c>
      <c r="C216">
        <f>-中国_中债国债到期收益率_1年!C215+中国_中债国债到期收益率_1年!C214</f>
        <v>0.0147999999999997</v>
      </c>
      <c r="D216">
        <f>-中国_中债国债到期收益率_1年!D215+中国_中债国债到期收益率_1年!D214</f>
        <v>0.0141</v>
      </c>
      <c r="E216">
        <f>-中国_中债国债到期收益率_1年!E215+中国_中债国债到期收益率_1年!E214</f>
        <v>0.0103</v>
      </c>
      <c r="F216">
        <f>-中国_中债国债到期收益率_1年!F215+中国_中债国债到期收益率_1年!F214</f>
        <v>-0.0051000000000001</v>
      </c>
      <c r="G216">
        <f>-中国_中债国债到期收益率_1年!G215+中国_中债国债到期收益率_1年!G214</f>
        <v>-0.00489999999999968</v>
      </c>
    </row>
    <row r="217" spans="1:7">
      <c r="A217" s="7">
        <v>45027</v>
      </c>
      <c r="B217">
        <f>-中国_中债国债到期收益率_1年!B216+中国_中债国债到期收益率_1年!B215</f>
        <v>0.00499999999999989</v>
      </c>
      <c r="C217">
        <f>-中国_中债国债到期收益率_1年!C216+中国_中债国债到期收益率_1年!C215</f>
        <v>-0.00380000000000003</v>
      </c>
      <c r="D217">
        <f>-中国_中债国债到期收益率_1年!D216+中国_中债国债到期收益率_1年!D215</f>
        <v>0.000900000000000123</v>
      </c>
      <c r="E217">
        <f>-中国_中债国债到期收益率_1年!E216+中国_中债国债到期收益率_1年!E215</f>
        <v>0.00130000000000008</v>
      </c>
      <c r="F217">
        <f>-中国_中债国债到期收益率_1年!F216+中国_中债国债到期收益率_1年!F215</f>
        <v>0.00519999999999987</v>
      </c>
      <c r="G217">
        <f>-中国_中债国债到期收益率_1年!G216+中国_中债国债到期收益率_1年!G215</f>
        <v>0.00999999999999979</v>
      </c>
    </row>
    <row r="218" spans="1:7">
      <c r="A218" s="7">
        <v>45028</v>
      </c>
      <c r="B218">
        <f>-中国_中债国债到期收益率_1年!B217+中国_中债国债到期收益率_1年!B216</f>
        <v>0.00999999999999979</v>
      </c>
      <c r="C218">
        <f>-中国_中债国债到期收益率_1年!C217+中国_中债国债到期收益率_1年!C216</f>
        <v>0.0125000000000002</v>
      </c>
      <c r="D218">
        <f>-中国_中债国债到期收益率_1年!D217+中国_中债国债到期收益率_1年!D216</f>
        <v>0.0251999999999999</v>
      </c>
      <c r="E218">
        <f>-中国_中债国债到期收益率_1年!E217+中国_中债国债到期收益率_1年!E216</f>
        <v>0.0174000000000003</v>
      </c>
      <c r="F218">
        <f>-中国_中债国债到期收益率_1年!F217+中国_中债国债到期收益率_1年!F216</f>
        <v>0.00760000000000005</v>
      </c>
      <c r="G218">
        <f>-中国_中债国债到期收益率_1年!G217+中国_中债国债到期收益率_1年!G216</f>
        <v>0.0224000000000002</v>
      </c>
    </row>
    <row r="219" spans="1:7">
      <c r="A219" s="7">
        <v>45029</v>
      </c>
      <c r="B219">
        <f>-中国_中债国债到期收益率_1年!B218+中国_中债国债到期收益率_1年!B217</f>
        <v>0.00370000000000026</v>
      </c>
      <c r="C219">
        <f>-中国_中债国债到期收益率_1年!C218+中国_中债国债到期收益率_1年!C217</f>
        <v>0.0103</v>
      </c>
      <c r="D219">
        <f>-中国_中债国债到期收益率_1年!D218+中国_中债国债到期收益率_1年!D217</f>
        <v>0.00450000000000017</v>
      </c>
      <c r="E219">
        <f>-中国_中债国债到期收益率_1年!E218+中国_中债国债到期收益率_1年!E217</f>
        <v>0.0195999999999996</v>
      </c>
      <c r="F219">
        <f>-中国_中债国债到期收益率_1年!F218+中国_中债国债到期收益率_1年!F217</f>
        <v>0.00810000000000022</v>
      </c>
      <c r="G219">
        <f>-中国_中债国债到期收益率_1年!G218+中国_中债国债到期收益率_1年!G217</f>
        <v>0.0156999999999998</v>
      </c>
    </row>
    <row r="220" spans="1:7">
      <c r="A220" s="7">
        <v>45030</v>
      </c>
      <c r="B220">
        <f>-中国_中债国债到期收益率_1年!B219+中国_中债国债到期收益率_1年!B218</f>
        <v>0.00249999999999995</v>
      </c>
      <c r="C220">
        <f>-中国_中债国债到期收益率_1年!C219+中国_中债国债到期收益率_1年!C218</f>
        <v>-0.0103</v>
      </c>
      <c r="D220">
        <f>-中国_中债国债到期收益率_1年!D219+中国_中债国债到期收益率_1年!D218</f>
        <v>-0.0119000000000002</v>
      </c>
      <c r="E220">
        <f>-中国_中债国债到期收益率_1年!E219+中国_中债国债到期收益率_1年!E218</f>
        <v>-0.00539999999999985</v>
      </c>
      <c r="F220">
        <f>-中国_中债国债到期收益率_1年!F219+中国_中债国债到期收益率_1年!F218</f>
        <v>-0.00970000000000004</v>
      </c>
      <c r="G220">
        <f>-中国_中债国债到期收益率_1年!G219+中国_中债国债到期收益率_1年!G218</f>
        <v>-0.0139999999999998</v>
      </c>
    </row>
    <row r="221" spans="1:7">
      <c r="A221" s="7">
        <v>45033</v>
      </c>
      <c r="B221">
        <f>-中国_中债国债到期收益率_1年!B220+中国_中债国债到期收益率_1年!B219</f>
        <v>-0.00249999999999995</v>
      </c>
      <c r="C221">
        <f>-中国_中债国债到期收益率_1年!C220+中国_中债国债到期收益率_1年!C219</f>
        <v>-0.00329999999999986</v>
      </c>
      <c r="D221">
        <f>-中国_中债国债到期收益率_1年!D220+中国_中债国债到期收益率_1年!D219</f>
        <v>-0.000399999999999956</v>
      </c>
      <c r="E221">
        <f>-中国_中债国债到期收益率_1年!E220+中国_中债国债到期收益率_1年!E219</f>
        <v>-9.99999999997669e-5</v>
      </c>
      <c r="F221">
        <f>-中国_中债国债到期收益率_1年!F220+中国_中债国债到期收益率_1年!F219</f>
        <v>0.00879999999999992</v>
      </c>
      <c r="G221">
        <f>-中国_中债国债到期收益率_1年!G220+中国_中债国债到期收益率_1年!G219</f>
        <v>-0.00260000000000016</v>
      </c>
    </row>
    <row r="222" spans="1:7">
      <c r="A222" s="7">
        <v>45034</v>
      </c>
      <c r="B222">
        <f>-中国_中债国债到期收益率_1年!B221+中国_中债国债到期收益率_1年!B220</f>
        <v>-0.00500000000000034</v>
      </c>
      <c r="C222">
        <f>-中国_中债国债到期收益率_1年!C221+中国_中债国债到期收益率_1年!C220</f>
        <v>-0.012</v>
      </c>
      <c r="D222">
        <f>-中国_中债国债到期收益率_1年!D221+中国_中债国债到期收益率_1年!D220</f>
        <v>-0.0150999999999999</v>
      </c>
      <c r="E222">
        <f>-中国_中债国债到期收益率_1年!E221+中国_中债国债到期收益率_1年!E220</f>
        <v>-0.0104000000000002</v>
      </c>
      <c r="F222">
        <f>-中国_中债国债到期收益率_1年!F221+中国_中债国债到期收益率_1年!F220</f>
        <v>-0.0175999999999998</v>
      </c>
      <c r="G222">
        <f>-中国_中债国债到期收益率_1年!G221+中国_中债国债到期收益率_1年!G220</f>
        <v>-0.0154999999999998</v>
      </c>
    </row>
    <row r="223" spans="1:7">
      <c r="A223" s="7">
        <v>45035</v>
      </c>
      <c r="B223">
        <f>-中国_中债国债到期收益率_1年!B222+中国_中债国债到期收益率_1年!B221</f>
        <v>0.0125000000000002</v>
      </c>
      <c r="C223">
        <f>-中国_中债国债到期收益率_1年!C222+中国_中债国债到期收益率_1年!C221</f>
        <v>0.00939999999999985</v>
      </c>
      <c r="D223">
        <f>-中国_中债国债到期收益率_1年!D222+中国_中债国债到期收益率_1年!D221</f>
        <v>0.0112999999999999</v>
      </c>
      <c r="E223">
        <f>-中国_中债国债到期收益率_1年!E222+中国_中债国债到期收益率_1年!E221</f>
        <v>0.00800000000000001</v>
      </c>
      <c r="F223">
        <f>-中国_中债国债到期收益率_1年!F222+中国_中债国债到期收益率_1年!F221</f>
        <v>0.000499999999999723</v>
      </c>
      <c r="G223">
        <f>-中国_中债国债到期收益率_1年!G222+中国_中债国债到期收益率_1年!G221</f>
        <v>-0.0022000000000002</v>
      </c>
    </row>
    <row r="224" spans="1:7">
      <c r="A224" s="7">
        <v>45036</v>
      </c>
      <c r="B224">
        <f>-中国_中债国债到期收益率_1年!B223+中国_中债国债到期收益率_1年!B222</f>
        <v>0.0125000000000002</v>
      </c>
      <c r="C224">
        <f>-中国_中债国债到期收益率_1年!C223+中国_中债国债到期收益率_1年!C222</f>
        <v>0.0116999999999998</v>
      </c>
      <c r="D224">
        <f>-中国_中债国债到期收益率_1年!D223+中国_中债国债到期收益率_1年!D222</f>
        <v>-0.00139999999999985</v>
      </c>
      <c r="E224">
        <f>-中国_中债国债到期收益率_1年!E223+中国_中债国债到期收益率_1年!E222</f>
        <v>0.0181</v>
      </c>
      <c r="F224">
        <f>-中国_中债国债到期收益率_1年!F223+中国_中债国债到期收益率_1年!F222</f>
        <v>0.00850000000000017</v>
      </c>
      <c r="G224">
        <f>-中国_中债国债到期收益率_1年!G223+中国_中债国债到期收益率_1年!G222</f>
        <v>0.0114000000000001</v>
      </c>
    </row>
    <row r="225" spans="1:7">
      <c r="A225" s="7">
        <v>45037</v>
      </c>
      <c r="B225">
        <f>-中国_中债国债到期收益率_1年!B224+中国_中债国债到期收益率_1年!B223</f>
        <v>-0.00140000000000029</v>
      </c>
      <c r="C225">
        <f>-中国_中债国债到期收益率_1年!C224+中国_中债国债到期收益率_1年!C223</f>
        <v>0.00250000000000039</v>
      </c>
      <c r="D225">
        <f>-中国_中债国债到期收益率_1年!D224+中国_中债国债到期收益率_1年!D223</f>
        <v>9.99999999997669e-5</v>
      </c>
      <c r="E225">
        <f>-中国_中债国债到期收益率_1年!E224+中国_中债国债到期收益率_1年!E223</f>
        <v>0.00999999999999979</v>
      </c>
      <c r="F225">
        <f>-中国_中债国债到期收益率_1年!F224+中国_中债国债到期收益率_1年!F223</f>
        <v>-0.00199999999999978</v>
      </c>
      <c r="G225">
        <f>-中国_中债国债到期收益率_1年!G224+中国_中债国债到期收益率_1年!G223</f>
        <v>-0.00919999999999987</v>
      </c>
    </row>
    <row r="226" spans="1:7">
      <c r="A226" s="7">
        <v>45039</v>
      </c>
      <c r="B226">
        <f>-中国_中债国债到期收益率_1年!B225+中国_中债国债到期收益率_1年!B224</f>
        <v>0.0011000000000001</v>
      </c>
      <c r="C226">
        <f>-中国_中债国债到期收益率_1年!C225+中国_中债国债到期收益率_1年!C224</f>
        <v>0.00199999999999978</v>
      </c>
      <c r="D226">
        <f>-中国_中债国债到期收益率_1年!D225+中国_中债国债到期收益率_1年!D224</f>
        <v>0.00740000000000007</v>
      </c>
      <c r="E226">
        <f>-中国_中债国债到期收益率_1年!E225+中国_中债国债到期收益率_1年!E224</f>
        <v>0.00490000000000013</v>
      </c>
      <c r="F226">
        <f>-中国_中债国债到期收益率_1年!F225+中国_中债国债到期收益率_1年!F224</f>
        <v>-0.00600000000000023</v>
      </c>
      <c r="G226">
        <f>-中国_中债国债到期收益率_1年!G225+中国_中债国债到期收益率_1年!G224</f>
        <v>0.00309999999999988</v>
      </c>
    </row>
    <row r="227" spans="1:7">
      <c r="A227" s="7">
        <v>45040</v>
      </c>
      <c r="B227">
        <f>-中国_中债国债到期收益率_1年!B226+中国_中债国债到期收益率_1年!B225</f>
        <v>-0.00119999999999987</v>
      </c>
      <c r="C227">
        <f>-中国_中债国债到期收益率_1年!C226+中国_中债国债到期收益率_1年!C225</f>
        <v>0.000799999999999912</v>
      </c>
      <c r="D227">
        <f>-中国_中债国债到期收益率_1年!D226+中国_中债国债到期收益率_1年!D225</f>
        <v>0.00380000000000003</v>
      </c>
      <c r="E227">
        <f>-中国_中债国债到期收益率_1年!E226+中国_中债国债到期收益率_1年!E225</f>
        <v>0.0011000000000001</v>
      </c>
      <c r="F227">
        <f>-中国_中债国债到期收益率_1年!F226+中国_中债国债到期收益率_1年!F225</f>
        <v>0.0169999999999999</v>
      </c>
      <c r="G227">
        <f>-中国_中债国债到期收益率_1年!G226+中国_中债国债到期收益率_1年!G225</f>
        <v>2.8434</v>
      </c>
    </row>
    <row r="228" spans="1:7">
      <c r="A228" s="7">
        <v>45041</v>
      </c>
      <c r="B228">
        <f>-中国_中债国债到期收益率_1年!B227+中国_中债国债到期收益率_1年!B226</f>
        <v>0.00509999999999966</v>
      </c>
      <c r="C228">
        <f>-中国_中债国债到期收益率_1年!C227+中国_中债国债到期收益率_1年!C226</f>
        <v>0.00500000000000034</v>
      </c>
      <c r="D228">
        <f>-中国_中债国债到期收益率_1年!D227+中国_中债国债到期收益率_1年!D226</f>
        <v>0.00439999999999996</v>
      </c>
      <c r="E228">
        <f>-中国_中债国债到期收益率_1年!E227+中国_中债国债到期收益率_1年!E226</f>
        <v>0.0106999999999999</v>
      </c>
      <c r="F228">
        <f>-中国_中债国债到期收益率_1年!F227+中国_中债国债到期收益率_1年!F226</f>
        <v>-0.00910000000000011</v>
      </c>
      <c r="G228">
        <f>-中国_中债国债到期收益率_1年!G227+中国_中债国债到期收益率_1年!G226</f>
        <v>-2.8272</v>
      </c>
    </row>
    <row r="229" spans="1:7">
      <c r="A229" s="7">
        <v>45042</v>
      </c>
      <c r="B229">
        <f>-中国_中债国债到期收益率_1年!B228+中国_中债国债到期收益率_1年!B227</f>
        <v>0.0101000000000004</v>
      </c>
      <c r="C229">
        <f>-中国_中债国债到期收益率_1年!C228+中国_中债国债到期收益率_1年!C227</f>
        <v>0.00329999999999986</v>
      </c>
      <c r="D229">
        <f>-中国_中债国债到期收益率_1年!D228+中国_中债国债到期收益率_1年!D227</f>
        <v>0.00190000000000001</v>
      </c>
      <c r="E229">
        <f>-中国_中债国债到期收益率_1年!E228+中国_中债国债到期收益率_1年!E227</f>
        <v>0.00240000000000018</v>
      </c>
      <c r="F229">
        <f>-中国_中债国债到期收益率_1年!F228+中国_中债国债到期收益率_1年!F227</f>
        <v>-0.00239999999999974</v>
      </c>
      <c r="G229">
        <f>-中国_中债国债到期收益率_1年!G228+中国_中债国债到期收益率_1年!G227</f>
        <v>0.000799999999999912</v>
      </c>
    </row>
    <row r="230" spans="1:7">
      <c r="A230" s="7">
        <v>45043</v>
      </c>
      <c r="B230">
        <f>-中国_中债国债到期收益率_1年!B229+中国_中债国债到期收益率_1年!B228</f>
        <v>0.00269999999999992</v>
      </c>
      <c r="C230">
        <f>-中国_中债国债到期收益率_1年!C229+中国_中债国债到期收益率_1年!C228</f>
        <v>0.0223999999999998</v>
      </c>
      <c r="D230">
        <f>-中国_中债国债到期收益率_1年!D229+中国_中债国债到期收益率_1年!D228</f>
        <v>0.00990000000000002</v>
      </c>
      <c r="E230">
        <f>-中国_中债国债到期收益率_1年!E229+中国_中债国债到期收益率_1年!E228</f>
        <v>0.00099999999999989</v>
      </c>
      <c r="F230">
        <f>-中国_中债国债到期收益率_1年!F229+中国_中债国债到期收益率_1年!F228</f>
        <v>0.0183</v>
      </c>
      <c r="G230">
        <f>-中国_中债国债到期收益率_1年!G229+中国_中债国债到期收益率_1年!G228</f>
        <v>0.0156000000000001</v>
      </c>
    </row>
    <row r="231" spans="1:7">
      <c r="A231" s="7">
        <v>45044</v>
      </c>
      <c r="B231">
        <f>-中国_中债国债到期收益率_1年!B230+中国_中债国债到期收益率_1年!B229</f>
        <v>0.0166999999999997</v>
      </c>
      <c r="C231">
        <f>-中国_中债国债到期收益率_1年!C230+中国_中债国债到期收益率_1年!C229</f>
        <v>0.0223</v>
      </c>
      <c r="D231">
        <f>-中国_中债国债到期收益率_1年!D230+中国_中债国债到期收益率_1年!D229</f>
        <v>0.0206</v>
      </c>
      <c r="E231">
        <f>-中国_中债国债到期收益率_1年!E230+中国_中债国债到期收益率_1年!E229</f>
        <v>0.0194999999999999</v>
      </c>
      <c r="F231">
        <f>-中国_中债国债到期收益率_1年!F230+中国_中债国债到期收益率_1年!F229</f>
        <v>0.0293999999999999</v>
      </c>
      <c r="G231">
        <f>-中国_中债国债到期收益率_1年!G230+中国_中债国债到期收益率_1年!G229</f>
        <v>0.0352999999999999</v>
      </c>
    </row>
    <row r="232" spans="1:7">
      <c r="A232" s="7">
        <v>45050</v>
      </c>
      <c r="B232">
        <f>-中国_中债国债到期收益率_1年!B231+中国_中债国债到期收益率_1年!B230</f>
        <v>0.00960000000000027</v>
      </c>
      <c r="C232">
        <f>-中国_中债国债到期收益率_1年!C231+中国_中债国债到期收益率_1年!C230</f>
        <v>0.0022000000000002</v>
      </c>
      <c r="D232">
        <f>-中国_中债国债到期收益率_1年!D231+中国_中债国债到期收益率_1年!D230</f>
        <v>0.00640000000000018</v>
      </c>
      <c r="E232">
        <f>-中国_中债国债到期收益率_1年!E231+中国_中债国债到期收益率_1年!E230</f>
        <v>0.00240000000000018</v>
      </c>
      <c r="F232">
        <f>-中国_中债国债到期收益率_1年!F231+中国_中债国债到期收益率_1年!F230</f>
        <v>-0.00340000000000007</v>
      </c>
      <c r="G232">
        <f>-中国_中债国债到期收益率_1年!G231+中国_中债国债到期收益率_1年!G230</f>
        <v>-0.00380000000000003</v>
      </c>
    </row>
    <row r="233" spans="1:7">
      <c r="A233" s="7">
        <v>45051</v>
      </c>
      <c r="B233">
        <f>-中国_中债国债到期收益率_1年!B232+中国_中债国债到期收益率_1年!B231</f>
        <v>0.0101999999999998</v>
      </c>
      <c r="C233">
        <f>-中国_中债国债到期收益率_1年!C232+中国_中债国债到期收益率_1年!C231</f>
        <v>0.0162</v>
      </c>
      <c r="D233">
        <f>-中国_中债国债到期收益率_1年!D232+中国_中债国债到期收益率_1年!D231</f>
        <v>0.0175000000000001</v>
      </c>
      <c r="E233">
        <f>-中国_中债国债到期收益率_1年!E232+中国_中债国债到期收益率_1年!E231</f>
        <v>0.0173000000000001</v>
      </c>
      <c r="F233">
        <f>-中国_中债国债到期收益率_1年!F232+中国_中债国债到期收益率_1年!F231</f>
        <v>0.0369000000000002</v>
      </c>
      <c r="G233">
        <f>-中国_中债国债到期收益率_1年!G232+中国_中债国债到期收益率_1年!G231</f>
        <v>0.0390000000000001</v>
      </c>
    </row>
    <row r="234" spans="1:7">
      <c r="A234" s="7">
        <v>45052</v>
      </c>
      <c r="B234">
        <f>-中国_中债国债到期收益率_1年!B233+中国_中债国债到期收益率_1年!B232</f>
        <v>0.00960000000000027</v>
      </c>
      <c r="C234">
        <f>-中国_中债国债到期收益率_1年!C233+中国_中债国债到期收益率_1年!C232</f>
        <v>0.0323000000000002</v>
      </c>
      <c r="D234">
        <f>-中国_中债国债到期收益率_1年!D233+中国_中债国债到期收益率_1年!D232</f>
        <v>0.0274999999999999</v>
      </c>
      <c r="E234">
        <f>-中国_中债国债到期收益率_1年!E233+中国_中债国债到期收益率_1年!E232</f>
        <v>0.0350999999999999</v>
      </c>
      <c r="F234">
        <f>-中国_中债国债到期收益率_1年!F233+中国_中债国债到期收益率_1年!F232</f>
        <v>0.0366</v>
      </c>
      <c r="G234">
        <f>-中国_中债国债到期收益率_1年!G233+中国_中债国债到期收益率_1年!G232</f>
        <v>0.0295999999999998</v>
      </c>
    </row>
    <row r="235" spans="1:7">
      <c r="A235" s="7">
        <v>45054</v>
      </c>
      <c r="B235">
        <f>-中国_中债国债到期收益率_1年!B234+中国_中债国债到期收益率_1年!B233</f>
        <v>0.00509999999999966</v>
      </c>
      <c r="C235">
        <f>-中国_中债国债到期收益率_1年!C234+中国_中债国债到期收益率_1年!C233</f>
        <v>0.00099999999999989</v>
      </c>
      <c r="D235">
        <f>-中国_中债国债到期收益率_1年!D234+中国_中债国债到期收益率_1年!D233</f>
        <v>0.00269999999999992</v>
      </c>
      <c r="E235">
        <f>-中国_中债国债到期收益率_1年!E234+中国_中债国债到期收益率_1年!E233</f>
        <v>-0.0051000000000001</v>
      </c>
      <c r="F235">
        <f>-中国_中债国债到期收益率_1年!F234+中国_中债国债到期收益率_1年!F233</f>
        <v>0.0297999999999998</v>
      </c>
      <c r="G235">
        <f>-中国_中债国债到期收益率_1年!G234+中国_中债国债到期收益率_1年!G233</f>
        <v>0.0287000000000002</v>
      </c>
    </row>
    <row r="236" spans="1:7">
      <c r="A236" s="7">
        <v>45055</v>
      </c>
      <c r="B236">
        <f>-中国_中债国债到期收益率_1年!B235+中国_中债国债到期收益率_1年!B234</f>
        <v>-0.0107999999999997</v>
      </c>
      <c r="C236">
        <f>-中国_中债国债到期收益率_1年!C235+中国_中债国债到期收益率_1年!C234</f>
        <v>-0.0219</v>
      </c>
      <c r="D236">
        <f>-中国_中债国债到期收益率_1年!D235+中国_中债国债到期收益率_1年!D234</f>
        <v>-0.0173000000000001</v>
      </c>
      <c r="E236">
        <f>-中国_中债国债到期收益率_1年!E235+中国_中债国债到期收益率_1年!E234</f>
        <v>-0.0175999999999998</v>
      </c>
      <c r="F236">
        <f>-中国_中债国债到期收益率_1年!F235+中国_中债国债到期收益率_1年!F234</f>
        <v>-0.0198999999999998</v>
      </c>
      <c r="G236">
        <f>-中国_中债国债到期收益率_1年!G235+中国_中债国债到期收益率_1年!G234</f>
        <v>-0.0211999999999999</v>
      </c>
    </row>
    <row r="237" spans="1:7">
      <c r="A237" s="7">
        <v>45056</v>
      </c>
      <c r="B237">
        <f>-中国_中债国债到期收益率_1年!B236+中国_中债国债到期收益率_1年!B235</f>
        <v>0.012</v>
      </c>
      <c r="C237">
        <f>-中国_中债国债到期收益率_1年!C236+中国_中债国债到期收益率_1年!C235</f>
        <v>0.00740000000000007</v>
      </c>
      <c r="D237">
        <f>-中国_中债国债到期收益率_1年!D236+中国_中债国债到期收益率_1年!D235</f>
        <v>0.0101</v>
      </c>
      <c r="E237">
        <f>-中国_中债国债到期收益率_1年!E236+中国_中债国债到期收益率_1年!E235</f>
        <v>0.00599999999999978</v>
      </c>
      <c r="F237">
        <f>-中国_中债国债到期收益率_1年!F236+中国_中债国债到期收益率_1年!F235</f>
        <v>0.00850000000000017</v>
      </c>
      <c r="G237">
        <f>-中国_中债国债到期收益率_1年!G236+中国_中债国债到期收益率_1年!G235</f>
        <v>0.0143999999999997</v>
      </c>
    </row>
    <row r="238" spans="1:7">
      <c r="A238" s="7">
        <v>45057</v>
      </c>
      <c r="B238">
        <f>-中国_中债国债到期收益率_1年!B237+中国_中债国债到期收益率_1年!B236</f>
        <v>0.032</v>
      </c>
      <c r="C238">
        <f>-中国_中债国债到期收益率_1年!C237+中国_中债国债到期收益率_1年!C236</f>
        <v>0.0297999999999998</v>
      </c>
      <c r="D238">
        <f>-中国_中债国债到期收益率_1年!D237+中国_中债国债到期收益率_1年!D236</f>
        <v>0.0173000000000001</v>
      </c>
      <c r="E238">
        <f>-中国_中债国债到期收益率_1年!E237+中国_中债国债到期收益率_1年!E236</f>
        <v>0.0148999999999999</v>
      </c>
      <c r="F238">
        <f>-中国_中债国债到期收益率_1年!F237+中国_中债国债到期收益率_1年!F236</f>
        <v>0.0257000000000001</v>
      </c>
      <c r="G238">
        <f>-中国_中债国债到期收益率_1年!G237+中国_中债国债到期收益率_1年!G236</f>
        <v>0.0276000000000001</v>
      </c>
    </row>
    <row r="239" spans="1:7">
      <c r="A239" s="7">
        <v>45058</v>
      </c>
      <c r="B239">
        <f>-中国_中债国债到期收益率_1年!B238+中国_中债国债到期收益率_1年!B237</f>
        <v>0.0529999999999999</v>
      </c>
      <c r="C239">
        <f>-中国_中债国债到期收益率_1年!C238+中国_中债国债到期收益率_1年!C237</f>
        <v>0.0270999999999999</v>
      </c>
      <c r="D239">
        <f>-中国_中债国债到期收益率_1年!D238+中国_中债国债到期收益率_1年!D237</f>
        <v>0.02</v>
      </c>
      <c r="E239">
        <f>-中国_中债国债到期收益率_1年!E238+中国_中债国债到期收益率_1年!E237</f>
        <v>0.0177</v>
      </c>
      <c r="F239">
        <f>-中国_中债国债到期收益率_1年!F238+中国_中债国债到期收益率_1年!F237</f>
        <v>0.0460999999999996</v>
      </c>
      <c r="G239">
        <f>-中国_中债国债到期收益率_1年!G238+中国_中债国债到期收益率_1年!G237</f>
        <v>0.0417999999999998</v>
      </c>
    </row>
    <row r="240" spans="1:7">
      <c r="A240" s="7">
        <v>45061</v>
      </c>
      <c r="B240">
        <f>-中国_中债国债到期收益率_1年!B239+中国_中债国债到期收益率_1年!B238</f>
        <v>-0.00879999999999992</v>
      </c>
      <c r="C240">
        <f>-中国_中债国债到期收益率_1年!C239+中国_中债国债到期收益率_1年!C238</f>
        <v>0.00470000000000015</v>
      </c>
      <c r="D240">
        <f>-中国_中债国债到期收益率_1年!D239+中国_中债国债到期收益率_1年!D238</f>
        <v>-0.00479999999999992</v>
      </c>
      <c r="E240">
        <f>-中国_中债国债到期收益率_1年!E239+中国_中债国债到期收益率_1年!E238</f>
        <v>0.00640000000000018</v>
      </c>
      <c r="F240">
        <f>-中国_中债国债到期收益率_1年!F239+中国_中债国债到期收益率_1年!F238</f>
        <v>0.0174000000000003</v>
      </c>
      <c r="G240">
        <f>-中国_中债国债到期收益率_1年!G239+中国_中债国债到期收益率_1年!G238</f>
        <v>-0.00489999999999968</v>
      </c>
    </row>
    <row r="241" spans="1:7">
      <c r="A241" s="7">
        <v>45062</v>
      </c>
      <c r="B241">
        <f>-中国_中债国债到期收益率_1年!B240+中国_中债国债到期收益率_1年!B239</f>
        <v>-0.0161000000000002</v>
      </c>
      <c r="C241">
        <f>-中国_中债国债到期收益率_1年!C240+中国_中债国债到期收益率_1年!C239</f>
        <v>-0.0230999999999999</v>
      </c>
      <c r="D241">
        <f>-中国_中债国债到期收益率_1年!D240+中国_中债国债到期收益率_1年!D239</f>
        <v>-0.0131999999999999</v>
      </c>
      <c r="E241">
        <f>-中国_中债国债到期收益率_1年!E240+中国_中债国债到期收益率_1年!E239</f>
        <v>-0.00410000000000021</v>
      </c>
      <c r="F241">
        <f>-中国_中债国债到期收益率_1年!F240+中国_中债国债到期收益率_1年!F239</f>
        <v>0.00269999999999992</v>
      </c>
      <c r="G241">
        <f>-中国_中债国债到期收益率_1年!G240+中国_中债国债到期收益率_1年!G239</f>
        <v>0.00249999999999995</v>
      </c>
    </row>
    <row r="242" spans="1:7">
      <c r="A242" s="7">
        <v>45063</v>
      </c>
      <c r="B242">
        <f>-中国_中债国债到期收益率_1年!B241+中国_中债国债到期收益率_1年!B240</f>
        <v>-0.0051000000000001</v>
      </c>
      <c r="C242">
        <f>-中国_中债国债到期收益率_1年!C241+中国_中债国债到期收益率_1年!C240</f>
        <v>0.00239999999999974</v>
      </c>
      <c r="D242">
        <f>-中国_中债国债到期收益率_1年!D241+中国_中债国债到期收益率_1年!D240</f>
        <v>0.00609999999999999</v>
      </c>
      <c r="E242">
        <f>-中国_中债国债到期收益率_1年!E241+中国_中债国债到期收益率_1年!E240</f>
        <v>-0.00109999999999966</v>
      </c>
      <c r="F242">
        <f>-中国_中债国债到期收益率_1年!F241+中国_中债国债到期收益率_1年!F240</f>
        <v>-0.0259999999999998</v>
      </c>
      <c r="G242">
        <f>-中国_中债国债到期收益率_1年!G241+中国_中债国债到期收益率_1年!G240</f>
        <v>-0.0125999999999999</v>
      </c>
    </row>
    <row r="243" spans="1:7">
      <c r="A243" s="7">
        <v>45064</v>
      </c>
      <c r="B243">
        <f>-中国_中债国债到期收益率_1年!B242+中国_中债国债到期收益率_1年!B241</f>
        <v>-0.0126999999999997</v>
      </c>
      <c r="C243">
        <f>-中国_中债国债到期收益率_1年!C242+中国_中债国债到期收益率_1年!C241</f>
        <v>-0.0162</v>
      </c>
      <c r="D243">
        <f>-中国_中债国债到期收益率_1年!D242+中国_中债国债到期收益率_1年!D241</f>
        <v>-0.00810000000000022</v>
      </c>
      <c r="E243">
        <f>-中国_中债国债到期收益率_1年!E242+中国_中债国债到期收益率_1年!E241</f>
        <v>-0.0150000000000001</v>
      </c>
      <c r="F243">
        <f>-中国_中债国债到期收益率_1年!F242+中国_中债国债到期收益率_1年!F241</f>
        <v>0.00849999999999973</v>
      </c>
      <c r="G243">
        <f>-中国_中债国债到期收益率_1年!G242+中国_中债国债到期收益率_1年!G241</f>
        <v>-0.000399999999999956</v>
      </c>
    </row>
    <row r="244" spans="1:7">
      <c r="A244" s="7">
        <v>45065</v>
      </c>
      <c r="B244">
        <f>-中国_中债国债到期收益率_1年!B243+中国_中债国债到期收益率_1年!B242</f>
        <v>0.00509999999999966</v>
      </c>
      <c r="C244">
        <f>-中国_中债国债到期收益率_1年!C243+中国_中债国债到期收益率_1年!C242</f>
        <v>0.00790000000000024</v>
      </c>
      <c r="D244">
        <f>-中国_中债国债到期收益率_1年!D243+中国_中债国债到期收益率_1年!D242</f>
        <v>0.00260000000000016</v>
      </c>
      <c r="E244">
        <f>-中国_中债国债到期收益率_1年!E243+中国_中债国债到期收益率_1年!E242</f>
        <v>0</v>
      </c>
      <c r="F244">
        <f>-中国_中债国债到期收益率_1年!F243+中国_中债国债到期收益率_1年!F242</f>
        <v>-0.00609999999999999</v>
      </c>
      <c r="G244">
        <f>-中国_中债国债到期收益率_1年!G243+中国_中债国债到期收益率_1年!G242</f>
        <v>-0.0149000000000004</v>
      </c>
    </row>
    <row r="245" spans="1:7">
      <c r="A245" s="7">
        <v>45068</v>
      </c>
      <c r="B245">
        <f>-中国_中债国债到期收益率_1年!B244+中国_中债国债到期收益率_1年!B243</f>
        <v>0.0175000000000001</v>
      </c>
      <c r="C245">
        <f>-中国_中债国债到期收益率_1年!C244+中国_中债国债到期收益率_1年!C243</f>
        <v>0.0249999999999999</v>
      </c>
      <c r="D245">
        <f>-中国_中债国债到期收益率_1年!D244+中国_中债国债到期收益率_1年!D243</f>
        <v>0.00329999999999986</v>
      </c>
      <c r="E245">
        <f>-中国_中债国债到期收益率_1年!E244+中国_中债国债到期收益率_1年!E243</f>
        <v>0.00369999999999981</v>
      </c>
      <c r="F245">
        <f>-中国_中债国债到期收益率_1年!F244+中国_中债国债到期收益率_1年!F243</f>
        <v>0.0291999999999999</v>
      </c>
      <c r="G245">
        <f>-中国_中债国债到期收益率_1年!G244+中国_中债国债到期收益率_1年!G243</f>
        <v>0.0306000000000002</v>
      </c>
    </row>
    <row r="246" spans="1:7">
      <c r="A246" s="7">
        <v>45069</v>
      </c>
      <c r="B246">
        <f>-中国_中债国债到期收益率_1年!B245+中国_中债国债到期收益率_1年!B244</f>
        <v>0.0336000000000003</v>
      </c>
      <c r="C246">
        <f>-中国_中债国债到期收益率_1年!C245+中国_中债国债到期收益率_1年!C244</f>
        <v>0.0316000000000001</v>
      </c>
      <c r="D246">
        <f>-中国_中债国债到期收益率_1年!D245+中国_中债国债到期收益率_1年!D244</f>
        <v>0.00190000000000001</v>
      </c>
      <c r="E246">
        <f>-中国_中债国债到期收益率_1年!E245+中国_中债国债到期收益率_1年!E244</f>
        <v>0.0011000000000001</v>
      </c>
      <c r="F246">
        <f>-中国_中债国债到期收益率_1年!F245+中国_中债国债到期收益率_1年!F244</f>
        <v>0.0352000000000001</v>
      </c>
      <c r="G246">
        <f>-中国_中债国债到期收益率_1年!G245+中国_中债国债到期收益率_1年!G244</f>
        <v>0.0417999999999998</v>
      </c>
    </row>
    <row r="247" spans="1:7">
      <c r="A247" s="7">
        <v>45070</v>
      </c>
      <c r="B247">
        <f>-中国_中债国债到期收益率_1年!B246+中国_中债国债到期收益率_1年!B245</f>
        <v>0.0308999999999999</v>
      </c>
      <c r="C247">
        <f>-中国_中债国债到期收益率_1年!C246+中国_中债国债到期收益率_1年!C245</f>
        <v>0.0223</v>
      </c>
      <c r="D247">
        <f>-中国_中债国债到期收益率_1年!D246+中国_中债国债到期收益率_1年!D245</f>
        <v>0.0169999999999999</v>
      </c>
      <c r="E247">
        <f>-中国_中债国债到期收益率_1年!E246+中国_中债国债到期收益率_1年!E245</f>
        <v>0.00749999999999984</v>
      </c>
      <c r="F247">
        <f>-中国_中债国债到期收益率_1年!F246+中国_中债国债到期收益率_1年!F245</f>
        <v>0.0394999999999999</v>
      </c>
      <c r="G247">
        <f>-中国_中债国债到期收益率_1年!G246+中国_中债国债到期收益率_1年!G245</f>
        <v>0.0596000000000001</v>
      </c>
    </row>
    <row r="248" spans="1:7">
      <c r="A248" s="7">
        <v>45071</v>
      </c>
      <c r="B248">
        <f>-中国_中债国债到期收益率_1年!B247+中国_中债国债到期收益率_1年!B246</f>
        <v>0.00159999999999982</v>
      </c>
      <c r="C248">
        <f>-中国_中债国债到期收益率_1年!C247+中国_中债国债到期收益率_1年!C246</f>
        <v>-0.0129000000000001</v>
      </c>
      <c r="D248">
        <f>-中国_中债国债到期收益率_1年!D247+中国_中债国债到期收益率_1年!D246</f>
        <v>-0.00749999999999984</v>
      </c>
      <c r="E248">
        <f>-中国_中债国债到期收益率_1年!E247+中国_中债国债到期收益率_1年!E246</f>
        <v>-0.0035999999999996</v>
      </c>
      <c r="F248">
        <f>-中国_中债国债到期收益率_1年!F247+中国_中债国债到期收益率_1年!F246</f>
        <v>-0.0215999999999998</v>
      </c>
      <c r="G248">
        <f>-中国_中债国债到期收益率_1年!G247+中国_中债国债到期收益率_1年!G246</f>
        <v>-0.0162999999999998</v>
      </c>
    </row>
    <row r="249" spans="1:7">
      <c r="A249" s="7">
        <v>45072</v>
      </c>
      <c r="B249">
        <f>-中国_中债国债到期收益率_1年!B248+中国_中债国债到期收益率_1年!B247</f>
        <v>0.0103</v>
      </c>
      <c r="C249">
        <f>-中国_中债国债到期收益率_1年!C248+中国_中债国债到期收益率_1年!C247</f>
        <v>-9.99999999997669e-5</v>
      </c>
      <c r="D249">
        <f>-中国_中债国债到期收益率_1年!D248+中国_中债国债到期收益率_1年!D247</f>
        <v>-0.00280000000000014</v>
      </c>
      <c r="E249">
        <f>-中国_中债国债到期收益率_1年!E248+中国_中债国债到期收益率_1年!E247</f>
        <v>-0.00500000000000034</v>
      </c>
      <c r="F249">
        <f>-中国_中债国债到期收益率_1年!F248+中国_中债国债到期收益率_1年!F247</f>
        <v>-0.0125999999999999</v>
      </c>
      <c r="G249">
        <f>-中国_中债国债到期收益率_1年!G248+中国_中债国债到期收益率_1年!G247</f>
        <v>-0.0151000000000003</v>
      </c>
    </row>
    <row r="250" spans="1:7">
      <c r="A250" s="7">
        <v>45075</v>
      </c>
      <c r="B250">
        <f>-中国_中债国债到期收益率_1年!B249+中国_中债国债到期收益率_1年!B248</f>
        <v>-0.0398000000000001</v>
      </c>
      <c r="C250">
        <f>-中国_中债国债到期收益率_1年!C249+中国_中债国债到期收益率_1年!C248</f>
        <v>-0.0212000000000003</v>
      </c>
      <c r="D250">
        <f>-中国_中债国债到期收益率_1年!D249+中国_中债国债到期收益率_1年!D248</f>
        <v>-0.0139999999999998</v>
      </c>
      <c r="E250">
        <f>-中国_中债国债到期收益率_1年!E249+中国_中债国债到期收益率_1年!E248</f>
        <v>-0.0139999999999998</v>
      </c>
      <c r="F250">
        <f>-中国_中债国债到期收益率_1年!F249+中国_中债国债到期收益率_1年!F248</f>
        <v>0.00439999999999996</v>
      </c>
      <c r="G250">
        <f>-中国_中债国债到期收益率_1年!G249+中国_中债国债到期收益率_1年!G248</f>
        <v>-0.000299999999999745</v>
      </c>
    </row>
    <row r="251" spans="1:7">
      <c r="A251" s="7">
        <v>45076</v>
      </c>
      <c r="B251">
        <f>-中国_中债国债到期收益率_1年!B250+中国_中债国债到期收益率_1年!B249</f>
        <v>0.0209000000000001</v>
      </c>
      <c r="C251">
        <f>-中国_中债国债到期收益率_1年!C250+中国_中债国债到期收益率_1年!C249</f>
        <v>0.0136000000000003</v>
      </c>
      <c r="D251">
        <f>-中国_中债国债到期收益率_1年!D250+中国_中债国债到期收益率_1年!D249</f>
        <v>0.0255000000000001</v>
      </c>
      <c r="E251">
        <f>-中国_中债国债到期收益率_1年!E250+中国_中债国债到期收益率_1年!E249</f>
        <v>0.00740000000000007</v>
      </c>
      <c r="F251">
        <f>-中国_中债国债到期收益率_1年!F250+中国_中债国债到期收益率_1年!F249</f>
        <v>0.00190000000000001</v>
      </c>
      <c r="G251">
        <f>-中国_中债国债到期收益率_1年!G250+中国_中债国债到期收益率_1年!G249</f>
        <v>-0.000900000000000123</v>
      </c>
    </row>
    <row r="252" spans="1:7">
      <c r="A252" s="7">
        <v>45077</v>
      </c>
      <c r="B252">
        <f>-中国_中债国债到期收益率_1年!B251+中国_中债国债到期收益率_1年!B250</f>
        <v>0.0144</v>
      </c>
      <c r="C252">
        <f>-中国_中债国债到期收益率_1年!C251+中国_中债国债到期收益率_1年!C250</f>
        <v>-0.000900000000000123</v>
      </c>
      <c r="D252">
        <f>-中国_中债国债到期收益率_1年!D251+中国_中债国债到期收益率_1年!D250</f>
        <v>-0.00500000000000034</v>
      </c>
      <c r="E252">
        <f>-中国_中债国债到期收益率_1年!E251+中国_中债国债到期收益率_1年!E250</f>
        <v>0</v>
      </c>
      <c r="F252">
        <f>-中国_中债国债到期收益率_1年!F251+中国_中债国债到期收益率_1年!F250</f>
        <v>0.00839999999999996</v>
      </c>
      <c r="G252">
        <f>-中国_中债国债到期收益率_1年!G251+中国_中债国债到期收益率_1年!G250</f>
        <v>0.0171999999999999</v>
      </c>
    </row>
    <row r="253" spans="1:7">
      <c r="A253" s="7">
        <v>45078</v>
      </c>
      <c r="B253">
        <f>-中国_中债国债到期收益率_1年!B252+中国_中债国债到期收益率_1年!B251</f>
        <v>0.000599999999999934</v>
      </c>
      <c r="C253">
        <f>-中国_中债国债到期收益率_1年!C252+中国_中债国债到期收益率_1年!C251</f>
        <v>0.0322</v>
      </c>
      <c r="D253">
        <f>-中国_中债国债到期收益率_1年!D252+中国_中债国债到期收益率_1年!D251</f>
        <v>0.0150000000000001</v>
      </c>
      <c r="E253">
        <f>-中国_中债国债到期收益率_1年!E252+中国_中债国债到期收益率_1年!E251</f>
        <v>0.0105999999999997</v>
      </c>
      <c r="F253">
        <f>-中国_中债国债到期收益率_1年!F252+中国_中债国债到期收益率_1年!F251</f>
        <v>0.00760000000000005</v>
      </c>
      <c r="G253">
        <f>-中国_中债国债到期收益率_1年!G252+中国_中债国债到期收益率_1年!G251</f>
        <v>-0.0017999999999998</v>
      </c>
    </row>
    <row r="254" spans="1:7">
      <c r="A254" s="7">
        <v>45079</v>
      </c>
      <c r="B254">
        <f>-中国_中债国债到期收益率_1年!B253+中国_中债国债到期收益率_1年!B252</f>
        <v>0.0108000000000001</v>
      </c>
      <c r="C254">
        <f>-中国_中债国债到期收益率_1年!C253+中国_中债国债到期收益率_1年!C252</f>
        <v>0.0301999999999998</v>
      </c>
      <c r="D254">
        <f>-中国_中债国债到期收益率_1年!D253+中国_中债国债到期收益率_1年!D252</f>
        <v>0.00249999999999995</v>
      </c>
      <c r="E254">
        <f>-中国_中债国债到期收益率_1年!E253+中国_中债国债到期收益率_1年!E252</f>
        <v>0.00390000000000024</v>
      </c>
      <c r="F254">
        <f>-中国_中债国债到期收益率_1年!F253+中国_中债国债到期收益率_1年!F252</f>
        <v>0.0253000000000001</v>
      </c>
      <c r="G254">
        <f>-中国_中债国债到期收益率_1年!G253+中国_中债国债到期收益率_1年!G252</f>
        <v>0.0320999999999998</v>
      </c>
    </row>
    <row r="255" spans="1:7">
      <c r="A255" s="7">
        <v>45082</v>
      </c>
      <c r="B255">
        <f>-中国_中债国债到期收益率_1年!B254+中国_中债国债到期收益率_1年!B253</f>
        <v>-0.00100000000000011</v>
      </c>
      <c r="C255">
        <f>-中国_中债国债到期收益率_1年!C254+中国_中债国债到期收益率_1年!C253</f>
        <v>-0.0275999999999996</v>
      </c>
      <c r="D255">
        <f>-中国_中债国债到期收益率_1年!D254+中国_中债国债到期收益率_1年!D253</f>
        <v>-0.0125999999999999</v>
      </c>
      <c r="E255">
        <f>-中国_中债国债到期收益率_1年!E254+中国_中债国债到期收益率_1年!E253</f>
        <v>-0.0089999999999999</v>
      </c>
      <c r="F255">
        <f>-中国_中债国债到期收益率_1年!F254+中国_中债国债到期收益率_1年!F253</f>
        <v>-0.0125000000000002</v>
      </c>
      <c r="G255">
        <f>-中国_中债国债到期收益率_1年!G254+中国_中债国债到期收益率_1年!G253</f>
        <v>-0.0276999999999998</v>
      </c>
    </row>
    <row r="256" spans="1:7">
      <c r="A256" s="7">
        <v>45083</v>
      </c>
      <c r="B256">
        <f>-中国_中债国债到期收益率_1年!B255+中国_中债国债到期收益率_1年!B254</f>
        <v>0.0341</v>
      </c>
      <c r="C256">
        <f>-中国_中债国债到期收益率_1年!C255+中国_中债国债到期收益率_1年!C254</f>
        <v>-0.00170000000000003</v>
      </c>
      <c r="D256">
        <f>-中国_中债国债到期收益率_1年!D255+中国_中债国债到期收益率_1年!D254</f>
        <v>0.00249999999999995</v>
      </c>
      <c r="E256">
        <f>-中国_中债国债到期收益率_1年!E255+中国_中债国债到期收益率_1年!E254</f>
        <v>-0.000600000000000378</v>
      </c>
      <c r="F256">
        <f>-中国_中债国债到期收益率_1年!F255+中国_中债国债到期收益率_1年!F254</f>
        <v>0</v>
      </c>
      <c r="G256">
        <f>-中国_中债国债到期收益率_1年!G255+中国_中债国债到期收益率_1年!G254</f>
        <v>-0.00890000000000013</v>
      </c>
    </row>
    <row r="257" spans="1:7">
      <c r="A257" s="7">
        <v>45084</v>
      </c>
      <c r="B257">
        <f>-中国_中债国债到期收益率_1年!B256+中国_中债国债到期收益率_1年!B255</f>
        <v>0.0213000000000001</v>
      </c>
      <c r="C257">
        <f>-中国_中债国债到期收益率_1年!C256+中国_中债国债到期收益率_1年!C255</f>
        <v>0.0168999999999997</v>
      </c>
      <c r="D257">
        <f>-中国_中债国债到期收益率_1年!D256+中国_中债国债到期收益率_1年!D255</f>
        <v>0.0100000000000002</v>
      </c>
      <c r="E257">
        <f>-中国_中债国债到期收益率_1年!E256+中国_中债国债到期收益率_1年!E255</f>
        <v>0.00740000000000007</v>
      </c>
      <c r="F257">
        <f>-中国_中债国债到期收益率_1年!F256+中国_中债国债到期收益率_1年!F255</f>
        <v>0.0106000000000002</v>
      </c>
      <c r="G257">
        <f>-中国_中债国债到期收益率_1年!G256+中国_中债国债到期收益率_1年!G255</f>
        <v>0.0201000000000002</v>
      </c>
    </row>
    <row r="258" spans="1:7">
      <c r="A258" s="7">
        <v>45085</v>
      </c>
      <c r="B258">
        <f>-中国_中债国债到期收益率_1年!B257+中国_中债国债到期收益率_1年!B256</f>
        <v>0.0222</v>
      </c>
      <c r="C258">
        <f>-中国_中债国债到期收益率_1年!C257+中国_中债国债到期收益率_1年!C256</f>
        <v>-0.00329999999999986</v>
      </c>
      <c r="D258">
        <f>-中国_中债国债到期收益率_1年!D257+中国_中债国债到期收益率_1年!D256</f>
        <v>-0.000100000000000211</v>
      </c>
      <c r="E258">
        <f>-中国_中债国债到期收益率_1年!E257+中国_中债国债到期收益率_1年!E256</f>
        <v>0.00710000000000033</v>
      </c>
      <c r="F258">
        <f>-中国_中债国债到期收益率_1年!F257+中国_中债国债到期收益率_1年!F256</f>
        <v>-0.000199999999999978</v>
      </c>
      <c r="G258">
        <f>-中国_中债国债到期收益率_1年!G257+中国_中债国债到期收益率_1年!G256</f>
        <v>0.0103999999999997</v>
      </c>
    </row>
    <row r="259" spans="1:7">
      <c r="A259" s="7">
        <v>45086</v>
      </c>
      <c r="B259">
        <f>-中国_中债国债到期收益率_1年!B258+中国_中债国债到期收益率_1年!B257</f>
        <v>0.00679999999999992</v>
      </c>
      <c r="C259">
        <f>-中国_中债国债到期收益率_1年!C258+中国_中债国债到期收益率_1年!C257</f>
        <v>-0.0108999999999999</v>
      </c>
      <c r="D259">
        <f>-中国_中债国债到期收益率_1年!D258+中国_中债国债到期收益率_1年!D257</f>
        <v>0.000500000000000167</v>
      </c>
      <c r="E259">
        <f>-中国_中债国债到期收益率_1年!E258+中国_中债国债到期收益率_1年!E257</f>
        <v>-0.000600000000000378</v>
      </c>
      <c r="F259">
        <f>-中国_中债国债到期收益率_1年!F258+中国_中债国债到期收益率_1年!F257</f>
        <v>-0.00640000000000018</v>
      </c>
      <c r="G259">
        <f>-中国_中债国债到期收益率_1年!G258+中国_中债国债到期收益率_1年!G257</f>
        <v>-0.0162</v>
      </c>
    </row>
    <row r="260" spans="1:7">
      <c r="A260" s="7">
        <v>45089</v>
      </c>
      <c r="B260">
        <f>-中国_中债国债到期收益率_1年!B259+中国_中债国债到期收益率_1年!B258</f>
        <v>0.0251000000000001</v>
      </c>
      <c r="C260">
        <f>-中国_中债国债到期收益率_1年!C259+中国_中债国债到期收益率_1年!C258</f>
        <v>0.0181999999999998</v>
      </c>
      <c r="D260">
        <f>-中国_中债国债到期收益率_1年!D259+中国_中债国债到期收益率_1年!D258</f>
        <v>0.0118999999999998</v>
      </c>
      <c r="E260">
        <f>-中国_中债国债到期收益率_1年!E259+中国_中债国债到期收益率_1年!E258</f>
        <v>0.0211000000000001</v>
      </c>
      <c r="F260">
        <f>-中国_中债国债到期收益率_1年!F259+中国_中债国债到期收益率_1年!F258</f>
        <v>0.0116000000000001</v>
      </c>
      <c r="G260">
        <f>-中国_中债国债到期收益率_1年!G259+中国_中债国债到期收益率_1年!G258</f>
        <v>0.0173000000000001</v>
      </c>
    </row>
    <row r="261" spans="1:7">
      <c r="A261" s="7">
        <v>45090</v>
      </c>
      <c r="B261">
        <f>-中国_中债国债到期收益率_1年!B260+中国_中债国债到期收益率_1年!B259</f>
        <v>-0.00270000000000015</v>
      </c>
      <c r="C261">
        <f>-中国_中债国债到期收益率_1年!C260+中国_中债国债到期收益率_1年!C259</f>
        <v>-0.00209999999999999</v>
      </c>
      <c r="D261">
        <f>-中国_中债国债到期收益率_1年!D260+中国_中债国债到期收益率_1年!D259</f>
        <v>-9.99999999997669e-5</v>
      </c>
      <c r="E261">
        <f>-中国_中债国债到期收益率_1年!E260+中国_中债国债到期收益率_1年!E259</f>
        <v>0.00490000000000013</v>
      </c>
      <c r="F261">
        <f>-中国_中债国债到期收益率_1年!F260+中国_中债国债到期收益率_1年!F259</f>
        <v>0.00760000000000005</v>
      </c>
      <c r="G261">
        <f>-中国_中债国债到期收益率_1年!G260+中国_中债国债到期收益率_1年!G259</f>
        <v>0.0241000000000002</v>
      </c>
    </row>
    <row r="262" spans="1:7">
      <c r="A262" s="7">
        <v>45091</v>
      </c>
      <c r="B262">
        <f>-中国_中债国债到期收益率_1年!B261+中国_中债国债到期收益率_1年!B260</f>
        <v>0.0149000000000001</v>
      </c>
      <c r="C262">
        <f>-中国_中债国债到期收益率_1年!C261+中国_中债国债到期收益率_1年!C260</f>
        <v>0.0330000000000004</v>
      </c>
      <c r="D262">
        <f>-中国_中债国债到期收益率_1年!D261+中国_中债国债到期收益率_1年!D260</f>
        <v>0.0476999999999999</v>
      </c>
      <c r="E262">
        <f>-中国_中债国债到期收益率_1年!E261+中国_中债国债到期收益率_1年!E260</f>
        <v>0.0326999999999997</v>
      </c>
      <c r="F262">
        <f>-中国_中债国债到期收益率_1年!F261+中国_中债国债到期收益率_1年!F260</f>
        <v>0.0242</v>
      </c>
      <c r="G262">
        <f>-中国_中债国债到期收益率_1年!G261+中国_中债国债到期收益率_1年!G260</f>
        <v>0.0489999999999999</v>
      </c>
    </row>
    <row r="263" spans="1:7">
      <c r="A263" s="7">
        <v>45092</v>
      </c>
      <c r="B263">
        <f>-中国_中债国债到期收益率_1年!B262+中国_中债国债到期收益率_1年!B261</f>
        <v>0.0148999999999999</v>
      </c>
      <c r="C263">
        <f>-中国_中债国债到期收益率_1年!C262+中国_中债国债到期收益率_1年!C261</f>
        <v>0.00509999999999966</v>
      </c>
      <c r="D263">
        <f>-中国_中债国债到期收益率_1年!D262+中国_中债国债到期收益率_1年!D261</f>
        <v>0.00490000000000013</v>
      </c>
      <c r="E263">
        <f>-中国_中债国债到期收益率_1年!E262+中国_中债国债到期收益率_1年!E261</f>
        <v>0.0101</v>
      </c>
      <c r="F263">
        <f>-中国_中债国债到期收益率_1年!F262+中国_中债国债到期收益率_1年!F261</f>
        <v>-0.000599999999999934</v>
      </c>
      <c r="G263">
        <f>-中国_中债国债到期收益率_1年!G262+中国_中债国债到期收益率_1年!G261</f>
        <v>0.0124</v>
      </c>
    </row>
    <row r="264" spans="1:7">
      <c r="A264" s="7">
        <v>45093</v>
      </c>
      <c r="B264">
        <f>-中国_中债国债到期收益率_1年!B263+中国_中债国债到期收益率_1年!B262</f>
        <v>-0.0250999999999999</v>
      </c>
      <c r="C264">
        <f>-中国_中债国债到期收益率_1年!C263+中国_中债国债到期收益率_1年!C262</f>
        <v>-0.0385999999999997</v>
      </c>
      <c r="D264">
        <f>-中国_中债国债到期收益率_1年!D263+中国_中债国债到期收益率_1年!D262</f>
        <v>-0.0304000000000002</v>
      </c>
      <c r="E264">
        <f>-中国_中债国债到期收益率_1年!E263+中国_中债国债到期收益率_1年!E262</f>
        <v>-0.0303999999999998</v>
      </c>
      <c r="F264">
        <f>-中国_中债国债到期收益率_1年!F263+中国_中债国债到期收益率_1年!F262</f>
        <v>-0.0207000000000002</v>
      </c>
      <c r="G264">
        <f>-中国_中债国债到期收益率_1年!G263+中国_中债国债到期收益率_1年!G262</f>
        <v>-0.0423</v>
      </c>
    </row>
    <row r="265" spans="1:7">
      <c r="A265" s="7">
        <v>45096</v>
      </c>
      <c r="B265">
        <f>-中国_中债国债到期收益率_1年!B264+中国_中债国债到期收益率_1年!B263</f>
        <v>-0.0201</v>
      </c>
      <c r="C265">
        <f>-中国_中债国债到期收益率_1年!C264+中国_中债国债到期收益率_1年!C263</f>
        <v>-0.0177</v>
      </c>
      <c r="D265">
        <f>-中国_中债国债到期收益率_1年!D264+中国_中债国债到期收益率_1年!D263</f>
        <v>-0.0143999999999997</v>
      </c>
      <c r="E265">
        <f>-中国_中债国债到期收益率_1年!E264+中国_中债国债到期收益率_1年!E263</f>
        <v>-0.0152000000000001</v>
      </c>
      <c r="F265">
        <f>-中国_中债国债到期收益率_1年!F264+中国_中债国债到期收益率_1年!F263</f>
        <v>-0.0400999999999998</v>
      </c>
      <c r="G265">
        <f>-中国_中债国债到期收益率_1年!G264+中国_中债国债到期收益率_1年!G263</f>
        <v>-0.0630999999999999</v>
      </c>
    </row>
    <row r="266" spans="1:7">
      <c r="A266" s="7">
        <v>45097</v>
      </c>
      <c r="B266">
        <f>-中国_中债国债到期收益率_1年!B265+中国_中债国债到期收益率_1年!B264</f>
        <v>-0.0201</v>
      </c>
      <c r="C266">
        <f>-中国_中债国债到期收益率_1年!C265+中国_中债国债到期收益率_1年!C264</f>
        <v>-0.0484</v>
      </c>
      <c r="D266">
        <f>-中国_中债国债到期收益率_1年!D265+中国_中债国债到期收益率_1年!D264</f>
        <v>-0.0250000000000004</v>
      </c>
      <c r="E266">
        <f>-中国_中债国债到期收益率_1年!E265+中国_中债国债到期收益率_1年!E264</f>
        <v>-0.02</v>
      </c>
      <c r="F266">
        <f>-中国_中债国债到期收益率_1年!F265+中国_中债国债到期收益率_1年!F264</f>
        <v>-0.0169000000000001</v>
      </c>
      <c r="G266">
        <f>-中国_中债国债到期收益率_1年!G265+中国_中债国债到期收益率_1年!G264</f>
        <v>-0.0215000000000001</v>
      </c>
    </row>
    <row r="267" spans="1:7">
      <c r="A267" s="7">
        <v>45098</v>
      </c>
      <c r="B267">
        <f>-中国_中债国债到期收益率_1年!B266+中国_中债国债到期收益率_1年!B265</f>
        <v>-0.01</v>
      </c>
      <c r="C267">
        <f>-中国_中债国债到期收益率_1年!C266+中国_中债国债到期收益率_1年!C265</f>
        <v>0.0215999999999998</v>
      </c>
      <c r="D267">
        <f>-中国_中债国债到期收益率_1年!D266+中国_中债国债到期收益率_1年!D265</f>
        <v>0.0125000000000002</v>
      </c>
      <c r="E267">
        <f>-中国_中债国债到期收益率_1年!E266+中国_中债国债到期收益率_1年!E265</f>
        <v>0.0175000000000001</v>
      </c>
      <c r="F267">
        <f>-中国_中债国债到期收益率_1年!F266+中国_中债国债到期收益率_1年!F265</f>
        <v>0.0122</v>
      </c>
      <c r="G267">
        <f>-中国_中债国债到期收益率_1年!G266+中国_中债国债到期收益率_1年!G265</f>
        <v>0.0162</v>
      </c>
    </row>
    <row r="268" spans="1:7">
      <c r="A268" s="7">
        <v>45102</v>
      </c>
      <c r="B268">
        <f>-中国_中债国债到期收益率_1年!B267+中国_中债国债到期收益率_1年!B266</f>
        <v>-0.00429999999999997</v>
      </c>
      <c r="C268">
        <f>-中国_中债国债到期收益率_1年!C267+中国_中债国债到期收益率_1年!C266</f>
        <v>0.00669999999999993</v>
      </c>
      <c r="D268">
        <f>-中国_中债国债到期收益率_1年!D267+中国_中债国债到期收益率_1年!D266</f>
        <v>0.00499999999999989</v>
      </c>
      <c r="E268">
        <f>-中国_中债国债到期收益率_1年!E267+中国_中债国债到期收益率_1年!E266</f>
        <v>0.00240000000000018</v>
      </c>
      <c r="F268">
        <f>-中国_中债国债到期收益率_1年!F267+中国_中债国债到期收益率_1年!F266</f>
        <v>0.00919999999999987</v>
      </c>
      <c r="G268">
        <f>-中国_中债国债到期收益率_1年!G267+中国_中债国债到期收益率_1年!G266</f>
        <v>0.0192000000000001</v>
      </c>
    </row>
    <row r="269" spans="1:7">
      <c r="A269" s="7">
        <v>45103</v>
      </c>
      <c r="B269">
        <f>-中国_中债国债到期收益率_1年!B268+中国_中债国债到期收益率_1年!B267</f>
        <v>0.00409999999999999</v>
      </c>
      <c r="C269">
        <f>-中国_中债国债到期收益率_1年!C268+中国_中债国债到期收益率_1年!C267</f>
        <v>0.0152000000000001</v>
      </c>
      <c r="D269">
        <f>-中国_中债国债到期收益率_1年!D268+中国_中债国债到期收益率_1年!D267</f>
        <v>0.0125000000000002</v>
      </c>
      <c r="E269">
        <f>-中国_中债国债到期收益率_1年!E268+中国_中债国债到期收益率_1年!E267</f>
        <v>0.0139999999999998</v>
      </c>
      <c r="F269">
        <f>-中国_中债国债到期收益率_1年!F268+中国_中债国债到期收益率_1年!F267</f>
        <v>0.0517000000000003</v>
      </c>
      <c r="G269">
        <f>-中国_中债国债到期收益率_1年!G268+中国_中债国债到期收益率_1年!G267</f>
        <v>0.00380000000000003</v>
      </c>
    </row>
    <row r="270" spans="1:7">
      <c r="A270" s="7">
        <v>45104</v>
      </c>
      <c r="B270">
        <f>-中国_中债国债到期收益率_1年!B269+中国_中债国债到期收益率_1年!B268</f>
        <v>0</v>
      </c>
      <c r="C270">
        <f>-中国_中债国债到期收益率_1年!C269+中国_中债国债到期收益率_1年!C268</f>
        <v>-0.0131000000000001</v>
      </c>
      <c r="D270">
        <f>-中国_中债国债到期收益率_1年!D269+中国_中债国债到期收益率_1年!D268</f>
        <v>-0.0101</v>
      </c>
      <c r="E270">
        <f>-中国_中债国债到期收益率_1年!E269+中国_中债国债到期收益率_1年!E268</f>
        <v>-0.00660000000000016</v>
      </c>
      <c r="F270">
        <f>-中国_中债国债到期收益率_1年!F269+中国_中债国债到期收益率_1年!F268</f>
        <v>-0.0402</v>
      </c>
      <c r="G270">
        <f>-中国_中债国债到期收益率_1年!G269+中国_中债国债到期收益率_1年!G268</f>
        <v>0.00489999999999968</v>
      </c>
    </row>
    <row r="271" spans="1:7">
      <c r="A271" s="7">
        <v>45105</v>
      </c>
      <c r="B271">
        <f>-中国_中债国债到期收益率_1年!B270+中国_中债国债到期收益率_1年!B269</f>
        <v>-0.04</v>
      </c>
      <c r="C271">
        <f>-中国_中债国债到期收益率_1年!C270+中国_中债国债到期收益率_1年!C269</f>
        <v>-0.00499999999999989</v>
      </c>
      <c r="D271">
        <f>-中国_中债国债到期收益率_1年!D270+中国_中债国债到期收益率_1年!D269</f>
        <v>9.99999999997669e-5</v>
      </c>
      <c r="E271">
        <f>-中国_中债国债到期收益率_1年!E270+中国_中债国债到期收益率_1年!E269</f>
        <v>0.0051000000000001</v>
      </c>
      <c r="F271">
        <f>-中国_中债国债到期收益率_1年!F270+中国_中债国债到期收益率_1年!F269</f>
        <v>-0.00970000000000004</v>
      </c>
      <c r="G271">
        <f>-中国_中债国债到期收益率_1年!G270+中国_中债国债到期收益率_1年!G269</f>
        <v>-0.0198999999999998</v>
      </c>
    </row>
    <row r="272" spans="1:7">
      <c r="A272" s="7">
        <v>45106</v>
      </c>
      <c r="B272">
        <f>-中国_中债国债到期收益率_1年!B271+中国_中债国债到期收益率_1年!B270</f>
        <v>0.01</v>
      </c>
      <c r="C272">
        <f>-中国_中债国债到期收益率_1年!C271+中国_中债国债到期收益率_1年!C270</f>
        <v>0.0112999999999999</v>
      </c>
      <c r="D272">
        <f>-中国_中债国债到期收益率_1年!D271+中国_中债国债到期收益率_1年!D270</f>
        <v>0.00250000000000039</v>
      </c>
      <c r="E272">
        <f>-中国_中债国债到期收益率_1年!E271+中国_中债国债到期收益率_1年!E270</f>
        <v>0.00240000000000018</v>
      </c>
      <c r="F272">
        <f>-中国_中债国债到期收益率_1年!F271+中国_中债国债到期收益率_1年!F270</f>
        <v>0.00979999999999981</v>
      </c>
      <c r="G272">
        <f>-中国_中债国债到期收益率_1年!G271+中国_中债国债到期收益率_1年!G270</f>
        <v>0.0219999999999998</v>
      </c>
    </row>
    <row r="273" spans="1:7">
      <c r="A273" s="7">
        <v>45107</v>
      </c>
      <c r="B273">
        <f>-中国_中债国债到期收益率_1年!B272+中国_中债国债到期收益率_1年!B271</f>
        <v>0.01</v>
      </c>
      <c r="C273">
        <f>-中国_中债国债到期收益率_1年!C272+中国_中债国债到期收益率_1年!C271</f>
        <v>0.00900000000000034</v>
      </c>
      <c r="D273">
        <f>-中国_中债国债到期收益率_1年!D272+中国_中债国债到期收益率_1年!D271</f>
        <v>0.0124999999999997</v>
      </c>
      <c r="E273">
        <f>-中国_中债国债到期收益率_1年!E272+中国_中债国债到期收益率_1年!E271</f>
        <v>0.00999999999999979</v>
      </c>
      <c r="F273">
        <f>-中国_中债国债到期收益率_1年!F272+中国_中债国债到期收益率_1年!F271</f>
        <v>0.00430000000000019</v>
      </c>
      <c r="G273">
        <f>-中国_中债国债到期收益率_1年!G272+中国_中债国债到期收益率_1年!G271</f>
        <v>0.00649999999999995</v>
      </c>
    </row>
    <row r="274" spans="1:7">
      <c r="A274" s="7">
        <v>45110</v>
      </c>
      <c r="B274">
        <f>-中国_中债国债到期收益率_1年!B273+中国_中债国债到期收益率_1年!B272</f>
        <v>0.0596999999999999</v>
      </c>
      <c r="C274">
        <f>-中国_中债国债到期收益率_1年!C273+中国_中债国债到期收益率_1年!C272</f>
        <v>0.0322999999999998</v>
      </c>
      <c r="D274">
        <f>-中国_中债国债到期收益率_1年!D273+中国_中债国债到期收益率_1年!D272</f>
        <v>0.0175000000000001</v>
      </c>
      <c r="E274">
        <f>-中国_中债国债到期收益率_1年!E273+中国_中债国债到期收益率_1年!E272</f>
        <v>0.00990000000000002</v>
      </c>
      <c r="F274">
        <f>-中国_中债国债到期收益率_1年!F273+中国_中债国债到期收益率_1年!F272</f>
        <v>0.0412999999999997</v>
      </c>
      <c r="G274">
        <f>-中国_中债国债到期收益率_1年!G273+中国_中债国债到期收益率_1年!G272</f>
        <v>0.0339</v>
      </c>
    </row>
    <row r="275" spans="1:7">
      <c r="A275" s="7">
        <v>45111</v>
      </c>
      <c r="B275">
        <f>-中国_中债国债到期收益率_1年!B274+中国_中债国债到期收益率_1年!B273</f>
        <v>0.0298</v>
      </c>
      <c r="C275">
        <f>-中国_中债国债到期收益率_1年!C274+中国_中债国债到期收益率_1年!C273</f>
        <v>-0.00859999999999994</v>
      </c>
      <c r="D275">
        <f>-中国_中债国债到期收益率_1年!D274+中国_中债国债到期收益率_1年!D273</f>
        <v>-0.0051000000000001</v>
      </c>
      <c r="E275">
        <f>-中国_中债国债到期收益率_1年!E274+中国_中债国债到期收益率_1年!E273</f>
        <v>-0.00609999999999999</v>
      </c>
      <c r="F275">
        <f>-中国_中债国债到期收益率_1年!F274+中国_中债国债到期收益率_1年!F273</f>
        <v>0.0100000000000002</v>
      </c>
      <c r="G275">
        <f>-中国_中债国债到期收益率_1年!G274+中国_中债国债到期收益率_1年!G273</f>
        <v>0.00430000000000019</v>
      </c>
    </row>
    <row r="276" spans="1:7">
      <c r="A276" s="7">
        <v>45112</v>
      </c>
      <c r="B276">
        <f>-中国_中债国债到期收益率_1年!B275+中国_中债国债到期收益率_1年!B274</f>
        <v>0.00990000000000002</v>
      </c>
      <c r="C276">
        <f>-中国_中债国债到期收益率_1年!C275+中国_中债国债到期收益率_1年!C274</f>
        <v>-0.0103</v>
      </c>
      <c r="D276">
        <f>-中国_中债国债到期收益率_1年!D275+中国_中债国债到期收益率_1年!D274</f>
        <v>-0.00749999999999984</v>
      </c>
      <c r="E276">
        <f>-中国_中债国债到期收益率_1年!E275+中国_中债国债到期收益率_1年!E274</f>
        <v>-0.00919999999999987</v>
      </c>
      <c r="F276">
        <f>-中国_中债国债到期收益率_1年!F275+中国_中债国债到期收益率_1年!F274</f>
        <v>-0.0131000000000001</v>
      </c>
      <c r="G276">
        <f>-中国_中债国债到期收益率_1年!G275+中国_中债国债到期收益率_1年!G274</f>
        <v>-0.00729999999999986</v>
      </c>
    </row>
    <row r="277" spans="1:7">
      <c r="A277" s="7">
        <v>45113</v>
      </c>
      <c r="B277">
        <f>-中国_中债国债到期收益率_1年!B276+中国_中债国债到期收益率_1年!B275</f>
        <v>0.00990000000000002</v>
      </c>
      <c r="C277">
        <f>-中国_中债国债到期收益率_1年!C276+中国_中债国债到期收益率_1年!C275</f>
        <v>0.0103</v>
      </c>
      <c r="D277">
        <f>-中国_中债国债到期收益率_1年!D276+中国_中债国债到期收益率_1年!D275</f>
        <v>0.00749999999999984</v>
      </c>
      <c r="E277">
        <f>-中国_中债国债到期收益率_1年!E276+中国_中债国债到期收益率_1年!E275</f>
        <v>0.00490000000000013</v>
      </c>
      <c r="F277">
        <f>-中国_中债国债到期收益率_1年!F276+中国_中债国债到期收益率_1年!F275</f>
        <v>0.00390000000000024</v>
      </c>
      <c r="G277">
        <f>-中国_中债国债到期收益率_1年!G276+中国_中债国债到期收益率_1年!G275</f>
        <v>0.0035999999999996</v>
      </c>
    </row>
    <row r="278" spans="1:7">
      <c r="A278" s="7">
        <v>45114</v>
      </c>
      <c r="B278">
        <f>-中国_中债国债到期收益率_1年!B277+中国_中债国债到期收益率_1年!B276</f>
        <v>0</v>
      </c>
      <c r="C278">
        <f>-中国_中债国债到期收益率_1年!C277+中国_中债国债到期收益率_1年!C276</f>
        <v>-0.000199999999999978</v>
      </c>
      <c r="D278">
        <f>-中国_中债国债到期收益率_1年!D277+中国_中债国债到期收益率_1年!D276</f>
        <v>0.00099999999999989</v>
      </c>
      <c r="E278">
        <f>-中国_中债国债到期收益率_1年!E277+中国_中债国债到期收益率_1年!E276</f>
        <v>-0.000399999999999956</v>
      </c>
      <c r="F278">
        <f>-中国_中债国债到期收益率_1年!F277+中国_中债国债到期收益率_1年!F276</f>
        <v>0.00489999999999968</v>
      </c>
      <c r="G278">
        <f>-中国_中债国债到期收益率_1年!G277+中国_中债国债到期收益率_1年!G276</f>
        <v>0.0094000000000003</v>
      </c>
    </row>
    <row r="279" spans="1:7">
      <c r="A279" s="7">
        <v>45117</v>
      </c>
      <c r="B279">
        <f>-中国_中债国债到期收益率_1年!B278+中国_中债国债到期收益率_1年!B277</f>
        <v>-0.00520000000000009</v>
      </c>
      <c r="C279">
        <f>-中国_中债国债到期收益率_1年!C278+中国_中债国债到期收益率_1年!C277</f>
        <v>0.004</v>
      </c>
      <c r="D279">
        <f>-中国_中债国债到期收益率_1年!D278+中国_中债国债到期收益率_1年!D277</f>
        <v>-0.00109999999999966</v>
      </c>
      <c r="E279">
        <f>-中国_中债国债到期收益率_1年!E278+中国_中债国债到期收益率_1年!E277</f>
        <v>0.00499999999999989</v>
      </c>
      <c r="F279">
        <f>-中国_中债国债到期收益率_1年!F278+中国_中债国债到期收益率_1年!F277</f>
        <v>-0.000699999999999701</v>
      </c>
      <c r="G279">
        <f>-中国_中债国债到期收益率_1年!G278+中国_中债国债到期收益率_1年!G277</f>
        <v>-0.000100000000000211</v>
      </c>
    </row>
    <row r="280" spans="1:7">
      <c r="A280" s="7">
        <v>45118</v>
      </c>
      <c r="B280">
        <f>-中国_中债国债到期收益率_1年!B279+中国_中债国债到期收益率_1年!B278</f>
        <v>0</v>
      </c>
      <c r="C280">
        <f>-中国_中债国债到期收益率_1年!C279+中国_中债国债到期收益率_1年!C278</f>
        <v>-0.00999999999999979</v>
      </c>
      <c r="D280">
        <f>-中国_中债国债到期收益率_1年!D279+中国_中债国债到期收益率_1年!D278</f>
        <v>0</v>
      </c>
      <c r="E280">
        <f>-中国_中债国债到期收益率_1年!E279+中国_中债国债到期收益率_1年!E278</f>
        <v>0.00389999999999979</v>
      </c>
      <c r="F280">
        <f>-中国_中债国债到期收益率_1年!F279+中国_中债国债到期收益率_1年!F278</f>
        <v>-0.00700000000000012</v>
      </c>
      <c r="G280">
        <f>-中国_中债国债到期收益率_1年!G279+中国_中债国债到期收益率_1年!G278</f>
        <v>-0.00930000000000009</v>
      </c>
    </row>
    <row r="281" spans="1:7">
      <c r="A281" s="7">
        <v>45119</v>
      </c>
      <c r="B281">
        <f>-中国_中债国债到期收益率_1年!B280+中国_中债国债到期收益率_1年!B279</f>
        <v>0.00480000000000014</v>
      </c>
      <c r="C281">
        <f>-中国_中债国债到期收益率_1年!C280+中国_中债国债到期收益率_1年!C279</f>
        <v>0.00519999999999987</v>
      </c>
      <c r="D281">
        <f>-中国_中债国债到期收益率_1年!D280+中国_中债国债到期收益率_1年!D279</f>
        <v>0.00499999999999989</v>
      </c>
      <c r="E281">
        <f>-中国_中债国债到期收益率_1年!E280+中国_中债国债到期收益率_1年!E279</f>
        <v>0.00800000000000001</v>
      </c>
      <c r="F281">
        <f>-中国_中债国债到期收益率_1年!F280+中国_中债国债到期收益率_1年!F279</f>
        <v>0.000300000000000189</v>
      </c>
      <c r="G281">
        <f>-中国_中债国债到期收益率_1年!G280+中国_中债国债到期收益率_1年!G279</f>
        <v>0.0116000000000001</v>
      </c>
    </row>
    <row r="282" spans="1:7">
      <c r="A282" s="7">
        <v>45120</v>
      </c>
      <c r="B282">
        <f>-中国_中债国债到期收益率_1年!B281+中国_中债国债到期收益率_1年!B280</f>
        <v>0.00479999999999992</v>
      </c>
      <c r="C282">
        <f>-中国_中债国债到期收益率_1年!C281+中国_中债国债到期收益率_1年!C280</f>
        <v>-0.00260000000000016</v>
      </c>
      <c r="D282">
        <f>-中国_中债国债到期收益率_1年!D281+中国_中债国债到期收益率_1年!D280</f>
        <v>-0.00249999999999995</v>
      </c>
      <c r="E282">
        <f>-中国_中债国债到期收益率_1年!E281+中国_中债国债到期收益率_1年!E280</f>
        <v>0</v>
      </c>
      <c r="F282">
        <f>-中国_中债国债到期收益率_1年!F281+中国_中债国债到期收益率_1年!F280</f>
        <v>-0.00770000000000026</v>
      </c>
      <c r="G282">
        <f>-中国_中债国债到期收益率_1年!G281+中国_中债国债到期收益率_1年!G280</f>
        <v>-0.0130999999999997</v>
      </c>
    </row>
    <row r="283" spans="1:7">
      <c r="A283" s="7">
        <v>45121</v>
      </c>
      <c r="B283">
        <f>-中国_中债国债到期收益率_1年!B282+中国_中债国债到期收益率_1年!B281</f>
        <v>-0.0201</v>
      </c>
      <c r="C283">
        <f>-中国_中债国债到期收益率_1年!C282+中国_中债国债到期收益率_1年!C281</f>
        <v>-0.0133000000000001</v>
      </c>
      <c r="D283">
        <f>-中国_中债国债到期收益率_1年!D282+中国_中债国债到期收益率_1年!D281</f>
        <v>-0.00350000000000028</v>
      </c>
      <c r="E283">
        <f>-中国_中债国债到期收益率_1年!E282+中国_中债国债到期收益率_1年!E281</f>
        <v>-0.00729999999999986</v>
      </c>
      <c r="F283">
        <f>-中国_中债国债到期收益率_1年!F282+中国_中债国债到期收益率_1年!F281</f>
        <v>-0.00680000000000014</v>
      </c>
      <c r="G283">
        <f>-中国_中债国债到期收益率_1年!G282+中国_中债国债到期收益率_1年!G281</f>
        <v>-0.00860000000000039</v>
      </c>
    </row>
    <row r="284" spans="1:7">
      <c r="A284" s="7">
        <v>45124</v>
      </c>
      <c r="B284">
        <f>-中国_中债国债到期收益率_1年!B283+中国_中债国债到期收益率_1年!B282</f>
        <v>-9.9999999999989e-5</v>
      </c>
      <c r="C284">
        <f>-中国_中债国债到期收益率_1年!C283+中国_中债国债到期收益率_1年!C282</f>
        <v>-0.00099999999999989</v>
      </c>
      <c r="D284">
        <f>-中国_中债国债到期收益率_1年!D283+中国_中债国债到期收益率_1年!D282</f>
        <v>-0.00309999999999988</v>
      </c>
      <c r="E284">
        <f>-中国_中债国债到期收益率_1年!E283+中国_中债国债到期收益率_1年!E282</f>
        <v>-0.00600000000000023</v>
      </c>
      <c r="F284">
        <f>-中国_中债国债到期收益率_1年!F283+中国_中债国债到期收益率_1年!F282</f>
        <v>-0.00409999999999977</v>
      </c>
      <c r="G284">
        <f>-中国_中债国债到期收益率_1年!G283+中国_中债国债到期收益率_1年!G282</f>
        <v>-0.00859999999999994</v>
      </c>
    </row>
    <row r="285" spans="1:7">
      <c r="A285" s="7">
        <v>45125</v>
      </c>
      <c r="B285">
        <f>-中国_中债国债到期收益率_1年!B284+中国_中债国债到期收益率_1年!B283</f>
        <v>0.075</v>
      </c>
      <c r="C285">
        <f>-中国_中债国债到期收益率_1年!C284+中国_中债国债到期收益率_1年!C283</f>
        <v>0.0164</v>
      </c>
      <c r="D285">
        <f>-中国_中债国债到期收益率_1年!D284+中国_中债国债到期收益率_1年!D283</f>
        <v>0.00800000000000001</v>
      </c>
      <c r="E285">
        <f>-中国_中债国债到期收益率_1年!E284+中国_中债国债到期收益率_1年!E283</f>
        <v>0.00590000000000002</v>
      </c>
      <c r="F285">
        <f>-中国_中债国债到期收益率_1年!F284+中国_中债国债到期收益率_1年!F283</f>
        <v>0.00780000000000003</v>
      </c>
      <c r="G285">
        <f>-中国_中债国债到期收益率_1年!G284+中国_中债国债到期收益率_1年!G283</f>
        <v>0.0186999999999999</v>
      </c>
    </row>
    <row r="286" spans="1:7">
      <c r="A286" s="7">
        <v>45126</v>
      </c>
      <c r="B286">
        <f>-中国_中债国债到期收益率_1年!B285+中国_中债国债到期收益率_1年!B284</f>
        <v>0</v>
      </c>
      <c r="C286">
        <f>-中国_中债国债到期收益率_1年!C285+中国_中债国债到期收益率_1年!C284</f>
        <v>0.0100000000000002</v>
      </c>
      <c r="D286">
        <f>-中国_中债国债到期收益率_1年!D285+中国_中债国债到期收益率_1年!D284</f>
        <v>0.0129999999999999</v>
      </c>
      <c r="E286">
        <f>-中国_中债国债到期收益率_1年!E285+中国_中债国债到期收益率_1年!E284</f>
        <v>0.012</v>
      </c>
      <c r="F286">
        <f>-中国_中债国债到期收益率_1年!F285+中国_中债国债到期收益率_1年!F284</f>
        <v>0.00970000000000004</v>
      </c>
      <c r="G286">
        <f>-中国_中债国债到期收益率_1年!G285+中国_中债国债到期收益率_1年!G284</f>
        <v>0.0125000000000002</v>
      </c>
    </row>
    <row r="287" spans="1:7">
      <c r="A287" s="7">
        <v>45127</v>
      </c>
      <c r="B287">
        <f>-中国_中债国债到期收益率_1年!B286+中国_中债国债到期收益率_1年!B285</f>
        <v>0.01</v>
      </c>
      <c r="C287">
        <f>-中国_中债国债到期收益率_1年!C286+中国_中债国债到期收益率_1年!C285</f>
        <v>0.0158</v>
      </c>
      <c r="D287">
        <f>-中国_中债国债到期收益率_1年!D286+中国_中债国债到期收益率_1年!D285</f>
        <v>0.000100000000000211</v>
      </c>
      <c r="E287">
        <f>-中国_中债国债到期收益率_1年!E286+中国_中债国债到期收益率_1年!E285</f>
        <v>-0.00219999999999976</v>
      </c>
      <c r="F287">
        <f>-中国_中债国债到期收益率_1年!F286+中国_中债国债到期收益率_1年!F285</f>
        <v>0.00219999999999976</v>
      </c>
      <c r="G287">
        <f>-中国_中债国债到期收益率_1年!G286+中国_中债国债到期收益率_1年!G285</f>
        <v>0.00130000000000008</v>
      </c>
    </row>
    <row r="288" spans="1:7">
      <c r="A288" s="7">
        <v>45128</v>
      </c>
      <c r="B288">
        <f>-中国_中债国债到期收益率_1年!B287+中国_中债国债到期收益率_1年!B286</f>
        <v>0.00500000000000012</v>
      </c>
      <c r="C288">
        <f>-中国_中债国债到期收益率_1年!C287+中国_中债国债到期收益率_1年!C286</f>
        <v>0.0046999999999997</v>
      </c>
      <c r="D288">
        <f>-中国_中债国债到期收益率_1年!D287+中国_中债国债到期收益率_1年!D286</f>
        <v>0.00190000000000001</v>
      </c>
      <c r="E288">
        <f>-中国_中债国债到期收益率_1年!E287+中国_中债国债到期收益率_1年!E286</f>
        <v>0.00199999999999978</v>
      </c>
      <c r="F288">
        <f>-中国_中债国债到期收益率_1年!F287+中国_中债国债到期收益率_1年!F286</f>
        <v>0.00590000000000002</v>
      </c>
      <c r="G288">
        <f>-中国_中债国债到期收益率_1年!G287+中国_中债国债到期收益率_1年!G286</f>
        <v>-0.00560000000000027</v>
      </c>
    </row>
    <row r="289" spans="1:7">
      <c r="A289" s="7">
        <v>45131</v>
      </c>
      <c r="B289">
        <f>-中国_中债国债到期收益率_1年!B288+中国_中债国债到期收益率_1年!B287</f>
        <v>0.01</v>
      </c>
      <c r="C289">
        <f>-中国_中债国债到期收益率_1年!C288+中国_中债国债到期收益率_1年!C287</f>
        <v>0.0123000000000002</v>
      </c>
      <c r="D289">
        <f>-中国_中债国债到期收益率_1年!D288+中国_中债国债到期收益率_1年!D287</f>
        <v>0.0135000000000001</v>
      </c>
      <c r="E289">
        <f>-中国_中债国债到期收益率_1年!E288+中国_中债国债到期收益率_1年!E287</f>
        <v>0.0139</v>
      </c>
      <c r="F289">
        <f>-中国_中债国债到期收益率_1年!F288+中国_中债国债到期收益率_1年!F287</f>
        <v>0.0106000000000002</v>
      </c>
      <c r="G289">
        <f>-中国_中债国债到期收益率_1年!G288+中国_中债国债到期收益率_1年!G287</f>
        <v>0.0186000000000002</v>
      </c>
    </row>
    <row r="290" spans="1:7">
      <c r="A290" s="7">
        <v>45132</v>
      </c>
      <c r="B290">
        <f>-中国_中债国债到期收益率_1年!B289+中国_中债国债到期收益率_1年!B288</f>
        <v>0.00499999999999989</v>
      </c>
      <c r="C290">
        <f>-中国_中债国债到期收益率_1年!C289+中国_中债国债到期收益率_1年!C288</f>
        <v>0.0046999999999997</v>
      </c>
      <c r="D290">
        <f>-中国_中债国债到期收益率_1年!D289+中国_中债国债到期收益率_1年!D288</f>
        <v>0.0145</v>
      </c>
      <c r="E290">
        <f>-中国_中债国债到期收益率_1年!E289+中国_中债国债到期收益率_1年!E288</f>
        <v>0.024</v>
      </c>
      <c r="F290">
        <f>-中国_中债国债到期收益率_1年!F289+中国_中债国债到期收益率_1年!F288</f>
        <v>0.000199999999999978</v>
      </c>
      <c r="G290">
        <f>-中国_中债国债到期收益率_1年!G289+中国_中债国债到期收益率_1年!G288</f>
        <v>-0.00249999999999995</v>
      </c>
    </row>
    <row r="291" spans="1:7">
      <c r="A291" s="7">
        <v>45133</v>
      </c>
      <c r="B291">
        <f>-中国_中债国债到期收益率_1年!B290+中国_中债国债到期收益率_1年!B289</f>
        <v>-0.0447</v>
      </c>
      <c r="C291">
        <f>-中国_中债国债到期收益率_1年!C290+中国_中债国债到期收益率_1年!C289</f>
        <v>-0.0753999999999997</v>
      </c>
      <c r="D291">
        <f>-中国_中债国债到期收益率_1年!D290+中国_中债国债到期收益率_1年!D289</f>
        <v>-0.0695999999999999</v>
      </c>
      <c r="E291">
        <f>-中国_中债国债到期收益率_1年!E290+中国_中债国债到期收益率_1年!E289</f>
        <v>-0.0568</v>
      </c>
      <c r="F291">
        <f>-中国_中债国债到期收益率_1年!F290+中国_中债国债到期收益率_1年!F289</f>
        <v>-0.0358000000000001</v>
      </c>
      <c r="G291">
        <f>-中国_中债国债到期收益率_1年!G290+中国_中债国债到期收益率_1年!G289</f>
        <v>-0.0520999999999998</v>
      </c>
    </row>
    <row r="292" spans="1:7">
      <c r="A292" s="7">
        <v>45134</v>
      </c>
      <c r="B292">
        <f>-中国_中债国债到期收益率_1年!B291+中国_中债国债到期收益率_1年!B290</f>
        <v>-0.01</v>
      </c>
      <c r="C292">
        <f>-中国_中债国债到期收益率_1年!C291+中国_中债国债到期收益率_1年!C290</f>
        <v>0.0299</v>
      </c>
      <c r="D292">
        <f>-中国_中债国债到期收益率_1年!D291+中国_中债国债到期收益率_1年!D290</f>
        <v>0.02</v>
      </c>
      <c r="E292">
        <f>-中国_中债国债到期收益率_1年!E291+中国_中债国债到期收益率_1年!E290</f>
        <v>0.0152999999999999</v>
      </c>
      <c r="F292">
        <f>-中国_中债国债到期收益率_1年!F291+中国_中债国债到期收益率_1年!F290</f>
        <v>0.000199999999999978</v>
      </c>
      <c r="G292">
        <f>-中国_中债国债到期收益率_1年!G291+中国_中债国债到期收益率_1年!G290</f>
        <v>-0.0130000000000003</v>
      </c>
    </row>
    <row r="293" spans="1:7">
      <c r="A293" s="7">
        <v>45135</v>
      </c>
      <c r="B293">
        <f>-中国_中债国债到期收益率_1年!B292+中国_中债国债到期收益率_1年!B291</f>
        <v>-0.03</v>
      </c>
      <c r="C293">
        <f>-中国_中债国债到期收益率_1年!C292+中国_中债国债到期收益率_1年!C291</f>
        <v>0.00959999999999983</v>
      </c>
      <c r="D293">
        <f>-中国_中债国债到期收益率_1年!D292+中国_中债国债到期收益率_1年!D291</f>
        <v>0.00349999999999984</v>
      </c>
      <c r="E293">
        <f>-中国_中债国债到期收益率_1年!E292+中国_中债国债到期收益率_1年!E291</f>
        <v>0.00550000000000006</v>
      </c>
      <c r="F293">
        <f>-中国_中债国债到期收益率_1年!F292+中国_中债国债到期收益率_1年!F291</f>
        <v>0.0215999999999998</v>
      </c>
      <c r="G293">
        <f>-中国_中债国债到期收益率_1年!G292+中国_中债国债到期收益率_1年!G291</f>
        <v>0.0247999999999999</v>
      </c>
    </row>
    <row r="294" spans="1:7">
      <c r="A294" s="7">
        <v>45138</v>
      </c>
      <c r="B294">
        <f>-中国_中债国债到期收益率_1年!B293+中国_中债国债到期收益率_1年!B292</f>
        <v>9.9999999999989e-5</v>
      </c>
      <c r="C294">
        <f>-中国_中债国债到期收益率_1年!C293+中国_中债国债到期收益率_1年!C292</f>
        <v>-0.0177999999999998</v>
      </c>
      <c r="D294">
        <f>-中国_中债国债到期收益率_1年!D293+中国_中债国债到期收益率_1年!D292</f>
        <v>-0.0138000000000003</v>
      </c>
      <c r="E294">
        <f>-中国_中债国债到期收益率_1年!E293+中国_中债国债到期收益率_1年!E292</f>
        <v>-0.0112999999999999</v>
      </c>
      <c r="F294">
        <f>-中国_中债国债到期收益率_1年!F293+中国_中债国债到期收益率_1年!F292</f>
        <v>-0.00809999999999977</v>
      </c>
      <c r="G294">
        <f>-中国_中债国债到期收益率_1年!G293+中国_中债国债到期收益率_1年!G292</f>
        <v>-0.0186999999999999</v>
      </c>
    </row>
    <row r="295" spans="1:7">
      <c r="A295" s="7">
        <v>45139</v>
      </c>
      <c r="B295">
        <f>-中国_中债国债到期收益率_1年!B294+中国_中债国债到期收益率_1年!B293</f>
        <v>0.00790000000000002</v>
      </c>
      <c r="C295">
        <f>-中国_中债国债到期收益率_1年!C294+中国_中债国债到期收益率_1年!C293</f>
        <v>-0.0134000000000003</v>
      </c>
      <c r="D295">
        <f>-中国_中债国债到期收益率_1年!D294+中国_中债国债到期收益率_1年!D293</f>
        <v>-0.00639999999999974</v>
      </c>
      <c r="E295">
        <f>-中国_中债国债到期收益率_1年!E294+中国_中债国债到期收益率_1年!E293</f>
        <v>-0.00419999999999998</v>
      </c>
      <c r="F295">
        <f>-中国_中债国债到期收益率_1年!F294+中国_中债国债到期收益率_1年!F293</f>
        <v>-0.0145</v>
      </c>
      <c r="G295">
        <f>-中国_中债国债到期收益率_1年!G294+中国_中债国债到期收益率_1年!G293</f>
        <v>-0.0272999999999999</v>
      </c>
    </row>
    <row r="296" spans="1:7">
      <c r="A296" s="7">
        <v>45140</v>
      </c>
      <c r="B296">
        <f>-中国_中债国债到期收益率_1年!B295+中国_中债国债到期收益率_1年!B294</f>
        <v>0.0351000000000001</v>
      </c>
      <c r="C296">
        <f>-中国_中债国债到期收益率_1年!C295+中国_中债国债到期收益率_1年!C294</f>
        <v>-0.00550000000000006</v>
      </c>
      <c r="D296">
        <f>-中国_中债国债到期收益率_1年!D295+中国_中债国债到期收益率_1年!D294</f>
        <v>-0.00099999999999989</v>
      </c>
      <c r="E296">
        <f>-中国_中债国债到期收益率_1年!E295+中国_中债国债到期收益率_1年!E294</f>
        <v>-0.00159999999999982</v>
      </c>
      <c r="F296">
        <f>-中国_中债国债到期收益率_1年!F295+中国_中债国债到期收益率_1年!F294</f>
        <v>0.0192999999999999</v>
      </c>
      <c r="G296">
        <f>-中国_中债国债到期收益率_1年!G295+中国_中债国债到期收益率_1年!G294</f>
        <v>0.0207000000000002</v>
      </c>
    </row>
    <row r="297" spans="1:7">
      <c r="A297" s="7">
        <v>45141</v>
      </c>
      <c r="B297">
        <f>-中国_中债国债到期收益率_1年!B296+中国_中债国债到期收益率_1年!B295</f>
        <v>0.00879999999999992</v>
      </c>
      <c r="C297">
        <f>-中国_中债国债到期收益率_1年!C296+中国_中债国债到期收益率_1年!C295</f>
        <v>0.00730000000000031</v>
      </c>
      <c r="D297">
        <f>-中国_中债国债到期收益率_1年!D296+中国_中债国债到期收益率_1年!D295</f>
        <v>0.00819999999999999</v>
      </c>
      <c r="E297">
        <f>-中国_中债国债到期收益率_1年!E296+中国_中债国债到期收益率_1年!E295</f>
        <v>0.0129999999999999</v>
      </c>
      <c r="F297">
        <f>-中国_中债国债到期收益率_1年!F296+中国_中债国债到期收益率_1年!F295</f>
        <v>0.00620000000000021</v>
      </c>
      <c r="G297">
        <f>-中国_中债国债到期收益率_1年!G296+中国_中债国债到期收益率_1年!G295</f>
        <v>0.00329999999999986</v>
      </c>
    </row>
    <row r="298" spans="1:7">
      <c r="A298" s="7">
        <v>45142</v>
      </c>
      <c r="B298">
        <f>-中国_中债国债到期收益率_1年!B297+中国_中债国债到期收益率_1年!B296</f>
        <v>0.0242</v>
      </c>
      <c r="C298">
        <f>-中国_中债国债到期收益率_1年!C297+中国_中债国债到期收益率_1年!C296</f>
        <v>0.0272000000000001</v>
      </c>
      <c r="D298">
        <f>-中国_中债国债到期收益率_1年!D297+中国_中债国债到期收益率_1年!D296</f>
        <v>0.0089999999999999</v>
      </c>
      <c r="E298">
        <f>-中国_中债国债到期收益率_1年!E297+中国_中债国债到期收益率_1年!E296</f>
        <v>0.00619999999999976</v>
      </c>
      <c r="F298">
        <f>-中国_中债国债到期收益率_1年!F297+中国_中债国债到期收益率_1年!F296</f>
        <v>0.0266999999999999</v>
      </c>
      <c r="G298">
        <f>-中国_中债国债到期收益率_1年!G297+中国_中债国债到期收益率_1年!G296</f>
        <v>0.0274000000000001</v>
      </c>
    </row>
    <row r="299" spans="1:7">
      <c r="A299" s="7">
        <v>45145</v>
      </c>
      <c r="B299">
        <f>-中国_中债国债到期收益率_1年!B298+中国_中债国债到期收益率_1年!B297</f>
        <v>-0.00900000000000012</v>
      </c>
      <c r="C299">
        <f>-中国_中债国债到期收益率_1年!C298+中国_中债国债到期收益率_1年!C297</f>
        <v>-0.00260000000000016</v>
      </c>
      <c r="D299">
        <f>-中国_中债国债到期收益率_1年!D298+中国_中债国债到期收益率_1年!D297</f>
        <v>-0.00340000000000007</v>
      </c>
      <c r="E299">
        <f>-中国_中债国债到期收益率_1年!E298+中国_中债国债到期收益率_1年!E297</f>
        <v>0</v>
      </c>
      <c r="F299">
        <f>-中国_中债国债到期收益率_1年!F298+中国_中债国债到期收益率_1年!F297</f>
        <v>0.0145</v>
      </c>
      <c r="G299">
        <f>-中国_中债国债到期收益率_1年!G298+中国_中债国债到期收益率_1年!G297</f>
        <v>0.00479999999999992</v>
      </c>
    </row>
    <row r="300" spans="1:7">
      <c r="A300" s="7">
        <v>45146</v>
      </c>
      <c r="B300">
        <f>-中国_中债国债到期收益率_1年!B299+中国_中债国债到期收益率_1年!B298</f>
        <v>-0.00879999999999992</v>
      </c>
      <c r="C300">
        <f>-中国_中债国债到期收益率_1年!C299+中国_中债国债到期收益率_1年!C298</f>
        <v>0.00209999999999999</v>
      </c>
      <c r="D300">
        <f>-中国_中债国债到期收益率_1年!D299+中国_中债国债到期收益率_1年!D298</f>
        <v>0.000700000000000145</v>
      </c>
      <c r="E300">
        <f>-中国_中债国债到期收益率_1年!E299+中国_中债国债到期收益率_1年!E298</f>
        <v>0.00229999999999997</v>
      </c>
      <c r="F300">
        <f>-中国_中债国债到期收益率_1年!F299+中国_中债国债到期收益率_1年!F298</f>
        <v>-0.0194000000000001</v>
      </c>
      <c r="G300">
        <f>-中国_中债国债到期收益率_1年!G299+中国_中债国债到期收益率_1年!G298</f>
        <v>0.004</v>
      </c>
    </row>
    <row r="301" spans="1:7">
      <c r="A301" s="7">
        <v>45147</v>
      </c>
      <c r="B301">
        <f>-中国_中债国债到期收益率_1年!B300+中国_中债国债到期收益率_1年!B299</f>
        <v>-0.0197000000000001</v>
      </c>
      <c r="C301">
        <f>-中国_中债国债到期收益率_1年!C300+中国_中债国债到期收益率_1年!C299</f>
        <v>0.00479999999999992</v>
      </c>
      <c r="D301">
        <f>-中国_中债国债到期收益率_1年!D300+中国_中债国债到期收益率_1年!D299</f>
        <v>0.000799999999999912</v>
      </c>
      <c r="E301">
        <f>-中国_中债国债到期收益率_1年!E300+中国_中债国债到期收益率_1年!E299</f>
        <v>0.00250000000000039</v>
      </c>
      <c r="F301">
        <f>-中国_中债国债到期收益率_1年!F300+中国_中债国债到期收益率_1年!F299</f>
        <v>0.0122</v>
      </c>
      <c r="G301">
        <f>-中国_中债国债到期收益率_1年!G300+中国_中债国债到期收益率_1年!G299</f>
        <v>0.00150000000000006</v>
      </c>
    </row>
    <row r="302" spans="1:7">
      <c r="A302" s="7">
        <v>45148</v>
      </c>
      <c r="B302">
        <f>-中国_中债国债到期收益率_1年!B301+中国_中债国债到期收益率_1年!B300</f>
        <v>-0.0296999999999998</v>
      </c>
      <c r="C302">
        <f>-中国_中债国债到期收益率_1年!C301+中国_中债国债到期收益率_1年!C300</f>
        <v>-0.00260000000000016</v>
      </c>
      <c r="D302">
        <f>-中国_中债国债到期收益率_1年!D301+中国_中债国债到期收益率_1年!D300</f>
        <v>-0.000700000000000145</v>
      </c>
      <c r="E302">
        <f>-中国_中债国债到期收益率_1年!E301+中国_中债国债到期收益率_1年!E300</f>
        <v>-0.00170000000000003</v>
      </c>
      <c r="F302">
        <f>-中国_中债国债到期收益率_1年!F301+中国_中债国债到期收益率_1年!F300</f>
        <v>-0.00360000000000005</v>
      </c>
      <c r="G302">
        <f>-中国_中债国债到期收益率_1年!G301+中国_中债国债到期收益率_1年!G300</f>
        <v>0.00809999999999977</v>
      </c>
    </row>
    <row r="303" spans="1:7">
      <c r="A303" s="7">
        <v>45149</v>
      </c>
      <c r="B303">
        <f>-中国_中债国债到期收益率_1年!B302+中国_中债国债到期收益率_1年!B301</f>
        <v>-0.0172000000000001</v>
      </c>
      <c r="C303">
        <f>-中国_中债国债到期收益率_1年!C302+中国_中债国债到期收益率_1年!C301</f>
        <v>-0.00529999999999964</v>
      </c>
      <c r="D303">
        <f>-中国_中债国债到期收益率_1年!D302+中国_中债国债到期收益率_1年!D301</f>
        <v>-0.00139999999999985</v>
      </c>
      <c r="E303">
        <f>-中国_中债国债到期收益率_1年!E302+中国_中债国债到期收益率_1年!E301</f>
        <v>-0.00240000000000018</v>
      </c>
      <c r="F303">
        <f>-中国_中债国债到期收益率_1年!F302+中国_中债国债到期收益率_1年!F301</f>
        <v>-0.000199999999999978</v>
      </c>
      <c r="G303">
        <f>-中国_中债国债到期收益率_1年!G302+中国_中债国债到期收益率_1年!G301</f>
        <v>-0.00709999999999988</v>
      </c>
    </row>
    <row r="304" spans="1:7">
      <c r="A304" s="7">
        <v>45152</v>
      </c>
      <c r="B304">
        <f>-中国_中债国债到期收益率_1年!B303+中国_中债国债到期收益率_1年!B302</f>
        <v>-0.004</v>
      </c>
      <c r="C304">
        <f>-中国_中债国债到期收益率_1年!C303+中国_中债国债到期收益率_1年!C302</f>
        <v>0.00739999999999963</v>
      </c>
      <c r="D304">
        <f>-中国_中债国债到期收益率_1年!D303+中国_中债国债到期收益率_1年!D302</f>
        <v>0.00939999999999985</v>
      </c>
      <c r="E304">
        <f>-中国_中债国债到期收益率_1年!E303+中国_中债国债到期收益率_1年!E302</f>
        <v>0.00700000000000012</v>
      </c>
      <c r="F304">
        <f>-中国_中债国债到期收益率_1年!F303+中国_中债国债到期收益率_1年!F302</f>
        <v>0.0137</v>
      </c>
      <c r="G304">
        <f>-中国_中债国债到期收益率_1年!G303+中国_中债国债到期收益率_1年!G302</f>
        <v>0.012</v>
      </c>
    </row>
    <row r="305" spans="1:7">
      <c r="A305" s="7">
        <v>45153</v>
      </c>
      <c r="B305">
        <f>-中国_中债国债到期收益率_1年!B304+中国_中债国债到期收益率_1年!B303</f>
        <v>0.0148999999999999</v>
      </c>
      <c r="C305">
        <f>-中国_中债国债到期收益率_1年!C304+中国_中债国债到期收益率_1年!C303</f>
        <v>0.0168000000000004</v>
      </c>
      <c r="D305">
        <f>-中国_中债国债到期收益率_1年!D304+中国_中债国债到期收益率_1年!D303</f>
        <v>0.0169000000000001</v>
      </c>
      <c r="E305">
        <f>-中国_中债国债到期收益率_1年!E304+中国_中债国债到期收益率_1年!E303</f>
        <v>0.0139999999999998</v>
      </c>
      <c r="F305">
        <f>-中国_中债国债到期收益率_1年!F304+中国_中债国债到期收益率_1年!F303</f>
        <v>0.0235000000000001</v>
      </c>
      <c r="G305">
        <f>-中国_中债国债到期收益率_1年!G304+中国_中债国债到期收益率_1年!G303</f>
        <v>0.0413000000000001</v>
      </c>
    </row>
    <row r="306" spans="1:7">
      <c r="A306" s="7">
        <v>45154</v>
      </c>
      <c r="B306">
        <f>-中国_中债国债到期收益率_1年!B305+中国_中债国债到期收益率_1年!B304</f>
        <v>-0.00889999999999991</v>
      </c>
      <c r="C306">
        <f>-中国_中债国债到期收益率_1年!C305+中国_中债国债到期收益率_1年!C304</f>
        <v>0.0275999999999996</v>
      </c>
      <c r="D306">
        <f>-中国_中债国债到期收益率_1年!D305+中国_中债国债到期收益率_1年!D304</f>
        <v>0.0453000000000001</v>
      </c>
      <c r="E306">
        <f>-中国_中债国债到期收益率_1年!E305+中国_中债国债到期收益率_1年!E304</f>
        <v>0.0367999999999999</v>
      </c>
      <c r="F306">
        <f>-中国_中债国债到期收益率_1年!F305+中国_中债国债到期收益率_1年!F304</f>
        <v>0.0416999999999998</v>
      </c>
      <c r="G306">
        <f>-中国_中债国债到期收益率_1年!G305+中国_中债国债到期收益率_1年!G304</f>
        <v>0.0667999999999997</v>
      </c>
    </row>
    <row r="307" spans="1:7">
      <c r="A307" s="7">
        <v>45155</v>
      </c>
      <c r="B307">
        <f>-中国_中债国债到期收益率_1年!B306+中国_中债国债到期收益率_1年!B305</f>
        <v>-0.0129999999999999</v>
      </c>
      <c r="C307">
        <f>-中国_中债国债到期收益率_1年!C306+中国_中债国债到期收益率_1年!C305</f>
        <v>0.0122</v>
      </c>
      <c r="D307">
        <f>-中国_中债国债到期收益率_1年!D306+中国_中债国债到期收益率_1年!D305</f>
        <v>0.0109999999999997</v>
      </c>
      <c r="E307">
        <f>-中国_中债国债到期收益率_1年!E306+中国_中债国债到期收益率_1年!E305</f>
        <v>0.0083000000000002</v>
      </c>
      <c r="F307">
        <f>-中国_中债国债到期收益率_1年!F306+中国_中债国债到期收益率_1年!F305</f>
        <v>-0.000499999999999945</v>
      </c>
      <c r="G307">
        <f>-中国_中债国债到期收益率_1年!G306+中国_中债国债到期收益率_1年!G305</f>
        <v>0.000399999999999956</v>
      </c>
    </row>
    <row r="308" spans="1:7">
      <c r="A308" s="7">
        <v>45156</v>
      </c>
      <c r="B308">
        <f>-中国_中债国债到期收益率_1年!B307+中国_中债国债到期收益率_1年!B306</f>
        <v>-0.00219999999999998</v>
      </c>
      <c r="C308">
        <f>-中国_中债国债到期收益率_1年!C307+中国_中债国债到期收益率_1年!C306</f>
        <v>-0.00529999999999964</v>
      </c>
      <c r="D308">
        <f>-中国_中债国债到期收益率_1年!D307+中国_中债国债到期收益率_1年!D306</f>
        <v>-0.0028999999999999</v>
      </c>
      <c r="E308">
        <f>-中国_中债国债到期收益率_1年!E307+中国_中债国债到期收益率_1年!E306</f>
        <v>-0.00260000000000016</v>
      </c>
      <c r="F308">
        <f>-中国_中债国债到期收益率_1年!F307+中国_中债国债到期收益率_1年!F306</f>
        <v>-0.00360000000000005</v>
      </c>
      <c r="G308">
        <f>-中国_中债国债到期收益率_1年!G307+中国_中债国债到期收益率_1年!G306</f>
        <v>-0.0108999999999999</v>
      </c>
    </row>
    <row r="309" spans="1:7">
      <c r="A309" s="7">
        <v>45159</v>
      </c>
      <c r="B309">
        <f>-中国_中债国债到期收益率_1年!B308+中国_中债国债到期收益率_1年!B307</f>
        <v>0.00739999999999985</v>
      </c>
      <c r="C309">
        <f>-中国_中债国债到期收益率_1年!C308+中国_中债国债到期收益率_1年!C307</f>
        <v>0.00459999999999994</v>
      </c>
      <c r="D309">
        <f>-中国_中债国债到期收益率_1年!D308+中国_中债国债到期收益率_1年!D307</f>
        <v>0.00390000000000024</v>
      </c>
      <c r="E309">
        <f>-中国_中债国债到期收益率_1年!E308+中国_中债国债到期收益率_1年!E307</f>
        <v>0.00600000000000023</v>
      </c>
      <c r="F309">
        <f>-中国_中债国债到期收益率_1年!F308+中国_中债国债到期收益率_1年!F307</f>
        <v>0.0117</v>
      </c>
      <c r="G309">
        <f>-中国_中债国债到期收益率_1年!G308+中国_中债国债到期收益率_1年!G307</f>
        <v>0.0171000000000001</v>
      </c>
    </row>
    <row r="310" spans="1:7">
      <c r="A310" s="7">
        <v>45160</v>
      </c>
      <c r="B310">
        <f>-中国_中债国债到期收益率_1年!B309+中国_中债国债到期收益率_1年!B308</f>
        <v>-0.0382</v>
      </c>
      <c r="C310">
        <f>-中国_中债国债到期收益率_1年!C309+中国_中债国债到期收益率_1年!C308</f>
        <v>0.0200999999999998</v>
      </c>
      <c r="D310">
        <f>-中国_中债国债到期收益率_1年!D309+中国_中债国债到期收益率_1年!D308</f>
        <v>0.0236000000000001</v>
      </c>
      <c r="E310">
        <f>-中国_中债国债到期收益率_1年!E309+中国_中债国债到期收益率_1年!E308</f>
        <v>0.0330999999999997</v>
      </c>
      <c r="F310">
        <f>-中国_中债国债到期收益率_1年!F309+中国_中债国债到期收益率_1年!F308</f>
        <v>0.0130000000000001</v>
      </c>
      <c r="G310">
        <f>-中国_中债国债到期收益率_1年!G309+中国_中债国债到期收益率_1年!G308</f>
        <v>0.0327999999999999</v>
      </c>
    </row>
    <row r="311" spans="1:7">
      <c r="A311" s="7">
        <v>45161</v>
      </c>
      <c r="B311">
        <f>-中国_中债国债到期收益率_1年!B310+中国_中债国债到期收益率_1年!B309</f>
        <v>-0.0285</v>
      </c>
      <c r="C311">
        <f>-中国_中债国债到期收益率_1年!C310+中国_中债国债到期收益率_1年!C309</f>
        <v>-0.0179999999999998</v>
      </c>
      <c r="D311">
        <f>-中国_中债国债到期收益率_1年!D310+中国_中债国债到期收益率_1年!D309</f>
        <v>-0.0161000000000002</v>
      </c>
      <c r="E311">
        <f>-中国_中债国债到期收益率_1年!E310+中国_中债国债到期收益率_1年!E309</f>
        <v>-0.00439999999999996</v>
      </c>
      <c r="F311">
        <f>-中国_中债国债到期收益率_1年!F310+中国_中债国债到期收益率_1年!F309</f>
        <v>-0.0154000000000001</v>
      </c>
      <c r="G311">
        <f>-中国_中债国债到期收益率_1年!G310+中国_中债国债到期收益率_1年!G309</f>
        <v>-0.016</v>
      </c>
    </row>
    <row r="312" spans="1:7">
      <c r="A312" s="7">
        <v>45162</v>
      </c>
      <c r="B312">
        <f>-中国_中债国债到期收益率_1年!B311+中国_中债国债到期收益率_1年!B310</f>
        <v>0.00259999999999994</v>
      </c>
      <c r="C312">
        <f>-中国_中债国债到期收益率_1年!C311+中国_中债国债到期收益率_1年!C310</f>
        <v>-0.0028999999999999</v>
      </c>
      <c r="D312">
        <f>-中国_中债国债到期收益率_1年!D311+中国_中债国债到期收益率_1年!D310</f>
        <v>0.0028999999999999</v>
      </c>
      <c r="E312">
        <f>-中国_中债国债到期收益率_1年!E311+中国_中债国债到期收益率_1年!E310</f>
        <v>0.0104000000000002</v>
      </c>
      <c r="F312">
        <f>-中国_中债国债到期收益率_1年!F311+中国_中债国债到期收益率_1年!F310</f>
        <v>-0.00160000000000005</v>
      </c>
      <c r="G312">
        <f>-中国_中债国债到期收益率_1年!G311+中国_中债国债到期收益率_1年!G310</f>
        <v>-0.0127999999999999</v>
      </c>
    </row>
    <row r="313" spans="1:7">
      <c r="A313" s="7">
        <v>45163</v>
      </c>
      <c r="B313">
        <f>-中国_中债国债到期收益率_1年!B312+中国_中债国债到期收益率_1年!B311</f>
        <v>0.0192000000000001</v>
      </c>
      <c r="C313">
        <f>-中国_中债国债到期收益率_1年!C312+中国_中债国债到期收益率_1年!C311</f>
        <v>0.00119999999999987</v>
      </c>
      <c r="D313">
        <f>-中国_中债国债到期收益率_1年!D312+中国_中债国债到期收益率_1年!D311</f>
        <v>-0.000799999999999912</v>
      </c>
      <c r="E313">
        <f>-中国_中债国债到期收益率_1年!E312+中国_中债国债到期收益率_1年!E311</f>
        <v>0.00219999999999976</v>
      </c>
      <c r="F313">
        <f>-中国_中债国债到期收益率_1年!F312+中国_中债国债到期收益率_1年!F311</f>
        <v>0.0127000000000002</v>
      </c>
      <c r="G313">
        <f>-中国_中债国债到期收益率_1年!G312+中国_中债国债到期收益率_1年!G311</f>
        <v>0.0089999999999999</v>
      </c>
    </row>
    <row r="314" spans="1:7">
      <c r="A314" s="7">
        <v>45166</v>
      </c>
      <c r="B314">
        <f>-中国_中债国债到期收益率_1年!B313+中国_中债国债到期收益率_1年!B312</f>
        <v>-0.0179</v>
      </c>
      <c r="C314">
        <f>-中国_中债国债到期收益率_1年!C313+中国_中债国债到期收益率_1年!C312</f>
        <v>-0.0224000000000002</v>
      </c>
      <c r="D314">
        <f>-中国_中债国债到期收益率_1年!D313+中国_中债国债到期收益率_1年!D312</f>
        <v>-0.0158999999999998</v>
      </c>
      <c r="E314">
        <f>-中国_中债国债到期收益率_1年!E313+中国_中债国债到期收益率_1年!E312</f>
        <v>-0.00649999999999995</v>
      </c>
      <c r="F314">
        <f>-中国_中债国债到期收益率_1年!F313+中国_中债国债到期收益率_1年!F312</f>
        <v>-0.0219</v>
      </c>
      <c r="G314">
        <f>-中国_中债国债到期收益率_1年!G313+中国_中债国债到期收益率_1年!G312</f>
        <v>-0.0173000000000001</v>
      </c>
    </row>
    <row r="315" spans="1:7">
      <c r="A315" s="7">
        <v>45167</v>
      </c>
      <c r="B315">
        <f>-中国_中债国债到期收益率_1年!B314+中国_中债国债到期收益率_1年!B313</f>
        <v>-0.0294000000000001</v>
      </c>
      <c r="C315">
        <f>-中国_中债国债到期收益率_1年!C314+中国_中债国债到期收益率_1年!C313</f>
        <v>-0.0198</v>
      </c>
      <c r="D315">
        <f>-中国_中债国债到期收益率_1年!D314+中国_中债国债到期收益率_1年!D313</f>
        <v>-0.0135000000000001</v>
      </c>
      <c r="E315">
        <f>-中国_中债国债到期收益率_1年!E314+中国_中债国债到期收益率_1年!E313</f>
        <v>-0.00780000000000003</v>
      </c>
      <c r="F315">
        <f>-中国_中债国债到期收益率_1年!F314+中国_中债国债到期收益率_1年!F313</f>
        <v>-0.0241</v>
      </c>
      <c r="G315">
        <f>-中国_中债国债到期收益率_1年!G314+中国_中债国债到期收益率_1年!G313</f>
        <v>-0.0383999999999998</v>
      </c>
    </row>
    <row r="316" spans="1:7">
      <c r="A316" s="7">
        <v>45168</v>
      </c>
      <c r="B316">
        <f>-中国_中债国债到期收益率_1年!B315+中国_中债国债到期收益率_1年!B314</f>
        <v>-0.0656999999999999</v>
      </c>
      <c r="C316">
        <f>-中国_中债国债到期收益率_1年!C315+中国_中债国债到期收益率_1年!C314</f>
        <v>-0.0127999999999999</v>
      </c>
      <c r="D316">
        <f>-中国_中债国债到期收益率_1年!D315+中国_中债国债到期收益率_1年!D314</f>
        <v>0.0137</v>
      </c>
      <c r="E316">
        <f>-中国_中债国债到期收益率_1年!E315+中国_中债国债到期收益率_1年!E314</f>
        <v>-0.00509999999999966</v>
      </c>
      <c r="F316">
        <f>-中国_中债国债到期收益率_1年!F315+中国_中债国债到期收益率_1年!F314</f>
        <v>-0.00580000000000003</v>
      </c>
      <c r="G316">
        <f>-中国_中债国债到期收益率_1年!G315+中国_中债国债到期收益率_1年!G314</f>
        <v>0.0028999999999999</v>
      </c>
    </row>
    <row r="317" spans="1:7">
      <c r="A317" s="7">
        <v>45169</v>
      </c>
      <c r="B317">
        <f>-中国_中债国债到期收益率_1年!B316+中国_中债国债到期收益率_1年!B315</f>
        <v>0.0509999999999999</v>
      </c>
      <c r="C317">
        <f>-中国_中债国债到期收益率_1年!C316+中国_中债国债到期收益率_1年!C315</f>
        <v>0.0214000000000003</v>
      </c>
      <c r="D317">
        <f>-中国_中债国债到期收益率_1年!D316+中国_中债国债到期收益率_1年!D315</f>
        <v>0.00999999999999979</v>
      </c>
      <c r="E317">
        <f>-中国_中债国债到期收益率_1年!E316+中国_中债国债到期收益率_1年!E315</f>
        <v>-0.00200000000000022</v>
      </c>
      <c r="F317">
        <f>-中国_中债国债到期收益率_1年!F316+中国_中债国债到期收益率_1年!F315</f>
        <v>0.00659999999999994</v>
      </c>
      <c r="G317">
        <f>-中国_中债国债到期收益率_1年!G316+中国_中债国债到期收益率_1年!G315</f>
        <v>0.0114000000000001</v>
      </c>
    </row>
    <row r="318" spans="1:7">
      <c r="A318" s="7">
        <v>45170</v>
      </c>
      <c r="B318">
        <f>-中国_中债国债到期收益率_1年!B317+中国_中债国债到期收益率_1年!B316</f>
        <v>0.0341</v>
      </c>
      <c r="C318">
        <f>-中国_中债国债到期收益率_1年!C317+中国_中债国债到期收益率_1年!C316</f>
        <v>-0.000700000000000145</v>
      </c>
      <c r="D318">
        <f>-中国_中债国债到期收益率_1年!D317+中国_中债国债到期收益率_1年!D316</f>
        <v>0.00249999999999995</v>
      </c>
      <c r="E318">
        <f>-中国_中债国债到期收益率_1年!E317+中国_中债国债到期收益率_1年!E316</f>
        <v>-9.99999999997669e-5</v>
      </c>
      <c r="F318">
        <f>-中国_中债国债到期收益率_1年!F317+中国_中债国债到期收益率_1年!F316</f>
        <v>0.00350000000000006</v>
      </c>
      <c r="G318">
        <f>-中国_中债国债到期收益率_1年!G317+中国_中债国债到期收益率_1年!G316</f>
        <v>0.00470000000000015</v>
      </c>
    </row>
    <row r="319" spans="1:7">
      <c r="A319" s="7">
        <v>45173</v>
      </c>
      <c r="B319">
        <f>-中国_中债国债到期收益率_1年!B318+中国_中债国债到期收益率_1年!B317</f>
        <v>-0.0527</v>
      </c>
      <c r="C319">
        <f>-中国_中债国债到期收益率_1年!C318+中国_中债国债到期收益率_1年!C317</f>
        <v>-0.0386000000000002</v>
      </c>
      <c r="D319">
        <f>-中国_中债国债到期收益率_1年!D318+中国_中债国债到期收益率_1年!D317</f>
        <v>-0.0274999999999999</v>
      </c>
      <c r="E319">
        <f>-中国_中债国债到期收益率_1年!E318+中国_中债国债到期收益率_1年!E317</f>
        <v>-0.0253000000000001</v>
      </c>
      <c r="F319">
        <f>-中国_中债国债到期收益率_1年!F318+中国_中债国债到期收益率_1年!F317</f>
        <v>-0.0191000000000001</v>
      </c>
      <c r="G319">
        <f>-中国_中债国债到期收益率_1年!G318+中国_中债国债到期收益率_1年!G317</f>
        <v>-0.0406</v>
      </c>
    </row>
    <row r="320" spans="1:7">
      <c r="A320" s="7">
        <v>45174</v>
      </c>
      <c r="B320">
        <f>-中国_中债国债到期收益率_1年!B319+中国_中债国债到期收益率_1年!B318</f>
        <v>-0.0244</v>
      </c>
      <c r="C320">
        <f>-中国_中债国债到期收益率_1年!C319+中国_中债国债到期收益率_1年!C318</f>
        <v>-0.0308999999999999</v>
      </c>
      <c r="D320">
        <f>-中国_中债国债到期收益率_1年!D319+中国_中债国债到期收益率_1年!D318</f>
        <v>-0.0274000000000001</v>
      </c>
      <c r="E320">
        <f>-中国_中债国债到期收益率_1年!E319+中国_中债国债到期收益率_1年!E318</f>
        <v>-0.0331000000000001</v>
      </c>
      <c r="F320">
        <f>-中国_中债国债到期收益率_1年!F319+中国_中债国债到期收益率_1年!F318</f>
        <v>-0.0232999999999999</v>
      </c>
      <c r="G320">
        <f>-中国_中债国债到期收益率_1年!G319+中国_中债国债到期收益率_1年!G318</f>
        <v>-0.0451000000000001</v>
      </c>
    </row>
    <row r="321" spans="1:7">
      <c r="A321" s="7">
        <v>45175</v>
      </c>
      <c r="B321">
        <f>-中国_中债国债到期收益率_1年!B320+中国_中债国债到期收益率_1年!B319</f>
        <v>-0.0106999999999999</v>
      </c>
      <c r="C321">
        <f>-中国_中债国债到期收益率_1年!C320+中国_中债国债到期收益率_1年!C319</f>
        <v>-0.000599999999999934</v>
      </c>
      <c r="D321">
        <f>-中国_中债国债到期收益率_1年!D320+中国_中债国债到期收益率_1年!D319</f>
        <v>-0.00260000000000016</v>
      </c>
      <c r="E321">
        <f>-中国_中债国债到期收益率_1年!E320+中国_中债国债到期收益率_1年!E319</f>
        <v>-0.00550000000000006</v>
      </c>
      <c r="F321">
        <f>-中国_中债国债到期收益率_1年!F320+中国_中债国债到期收益率_1年!F319</f>
        <v>0.002</v>
      </c>
      <c r="G321">
        <f>-中国_中债国债到期收益率_1年!G320+中国_中债国债到期收益率_1年!G319</f>
        <v>0.00780000000000003</v>
      </c>
    </row>
    <row r="322" spans="1:7">
      <c r="A322" s="7">
        <v>45176</v>
      </c>
      <c r="B322">
        <f>-中国_中债国债到期收益率_1年!B321+中国_中债国债到期收益率_1年!B320</f>
        <v>-0.0871999999999999</v>
      </c>
      <c r="C322">
        <f>-中国_中债国债到期收益率_1年!C321+中国_中债国债到期收益率_1年!C320</f>
        <v>-0.0341999999999998</v>
      </c>
      <c r="D322">
        <f>-中国_中债国债到期收益率_1年!D321+中国_中债国债到期收益率_1年!D320</f>
        <v>-0.0225</v>
      </c>
      <c r="E322">
        <f>-中国_中债国债到期收益率_1年!E321+中国_中债国债到期收益率_1年!E320</f>
        <v>-0.0202999999999998</v>
      </c>
      <c r="F322">
        <f>-中国_中债国债到期收益率_1年!F321+中国_中债国债到期收益率_1年!F320</f>
        <v>-0.0312999999999999</v>
      </c>
      <c r="G322">
        <f>-中国_中债国债到期收益率_1年!G321+中国_中债国债到期收益率_1年!G320</f>
        <v>-0.0293000000000001</v>
      </c>
    </row>
    <row r="323" spans="1:7">
      <c r="A323" s="7">
        <v>45177</v>
      </c>
      <c r="B323">
        <f>-中国_中债国债到期收益率_1年!B322+中国_中债国债到期收益率_1年!B321</f>
        <v>-0.00730000000000031</v>
      </c>
      <c r="C323">
        <f>-中国_中债国债到期收益率_1年!C322+中国_中债国债到期收益率_1年!C321</f>
        <v>0.00529999999999964</v>
      </c>
      <c r="D323">
        <f>-中国_中债国债到期收益率_1年!D322+中国_中债国债到期收益率_1年!D321</f>
        <v>0.00250000000000039</v>
      </c>
      <c r="E323">
        <f>-中国_中债国债到期收益率_1年!E322+中国_中债国债到期收益率_1年!E321</f>
        <v>0.00349999999999984</v>
      </c>
      <c r="F323">
        <f>-中国_中债国债到期收益率_1年!F322+中国_中债国债到期收益率_1年!F321</f>
        <v>-0.0397000000000003</v>
      </c>
      <c r="G323">
        <f>-中国_中债国债到期收益率_1年!G322+中国_中债国债到期收益率_1年!G321</f>
        <v>-0.0232000000000001</v>
      </c>
    </row>
    <row r="324" spans="1:7">
      <c r="A324" s="7">
        <v>45180</v>
      </c>
      <c r="B324">
        <f>-中国_中债国债到期收益率_1年!B323+中国_中债国债到期收益率_1年!B322</f>
        <v>-0.00780000000000003</v>
      </c>
      <c r="C324">
        <f>-中国_中债国债到期收益率_1年!C323+中国_中债国债到期收益率_1年!C322</f>
        <v>0.00560000000000027</v>
      </c>
      <c r="D324">
        <f>-中国_中债国债到期收益率_1年!D323+中国_中债国债到期收益率_1年!D322</f>
        <v>-0.00250000000000039</v>
      </c>
      <c r="E324">
        <f>-中国_中债国债到期收益率_1年!E323+中国_中债国债到期收益率_1年!E322</f>
        <v>-0.00150000000000006</v>
      </c>
      <c r="F324">
        <f>-中国_中债国债到期收益率_1年!F323+中国_中债国债到期收益率_1年!F322</f>
        <v>0.00120000000000031</v>
      </c>
      <c r="G324">
        <f>-中国_中债国债到期收益率_1年!G323+中国_中债国债到期收益率_1年!G322</f>
        <v>0.00200000000000022</v>
      </c>
    </row>
    <row r="325" spans="1:7">
      <c r="A325" s="7">
        <v>45181</v>
      </c>
      <c r="B325">
        <f>-中国_中债国债到期收益率_1年!B324+中国_中债国债到期收益率_1年!B323</f>
        <v>-0.04</v>
      </c>
      <c r="C325">
        <f>-中国_中债国债到期收益率_1年!C324+中国_中债国债到期收益率_1年!C323</f>
        <v>0</v>
      </c>
      <c r="D325">
        <f>-中国_中债国债到期收益率_1年!D324+中国_中债国债到期收益率_1年!D323</f>
        <v>0.00750000000000028</v>
      </c>
      <c r="E325">
        <f>-中国_中债国债到期收益率_1年!E324+中国_中债国债到期收益率_1年!E323</f>
        <v>0.00190000000000001</v>
      </c>
      <c r="F325">
        <f>-中国_中债国债到期收益率_1年!F324+中国_中债国债到期收益率_1年!F323</f>
        <v>-0.0227000000000004</v>
      </c>
      <c r="G325">
        <f>-中国_中债国债到期收益率_1年!G324+中国_中债国债到期收益率_1年!G323</f>
        <v>-0.00950000000000006</v>
      </c>
    </row>
    <row r="326" spans="1:7">
      <c r="A326" s="7">
        <v>45182</v>
      </c>
      <c r="B326">
        <f>-中国_中债国债到期收益率_1年!B325+中国_中债国债到期收益率_1年!B324</f>
        <v>0.0100000000000002</v>
      </c>
      <c r="C326">
        <f>-中国_中债国债到期收益率_1年!C325+中国_中债国债到期收益率_1年!C324</f>
        <v>0.0122</v>
      </c>
      <c r="D326">
        <f>-中国_中债国债到期收益率_1年!D325+中国_中债国债到期收益率_1年!D324</f>
        <v>0.00699999999999967</v>
      </c>
      <c r="E326">
        <f>-中国_中债国债到期收益率_1年!E325+中国_中债国债到期收益率_1年!E324</f>
        <v>0.000599999999999934</v>
      </c>
      <c r="F326">
        <f>-中国_中债国债到期收益率_1年!F325+中国_中债国债到期收益率_1年!F324</f>
        <v>0.0354000000000001</v>
      </c>
      <c r="G326">
        <f>-中国_中债国债到期收益率_1年!G325+中国_中债国债到期收益率_1年!G324</f>
        <v>0.0343999999999998</v>
      </c>
    </row>
    <row r="327" spans="1:7">
      <c r="A327" s="7">
        <v>45183</v>
      </c>
      <c r="B327">
        <f>-中国_中债国债到期收益率_1年!B326+中国_中债国债到期收益率_1年!B325</f>
        <v>0.0225</v>
      </c>
      <c r="C327">
        <f>-中国_中债国债到期收益率_1年!C326+中国_中债国债到期收益率_1年!C325</f>
        <v>0.0122999999999998</v>
      </c>
      <c r="D327">
        <f>-中国_中债国债到期收益率_1年!D326+中国_中债国债到期收益率_1年!D325</f>
        <v>0.00800000000000001</v>
      </c>
      <c r="E327">
        <f>-中国_中债国债到期收益率_1年!E326+中国_中债国债到期收益率_1年!E325</f>
        <v>0.00920000000000032</v>
      </c>
      <c r="F327">
        <f>-中国_中债国债到期收益率_1年!F326+中国_中债国债到期收益率_1年!F325</f>
        <v>0.0249000000000001</v>
      </c>
      <c r="G327">
        <f>-中国_中债国债到期收益率_1年!G326+中国_中债国债到期收益率_1年!G325</f>
        <v>0.0227000000000004</v>
      </c>
    </row>
    <row r="328" spans="1:7">
      <c r="A328" s="7">
        <v>45184</v>
      </c>
      <c r="B328">
        <f>-中国_中债国债到期收益率_1年!B327+中国_中债国债到期收益率_1年!B326</f>
        <v>0</v>
      </c>
      <c r="C328">
        <f>-中国_中债国债到期收益率_1年!C327+中国_中债国债到期收益率_1年!C326</f>
        <v>0.00649999999999995</v>
      </c>
      <c r="D328">
        <f>-中国_中债国债到期收益率_1年!D327+中国_中债国债到期收益率_1年!D326</f>
        <v>0.00750000000000028</v>
      </c>
      <c r="E328">
        <f>-中国_中债国债到期收益率_1年!E327+中国_中债国债到期收益率_1年!E326</f>
        <v>0.0186999999999999</v>
      </c>
      <c r="F328">
        <f>-中国_中债国债到期收益率_1年!F327+中国_中债国债到期收益率_1年!F326</f>
        <v>-0.00539999999999985</v>
      </c>
      <c r="G328">
        <f>-中国_中债国债到期收益率_1年!G327+中国_中债国债到期收益率_1年!G326</f>
        <v>0.00499999999999989</v>
      </c>
    </row>
    <row r="329" spans="1:7">
      <c r="A329" s="7">
        <v>45187</v>
      </c>
      <c r="B329">
        <f>-中国_中债国债到期收益率_1年!B328+中国_中债国债到期收益率_1年!B327</f>
        <v>-0.0299999999999998</v>
      </c>
      <c r="C329">
        <f>-中国_中债国债到期收益率_1年!C328+中国_中债国债到期收益率_1年!C327</f>
        <v>-0.0318999999999998</v>
      </c>
      <c r="D329">
        <f>-中国_中债国债到期收益率_1年!D328+中国_中债国债到期收益率_1年!D327</f>
        <v>-0.0325000000000002</v>
      </c>
      <c r="E329">
        <f>-中国_中债国债到期收益率_1年!E328+中国_中债国债到期收益率_1年!E327</f>
        <v>-0.0295000000000001</v>
      </c>
      <c r="F329">
        <f>-中国_中债国债到期收益率_1年!F328+中国_中债国债到期收益率_1年!F327</f>
        <v>0.00489999999999968</v>
      </c>
      <c r="G329">
        <f>-中国_中债国债到期收益率_1年!G328+中国_中债国债到期收益率_1年!G327</f>
        <v>-0.00819999999999999</v>
      </c>
    </row>
    <row r="330" spans="1:7">
      <c r="A330" s="7">
        <v>45188</v>
      </c>
      <c r="B330">
        <f>-中国_中债国债到期收益率_1年!B329+中国_中债国债到期收益率_1年!B328</f>
        <v>-0.04</v>
      </c>
      <c r="C330">
        <f>-中国_中债国债到期收益率_1年!C329+中国_中债国债到期收益率_1年!C328</f>
        <v>-0.0186999999999999</v>
      </c>
      <c r="D330">
        <f>-中国_中债国债到期收益率_1年!D329+中国_中债国债到期收益率_1年!D328</f>
        <v>-0.00999999999999979</v>
      </c>
      <c r="E330">
        <f>-中国_中债国债到期收益率_1年!E329+中国_中债国债到期收益率_1年!E328</f>
        <v>-0.000100000000000211</v>
      </c>
      <c r="F330">
        <f>-中国_中债国债到期收益率_1年!F329+中国_中债国债到期收益率_1年!F328</f>
        <v>-0.0415999999999999</v>
      </c>
      <c r="G330">
        <f>-中国_中债国债到期收益率_1年!G329+中国_中债国债到期收益率_1年!G328</f>
        <v>-0.0434999999999999</v>
      </c>
    </row>
    <row r="331" spans="1:7">
      <c r="A331" s="7">
        <v>45189</v>
      </c>
      <c r="B331">
        <f>-中国_中债国债到期收益率_1年!B330+中国_中债国债到期收益率_1年!B329</f>
        <v>-0.0150000000000001</v>
      </c>
      <c r="C331">
        <f>-中国_中债国债到期收益率_1年!C330+中国_中债国债到期收益率_1年!C329</f>
        <v>-0.0108000000000001</v>
      </c>
      <c r="D331">
        <f>-中国_中债国债到期收益率_1年!D330+中国_中债国债到期收益率_1年!D329</f>
        <v>-0.0125000000000002</v>
      </c>
      <c r="E331">
        <f>-中国_中债国债到期收益率_1年!E330+中国_中债国债到期收益率_1年!E329</f>
        <v>-0.00539999999999985</v>
      </c>
      <c r="F331">
        <f>-中国_中债国债到期收益率_1年!F330+中国_中债国债到期收益率_1年!F329</f>
        <v>-0.00919999999999987</v>
      </c>
      <c r="G331">
        <f>-中国_中债国债到期收益率_1年!G330+中国_中债国债到期收益率_1年!G329</f>
        <v>0.00800000000000001</v>
      </c>
    </row>
    <row r="332" spans="1:7">
      <c r="A332" s="7">
        <v>45190</v>
      </c>
      <c r="B332">
        <f>-中国_中债国债到期收益率_1年!B331+中国_中债国债到期收益率_1年!B330</f>
        <v>-0.02</v>
      </c>
      <c r="C332">
        <f>-中国_中债国债到期收益率_1年!C331+中国_中债国债到期收益率_1年!C330</f>
        <v>0.00229999999999997</v>
      </c>
      <c r="D332">
        <f>-中国_中债国债到期收益率_1年!D331+中国_中债国债到期收益率_1年!D330</f>
        <v>-0.00249999999999995</v>
      </c>
      <c r="E332">
        <f>-中国_中债国债到期收益率_1年!E331+中国_中债国债到期收益率_1年!E330</f>
        <v>-0.00239999999999974</v>
      </c>
      <c r="F332">
        <f>-中国_中债国债到期收益率_1年!F331+中国_中债国债到期收益率_1年!F330</f>
        <v>0.00329999999999986</v>
      </c>
      <c r="G332">
        <f>-中国_中债国债到期收益率_1年!G331+中国_中债国债到期收益率_1年!G330</f>
        <v>0.00209999999999999</v>
      </c>
    </row>
    <row r="333" spans="1:7">
      <c r="A333" s="7">
        <v>45191</v>
      </c>
      <c r="B333">
        <f>-中国_中债国债到期收益率_1年!B332+中国_中债国债到期收益率_1年!B331</f>
        <v>0.02</v>
      </c>
      <c r="C333">
        <f>-中国_中债国债到期收益率_1年!C332+中国_中债国债到期收益率_1年!C331</f>
        <v>0.0119000000000002</v>
      </c>
      <c r="D333">
        <f>-中国_中债国债到期收益率_1年!D332+中国_中债国债到期收益率_1年!D331</f>
        <v>0.00740000000000007</v>
      </c>
      <c r="E333">
        <f>-中国_中债国债到期收益率_1年!E332+中国_中债国债到期收益率_1年!E331</f>
        <v>0.0078999999999998</v>
      </c>
      <c r="F333">
        <f>-中国_中债国债到期收益率_1年!F332+中国_中债国债到期收益率_1年!F331</f>
        <v>0.0230999999999999</v>
      </c>
      <c r="G333">
        <f>-中国_中债国债到期收益率_1年!G332+中国_中债国债到期收益率_1年!G331</f>
        <v>0.0250999999999997</v>
      </c>
    </row>
    <row r="334" spans="1:7">
      <c r="A334" s="7">
        <v>45194</v>
      </c>
      <c r="B334">
        <f>-中国_中债国债到期收益率_1年!B333+中国_中债国债到期收益率_1年!B332</f>
        <v>-0.0100000000000002</v>
      </c>
      <c r="C334">
        <f>-中国_中债国债到期收益率_1年!C333+中国_中债国债到期收益率_1年!C332</f>
        <v>-0.0204</v>
      </c>
      <c r="D334">
        <f>-中国_中债国债到期收益率_1年!D333+中国_中债国债到期收益率_1年!D332</f>
        <v>-0.02</v>
      </c>
      <c r="E334">
        <f>-中国_中债国债到期收益率_1年!E333+中国_中债国债到期收益率_1年!E332</f>
        <v>-0.0131000000000001</v>
      </c>
      <c r="F334">
        <f>-中国_中债国债到期收益率_1年!F333+中国_中债国债到期收益率_1年!F332</f>
        <v>0.00459999999999994</v>
      </c>
      <c r="G334">
        <f>-中国_中债国债到期收益率_1年!G333+中国_中债国债到期收益率_1年!G332</f>
        <v>-0.0156999999999998</v>
      </c>
    </row>
    <row r="335" spans="1:7">
      <c r="A335" s="7">
        <v>45195</v>
      </c>
      <c r="B335">
        <f>-中国_中债国债到期收益率_1年!B334+中国_中债国债到期收益率_1年!B333</f>
        <v>-0.0149999999999997</v>
      </c>
      <c r="C335">
        <f>-中国_中债国债到期收益率_1年!C334+中国_中债国债到期收益率_1年!C333</f>
        <v>-0.0215000000000001</v>
      </c>
      <c r="D335">
        <f>-中国_中债国债到期收益率_1年!D334+中国_中债国债到期收益率_1年!D333</f>
        <v>-0.02</v>
      </c>
      <c r="E335">
        <f>-中国_中债国债到期收益率_1年!E334+中国_中债国债到期收益率_1年!E333</f>
        <v>-0.0147999999999997</v>
      </c>
      <c r="F335">
        <f>-中国_中债国债到期收益率_1年!F334+中国_中债国债到期收益率_1年!F333</f>
        <v>-0.0124</v>
      </c>
      <c r="G335">
        <f>-中国_中债国债到期收益率_1年!G334+中国_中债国债到期收益率_1年!G333</f>
        <v>-0.0101</v>
      </c>
    </row>
    <row r="336" spans="1:7">
      <c r="A336" s="7">
        <v>45196</v>
      </c>
      <c r="B336">
        <f>-中国_中债国债到期收益率_1年!B335+中国_中债国债到期收益率_1年!B334</f>
        <v>-0.02</v>
      </c>
      <c r="C336">
        <f>-中国_中债国债到期收益率_1年!C335+中国_中债国债到期收益率_1年!C334</f>
        <v>0.00199999999999978</v>
      </c>
      <c r="D336">
        <f>-中国_中债国债到期收益率_1年!D335+中国_中债国债到期收益率_1年!D334</f>
        <v>0.00249999999999995</v>
      </c>
      <c r="E336">
        <f>-中国_中债国债到期收益率_1年!E335+中国_中债国债到期收益率_1年!E334</f>
        <v>0.00509999999999966</v>
      </c>
      <c r="F336">
        <f>-中国_中债国债到期收益率_1年!F335+中国_中债国债到期收益率_1年!F334</f>
        <v>-0.0149999999999997</v>
      </c>
      <c r="G336">
        <f>-中国_中债国债到期收益率_1年!G335+中国_中债国债到期收益率_1年!G334</f>
        <v>-0.012</v>
      </c>
    </row>
    <row r="337" spans="1:7">
      <c r="A337" s="7">
        <v>45197</v>
      </c>
      <c r="B337">
        <f>-中国_中债国债到期收益率_1年!B336+中国_中债国债到期收益率_1年!B335</f>
        <v>0.0249999999999999</v>
      </c>
      <c r="C337">
        <f>-中国_中债国债到期收益率_1年!C336+中国_中债国债到期收益率_1年!C335</f>
        <v>0.0137</v>
      </c>
      <c r="D337">
        <f>-中国_中债国债到期收益率_1年!D336+中国_中债国债到期收益率_1年!D335</f>
        <v>0.00740000000000007</v>
      </c>
      <c r="E337">
        <f>-中国_中债国债到期收益率_1年!E336+中国_中债国债到期收益率_1年!E335</f>
        <v>-0.000199999999999978</v>
      </c>
      <c r="F337">
        <f>-中国_中债国债到期收益率_1年!F336+中国_中债国债到期收益率_1年!F335</f>
        <v>0.0242</v>
      </c>
      <c r="G337">
        <f>-中国_中债国债到期收益率_1年!G336+中国_中债国债到期收益率_1年!G335</f>
        <v>0.0125999999999999</v>
      </c>
    </row>
    <row r="338" spans="1:7">
      <c r="A338" s="7">
        <v>45206</v>
      </c>
      <c r="B338">
        <f>-中国_中债国债到期收益率_1年!B337+中国_中债国债到期收益率_1年!B336</f>
        <v>0.04</v>
      </c>
      <c r="C338">
        <f>-中国_中债国债到期收益率_1年!C337+中国_中债国债到期收益率_1年!C336</f>
        <v>0.00980000000000025</v>
      </c>
      <c r="D338">
        <f>-中国_中债国债到期收益率_1年!D337+中国_中债国债到期收益率_1年!D336</f>
        <v>0.0125999999999999</v>
      </c>
      <c r="E338">
        <f>-中国_中债国债到期收益率_1年!E337+中国_中债国债到期收益率_1年!E336</f>
        <v>0.00479999999999992</v>
      </c>
      <c r="F338">
        <f>-中国_中债国债到期收益率_1年!F337+中国_中债国债到期收益率_1年!F336</f>
        <v>0.0139</v>
      </c>
      <c r="G338">
        <f>-中国_中债国债到期收益率_1年!G337+中国_中债国债到期收益率_1年!G336</f>
        <v>0.0211000000000001</v>
      </c>
    </row>
    <row r="339" spans="1:7">
      <c r="A339" s="7">
        <v>45207</v>
      </c>
      <c r="B339">
        <f>-中国_中债国债到期收益率_1年!B338+中国_中债国债到期收益率_1年!B337</f>
        <v>0.02</v>
      </c>
      <c r="C339">
        <f>-中国_中债国债到期收益率_1年!C338+中国_中债国债到期收益率_1年!C337</f>
        <v>0.00809999999999977</v>
      </c>
      <c r="D339">
        <f>-中国_中债国债到期收益率_1年!D338+中国_中债国债到期收益率_1年!D337</f>
        <v>0.0100000000000002</v>
      </c>
      <c r="E339">
        <f>-中国_中债国债到期收益率_1年!E338+中国_中债国债到期收益率_1年!E337</f>
        <v>0.00960000000000027</v>
      </c>
      <c r="F339">
        <f>-中国_中债国债到期收益率_1年!F338+中国_中债国债到期收益率_1年!F337</f>
        <v>2.018</v>
      </c>
      <c r="G339">
        <f>-中国_中债国债到期收益率_1年!G338+中国_中债国债到期收益率_1年!G337</f>
        <v>2.4547</v>
      </c>
    </row>
    <row r="340" spans="1:7">
      <c r="A340" s="7">
        <v>45208</v>
      </c>
      <c r="B340">
        <f>-中国_中债国债到期收益率_1年!B339+中国_中债国债到期收益率_1年!B338</f>
        <v>0.00999999999999979</v>
      </c>
      <c r="C340">
        <f>-中国_中债国债到期收益率_1年!C339+中国_中债国债到期收益率_1年!C338</f>
        <v>-0.000299999999999745</v>
      </c>
      <c r="D340">
        <f>-中国_中债国债到期收益率_1年!D339+中国_中债国债到期收益率_1年!D338</f>
        <v>0.00249999999999995</v>
      </c>
      <c r="E340">
        <f>-中国_中债国债到期收益率_1年!E339+中国_中债国债到期收益率_1年!E338</f>
        <v>-0.0022000000000002</v>
      </c>
      <c r="F340">
        <f>-中国_中债国债到期收益率_1年!F339+中国_中债国债到期收益率_1年!F338</f>
        <v>0</v>
      </c>
      <c r="G340">
        <f>-中国_中债国债到期收益率_1年!G339+中国_中债国债到期收益率_1年!G338</f>
        <v>0</v>
      </c>
    </row>
    <row r="341" spans="1:7">
      <c r="A341" s="7">
        <v>45209</v>
      </c>
      <c r="B341">
        <f>-中国_中债国债到期收益率_1年!B340+中国_中债国债到期收益率_1年!B339</f>
        <v>-0.02</v>
      </c>
      <c r="C341">
        <f>-中国_中债国债到期收益率_1年!C340+中国_中债国债到期收益率_1年!C339</f>
        <v>-0.0174000000000003</v>
      </c>
      <c r="D341">
        <f>-中国_中债国债到期收益率_1年!D340+中国_中债国债到期收益率_1年!D339</f>
        <v>-0.00760000000000005</v>
      </c>
      <c r="E341">
        <f>-中国_中债国债到期收益率_1年!E340+中国_中债国债到期收益率_1年!E339</f>
        <v>-0.00419999999999998</v>
      </c>
      <c r="F341">
        <f>-中国_中债国债到期收益率_1年!F340+中国_中债国债到期收益率_1年!F339</f>
        <v>-2.0345</v>
      </c>
      <c r="G341">
        <f>-中国_中债国债到期收益率_1年!G340+中国_中债国债到期收益率_1年!G339</f>
        <v>-2.4585</v>
      </c>
    </row>
    <row r="342" spans="1:7">
      <c r="A342" s="7">
        <v>45210</v>
      </c>
      <c r="B342">
        <f>-中国_中债国债到期收益率_1年!B341+中国_中债国债到期收益率_1年!B340</f>
        <v>-0.04</v>
      </c>
      <c r="C342">
        <f>-中国_中债国债到期收益率_1年!C341+中国_中债国债到期收益率_1年!C340</f>
        <v>-0.0198</v>
      </c>
      <c r="D342">
        <f>-中国_中债国债到期收益率_1年!D341+中国_中债国债到期收益率_1年!D340</f>
        <v>-0.0108999999999999</v>
      </c>
      <c r="E342">
        <f>-中国_中债国债到期收益率_1年!E341+中国_中债国债到期收益率_1年!E340</f>
        <v>-0.0028999999999999</v>
      </c>
      <c r="F342">
        <f>-中国_中债国债到期收益率_1年!F341+中国_中债国债到期收益率_1年!F340</f>
        <v>-0.0270999999999999</v>
      </c>
      <c r="G342">
        <f>-中国_中债国债到期收益率_1年!G341+中国_中债国债到期收益率_1年!G340</f>
        <v>-0.0225</v>
      </c>
    </row>
    <row r="343" spans="1:7">
      <c r="A343" s="7">
        <v>45211</v>
      </c>
      <c r="B343">
        <f>-中国_中债国债到期收益率_1年!B342+中国_中债国债到期收益率_1年!B341</f>
        <v>-0.0399999999999996</v>
      </c>
      <c r="C343">
        <f>-中国_中债国债到期收益率_1年!C342+中国_中债国债到期收益率_1年!C341</f>
        <v>-0.0348999999999999</v>
      </c>
      <c r="D343">
        <f>-中国_中债国债到期收益率_1年!D342+中国_中债国债到期收益率_1年!D341</f>
        <v>-0.0165000000000002</v>
      </c>
      <c r="E343">
        <f>-中国_中债国债到期收益率_1年!E342+中国_中债国债到期收益率_1年!E341</f>
        <v>-0.0133999999999999</v>
      </c>
      <c r="F343">
        <f>-中国_中债国债到期收益率_1年!F342+中国_中债国债到期收益率_1年!F341</f>
        <v>-0.024</v>
      </c>
      <c r="G343">
        <f>-中国_中债国债到期收益率_1年!G342+中国_中债国债到期收益率_1年!G341</f>
        <v>-0.0275000000000003</v>
      </c>
    </row>
    <row r="344" spans="1:7">
      <c r="A344" s="7">
        <v>45212</v>
      </c>
      <c r="B344">
        <f>-中国_中债国债到期收益率_1年!B343+中国_中债国债到期收益率_1年!B342</f>
        <v>0.0399999999999996</v>
      </c>
      <c r="C344">
        <f>-中国_中债国债到期收益率_1年!C343+中国_中债国债到期收益率_1年!C342</f>
        <v>0.00960000000000027</v>
      </c>
      <c r="D344">
        <f>-中国_中债国债到期收益率_1年!D343+中国_中债国债到期收益率_1年!D342</f>
        <v>0.00649999999999995</v>
      </c>
      <c r="E344">
        <f>-中国_中债国债到期收益率_1年!E343+中国_中债国债到期收益率_1年!E342</f>
        <v>0.00139999999999985</v>
      </c>
      <c r="F344">
        <f>-中国_中债国债到期收益率_1年!F343+中国_中债国债到期收益率_1年!F342</f>
        <v>-0.000100000000000211</v>
      </c>
      <c r="G344">
        <f>-中国_中债国债到期收益率_1年!G343+中国_中债国债到期收益率_1年!G342</f>
        <v>-0.00889999999999969</v>
      </c>
    </row>
    <row r="345" spans="1:7">
      <c r="A345" s="7">
        <v>45215</v>
      </c>
      <c r="B345">
        <f>-中国_中债国债到期收益率_1年!B344+中国_中债国债到期收益率_1年!B343</f>
        <v>0.02</v>
      </c>
      <c r="C345">
        <f>-中国_中债国债到期收益率_1年!C344+中国_中债国债到期收益率_1年!C343</f>
        <v>0.0274999999999999</v>
      </c>
      <c r="D345">
        <f>-中国_中债国债到期收益率_1年!D344+中国_中债国债到期收益率_1年!D343</f>
        <v>0.0209000000000001</v>
      </c>
      <c r="E345">
        <f>-中国_中债国债到期收益率_1年!E344+中国_中债国债到期收益率_1年!E343</f>
        <v>0.0186999999999999</v>
      </c>
      <c r="F345">
        <f>-中国_中债国债到期收益率_1年!F344+中国_中债国债到期收益率_1年!F343</f>
        <v>0.0136000000000003</v>
      </c>
      <c r="G345">
        <f>-中国_中债国债到期收益率_1年!G344+中国_中债国债到期收益率_1年!G343</f>
        <v>0.0266999999999999</v>
      </c>
    </row>
    <row r="346" spans="1:7">
      <c r="A346" s="7">
        <v>45216</v>
      </c>
      <c r="B346">
        <f>-中国_中债国债到期收益率_1年!B345+中国_中债国债到期收益率_1年!B344</f>
        <v>-0.00999999999999979</v>
      </c>
      <c r="C346">
        <f>-中国_中债国债到期收益率_1年!C345+中国_中债国债到期收益率_1年!C344</f>
        <v>-0.0101</v>
      </c>
      <c r="D346">
        <f>-中国_中债国债到期收益率_1年!D345+中国_中债国债到期收益率_1年!D344</f>
        <v>-0.00750000000000028</v>
      </c>
      <c r="E346">
        <f>-中国_中债国债到期收益率_1年!E345+中国_中债国债到期收益率_1年!E344</f>
        <v>-0.00449999999999973</v>
      </c>
      <c r="F346">
        <f>-中国_中债国债到期收益率_1年!F345+中国_中债国债到期收益率_1年!F344</f>
        <v>0.000499999999999723</v>
      </c>
      <c r="G346">
        <f>-中国_中债国债到期收益率_1年!G345+中国_中债国债到期收益率_1年!G344</f>
        <v>0.00429999999999975</v>
      </c>
    </row>
    <row r="347" spans="1:7">
      <c r="A347" s="7">
        <v>45217</v>
      </c>
      <c r="B347">
        <f>-中国_中债国债到期收益率_1年!B346+中国_中债国债到期收益率_1年!B345</f>
        <v>-0.0350000000000001</v>
      </c>
      <c r="C347">
        <f>-中国_中债国债到期收益率_1年!C346+中国_中债国债到期收益率_1年!C345</f>
        <v>-0.0101</v>
      </c>
      <c r="D347">
        <f>-中国_中债国债到期收益率_1年!D346+中国_中债国债到期收益率_1年!D345</f>
        <v>-0.0105</v>
      </c>
      <c r="E347">
        <f>-中国_中债国债到期收益率_1年!E346+中国_中债国债到期收益率_1年!E345</f>
        <v>-0.00240000000000018</v>
      </c>
      <c r="F347">
        <f>-中国_中债国债到期收益率_1年!F346+中国_中债国债到期收益率_1年!F345</f>
        <v>-0.0175999999999998</v>
      </c>
      <c r="G347">
        <f>-中国_中债国债到期收益率_1年!G346+中国_中债国债到期收益率_1年!G345</f>
        <v>-0.0183</v>
      </c>
    </row>
    <row r="348" spans="1:7">
      <c r="A348" s="7">
        <v>45218</v>
      </c>
      <c r="B348">
        <f>-中国_中债国债到期收益率_1年!B347+中国_中债国债到期收益率_1年!B346</f>
        <v>-0.0229999999999997</v>
      </c>
      <c r="C348">
        <f>-中国_中债国债到期收益率_1年!C347+中国_中债国债到期收益率_1年!C346</f>
        <v>-0.0299</v>
      </c>
      <c r="D348">
        <f>-中国_中债国债到期收益率_1年!D347+中国_中债国债到期收益率_1年!D346</f>
        <v>-0.0169999999999999</v>
      </c>
      <c r="E348">
        <f>-中国_中债国债到期收益率_1年!E347+中国_中债国债到期收益率_1年!E346</f>
        <v>0</v>
      </c>
      <c r="F348">
        <f>-中国_中债国债到期收益率_1年!F347+中国_中债国债到期收益率_1年!F346</f>
        <v>-0.00560000000000027</v>
      </c>
      <c r="G348">
        <f>-中国_中债国债到期收益率_1年!G347+中国_中债国债到期收益率_1年!G346</f>
        <v>-0.00459999999999994</v>
      </c>
    </row>
    <row r="349" spans="1:7">
      <c r="A349" s="7">
        <v>45219</v>
      </c>
      <c r="B349">
        <f>-中国_中债国债到期收益率_1年!B348+中国_中债国债到期收益率_1年!B347</f>
        <v>-0.0450000000000004</v>
      </c>
      <c r="C349">
        <f>-中国_中债国债到期收益率_1年!C348+中国_中债国债到期收益率_1年!C347</f>
        <v>-0.0175999999999998</v>
      </c>
      <c r="D349">
        <f>-中国_中债国债到期收益率_1年!D348+中国_中债国债到期收益率_1年!D347</f>
        <v>-0.0124999999999997</v>
      </c>
      <c r="E349">
        <f>-中国_中债国债到期收益率_1年!E348+中国_中债国债到期收益率_1年!E347</f>
        <v>-0.00559999999999983</v>
      </c>
      <c r="F349">
        <f>-中国_中债国债到期收益率_1年!F348+中国_中债国债到期收益率_1年!F347</f>
        <v>-0.0366999999999997</v>
      </c>
      <c r="G349">
        <f>-中国_中债国债到期收益率_1年!G348+中国_中债国债到期收益率_1年!G347</f>
        <v>-0.028</v>
      </c>
    </row>
    <row r="350" spans="1:7">
      <c r="A350" s="7">
        <v>45222</v>
      </c>
      <c r="B350">
        <f>-中国_中债国债到期收益率_1年!B349+中国_中债国债到期收益率_1年!B348</f>
        <v>-0.02</v>
      </c>
      <c r="C350">
        <f>-中国_中债国债到期收益率_1年!C349+中国_中债国债到期收益率_1年!C348</f>
        <v>0.0223</v>
      </c>
      <c r="D350">
        <f>-中国_中债国债到期收益率_1年!D349+中国_中债国债到期收益率_1年!D348</f>
        <v>0.0124999999999997</v>
      </c>
      <c r="E350">
        <f>-中国_中债国债到期收益率_1年!E349+中国_中债国债到期收益率_1年!E348</f>
        <v>0.0114999999999998</v>
      </c>
      <c r="F350">
        <f>-中国_中债国债到期收益率_1年!F349+中国_中债国债到期收益率_1年!F348</f>
        <v>-0.0230999999999999</v>
      </c>
      <c r="G350">
        <f>-中国_中债国债到期收益率_1年!G349+中国_中债国债到期收益率_1年!G348</f>
        <v>-0.00570000000000004</v>
      </c>
    </row>
    <row r="351" spans="1:7">
      <c r="A351" s="7">
        <v>45223</v>
      </c>
      <c r="B351">
        <f>-中国_中债国债到期收益率_1年!B350+中国_中债国债到期收益率_1年!B349</f>
        <v>0.0100000000000002</v>
      </c>
      <c r="C351">
        <f>-中国_中债国债到期收益率_1年!C350+中国_中债国债到期收益率_1年!C349</f>
        <v>0.00950000000000006</v>
      </c>
      <c r="D351">
        <f>-中国_中债国债到期收益率_1年!D350+中国_中债国债到期收益率_1年!D349</f>
        <v>0.000500000000000167</v>
      </c>
      <c r="E351">
        <f>-中国_中债国债到期收益率_1年!E350+中国_中债国债到期收益率_1年!E349</f>
        <v>0.00590000000000002</v>
      </c>
      <c r="F351">
        <f>-中国_中债国债到期收益率_1年!F350+中国_中债国债到期收益率_1年!F349</f>
        <v>0.0297999999999998</v>
      </c>
      <c r="G351">
        <f>-中国_中债国债到期收益率_1年!G350+中国_中债国债到期收益率_1年!G349</f>
        <v>0.0283000000000002</v>
      </c>
    </row>
    <row r="352" spans="1:7">
      <c r="A352" s="7">
        <v>45224</v>
      </c>
      <c r="B352">
        <f>-中国_中债国债到期收益率_1年!B351+中国_中债国债到期收益率_1年!B350</f>
        <v>-0.0249999999999999</v>
      </c>
      <c r="C352">
        <f>-中国_中债国债到期收益率_1年!C351+中国_中债国债到期收益率_1年!C350</f>
        <v>0.00249999999999995</v>
      </c>
      <c r="D352">
        <f>-中国_中债国债到期收益率_1年!D351+中国_中债国债到期收益率_1年!D350</f>
        <v>-0.0129999999999999</v>
      </c>
      <c r="E352">
        <f>-中国_中债国债到期收益率_1年!E351+中国_中债国债到期收益率_1年!E350</f>
        <v>-0.00749999999999984</v>
      </c>
      <c r="F352">
        <f>-中国_中债国债到期收益率_1年!F351+中国_中债国债到期收益率_1年!F350</f>
        <v>-0.0266000000000002</v>
      </c>
      <c r="G352">
        <f>-中国_中债国债到期收益率_1年!G351+中国_中债国债到期收益率_1年!G350</f>
        <v>-0.0228999999999999</v>
      </c>
    </row>
    <row r="353" spans="1:7">
      <c r="A353" s="7">
        <v>45225</v>
      </c>
      <c r="B353">
        <f>-中国_中债国债到期收益率_1年!B352+中国_中债国债到期收益率_1年!B351</f>
        <v>0.0419</v>
      </c>
      <c r="C353">
        <f>-中国_中债国债到期收益率_1年!C352+中国_中债国债到期收益率_1年!C351</f>
        <v>0.0347</v>
      </c>
      <c r="D353">
        <f>-中国_中债国债到期收益率_1年!D352+中国_中债国债到期收益率_1年!D351</f>
        <v>0.0124999999999997</v>
      </c>
      <c r="E353">
        <f>-中国_中债国债到期收益率_1年!E352+中国_中债国债到期收益率_1年!E351</f>
        <v>-0.00260000000000016</v>
      </c>
      <c r="F353">
        <f>-中国_中债国债到期收益率_1年!F352+中国_中债国债到期收益率_1年!F351</f>
        <v>0.0353000000000003</v>
      </c>
      <c r="G353">
        <f>-中国_中债国债到期收益率_1年!G352+中国_中债国债到期收益率_1年!G351</f>
        <v>0.0196999999999998</v>
      </c>
    </row>
    <row r="354" spans="1:7">
      <c r="A354" s="7">
        <v>45226</v>
      </c>
      <c r="B354">
        <f>-中国_中债国债到期收益率_1年!B353+中国_中债国债到期收益率_1年!B352</f>
        <v>0</v>
      </c>
      <c r="C354">
        <f>-中国_中债国债到期收益率_1年!C353+中国_中债国债到期收益率_1年!C352</f>
        <v>-0.0152000000000001</v>
      </c>
      <c r="D354">
        <f>-中国_中债国债到期收益率_1年!D353+中国_中债国债到期收益率_1年!D352</f>
        <v>-0.00999999999999979</v>
      </c>
      <c r="E354">
        <f>-中国_中债国债到期收益率_1年!E353+中国_中债国债到期收益率_1年!E352</f>
        <v>-0.00499999999999989</v>
      </c>
      <c r="F354">
        <f>-中国_中债国债到期收益率_1年!F353+中国_中债国债到期收益率_1年!F352</f>
        <v>0.0223999999999998</v>
      </c>
      <c r="G354">
        <f>-中国_中债国债到期收益率_1年!G353+中国_中债国债到期收益率_1年!G352</f>
        <v>0.0249000000000001</v>
      </c>
    </row>
    <row r="355" spans="1:7">
      <c r="A355" s="7">
        <v>45229</v>
      </c>
      <c r="B355">
        <f>-中国_中债国债到期收益率_1年!B354+中国_中债国债到期收益率_1年!B353</f>
        <v>0.00309999999999988</v>
      </c>
      <c r="C355">
        <f>-中国_中债国债到期收益率_1年!C354+中国_中债国债到期收益率_1年!C353</f>
        <v>0.0148999999999999</v>
      </c>
      <c r="D355">
        <f>-中国_中债国债到期收益率_1年!D354+中国_中债国债到期收益率_1年!D353</f>
        <v>0.00190000000000001</v>
      </c>
      <c r="E355">
        <f>-中国_中债国债到期收益率_1年!E354+中国_中债国债到期收益率_1年!E353</f>
        <v>-0.00500000000000034</v>
      </c>
      <c r="F355">
        <f>-中国_中债国债到期收益率_1年!F354+中国_中债国债到期收益率_1年!F353</f>
        <v>0.000599999999999934</v>
      </c>
      <c r="G355">
        <f>-中国_中债国债到期收益率_1年!G354+中国_中债国债到期收益率_1年!G353</f>
        <v>-0.00370000000000026</v>
      </c>
    </row>
    <row r="356" spans="1:7">
      <c r="A356" s="7">
        <v>45230</v>
      </c>
      <c r="B356">
        <f>-中国_中债国债到期收益率_1年!B355+中国_中债国债到期收益率_1年!B354</f>
        <v>0.0556000000000001</v>
      </c>
      <c r="C356">
        <f>-中国_中债国债到期收益率_1年!C355+中国_中债国债到期收益率_1年!C354</f>
        <v>-0.000799999999999912</v>
      </c>
      <c r="D356">
        <f>-中国_中债国债到期收益率_1年!D355+中国_中债国债到期收益率_1年!D354</f>
        <v>-0.000800000000000356</v>
      </c>
      <c r="E356">
        <f>-中国_中债国债到期收益率_1年!E355+中国_中债国债到期收益率_1年!E354</f>
        <v>-0.000199999999999978</v>
      </c>
      <c r="F356">
        <f>-中国_中债国债到期收益率_1年!F355+中国_中债国债到期收益率_1年!F354</f>
        <v>0.0178000000000003</v>
      </c>
      <c r="G356">
        <f>-中国_中债国债到期收益率_1年!G355+中国_中债国债到期收益率_1年!G354</f>
        <v>0.0165000000000002</v>
      </c>
    </row>
    <row r="357" spans="1:7">
      <c r="A357" s="7">
        <v>45231</v>
      </c>
      <c r="B357">
        <f>-中国_中债国债到期收益率_1年!B356+中国_中债国债到期收益率_1年!B355</f>
        <v>0.02</v>
      </c>
      <c r="C357">
        <f>-中国_中债国债到期收益率_1年!C356+中国_中债国债到期收益率_1年!C355</f>
        <v>0.0200999999999998</v>
      </c>
      <c r="D357">
        <f>-中国_中债国债到期收益率_1年!D356+中国_中债国债到期收益率_1年!D355</f>
        <v>0.0203000000000002</v>
      </c>
      <c r="E357">
        <f>-中国_中债国债到期收益率_1年!E356+中国_中债国债到期收益率_1年!E355</f>
        <v>0.0150000000000001</v>
      </c>
      <c r="F357">
        <f>-中国_中债国债到期收益率_1年!F356+中国_中债国债到期收益率_1年!F355</f>
        <v>0.00649999999999995</v>
      </c>
      <c r="G357">
        <f>-中国_中债国债到期收益率_1年!G356+中国_中债国债到期收益率_1年!G355</f>
        <v>0.0177999999999998</v>
      </c>
    </row>
    <row r="358" spans="1:7">
      <c r="A358" s="7">
        <v>45232</v>
      </c>
      <c r="B358">
        <f>-中国_中债国债到期收益率_1年!B357+中国_中债国债到期收益率_1年!B356</f>
        <v>-0.0450000000000004</v>
      </c>
      <c r="C358">
        <f>-中国_中债国债到期收益率_1年!C357+中国_中债国债到期收益率_1年!C356</f>
        <v>0.00260000000000016</v>
      </c>
      <c r="D358">
        <f>-中国_中债国债到期收益率_1年!D357+中国_中债国债到期收益率_1年!D356</f>
        <v>0.00850000000000017</v>
      </c>
      <c r="E358">
        <f>-中国_中债国债到期收益率_1年!E357+中国_中债国债到期收益率_1年!E356</f>
        <v>0.00450000000000017</v>
      </c>
      <c r="F358">
        <f>-中国_中债国债到期收益率_1年!F357+中国_中债国债到期收益率_1年!F356</f>
        <v>-0.0171999999999999</v>
      </c>
      <c r="G358">
        <f>-中国_中债国债到期收益率_1年!G357+中国_中债国债到期收益率_1年!G356</f>
        <v>-0.00309999999999988</v>
      </c>
    </row>
    <row r="359" spans="1:7">
      <c r="A359" s="7">
        <v>45233</v>
      </c>
      <c r="B359">
        <f>-中国_中债国债到期收益率_1年!B358+中国_中债国债到期收益率_1年!B357</f>
        <v>0.0350000000000001</v>
      </c>
      <c r="C359">
        <f>-中国_中债国债到期收益率_1年!C358+中国_中债国债到期收益率_1年!C357</f>
        <v>0.0324</v>
      </c>
      <c r="D359">
        <f>-中国_中债国债到期收益率_1年!D358+中国_中债国债到期收益率_1年!D357</f>
        <v>0.0299999999999998</v>
      </c>
      <c r="E359">
        <f>-中国_中债国债到期收益率_1年!E358+中国_中债国债到期收益率_1年!E357</f>
        <v>0.0244999999999997</v>
      </c>
      <c r="F359">
        <f>-中国_中债国债到期收益率_1年!F358+中国_中债国债到期收益率_1年!F357</f>
        <v>0.0343999999999998</v>
      </c>
      <c r="G359">
        <f>-中国_中债国债到期收益率_1年!G358+中国_中债国债到期收益率_1年!G357</f>
        <v>0.0264000000000002</v>
      </c>
    </row>
    <row r="360" spans="1:7">
      <c r="A360" s="7">
        <v>45236</v>
      </c>
      <c r="B360">
        <f>-中国_中债国债到期收益率_1年!B359+中国_中债国债到期收益率_1年!B358</f>
        <v>-0.0051000000000001</v>
      </c>
      <c r="C360">
        <f>-中国_中债国债到期收益率_1年!C359+中国_中债国债到期收益率_1年!C358</f>
        <v>-0.0202</v>
      </c>
      <c r="D360">
        <f>-中国_中债国债到期收益率_1年!D359+中国_中债国债到期收益率_1年!D358</f>
        <v>-0.00600000000000023</v>
      </c>
      <c r="E360">
        <f>-中国_中债国债到期收益率_1年!E359+中国_中债国债到期收益率_1年!E358</f>
        <v>-0.00609999999999999</v>
      </c>
      <c r="F360">
        <f>-中国_中债国债到期收益率_1年!F359+中国_中债国债到期收益率_1年!F358</f>
        <v>0.00320000000000009</v>
      </c>
      <c r="G360">
        <f>-中国_中债国债到期收益率_1年!G359+中国_中债国债到期收益率_1年!G358</f>
        <v>-0.00240000000000018</v>
      </c>
    </row>
    <row r="361" spans="1:7">
      <c r="A361" s="7">
        <v>45237</v>
      </c>
      <c r="B361">
        <f>-中国_中债国债到期收益率_1年!B360+中国_中债国债到期收益率_1年!B359</f>
        <v>-0.0101</v>
      </c>
      <c r="C361">
        <f>-中国_中债国债到期收益率_1年!C360+中国_中债国债到期收益率_1年!C359</f>
        <v>-0.000399999999999956</v>
      </c>
      <c r="D361">
        <f>-中国_中债国债到期收益率_1年!D360+中国_中债国债到期收益率_1年!D359</f>
        <v>0.00590000000000002</v>
      </c>
      <c r="E361">
        <f>-中国_中债国债到期收益率_1年!E360+中国_中债国债到期收益率_1年!E359</f>
        <v>0.00439999999999996</v>
      </c>
      <c r="F361">
        <f>-中国_中债国债到期收益率_1年!F360+中国_中债国债到期收益率_1年!F359</f>
        <v>-0.00609999999999999</v>
      </c>
      <c r="G361">
        <f>-中国_中债国债到期收益率_1年!G360+中国_中债国债到期收益率_1年!G359</f>
        <v>0.00240000000000018</v>
      </c>
    </row>
    <row r="362" spans="1:7">
      <c r="A362" s="7">
        <v>45238</v>
      </c>
      <c r="B362">
        <f>-中国_中债国债到期收益率_1年!B361+中国_中债国债到期收益率_1年!B360</f>
        <v>-0.0202</v>
      </c>
      <c r="C362">
        <f>-中国_中债国债到期收益率_1年!C361+中国_中债国债到期收益率_1年!C360</f>
        <v>-0.0148000000000001</v>
      </c>
      <c r="D362">
        <f>-中国_中债国债到期收益率_1年!D361+中国_中债国债到期收益率_1年!D360</f>
        <v>-0.00779999999999959</v>
      </c>
      <c r="E362">
        <f>-中国_中债国债到期收益率_1年!E361+中国_中债国债到期收益率_1年!E360</f>
        <v>-0.00349999999999984</v>
      </c>
      <c r="F362">
        <f>-中国_中债国债到期收益率_1年!F361+中国_中债国债到期收益率_1年!F360</f>
        <v>-0.0146999999999999</v>
      </c>
      <c r="G362">
        <f>-中国_中债国债到期收益率_1年!G361+中国_中债国债到期收益率_1年!G360</f>
        <v>-0.000399999999999956</v>
      </c>
    </row>
    <row r="363" spans="1:7">
      <c r="A363" s="7">
        <v>45239</v>
      </c>
      <c r="B363">
        <f>-中国_中债国债到期收益率_1年!B362+中国_中债国债到期收益率_1年!B361</f>
        <v>0.00260000000000016</v>
      </c>
      <c r="C363">
        <f>-中国_中债国债到期收益率_1年!C362+中国_中债国债到期收益率_1年!C361</f>
        <v>0.0118</v>
      </c>
      <c r="D363">
        <f>-中国_中债国债到期收益率_1年!D362+中国_中债国债到期收益率_1年!D361</f>
        <v>0.0167999999999999</v>
      </c>
      <c r="E363">
        <f>-中国_中债国债到期收益率_1年!E362+中国_中债国债到期收益率_1年!E361</f>
        <v>0.0135000000000001</v>
      </c>
      <c r="F363">
        <f>-中国_中债国债到期收益率_1年!F362+中国_中债国债到期收益率_1年!F361</f>
        <v>-0.00910000000000011</v>
      </c>
      <c r="G363">
        <f>-中国_中债国债到期收益率_1年!G362+中国_中债国债到期收益率_1年!G361</f>
        <v>-0.00360000000000005</v>
      </c>
    </row>
    <row r="364" spans="1:7">
      <c r="A364" s="7">
        <v>45240</v>
      </c>
      <c r="B364">
        <f>-中国_中债国债到期收益率_1年!B363+中国_中债国债到期收益率_1年!B362</f>
        <v>0.00729999999999986</v>
      </c>
      <c r="C364">
        <f>-中国_中债国债到期收益率_1年!C363+中国_中债国债到期收益率_1年!C362</f>
        <v>0.000700000000000145</v>
      </c>
      <c r="D364">
        <f>-中国_中债国债到期收益率_1年!D363+中国_中债国债到期收益率_1年!D362</f>
        <v>-0.00300000000000011</v>
      </c>
      <c r="E364">
        <f>-中国_中债国债到期收益率_1年!E363+中国_中债国债到期收益率_1年!E362</f>
        <v>-0.000100000000000211</v>
      </c>
      <c r="F364">
        <f>-中国_中债国债到期收益率_1年!F363+中国_中债国债到期收益率_1年!F362</f>
        <v>0.00729999999999986</v>
      </c>
      <c r="G364">
        <f>-中国_中债国债到期收益率_1年!G363+中国_中债国债到期收益率_1年!G362</f>
        <v>0.0202999999999998</v>
      </c>
    </row>
    <row r="365" spans="1:7">
      <c r="A365" s="7">
        <v>45243</v>
      </c>
      <c r="B365">
        <f>-中国_中债国债到期收益率_1年!B364+中国_中债国债到期收益率_1年!B363</f>
        <v>0.0100000000000002</v>
      </c>
      <c r="C365">
        <f>-中国_中债国债到期收益率_1年!C364+中国_中债国债到期收益率_1年!C363</f>
        <v>0.0175000000000001</v>
      </c>
      <c r="D365">
        <f>-中国_中债国债到期收益率_1年!D364+中国_中债国债到期收益率_1年!D363</f>
        <v>0.00499999999999989</v>
      </c>
      <c r="E365">
        <f>-中国_中债国债到期收益率_1年!E364+中国_中债国债到期收益率_1年!E363</f>
        <v>0.0125000000000002</v>
      </c>
      <c r="F365">
        <f>-中国_中债国债到期收益率_1年!F364+中国_中债国债到期收益率_1年!F363</f>
        <v>0.00170000000000003</v>
      </c>
      <c r="G365">
        <f>-中国_中债国债到期收益率_1年!G364+中国_中债国债到期收益率_1年!G363</f>
        <v>0.000500000000000167</v>
      </c>
    </row>
    <row r="366" spans="1:7">
      <c r="A366" s="7">
        <v>45244</v>
      </c>
      <c r="B366">
        <f>-中国_中债国债到期收益率_1年!B365+中国_中债国债到期收益率_1年!B364</f>
        <v>0.0246999999999997</v>
      </c>
      <c r="C366">
        <f>-中国_中债国债到期收益率_1年!C365+中国_中债国债到期收益率_1年!C364</f>
        <v>0.012</v>
      </c>
      <c r="D366">
        <f>-中国_中债国债到期收益率_1年!D365+中国_中债国债到期收益率_1年!D364</f>
        <v>-0.00099999999999989</v>
      </c>
      <c r="E366">
        <f>-中国_中债国债到期收益率_1年!E365+中国_中债国债到期收益率_1年!E364</f>
        <v>0.00740000000000007</v>
      </c>
      <c r="F366">
        <f>-中国_中债国债到期收益率_1年!F365+中国_中债国债到期收益率_1年!F364</f>
        <v>0.0159000000000002</v>
      </c>
      <c r="G366">
        <f>-中国_中债国债到期收益率_1年!G365+中国_中债国债到期收益率_1年!G364</f>
        <v>0.0186999999999999</v>
      </c>
    </row>
    <row r="367" spans="1:7">
      <c r="A367" s="7">
        <v>45245</v>
      </c>
      <c r="B367">
        <f>-中国_中债国债到期收益率_1年!B366+中国_中债国债到期收益率_1年!B365</f>
        <v>0.0346000000000002</v>
      </c>
      <c r="C367">
        <f>-中国_中债国债到期收益率_1年!C366+中国_中债国债到期收益率_1年!C365</f>
        <v>-0.0129999999999999</v>
      </c>
      <c r="D367">
        <f>-中国_中债国债到期收益率_1年!D366+中国_中债国债到期收益率_1年!D365</f>
        <v>-0.0119000000000002</v>
      </c>
      <c r="E367">
        <f>-中国_中债国债到期收益率_1年!E366+中国_中债国债到期收益率_1年!E365</f>
        <v>-0.00540000000000029</v>
      </c>
      <c r="F367">
        <f>-中国_中债国债到期收益率_1年!F366+中国_中债国债到期收益率_1年!F365</f>
        <v>-0.0105</v>
      </c>
      <c r="G367">
        <f>-中国_中债国债到期收益率_1年!G366+中国_中债国债到期收益率_1年!G365</f>
        <v>-0.00890000000000013</v>
      </c>
    </row>
    <row r="368" spans="1:7">
      <c r="A368" s="7">
        <v>45246</v>
      </c>
      <c r="B368">
        <f>-中国_中债国债到期收益率_1年!B367+中国_中债国债到期收益率_1年!B366</f>
        <v>0.00999999999999979</v>
      </c>
      <c r="C368">
        <f>-中国_中债国债到期收益率_1年!C367+中国_中债国债到期收益率_1年!C366</f>
        <v>0.0017999999999998</v>
      </c>
      <c r="D368">
        <f>-中国_中债国债到期收益率_1年!D367+中国_中债国债到期收益率_1年!D366</f>
        <v>-0.00599999999999978</v>
      </c>
      <c r="E368">
        <f>-中国_中债国债到期收益率_1年!E367+中国_中债国债到期收益率_1年!E366</f>
        <v>-0.00459999999999994</v>
      </c>
      <c r="F368">
        <f>-中国_中债国债到期收益率_1年!F367+中国_中债国债到期收益率_1年!F366</f>
        <v>-0.000599999999999934</v>
      </c>
      <c r="G368">
        <f>-中国_中债国债到期收益率_1年!G367+中国_中债国债到期收益率_1年!G366</f>
        <v>-0.00890000000000013</v>
      </c>
    </row>
    <row r="369" spans="1:7">
      <c r="A369" s="7">
        <v>45247</v>
      </c>
      <c r="B369">
        <f>-中国_中债国债到期收益率_1年!B368+中国_中债国债到期收益率_1年!B367</f>
        <v>0.0198</v>
      </c>
      <c r="C369">
        <f>-中国_中债国债到期收益率_1年!C368+中国_中债国债到期收益率_1年!C367</f>
        <v>-0.000599999999999934</v>
      </c>
      <c r="D369">
        <f>-中国_中债国债到期收益率_1年!D368+中国_中债国债到期收益率_1年!D367</f>
        <v>0.00749999999999984</v>
      </c>
      <c r="E369">
        <f>-中国_中债国债到期收益率_1年!E368+中国_中债国债到期收益率_1年!E367</f>
        <v>0.00450000000000017</v>
      </c>
      <c r="F369">
        <f>-中国_中债国债到期收益率_1年!F368+中国_中债国债到期收益率_1年!F367</f>
        <v>0.000799999999999912</v>
      </c>
      <c r="G369">
        <f>-中国_中债国债到期收益率_1年!G368+中国_中债国债到期收益率_1年!G367</f>
        <v>0.0117000000000003</v>
      </c>
    </row>
    <row r="370" spans="1:7">
      <c r="A370" s="7">
        <v>45250</v>
      </c>
      <c r="B370">
        <f>-中国_中债国债到期收益率_1年!B369+中国_中债国债到期收益率_1年!B368</f>
        <v>0.0194000000000001</v>
      </c>
      <c r="C370">
        <f>-中国_中债国债到期收益率_1年!C369+中国_中债国债到期收益率_1年!C368</f>
        <v>-0.00309999999999988</v>
      </c>
      <c r="D370">
        <f>-中国_中债国债到期收益率_1年!D369+中国_中债国债到期收益率_1年!D368</f>
        <v>0.00340000000000007</v>
      </c>
      <c r="E370">
        <f>-中国_中债国债到期收益率_1年!E369+中国_中债国债到期收益率_1年!E368</f>
        <v>0.0103999999999997</v>
      </c>
      <c r="F370">
        <f>-中国_中债国债到期收益率_1年!F369+中国_中债国债到期收益率_1年!F368</f>
        <v>-0.00140000000000029</v>
      </c>
      <c r="G370">
        <f>-中国_中债国债到期收益率_1年!G369+中国_中债国债到期收益率_1年!G368</f>
        <v>0.00099999999999989</v>
      </c>
    </row>
    <row r="371" spans="1:7">
      <c r="A371" s="7">
        <v>45251</v>
      </c>
      <c r="B371">
        <f>-中国_中债国债到期收益率_1年!B370+中国_中债国债到期收益率_1年!B369</f>
        <v>-0.0255999999999998</v>
      </c>
      <c r="C371">
        <f>-中国_中债国债到期收益率_1年!C370+中国_中债国债到期收益率_1年!C369</f>
        <v>-0.0185000000000004</v>
      </c>
      <c r="D371">
        <f>-中国_中债国债到期收益率_1年!D370+中国_中债国债到期收益率_1年!D369</f>
        <v>-0.00599999999999978</v>
      </c>
      <c r="E371">
        <f>-中国_中债国债到期收益率_1年!E370+中国_中债国债到期收益率_1年!E369</f>
        <v>0.00150000000000006</v>
      </c>
      <c r="F371">
        <f>-中国_中债国债到期收益率_1年!F370+中国_中债国债到期收益率_1年!F369</f>
        <v>-0.0129999999999999</v>
      </c>
      <c r="G371">
        <f>-中国_中债国债到期收益率_1年!G370+中国_中债国债到期收益率_1年!G369</f>
        <v>-0.00999999999999979</v>
      </c>
    </row>
    <row r="372" spans="1:7">
      <c r="A372" s="7">
        <v>45252</v>
      </c>
      <c r="B372">
        <f>-中国_中债国债到期收益率_1年!B371+中国_中债国债到期收益率_1年!B370</f>
        <v>-0.0547</v>
      </c>
      <c r="C372">
        <f>-中国_中债国债到期收益率_1年!C371+中国_中债国债到期收益率_1年!C370</f>
        <v>-0.0206999999999997</v>
      </c>
      <c r="D372">
        <f>-中国_中债国债到期收益率_1年!D371+中国_中债国债到期收益率_1年!D370</f>
        <v>-0.0100000000000002</v>
      </c>
      <c r="E372">
        <f>-中国_中债国债到期收益率_1年!E371+中国_中债国债到期收益率_1年!E370</f>
        <v>-0.00669999999999993</v>
      </c>
      <c r="F372">
        <f>-中国_中债国债到期收益率_1年!F371+中国_中债国债到期收益率_1年!F370</f>
        <v>-0.0179</v>
      </c>
      <c r="G372">
        <f>-中国_中债国债到期收益率_1年!G371+中国_中债国债到期收益率_1年!G370</f>
        <v>-0.0135000000000001</v>
      </c>
    </row>
    <row r="373" spans="1:7">
      <c r="A373" s="7">
        <v>45253</v>
      </c>
      <c r="B373">
        <f>-中国_中债国债到期收益率_1年!B372+中国_中债国债到期收益率_1年!B371</f>
        <v>-0.1088</v>
      </c>
      <c r="C373">
        <f>-中国_中债国债到期收益率_1年!C372+中国_中债国债到期收益率_1年!C371</f>
        <v>-0.0211000000000001</v>
      </c>
      <c r="D373">
        <f>-中国_中债国债到期收益率_1年!D372+中国_中债国债到期收益率_1年!D371</f>
        <v>-0.0139</v>
      </c>
      <c r="E373">
        <f>-中国_中债国债到期收益率_1年!E372+中国_中债国债到期收益率_1年!E371</f>
        <v>-0.0150000000000001</v>
      </c>
      <c r="F373">
        <f>-中国_中债国债到期收益率_1年!F372+中国_中债国债到期收益率_1年!F371</f>
        <v>-0.0206999999999997</v>
      </c>
      <c r="G373">
        <f>-中国_中债国债到期收益率_1年!G372+中国_中债国债到期收益率_1年!G371</f>
        <v>-0.0101</v>
      </c>
    </row>
    <row r="374" spans="1:7">
      <c r="A374" s="7">
        <v>45254</v>
      </c>
      <c r="B374">
        <f>-中国_中债国债到期收益率_1年!B373+中国_中债国债到期收益率_1年!B372</f>
        <v>-0.0152000000000001</v>
      </c>
      <c r="C374">
        <f>-中国_中债国债到期收益率_1年!C373+中国_中债国债到期收益率_1年!C372</f>
        <v>-0.0175999999999998</v>
      </c>
      <c r="D374">
        <f>-中国_中债国债到期收益率_1年!D373+中国_中债国债到期收益率_1年!D372</f>
        <v>-0.02</v>
      </c>
      <c r="E374">
        <f>-中国_中债国债到期收益率_1年!E373+中国_中债国债到期收益率_1年!E372</f>
        <v>-0.0165999999999999</v>
      </c>
      <c r="F374">
        <f>-中国_中债国债到期收益率_1年!F373+中国_中债国债到期收益率_1年!F372</f>
        <v>-0.0176000000000003</v>
      </c>
      <c r="G374">
        <f>-中国_中债国债到期收益率_1年!G373+中国_中债国债到期收益率_1年!G372</f>
        <v>-0.0322</v>
      </c>
    </row>
    <row r="375" spans="1:7">
      <c r="A375" s="7">
        <v>45257</v>
      </c>
      <c r="B375">
        <f>-中国_中债国债到期收益率_1年!B374+中国_中债国债到期收益率_1年!B373</f>
        <v>-0.00530000000000008</v>
      </c>
      <c r="C375">
        <f>-中国_中债国债到期收益率_1年!C374+中国_中债国债到期收益率_1年!C373</f>
        <v>-0.0124</v>
      </c>
      <c r="D375">
        <f>-中国_中债国债到期收益率_1年!D374+中国_中债国债到期收益率_1年!D373</f>
        <v>-0.00299999999999967</v>
      </c>
      <c r="E375">
        <f>-中国_中债国债到期收益率_1年!E374+中国_中债国债到期收益率_1年!E373</f>
        <v>0.00200000000000022</v>
      </c>
      <c r="F375">
        <f>-中国_中债国债到期收益率_1年!F374+中国_中债国债到期收益率_1年!F373</f>
        <v>-0.00499999999999989</v>
      </c>
      <c r="G375">
        <f>-中国_中债国债到期收益率_1年!G374+中国_中债国债到期收益率_1年!G373</f>
        <v>-0.00180000000000025</v>
      </c>
    </row>
    <row r="376" spans="1:7">
      <c r="A376" s="7">
        <v>45258</v>
      </c>
      <c r="B376">
        <f>-中国_中债国债到期收益率_1年!B375+中国_中债国债到期收益率_1年!B374</f>
        <v>-0.0571999999999999</v>
      </c>
      <c r="C376">
        <f>-中国_中债国债到期收益率_1年!C375+中国_中债国债到期收益率_1年!C374</f>
        <v>-0.0051000000000001</v>
      </c>
      <c r="D376">
        <f>-中国_中债国债到期收益率_1年!D375+中国_中债国债到期收益率_1年!D374</f>
        <v>-0.00550000000000006</v>
      </c>
      <c r="E376">
        <f>-中国_中债国债到期收益率_1年!E375+中国_中债国债到期收益率_1年!E374</f>
        <v>-0.00609999999999999</v>
      </c>
      <c r="F376">
        <f>-中国_中债国债到期收益率_1年!F375+中国_中债国债到期收益率_1年!F374</f>
        <v>-0.0396999999999998</v>
      </c>
      <c r="G376">
        <f>-中国_中债国债到期收益率_1年!G375+中国_中债国债到期收益率_1年!G374</f>
        <v>-0.0186999999999999</v>
      </c>
    </row>
    <row r="377" spans="1:7">
      <c r="A377" s="7">
        <v>45259</v>
      </c>
      <c r="B377">
        <f>-中国_中债国债到期收益率_1年!B376+中国_中债国债到期收益率_1年!B375</f>
        <v>0.0325000000000002</v>
      </c>
      <c r="C377">
        <f>-中国_中债国债到期收益率_1年!C376+中国_中债国债到期收益率_1年!C375</f>
        <v>0.0249999999999999</v>
      </c>
      <c r="D377">
        <f>-中国_中债国债到期收益率_1年!D376+中国_中债国债到期收益率_1年!D375</f>
        <v>0.0209999999999999</v>
      </c>
      <c r="E377">
        <f>-中国_中债国债到期收益率_1年!E376+中国_中债国债到期收益率_1年!E375</f>
        <v>0.0204999999999997</v>
      </c>
      <c r="F377">
        <f>-中国_中债国债到期收益率_1年!F376+中国_中债国债到期收益率_1年!F375</f>
        <v>0.0152999999999999</v>
      </c>
      <c r="G377">
        <f>-中国_中债国债到期收益率_1年!G376+中国_中债国债到期收益率_1年!G375</f>
        <v>0.0199000000000003</v>
      </c>
    </row>
    <row r="378" spans="1:7">
      <c r="A378" s="7">
        <v>45260</v>
      </c>
      <c r="B378">
        <f>-中国_中债国债到期收益率_1年!B377+中国_中债国债到期收益率_1年!B376</f>
        <v>-0.000199999999999978</v>
      </c>
      <c r="C378">
        <f>-中国_中债国债到期收益率_1年!C377+中国_中债国债到期收益率_1年!C376</f>
        <v>-0.00780000000000003</v>
      </c>
      <c r="D378">
        <f>-中国_中债国债到期收益率_1年!D377+中国_中债国债到期收益率_1年!D376</f>
        <v>0.0072000000000001</v>
      </c>
      <c r="E378">
        <f>-中国_中债国债到期收益率_1年!E377+中国_中债国债到期收益率_1年!E376</f>
        <v>0.00150000000000006</v>
      </c>
      <c r="F378">
        <f>-中国_中债国债到期收益率_1年!F377+中国_中债国债到期收益率_1年!F376</f>
        <v>0.000299999999999745</v>
      </c>
      <c r="G378">
        <f>-中国_中债国债到期收益率_1年!G377+中国_中债国债到期收益率_1年!G376</f>
        <v>0.0126999999999997</v>
      </c>
    </row>
    <row r="379" spans="1:7">
      <c r="A379" s="7">
        <v>45261</v>
      </c>
      <c r="B379">
        <f>-中国_中债国债到期收益率_1年!B378+中国_中债国债到期收益率_1年!B377</f>
        <v>0.0198999999999998</v>
      </c>
      <c r="C379">
        <f>-中国_中债国债到期收益率_1年!C378+中国_中债国债到期收益率_1年!C377</f>
        <v>0.0148999999999999</v>
      </c>
      <c r="D379">
        <f>-中国_中债国债到期收益率_1年!D378+中国_中债国债到期收益率_1年!D377</f>
        <v>0.0145999999999997</v>
      </c>
      <c r="E379">
        <f>-中国_中债国债到期收益率_1年!E378+中国_中债国债到期收益率_1年!E377</f>
        <v>0.012</v>
      </c>
      <c r="F379">
        <f>-中国_中债国债到期收益率_1年!F378+中国_中债国债到期收益率_1年!F377</f>
        <v>0.0304000000000002</v>
      </c>
      <c r="G379">
        <f>-中国_中债国债到期收益率_1年!G378+中国_中债国债到期收益率_1年!G377</f>
        <v>0.0133000000000001</v>
      </c>
    </row>
    <row r="380" spans="1:7">
      <c r="A380" s="7">
        <v>45264</v>
      </c>
      <c r="B380">
        <f>-中国_中债国债到期收益率_1年!B379+中国_中债国债到期收益率_1年!B378</f>
        <v>-0.0072000000000001</v>
      </c>
      <c r="C380">
        <f>-中国_中债国债到期收益率_1年!C379+中国_中债国债到期收益率_1年!C378</f>
        <v>0.00260000000000016</v>
      </c>
      <c r="D380">
        <f>-中国_中债国债到期收益率_1年!D379+中国_中债国债到期收益率_1年!D378</f>
        <v>0.00550000000000006</v>
      </c>
      <c r="E380">
        <f>-中国_中债国债到期收益率_1年!E379+中国_中债国债到期收益率_1年!E378</f>
        <v>-0.004</v>
      </c>
      <c r="F380">
        <f>-中国_中债国债到期收益率_1年!F379+中国_中债国债到期收益率_1年!F378</f>
        <v>0.0131000000000001</v>
      </c>
      <c r="G380">
        <f>-中国_中债国债到期收益率_1年!G379+中国_中债国债到期收益率_1年!G378</f>
        <v>-0.00249999999999995</v>
      </c>
    </row>
    <row r="381" spans="1:7">
      <c r="A381" s="7">
        <v>45265</v>
      </c>
      <c r="B381">
        <f>-中国_中债国债到期收益率_1年!B380+中国_中债国债到期收益率_1年!B379</f>
        <v>-0.0329999999999999</v>
      </c>
      <c r="C381">
        <f>-中国_中债国债到期收益率_1年!C380+中国_中债国债到期收益率_1年!C379</f>
        <v>-0.0255000000000001</v>
      </c>
      <c r="D381">
        <f>-中国_中债国债到期收益率_1年!D380+中国_中债国债到期收益率_1年!D379</f>
        <v>-0.00999999999999979</v>
      </c>
      <c r="E381">
        <f>-中国_中债国债到期收益率_1年!E380+中国_中债国债到期收益率_1年!E379</f>
        <v>-0.00919999999999987</v>
      </c>
      <c r="F381">
        <f>-中国_中债国债到期收益率_1年!F380+中国_中债国债到期收益率_1年!F379</f>
        <v>-0.0380000000000003</v>
      </c>
      <c r="G381">
        <f>-中国_中债国债到期收益率_1年!G380+中国_中债国债到期收益率_1年!G379</f>
        <v>-0.00859999999999994</v>
      </c>
    </row>
    <row r="382" spans="1:7">
      <c r="A382" s="7">
        <v>45266</v>
      </c>
      <c r="B382">
        <f>-中国_中债国债到期收益率_1年!B381+中国_中债国债到期收益率_1年!B380</f>
        <v>-0.00479999999999992</v>
      </c>
      <c r="C382">
        <f>-中国_中债国债到期收益率_1年!C381+中国_中债国债到期收益率_1年!C380</f>
        <v>0.00770000000000026</v>
      </c>
      <c r="D382">
        <f>-中国_中债国债到期收益率_1年!D381+中国_中债国债到期收益率_1年!D380</f>
        <v>0.00749999999999984</v>
      </c>
      <c r="E382">
        <f>-中国_中债国债到期收益率_1年!E381+中国_中债国债到期收益率_1年!E380</f>
        <v>0.00499999999999989</v>
      </c>
      <c r="F382">
        <f>-中国_中债国债到期收益率_1年!F381+中国_中债国债到期收益率_1年!F380</f>
        <v>-0.0219</v>
      </c>
      <c r="G382">
        <f>-中国_中债国债到期收益率_1年!G381+中国_中债国债到期收益率_1年!G380</f>
        <v>-0.00749999999999984</v>
      </c>
    </row>
    <row r="383" spans="1:7">
      <c r="A383" s="7">
        <v>45267</v>
      </c>
      <c r="B383">
        <f>-中国_中债国债到期收益率_1年!B382+中国_中债国债到期收益率_1年!B381</f>
        <v>-0.0154000000000001</v>
      </c>
      <c r="C383">
        <f>-中国_中债国债到期收益率_1年!C382+中国_中债国债到期收益率_1年!C381</f>
        <v>-0.0109000000000004</v>
      </c>
      <c r="D383">
        <f>-中国_中债国债到期收益率_1年!D382+中国_中债国债到期收益率_1年!D381</f>
        <v>-0.00749999999999984</v>
      </c>
      <c r="E383">
        <f>-中国_中债国债到期收益率_1年!E382+中国_中债国债到期收益率_1年!E381</f>
        <v>-0.00300000000000011</v>
      </c>
      <c r="F383">
        <f>-中国_中债国债到期收益率_1年!F382+中国_中债国债到期收益率_1年!F381</f>
        <v>-0.0160999999999998</v>
      </c>
      <c r="G383">
        <f>-中国_中债国债到期收益率_1年!G382+中国_中债国债到期收益率_1年!G381</f>
        <v>-0.00190000000000001</v>
      </c>
    </row>
    <row r="384" spans="1:7">
      <c r="A384" s="7">
        <v>45268</v>
      </c>
      <c r="B384">
        <f>-中国_中债国债到期收益率_1年!B383+中国_中债国债到期收益率_1年!B382</f>
        <v>0.0154999999999998</v>
      </c>
      <c r="C384">
        <f>-中国_中债国债到期收益率_1年!C383+中国_中债国债到期收益率_1年!C382</f>
        <v>0.0308000000000002</v>
      </c>
      <c r="D384">
        <f>-中国_中债国债到期收益率_1年!D383+中国_中债国债到期收益率_1年!D382</f>
        <v>0.00849999999999973</v>
      </c>
      <c r="E384">
        <f>-中国_中债国债到期收益率_1年!E383+中国_中债国债到期收益率_1年!E382</f>
        <v>0.00600000000000023</v>
      </c>
      <c r="F384">
        <f>-中国_中债国债到期收益率_1年!F383+中国_中债国债到期收益率_1年!F382</f>
        <v>0.00939999999999985</v>
      </c>
      <c r="G384">
        <f>-中国_中债国债到期收益率_1年!G383+中国_中债国债到期收益率_1年!G382</f>
        <v>0.00229999999999997</v>
      </c>
    </row>
    <row r="385" spans="1:7">
      <c r="A385" s="7">
        <v>45271</v>
      </c>
      <c r="B385">
        <f>-中国_中债国债到期收益率_1年!B384+中国_中债国债到期收益率_1年!B383</f>
        <v>0.00249999999999995</v>
      </c>
      <c r="C385">
        <f>-中国_中债国债到期收益率_1年!C384+中国_中债国债到期收益率_1年!C383</f>
        <v>0.00740000000000007</v>
      </c>
      <c r="D385">
        <f>-中国_中债国债到期收益率_1年!D384+中国_中债国债到期收益率_1年!D383</f>
        <v>0.000399999999999956</v>
      </c>
      <c r="E385">
        <f>-中国_中债国债到期收益率_1年!E384+中国_中债国债到期收益率_1年!E383</f>
        <v>0.0028999999999999</v>
      </c>
      <c r="F385">
        <f>-中国_中债国债到期收益率_1年!F384+中国_中债国债到期收益率_1年!F383</f>
        <v>0.0154000000000001</v>
      </c>
      <c r="G385">
        <f>-中国_中债国债到期收益率_1年!G384+中国_中债国债到期收益率_1年!G383</f>
        <v>0.0141</v>
      </c>
    </row>
    <row r="386" spans="1:7">
      <c r="A386" s="7">
        <v>45272</v>
      </c>
      <c r="B386">
        <f>-中国_中债国债到期收益率_1年!B385+中国_中债国债到期收益率_1年!B384</f>
        <v>-0.00249999999999995</v>
      </c>
      <c r="C386">
        <f>-中国_中债国债到期收益率_1年!C385+中国_中债国债到期收益率_1年!C384</f>
        <v>0.0143</v>
      </c>
      <c r="D386">
        <f>-中国_中债国债到期收益率_1年!D385+中国_中债国债到期收益率_1年!D384</f>
        <v>0.0196000000000001</v>
      </c>
      <c r="E386">
        <f>-中国_中债国债到期收益率_1年!E385+中国_中债国债到期收益率_1年!E384</f>
        <v>0.0140000000000002</v>
      </c>
      <c r="F386">
        <f>-中国_中债国债到期收益率_1年!F385+中国_中债国债到期收益率_1年!F384</f>
        <v>0.00170000000000003</v>
      </c>
      <c r="G386">
        <f>-中国_中债国债到期收益率_1年!G385+中国_中债国债到期收益率_1年!G384</f>
        <v>0.0299</v>
      </c>
    </row>
    <row r="387" spans="1:7">
      <c r="A387" s="7">
        <v>45273</v>
      </c>
      <c r="B387">
        <f>-中国_中债国债到期收益率_1年!B386+中国_中债国债到期收益率_1年!B385</f>
        <v>-0.00099999999999989</v>
      </c>
      <c r="C387">
        <f>-中国_中债国债到期收益率_1年!C386+中国_中债国债到期收益率_1年!C385</f>
        <v>0.00850000000000017</v>
      </c>
      <c r="D387">
        <f>-中国_中债国债到期收益率_1年!D386+中国_中债国债到期收益率_1年!D385</f>
        <v>0.00649999999999995</v>
      </c>
      <c r="E387">
        <f>-中国_中债国债到期收益率_1年!E386+中国_中债国债到期收益率_1年!E385</f>
        <v>-0.000500000000000167</v>
      </c>
      <c r="F387">
        <f>-中国_中债国债到期收益率_1年!F386+中国_中债国债到期收益率_1年!F385</f>
        <v>0.00369999999999981</v>
      </c>
      <c r="G387">
        <f>-中国_中债国债到期收益率_1年!G386+中国_中债国债到期收益率_1年!G385</f>
        <v>0.00339999999999963</v>
      </c>
    </row>
    <row r="388" spans="1:7">
      <c r="A388" s="7">
        <v>45274</v>
      </c>
      <c r="B388">
        <f>-中国_中债国债到期收益率_1年!B387+中国_中债国债到期收益率_1年!B386</f>
        <v>0.0300000000000002</v>
      </c>
      <c r="C388">
        <f>-中国_中债国债到期收益率_1年!C387+中国_中债国债到期收益率_1年!C386</f>
        <v>0.0206</v>
      </c>
      <c r="D388">
        <f>-中国_中债国债到期收益率_1年!D387+中国_中债国债到期收益率_1年!D386</f>
        <v>0.0149000000000004</v>
      </c>
      <c r="E388">
        <f>-中国_中债国债到期收益率_1年!E387+中国_中债国债到期收益率_1年!E386</f>
        <v>0.0145</v>
      </c>
      <c r="F388">
        <f>-中国_中债国债到期收益率_1年!F387+中国_中债国债到期收益率_1年!F386</f>
        <v>0.0393000000000003</v>
      </c>
      <c r="G388">
        <f>-中国_中债国债到期收益率_1年!G387+中国_中债国债到期收益率_1年!G386</f>
        <v>0.0291000000000001</v>
      </c>
    </row>
    <row r="389" spans="1:7">
      <c r="A389" s="7">
        <v>45275</v>
      </c>
      <c r="B389">
        <f>-中国_中债国债到期收益率_1年!B388+中国_中债国债到期收益率_1年!B387</f>
        <v>0.0174999999999996</v>
      </c>
      <c r="C389">
        <f>-中国_中债国债到期收益率_1年!C388+中国_中债国债到期收益率_1年!C387</f>
        <v>-0.00520000000000032</v>
      </c>
      <c r="D389">
        <f>-中国_中债国债到期收益率_1年!D388+中国_中债国债到期收益率_1年!D387</f>
        <v>-0.0150000000000001</v>
      </c>
      <c r="E389">
        <f>-中国_中债国债到期收益率_1年!E388+中国_中债国债到期收益率_1年!E387</f>
        <v>-0.00709999999999988</v>
      </c>
      <c r="F389">
        <f>-中国_中债国债到期收益率_1年!F388+中国_中债国债到期收益率_1年!F387</f>
        <v>0.0284999999999997</v>
      </c>
      <c r="G389">
        <f>-中国_中债国债到期收益率_1年!G388+中国_中债国债到期收益率_1年!G387</f>
        <v>0.0164</v>
      </c>
    </row>
    <row r="390" spans="1:7">
      <c r="A390" s="7">
        <v>45278</v>
      </c>
      <c r="B390">
        <f>-中国_中债国债到期收益率_1年!B389+中国_中债国债到期收益率_1年!B388</f>
        <v>0.0275000000000003</v>
      </c>
      <c r="C390">
        <f>-中国_中债国债到期收益率_1年!C389+中国_中债国债到期收益率_1年!C388</f>
        <v>0.0272000000000001</v>
      </c>
      <c r="D390">
        <f>-中国_中债国债到期收益率_1年!D389+中国_中债国债到期收益率_1年!D388</f>
        <v>0.0148999999999999</v>
      </c>
      <c r="E390">
        <f>-中国_中债国债到期收益率_1年!E389+中国_中债国债到期收益率_1年!E388</f>
        <v>0.0179999999999998</v>
      </c>
      <c r="F390">
        <f>-中国_中债国债到期收益率_1年!F389+中国_中债国债到期收益率_1年!F388</f>
        <v>0.0159000000000002</v>
      </c>
      <c r="G390">
        <f>-中国_中债国债到期收益率_1年!G389+中国_中债国债到期收益率_1年!G388</f>
        <v>0.00300000000000011</v>
      </c>
    </row>
    <row r="391" spans="1:7">
      <c r="A391" s="7">
        <v>45279</v>
      </c>
      <c r="B391">
        <f>-中国_中债国债到期收益率_1年!B390+中国_中债国债到期收益率_1年!B389</f>
        <v>0.0124999999999997</v>
      </c>
      <c r="C391">
        <f>-中国_中债国债到期收益率_1年!C390+中国_中债国债到期收益率_1年!C389</f>
        <v>0.00490000000000013</v>
      </c>
      <c r="D391">
        <f>-中国_中债国债到期收益率_1年!D390+中国_中债国债到期收益率_1年!D389</f>
        <v>0.0101</v>
      </c>
      <c r="E391">
        <f>-中国_中债国债到期收益率_1年!E390+中国_中债国债到期收益率_1年!E389</f>
        <v>0.0170000000000003</v>
      </c>
      <c r="F391">
        <f>-中国_中债国债到期收益率_1年!F390+中国_中债国债到期收益率_1年!F389</f>
        <v>-0.0123000000000002</v>
      </c>
      <c r="G391">
        <f>-中国_中债国债到期收益率_1年!G390+中国_中债国债到期收益率_1年!G389</f>
        <v>0.00839999999999996</v>
      </c>
    </row>
    <row r="392" spans="1:7">
      <c r="A392" s="7">
        <v>45280</v>
      </c>
      <c r="B392">
        <f>-中国_中债国债到期收益率_1年!B391+中国_中债国债到期收益率_1年!B390</f>
        <v>-0.00499999999999989</v>
      </c>
      <c r="C392">
        <f>-中国_中债国债到期收益率_1年!C391+中国_中债国债到期收益率_1年!C390</f>
        <v>-0.0221</v>
      </c>
      <c r="D392">
        <f>-中国_中债国债到期收益率_1年!D391+中国_中债国债到期收益率_1年!D390</f>
        <v>-0.00649999999999995</v>
      </c>
      <c r="E392">
        <f>-中国_中债国债到期收益率_1年!E391+中国_中债国债到期收益率_1年!E390</f>
        <v>-0.0051000000000001</v>
      </c>
      <c r="F392">
        <f>-中国_中债国债到期收益率_1年!F391+中国_中债国债到期收益率_1年!F390</f>
        <v>-0.0103999999999997</v>
      </c>
      <c r="G392">
        <f>-中国_中债国债到期收益率_1年!G391+中国_中债国债到期收益率_1年!G390</f>
        <v>-0.0011000000000001</v>
      </c>
    </row>
    <row r="393" spans="1:7">
      <c r="A393" s="7">
        <v>45281</v>
      </c>
      <c r="B393">
        <f>-中国_中债国债到期收益率_1年!B392+中国_中债国债到期收益率_1年!B391</f>
        <v>-0.00499999999999989</v>
      </c>
      <c r="C393">
        <f>-中国_中债国债到期收益率_1年!C392+中国_中债国债到期收益率_1年!C391</f>
        <v>-0.0108999999999999</v>
      </c>
      <c r="D393">
        <f>-中国_中债国债到期收益率_1年!D392+中国_中债国债到期收益率_1年!D391</f>
        <v>-0.00309999999999988</v>
      </c>
      <c r="E393">
        <f>-中国_中债国债到期收益率_1年!E392+中国_中债国债到期收益率_1年!E391</f>
        <v>0.00709999999999988</v>
      </c>
      <c r="F393">
        <f>-中国_中债国债到期收益率_1年!F392+中国_中债国债到期收益率_1年!F391</f>
        <v>0.000199999999999978</v>
      </c>
      <c r="G393">
        <f>-中国_中债国债到期收益率_1年!G392+中国_中债国债到期收益率_1年!G391</f>
        <v>0.000199999999999978</v>
      </c>
    </row>
    <row r="394" spans="1:7">
      <c r="A394" s="7">
        <v>45282</v>
      </c>
      <c r="B394">
        <f>-中国_中债国债到期收益率_1年!B393+中国_中债国债到期收益率_1年!B392</f>
        <v>0.0249999999999999</v>
      </c>
      <c r="C394">
        <f>-中国_中债国债到期收益率_1年!C393+中国_中债国债到期收益率_1年!C392</f>
        <v>0.0413999999999999</v>
      </c>
      <c r="D394">
        <f>-中国_中债国债到期收益率_1年!D393+中国_中债国债到期收益率_1年!D392</f>
        <v>0.0320999999999998</v>
      </c>
      <c r="E394">
        <f>-中国_中债国债到期收益率_1年!E393+中国_中债国债到期收益率_1年!E392</f>
        <v>0.0356999999999998</v>
      </c>
      <c r="F394">
        <f>-中国_中债国债到期收益率_1年!F393+中国_中债国债到期收益率_1年!F392</f>
        <v>-0.00280000000000014</v>
      </c>
      <c r="G394">
        <f>-中国_中债国债到期收益率_1年!G393+中国_中债国债到期收益率_1年!G392</f>
        <v>0.00170000000000003</v>
      </c>
    </row>
    <row r="395" spans="1:7">
      <c r="A395" s="7">
        <v>45285</v>
      </c>
      <c r="B395">
        <f>-中国_中债国债到期收益率_1年!B394+中国_中债国债到期收益率_1年!B393</f>
        <v>0.0274999999999999</v>
      </c>
      <c r="C395">
        <f>-中国_中债国债到期收益率_1年!C394+中国_中债国债到期收益率_1年!C393</f>
        <v>0.0221</v>
      </c>
      <c r="D395">
        <f>-中国_中债国债到期收益率_1年!D394+中国_中债国债到期收益率_1年!D393</f>
        <v>0.00240000000000018</v>
      </c>
      <c r="E395">
        <f>-中国_中债国债到期收益率_1年!E394+中国_中债国债到期收益率_1年!E393</f>
        <v>0.0151000000000003</v>
      </c>
      <c r="F395">
        <f>-中国_中债国债到期收益率_1年!F394+中国_中债国债到期收益率_1年!F393</f>
        <v>0.0461</v>
      </c>
      <c r="G395">
        <f>-中国_中债国债到期收益率_1年!G394+中国_中债国债到期收益率_1年!G393</f>
        <v>0.0291000000000001</v>
      </c>
    </row>
    <row r="396" spans="1:7">
      <c r="A396" s="7">
        <v>45286</v>
      </c>
      <c r="B396">
        <f>-中国_中债国债到期收益率_1年!B395+中国_中债国债到期收益率_1年!B394</f>
        <v>0.028</v>
      </c>
      <c r="C396">
        <f>-中国_中债国债到期收益率_1年!C395+中国_中债国债到期收益率_1年!C394</f>
        <v>0.0390000000000001</v>
      </c>
      <c r="D396">
        <f>-中国_中债国债到期收益率_1年!D395+中国_中债国债到期收益率_1年!D394</f>
        <v>0.0198999999999998</v>
      </c>
      <c r="E396">
        <f>-中国_中债国债到期收益率_1年!E395+中国_中债国债到期收益率_1年!E394</f>
        <v>0.0263999999999998</v>
      </c>
      <c r="F396">
        <f>-中国_中债国债到期收益率_1年!F395+中国_中债国债到期收益率_1年!F394</f>
        <v>0.0169000000000001</v>
      </c>
      <c r="G396">
        <f>-中国_中债国债到期收益率_1年!G395+中国_中债国债到期收益率_1年!G394</f>
        <v>0.0169000000000001</v>
      </c>
    </row>
    <row r="397" spans="1:7">
      <c r="A397" s="7">
        <v>45287</v>
      </c>
      <c r="B397">
        <f>-中国_中债国债到期收益率_1年!B396+中国_中债国债到期收益率_1年!B395</f>
        <v>0.02</v>
      </c>
      <c r="C397">
        <f>-中国_中债国债到期收益率_1年!C396+中国_中债国债到期收益率_1年!C395</f>
        <v>0.00489999999999968</v>
      </c>
      <c r="D397">
        <f>-中国_中债国债到期收益率_1年!D396+中国_中债国债到期收益率_1年!D395</f>
        <v>-0.0125999999999999</v>
      </c>
      <c r="E397">
        <f>-中国_中债国债到期收益率_1年!E396+中国_中债国债到期收益率_1年!E395</f>
        <v>-0.0190000000000001</v>
      </c>
      <c r="F397">
        <f>-中国_中债国债到期收益率_1年!F396+中国_中债国债到期收益率_1年!F395</f>
        <v>0.00909999999999966</v>
      </c>
      <c r="G397">
        <f>-中国_中债国债到期收益率_1年!G396+中国_中债国债到期收益率_1年!G395</f>
        <v>0.00579999999999981</v>
      </c>
    </row>
    <row r="398" spans="1:7">
      <c r="A398" s="7">
        <v>45288</v>
      </c>
      <c r="B398">
        <f>-中国_中债国债到期收益率_1年!B397+中国_中债国债到期收益率_1年!B396</f>
        <v>0.0500000000000003</v>
      </c>
      <c r="C398">
        <f>-中国_中债国债到期收益率_1年!C397+中国_中债国债到期收益率_1年!C396</f>
        <v>0.0287000000000002</v>
      </c>
      <c r="D398">
        <f>-中国_中债国债到期收益率_1年!D397+中国_中债国债到期收益率_1年!D396</f>
        <v>0.0226999999999999</v>
      </c>
      <c r="E398">
        <f>-中国_中债国债到期收益率_1年!E397+中国_中债国债到期收益率_1年!E396</f>
        <v>0.0100000000000002</v>
      </c>
      <c r="F398">
        <f>-中国_中债国债到期收益率_1年!F397+中国_中债国债到期收益率_1年!F396</f>
        <v>0.0163000000000002</v>
      </c>
      <c r="G398">
        <f>-中国_中债国债到期收益率_1年!G397+中国_中债国债到期收益率_1年!G396</f>
        <v>-0.00800000000000001</v>
      </c>
    </row>
    <row r="399" spans="1:7">
      <c r="A399" s="7">
        <v>45289</v>
      </c>
      <c r="B399">
        <f>-中国_中债国债到期收益率_1年!B398+中国_中债国债到期收益率_1年!B397</f>
        <v>0.0349999999999997</v>
      </c>
      <c r="C399">
        <f>-中国_中债国债到期收益率_1年!C398+中国_中债国债到期收益率_1年!C397</f>
        <v>-0.0245000000000002</v>
      </c>
      <c r="D399">
        <f>-中国_中债国债到期收益率_1年!D398+中国_中债国债到期收益率_1年!D397</f>
        <v>-0.0116999999999998</v>
      </c>
      <c r="E399">
        <f>-中国_中债国债到期收益率_1年!E398+中国_中债国债到期收益率_1年!E397</f>
        <v>-0.0121000000000002</v>
      </c>
      <c r="F399">
        <f>-中国_中债国债到期收益率_1年!F398+中国_中债国债到期收益率_1年!F397</f>
        <v>0.0236999999999998</v>
      </c>
      <c r="G399">
        <f>-中国_中债国债到期收益率_1年!G398+中国_中债国债到期收益率_1年!G397</f>
        <v>-0.00389999999999979</v>
      </c>
    </row>
    <row r="400" spans="1:7">
      <c r="A400" s="7">
        <v>45291</v>
      </c>
      <c r="B400">
        <f>-中国_中债国债到期收益率_1年!B399+中国_中债国债到期收益率_1年!B398</f>
        <v>0.04</v>
      </c>
      <c r="C400">
        <f>-中国_中债国债到期收益率_1年!C399+中国_中债国债到期收益率_1年!C398</f>
        <v>0.00800000000000001</v>
      </c>
      <c r="D400">
        <f>-中国_中债国债到期收益率_1年!D399+中国_中债国债到期收益率_1年!D398</f>
        <v>0.0141</v>
      </c>
      <c r="E400">
        <f>-中国_中债国债到期收益率_1年!E399+中国_中债国债到期收益率_1年!E398</f>
        <v>0.00190000000000001</v>
      </c>
      <c r="F400">
        <f>-中国_中债国债到期收益率_1年!F399+中国_中债国债到期收益率_1年!F398</f>
        <v>0.00950000000000006</v>
      </c>
      <c r="G400">
        <f>-中国_中债国债到期收益率_1年!G399+中国_中债国债到期收益率_1年!G398</f>
        <v>-0.0022000000000002</v>
      </c>
    </row>
    <row r="401" spans="1:7">
      <c r="A401" s="7">
        <v>45293</v>
      </c>
      <c r="B401">
        <f>-中国_中债国债到期收益率_1年!B400+中国_中债国债到期收益率_1年!B399</f>
        <v>0</v>
      </c>
      <c r="C401">
        <f>-中国_中债国债到期收益率_1年!C400+中国_中债国债到期收益率_1年!C399</f>
        <v>0</v>
      </c>
      <c r="D401">
        <f>-中国_中债国债到期收益率_1年!D400+中国_中债国债到期收益率_1年!D399</f>
        <v>0</v>
      </c>
      <c r="E401">
        <f>-中国_中债国债到期收益率_1年!E400+中国_中债国债到期收益率_1年!E399</f>
        <v>0</v>
      </c>
      <c r="F401">
        <f>-中国_中债国债到期收益率_1年!F400+中国_中债国债到期收益率_1年!F399</f>
        <v>1.9857</v>
      </c>
      <c r="G401">
        <f>-中国_中债国债到期收益率_1年!G400+中国_中债国债到期收益率_1年!G399</f>
        <v>2.3245</v>
      </c>
    </row>
    <row r="402" spans="1:7">
      <c r="A402" s="7">
        <v>45294</v>
      </c>
      <c r="B402">
        <f>-中国_中债国债到期收益率_1年!B401+中国_中债国债到期收益率_1年!B400</f>
        <v>-0.0369999999999999</v>
      </c>
      <c r="C402">
        <f>-中国_中债国债到期收益率_1年!C401+中国_中债国债到期收益率_1年!C400</f>
        <v>-0.0372999999999997</v>
      </c>
      <c r="D402">
        <f>-中国_中债国债到期收益率_1年!D401+中国_中债国债到期收益率_1年!D400</f>
        <v>-0.00479999999999992</v>
      </c>
      <c r="E402">
        <f>-中国_中债国债到期收益率_1年!E401+中国_中债国债到期收益率_1年!E400</f>
        <v>-0.0152999999999999</v>
      </c>
      <c r="F402">
        <f>-中国_中债国债到期收益率_1年!F401+中国_中债国债到期收益率_1年!F400</f>
        <v>-2.0208</v>
      </c>
      <c r="G402">
        <f>-中国_中债国债到期收益率_1年!G401+中国_中债国债到期收益率_1年!G400</f>
        <v>-2.3324</v>
      </c>
    </row>
    <row r="403" spans="1:7">
      <c r="A403" s="7">
        <v>45295</v>
      </c>
      <c r="B403">
        <f>-中国_中债国债到期收益率_1年!B402+中国_中债国债到期收益率_1年!B401</f>
        <v>-0.0249999999999999</v>
      </c>
      <c r="C403">
        <f>-中国_中债国债到期收益率_1年!C402+中国_中债国债到期收益率_1年!C401</f>
        <v>0.0162</v>
      </c>
      <c r="D403">
        <f>-中国_中债国债到期收益率_1年!D402+中国_中债国债到期收益率_1年!D401</f>
        <v>0.00699999999999967</v>
      </c>
      <c r="E403">
        <f>-中国_中债国债到期收益率_1年!E402+中国_中债国债到期收益率_1年!E401</f>
        <v>0.00200000000000022</v>
      </c>
      <c r="F403">
        <f>-中国_中债国债到期收益率_1年!F402+中国_中债国债到期收益率_1年!F401</f>
        <v>-0.0444</v>
      </c>
      <c r="G403">
        <f>-中国_中债国债到期收益率_1年!G402+中国_中债国债到期收益率_1年!G401</f>
        <v>-0.0136000000000003</v>
      </c>
    </row>
    <row r="404" spans="1:7">
      <c r="A404" s="7">
        <v>45296</v>
      </c>
      <c r="B404">
        <f>-中国_中债国债到期收益率_1年!B403+中国_中债国债到期收益率_1年!B402</f>
        <v>-0.0125000000000002</v>
      </c>
      <c r="C404">
        <f>-中国_中债国债到期收益率_1年!C403+中国_中债国债到期收益率_1年!C402</f>
        <v>0.0122999999999998</v>
      </c>
      <c r="D404">
        <f>-中国_中债国债到期收益率_1年!D403+中国_中债国债到期收益率_1年!D402</f>
        <v>0.0163000000000002</v>
      </c>
      <c r="E404">
        <f>-中国_中债国债到期收益率_1年!E403+中国_中债国债到期收益率_1年!E402</f>
        <v>0.0231999999999997</v>
      </c>
      <c r="F404">
        <f>-中国_中债国债到期收益率_1年!F403+中国_中债国债到期收益率_1年!F402</f>
        <v>-0.00200000000000022</v>
      </c>
      <c r="G404">
        <f>-中国_中债国债到期收益率_1年!G403+中国_中债国债到期收益率_1年!G402</f>
        <v>0.00730000000000031</v>
      </c>
    </row>
    <row r="405" spans="1:7">
      <c r="A405" s="7">
        <v>45299</v>
      </c>
      <c r="B405">
        <f>-中国_中债国债到期收益率_1年!B404+中国_中债国债到期收益率_1年!B403</f>
        <v>0.0449999999999999</v>
      </c>
      <c r="C405">
        <f>-中国_中债国债到期收益率_1年!C404+中国_中债国债到期收益率_1年!C403</f>
        <v>0.0186000000000002</v>
      </c>
      <c r="D405">
        <f>-中国_中债国债到期收益率_1年!D404+中国_中债国债到期收益率_1年!D403</f>
        <v>0.0192999999999999</v>
      </c>
      <c r="E405">
        <f>-中国_中债国债到期收益率_1年!E404+中国_中债国债到期收益率_1年!E403</f>
        <v>0.0127000000000002</v>
      </c>
      <c r="F405">
        <f>-中国_中债国债到期收益率_1年!F404+中国_中债国债到期收益率_1年!F403</f>
        <v>0.016</v>
      </c>
      <c r="G405">
        <f>-中国_中债国债到期收益率_1年!G404+中国_中债国债到期收益率_1年!G403</f>
        <v>0.0265999999999997</v>
      </c>
    </row>
    <row r="406" spans="1:7">
      <c r="A406" s="7">
        <v>45300</v>
      </c>
      <c r="B406">
        <f>-中国_中债国债到期收益率_1年!B405+中国_中债国债到期收益率_1年!B404</f>
        <v>-0.00999999999999979</v>
      </c>
      <c r="C406">
        <f>-中国_中债国债到期收益率_1年!C405+中国_中债国债到期收益率_1年!C404</f>
        <v>-0.0177</v>
      </c>
      <c r="D406">
        <f>-中国_中债国债到期收益率_1年!D405+中国_中债国债到期收益率_1年!D404</f>
        <v>0.00390000000000024</v>
      </c>
      <c r="E406">
        <f>-中国_中债国债到期收益率_1年!E405+中国_中债国债到期收益率_1年!E404</f>
        <v>0.00229999999999997</v>
      </c>
      <c r="F406">
        <f>-中国_中债国债到期收益率_1年!F405+中国_中债国债到期收益率_1年!F404</f>
        <v>-0.00939999999999985</v>
      </c>
      <c r="G406">
        <f>-中国_中债国债到期收益率_1年!G405+中国_中债国债到期收益率_1年!G404</f>
        <v>-0.00199999999999978</v>
      </c>
    </row>
    <row r="407" spans="1:7">
      <c r="A407" s="7">
        <v>45301</v>
      </c>
      <c r="B407">
        <f>-中国_中债国债到期收益率_1年!B406+中国_中债国债到期收益率_1年!B405</f>
        <v>0.02</v>
      </c>
      <c r="C407">
        <f>-中国_中债国债到期收益率_1年!C406+中国_中债国债到期收益率_1年!C405</f>
        <v>0.0175000000000001</v>
      </c>
      <c r="D407">
        <f>-中国_中债国债到期收益率_1年!D406+中国_中债国债到期收益率_1年!D405</f>
        <v>0.0273999999999996</v>
      </c>
      <c r="E407">
        <f>-中国_中债国债到期收益率_1年!E406+中国_中债国债到期收益率_1年!E405</f>
        <v>0.0327000000000002</v>
      </c>
      <c r="F407">
        <f>-中国_中债国债到期收益率_1年!F406+中国_中债国债到期收益率_1年!F405</f>
        <v>0.0175000000000001</v>
      </c>
      <c r="G407">
        <f>-中国_中债国债到期收益率_1年!G406+中国_中债国债到期收益率_1年!G405</f>
        <v>0.0238</v>
      </c>
    </row>
    <row r="408" spans="1:7">
      <c r="A408" s="7">
        <v>45302</v>
      </c>
      <c r="B408">
        <f>-中国_中债国债到期收益率_1年!B407+中国_中债国债到期收益率_1年!B406</f>
        <v>-0.0100000000000002</v>
      </c>
      <c r="C408">
        <f>-中国_中债国债到期收益率_1年!C407+中国_中债国债到期收益率_1年!C406</f>
        <v>-0.0157000000000003</v>
      </c>
      <c r="D408">
        <f>-中国_中债国债到期收益率_1年!D407+中国_中债国债到期收益率_1年!D406</f>
        <v>-0.012</v>
      </c>
      <c r="E408">
        <f>-中国_中债国债到期收益率_1年!E407+中国_中债国债到期收益率_1年!E406</f>
        <v>-0.00649999999999995</v>
      </c>
      <c r="F408">
        <f>-中国_中债国债到期收益率_1年!F407+中国_中债国债到期收益率_1年!F406</f>
        <v>-0.0154000000000001</v>
      </c>
      <c r="G408">
        <f>-中国_中债国债到期收益率_1年!G407+中国_中债国债到期收益率_1年!G406</f>
        <v>-0.00480000000000036</v>
      </c>
    </row>
    <row r="409" spans="1:7">
      <c r="A409" s="7">
        <v>45303</v>
      </c>
      <c r="B409">
        <f>-中国_中债国债到期收益率_1年!B408+中国_中债国债到期收益率_1年!B407</f>
        <v>0.0150000000000001</v>
      </c>
      <c r="C409">
        <f>-中国_中债国债到期收益率_1年!C408+中国_中债国债到期收益率_1年!C407</f>
        <v>0.00200000000000022</v>
      </c>
      <c r="D409">
        <f>-中国_中债国债到期收益率_1年!D408+中国_中债国债到期收益率_1年!D407</f>
        <v>-0.00099999999999989</v>
      </c>
      <c r="E409">
        <f>-中国_中债国债到期收益率_1年!E408+中国_中债国债到期收益率_1年!E407</f>
        <v>-0.0011000000000001</v>
      </c>
      <c r="F409">
        <f>-中国_中债国债到期收益率_1年!F408+中国_中债国债到期收益率_1年!F407</f>
        <v>0.0051000000000001</v>
      </c>
      <c r="G409">
        <f>-中国_中债国债到期收益率_1年!G408+中国_中债国债到期收益率_1年!G407</f>
        <v>0.00100000000000033</v>
      </c>
    </row>
    <row r="410" spans="1:7">
      <c r="A410" s="7">
        <v>45306</v>
      </c>
      <c r="B410">
        <f>-中国_中债国债到期收益率_1年!B409+中国_中债国债到期收益率_1年!B408</f>
        <v>0</v>
      </c>
      <c r="C410">
        <f>-中国_中债国债到期收益率_1年!C409+中国_中债国债到期收益率_1年!C408</f>
        <v>-0.0114000000000001</v>
      </c>
      <c r="D410">
        <f>-中国_中债国债到期收益率_1年!D409+中国_中债国债到期收益率_1年!D408</f>
        <v>-0.0179999999999998</v>
      </c>
      <c r="E410">
        <f>-中国_中债国债到期收益率_1年!E409+中国_中债国债到期收益率_1年!E408</f>
        <v>-0.0161000000000002</v>
      </c>
      <c r="F410">
        <f>-中国_中债国债到期收益率_1年!F409+中国_中债国债到期收益率_1年!F408</f>
        <v>0.0131999999999999</v>
      </c>
      <c r="G410">
        <f>-中国_中债国债到期收益率_1年!G409+中国_中债国债到期收益率_1年!G408</f>
        <v>-0.00360000000000005</v>
      </c>
    </row>
    <row r="411" spans="1:7">
      <c r="A411" s="7">
        <v>45307</v>
      </c>
      <c r="B411">
        <f>-中国_中债国债到期收益率_1年!B410+中国_中债国债到期收益率_1年!B409</f>
        <v>-0.00499999999999989</v>
      </c>
      <c r="C411">
        <f>-中国_中债国债到期收益率_1年!C410+中国_中债国债到期收益率_1年!C409</f>
        <v>-0.0100000000000002</v>
      </c>
      <c r="D411">
        <f>-中国_中债国债到期收益率_1年!D410+中国_中债国债到期收益率_1年!D409</f>
        <v>-0.004</v>
      </c>
      <c r="E411">
        <f>-中国_中债国债到期收益率_1年!E410+中国_中债国债到期收益率_1年!E409</f>
        <v>0.00740000000000007</v>
      </c>
      <c r="F411">
        <f>-中国_中债国债到期收益率_1年!F410+中国_中债国债到期收益率_1年!F409</f>
        <v>-0.0301999999999998</v>
      </c>
      <c r="G411">
        <f>-中国_中债国债到期收益率_1年!G410+中国_中债国债到期收益率_1年!G409</f>
        <v>-0.00170000000000003</v>
      </c>
    </row>
    <row r="412" spans="1:7">
      <c r="A412" s="7">
        <v>45308</v>
      </c>
      <c r="B412">
        <f>-中国_中债国债到期收益率_1年!B411+中国_中债国债到期收益率_1年!B410</f>
        <v>-0.0100000000000002</v>
      </c>
      <c r="C412">
        <f>-中国_中债国债到期收益率_1年!C411+中国_中债国债到期收益率_1年!C410</f>
        <v>-0.0149999999999997</v>
      </c>
      <c r="D412">
        <f>-中国_中债国债到期收益率_1年!D411+中国_中债国债到期收益率_1年!D410</f>
        <v>-0.004</v>
      </c>
      <c r="E412">
        <f>-中国_中债国债到期收益率_1年!E411+中国_中债国债到期收益率_1年!E410</f>
        <v>-0.00409999999999977</v>
      </c>
      <c r="F412">
        <f>-中国_中债国债到期收益率_1年!F411+中国_中债国债到期收益率_1年!F410</f>
        <v>-0.0344000000000002</v>
      </c>
      <c r="G412">
        <f>-中国_中债国债到期收益率_1年!G411+中国_中债国债到期收益率_1年!G410</f>
        <v>-0.0176000000000003</v>
      </c>
    </row>
    <row r="413" spans="1:7">
      <c r="A413" s="7">
        <v>45309</v>
      </c>
      <c r="B413">
        <f>-中国_中债国债到期收益率_1年!B412+中国_中债国债到期收益率_1年!B411</f>
        <v>0.00500000000000034</v>
      </c>
      <c r="C413">
        <f>-中国_中债国债到期收益率_1年!C412+中国_中债国债到期收益率_1年!C411</f>
        <v>0.0402999999999998</v>
      </c>
      <c r="D413">
        <f>-中国_中债国债到期收益率_1年!D412+中国_中债国债到期收益率_1年!D411</f>
        <v>0.0175000000000001</v>
      </c>
      <c r="E413">
        <f>-中国_中债国债到期收益率_1年!E412+中国_中债国债到期收益率_1年!E411</f>
        <v>0.0149999999999997</v>
      </c>
      <c r="F413">
        <f>-中国_中债国债到期收益率_1年!F412+中国_中债国债到期收益率_1年!F411</f>
        <v>0.0017999999999998</v>
      </c>
      <c r="G413">
        <f>-中国_中债国债到期收益率_1年!G412+中国_中债国债到期收益率_1年!G411</f>
        <v>0.012</v>
      </c>
    </row>
    <row r="414" spans="1:7">
      <c r="A414" s="7">
        <v>45310</v>
      </c>
      <c r="B414">
        <f>-中国_中债国债到期收益率_1年!B413+中国_中债国债到期收益率_1年!B412</f>
        <v>0.00499999999999989</v>
      </c>
      <c r="C414">
        <f>-中国_中债国债到期收益率_1年!C413+中国_中债国债到期收益率_1年!C412</f>
        <v>0.00490000000000013</v>
      </c>
      <c r="D414">
        <f>-中国_中债国债到期收益率_1年!D413+中国_中债国债到期收益率_1年!D412</f>
        <v>-0.00150000000000006</v>
      </c>
      <c r="E414">
        <f>-中国_中债国债到期收益率_1年!E413+中国_中债国债到期收益率_1年!E412</f>
        <v>0.00150000000000006</v>
      </c>
      <c r="F414">
        <f>-中国_中债国债到期收益率_1年!F413+中国_中债国债到期收益率_1年!F412</f>
        <v>0.00920000000000032</v>
      </c>
      <c r="G414">
        <f>-中国_中债国债到期收益率_1年!G413+中国_中债国债到期收益率_1年!G412</f>
        <v>0.00629999999999997</v>
      </c>
    </row>
    <row r="415" spans="1:7">
      <c r="A415" s="7">
        <v>45313</v>
      </c>
      <c r="B415">
        <f>-中国_中债国债到期收益率_1年!B414+中国_中债国债到期收益率_1年!B413</f>
        <v>0.0150000000000001</v>
      </c>
      <c r="C415">
        <f>-中国_中债国债到期收益率_1年!C414+中国_中债国债到期收益率_1年!C413</f>
        <v>0.0173999999999999</v>
      </c>
      <c r="D415">
        <f>-中国_中债国债到期收益率_1年!D414+中国_中债国债到期收益率_1年!D413</f>
        <v>0.00649999999999995</v>
      </c>
      <c r="E415">
        <f>-中国_中债国债到期收益率_1年!E414+中国_中债国债到期收益率_1年!E413</f>
        <v>0.0148999999999999</v>
      </c>
      <c r="F415">
        <f>-中国_中债国债到期收益率_1年!F414+中国_中债国债到期收益率_1年!F413</f>
        <v>0.0221</v>
      </c>
      <c r="G415">
        <f>-中国_中债国债到期收益率_1年!G414+中国_中债国债到期收益率_1年!G413</f>
        <v>0.0022000000000002</v>
      </c>
    </row>
    <row r="416" spans="1:7">
      <c r="A416" s="7">
        <v>45314</v>
      </c>
      <c r="B416">
        <f>-中国_中债国债到期收益率_1年!B415+中国_中债国债到期收益率_1年!B414</f>
        <v>0.00279999999999969</v>
      </c>
      <c r="C416">
        <f>-中国_中债国债到期收益率_1年!C415+中国_中债国债到期收益率_1年!C414</f>
        <v>0.00710000000000033</v>
      </c>
      <c r="D416">
        <f>-中国_中债国债到期收益率_1年!D415+中国_中债国债到期收益率_1年!D414</f>
        <v>0.0105</v>
      </c>
      <c r="E416">
        <f>-中国_中债国债到期收益率_1年!E415+中国_中债国债到期收益率_1年!E414</f>
        <v>0.0359000000000003</v>
      </c>
      <c r="F416">
        <f>-中国_中债国债到期收益率_1年!F415+中国_中债国债到期收益率_1年!F414</f>
        <v>-0.0152000000000001</v>
      </c>
      <c r="G416">
        <f>-中国_中债国债到期收益率_1年!G415+中国_中债国债到期收益率_1年!G414</f>
        <v>0.00490000000000013</v>
      </c>
    </row>
    <row r="417" spans="1:7">
      <c r="A417" s="7">
        <v>45315</v>
      </c>
      <c r="B417">
        <f>-中国_中债国债到期收益率_1年!B416+中国_中债国债到期收益率_1年!B415</f>
        <v>-0.00279999999999969</v>
      </c>
      <c r="C417">
        <f>-中国_中债国债到期收益率_1年!C416+中国_中债国债到期收益率_1年!C415</f>
        <v>-0.0126000000000004</v>
      </c>
      <c r="D417">
        <f>-中国_中债国债到期收益率_1年!D416+中国_中债国债到期收益率_1年!D415</f>
        <v>-0.012</v>
      </c>
      <c r="E417">
        <f>-中国_中债国债到期收益率_1年!E416+中国_中债国债到期收益率_1年!E415</f>
        <v>-0.0103</v>
      </c>
      <c r="F417">
        <f>-中国_中债国债到期收益率_1年!F416+中国_中债国债到期收益率_1年!F415</f>
        <v>0.00190000000000001</v>
      </c>
      <c r="G417">
        <f>-中国_中债国债到期收益率_1年!G416+中国_中债国债到期收益率_1年!G415</f>
        <v>-0.0109000000000004</v>
      </c>
    </row>
    <row r="418" spans="1:7">
      <c r="A418" s="7">
        <v>45316</v>
      </c>
      <c r="B418">
        <f>-中国_中债国债到期收益率_1年!B417+中国_中债国债到期收益率_1年!B416</f>
        <v>0.0149999999999997</v>
      </c>
      <c r="C418">
        <f>-中国_中债国债到期收益率_1年!C417+中国_中债国债到期收益率_1年!C416</f>
        <v>0.0122</v>
      </c>
      <c r="D418">
        <f>-中国_中债国债到期收益率_1年!D417+中国_中债国债到期收益率_1年!D416</f>
        <v>0</v>
      </c>
      <c r="E418">
        <f>-中国_中债国债到期收益率_1年!E417+中国_中债国债到期收益率_1年!E416</f>
        <v>-0.00530000000000008</v>
      </c>
      <c r="F418">
        <f>-中国_中债国债到期收益率_1年!F417+中国_中债国债到期收益率_1年!F416</f>
        <v>0.0236999999999998</v>
      </c>
      <c r="G418">
        <f>-中国_中债国债到期收益率_1年!G417+中国_中债国债到期收益率_1年!G416</f>
        <v>0.00700000000000012</v>
      </c>
    </row>
    <row r="419" spans="1:7">
      <c r="A419" s="7">
        <v>45317</v>
      </c>
      <c r="B419">
        <f>-中国_中债国债到期收益率_1年!B418+中国_中债国债到期收益率_1年!B417</f>
        <v>0.0349000000000004</v>
      </c>
      <c r="C419">
        <f>-中国_中债国债到期收益率_1年!C418+中国_中债国债到期收益率_1年!C417</f>
        <v>0.0399000000000003</v>
      </c>
      <c r="D419">
        <f>-中国_中债国债到期收益率_1年!D418+中国_中债国债到期收益率_1年!D417</f>
        <v>0.00579999999999981</v>
      </c>
      <c r="E419">
        <f>-中国_中债国债到期收益率_1年!E418+中国_中债国债到期收益率_1年!E417</f>
        <v>0.00590000000000002</v>
      </c>
      <c r="F419">
        <f>-中国_中债国债到期收益率_1年!F418+中国_中债国债到期收益率_1年!F417</f>
        <v>0.0390000000000001</v>
      </c>
      <c r="G419">
        <f>-中国_中债国债到期收益率_1年!G418+中国_中债国债到期收益率_1年!G417</f>
        <v>0.0306999999999999</v>
      </c>
    </row>
    <row r="420" spans="1:7">
      <c r="A420" s="7">
        <v>45320</v>
      </c>
      <c r="B420">
        <f>-中国_中债国债到期收益率_1年!B419+中国_中债国债到期收益率_1年!B418</f>
        <v>0.0112999999999999</v>
      </c>
      <c r="C420">
        <f>-中国_中债国债到期收益率_1年!C419+中国_中债国债到期收益率_1年!C418</f>
        <v>-0.0127000000000002</v>
      </c>
      <c r="D420">
        <f>-中国_中债国债到期收益率_1年!D419+中国_中债国债到期收益率_1年!D418</f>
        <v>-0.00099999999999989</v>
      </c>
      <c r="E420">
        <f>-中国_中债国债到期收益率_1年!E419+中国_中债国债到期收益率_1年!E418</f>
        <v>-0.00099999999999989</v>
      </c>
      <c r="F420">
        <f>-中国_中债国债到期收益率_1年!F419+中国_中债国债到期收益率_1年!F418</f>
        <v>0.0194999999999999</v>
      </c>
      <c r="G420">
        <f>-中国_中债国债到期收益率_1年!G419+中国_中债国债到期收益率_1年!G418</f>
        <v>0.00629999999999997</v>
      </c>
    </row>
    <row r="421" spans="1:7">
      <c r="A421" s="7">
        <v>45321</v>
      </c>
      <c r="B421">
        <f>-中国_中债国债到期收益率_1年!B420+中国_中债国债到期收益率_1年!B419</f>
        <v>0.0828</v>
      </c>
      <c r="C421">
        <f>-中国_中债国债到期收益率_1年!C420+中国_中债国债到期收益率_1年!C419</f>
        <v>0.0219</v>
      </c>
      <c r="D421">
        <f>-中国_中债国债到期收益率_1年!D420+中国_中债国债到期收益率_1年!D419</f>
        <v>0.00539999999999985</v>
      </c>
      <c r="E421">
        <f>-中国_中债国债到期收益率_1年!E420+中国_中债国债到期收益率_1年!E419</f>
        <v>0.00590000000000002</v>
      </c>
      <c r="F421">
        <f>-中国_中债国债到期收益率_1年!F420+中国_中债国债到期收益率_1年!F419</f>
        <v>0.00630000000000019</v>
      </c>
      <c r="G421">
        <f>-中国_中债国债到期收益率_1年!G420+中国_中债国债到期收益率_1年!G419</f>
        <v>0.0196000000000001</v>
      </c>
    </row>
    <row r="422" spans="1:7">
      <c r="A422" s="7">
        <v>45322</v>
      </c>
      <c r="B422">
        <f>-中国_中债国债到期收益率_1年!B421+中国_中债国债到期收益率_1年!B420</f>
        <v>0.0649999999999999</v>
      </c>
      <c r="C422">
        <f>-中国_中债国债到期收益率_1年!C421+中国_中债国债到期收益率_1年!C420</f>
        <v>0.0373000000000001</v>
      </c>
      <c r="D422">
        <f>-中国_中债国债到期收益率_1年!D421+中国_中债国债到期收益率_1年!D420</f>
        <v>0.0383</v>
      </c>
      <c r="E422">
        <f>-中国_中债国债到期收益率_1年!E421+中国_中债国债到期收益率_1年!E420</f>
        <v>0.0440999999999998</v>
      </c>
      <c r="F422">
        <f>-中国_中债国债到期收益率_1年!F421+中国_中债国债到期收益率_1年!F420</f>
        <v>0.0527</v>
      </c>
      <c r="G422">
        <f>-中国_中债国债到期收益率_1年!G421+中国_中债国债到期收益率_1年!G420</f>
        <v>0.0573999999999999</v>
      </c>
    </row>
    <row r="423" spans="1:7">
      <c r="A423" s="7">
        <v>45323</v>
      </c>
      <c r="B423">
        <f>-中国_中债国债到期收益率_1年!B422+中国_中债国债到期收益率_1年!B421</f>
        <v>-0.0051000000000001</v>
      </c>
      <c r="C423">
        <f>-中国_中债国债到期收益率_1年!C422+中国_中债国债到期收益率_1年!C421</f>
        <v>-0.00229999999999997</v>
      </c>
      <c r="D423">
        <f>-中国_中债国债到期收益率_1年!D422+中国_中债国债到期收益率_1年!D421</f>
        <v>0.0227000000000004</v>
      </c>
      <c r="E423">
        <f>-中国_中债国债到期收益率_1年!E422+中国_中债国债到期收益率_1年!E421</f>
        <v>0.0348999999999999</v>
      </c>
      <c r="F423">
        <f>-中国_中债国债到期收益率_1年!F422+中国_中债国债到期收益率_1年!F421</f>
        <v>-0.0276000000000001</v>
      </c>
      <c r="G423">
        <f>-中国_中债国债到期收益率_1年!G422+中国_中债国债到期收益率_1年!G421</f>
        <v>0.0051000000000001</v>
      </c>
    </row>
    <row r="424" spans="1:7">
      <c r="A424" s="7">
        <v>45324</v>
      </c>
      <c r="B424">
        <f>-中国_中债国债到期收益率_1年!B423+中国_中债国债到期收益率_1年!B422</f>
        <v>0</v>
      </c>
      <c r="C424">
        <f>-中国_中债国债到期收益率_1年!C423+中国_中债国债到期收益率_1年!C422</f>
        <v>-0.0176000000000003</v>
      </c>
      <c r="D424">
        <f>-中国_中债国债到期收益率_1年!D423+中国_中债国债到期收益率_1年!D422</f>
        <v>-0.00240000000000018</v>
      </c>
      <c r="E424">
        <f>-中国_中债国债到期收益率_1年!E423+中国_中债国债到期收益率_1年!E422</f>
        <v>0.00099999999999989</v>
      </c>
      <c r="F424">
        <f>-中国_中债国债到期收益率_1年!F423+中国_中债国债到期收益率_1年!F422</f>
        <v>-0.00350000000000006</v>
      </c>
      <c r="G424">
        <f>-中国_中债国债到期收益率_1年!G423+中国_中债国债到期收益率_1年!G422</f>
        <v>-0.0101999999999998</v>
      </c>
    </row>
    <row r="425" spans="1:7">
      <c r="A425" s="7">
        <v>45326</v>
      </c>
      <c r="B425">
        <f>-中国_中债国债到期收益率_1年!B424+中国_中债国债到期收益率_1年!B423</f>
        <v>-0.0101</v>
      </c>
      <c r="C425">
        <f>-中国_中债国债到期收益率_1年!C424+中国_中债国债到期收益率_1年!C423</f>
        <v>0.0249000000000001</v>
      </c>
      <c r="D425">
        <f>-中国_中债国债到期收益率_1年!D424+中国_中债国债到期收益率_1年!D423</f>
        <v>0.0110000000000001</v>
      </c>
      <c r="E425">
        <f>-中国_中债国债到期收益率_1年!E424+中国_中债国债到期收益率_1年!E423</f>
        <v>0.0119000000000002</v>
      </c>
      <c r="F425">
        <f>-中国_中债国债到期收益率_1年!F424+中国_中债国债到期收益率_1年!F423</f>
        <v>0.0031000000000001</v>
      </c>
      <c r="G425">
        <f>-中国_中债国债到期收益率_1年!G424+中国_中债国债到期收益率_1年!G423</f>
        <v>-0.00350000000000028</v>
      </c>
    </row>
    <row r="426" spans="1:7">
      <c r="A426" s="7">
        <v>45327</v>
      </c>
      <c r="B426">
        <f>-中国_中债国债到期收益率_1年!B425+中国_中债国债到期收益率_1年!B424</f>
        <v>0.01</v>
      </c>
      <c r="C426">
        <f>-中国_中债国债到期收益率_1年!C425+中国_中债国债到期收益率_1年!C424</f>
        <v>0.00709999999999988</v>
      </c>
      <c r="D426">
        <f>-中国_中债国债到期收益率_1年!D425+中国_中债国债到期收益率_1年!D424</f>
        <v>0.0190999999999999</v>
      </c>
      <c r="E426">
        <f>-中国_中债国债到期收益率_1年!E425+中国_中债国债到期收益率_1年!E424</f>
        <v>0.0276999999999998</v>
      </c>
      <c r="F426">
        <f>-中国_中债国债到期收益率_1年!F425+中国_中债国债到期收益率_1年!F424</f>
        <v>0.0145999999999999</v>
      </c>
      <c r="G426">
        <f>-中国_中债国债到期收益率_1年!G425+中国_中债国债到期收益率_1年!G424</f>
        <v>0.0156000000000001</v>
      </c>
    </row>
    <row r="427" spans="1:7">
      <c r="A427" s="7">
        <v>45328</v>
      </c>
      <c r="B427">
        <f>-中国_中债国债到期收益率_1年!B426+中国_中债国债到期收益率_1年!B425</f>
        <v>-0.00259999999999994</v>
      </c>
      <c r="C427">
        <f>-中国_中债国债到期收益率_1年!C426+中国_中债国债到期收益率_1年!C425</f>
        <v>-0.00229999999999997</v>
      </c>
      <c r="D427">
        <f>-中国_中债国债到期收益率_1年!D426+中国_中债国债到期收益率_1年!D425</f>
        <v>0.0051000000000001</v>
      </c>
      <c r="E427">
        <f>-中国_中债国债到期收益率_1年!E426+中国_中债国债到期收益率_1年!E425</f>
        <v>0.0102000000000002</v>
      </c>
      <c r="F427">
        <f>-中国_中债国债到期收益率_1年!F426+中国_中债国债到期收益率_1年!F425</f>
        <v>-0.0104</v>
      </c>
      <c r="G427">
        <f>-中国_中债国债到期收益率_1年!G426+中国_中债国债到期收益率_1年!G425</f>
        <v>-0.00229999999999997</v>
      </c>
    </row>
    <row r="428" spans="1:7">
      <c r="A428" s="7">
        <v>45329</v>
      </c>
      <c r="B428">
        <f>-中国_中债国债到期收益率_1年!B427+中国_中债国债到期收益率_1年!B426</f>
        <v>-0.044</v>
      </c>
      <c r="C428">
        <f>-中国_中债国债到期收益率_1年!C427+中国_中债国债到期收益率_1年!C426</f>
        <v>-0.0577999999999999</v>
      </c>
      <c r="D428">
        <f>-中国_中债国债到期收益率_1年!D427+中国_中债国债到期收益率_1年!D426</f>
        <v>-0.0523000000000002</v>
      </c>
      <c r="E428">
        <f>-中国_中债国债到期收益率_1年!E427+中国_中债国债到期收益率_1年!E426</f>
        <v>-0.0605000000000002</v>
      </c>
      <c r="F428">
        <f>-中国_中债国债到期收益率_1年!F427+中国_中债国债到期收益率_1年!F426</f>
        <v>-0.0138</v>
      </c>
      <c r="G428">
        <f>-中国_中债国债到期收益率_1年!G427+中国_中债国债到期收益率_1年!G426</f>
        <v>-0.0308999999999999</v>
      </c>
    </row>
    <row r="429" spans="1:7">
      <c r="A429" s="7">
        <v>45330</v>
      </c>
      <c r="B429">
        <f>-中国_中债国债到期收益率_1年!B428+中国_中债国债到期收益率_1年!B427</f>
        <v>-0.00180000000000002</v>
      </c>
      <c r="C429">
        <f>-中国_中债国债到期收益率_1年!C428+中国_中债国债到期收益率_1年!C427</f>
        <v>0.0343999999999998</v>
      </c>
      <c r="D429">
        <f>-中国_中债国债到期收益率_1年!D428+中国_中债国债到期收益率_1年!D427</f>
        <v>0.0372000000000003</v>
      </c>
      <c r="E429">
        <f>-中国_中债国债到期收益率_1年!E428+中国_中债国债到期收益率_1年!E427</f>
        <v>0.0365000000000002</v>
      </c>
      <c r="F429">
        <f>-中国_中债国债到期收益率_1年!F428+中国_中债国债到期收益率_1年!F427</f>
        <v>0.00930000000000009</v>
      </c>
      <c r="G429">
        <f>-中国_中债国债到期收益率_1年!G428+中国_中债国债到期收益率_1年!G427</f>
        <v>-0.000700000000000145</v>
      </c>
    </row>
    <row r="430" spans="1:7">
      <c r="A430" s="7">
        <v>45331</v>
      </c>
      <c r="B430">
        <f>-中国_中债国债到期收益率_1年!B429+中国_中债国债到期收益率_1年!B428</f>
        <v>0.00219999999999998</v>
      </c>
      <c r="C430">
        <f>-中国_中债国债到期收益率_1年!C429+中国_中债国债到期收益率_1年!C428</f>
        <v>0.0100000000000002</v>
      </c>
      <c r="D430">
        <f>-中国_中债国债到期收益率_1年!D429+中国_中债国债到期收益率_1年!D428</f>
        <v>-0.0226000000000002</v>
      </c>
      <c r="E430">
        <f>-中国_中债国债到期收益率_1年!E429+中国_中债国债到期收益率_1年!E428</f>
        <v>-0.0291000000000001</v>
      </c>
      <c r="F430">
        <f>-中国_中债国债到期收益率_1年!F429+中国_中债国债到期收益率_1年!F428</f>
        <v>0.0251999999999999</v>
      </c>
      <c r="G430">
        <f>-中国_中债国债到期收益率_1年!G429+中国_中债国债到期收益率_1年!G428</f>
        <v>0.0163000000000002</v>
      </c>
    </row>
    <row r="431" spans="1:7">
      <c r="A431" s="7">
        <v>45340</v>
      </c>
      <c r="B431">
        <f>-中国_中债国债到期收益率_1年!B430+中国_中债国债到期收益率_1年!B429</f>
        <v>0</v>
      </c>
      <c r="C431">
        <f>-中国_中债国债到期收益率_1年!C430+中国_中债国债到期收益率_1年!C429</f>
        <v>0</v>
      </c>
      <c r="D431">
        <f>-中国_中债国债到期收益率_1年!D430+中国_中债国债到期收益率_1年!D429</f>
        <v>0.00769999999999982</v>
      </c>
      <c r="E431">
        <f>-中国_中债国债到期收益率_1年!E430+中国_中债国债到期收益率_1年!E429</f>
        <v>0</v>
      </c>
      <c r="F431">
        <f>-中国_中债国债到期收益率_1年!F430+中国_中债国债到期收益率_1年!F429</f>
        <v>1.9469</v>
      </c>
      <c r="G431">
        <f>-中国_中债国债到期收益率_1年!G430+中国_中债国债到期收益率_1年!G429</f>
        <v>-0.0179</v>
      </c>
    </row>
    <row r="432" spans="1:7">
      <c r="A432" s="7">
        <v>45341</v>
      </c>
      <c r="B432">
        <f>-中国_中债国债到期收益率_1年!B431+中国_中债国债到期收益率_1年!B430</f>
        <v>-0.00269999999999992</v>
      </c>
      <c r="C432">
        <f>-中国_中债国债到期收益率_1年!C431+中国_中债国债到期收益率_1年!C430</f>
        <v>-0.00870000000000015</v>
      </c>
      <c r="D432">
        <f>-中国_中债国债到期收益率_1年!D431+中国_中债国债到期收益率_1年!D430</f>
        <v>-0.00909999999999966</v>
      </c>
      <c r="E432">
        <f>-中国_中债国债到期收益率_1年!E431+中国_中债国债到期收益率_1年!E430</f>
        <v>0.00750000000000028</v>
      </c>
      <c r="F432">
        <f>-中国_中债国债到期收益率_1年!F431+中国_中债国债到期收益率_1年!F430</f>
        <v>-1.9608</v>
      </c>
      <c r="G432">
        <f>-中国_中债国债到期收益率_1年!G431+中国_中债国债到期收益率_1年!G430</f>
        <v>0.000799999999999912</v>
      </c>
    </row>
    <row r="433" spans="1:7">
      <c r="A433" s="7">
        <v>45342</v>
      </c>
      <c r="B433">
        <f>-中国_中债国债到期收益率_1年!B432+中国_中债国债到期收益率_1年!B431</f>
        <v>0.0135000000000001</v>
      </c>
      <c r="C433">
        <f>-中国_中债国债到期收益率_1年!C432+中国_中债国债到期收益率_1年!C431</f>
        <v>-0.00859999999999994</v>
      </c>
      <c r="D433">
        <f>-中国_中债国债到期收益率_1年!D432+中国_中债国债到期收益率_1年!D431</f>
        <v>0.00489999999999968</v>
      </c>
      <c r="E433">
        <f>-中国_中债国债到期收益率_1年!E432+中国_中债国债到期收益率_1年!E431</f>
        <v>0.016</v>
      </c>
      <c r="F433">
        <f>-中国_中债国债到期收益率_1年!F432+中国_中债国债到期收益率_1年!F431</f>
        <v>-0.0135999999999998</v>
      </c>
      <c r="G433">
        <f>-中国_中债国债到期收益率_1年!G432+中国_中债国债到期收益率_1年!G431</f>
        <v>-0.00570000000000004</v>
      </c>
    </row>
    <row r="434" spans="1:7">
      <c r="A434" s="7">
        <v>45343</v>
      </c>
      <c r="B434">
        <f>-中国_中债国债到期收益率_1年!B433+中国_中债国债到期收益率_1年!B432</f>
        <v>0.0508</v>
      </c>
      <c r="C434">
        <f>-中国_中债国债到期收益率_1年!C433+中国_中债国债到期收益率_1年!C432</f>
        <v>0.0299</v>
      </c>
      <c r="D434">
        <f>-中国_中债国债到期收益率_1年!D433+中国_中债国债到期收益率_1年!D432</f>
        <v>0.0209999999999999</v>
      </c>
      <c r="E434">
        <f>-中国_中债国债到期收益率_1年!E433+中国_中债国债到期收益率_1年!E432</f>
        <v>0.0265999999999997</v>
      </c>
      <c r="F434">
        <f>-中国_中债国债到期收益率_1年!F433+中国_中债国债到期收益率_1年!F432</f>
        <v>0.0150999999999999</v>
      </c>
      <c r="G434">
        <f>-中国_中债国债到期收益率_1年!G433+中国_中债国债到期收益率_1年!G432</f>
        <v>0.0205000000000002</v>
      </c>
    </row>
    <row r="435" spans="1:7">
      <c r="A435" s="7">
        <v>45344</v>
      </c>
      <c r="B435">
        <f>-中国_中债国债到期收益率_1年!B434+中国_中债国债到期收益率_1年!B433</f>
        <v>0.05</v>
      </c>
      <c r="C435">
        <f>-中国_中债国债到期收益率_1年!C434+中国_中债国债到期收益率_1年!C433</f>
        <v>0.00760000000000005</v>
      </c>
      <c r="D435">
        <f>-中国_中债国债到期收益率_1年!D434+中国_中债国债到期收益率_1年!D433</f>
        <v>0.00150000000000006</v>
      </c>
      <c r="E435">
        <f>-中国_中债国债到期收益率_1年!E434+中国_中债国债到期收益率_1年!E433</f>
        <v>-0.000599999999999934</v>
      </c>
      <c r="F435">
        <f>-中国_中债国债到期收益率_1年!F434+中国_中债国债到期收益率_1年!F433</f>
        <v>0.00870000000000015</v>
      </c>
      <c r="G435">
        <f>-中国_中债国债到期收益率_1年!G434+中国_中债国债到期收益率_1年!G433</f>
        <v>0.0110000000000001</v>
      </c>
    </row>
    <row r="436" spans="1:7">
      <c r="A436" s="7">
        <v>45345</v>
      </c>
      <c r="B436">
        <f>-中国_中债国债到期收益率_1年!B435+中国_中债国债到期收益率_1年!B434</f>
        <v>0.0418000000000001</v>
      </c>
      <c r="C436">
        <f>-中国_中债国债到期收益率_1年!C435+中国_中债国债到期收益率_1年!C434</f>
        <v>0.0244</v>
      </c>
      <c r="D436">
        <f>-中国_中债国债到期收益率_1年!D435+中国_中债国债到期收益率_1年!D434</f>
        <v>0.00859999999999994</v>
      </c>
      <c r="E436">
        <f>-中国_中债国债到期收益率_1年!E435+中国_中债国债到期收益率_1年!E434</f>
        <v>0.00999999999999979</v>
      </c>
      <c r="F436">
        <f>-中国_中债国债到期收益率_1年!F435+中国_中债国债到期收益率_1年!F434</f>
        <v>0.00959999999999983</v>
      </c>
      <c r="G436">
        <f>-中国_中债国债到期收益率_1年!G435+中国_中债国债到期收益率_1年!G434</f>
        <v>0.0115999999999996</v>
      </c>
    </row>
    <row r="437" spans="1:7">
      <c r="A437" s="7">
        <v>45348</v>
      </c>
      <c r="B437">
        <f>-中国_中债国债到期收益率_1年!B436+中国_中债国债到期收益率_1年!B435</f>
        <v>0.00319999999999987</v>
      </c>
      <c r="C437">
        <f>-中国_中债国债到期收益率_1年!C436+中国_中债国债到期收益率_1年!C435</f>
        <v>-0.00559999999999983</v>
      </c>
      <c r="D437">
        <f>-中国_中债国债到期收益率_1年!D436+中国_中债国债到期收益率_1年!D435</f>
        <v>0.00240000000000018</v>
      </c>
      <c r="E437">
        <f>-中国_中债国债到期收益率_1年!E436+中国_中债国债到期收益率_1年!E435</f>
        <v>0.0101</v>
      </c>
      <c r="F437">
        <f>-中国_中债国债到期收益率_1年!F436+中国_中债国债到期收益率_1年!F435</f>
        <v>0.0191000000000001</v>
      </c>
      <c r="G437">
        <f>-中国_中债国债到期收益率_1年!G436+中国_中债国债到期收益率_1年!G435</f>
        <v>0.0295000000000001</v>
      </c>
    </row>
    <row r="438" spans="1:7">
      <c r="A438" s="7">
        <v>45349</v>
      </c>
      <c r="B438">
        <f>-中国_中债国债到期收益率_1年!B437+中国_中债国债到期收益率_1年!B436</f>
        <v>0.00290000000000012</v>
      </c>
      <c r="C438">
        <f>-中国_中债国债到期收益率_1年!C437+中国_中债国债到期收益率_1年!C436</f>
        <v>0.0250999999999997</v>
      </c>
      <c r="D438">
        <f>-中国_中债国债到期收益率_1年!D437+中国_中债国债到期收益率_1年!D436</f>
        <v>0.0220000000000002</v>
      </c>
      <c r="E438">
        <f>-中国_中债国债到期收益率_1年!E437+中国_中债国债到期收益率_1年!E436</f>
        <v>0.0409000000000002</v>
      </c>
      <c r="F438">
        <f>-中国_中债国债到期收益率_1年!F437+中国_中债国债到期收益率_1年!F436</f>
        <v>-0.0172000000000001</v>
      </c>
      <c r="G438">
        <f>-中国_中债国债到期收益率_1年!G437+中国_中债国债到期收益率_1年!G436</f>
        <v>-0.00449999999999973</v>
      </c>
    </row>
    <row r="439" spans="1:7">
      <c r="A439" s="7">
        <v>45350</v>
      </c>
      <c r="B439">
        <f>-中国_中债国债到期收益率_1年!B438+中国_中债国债到期收益率_1年!B437</f>
        <v>-0.00690000000000013</v>
      </c>
      <c r="C439">
        <f>-中国_中债国债到期收益率_1年!C438+中国_中债国债到期收益率_1年!C437</f>
        <v>-0.0174999999999996</v>
      </c>
      <c r="D439">
        <f>-中国_中债国债到期收益率_1年!D438+中国_中债国债到期收益率_1年!D437</f>
        <v>-0.00200000000000022</v>
      </c>
      <c r="E439">
        <f>-中国_中债国债到期收益率_1年!E438+中国_中债国债到期收益率_1年!E437</f>
        <v>0.0175999999999998</v>
      </c>
      <c r="F439">
        <f>-中国_中债国债到期收益率_1年!F438+中国_中债国债到期收益率_1年!F437</f>
        <v>-0.00560000000000005</v>
      </c>
      <c r="G439">
        <f>-中国_中债国债到期收益率_1年!G438+中国_中债国债到期收益率_1年!G437</f>
        <v>0.00349999999999984</v>
      </c>
    </row>
    <row r="440" spans="1:7">
      <c r="A440" s="7">
        <v>45351</v>
      </c>
      <c r="B440">
        <f>-中国_中债国债到期收益率_1年!B439+中国_中债国债到期收益率_1年!B438</f>
        <v>-0.0124</v>
      </c>
      <c r="C440">
        <f>-中国_中债国债到期收益率_1年!C439+中国_中债国债到期收益率_1年!C438</f>
        <v>0.0195999999999996</v>
      </c>
      <c r="D440">
        <f>-中国_中债国债到期收益率_1年!D439+中国_中债国债到期收益率_1年!D438</f>
        <v>0.0432999999999999</v>
      </c>
      <c r="E440">
        <f>-中国_中债国债到期收益率_1年!E439+中国_中债国债到期收益率_1年!E438</f>
        <v>0.0356000000000001</v>
      </c>
      <c r="F440">
        <f>-中国_中债国债到期收益率_1年!F439+中国_中债国债到期收益率_1年!F438</f>
        <v>0.000700000000000145</v>
      </c>
      <c r="G440">
        <f>-中国_中债国债到期收益率_1年!G439+中国_中债国债到期收益率_1年!G438</f>
        <v>-0.00410000000000021</v>
      </c>
    </row>
    <row r="441" spans="1:7">
      <c r="A441" s="7">
        <v>45352</v>
      </c>
      <c r="B441">
        <f>-中国_中债国债到期收益率_1年!B440+中国_中债国债到期收益率_1年!B439</f>
        <v>-0.000799999999999912</v>
      </c>
      <c r="C441">
        <f>-中国_中债国债到期收益率_1年!C440+中国_中债国债到期收益率_1年!C439</f>
        <v>0.00450000000000017</v>
      </c>
      <c r="D441">
        <f>-中国_中债国债到期收益率_1年!D440+中国_中债国债到期收益率_1年!D439</f>
        <v>0.000100000000000211</v>
      </c>
      <c r="E441">
        <f>-中国_中债国债到期收益率_1年!E440+中国_中债国债到期收益率_1年!E439</f>
        <v>0.0252000000000003</v>
      </c>
      <c r="F441">
        <f>-中国_中债国债到期收益率_1年!F440+中国_中债国债到期收益率_1年!F439</f>
        <v>0.0172999999999999</v>
      </c>
      <c r="G441">
        <f>-中国_中债国债到期收益率_1年!G440+中国_中债国债到期收益率_1年!G439</f>
        <v>0.00960000000000027</v>
      </c>
    </row>
    <row r="442" spans="1:7">
      <c r="A442" s="7">
        <v>45355</v>
      </c>
      <c r="B442">
        <f>-中国_中债国债到期收益率_1年!B441+中国_中债国债到期收益率_1年!B440</f>
        <v>0.0037999999999998</v>
      </c>
      <c r="C442">
        <f>-中国_中债国债到期收益率_1年!C441+中国_中债国债到期收益率_1年!C440</f>
        <v>-0.0453999999999999</v>
      </c>
      <c r="D442">
        <f>-中国_中债国债到期收益率_1年!D441+中国_中债国债到期收益率_1年!D440</f>
        <v>-0.0300000000000002</v>
      </c>
      <c r="E442">
        <f>-中国_中债国债到期收益率_1年!E441+中国_中债国债到期收益率_1年!E440</f>
        <v>-0.0299</v>
      </c>
      <c r="F442">
        <f>-中国_中债国债到期收益率_1年!F441+中国_中债国债到期收益率_1年!F440</f>
        <v>-0.0184</v>
      </c>
      <c r="G442">
        <f>-中国_中债国债到期收益率_1年!G441+中国_中债国债到期收益率_1年!G440</f>
        <v>-0.0344000000000002</v>
      </c>
    </row>
    <row r="443" spans="1:7">
      <c r="A443" s="7">
        <v>45356</v>
      </c>
      <c r="B443">
        <f>-中国_中债国债到期收益率_1年!B442+中国_中债国债到期收益率_1年!B441</f>
        <v>0.0221</v>
      </c>
      <c r="C443">
        <f>-中国_中债国债到期收益率_1年!C442+中国_中债国债到期收益率_1年!C441</f>
        <v>0.0143</v>
      </c>
      <c r="D443">
        <f>-中国_中债国债到期收益率_1年!D442+中国_中债国债到期收益率_1年!D441</f>
        <v>0.02</v>
      </c>
      <c r="E443">
        <f>-中国_中债国债到期收益率_1年!E442+中国_中债国债到期收益率_1年!E441</f>
        <v>0.0176999999999996</v>
      </c>
      <c r="F443">
        <f>-中国_中债国债到期收益率_1年!F442+中国_中债国债到期收益率_1年!F441</f>
        <v>-0.00249999999999995</v>
      </c>
      <c r="G443">
        <f>-中国_中债国债到期收益率_1年!G442+中国_中债国债到期收益率_1年!G441</f>
        <v>0.00839999999999996</v>
      </c>
    </row>
    <row r="444" spans="1:7">
      <c r="A444" s="7">
        <v>45357</v>
      </c>
      <c r="B444">
        <f>-中国_中债国债到期收益率_1年!B443+中国_中债国债到期收益率_1年!B442</f>
        <v>-0.012</v>
      </c>
      <c r="C444">
        <f>-中国_中债国债到期收益率_1年!C443+中国_中债国债到期收益率_1年!C442</f>
        <v>0.0204</v>
      </c>
      <c r="D444">
        <f>-中国_中债国债到期收益率_1年!D443+中国_中债国债到期收益率_1年!D442</f>
        <v>0.0306000000000002</v>
      </c>
      <c r="E444">
        <f>-中国_中债国债到期收益率_1年!E443+中国_中债国债到期收益率_1年!E442</f>
        <v>-0.00559999999999983</v>
      </c>
      <c r="F444">
        <f>-中国_中债国债到期收益率_1年!F443+中国_中债国债到期收益率_1年!F442</f>
        <v>-0.0081</v>
      </c>
      <c r="G444">
        <f>-中国_中债国债到期收益率_1年!G443+中国_中债国债到期收益率_1年!G442</f>
        <v>0.00470000000000015</v>
      </c>
    </row>
    <row r="445" spans="1:7">
      <c r="A445" s="7">
        <v>45358</v>
      </c>
      <c r="B445">
        <f>-中国_中债国债到期收益率_1年!B444+中国_中债国债到期收益率_1年!B443</f>
        <v>0.0158</v>
      </c>
      <c r="C445">
        <f>-中国_中债国债到期收益率_1年!C444+中国_中债国债到期收益率_1年!C443</f>
        <v>0.0609999999999999</v>
      </c>
      <c r="D445">
        <f>-中国_中债国债到期收益率_1年!D444+中国_中债国债到期收益率_1年!D443</f>
        <v>0.0518999999999998</v>
      </c>
      <c r="E445">
        <f>-中国_中债国债到期收益率_1年!E444+中国_中债国债到期收益率_1年!E443</f>
        <v>0.052</v>
      </c>
      <c r="F445">
        <f>-中国_中债国债到期收益率_1年!F444+中国_中债国债到期收益率_1年!F443</f>
        <v>0.00970000000000004</v>
      </c>
      <c r="G445">
        <f>-中国_中债国债到期收益率_1年!G444+中国_中债国债到期收益率_1年!G443</f>
        <v>0.0272999999999999</v>
      </c>
    </row>
    <row r="446" spans="1:7">
      <c r="A446" s="7">
        <v>45359</v>
      </c>
      <c r="B446">
        <f>-中国_中债国债到期收益率_1年!B445+中国_中债国债到期收益率_1年!B444</f>
        <v>-0.000399999999999956</v>
      </c>
      <c r="C446">
        <f>-中国_中债国债到期收益率_1年!C445+中国_中债国债到期收益率_1年!C444</f>
        <v>-0.0284</v>
      </c>
      <c r="D446">
        <f>-中国_中债国债到期收益率_1年!D445+中国_中债国债到期收益率_1年!D444</f>
        <v>-0.0125999999999999</v>
      </c>
      <c r="E446">
        <f>-中国_中债国债到期收益率_1年!E445+中国_中债国债到期收益率_1年!E444</f>
        <v>-0.00360000000000005</v>
      </c>
      <c r="F446">
        <f>-中国_中债国债到期收益率_1年!F445+中国_中债国债到期收益率_1年!F444</f>
        <v>0.0147999999999999</v>
      </c>
      <c r="G446">
        <f>-中国_中债国债到期收益率_1年!G445+中国_中债国债到期收益率_1年!G444</f>
        <v>0.0179</v>
      </c>
    </row>
    <row r="447" spans="1:7">
      <c r="A447" s="7">
        <v>45362</v>
      </c>
      <c r="B447">
        <f>-中国_中债国债到期收益率_1年!B446+中国_中债国债到期收益率_1年!B445</f>
        <v>0.00530000000000008</v>
      </c>
      <c r="C447">
        <f>-中国_中债国债到期收益率_1年!C446+中国_中债国债到期收益率_1年!C445</f>
        <v>-0.0129999999999999</v>
      </c>
      <c r="D447">
        <f>-中国_中债国债到期收益率_1年!D446+中国_中债国债到期收益率_1年!D445</f>
        <v>-0.00490000000000013</v>
      </c>
      <c r="E447">
        <f>-中国_中债国债到期收益率_1年!E446+中国_中债国债到期收益率_1年!E445</f>
        <v>-0.00249999999999995</v>
      </c>
      <c r="F447">
        <f>-中国_中债国债到期收益率_1年!F446+中国_中债国债到期收益率_1年!F445</f>
        <v>-0.00619999999999998</v>
      </c>
      <c r="G447">
        <f>-中国_中债国债到期收益率_1年!G446+中国_中债国债到期收益率_1年!G445</f>
        <v>-0.0169999999999999</v>
      </c>
    </row>
    <row r="448" spans="1:7">
      <c r="A448" s="7">
        <v>45363</v>
      </c>
      <c r="B448">
        <f>-中国_中债国债到期收益率_1年!B447+中国_中债国债到期收益率_1年!B446</f>
        <v>-0.00500000000000012</v>
      </c>
      <c r="C448">
        <f>-中国_中债国债到期收益率_1年!C447+中国_中债国债到期收益率_1年!C446</f>
        <v>-0.0231000000000003</v>
      </c>
      <c r="D448">
        <f>-中国_中债国债到期收益率_1年!D447+中国_中债国债到期收益率_1年!D446</f>
        <v>-0.0225</v>
      </c>
      <c r="E448">
        <f>-中国_中债国债到期收益率_1年!E447+中国_中债国债到期收益率_1年!E446</f>
        <v>-0.0430999999999999</v>
      </c>
      <c r="F448">
        <f>-中国_中债国债到期收益率_1年!F447+中国_中债国债到期收益率_1年!F446</f>
        <v>-0.0130999999999999</v>
      </c>
      <c r="G448">
        <f>-中国_中债国债到期收益率_1年!G447+中国_中债国债到期收益率_1年!G446</f>
        <v>-0.00850000000000017</v>
      </c>
    </row>
    <row r="449" spans="1:7">
      <c r="A449" s="7">
        <v>45364</v>
      </c>
      <c r="B449">
        <f>-中国_中债国债到期收益率_1年!B448+中国_中债国债到期收益率_1年!B447</f>
        <v>-0.04</v>
      </c>
      <c r="C449">
        <f>-中国_中债国债到期收益率_1年!C448+中国_中债国债到期收益率_1年!C447</f>
        <v>-0.0395999999999996</v>
      </c>
      <c r="D449">
        <f>-中国_中债国债到期收益率_1年!D448+中国_中债国债到期收益率_1年!D447</f>
        <v>-0.0425999999999997</v>
      </c>
      <c r="E449">
        <f>-中国_中债国债到期收益率_1年!E448+中国_中债国债到期收益率_1年!E447</f>
        <v>-0.0649000000000002</v>
      </c>
      <c r="F449">
        <f>-中国_中债国债到期收益率_1年!F448+中国_中债国债到期收益率_1年!F447</f>
        <v>-0.0111000000000001</v>
      </c>
      <c r="G449">
        <f>-中国_中债国债到期收益率_1年!G448+中国_中债国债到期收益率_1年!G447</f>
        <v>-0.0247999999999999</v>
      </c>
    </row>
    <row r="450" spans="1:7">
      <c r="A450" s="7">
        <v>45365</v>
      </c>
      <c r="B450">
        <f>-中国_中债国债到期收益率_1年!B449+中国_中债国债到期收益率_1年!B448</f>
        <v>-0.0199999999999998</v>
      </c>
      <c r="C450">
        <f>-中国_中债国债到期收益率_1年!C449+中国_中债国债到期收益率_1年!C448</f>
        <v>0.0128999999999997</v>
      </c>
      <c r="D450">
        <f>-中国_中债国债到期收益率_1年!D449+中国_中债国债到期收益率_1年!D448</f>
        <v>0.0150000000000001</v>
      </c>
      <c r="E450">
        <f>-中国_中债国债到期收益率_1年!E449+中国_中债国债到期收益率_1年!E448</f>
        <v>0.0102000000000002</v>
      </c>
      <c r="F450">
        <f>-中国_中债国债到期收益率_1年!F449+中国_中债国债到期收益率_1年!F448</f>
        <v>-0.00790000000000002</v>
      </c>
      <c r="G450">
        <f>-中国_中债国债到期收益率_1年!G449+中国_中债国债到期收益率_1年!G448</f>
        <v>-0.0067999999999997</v>
      </c>
    </row>
    <row r="451" spans="1:7">
      <c r="A451" s="7">
        <v>45366</v>
      </c>
      <c r="B451">
        <f>-中国_中债国债到期收益率_1年!B450+中国_中债国债到期收益率_1年!B449</f>
        <v>-0.03</v>
      </c>
      <c r="C451">
        <f>-中国_中债国债到期收益率_1年!C450+中国_中债国债到期收益率_1年!C449</f>
        <v>-0.000799999999999912</v>
      </c>
      <c r="D451">
        <f>-中国_中债国债到期收益率_1年!D450+中国_中债国债到期收益率_1年!D449</f>
        <v>-0.00990000000000002</v>
      </c>
      <c r="E451">
        <f>-中国_中债国债到期收益率_1年!E450+中国_中债国债到期收益率_1年!E449</f>
        <v>-0.00300000000000011</v>
      </c>
      <c r="F451">
        <f>-中国_中债国债到期收益率_1年!F450+中国_中债国债到期收益率_1年!F449</f>
        <v>-0.004</v>
      </c>
      <c r="G451">
        <f>-中国_中债国债到期收益率_1年!G450+中国_中债国债到期收益率_1年!G449</f>
        <v>0.00269999999999992</v>
      </c>
    </row>
    <row r="452" spans="1:7">
      <c r="A452" s="7">
        <v>45369</v>
      </c>
      <c r="B452">
        <f>-中国_中债国债到期收益率_1年!B451+中国_中债国债到期收益率_1年!B450</f>
        <v>0.0149999999999999</v>
      </c>
      <c r="C452">
        <f>-中国_中债国债到期收益率_1年!C451+中国_中债国债到期收益率_1年!C450</f>
        <v>0.0167000000000002</v>
      </c>
      <c r="D452">
        <f>-中国_中债国债到期收益率_1年!D451+中国_中债国债到期收益率_1年!D450</f>
        <v>0.0225</v>
      </c>
      <c r="E452">
        <f>-中国_中债国债到期收益率_1年!E451+中国_中债国债到期收益率_1年!E450</f>
        <v>0.0249000000000001</v>
      </c>
      <c r="F452">
        <f>-中国_中债国债到期收益率_1年!F451+中国_中债国债到期收益率_1年!F450</f>
        <v>0.00249999999999995</v>
      </c>
      <c r="G452">
        <f>-中国_中债国债到期收益率_1年!G451+中国_中债国债到期收益率_1年!G450</f>
        <v>0.0051000000000001</v>
      </c>
    </row>
    <row r="453" spans="1:7">
      <c r="A453" s="7">
        <v>45370</v>
      </c>
      <c r="B453">
        <f>-中国_中债国债到期收益率_1年!B452+中国_中债国债到期收益率_1年!B451</f>
        <v>0.05</v>
      </c>
      <c r="C453">
        <f>-中国_中债国债到期收益率_1年!C452+中国_中债国债到期收益率_1年!C451</f>
        <v>0.0259999999999998</v>
      </c>
      <c r="D453">
        <f>-中国_中债国债到期收益率_1年!D452+中国_中债国债到期收益率_1年!D451</f>
        <v>0.0273999999999996</v>
      </c>
      <c r="E453">
        <f>-中国_中债国债到期收益率_1年!E452+中国_中债国债到期收益率_1年!E451</f>
        <v>0.0236999999999998</v>
      </c>
      <c r="F453">
        <f>-中国_中债国债到期收益率_1年!F452+中国_中债国债到期收益率_1年!F451</f>
        <v>0.00470000000000015</v>
      </c>
      <c r="G453">
        <f>-中国_中债国债到期收益率_1年!G452+中国_中债国债到期收益率_1年!G451</f>
        <v>0.00889999999999969</v>
      </c>
    </row>
    <row r="454" spans="1:7">
      <c r="A454" s="7">
        <v>45371</v>
      </c>
      <c r="B454">
        <f>-中国_中债国债到期收益率_1年!B453+中国_中债国债到期收益率_1年!B452</f>
        <v>0.01</v>
      </c>
      <c r="C454">
        <f>-中国_中债国债到期收益率_1年!C453+中国_中债国债到期收益率_1年!C452</f>
        <v>0.0094000000000003</v>
      </c>
      <c r="D454">
        <f>-中国_中债国债到期收益率_1年!D453+中国_中债国债到期收益率_1年!D452</f>
        <v>0.0125000000000002</v>
      </c>
      <c r="E454">
        <f>-中国_中债国债到期收益率_1年!E453+中国_中债国债到期收益率_1年!E452</f>
        <v>0.0371999999999999</v>
      </c>
      <c r="F454">
        <f>-中国_中债国债到期收益率_1年!F453+中国_中债国债到期收益率_1年!F452</f>
        <v>0.00149999999999983</v>
      </c>
      <c r="G454">
        <f>-中国_中债国债到期收益率_1年!G453+中国_中债国债到期收益率_1年!G452</f>
        <v>0.0105</v>
      </c>
    </row>
    <row r="455" spans="1:7">
      <c r="A455" s="7">
        <v>45372</v>
      </c>
      <c r="B455">
        <f>-中国_中债国债到期收益率_1年!B454+中国_中债国债到期收益率_1年!B453</f>
        <v>0</v>
      </c>
      <c r="C455">
        <f>-中国_中债国债到期收益率_1年!C454+中国_中债国债到期收益率_1年!C453</f>
        <v>-0.0159000000000002</v>
      </c>
      <c r="D455">
        <f>-中国_中债国债到期收益率_1年!D454+中国_中债国债到期收益率_1年!D453</f>
        <v>-0.0150000000000001</v>
      </c>
      <c r="E455">
        <f>-中国_中债国债到期收益率_1年!E454+中国_中债国债到期收益率_1年!E453</f>
        <v>-0.0175000000000001</v>
      </c>
      <c r="F455">
        <f>-中国_中债国债到期收益率_1年!F454+中国_中债国债到期收益率_1年!F453</f>
        <v>-0.0147999999999999</v>
      </c>
      <c r="G455">
        <f>-中国_中债国债到期收益率_1年!G454+中国_中债国债到期收益率_1年!G453</f>
        <v>-0.0204999999999997</v>
      </c>
    </row>
    <row r="456" spans="1:7">
      <c r="A456" s="7">
        <v>45373</v>
      </c>
      <c r="B456">
        <f>-中国_中债国债到期收益率_1年!B455+中国_中债国债到期收益率_1年!B454</f>
        <v>0.01</v>
      </c>
      <c r="C456">
        <f>-中国_中债国债到期收益率_1年!C455+中国_中债国债到期收益率_1年!C454</f>
        <v>0.0197000000000003</v>
      </c>
      <c r="D456">
        <f>-中国_中债国债到期收益率_1年!D455+中国_中债国债到期收益率_1年!D454</f>
        <v>0.0100000000000002</v>
      </c>
      <c r="E456">
        <f>-中国_中债国债到期收益率_1年!E455+中国_中债国债到期收益率_1年!E454</f>
        <v>0.00450000000000017</v>
      </c>
      <c r="F456">
        <f>-中国_中债国债到期收益率_1年!F455+中国_中债国债到期收益率_1年!F454</f>
        <v>0.0105</v>
      </c>
      <c r="G456">
        <f>-中国_中债国债到期收益率_1年!G455+中国_中债国债到期收益率_1年!G454</f>
        <v>0.00859999999999994</v>
      </c>
    </row>
    <row r="457" spans="1:7">
      <c r="A457" s="7">
        <v>45376</v>
      </c>
      <c r="B457">
        <f>-中国_中债国债到期收益率_1年!B456+中国_中债国债到期收益率_1年!B455</f>
        <v>0</v>
      </c>
      <c r="C457">
        <f>-中国_中债国债到期收益率_1年!C456+中国_中债国债到期收益率_1年!C455</f>
        <v>-0.0107000000000004</v>
      </c>
      <c r="D457">
        <f>-中国_中债国债到期收益率_1年!D456+中国_中债国债到期收益率_1年!D455</f>
        <v>-0.02</v>
      </c>
      <c r="E457">
        <f>-中国_中债国债到期收益率_1年!E456+中国_中债国债到期收益率_1年!E455</f>
        <v>-0.0217000000000001</v>
      </c>
      <c r="F457">
        <f>-中国_中债国债到期收益率_1年!F456+中国_中债国债到期收益率_1年!F455</f>
        <v>-0.00390000000000001</v>
      </c>
      <c r="G457">
        <f>-中国_中债国债到期收益率_1年!G456+中国_中债国债到期收益率_1年!G455</f>
        <v>-0.00349999999999984</v>
      </c>
    </row>
    <row r="458" spans="1:7">
      <c r="A458" s="7">
        <v>45377</v>
      </c>
      <c r="B458">
        <f>-中国_中债国债到期收益率_1年!B457+中国_中债国债到期收益率_1年!B456</f>
        <v>-0.0250000000000001</v>
      </c>
      <c r="C458">
        <f>-中国_中债国债到期收益率_1年!C457+中国_中债国债到期收益率_1年!C456</f>
        <v>-0.0137999999999998</v>
      </c>
      <c r="D458">
        <f>-中国_中债国债到期收益率_1年!D457+中国_中债国债到期收益率_1年!D456</f>
        <v>-0.0100000000000002</v>
      </c>
      <c r="E458">
        <f>-中国_中债国债到期收益率_1年!E457+中国_中债国债到期收益率_1年!E456</f>
        <v>-0.0129999999999999</v>
      </c>
      <c r="F458">
        <f>-中国_中债国债到期收益率_1年!F457+中国_中债国债到期收益率_1年!F456</f>
        <v>-0.0174999999999998</v>
      </c>
      <c r="G458">
        <f>-中国_中债国债到期收益率_1年!G457+中国_中债国债到期收益率_1年!G456</f>
        <v>-0.0124000000000004</v>
      </c>
    </row>
    <row r="459" spans="1:7">
      <c r="A459" s="7">
        <v>45378</v>
      </c>
      <c r="B459">
        <f>-中国_中债国债到期收益率_1年!B458+中国_中债国债到期收益率_1年!B457</f>
        <v>-0.00249999999999995</v>
      </c>
      <c r="C459">
        <f>-中国_中债国债到期收益率_1年!C458+中国_中债国债到期收益率_1年!C457</f>
        <v>0.000199999999999978</v>
      </c>
      <c r="D459">
        <f>-中国_中债国债到期收益率_1年!D458+中国_中债国债到期收益率_1年!D457</f>
        <v>-0.00239999999999974</v>
      </c>
      <c r="E459">
        <f>-中国_中债国债到期收益率_1年!E458+中国_中债国债到期收益率_1年!E457</f>
        <v>-0.00200000000000022</v>
      </c>
      <c r="F459">
        <f>-中国_中债国债到期收益率_1年!F458+中国_中债国债到期收益率_1年!F457</f>
        <v>-0.0114000000000001</v>
      </c>
      <c r="G459">
        <f>-中国_中债国债到期收益率_1年!G458+中国_中债国债到期收益率_1年!G457</f>
        <v>-0.00990000000000002</v>
      </c>
    </row>
    <row r="460" spans="1:7">
      <c r="A460" s="7">
        <v>45379</v>
      </c>
      <c r="B460">
        <f>-中国_中债国债到期收益率_1年!B459+中国_中债国债到期收益率_1年!B458</f>
        <v>0.0375000000000001</v>
      </c>
      <c r="C460">
        <f>-中国_中债国债到期收益率_1年!C459+中国_中债国债到期收益率_1年!C458</f>
        <v>0.0331000000000001</v>
      </c>
      <c r="D460">
        <f>-中国_中债国债到期收益率_1年!D459+中国_中债国债到期收益率_1年!D458</f>
        <v>0.0299</v>
      </c>
      <c r="E460">
        <f>-中国_中债国债到期收益率_1年!E459+中国_中债国债到期收益率_1年!E458</f>
        <v>0.0346000000000002</v>
      </c>
      <c r="F460">
        <f>-中国_中债国债到期收益率_1年!F459+中国_中债国债到期收益率_1年!F458</f>
        <v>0.00930000000000009</v>
      </c>
      <c r="G460">
        <f>-中国_中债国债到期收益率_1年!G459+中国_中债国债到期收益率_1年!G458</f>
        <v>0.00840000000000041</v>
      </c>
    </row>
    <row r="461" spans="1:7">
      <c r="A461" s="7">
        <v>45380</v>
      </c>
      <c r="B461">
        <f>-中国_中债国债到期收益率_1年!B460+中国_中债国债到期收益率_1年!B459</f>
        <v>0</v>
      </c>
      <c r="C461">
        <f>-中国_中债国债到期收益率_1年!C460+中国_中债国债到期收益率_1年!C459</f>
        <v>-0.0164</v>
      </c>
      <c r="D461">
        <f>-中国_中债国债到期收益率_1年!D460+中国_中债国债到期收益率_1年!D459</f>
        <v>-0.0150000000000001</v>
      </c>
      <c r="E461">
        <f>-中国_中债国债到期收益率_1年!E460+中国_中债国债到期收益率_1年!E459</f>
        <v>-0.00280000000000014</v>
      </c>
      <c r="F461">
        <f>-中国_中债国债到期收益率_1年!F460+中国_中债国债到期收益率_1年!F459</f>
        <v>0.0118</v>
      </c>
      <c r="G461">
        <f>-中国_中债国债到期收益率_1年!G460+中国_中债国债到期收益率_1年!G459</f>
        <v>0.0116999999999998</v>
      </c>
    </row>
    <row r="462" spans="1:7">
      <c r="A462" s="7">
        <v>45383</v>
      </c>
      <c r="B462">
        <f>-中国_中债国债到期收益率_1年!B461+中国_中债国债到期收益率_1年!B460</f>
        <v>0.03</v>
      </c>
      <c r="C462">
        <f>-中国_中债国债到期收益率_1年!C461+中国_中债国债到期收益率_1年!C460</f>
        <v>0.0137999999999998</v>
      </c>
      <c r="D462">
        <f>-中国_中债国债到期收益率_1年!D461+中国_中债国债到期收益率_1年!D460</f>
        <v>0.0125000000000002</v>
      </c>
      <c r="E462">
        <f>-中国_中债国债到期收益率_1年!E461+中国_中债国债到期收益率_1年!E460</f>
        <v>0.00700000000000012</v>
      </c>
      <c r="F462">
        <f>-中国_中债国债到期收益率_1年!F461+中国_中债国债到期收益率_1年!F460</f>
        <v>0.0244</v>
      </c>
      <c r="G462">
        <f>-中国_中债国债到期收益率_1年!G461+中国_中债国债到期收益率_1年!G460</f>
        <v>0.0158999999999998</v>
      </c>
    </row>
    <row r="463" spans="1:7">
      <c r="A463" s="7">
        <v>45384</v>
      </c>
      <c r="B463">
        <f>-中国_中债国债到期收益率_1年!B462+中国_中债国债到期收益率_1年!B461</f>
        <v>-0.02</v>
      </c>
      <c r="C463">
        <f>-中国_中债国债到期收益率_1年!C462+中国_中债国债到期收益率_1年!C461</f>
        <v>-0.0198</v>
      </c>
      <c r="D463">
        <f>-中国_中债国债到期收益率_1年!D462+中国_中债国债到期收益率_1年!D461</f>
        <v>-0.0181</v>
      </c>
      <c r="E463">
        <f>-中国_中债国债到期收益率_1年!E462+中国_中债国债到期收益率_1年!E461</f>
        <v>-0.0253999999999999</v>
      </c>
      <c r="F463">
        <f>-中国_中债国债到期收益率_1年!F462+中国_中债国债到期收益率_1年!F461</f>
        <v>-0.00680000000000014</v>
      </c>
      <c r="G463">
        <f>-中国_中债国债到期收益率_1年!G462+中国_中债国债到期收益率_1年!G461</f>
        <v>-0.0078999999999998</v>
      </c>
    </row>
    <row r="464" spans="1:7">
      <c r="A464" s="7">
        <v>45385</v>
      </c>
      <c r="B464">
        <f>-中国_中债国债到期收益率_1年!B463+中国_中债国债到期收益率_1年!B462</f>
        <v>0.0149999999999999</v>
      </c>
      <c r="C464">
        <f>-中国_中债国债到期收益率_1年!C463+中国_中债国债到期收益率_1年!C462</f>
        <v>0.0205000000000002</v>
      </c>
      <c r="D464">
        <f>-中国_中债国债到期收益率_1年!D463+中国_中债国债到期收益率_1年!D462</f>
        <v>0.0154999999999998</v>
      </c>
      <c r="E464">
        <f>-中国_中债国债到期收益率_1年!E463+中国_中债国债到期收益率_1年!E462</f>
        <v>0.00979999999999981</v>
      </c>
      <c r="F464">
        <f>-中国_中债国债到期收益率_1年!F463+中国_中债国债到期收益率_1年!F462</f>
        <v>-0.00849999999999995</v>
      </c>
      <c r="G464">
        <f>-中国_中债国债到期收益率_1年!G463+中国_中债国债到期收益率_1年!G462</f>
        <v>0.00430000000000019</v>
      </c>
    </row>
    <row r="465" spans="1:7">
      <c r="A465" s="7">
        <v>45389</v>
      </c>
      <c r="B465">
        <f>-中国_中债国债到期收益率_1年!B464+中国_中债国债到期收益率_1年!B463</f>
        <v>0.00500000000000012</v>
      </c>
      <c r="C465">
        <f>-中国_中债国债到期收益率_1年!C464+中国_中债国债到期收益率_1年!C463</f>
        <v>0.00699999999999967</v>
      </c>
      <c r="D465">
        <f>-中国_中债国债到期收益率_1年!D464+中国_中债国债到期收益率_1年!D463</f>
        <v>0.0089999999999999</v>
      </c>
      <c r="E465">
        <f>-中国_中债国债到期收益率_1年!E464+中国_中债国债到期收益率_1年!E463</f>
        <v>0.0115000000000003</v>
      </c>
      <c r="F465">
        <f>-中国_中债国债到期收益率_1年!F464+中国_中债国债到期收益率_1年!F463</f>
        <v>0.00679999999999992</v>
      </c>
      <c r="G465">
        <f>-中国_中债国债到期收益率_1年!G464+中国_中债国债到期收益率_1年!G463</f>
        <v>0.0124</v>
      </c>
    </row>
    <row r="466" spans="1:7">
      <c r="A466" s="7">
        <v>45390</v>
      </c>
      <c r="B466">
        <f>-中国_中债国债到期收益率_1年!B465+中国_中债国债到期收益率_1年!B464</f>
        <v>0</v>
      </c>
      <c r="C466">
        <f>-中国_中债国债到期收益率_1年!C465+中国_中债国债到期收益率_1年!C464</f>
        <v>-0.00489999999999968</v>
      </c>
      <c r="D466">
        <f>-中国_中债国债到期收益率_1年!D465+中国_中债国债到期收益率_1年!D464</f>
        <v>-0.00999999999999979</v>
      </c>
      <c r="E466">
        <f>-中国_中债国债到期收益率_1年!E465+中国_中债国债到期收益率_1年!E464</f>
        <v>-0.0141</v>
      </c>
      <c r="F466">
        <f>-中国_中债国债到期收益率_1年!F465+中国_中债国债到期收益率_1年!F464</f>
        <v>1.9649</v>
      </c>
      <c r="G466">
        <f>-中国_中债国债到期收益率_1年!G465+中国_中债国债到期收益率_1年!G464</f>
        <v>2.1367</v>
      </c>
    </row>
    <row r="467" spans="1:7">
      <c r="A467" s="7">
        <v>45391</v>
      </c>
      <c r="B467">
        <f>-中国_中债国债到期收益率_1年!B466+中国_中债国债到期收益率_1年!B465</f>
        <v>0.02</v>
      </c>
      <c r="C467">
        <f>-中国_中债国债到期收益率_1年!C466+中国_中债国债到期收益率_1年!C465</f>
        <v>0.0255999999999998</v>
      </c>
      <c r="D467">
        <f>-中国_中债国债到期收益率_1年!D466+中国_中债国债到期收益率_1年!D465</f>
        <v>0.0114999999999998</v>
      </c>
      <c r="E467">
        <f>-中国_中债国债到期收益率_1年!E466+中国_中债国债到期收益率_1年!E465</f>
        <v>0.012</v>
      </c>
      <c r="F467">
        <f>-中国_中债国债到期收益率_1年!F466+中国_中债国债到期收益率_1年!F465</f>
        <v>-1.9583</v>
      </c>
      <c r="G467">
        <f>-中国_中债国债到期收益率_1年!G466+中国_中债国债到期收益率_1年!G465</f>
        <v>-2.1318</v>
      </c>
    </row>
    <row r="468" spans="1:7">
      <c r="A468" s="7">
        <v>45392</v>
      </c>
      <c r="B468">
        <f>-中国_中债国债到期收益率_1年!B467+中国_中债国债到期收益率_1年!B466</f>
        <v>0.01</v>
      </c>
      <c r="C468">
        <f>-中国_中债国债到期收益率_1年!C467+中国_中债国债到期收益率_1年!C466</f>
        <v>0.0156999999999998</v>
      </c>
      <c r="D468">
        <f>-中国_中债国债到期收益率_1年!D467+中国_中债国债到期收益率_1年!D466</f>
        <v>0.00200000000000022</v>
      </c>
      <c r="E468">
        <f>-中国_中债国债到期收益率_1年!E467+中国_中债国债到期收益率_1年!E466</f>
        <v>0.00190000000000001</v>
      </c>
      <c r="F468">
        <f>-中国_中债国债到期收益率_1年!F467+中国_中债国债到期收益率_1年!F466</f>
        <v>0.00329999999999986</v>
      </c>
      <c r="G468">
        <f>-中国_中债国债到期收益率_1年!G467+中国_中债国债到期收益率_1年!G466</f>
        <v>0.00370000000000026</v>
      </c>
    </row>
    <row r="469" spans="1:7">
      <c r="A469" s="7">
        <v>45393</v>
      </c>
      <c r="B469">
        <f>-中国_中债国债到期收益率_1年!B468+中国_中债国债到期收益率_1年!B467</f>
        <v>-0.0108000000000001</v>
      </c>
      <c r="C469">
        <f>-中国_中债国债到期收益率_1年!C468+中国_中债国债到期收益率_1年!C467</f>
        <v>-0.00579999999999981</v>
      </c>
      <c r="D469">
        <f>-中国_中债国债到期收益率_1年!D468+中国_中债国债到期收益率_1年!D467</f>
        <v>-0.0170000000000003</v>
      </c>
      <c r="E469">
        <f>-中国_中债国债到期收益率_1年!E468+中国_中债国债到期收益率_1年!E467</f>
        <v>-0.0254000000000003</v>
      </c>
      <c r="F469">
        <f>-中国_中债国债到期收益率_1年!F468+中国_中债国债到期收益率_1年!F467</f>
        <v>0.0123</v>
      </c>
      <c r="G469">
        <f>-中国_中债国债到期收益率_1年!G468+中国_中债国债到期收益率_1年!G467</f>
        <v>-0.0011000000000001</v>
      </c>
    </row>
    <row r="470" spans="1:7">
      <c r="A470" s="7">
        <v>45394</v>
      </c>
      <c r="B470">
        <f>-中国_中债国债到期收益率_1年!B469+中国_中债国债到期收益率_1年!B468</f>
        <v>0</v>
      </c>
      <c r="C470">
        <f>-中国_中债国债到期收益率_1年!C469+中国_中债国债到期收益率_1年!C468</f>
        <v>0.0213000000000001</v>
      </c>
      <c r="D470">
        <f>-中国_中债国债到期收益率_1年!D469+中国_中债国债到期收益率_1年!D468</f>
        <v>0.00439999999999996</v>
      </c>
      <c r="E470">
        <f>-中国_中债国债到期收益率_1年!E469+中国_中债国债到期收益率_1年!E468</f>
        <v>-0.00369999999999981</v>
      </c>
      <c r="F470">
        <f>-中国_中债国债到期收益率_1年!F469+中国_中债国债到期收益率_1年!F468</f>
        <v>0.0101</v>
      </c>
      <c r="G470">
        <f>-中国_中债国债到期收益率_1年!G469+中国_中债国债到期收益率_1年!G468</f>
        <v>0.00499999999999989</v>
      </c>
    </row>
    <row r="471" spans="1:7">
      <c r="A471" s="7">
        <v>45397</v>
      </c>
      <c r="B471">
        <f>-中国_中债国债到期收益率_1年!B470+中国_中债国债到期收益率_1年!B469</f>
        <v>0.00750000000000006</v>
      </c>
      <c r="C471">
        <f>-中国_中债国债到期收益率_1年!C470+中国_中债国债到期收益率_1年!C469</f>
        <v>0.0259</v>
      </c>
      <c r="D471">
        <f>-中国_中债国债到期收益率_1年!D470+中国_中债国债到期收益率_1年!D469</f>
        <v>0.00910000000000011</v>
      </c>
      <c r="E471">
        <f>-中国_中债国债到期收益率_1年!E470+中国_中债国债到期收益率_1年!E469</f>
        <v>0.00579999999999981</v>
      </c>
      <c r="F471">
        <f>-中国_中债国债到期收益率_1年!F470+中国_中债国债到期收益率_1年!F469</f>
        <v>0.0185000000000002</v>
      </c>
      <c r="G471">
        <f>-中国_中债国债到期收益率_1年!G470+中国_中债国债到期收益率_1年!G469</f>
        <v>0.0203000000000002</v>
      </c>
    </row>
    <row r="472" spans="1:7">
      <c r="A472" s="7">
        <v>45398</v>
      </c>
      <c r="B472">
        <f>-中国_中债国债到期收益率_1年!B471+中国_中债国债到期收益率_1年!B470</f>
        <v>-0.00750000000000006</v>
      </c>
      <c r="C472">
        <f>-中国_中债国债到期收益率_1年!C471+中国_中债国债到期收益率_1年!C470</f>
        <v>-0.0144000000000002</v>
      </c>
      <c r="D472">
        <f>-中国_中债国债到期收益率_1年!D471+中国_中债国债到期收益率_1年!D470</f>
        <v>0.00390000000000024</v>
      </c>
      <c r="E472">
        <f>-中国_中债国债到期收益率_1年!E471+中国_中债国债到期收益率_1年!E470</f>
        <v>0.000700000000000145</v>
      </c>
      <c r="F472">
        <f>-中国_中债国债到期收益率_1年!F471+中国_中债国债到期收益率_1年!F470</f>
        <v>-0.00860000000000016</v>
      </c>
      <c r="G472">
        <f>-中国_中债国债到期收益率_1年!G471+中国_中债国债到期收益率_1年!G470</f>
        <v>-0.000399999999999956</v>
      </c>
    </row>
    <row r="473" spans="1:7">
      <c r="A473" s="7">
        <v>45399</v>
      </c>
      <c r="B473">
        <f>-中国_中债国债到期收益率_1年!B472+中国_中债国债到期收益率_1年!B471</f>
        <v>-0.02</v>
      </c>
      <c r="C473">
        <f>-中国_中债国债到期收益率_1年!C472+中国_中债国债到期收益率_1年!C471</f>
        <v>-0.00249999999999995</v>
      </c>
      <c r="D473">
        <f>-中国_中债国债到期收益率_1年!D472+中国_中债国债到期收益率_1年!D471</f>
        <v>0.00749999999999984</v>
      </c>
      <c r="E473">
        <f>-中国_中债国债到期收益率_1年!E472+中国_中债国债到期收益率_1年!E471</f>
        <v>0.0146000000000002</v>
      </c>
      <c r="F473">
        <f>-中国_中债国债到期收益率_1年!F472+中国_中债国债到期收益率_1年!F471</f>
        <v>-0.00980000000000003</v>
      </c>
      <c r="G473">
        <f>-中国_中债国债到期收益率_1年!G472+中国_中债国债到期收益率_1年!G471</f>
        <v>-0.0051000000000001</v>
      </c>
    </row>
    <row r="474" spans="1:7">
      <c r="A474" s="7">
        <v>45400</v>
      </c>
      <c r="B474">
        <f>-中国_中债国债到期收益率_1年!B473+中国_中债国债到期收益率_1年!B472</f>
        <v>0.01</v>
      </c>
      <c r="C474">
        <f>-中国_中债国债到期收益率_1年!C473+中国_中债国债到期收益率_1年!C472</f>
        <v>0.0234999999999999</v>
      </c>
      <c r="D474">
        <f>-中国_中债国债到期收益率_1年!D473+中国_中债国债到期收益率_1年!D472</f>
        <v>0.0114999999999998</v>
      </c>
      <c r="E474">
        <f>-中国_中债国债到期收益率_1年!E473+中国_中债国债到期收益率_1年!E472</f>
        <v>0.0160999999999998</v>
      </c>
      <c r="F474">
        <f>-中国_中债国债到期收益率_1年!F473+中国_中债国债到期收益率_1年!F472</f>
        <v>-0.00679999999999992</v>
      </c>
      <c r="G474">
        <f>-中国_中债国债到期收益率_1年!G473+中国_中债国债到期收益率_1年!G472</f>
        <v>0.00170000000000003</v>
      </c>
    </row>
    <row r="475" spans="1:7">
      <c r="A475" s="7">
        <v>45401</v>
      </c>
      <c r="B475">
        <f>-中国_中债国债到期收益率_1年!B474+中国_中债国债到期收益率_1年!B473</f>
        <v>0.0150000000000001</v>
      </c>
      <c r="C475">
        <f>-中国_中债国债到期收益率_1年!C474+中国_中债国债到期收益率_1年!C473</f>
        <v>0.0249000000000001</v>
      </c>
      <c r="D475">
        <f>-中国_中债国债到期收益率_1年!D474+中国_中债国债到期收益率_1年!D473</f>
        <v>0.00710000000000033</v>
      </c>
      <c r="E475">
        <f>-中国_中债国债到期收益率_1年!E474+中国_中债国债到期收益率_1年!E473</f>
        <v>0.0089999999999999</v>
      </c>
      <c r="F475">
        <f>-中国_中债国债到期收益率_1年!F474+中国_中债国债到期收益率_1年!F473</f>
        <v>0.00649999999999995</v>
      </c>
      <c r="G475">
        <f>-中国_中债国债到期收益率_1年!G474+中国_中债国债到期收益率_1年!G473</f>
        <v>0.0139</v>
      </c>
    </row>
    <row r="476" spans="1:7">
      <c r="A476" s="7">
        <v>45404</v>
      </c>
      <c r="B476">
        <f>-中国_中债国债到期收益率_1年!B475+中国_中债国债到期收益率_1年!B474</f>
        <v>0.00499999999999989</v>
      </c>
      <c r="C476">
        <f>-中国_中债国债到期收益率_1年!C475+中国_中债国债到期收益率_1年!C474</f>
        <v>0.00490000000000013</v>
      </c>
      <c r="D476">
        <f>-中国_中债国债到期收益率_1年!D475+中国_中债国债到期收益率_1年!D474</f>
        <v>-0.000300000000000189</v>
      </c>
      <c r="E476">
        <f>-中国_中债国债到期收益率_1年!E475+中国_中债国债到期收益率_1年!E474</f>
        <v>0.00550000000000006</v>
      </c>
      <c r="F476">
        <f>-中国_中债国债到期收益率_1年!F475+中国_中债国债到期收益率_1年!F474</f>
        <v>0.0031000000000001</v>
      </c>
      <c r="G476">
        <f>-中国_中债国债到期收益率_1年!G475+中国_中债国债到期收益率_1年!G474</f>
        <v>0.00689999999999991</v>
      </c>
    </row>
    <row r="477" spans="1:7">
      <c r="A477" s="7">
        <v>45405</v>
      </c>
      <c r="B477">
        <f>-中国_中债国债到期收益率_1年!B476+中国_中债国债到期收益率_1年!B475</f>
        <v>0.01</v>
      </c>
      <c r="C477">
        <f>-中国_中债国债到期收益率_1年!C476+中国_中债国债到期收益率_1年!C475</f>
        <v>0.00199999999999978</v>
      </c>
      <c r="D477">
        <f>-中国_中债国债到期收益率_1年!D476+中国_中债国债到期收益率_1年!D475</f>
        <v>0.0105</v>
      </c>
      <c r="E477">
        <f>-中国_中债国债到期收益率_1年!E476+中国_中债国债到期收益率_1年!E475</f>
        <v>0.00700000000000012</v>
      </c>
      <c r="F477">
        <f>-中国_中债国债到期收益率_1年!F476+中国_中债国债到期收益率_1年!F475</f>
        <v>0.00109999999999988</v>
      </c>
      <c r="G477">
        <f>-中国_中债国债到期收益率_1年!G476+中国_中债国债到期收益率_1年!G475</f>
        <v>0.00229999999999997</v>
      </c>
    </row>
    <row r="478" spans="1:7">
      <c r="A478" s="7">
        <v>45406</v>
      </c>
      <c r="B478">
        <f>-中国_中债国债到期收益率_1年!B477+中国_中债国债到期收益率_1年!B476</f>
        <v>0.02</v>
      </c>
      <c r="C478">
        <f>-中国_中债国债到期收益率_1年!C477+中国_中债国债到期收益率_1年!C476</f>
        <v>0.0172000000000003</v>
      </c>
      <c r="D478">
        <f>-中国_中债国债到期收益率_1年!D477+中国_中债国债到期收益率_1年!D476</f>
        <v>0.0175000000000001</v>
      </c>
      <c r="E478">
        <f>-中国_中债国债到期收益率_1年!E477+中国_中债国债到期收益率_1年!E476</f>
        <v>0.0129999999999999</v>
      </c>
      <c r="F478">
        <f>-中国_中债国债到期收益率_1年!F477+中国_中债国债到期收益率_1年!F476</f>
        <v>0.00650000000000017</v>
      </c>
      <c r="G478">
        <f>-中国_中债国债到期收益率_1年!G477+中国_中债国债到期收益率_1年!G476</f>
        <v>0.0106000000000002</v>
      </c>
    </row>
    <row r="479" spans="1:7">
      <c r="A479" s="7">
        <v>45407</v>
      </c>
      <c r="B479">
        <f>-中国_中债国债到期收益率_1年!B478+中国_中债国债到期收益率_1年!B477</f>
        <v>-0.00629999999999997</v>
      </c>
      <c r="C479">
        <f>-中国_中债国债到期收益率_1年!C478+中国_中债国债到期收益率_1年!C477</f>
        <v>-0.0402</v>
      </c>
      <c r="D479">
        <f>-中国_中债国债到期收益率_1年!D478+中国_中债国债到期收益率_1年!D477</f>
        <v>-0.0467</v>
      </c>
      <c r="E479">
        <f>-中国_中债国债到期收益率_1年!E478+中国_中债国债到期收益率_1年!E477</f>
        <v>-0.0579999999999998</v>
      </c>
      <c r="F479">
        <f>-中国_中债国债到期收益率_1年!F478+中国_中债国债到期收益率_1年!F477</f>
        <v>-0.00700000000000012</v>
      </c>
      <c r="G479">
        <f>-中国_中债国债到期收益率_1年!G478+中国_中债国债到期收益率_1年!G477</f>
        <v>-0.0165999999999999</v>
      </c>
    </row>
    <row r="480" spans="1:7">
      <c r="A480" s="7">
        <v>45408</v>
      </c>
      <c r="B480">
        <f>-中国_中债国债到期收益率_1年!B479+中国_中债国债到期收益率_1年!B478</f>
        <v>0.0649999999999999</v>
      </c>
      <c r="C480">
        <f>-中国_中债国债到期收益率_1年!C479+中国_中债国债到期收益率_1年!C478</f>
        <v>0.0296999999999996</v>
      </c>
      <c r="D480">
        <f>-中国_中债国债到期收益率_1年!D479+中国_中债国债到期收益率_1年!D478</f>
        <v>0.0114999999999998</v>
      </c>
      <c r="E480">
        <f>-中国_中债国债到期收益率_1年!E479+中国_中债国债到期收益率_1年!E478</f>
        <v>-0.00500000000000034</v>
      </c>
      <c r="F480">
        <f>-中国_中债国债到期收益率_1年!F479+中国_中债国债到期收益率_1年!F478</f>
        <v>-0.0069999999999999</v>
      </c>
      <c r="G480">
        <f>-中国_中债国债到期收益率_1年!G479+中国_中债国债到期收益率_1年!G478</f>
        <v>-0.00609999999999999</v>
      </c>
    </row>
    <row r="481" spans="1:7">
      <c r="A481" s="7">
        <v>45410</v>
      </c>
      <c r="B481">
        <f>-中国_中债国债到期收益率_1年!B480+中国_中债国债到期收益率_1年!B479</f>
        <v>-0.0600000000000001</v>
      </c>
      <c r="C481">
        <f>-中国_中债国债到期收益率_1年!C480+中国_中债国债到期收益率_1年!C479</f>
        <v>-0.0576999999999996</v>
      </c>
      <c r="D481">
        <f>-中国_中债国债到期收益率_1年!D480+中国_中债国债到期收益率_1年!D479</f>
        <v>-0.0471999999999997</v>
      </c>
      <c r="E481">
        <f>-中国_中债国债到期收益率_1年!E480+中国_中债国债到期收益率_1年!E479</f>
        <v>-0.0415999999999999</v>
      </c>
      <c r="F481">
        <f>-中国_中债国债到期收益率_1年!F480+中国_中债国债到期收益率_1年!F479</f>
        <v>-0.0178</v>
      </c>
      <c r="G481">
        <f>-中国_中债国债到期收益率_1年!G480+中国_中债国债到期收益率_1年!G479</f>
        <v>-0.0311000000000003</v>
      </c>
    </row>
    <row r="482" spans="1:7">
      <c r="A482" s="7">
        <v>45411</v>
      </c>
      <c r="B482">
        <f>-中国_中债国债到期收益率_1年!B481+中国_中债国债到期收益率_1年!B480</f>
        <v>-0.0286</v>
      </c>
      <c r="C482">
        <f>-中国_中债国债到期收益率_1年!C481+中国_中债国债到期收益率_1年!C480</f>
        <v>-0.0330000000000004</v>
      </c>
      <c r="D482">
        <f>-中国_中债国债到期收益率_1年!D481+中国_中债国债到期收益率_1年!D480</f>
        <v>-0.016</v>
      </c>
      <c r="E482">
        <f>-中国_中债国债到期收益率_1年!E481+中国_中债国债到期收益率_1年!E480</f>
        <v>-0.0236000000000001</v>
      </c>
      <c r="F482">
        <f>-中国_中债国债到期收益率_1年!F481+中国_中债国债到期收益率_1年!F480</f>
        <v>1.9539</v>
      </c>
      <c r="G482">
        <f>-中国_中债国债到期收益率_1年!G481+中国_中债国债到期收益率_1年!G480</f>
        <v>-0.0297000000000001</v>
      </c>
    </row>
    <row r="483" spans="1:7">
      <c r="A483" s="7">
        <v>45412</v>
      </c>
      <c r="B483">
        <f>-中国_中债国债到期收益率_1年!B482+中国_中债国债到期收益率_1年!B481</f>
        <v>-0.0898999999999999</v>
      </c>
      <c r="C483">
        <f>-中国_中债国债到期收益率_1年!C482+中国_中债国债到期收益率_1年!C481</f>
        <v>-0.0301</v>
      </c>
      <c r="D483">
        <f>-中国_中债国债到期收益率_1年!D482+中国_中债国债到期收益率_1年!D481</f>
        <v>-0.0286000000000004</v>
      </c>
      <c r="E483">
        <f>-中国_中债国债到期收益率_1年!E482+中国_中债国债到期收益率_1年!E481</f>
        <v>-0.0339999999999998</v>
      </c>
      <c r="F483">
        <f>-中国_中债国债到期收益率_1年!F482+中国_中债国债到期收益率_1年!F481</f>
        <v>-2.0313</v>
      </c>
      <c r="G483">
        <f>-中国_中债国债到期收益率_1年!G482+中国_中债国债到期收益率_1年!G481</f>
        <v>-0.0480999999999998</v>
      </c>
    </row>
    <row r="484" spans="1:7">
      <c r="A484" s="7">
        <v>45418</v>
      </c>
      <c r="B484">
        <f>-中国_中债国债到期收益率_1年!B483+中国_中债国债到期收益率_1年!B482</f>
        <v>0.0902999999999998</v>
      </c>
      <c r="C484">
        <f>-中国_中债国债到期收益率_1年!C483+中国_中债国债到期收益率_1年!C482</f>
        <v>0.0392000000000001</v>
      </c>
      <c r="D484">
        <f>-中国_中债国债到期收益率_1年!D483+中国_中债国债到期收益率_1年!D482</f>
        <v>0.0502000000000002</v>
      </c>
      <c r="E484">
        <f>-中国_中债国债到期收益率_1年!E483+中国_中债国债到期收益率_1年!E482</f>
        <v>0.0451000000000001</v>
      </c>
      <c r="F484">
        <f>-中国_中债国债到期收益率_1年!F483+中国_中债国债到期收益率_1年!F482</f>
        <v>0.0284</v>
      </c>
      <c r="G484">
        <f>-中国_中债国债到期收益率_1年!G483+中国_中债国债到期收益率_1年!G482</f>
        <v>0.0274999999999999</v>
      </c>
    </row>
    <row r="485" spans="1:7">
      <c r="A485" s="7">
        <v>45419</v>
      </c>
      <c r="B485">
        <f>-中国_中债国债到期收益率_1年!B484+中国_中债国债到期收益率_1年!B483</f>
        <v>-0.00939999999999985</v>
      </c>
      <c r="C485">
        <f>-中国_中债国债到期收益率_1年!C484+中国_中债国债到期收益率_1年!C483</f>
        <v>0.0216000000000003</v>
      </c>
      <c r="D485">
        <f>-中国_中债国债到期收益率_1年!D484+中国_中债国债到期收益率_1年!D483</f>
        <v>-0.00530000000000008</v>
      </c>
      <c r="E485">
        <f>-中国_中债国债到期收益率_1年!E484+中国_中债国债到期收益率_1年!E483</f>
        <v>-0.0205000000000002</v>
      </c>
      <c r="F485">
        <f>-中国_中债国债到期收益率_1年!F484+中国_中债国债到期收益率_1年!F483</f>
        <v>0.0364</v>
      </c>
      <c r="G485">
        <f>-中国_中债国债到期收益率_1年!G484+中国_中债国债到期收益率_1年!G483</f>
        <v>0.0181</v>
      </c>
    </row>
    <row r="486" spans="1:7">
      <c r="A486" s="7">
        <v>45420</v>
      </c>
      <c r="B486">
        <f>-中国_中债国债到期收益率_1年!B485+中国_中债国债到期收益率_1年!B484</f>
        <v>-0.000600000000000156</v>
      </c>
      <c r="C486">
        <f>-中国_中债国债到期收益率_1年!C485+中国_中债国债到期收益率_1年!C484</f>
        <v>0.0273999999999996</v>
      </c>
      <c r="D486">
        <f>-中国_中债国债到期收益率_1年!D485+中国_中债国债到期收益率_1年!D484</f>
        <v>0.0185</v>
      </c>
      <c r="E486">
        <f>-中国_中债国债到期收益率_1年!E485+中国_中债国债到期收益率_1年!E484</f>
        <v>0.0173999999999999</v>
      </c>
      <c r="F486">
        <f>-中国_中债国债到期收益率_1年!F485+中国_中债国债到期收益率_1年!F484</f>
        <v>0.0317999999999998</v>
      </c>
      <c r="G486">
        <f>-中国_中债国债到期收益率_1年!G485+中国_中债国债到期收益率_1年!G484</f>
        <v>0.0287999999999999</v>
      </c>
    </row>
    <row r="487" spans="1:7">
      <c r="A487" s="7">
        <v>45421</v>
      </c>
      <c r="B487">
        <f>-中国_中债国债到期收益率_1年!B486+中国_中债国债到期收益率_1年!B485</f>
        <v>-0.00429999999999997</v>
      </c>
      <c r="C487">
        <f>-中国_中债国债到期收益率_1年!C486+中国_中债国债到期收益率_1年!C485</f>
        <v>-0.00739999999999963</v>
      </c>
      <c r="D487">
        <f>-中国_中债国债到期收益率_1年!D486+中国_中债国债到期收益率_1年!D485</f>
        <v>-0.00590000000000002</v>
      </c>
      <c r="E487">
        <f>-中国_中债国债到期收益率_1年!E486+中国_中债国债到期收益率_1年!E485</f>
        <v>-0.00869999999999971</v>
      </c>
      <c r="F487">
        <f>-中国_中债国债到期收益率_1年!F486+中国_中债国债到期收益率_1年!F485</f>
        <v>0.00750000000000006</v>
      </c>
      <c r="G487">
        <f>-中国_中债国债到期收益率_1年!G486+中国_中债国债到期收益率_1年!G485</f>
        <v>0.00990000000000002</v>
      </c>
    </row>
    <row r="488" spans="1:7">
      <c r="A488" s="7">
        <v>45422</v>
      </c>
      <c r="B488">
        <f>-中国_中债国债到期收益率_1年!B487+中国_中债国债到期收益率_1年!B486</f>
        <v>-0.0133999999999999</v>
      </c>
      <c r="C488">
        <f>-中国_中债国债到期收益率_1年!C487+中国_中债国债到期收益率_1年!C486</f>
        <v>-0.0227000000000004</v>
      </c>
      <c r="D488">
        <f>-中国_中债国债到期收益率_1年!D487+中国_中债国债到期收益率_1年!D486</f>
        <v>-0.0230999999999999</v>
      </c>
      <c r="E488">
        <f>-中国_中债国债到期收益率_1年!E487+中国_中债国债到期收益率_1年!E486</f>
        <v>-0.0226000000000002</v>
      </c>
      <c r="F488">
        <f>-中国_中债国债到期收益率_1年!F487+中国_中债国债到期收益率_1年!F486</f>
        <v>-0.0111999999999999</v>
      </c>
      <c r="G488">
        <f>-中国_中债国债到期收益率_1年!G487+中国_中债国债到期收益率_1年!G486</f>
        <v>-0.0169999999999999</v>
      </c>
    </row>
    <row r="489" spans="1:7">
      <c r="A489" s="7">
        <v>45423</v>
      </c>
      <c r="B489">
        <f>-中国_中债国债到期收益率_1年!B488+中国_中债国债到期收益率_1年!B487</f>
        <v>0.0161</v>
      </c>
      <c r="C489">
        <f>-中国_中债国债到期收益率_1年!C488+中国_中债国债到期收益率_1年!C487</f>
        <v>-0.000599999999999934</v>
      </c>
      <c r="D489">
        <f>-中国_中债国债到期收益率_1年!D488+中国_中债国债到期收益率_1年!D487</f>
        <v>0.00640000000000018</v>
      </c>
      <c r="E489">
        <f>-中国_中债国债到期收益率_1年!E488+中国_中债国债到期收益率_1年!E487</f>
        <v>-0.00999999999999979</v>
      </c>
      <c r="F489">
        <f>-中国_中债国债到期收益率_1年!F488+中国_中债国债到期收益率_1年!F487</f>
        <v>0.00719999999999987</v>
      </c>
      <c r="G489">
        <f>-中国_中债国债到期收益率_1年!G488+中国_中债国债到期收益率_1年!G487</f>
        <v>-0.0072000000000001</v>
      </c>
    </row>
    <row r="490" spans="1:7">
      <c r="A490" s="7">
        <v>45425</v>
      </c>
      <c r="B490">
        <f>-中国_中债国债到期收益率_1年!B489+中国_中债国债到期收益率_1年!B488</f>
        <v>-0.00480000000000014</v>
      </c>
      <c r="C490">
        <f>-中国_中债国债到期收益率_1年!C489+中国_中债国债到期收益率_1年!C488</f>
        <v>-0.0255000000000001</v>
      </c>
      <c r="D490">
        <f>-中国_中债国债到期收益率_1年!D489+中国_中债国债到期收益率_1年!D488</f>
        <v>-0.0239000000000003</v>
      </c>
      <c r="E490">
        <f>-中国_中债国债到期收益率_1年!E489+中国_中债国债到期收益率_1年!E488</f>
        <v>-0.0300000000000002</v>
      </c>
      <c r="F490">
        <f>-中国_中债国债到期收益率_1年!F489+中国_中债国债到期收益率_1年!F488</f>
        <v>-0.00879999999999992</v>
      </c>
      <c r="G490">
        <f>-中国_中债国债到期收益率_1年!G489+中国_中债国债到期收益率_1年!G488</f>
        <v>-0.0230999999999999</v>
      </c>
    </row>
    <row r="491" spans="1:7">
      <c r="A491" s="7">
        <v>45426</v>
      </c>
      <c r="B491">
        <f>-中国_中债国债到期收益率_1年!B490+中国_中债国债到期收益率_1年!B489</f>
        <v>0.0675000000000001</v>
      </c>
      <c r="C491">
        <f>-中国_中债国债到期收益率_1年!C490+中国_中债国债到期收益率_1年!C489</f>
        <v>0.0596000000000001</v>
      </c>
      <c r="D491">
        <f>-中国_中债国债到期收益率_1年!D490+中国_中债国债到期收益率_1年!D489</f>
        <v>0.0461</v>
      </c>
      <c r="E491">
        <f>-中国_中债国债到期收益率_1年!E490+中国_中债国债到期收益率_1年!E489</f>
        <v>0.0465</v>
      </c>
      <c r="F491">
        <f>-中国_中债国债到期收益率_1年!F490+中国_中债国债到期收益率_1年!F489</f>
        <v>0.054</v>
      </c>
      <c r="G491">
        <f>-中国_中债国债到期收益率_1年!G490+中国_中债国债到期收益率_1年!G489</f>
        <v>0.0592000000000001</v>
      </c>
    </row>
    <row r="492" spans="1:7">
      <c r="A492" s="7">
        <v>45427</v>
      </c>
      <c r="B492">
        <f>-中国_中债国债到期收益率_1年!B491+中国_中债国债到期收益率_1年!B490</f>
        <v>0.0285</v>
      </c>
      <c r="C492">
        <f>-中国_中债国债到期收益率_1年!C491+中国_中债国债到期收益率_1年!C490</f>
        <v>0.0100000000000002</v>
      </c>
      <c r="D492">
        <f>-中国_中债国债到期收益率_1年!D491+中国_中债国债到期收益率_1年!D490</f>
        <v>-0.00380000000000003</v>
      </c>
      <c r="E492">
        <f>-中国_中债国债到期收益率_1年!E491+中国_中债国债到期收益率_1年!E490</f>
        <v>0.00300000000000011</v>
      </c>
      <c r="F492">
        <f>-中国_中债国债到期收益率_1年!F491+中国_中债国债到期收益率_1年!F490</f>
        <v>0.0186999999999999</v>
      </c>
      <c r="G492">
        <f>-中国_中债国债到期收益率_1年!G491+中国_中债国债到期收益率_1年!G490</f>
        <v>0.0396999999999998</v>
      </c>
    </row>
    <row r="493" spans="1:7">
      <c r="A493" s="7">
        <v>45428</v>
      </c>
      <c r="B493">
        <f>-中国_中债国债到期收益率_1年!B492+中国_中债国债到期收益率_1年!B491</f>
        <v>-0.000199999999999978</v>
      </c>
      <c r="C493">
        <f>-中国_中债国债到期收益率_1年!C492+中国_中债国债到期收益率_1年!C491</f>
        <v>-0.00560000000000027</v>
      </c>
      <c r="D493">
        <f>-中国_中债国债到期收益率_1年!D492+中国_中债国债到期收益率_1年!D491</f>
        <v>-0.00819999999999999</v>
      </c>
      <c r="E493">
        <f>-中国_中债国债到期收益率_1年!E492+中国_中债国债到期收益率_1年!E491</f>
        <v>-0.00499999999999989</v>
      </c>
      <c r="F493">
        <f>-中国_中债国债到期收益率_1年!F492+中国_中债国债到期收益率_1年!F491</f>
        <v>-0.014</v>
      </c>
      <c r="G493">
        <f>-中国_中债国债到期收益率_1年!G492+中国_中债国债到期收益率_1年!G491</f>
        <v>-0.0139999999999998</v>
      </c>
    </row>
    <row r="494" spans="1:7">
      <c r="A494" s="7">
        <v>45429</v>
      </c>
      <c r="B494">
        <f>-中国_中债国债到期收益率_1年!B493+中国_中债国债到期收益率_1年!B492</f>
        <v>-0.0145999999999999</v>
      </c>
      <c r="C494">
        <f>-中国_中债国债到期收益率_1年!C493+中国_中债国债到期收益率_1年!C492</f>
        <v>-0.0118999999999998</v>
      </c>
      <c r="D494">
        <f>-中国_中债国债到期收益率_1年!D493+中国_中债国债到期收益率_1年!D492</f>
        <v>-0.0127000000000002</v>
      </c>
      <c r="E494">
        <f>-中国_中债国债到期收益率_1年!E493+中国_中债国债到期收益率_1年!E492</f>
        <v>-0.0130000000000003</v>
      </c>
      <c r="F494">
        <f>-中国_中债国债到期收益率_1年!F493+中国_中债国债到期收益率_1年!F492</f>
        <v>-0.00280000000000014</v>
      </c>
      <c r="G494">
        <f>-中国_中债国债到期收益率_1年!G493+中国_中债国债到期收益率_1年!G492</f>
        <v>-0.0201000000000002</v>
      </c>
    </row>
    <row r="495" spans="1:7">
      <c r="A495" s="7">
        <v>45432</v>
      </c>
      <c r="B495">
        <f>-中国_中债国债到期收益率_1年!B494+中国_中债国债到期收益率_1年!B493</f>
        <v>0.0206999999999999</v>
      </c>
      <c r="C495">
        <f>-中国_中债国债到期收益率_1年!C494+中国_中债国债到期收益率_1年!C493</f>
        <v>0.0106999999999999</v>
      </c>
      <c r="D495">
        <f>-中国_中债国债到期收益率_1年!D494+中国_中债国债到期收益率_1年!D493</f>
        <v>0.00700000000000012</v>
      </c>
      <c r="E495">
        <f>-中国_中债国债到期收益率_1年!E494+中国_中债国债到期收益率_1年!E493</f>
        <v>-0.00559999999999983</v>
      </c>
      <c r="F495">
        <f>-中国_中债国债到期收益率_1年!F494+中国_中债国债到期收益率_1年!F493</f>
        <v>0.0148000000000001</v>
      </c>
      <c r="G495">
        <f>-中国_中债国债到期收益率_1年!G494+中国_中债国债到期收益率_1年!G493</f>
        <v>-0.004</v>
      </c>
    </row>
    <row r="496" spans="1:7">
      <c r="A496" s="7">
        <v>45433</v>
      </c>
      <c r="B496">
        <f>-中国_中债国债到期收益率_1年!B495+中国_中债国债到期收益率_1年!B494</f>
        <v>-0.00629999999999997</v>
      </c>
      <c r="C496">
        <f>-中国_中债国债到期收益率_1年!C495+中国_中债国债到期收益率_1年!C494</f>
        <v>-0.00550000000000006</v>
      </c>
      <c r="D496">
        <f>-中国_中债国债到期收益率_1年!D495+中国_中债国债到期收益率_1年!D494</f>
        <v>-0.00280000000000014</v>
      </c>
      <c r="E496">
        <f>-中国_中债国债到期收益率_1年!E495+中国_中债国债到期收益率_1年!E494</f>
        <v>-0.00499999999999989</v>
      </c>
      <c r="F496">
        <f>-中国_中债国债到期收益率_1年!F495+中国_中债国债到期收益率_1年!F494</f>
        <v>0.0172999999999999</v>
      </c>
      <c r="G496">
        <f>-中国_中债国债到期收益率_1年!G495+中国_中债国债到期收益率_1年!G494</f>
        <v>0.0316000000000001</v>
      </c>
    </row>
    <row r="497" spans="1:7">
      <c r="A497" s="7">
        <v>45434</v>
      </c>
      <c r="B497">
        <f>-中国_中债国债到期收益率_1年!B496+中国_中债国债到期收益率_1年!B495</f>
        <v>0.000699999999999923</v>
      </c>
      <c r="C497">
        <f>-中国_中债国债到期收益率_1年!C496+中国_中债国债到期收益率_1年!C495</f>
        <v>-0.00449999999999973</v>
      </c>
      <c r="D497">
        <f>-中国_中债国债到期收益率_1年!D496+中国_中债国债到期收益率_1年!D495</f>
        <v>-0.0035999999999996</v>
      </c>
      <c r="E497">
        <f>-中国_中债国债到期收益率_1年!E496+中国_中债国债到期收益率_1年!E495</f>
        <v>-0.00099999999999989</v>
      </c>
      <c r="F497">
        <f>-中国_中债国债到期收益率_1年!F496+中国_中债国债到期收益率_1年!F495</f>
        <v>-0.0166999999999999</v>
      </c>
      <c r="G497">
        <f>-中国_中债国债到期收益率_1年!G496+中国_中债国债到期收益率_1年!G495</f>
        <v>-0.00839999999999996</v>
      </c>
    </row>
    <row r="498" spans="1:7">
      <c r="A498" s="7">
        <v>45435</v>
      </c>
      <c r="B498">
        <f>-中国_中债国债到期收益率_1年!B497+中国_中债国债到期收益率_1年!B496</f>
        <v>0.00770000000000004</v>
      </c>
      <c r="C498">
        <f>-中国_中债国债到期收益率_1年!C497+中国_中债国债到期收益率_1年!C496</f>
        <v>0.00689999999999991</v>
      </c>
      <c r="D498">
        <f>-中国_中债国债到期收益率_1年!D497+中国_中债国债到期收益率_1年!D496</f>
        <v>0.0017999999999998</v>
      </c>
      <c r="E498">
        <f>-中国_中债国债到期收益率_1年!E497+中国_中债国债到期收益率_1年!E496</f>
        <v>0.0226999999999999</v>
      </c>
      <c r="F498">
        <f>-中国_中债国债到期收益率_1年!F497+中国_中债国债到期收益率_1年!F496</f>
        <v>0.00629999999999997</v>
      </c>
      <c r="G498">
        <f>-中国_中债国债到期收益率_1年!G497+中国_中债国债到期收益率_1年!G496</f>
        <v>0.0154000000000001</v>
      </c>
    </row>
    <row r="499" spans="1:7">
      <c r="A499" s="7">
        <v>45436</v>
      </c>
      <c r="B499">
        <f>-中国_中债国债到期收益率_1年!B498+中国_中债国债到期收益率_1年!B497</f>
        <v>-0.00330000000000008</v>
      </c>
      <c r="C499">
        <f>-中国_中债国债到期收益率_1年!C498+中国_中债国债到期收益率_1年!C497</f>
        <v>0.00749999999999984</v>
      </c>
      <c r="D499">
        <f>-中国_中债国债到期收益率_1年!D498+中国_中债国债到期收益率_1年!D497</f>
        <v>0.00600000000000023</v>
      </c>
      <c r="E499">
        <f>-中国_中债国债到期收益率_1年!E498+中国_中债国债到期收益率_1年!E497</f>
        <v>0.0248999999999997</v>
      </c>
      <c r="F499">
        <f>-中国_中债国债到期收益率_1年!F498+中国_中债国债到期收益率_1年!F497</f>
        <v>0.00409999999999999</v>
      </c>
      <c r="G499">
        <f>-中国_中债国债到期收益率_1年!G498+中国_中债国债到期收益率_1年!G497</f>
        <v>0.00740000000000007</v>
      </c>
    </row>
    <row r="500" spans="1:7">
      <c r="A500" s="7">
        <v>45439</v>
      </c>
      <c r="B500">
        <f>-中国_中债国债到期收益率_1年!B499+中国_中债国债到期收益率_1年!B498</f>
        <v>-0.0289999999999999</v>
      </c>
      <c r="C500">
        <f>-中国_中债国债到期收益率_1年!C499+中国_中债国债到期收益率_1年!C498</f>
        <v>-0.00760000000000005</v>
      </c>
      <c r="D500">
        <f>-中国_中债国债到期收益率_1年!D499+中国_中债国债到期收益率_1年!D498</f>
        <v>-0.00710000000000033</v>
      </c>
      <c r="E500">
        <f>-中国_中债国债到期收益率_1年!E499+中国_中债国债到期收益率_1年!E498</f>
        <v>-0.00639999999999974</v>
      </c>
      <c r="F500">
        <f>-中国_中债国债到期收益率_1年!F499+中国_中债国债到期收益率_1年!F498</f>
        <v>-0.00219999999999998</v>
      </c>
      <c r="G500">
        <f>-中国_中债国债到期收益率_1年!G499+中国_中债国债到期收益率_1年!G498</f>
        <v>-0.00560000000000027</v>
      </c>
    </row>
    <row r="501" spans="1:7">
      <c r="A501" s="7">
        <v>45440</v>
      </c>
      <c r="B501">
        <f>-中国_中债国债到期收益率_1年!B500+中国_中债国债到期收益率_1年!B499</f>
        <v>-0.0237000000000001</v>
      </c>
      <c r="C501">
        <f>-中国_中债国债到期收益率_1年!C500+中国_中债国债到期收益率_1年!C499</f>
        <v>-9.99999999997669e-5</v>
      </c>
      <c r="D501">
        <f>-中国_中债国债到期收益率_1年!D500+中国_中债国债到期收益率_1年!D499</f>
        <v>0.00500000000000034</v>
      </c>
      <c r="E501">
        <f>-中国_中债国债到期收益率_1年!E500+中国_中债国债到期收益率_1年!E499</f>
        <v>0.00629999999999997</v>
      </c>
      <c r="F501">
        <f>-中国_中债国债到期收益率_1年!F500+中国_中债国债到期收益率_1年!F499</f>
        <v>-0.0154999999999998</v>
      </c>
      <c r="G501">
        <f>-中国_中债国债到期收益率_1年!G500+中国_中债国债到期收益率_1年!G499</f>
        <v>-0.00699999999999967</v>
      </c>
    </row>
    <row r="502" spans="1:7">
      <c r="A502" s="7">
        <v>45441</v>
      </c>
      <c r="B502">
        <f>-中国_中债国债到期收益率_1年!B501+中国_中债国债到期收益率_1年!B500</f>
        <v>0.00600000000000001</v>
      </c>
      <c r="C502">
        <f>-中国_中债国债到期收益率_1年!C501+中国_中债国债到期收益率_1年!C500</f>
        <v>0.0089999999999999</v>
      </c>
      <c r="D502">
        <f>-中国_中债国债到期收益率_1年!D501+中国_中债国债到期收益率_1年!D500</f>
        <v>0.0089999999999999</v>
      </c>
      <c r="E502">
        <f>-中国_中债国债到期收益率_1年!E501+中国_中债国债到期收益率_1年!E500</f>
        <v>0.0150000000000001</v>
      </c>
      <c r="F502">
        <f>-中国_中债国债到期收益率_1年!F501+中国_中债国债到期收益率_1年!F500</f>
        <v>0.0128999999999999</v>
      </c>
      <c r="G502">
        <f>-中国_中债国债到期收益率_1年!G501+中国_中债国债到期收益率_1年!G500</f>
        <v>0.0177999999999998</v>
      </c>
    </row>
    <row r="503" spans="1:7">
      <c r="A503" s="7">
        <v>45442</v>
      </c>
      <c r="B503">
        <f>-中国_中债国债到期收益率_1年!B502+中国_中债国债到期收益率_1年!B501</f>
        <v>-0.00150000000000006</v>
      </c>
      <c r="C503">
        <f>-中国_中债国债到期收益率_1年!C502+中国_中债国债到期收益率_1年!C501</f>
        <v>0.00229999999999997</v>
      </c>
      <c r="D503">
        <f>-中国_中债国债到期收益率_1年!D502+中国_中债国债到期收益率_1年!D501</f>
        <v>0.0217999999999998</v>
      </c>
      <c r="E503">
        <f>-中国_中债国债到期收益率_1年!E502+中国_中债国债到期收益率_1年!E501</f>
        <v>0.00599999999999978</v>
      </c>
      <c r="F503">
        <f>-中国_中债国债到期收益率_1年!F502+中国_中债国债到期收益率_1年!F501</f>
        <v>0.00889999999999991</v>
      </c>
      <c r="G503">
        <f>-中国_中债国债到期收益率_1年!G502+中国_中债国债到期收益率_1年!G501</f>
        <v>0.0184000000000002</v>
      </c>
    </row>
    <row r="504" spans="1:7">
      <c r="A504" s="7">
        <v>45443</v>
      </c>
      <c r="B504">
        <f>-中国_中债国债到期收益率_1年!B503+中国_中债国债到期收益率_1年!B502</f>
        <v>0.00360000000000005</v>
      </c>
      <c r="C504">
        <f>-中国_中债国债到期收益率_1年!C503+中国_中债国债到期收益率_1年!C502</f>
        <v>-0.00139999999999985</v>
      </c>
      <c r="D504">
        <f>-中国_中债国债到期收益率_1年!D503+中国_中债国债到期收益率_1年!D502</f>
        <v>-0.00499999999999989</v>
      </c>
      <c r="E504">
        <f>-中国_中债国债到期收益率_1年!E503+中国_中债国债到期收益率_1年!E502</f>
        <v>-0.00850000000000017</v>
      </c>
      <c r="F504">
        <f>-中国_中债国债到期收益率_1年!F503+中国_中债国债到期收益率_1年!F502</f>
        <v>0.00600000000000001</v>
      </c>
      <c r="G504">
        <f>-中国_中债国债到期收益率_1年!G503+中国_中债国债到期收益率_1年!G502</f>
        <v>-0.00690000000000035</v>
      </c>
    </row>
    <row r="505" spans="1:7">
      <c r="A505" s="7">
        <v>45446</v>
      </c>
      <c r="B505">
        <f>-中国_中债国债到期收益率_1年!B504+中国_中债国债到期收益率_1年!B503</f>
        <v>0.00869999999999993</v>
      </c>
      <c r="C505">
        <f>-中国_中债国债到期收益率_1年!C504+中国_中债国债到期收益率_1年!C503</f>
        <v>0.00119999999999987</v>
      </c>
      <c r="D505">
        <f>-中国_中债国债到期收益率_1年!D504+中国_中债国债到期收益率_1年!D503</f>
        <v>-0.0100000000000002</v>
      </c>
      <c r="E505">
        <f>-中国_中债国债到期收益率_1年!E504+中国_中债国债到期收益率_1年!E503</f>
        <v>-0.0225</v>
      </c>
      <c r="F505">
        <f>-中国_中债国债到期收益率_1年!F504+中国_中债国债到期收益率_1年!F503</f>
        <v>0.00450000000000017</v>
      </c>
      <c r="G505">
        <f>-中国_中债国债到期收益率_1年!G504+中国_中债国债到期收益率_1年!G503</f>
        <v>-0.00590000000000002</v>
      </c>
    </row>
    <row r="506" spans="1:7">
      <c r="A506" s="7">
        <v>45447</v>
      </c>
      <c r="B506">
        <f>-中国_中债国债到期收益率_1年!B505+中国_中债国债到期收益率_1年!B504</f>
        <v>-0.00129999999999986</v>
      </c>
      <c r="C506">
        <f>-中国_中债国债到期收益率_1年!C505+中国_中债国债到期收益率_1年!C504</f>
        <v>0.0150999999999999</v>
      </c>
      <c r="D506">
        <f>-中国_中债国债到期收益率_1年!D505+中国_中债国债到期收益率_1年!D504</f>
        <v>0.00730000000000031</v>
      </c>
      <c r="E506">
        <f>-中国_中债国债到期收益率_1年!E505+中国_中债国债到期收益率_1年!E504</f>
        <v>0.00790000000000024</v>
      </c>
      <c r="F506">
        <f>-中国_中债国债到期收益率_1年!F505+中国_中债国债到期收益率_1年!F504</f>
        <v>0.0078999999999998</v>
      </c>
      <c r="G506">
        <f>-中国_中债国债到期收益率_1年!G505+中国_中债国债到期收益率_1年!G504</f>
        <v>0.00550000000000006</v>
      </c>
    </row>
    <row r="507" spans="1:7">
      <c r="A507" s="7">
        <v>45448</v>
      </c>
      <c r="B507">
        <f>-中国_中债国债到期收益率_1年!B506+中国_中债国债到期收益率_1年!B505</f>
        <v>-0.000399999999999956</v>
      </c>
      <c r="C507">
        <f>-中国_中债国债到期收益率_1年!C506+中国_中债国债到期收益率_1年!C505</f>
        <v>-0.000900000000000123</v>
      </c>
      <c r="D507">
        <f>-中国_中债国债到期收益率_1年!D506+中国_中债国债到期收益率_1年!D505</f>
        <v>-0.000100000000000211</v>
      </c>
      <c r="E507">
        <f>-中国_中债国债到期收益率_1年!E506+中国_中债国债到期收益率_1年!E505</f>
        <v>0.00199999999999978</v>
      </c>
      <c r="F507">
        <f>-中国_中债国债到期收益率_1年!F506+中国_中债国债到期收益率_1年!F505</f>
        <v>-0.0017999999999998</v>
      </c>
      <c r="G507">
        <f>-中国_中债国债到期收益率_1年!G506+中国_中债国债到期收益率_1年!G505</f>
        <v>0.00580000000000025</v>
      </c>
    </row>
    <row r="508" spans="1:7">
      <c r="A508" s="7">
        <v>45449</v>
      </c>
      <c r="B508">
        <f>-中国_中债国债到期收益率_1年!B507+中国_中债国债到期收益率_1年!B506</f>
        <v>0.0142</v>
      </c>
      <c r="C508">
        <f>-中国_中债国债到期收益率_1年!C507+中国_中债国债到期收益率_1年!C506</f>
        <v>0.0135000000000001</v>
      </c>
      <c r="D508">
        <f>-中国_中债国债到期收益率_1年!D507+中国_中债国债到期收益率_1年!D506</f>
        <v>0.00459999999999994</v>
      </c>
      <c r="E508">
        <f>-中国_中债国债到期收益率_1年!E507+中国_中债国债到期收益率_1年!E506</f>
        <v>0.00750000000000028</v>
      </c>
      <c r="F508">
        <f>-中国_中债国债到期收益率_1年!F507+中国_中债国债到期收益率_1年!F506</f>
        <v>0.00769999999999982</v>
      </c>
      <c r="G508">
        <f>-中国_中债国债到期收益率_1年!G507+中国_中债国债到期收益率_1年!G506</f>
        <v>0.0143</v>
      </c>
    </row>
    <row r="509" spans="1:7">
      <c r="A509" s="7">
        <v>45450</v>
      </c>
      <c r="B509">
        <f>-中国_中债国债到期收益率_1年!B508+中国_中债国债到期收益率_1年!B507</f>
        <v>0.0213999999999999</v>
      </c>
      <c r="C509">
        <f>-中国_中债国债到期收益率_1年!C508+中国_中债国债到期收益率_1年!C507</f>
        <v>-0.00219999999999976</v>
      </c>
      <c r="D509">
        <f>-中国_中债国债到期收益率_1年!D508+中国_中债国债到期收益率_1年!D507</f>
        <v>-0.00199999999999978</v>
      </c>
      <c r="E509">
        <f>-中国_中债国债到期收益率_1年!E508+中国_中债国债到期收益率_1年!E507</f>
        <v>0</v>
      </c>
      <c r="F509">
        <f>-中国_中债国债到期收益率_1年!F508+中国_中债国债到期收益率_1年!F507</f>
        <v>0.00190000000000001</v>
      </c>
      <c r="G509">
        <f>-中国_中债国债到期收益率_1年!G508+中国_中债国债到期收益率_1年!G507</f>
        <v>0.00380000000000003</v>
      </c>
    </row>
    <row r="510" spans="1:7">
      <c r="A510" s="7">
        <v>45454</v>
      </c>
      <c r="B510">
        <f>-中国_中债国债到期收益率_1年!B509+中国_中债国债到期收益率_1年!B508</f>
        <v>0.00649999999999995</v>
      </c>
      <c r="C510">
        <f>-中国_中债国债到期收益率_1年!C509+中国_中债国债到期收益率_1年!C508</f>
        <v>-0.000300000000000189</v>
      </c>
      <c r="D510">
        <f>-中国_中债国债到期收益率_1年!D509+中国_中债国债到期收益率_1年!D508</f>
        <v>-0.000500000000000167</v>
      </c>
      <c r="E510">
        <f>-中国_中债国债到期收益率_1年!E509+中国_中债国债到期收益率_1年!E508</f>
        <v>0.00749999999999984</v>
      </c>
      <c r="F510">
        <f>-中国_中债国债到期收益率_1年!F509+中国_中债国债到期收益率_1年!F508</f>
        <v>0.00130000000000008</v>
      </c>
      <c r="G510">
        <f>-中国_中债国债到期收益率_1年!G509+中国_中债国债到期收益率_1年!G508</f>
        <v>0.00519999999999987</v>
      </c>
    </row>
    <row r="511" spans="1:7">
      <c r="A511" s="7">
        <v>45455</v>
      </c>
      <c r="B511">
        <f>-中国_中债国债到期收益率_1年!B510+中国_中债国债到期收益率_1年!B509</f>
        <v>0.00500000000000012</v>
      </c>
      <c r="C511">
        <f>-中国_中债国债到期收益率_1年!C510+中国_中债国债到期收益率_1年!C509</f>
        <v>0.00430000000000019</v>
      </c>
      <c r="D511">
        <f>-中国_中债国债到期收益率_1年!D510+中国_中债国债到期收益率_1年!D509</f>
        <v>0.00419999999999998</v>
      </c>
      <c r="E511">
        <f>-中国_中债国债到期收益率_1年!E510+中国_中债国债到期收益率_1年!E509</f>
        <v>0.0108000000000001</v>
      </c>
      <c r="F511">
        <f>-中国_中债国债到期收益率_1年!F510+中国_中债国债到期收益率_1年!F509</f>
        <v>0.00120000000000009</v>
      </c>
      <c r="G511">
        <f>-中国_中债国债到期收益率_1年!G510+中国_中债国债到期收益率_1年!G509</f>
        <v>0.0114999999999998</v>
      </c>
    </row>
    <row r="512" spans="1:7">
      <c r="A512" s="9">
        <v>45456</v>
      </c>
      <c r="B512">
        <f>-中国_中债国债到期收益率_1年!B511+中国_中债国债到期收益率_1年!B510</f>
        <v>0</v>
      </c>
      <c r="C512">
        <f>-中国_中债国债到期收益率_1年!C511+中国_中债国债到期收益率_1年!C510</f>
        <v>-0.00790000000000024</v>
      </c>
      <c r="D512">
        <f>-中国_中债国债到期收益率_1年!D511+中国_中债国债到期收益率_1年!D510</f>
        <v>0.00310000000000032</v>
      </c>
      <c r="E512">
        <f>-中国_中债国债到期收益率_1年!E511+中国_中债国债到期收益率_1年!E510</f>
        <v>-0.004</v>
      </c>
      <c r="F512">
        <f>-中国_中债国债到期收益率_1年!F511+中国_中债国债到期收益率_1年!F510</f>
        <v>-0.00580000000000003</v>
      </c>
      <c r="G512">
        <f>-中国_中债国债到期收益率_1年!G511+中国_中债国债到期收益率_1年!G510</f>
        <v>-0.00659999999999972</v>
      </c>
    </row>
    <row r="513" ht="14.5" spans="1:7">
      <c r="A513" s="10">
        <v>45457</v>
      </c>
      <c r="B513">
        <f>-中国_中债国债到期收益率_1年!B512+中国_中债国债到期收益率_1年!B511</f>
        <v>0.002</v>
      </c>
      <c r="C513">
        <f>-中国_中债国债到期收益率_1年!C512+中国_中债国债到期收益率_1年!C511</f>
        <v>-0.00209999999999999</v>
      </c>
      <c r="D513">
        <f>-中国_中债国债到期收益率_1年!D512+中国_中债国债到期收益率_1年!D511</f>
        <v>0.00819999999999999</v>
      </c>
      <c r="E513">
        <f>-中国_中债国债到期收益率_1年!E512+中国_中债国债到期收益率_1年!E511</f>
        <v>0.00599999999999978</v>
      </c>
      <c r="F513">
        <f>-中国_中债国债到期收益率_1年!F512+中国_中债国债到期收益率_1年!F511</f>
        <v>-0.0126000000000002</v>
      </c>
      <c r="G513">
        <f>-中国_中债国债到期收益率_1年!G512+中国_中债国债到期收益率_1年!G511</f>
        <v>-0.00839999999999996</v>
      </c>
    </row>
    <row r="514" spans="1:7">
      <c r="A514" s="9">
        <v>45460</v>
      </c>
      <c r="B514">
        <f>-中国_中债国债到期收益率_1年!B513+中国_中债国债到期收益率_1年!B512</f>
        <v>0.00299999999999989</v>
      </c>
      <c r="C514">
        <f>-中国_中债国债到期收益率_1年!C513+中国_中债国债到期收益率_1年!C512</f>
        <v>0.00669999999999993</v>
      </c>
      <c r="D514">
        <f>-中国_中债国债到期收益率_1年!D513+中国_中债国债到期收益率_1年!D512</f>
        <v>0.012</v>
      </c>
      <c r="E514">
        <f>-中国_中债国债到期收益率_1年!E513+中国_中债国债到期收益率_1年!E512</f>
        <v>0.0185</v>
      </c>
      <c r="F514">
        <f>-中国_中债国债到期收益率_1年!F513+中国_中债国债到期收益率_1年!F512</f>
        <v>0.00160000000000005</v>
      </c>
      <c r="G514">
        <f>-中国_中债国债到期收益率_1年!G513+中国_中债国债到期收益率_1年!G512</f>
        <v>0.00109999999999966</v>
      </c>
    </row>
    <row r="515" spans="1:7">
      <c r="A515" s="9">
        <v>45461</v>
      </c>
      <c r="B515">
        <f>-中国_中债国债到期收益率_1年!B514+中国_中债国债到期收益率_1年!B513</f>
        <v>-0.01</v>
      </c>
      <c r="C515">
        <f>-中国_中债国债到期收益率_1年!C514+中国_中债国债到期收益率_1年!C513</f>
        <v>-0.00709999999999988</v>
      </c>
      <c r="D515">
        <f>-中国_中债国债到期收益率_1年!D514+中国_中债国债到期收益率_1年!D513</f>
        <v>-0.0051000000000001</v>
      </c>
      <c r="E515">
        <f>-中国_中债国债到期收益率_1年!E514+中国_中债国债到期收益率_1年!E513</f>
        <v>-0.00669999999999993</v>
      </c>
      <c r="F515">
        <f>-中国_中债国债到期收益率_1年!F514+中国_中债国债到期收益率_1年!F513</f>
        <v>-0.0106999999999999</v>
      </c>
      <c r="G515">
        <f>-中国_中债国债到期收益率_1年!G514+中国_中债国债到期收益率_1年!G513</f>
        <v>-0.00639999999999974</v>
      </c>
    </row>
    <row r="516" spans="1:7">
      <c r="A516" s="9">
        <v>45462</v>
      </c>
      <c r="B516">
        <f>-中国_中债国债到期收益率_1年!B515+中国_中债国债到期收益率_1年!B514</f>
        <v>0</v>
      </c>
      <c r="C516">
        <f>-中国_中债国债到期收益率_1年!C515+中国_中债国债到期收益率_1年!C514</f>
        <v>0.00910000000000011</v>
      </c>
      <c r="D516">
        <f>-中国_中债国债到期收益率_1年!D515+中国_中债国债到期收益率_1年!D514</f>
        <v>0.0072000000000001</v>
      </c>
      <c r="E516">
        <f>-中国_中债国债到期收益率_1年!E515+中国_中债国债到期收益率_1年!E514</f>
        <v>0.0169999999999999</v>
      </c>
      <c r="F516">
        <f>-中国_中债国债到期收益率_1年!F515+中国_中债国债到期收益率_1年!F514</f>
        <v>-0.00140000000000007</v>
      </c>
      <c r="G516">
        <f>-中国_中债国债到期收益率_1年!G515+中国_中债国债到期收益率_1年!G514</f>
        <v>0.00459999999999994</v>
      </c>
    </row>
    <row r="517" spans="1:7">
      <c r="A517" s="9">
        <v>45463</v>
      </c>
      <c r="B517">
        <f>-中国_中债国债到期收益率_1年!B516+中国_中债国债到期收益率_1年!B515</f>
        <v>0.00500000000000012</v>
      </c>
      <c r="C517">
        <f>-中国_中债国债到期收益率_1年!C516+中国_中债国债到期收益率_1年!C515</f>
        <v>0.0331999999999999</v>
      </c>
      <c r="D517">
        <f>-中国_中债国债到期收益率_1年!D516+中国_中债国债到期收益率_1年!D515</f>
        <v>0.0107999999999997</v>
      </c>
      <c r="E517">
        <f>-中国_中债国债到期收益率_1年!E516+中国_中债国债到期收益率_1年!E515</f>
        <v>0.00900000000000034</v>
      </c>
      <c r="F517">
        <f>-中国_中债国债到期收益率_1年!F516+中国_中债国债到期收益率_1年!F515</f>
        <v>0.00449999999999995</v>
      </c>
      <c r="G517">
        <f>-中国_中债国债到期收益率_1年!G516+中国_中债国债到期收益率_1年!G515</f>
        <v>0.00970000000000004</v>
      </c>
    </row>
    <row r="518" spans="1:7">
      <c r="A518" s="9">
        <v>45464</v>
      </c>
      <c r="B518">
        <f>-中国_中债国债到期收益率_1年!B517+中国_中债国债到期收益率_1年!B516</f>
        <v>0</v>
      </c>
      <c r="C518">
        <f>-中国_中债国债到期收益率_1年!C517+中国_中债国债到期收益率_1年!C516</f>
        <v>-0.00530000000000008</v>
      </c>
      <c r="D518">
        <f>-中国_中债国债到期收益率_1年!D517+中国_中债国债到期收益率_1年!D516</f>
        <v>-0.00159999999999982</v>
      </c>
      <c r="E518">
        <f>-中国_中债国债到期收益率_1年!E517+中国_中债国债到期收益率_1年!E516</f>
        <v>0.00889999999999969</v>
      </c>
      <c r="F518">
        <f>-中国_中债国债到期收益率_1年!F517+中国_中债国债到期收益率_1年!F516</f>
        <v>0.0104000000000002</v>
      </c>
      <c r="G518">
        <f>-中国_中债国债到期收益率_1年!G517+中国_中债国债到期收益率_1年!G516</f>
        <v>0.00999999999999979</v>
      </c>
    </row>
    <row r="519" spans="1:7">
      <c r="A519" s="9">
        <v>45467</v>
      </c>
      <c r="B519">
        <f>-中国_中债国债到期收益率_1年!B518+中国_中债国债到期收益率_1年!B517</f>
        <v>0.00750000000000006</v>
      </c>
      <c r="C519">
        <f>-中国_中债国债到期收益率_1年!C518+中国_中债国债到期收益率_1年!C517</f>
        <v>-0.0101</v>
      </c>
      <c r="D519">
        <f>-中国_中债国债到期收益率_1年!D518+中国_中债国债到期收益率_1年!D517</f>
        <v>-0.0125999999999999</v>
      </c>
      <c r="E519">
        <f>-中国_中债国债到期收益率_1年!E518+中国_中债国债到期收益率_1年!E517</f>
        <v>-0.00889999999999969</v>
      </c>
      <c r="F519">
        <f>-中国_中债国债到期收益率_1年!F518+中国_中债国债到期收益率_1年!F517</f>
        <v>-0.0184000000000002</v>
      </c>
      <c r="G519">
        <f>-中国_中债国债到期收益率_1年!G518+中国_中债国债到期收益率_1年!G517</f>
        <v>-0.0109999999999997</v>
      </c>
    </row>
    <row r="520" spans="1:7">
      <c r="A520" s="9">
        <v>45468</v>
      </c>
      <c r="B520">
        <f>-中国_中债国债到期收益率_1年!B519+中国_中债国债到期收益率_1年!B518</f>
        <v>0</v>
      </c>
      <c r="C520">
        <f>-中国_中债国债到期收益率_1年!C519+中国_中债国债到期收益率_1年!C518</f>
        <v>0.0135000000000001</v>
      </c>
      <c r="D520">
        <f>-中国_中债国债到期收益率_1年!D519+中国_中债国债到期收益率_1年!D518</f>
        <v>0.012</v>
      </c>
      <c r="E520">
        <f>-中国_中债国债到期收益率_1年!E519+中国_中债国债到期收益率_1年!E518</f>
        <v>0.0189999999999997</v>
      </c>
      <c r="F520">
        <f>-中国_中债国债到期收益率_1年!F519+中国_中债国债到期收益率_1年!F518</f>
        <v>-0.00309999999999988</v>
      </c>
      <c r="G520">
        <f>-中国_中债国债到期收益率_1年!G519+中国_中债国债到期收益率_1年!G518</f>
        <v>0.00599999999999978</v>
      </c>
    </row>
    <row r="521" spans="1:7">
      <c r="A521" s="9">
        <v>45469</v>
      </c>
      <c r="B521">
        <f>-中国_中债国债到期收益率_1年!B520+中国_中债国债到期收益率_1年!B519</f>
        <v>0.0299999999999998</v>
      </c>
      <c r="C521">
        <f>-中国_中债国债到期收益率_1年!C520+中国_中债国债到期收益率_1年!C519</f>
        <v>0.00960000000000027</v>
      </c>
      <c r="D521">
        <f>-中国_中债国债到期收益率_1年!D520+中国_中债国债到期收益率_1年!D519</f>
        <v>0.0101</v>
      </c>
      <c r="E521">
        <f>-中国_中债国债到期收益率_1年!E520+中国_中债国债到期收益率_1年!E519</f>
        <v>0.0129999999999999</v>
      </c>
      <c r="F521">
        <f>-中国_中债国债到期收益率_1年!F520+中国_中债国债到期收益率_1年!F519</f>
        <v>0.0177</v>
      </c>
      <c r="G521">
        <f>-中国_中债国债到期收益率_1年!G520+中国_中债国债到期收益率_1年!G519</f>
        <v>0.0235000000000001</v>
      </c>
    </row>
    <row r="522" spans="1:7">
      <c r="A522" s="9">
        <v>45470</v>
      </c>
      <c r="B522">
        <f>-中国_中债国债到期收益率_1年!B521+中国_中债国债到期收益率_1年!B520</f>
        <v>0.0175000000000001</v>
      </c>
      <c r="C522">
        <f>-中国_中债国债到期收益率_1年!C521+中国_中债国债到期收益率_1年!C520</f>
        <v>0.0171999999999999</v>
      </c>
      <c r="D522">
        <f>-中国_中债国债到期收益率_1年!D521+中国_中债国债到期收益率_1年!D520</f>
        <v>0.0124999999999997</v>
      </c>
      <c r="E522">
        <f>-中国_中债国债到期收益率_1年!E521+中国_中债国债到期收益率_1年!E520</f>
        <v>0.00350000000000028</v>
      </c>
      <c r="F522">
        <f>-中国_中债国债到期收益率_1年!F521+中国_中债国债到期收益率_1年!F520</f>
        <v>-0.00409999999999999</v>
      </c>
      <c r="G522">
        <f>-中国_中债国债到期收益率_1年!G521+中国_中债国债到期收益率_1年!G520</f>
        <v>0.000899999999999901</v>
      </c>
    </row>
    <row r="523" spans="1:7">
      <c r="A523" s="9">
        <v>45471</v>
      </c>
      <c r="B523">
        <f>-中国_中债国债到期收益率_1年!B522+中国_中债国债到期收益率_1年!B521</f>
        <v>-0.00499999999999989</v>
      </c>
      <c r="C523">
        <f>-中国_中债国债到期收益率_1年!C522+中国_中债国债到期收益率_1年!C521</f>
        <v>0.0217999999999998</v>
      </c>
      <c r="D523">
        <f>-中国_中债国债到期收益率_1年!D522+中国_中债国债到期收益率_1年!D521</f>
        <v>0.0144000000000002</v>
      </c>
      <c r="E523">
        <f>-中国_中债国债到期收益率_1年!E522+中国_中债国债到期收益率_1年!E521</f>
        <v>0.016</v>
      </c>
      <c r="F523">
        <f>-中国_中债国债到期收益率_1年!F522+中国_中债国债到期收益率_1年!F521</f>
        <v>0.0167999999999999</v>
      </c>
      <c r="G523">
        <f>-中国_中债国债到期收益率_1年!G522+中国_中债国债到期收益率_1年!G521</f>
        <v>0.0181</v>
      </c>
    </row>
    <row r="524" spans="1:7">
      <c r="A524" s="9">
        <v>45474</v>
      </c>
      <c r="B524">
        <f>-中国_中债国债到期收益率_1年!B523+中国_中债国债到期收益率_1年!B522</f>
        <v>0.01</v>
      </c>
      <c r="C524">
        <f>-中国_中债国债到期收益率_1年!C523+中国_中债国债到期收益率_1年!C522</f>
        <v>-0.00129999999999986</v>
      </c>
      <c r="D524">
        <f>-中国_中债国债到期收益率_1年!D523+中国_中债国债到期收益率_1年!D522</f>
        <v>0.00229999999999997</v>
      </c>
      <c r="E524">
        <f>-中国_中债国债到期收益率_1年!E523+中国_中债国债到期收益率_1年!E522</f>
        <v>0</v>
      </c>
      <c r="F524">
        <f>-中国_中债国债到期收益率_1年!F523+中国_中债国债到期收益率_1年!F522</f>
        <v>-0.00340000000000007</v>
      </c>
      <c r="G524">
        <f>-中国_中债国债到期收益率_1年!G523+中国_中债国债到期收益率_1年!G522</f>
        <v>-0.00160000000000005</v>
      </c>
    </row>
    <row r="525" spans="1:7">
      <c r="A525" s="9">
        <v>45475</v>
      </c>
      <c r="B525">
        <f>-中国_中债国债到期收益率_1年!B524+中国_中债国债到期收益率_1年!B523</f>
        <v>-0.0175000000000001</v>
      </c>
      <c r="C525">
        <f>-中国_中债国债到期收益率_1年!C524+中国_中债国债到期收益率_1年!C523</f>
        <v>-0.0418000000000001</v>
      </c>
      <c r="D525">
        <f>-中国_中债国债到期收益率_1年!D524+中国_中债国债到期收益率_1年!D523</f>
        <v>-0.0428000000000002</v>
      </c>
      <c r="E525">
        <f>-中国_中债国债到期收益率_1年!E524+中国_中债国债到期收益率_1年!E523</f>
        <v>-0.0500000000000003</v>
      </c>
      <c r="F525">
        <f>-中国_中债国债到期收益率_1年!F524+中国_中债国债到期收益率_1年!F523</f>
        <v>-0.0107999999999999</v>
      </c>
      <c r="G525">
        <f>-中国_中债国债到期收益率_1年!G524+中国_中债国债到期收益率_1年!G523</f>
        <v>-0.026</v>
      </c>
    </row>
    <row r="526" spans="1:7">
      <c r="A526" s="9">
        <v>45476</v>
      </c>
      <c r="B526">
        <f>-中国_中债国债到期收益率_1年!B525+中国_中债国债到期收益率_1年!B524</f>
        <v>0.02</v>
      </c>
      <c r="C526">
        <f>-中国_中债国债到期收益率_1年!C525+中国_中债国债到期收益率_1年!C524</f>
        <v>0.0325</v>
      </c>
      <c r="D526">
        <f>-中国_中债国债到期收益率_1年!D525+中国_中债国债到期收益率_1年!D524</f>
        <v>0.0117000000000003</v>
      </c>
      <c r="E526">
        <f>-中国_中债国债到期收益率_1年!E525+中国_中债国债到期收益率_1年!E524</f>
        <v>0.00900000000000034</v>
      </c>
      <c r="F526">
        <f>-中国_中债国债到期收益率_1年!F525+中国_中债国债到期收益率_1年!F524</f>
        <v>-0.00550000000000006</v>
      </c>
      <c r="G526">
        <f>-中国_中债国债到期收益率_1年!G525+中国_中债国债到期收益率_1年!G524</f>
        <v>-0.00239999999999996</v>
      </c>
    </row>
    <row r="527" spans="1:7">
      <c r="A527" s="9">
        <v>45477</v>
      </c>
      <c r="B527">
        <f>-中国_中债国债到期收益率_1年!B526+中国_中债国债到期收益率_1年!B525</f>
        <v>0.0125</v>
      </c>
      <c r="C527">
        <f>-中国_中债国债到期收益率_1年!C526+中国_中债国债到期收益率_1年!C525</f>
        <v>0.0286</v>
      </c>
      <c r="D527">
        <f>-中国_中债国债到期收益率_1年!D526+中国_中债国债到期收益率_1年!D525</f>
        <v>-0.00570000000000004</v>
      </c>
      <c r="E527">
        <f>-中国_中债国债到期收益率_1年!E526+中国_中债国债到期收益率_1年!E525</f>
        <v>-0.00460000000000038</v>
      </c>
      <c r="F527">
        <f>-中国_中债国债到期收益率_1年!F526+中国_中债国债到期收益率_1年!F525</f>
        <v>-0.000899999999999901</v>
      </c>
      <c r="G527">
        <f>-中国_中债国债到期收益率_1年!G526+中国_中债国债到期收益率_1年!G525</f>
        <v>0.0150000000000001</v>
      </c>
    </row>
    <row r="528" spans="1:7">
      <c r="A528" s="9">
        <v>45478</v>
      </c>
      <c r="B528">
        <f>-中国_中债国债到期收益率_1年!B527+中国_中债国债到期收益率_1年!B526</f>
        <v>-0.00499999999999989</v>
      </c>
      <c r="C528">
        <f>-中国_中债国债到期收益率_1年!C527+中国_中债国债到期收益率_1年!C526</f>
        <v>-0.0122</v>
      </c>
      <c r="D528">
        <f>-中国_中债国债到期收益率_1年!D527+中国_中债国债到期收益率_1年!D526</f>
        <v>-0.00760000000000005</v>
      </c>
      <c r="E528">
        <f>-中国_中债国债到期收益率_1年!E527+中国_中债国债到期收益率_1年!E526</f>
        <v>-0.00599999999999978</v>
      </c>
      <c r="F528">
        <f>-中国_中债国债到期收益率_1年!F527+中国_中债国债到期收益率_1年!F526</f>
        <v>-0.000599999999999934</v>
      </c>
      <c r="G528">
        <f>-中国_中债国债到期收益率_1年!G527+中国_中债国债到期收益率_1年!G526</f>
        <v>-0.0103</v>
      </c>
    </row>
    <row r="529" spans="1:7">
      <c r="A529" s="9">
        <v>45481</v>
      </c>
      <c r="B529">
        <f>-中国_中债国债到期收益率_1年!B528+中国_中债国债到期收益率_1年!B527</f>
        <v>0</v>
      </c>
      <c r="C529">
        <f>-中国_中债国债到期收益率_1年!C528+中国_中债国债到期收益率_1年!C527</f>
        <v>-0.0284</v>
      </c>
      <c r="D529">
        <f>-中国_中债国债到期收益率_1年!D528+中国_中债国债到期收益率_1年!D527</f>
        <v>-0.0251999999999999</v>
      </c>
      <c r="E529">
        <f>-中国_中债国债到期收益率_1年!E528+中国_中债国债到期收益率_1年!E527</f>
        <v>-0.0331999999999999</v>
      </c>
      <c r="F529">
        <f>-中国_中债国债到期收益率_1年!F528+中国_中债国债到期收益率_1年!F527</f>
        <v>-0.0145000000000002</v>
      </c>
      <c r="G529">
        <f>-中国_中债国债到期收益率_1年!G528+中国_中债国债到期收益率_1年!G527</f>
        <v>-0.0205</v>
      </c>
    </row>
    <row r="530" spans="1:7">
      <c r="A530" s="9">
        <v>45482</v>
      </c>
      <c r="B530">
        <f>-中国_中债国债到期收益率_1年!B529+中国_中债国债到期收益率_1年!B528</f>
        <v>-0.05</v>
      </c>
      <c r="C530">
        <f>-中国_中债国债到期收益率_1年!C529+中国_中债国债到期收益率_1年!C528</f>
        <v>-0.0351999999999999</v>
      </c>
      <c r="D530">
        <f>-中国_中债国债到期收益率_1年!D529+中国_中债国债到期收益率_1年!D528</f>
        <v>-0.0150000000000001</v>
      </c>
      <c r="E530">
        <f>-中国_中债国债到期收益率_1年!E529+中国_中债国债到期收益率_1年!E528</f>
        <v>-0.00750000000000028</v>
      </c>
      <c r="F530">
        <f>-中国_中债国债到期收益率_1年!F529+中国_中债国债到期收益率_1年!F528</f>
        <v>-0.0252999999999999</v>
      </c>
      <c r="G530">
        <f>-中国_中债国债到期收益率_1年!G529+中国_中债国债到期收益率_1年!G528</f>
        <v>-0.0388000000000002</v>
      </c>
    </row>
    <row r="531" spans="1:7">
      <c r="A531" s="9">
        <v>45483</v>
      </c>
      <c r="B531">
        <f>-中国_中债国债到期收益率_1年!B530+中国_中债国债到期收益率_1年!B529</f>
        <v>0.0249999999999999</v>
      </c>
      <c r="C531">
        <f>-中国_中债国债到期收益率_1年!C530+中国_中债国债到期收益率_1年!C529</f>
        <v>0.0272999999999999</v>
      </c>
      <c r="D531">
        <f>-中国_中债国债到期收益率_1年!D530+中国_中债国债到期收益率_1年!D529</f>
        <v>0.0206</v>
      </c>
      <c r="E531">
        <f>-中国_中债国债到期收益率_1年!E530+中国_中债国债到期收益率_1年!E529</f>
        <v>0.0188000000000001</v>
      </c>
      <c r="F531">
        <f>-中国_中债国债到期收益率_1年!F530+中国_中债国债到期收益率_1年!F529</f>
        <v>0.0189999999999999</v>
      </c>
      <c r="G531">
        <f>-中国_中债国债到期收益率_1年!G530+中国_中债国债到期收益率_1年!G529</f>
        <v>0.0312999999999999</v>
      </c>
    </row>
    <row r="532" spans="1:7">
      <c r="A532" s="9">
        <v>45484</v>
      </c>
      <c r="B532">
        <f>-中国_中债国债到期收益率_1年!B531+中国_中债国债到期收益率_1年!B530</f>
        <v>0.00249999999999995</v>
      </c>
      <c r="C532">
        <f>-中国_中债国债到期收益率_1年!C531+中国_中债国债到期收益率_1年!C530</f>
        <v>-0.00570000000000004</v>
      </c>
      <c r="D532">
        <f>-中国_中债国债到期收益率_1年!D531+中国_中债国债到期收益率_1年!D530</f>
        <v>-0.000900000000000123</v>
      </c>
      <c r="E532">
        <f>-中国_中债国债到期收益率_1年!E531+中国_中债国债到期收益率_1年!E530</f>
        <v>-0.0051000000000001</v>
      </c>
      <c r="F532">
        <f>-中国_中债国债到期收益率_1年!F531+中国_中债国债到期收益率_1年!F530</f>
        <v>0.00900000000000012</v>
      </c>
      <c r="G532">
        <f>-中国_中债国债到期收益率_1年!G531+中国_中债国债到期收益率_1年!G530</f>
        <v>0.0100000000000002</v>
      </c>
    </row>
    <row r="533" spans="1:7">
      <c r="A533" s="9">
        <v>45485</v>
      </c>
      <c r="B533">
        <f>-中国_中债国债到期收益率_1年!B532+中国_中债国债到期收益率_1年!B531</f>
        <v>0.0125000000000002</v>
      </c>
      <c r="C533">
        <f>-中国_中债国债到期收益率_1年!C532+中国_中债国债到期收益率_1年!C531</f>
        <v>0.00669999999999993</v>
      </c>
      <c r="D533">
        <f>-中国_中债国债到期收益率_1年!D532+中国_中债国债到期收益率_1年!D531</f>
        <v>0.00590000000000002</v>
      </c>
      <c r="E533">
        <f>-中国_中债国债到期收益率_1年!E532+中国_中债国债到期收益率_1年!E531</f>
        <v>0.00430000000000019</v>
      </c>
      <c r="F533">
        <f>-中国_中债国债到期收益率_1年!F532+中国_中债国债到期收益率_1年!F531</f>
        <v>0.0104</v>
      </c>
      <c r="G533">
        <f>-中国_中债国债到期收益率_1年!G532+中国_中债国债到期收益率_1年!G531</f>
        <v>0.0121</v>
      </c>
    </row>
    <row r="534" spans="1:7">
      <c r="A534" s="9">
        <v>45488</v>
      </c>
      <c r="B534">
        <f>-中国_中债国债到期收益率_1年!B533+中国_中债国债到期收益率_1年!B532</f>
        <v>0</v>
      </c>
      <c r="C534">
        <f>-中国_中债国债到期收益率_1年!C533+中国_中债国债到期收益率_1年!C532</f>
        <v>0.00480000000000036</v>
      </c>
      <c r="D534">
        <f>-中国_中债国债到期收益率_1年!D533+中国_中债国债到期收益率_1年!D532</f>
        <v>0.00439999999999996</v>
      </c>
      <c r="E534">
        <f>-中国_中债国债到期收益率_1年!E533+中国_中债国债到期收益率_1年!E532</f>
        <v>0.0103999999999997</v>
      </c>
      <c r="F534">
        <f>-中国_中债国债到期收益率_1年!F533+中国_中债国债到期收益率_1年!F532</f>
        <v>0.0110999999999999</v>
      </c>
      <c r="G534">
        <f>-中国_中债国债到期收益率_1年!G533+中国_中债国债到期收益率_1年!G532</f>
        <v>0.0166999999999999</v>
      </c>
    </row>
    <row r="535" spans="1:7">
      <c r="A535" s="9">
        <v>45489</v>
      </c>
      <c r="B535">
        <f>-中国_中债国债到期收益率_1年!B534+中国_中债国债到期收益率_1年!B533</f>
        <v>0.00249999999999995</v>
      </c>
      <c r="C535">
        <f>-中国_中债国债到期收益率_1年!C534+中国_中债国债到期收益率_1年!C533</f>
        <v>0.0124999999999997</v>
      </c>
      <c r="D535">
        <f>-中国_中债国债到期收益率_1年!D534+中国_中债国债到期收益率_1年!D533</f>
        <v>0.00629999999999997</v>
      </c>
      <c r="E535">
        <f>-中国_中债国债到期收益率_1年!E534+中国_中债国债到期收益率_1年!E533</f>
        <v>0.0149000000000004</v>
      </c>
      <c r="F535">
        <f>-中国_中债国债到期收益率_1年!F534+中国_中债国债到期收益率_1年!F533</f>
        <v>-0.0048999999999999</v>
      </c>
      <c r="G535">
        <f>-中国_中债国债到期收益率_1年!G534+中国_中债国债到期收益率_1年!G533</f>
        <v>0.00219999999999998</v>
      </c>
    </row>
    <row r="536" spans="1:7">
      <c r="A536" s="9">
        <v>45490</v>
      </c>
      <c r="B536">
        <f>-中国_中债国债到期收益率_1年!B535+中国_中债国债到期收益率_1年!B534</f>
        <v>0.00750000000000006</v>
      </c>
      <c r="C536">
        <f>-中国_中债国债到期收益率_1年!C535+中国_中债国债到期收益率_1年!C534</f>
        <v>0.00500000000000012</v>
      </c>
      <c r="D536">
        <f>-中国_中债国债到期收益率_1年!D535+中国_中债国债到期收益率_1年!D534</f>
        <v>-0.00719999999999965</v>
      </c>
      <c r="E536">
        <f>-中国_中债国债到期收益率_1年!E535+中国_中债国债到期收益率_1年!E534</f>
        <v>-0.00290000000000035</v>
      </c>
      <c r="F536">
        <f>-中国_中债国债到期收益率_1年!F535+中国_中债国债到期收益率_1年!F534</f>
        <v>-0.00390000000000001</v>
      </c>
      <c r="G536">
        <f>-中国_中债国债到期收益率_1年!G535+中国_中债国债到期收益率_1年!G534</f>
        <v>-0.00889999999999991</v>
      </c>
    </row>
    <row r="537" spans="1:7">
      <c r="A537" s="9">
        <v>45491</v>
      </c>
      <c r="B537">
        <f>-中国_中债国债到期收益率_1年!B536+中国_中债国债到期收益率_1年!B535</f>
        <v>0.00499999999999989</v>
      </c>
      <c r="C537">
        <f>-中国_中债国债到期收益率_1年!C536+中国_中债国债到期收益率_1年!C535</f>
        <v>0.0262</v>
      </c>
      <c r="D537">
        <f>-中国_中债国债到期收益率_1年!D536+中国_中债国债到期收益率_1年!D535</f>
        <v>0.00150000000000006</v>
      </c>
      <c r="E537">
        <f>-中国_中债国债到期收益率_1年!E536+中国_中债国债到期收益率_1年!E535</f>
        <v>-0.00109999999999966</v>
      </c>
      <c r="F537">
        <f>-中国_中债国债到期收益率_1年!F536+中国_中债国债到期收益率_1年!F535</f>
        <v>0.00190000000000001</v>
      </c>
      <c r="G537">
        <f>-中国_中债国债到期收益率_1年!G536+中国_中债国债到期收益率_1年!G535</f>
        <v>0.00499999999999989</v>
      </c>
    </row>
    <row r="538" spans="1:7">
      <c r="A538" s="9">
        <v>45492</v>
      </c>
      <c r="B538">
        <f>-中国_中债国债到期收益率_1年!B537+中国_中债国债到期收益率_1年!B536</f>
        <v>-0.00750000000000006</v>
      </c>
      <c r="C538">
        <f>-中国_中债国债到期收益率_1年!C537+中国_中债国债到期收益率_1年!C536</f>
        <v>-0.00280000000000014</v>
      </c>
      <c r="D538">
        <f>-中国_中债国债到期收益率_1年!D537+中国_中债国债到期收益率_1年!D536</f>
        <v>-0.00750000000000028</v>
      </c>
      <c r="E538">
        <f>-中国_中债国债到期收益率_1年!E537+中国_中债国债到期收益率_1年!E536</f>
        <v>-0.00890000000000013</v>
      </c>
      <c r="F538">
        <f>-中国_中债国债到期收益率_1年!F537+中国_中债国债到期收益率_1年!F536</f>
        <v>0.00340000000000007</v>
      </c>
      <c r="G538">
        <f>-中国_中债国债到期收益率_1年!G537+中国_中债国债到期收益率_1年!G536</f>
        <v>-0.002</v>
      </c>
    </row>
    <row r="539" spans="1:7">
      <c r="A539" s="9">
        <v>45495</v>
      </c>
      <c r="B539">
        <f>-中国_中债国债到期收益率_1年!B538+中国_中债国债到期收益率_1年!B537</f>
        <v>0.00500000000000012</v>
      </c>
      <c r="C539">
        <f>-中国_中债国债到期收益率_1年!C538+中国_中债国债到期收益率_1年!C537</f>
        <v>0.00730000000000008</v>
      </c>
      <c r="D539">
        <f>-中国_中债国债到期收益率_1年!D538+中国_中债国债到期收益率_1年!D537</f>
        <v>0.00590000000000002</v>
      </c>
      <c r="E539">
        <f>-中国_中债国债到期收益率_1年!E538+中国_中债国债到期收益率_1年!E537</f>
        <v>0.00590000000000002</v>
      </c>
      <c r="F539">
        <f>-中国_中债国债到期收益率_1年!F538+中国_中债国债到期收益率_1年!F537</f>
        <v>0.00909999999999989</v>
      </c>
      <c r="G539">
        <f>-中国_中债国债到期收益率_1年!G538+中国_中债国债到期收益率_1年!G537</f>
        <v>0.0131000000000001</v>
      </c>
    </row>
    <row r="540" spans="1:7">
      <c r="A540" s="9">
        <v>45496</v>
      </c>
      <c r="B540">
        <f>-中国_中债国债到期收益率_1年!B539+中国_中债国债到期收益率_1年!B538</f>
        <v>0.0385</v>
      </c>
      <c r="C540">
        <f>-中国_中债国债到期收益率_1年!C539+中国_中债国债到期收益率_1年!C538</f>
        <v>0.0393000000000001</v>
      </c>
      <c r="D540">
        <f>-中国_中债国债到期收益率_1年!D539+中国_中债国债到期收益率_1年!D538</f>
        <v>0.0152999999999999</v>
      </c>
      <c r="E540">
        <f>-中国_中债国债到期收益率_1年!E539+中国_中债国债到期收益率_1年!E538</f>
        <v>0.0129999999999999</v>
      </c>
      <c r="F540">
        <f>-中国_中债国债到期收益率_1年!F539+中国_中债国债到期收益率_1年!F538</f>
        <v>0.0644</v>
      </c>
      <c r="G540">
        <f>-中国_中债国债到期收益率_1年!G539+中国_中债国债到期收益率_1年!G538</f>
        <v>0.0505</v>
      </c>
    </row>
    <row r="541" spans="1:7">
      <c r="A541" s="9">
        <v>45497</v>
      </c>
      <c r="B541">
        <f>-中国_中债国债到期收益率_1年!B540+中国_中债国债到期收益率_1年!B539</f>
        <v>0.0175000000000001</v>
      </c>
      <c r="C541">
        <f>-中国_中债国债到期收益率_1年!C540+中国_中债国债到期收益率_1年!C539</f>
        <v>0.0223</v>
      </c>
      <c r="D541">
        <f>-中国_中债国债到期收益率_1年!D540+中国_中债国债到期收益率_1年!D539</f>
        <v>0.0139</v>
      </c>
      <c r="E541">
        <f>-中国_中债国债到期收益率_1年!E540+中国_中债国债到期收益率_1年!E539</f>
        <v>0.00209999999999999</v>
      </c>
      <c r="F541">
        <f>-中国_中债国债到期收益率_1年!F540+中国_中债国债到期收益率_1年!F539</f>
        <v>0.0103</v>
      </c>
      <c r="G541">
        <f>-中国_中债国债到期收益率_1年!G540+中国_中债国债到期收益率_1年!G539</f>
        <v>0.02</v>
      </c>
    </row>
    <row r="542" spans="1:7">
      <c r="A542" s="9">
        <v>45498</v>
      </c>
      <c r="B542">
        <f>-中国_中债国债到期收益率_1年!B541+中国_中债国债到期收益率_1年!B540</f>
        <v>0.00499999999999989</v>
      </c>
      <c r="C542">
        <f>-中国_中债国债到期收益率_1年!C541+中国_中债国债到期收益率_1年!C540</f>
        <v>-0.00540000000000007</v>
      </c>
      <c r="D542">
        <f>-中国_中债国债到期收益率_1年!D541+中国_中债国债到期收益率_1年!D540</f>
        <v>-0.00590000000000002</v>
      </c>
      <c r="E542">
        <f>-中国_中债国债到期收益率_1年!E541+中国_中债国债到期收益率_1年!E540</f>
        <v>0.00150000000000006</v>
      </c>
      <c r="F542">
        <f>-中国_中债国债到期收益率_1年!F541+中国_中债国债到期收益率_1年!F540</f>
        <v>0.00419999999999998</v>
      </c>
      <c r="G542">
        <f>-中国_中债国债到期收益率_1年!G541+中国_中债国债到期收益率_1年!G540</f>
        <v>0.00779999999999981</v>
      </c>
    </row>
    <row r="543" spans="1:7">
      <c r="A543" s="9">
        <v>45499</v>
      </c>
      <c r="B543">
        <f>-中国_中债国债到期收益率_1年!B542+中国_中债国债到期收益率_1年!B541</f>
        <v>0.000499999999999945</v>
      </c>
      <c r="C543">
        <f>-中国_中债国债到期收益率_1年!C542+中国_中债国债到期收益率_1年!C541</f>
        <v>0.0048999999999999</v>
      </c>
      <c r="D543">
        <f>-中国_中债国债到期收益率_1年!D542+中国_中债国债到期收益率_1年!D541</f>
        <v>0.0213000000000001</v>
      </c>
      <c r="E543">
        <f>-中国_中债国债到期收益率_1年!E542+中国_中债国债到期收益率_1年!E541</f>
        <v>0.0318999999999998</v>
      </c>
      <c r="F543">
        <f>-中国_中债国债到期收益率_1年!F542+中国_中债国债到期收益率_1年!F541</f>
        <v>0.00480000000000014</v>
      </c>
      <c r="G543">
        <f>-中国_中债国债到期收益率_1年!G542+中国_中债国债到期收益率_1年!G541</f>
        <v>0.0213000000000001</v>
      </c>
    </row>
    <row r="544" spans="1:7">
      <c r="A544" s="9">
        <v>45502</v>
      </c>
      <c r="B544">
        <f>-中国_中债国债到期收益率_1年!B543+中国_中债国债到期收益率_1年!B542</f>
        <v>-0.0119</v>
      </c>
      <c r="C544">
        <f>-中国_中债国债到期收益率_1年!C543+中国_中债国债到期收益率_1年!C542</f>
        <v>-0.00529999999999986</v>
      </c>
      <c r="D544">
        <f>-中国_中债国债到期收益率_1年!D543+中国_中债国债到期收益率_1年!D542</f>
        <v>0.0224000000000002</v>
      </c>
      <c r="E544">
        <f>-中国_中债国债到期收益率_1年!E543+中国_中债国债到期收益率_1年!E542</f>
        <v>0.0131000000000001</v>
      </c>
      <c r="F544">
        <f>-中国_中债国债到期收益率_1年!F543+中国_中债国债到期收益率_1年!F542</f>
        <v>0.00180000000000002</v>
      </c>
      <c r="G544">
        <f>-中国_中债国债到期收益率_1年!G543+中国_中债国债到期收益率_1年!G542</f>
        <v>0.000199999999999978</v>
      </c>
    </row>
    <row r="545" spans="1:7">
      <c r="A545" s="9">
        <v>45503</v>
      </c>
      <c r="B545">
        <f>-中国_中债国债到期收益率_1年!B544+中国_中债国债到期收益率_1年!B543</f>
        <v>0.0269000000000001</v>
      </c>
      <c r="C545">
        <f>-中国_中债国债到期收益率_1年!C544+中国_中债国债到期收益率_1年!C543</f>
        <v>0.00429999999999997</v>
      </c>
      <c r="D545">
        <f>-中国_中债国债到期收益率_1年!D544+中国_中债国债到期收益率_1年!D543</f>
        <v>0.0369999999999999</v>
      </c>
      <c r="E545">
        <f>-中国_中债国债到期收益率_1年!E544+中国_中债国债到期收益率_1年!E543</f>
        <v>0.0326</v>
      </c>
      <c r="F545">
        <f>-中国_中债国债到期收益率_1年!F544+中国_中债国债到期收益率_1年!F543</f>
        <v>0.000799999999999912</v>
      </c>
      <c r="G545">
        <f>-中国_中债国债到期收益率_1年!G544+中国_中债国债到期收益率_1年!G543</f>
        <v>0.00259999999999994</v>
      </c>
    </row>
    <row r="546" spans="1:7">
      <c r="A546" s="9">
        <v>45504</v>
      </c>
      <c r="B546">
        <f>-中国_中债国债到期收益率_1年!B545+中国_中债国债到期收益率_1年!B544</f>
        <v>0.02</v>
      </c>
      <c r="C546">
        <f>-中国_中债国债到期收益率_1年!C545+中国_中债国债到期收益率_1年!C544</f>
        <v>0.00970000000000004</v>
      </c>
      <c r="D546">
        <f>-中国_中债国债到期收益率_1年!D545+中国_中债国债到期收益率_1年!D544</f>
        <v>0.00939999999999985</v>
      </c>
      <c r="E546">
        <f>-中国_中债国债到期收益率_1年!E545+中国_中债国债到期收益率_1年!E544</f>
        <v>0.0135000000000001</v>
      </c>
      <c r="F546">
        <f>-中国_中债国债到期收益率_1年!F545+中国_中债国债到期收益率_1年!F544</f>
        <v>0.0103</v>
      </c>
      <c r="G546">
        <f>-中国_中债国债到期收益率_1年!G545+中国_中债国债到期收益率_1年!G544</f>
        <v>0.00750000000000006</v>
      </c>
    </row>
    <row r="547" spans="1:7">
      <c r="A547" s="9">
        <v>45505</v>
      </c>
      <c r="B547">
        <f>-中国_中债国债到期收益率_1年!B546+中国_中债国债到期收益率_1年!B545</f>
        <v>0.00990000000000002</v>
      </c>
      <c r="C547">
        <f>-中国_中债国债到期收益率_1年!C546+中国_中债国债到期收益率_1年!C545</f>
        <v>0.0346</v>
      </c>
      <c r="D547">
        <f>-中国_中债国债到期收益率_1年!D546+中国_中债国债到期收益率_1年!D545</f>
        <v>-0.00139999999999985</v>
      </c>
      <c r="E547">
        <f>-中国_中债国债到期收益率_1年!E546+中国_中债国债到期收益率_1年!E545</f>
        <v>-0.00599999999999978</v>
      </c>
      <c r="F547">
        <f>-中国_中债国债到期收益率_1年!F546+中国_中债国债到期收益率_1年!F545</f>
        <v>0.0214000000000001</v>
      </c>
      <c r="G547">
        <f>-中国_中债国债到期收益率_1年!G546+中国_中债国债到期收益率_1年!G545</f>
        <v>0.0216000000000001</v>
      </c>
    </row>
    <row r="548" spans="1:7">
      <c r="A548" s="9">
        <v>45506</v>
      </c>
      <c r="B548">
        <f>-中国_中债国债到期收益率_1年!B547+中国_中债国债到期收益率_1年!B546</f>
        <v>0.01</v>
      </c>
      <c r="C548">
        <f>-中国_中债国债到期收益率_1年!C547+中国_中债国债到期收益率_1年!C546</f>
        <v>0.0227999999999999</v>
      </c>
      <c r="D548">
        <f>-中国_中债国债到期收益率_1年!D547+中国_中债国债到期收益率_1年!D546</f>
        <v>0.0196999999999998</v>
      </c>
      <c r="E548">
        <f>-中国_中债国债到期收益率_1年!E547+中国_中债国债到期收益率_1年!E546</f>
        <v>0.0173999999999999</v>
      </c>
      <c r="F548">
        <f>-中国_中债国债到期收益率_1年!F547+中国_中债国债到期收益率_1年!F546</f>
        <v>-0.000300000000000189</v>
      </c>
      <c r="G548">
        <f>-中国_中债国债到期收益率_1年!G547+中国_中债国债到期收益率_1年!G546</f>
        <v>0.00879999999999992</v>
      </c>
    </row>
    <row r="549" spans="1:7">
      <c r="A549" s="9">
        <v>45509</v>
      </c>
      <c r="B549">
        <f>-中国_中债国债到期收益率_1年!B548+中国_中债国债到期收益率_1年!B547</f>
        <v>0.02</v>
      </c>
      <c r="C549">
        <f>-中国_中债国债到期收益率_1年!C548+中国_中债国债到期收益率_1年!C547</f>
        <v>0.00740000000000007</v>
      </c>
      <c r="D549">
        <f>-中国_中债国债到期收益率_1年!D548+中国_中债国债到期收益率_1年!D547</f>
        <v>0.00200000000000022</v>
      </c>
      <c r="E549">
        <f>-中国_中债国债到期收益率_1年!E548+中国_中债国债到期收益率_1年!E547</f>
        <v>0.0186000000000002</v>
      </c>
      <c r="F549">
        <f>-中国_中债国债到期收益率_1年!F548+中国_中债国债到期收益率_1年!F547</f>
        <v>0.00530000000000008</v>
      </c>
      <c r="G549">
        <f>-中国_中债国债到期收益率_1年!G548+中国_中债国债到期收益率_1年!G547</f>
        <v>0.00890000000000013</v>
      </c>
    </row>
    <row r="550" spans="1:7">
      <c r="A550" s="9">
        <v>45510</v>
      </c>
      <c r="B550">
        <f>-中国_中债国债到期收益率_1年!B549+中国_中债国债到期收益率_1年!B548</f>
        <v>-0.000100000000000211</v>
      </c>
      <c r="C550">
        <f>-中国_中债国债到期收益率_1年!C549+中国_中债国债到期收益率_1年!C548</f>
        <v>0.00439999999999996</v>
      </c>
      <c r="D550">
        <f>-中国_中债国债到期收益率_1年!D549+中国_中债国债到期收益率_1年!D548</f>
        <v>-0.00990000000000002</v>
      </c>
      <c r="E550">
        <f>-中国_中债国债到期收益率_1年!E549+中国_中债国债到期收益率_1年!E548</f>
        <v>0.0089999999999999</v>
      </c>
      <c r="F550">
        <f>-中国_中债国债到期收益率_1年!F549+中国_中债国债到期收益率_1年!F548</f>
        <v>0.00130000000000008</v>
      </c>
      <c r="G550">
        <f>-中国_中债国债到期收益率_1年!G549+中国_中债国债到期收益率_1年!G548</f>
        <v>0.0115999999999998</v>
      </c>
    </row>
    <row r="551" spans="1:7">
      <c r="A551" s="9">
        <v>45511</v>
      </c>
      <c r="B551">
        <f>-中国_中债国债到期收益率_1年!B550+中国_中债国债到期收益率_1年!B549</f>
        <v>-0.0201</v>
      </c>
      <c r="C551">
        <f>-中国_中债国债到期收益率_1年!C550+中国_中债国债到期收益率_1年!C549</f>
        <v>-0.00259999999999994</v>
      </c>
      <c r="D551">
        <f>-中国_中债国债到期收益率_1年!D550+中国_中债国债到期收益率_1年!D549</f>
        <v>-0.0114999999999998</v>
      </c>
      <c r="E551">
        <f>-中国_中债国债到期收益率_1年!E550+中国_中债国债到期收益率_1年!E549</f>
        <v>-0.0175000000000001</v>
      </c>
      <c r="F551">
        <f>-中国_中债国债到期收益率_1年!F550+中国_中债国债到期收益率_1年!F549</f>
        <v>-0.0143</v>
      </c>
      <c r="G551">
        <f>-中国_中债国债到期收益率_1年!G550+中国_中债国债到期收益率_1年!G549</f>
        <v>-0.0272999999999999</v>
      </c>
    </row>
    <row r="552" spans="1:7">
      <c r="A552" s="9">
        <v>45512</v>
      </c>
      <c r="B552">
        <f>-中国_中债国债到期收益率_1年!B551+中国_中债国债到期收益率_1年!B550</f>
        <v>0.00380000000000003</v>
      </c>
      <c r="C552">
        <f>-中国_中债国债到期收益率_1年!C551+中国_中债国债到期收益率_1年!C550</f>
        <v>0.0174999999999998</v>
      </c>
      <c r="D552">
        <f>-中国_中债国债到期收益率_1年!D551+中国_中债国债到期收益率_1年!D550</f>
        <v>0.00769999999999982</v>
      </c>
      <c r="E552">
        <f>-中国_中债国债到期收益率_1年!E551+中国_中债国债到期收益率_1年!E550</f>
        <v>0.02</v>
      </c>
      <c r="F552">
        <f>-中国_中债国债到期收益率_1年!F551+中国_中债国债到期收益率_1年!F550</f>
        <v>0.00229999999999997</v>
      </c>
      <c r="G552">
        <f>-中国_中债国债到期收益率_1年!G551+中国_中债国债到期收益率_1年!G550</f>
        <v>0.0128999999999999</v>
      </c>
    </row>
    <row r="553" spans="1:7">
      <c r="A553" s="9">
        <v>45513</v>
      </c>
      <c r="B553">
        <f>-中国_中债国债到期收益率_1年!B552+中国_中债国债到期收益率_1年!B551</f>
        <v>-0.0203</v>
      </c>
      <c r="C553">
        <f>-中国_中债国债到期收益率_1年!C552+中国_中债国债到期收益率_1年!C551</f>
        <v>-0.0353999999999999</v>
      </c>
      <c r="D553">
        <f>-中国_中债国债到期收益率_1年!D552+中国_中债国债到期收益率_1年!D551</f>
        <v>-0.0396000000000001</v>
      </c>
      <c r="E553">
        <f>-中国_中债国债到期收益率_1年!E552+中国_中债国债到期收益率_1年!E551</f>
        <v>-0.0350000000000001</v>
      </c>
      <c r="F553">
        <f>-中国_中债国债到期收益率_1年!F552+中国_中债国债到期收益率_1年!F551</f>
        <v>-0.0188000000000001</v>
      </c>
      <c r="G553">
        <f>-中国_中债国债到期收益率_1年!G552+中国_中债国债到期收益率_1年!G551</f>
        <v>-0.0259</v>
      </c>
    </row>
    <row r="554" spans="1:7">
      <c r="A554" s="9">
        <v>45516</v>
      </c>
      <c r="B554">
        <f>-中国_中债国债到期收益率_1年!B553+中国_中债国债到期收益率_1年!B552</f>
        <v>-0.0293999999999999</v>
      </c>
      <c r="C554">
        <f>-中国_中债国债到期收益率_1年!C553+中国_中债国债到期收益率_1年!C552</f>
        <v>-0.0357000000000001</v>
      </c>
      <c r="D554">
        <f>-中国_中债国债到期收益率_1年!D553+中国_中债国债到期收益率_1年!D552</f>
        <v>-0.0175999999999998</v>
      </c>
      <c r="E554">
        <f>-中国_中债国债到期收益率_1年!E553+中国_中债国债到期收益率_1年!E552</f>
        <v>-0.00999999999999979</v>
      </c>
      <c r="F554">
        <f>-中国_中债国债到期收益率_1年!F553+中国_中债国债到期收益率_1年!F552</f>
        <v>-0.0144</v>
      </c>
      <c r="G554">
        <f>-中国_中债国债到期收益率_1年!G553+中国_中债国债到期收益率_1年!G552</f>
        <v>-0.0195999999999998</v>
      </c>
    </row>
    <row r="555" spans="1:7">
      <c r="A555" s="9">
        <v>45517</v>
      </c>
      <c r="B555">
        <f>-中国_中债国债到期收益率_1年!B554+中国_中债国债到期收益率_1年!B553</f>
        <v>-0.0721000000000001</v>
      </c>
      <c r="C555">
        <f>-中国_中债国债到期收益率_1年!C554+中国_中债国债到期收益率_1年!C553</f>
        <v>-0.0651999999999999</v>
      </c>
      <c r="D555">
        <f>-中国_中债国债到期收益率_1年!D554+中国_中债国债到期收益率_1年!D553</f>
        <v>-0.0522</v>
      </c>
      <c r="E555">
        <f>-中国_中债国债到期收益率_1年!E554+中国_中债国债到期收益率_1年!E553</f>
        <v>-0.0550000000000002</v>
      </c>
      <c r="F555">
        <f>-中国_中债国债到期收益率_1年!F554+中国_中债国债到期收益率_1年!F553</f>
        <v>-0.0336999999999998</v>
      </c>
      <c r="G555">
        <f>-中国_中债国债到期收益率_1年!G554+中国_中债国债到期收益率_1年!G553</f>
        <v>-0.0333000000000001</v>
      </c>
    </row>
    <row r="556" spans="1:7">
      <c r="A556" s="9">
        <v>45518</v>
      </c>
      <c r="B556">
        <f>-中国_中债国债到期收益率_1年!B555+中国_中债国债到期收益率_1年!B554</f>
        <v>0.0275000000000001</v>
      </c>
      <c r="C556">
        <f>-中国_中债国债到期收益率_1年!C555+中国_中债国债到期收益率_1年!C554</f>
        <v>0.0347</v>
      </c>
      <c r="D556">
        <f>-中国_中债国债到期收益率_1年!D555+中国_中债国债到期收益率_1年!D554</f>
        <v>0.0253000000000001</v>
      </c>
      <c r="E556">
        <f>-中国_中债国债到期收益率_1年!E555+中国_中债国债到期收益率_1年!E554</f>
        <v>0.0274999999999999</v>
      </c>
      <c r="F556">
        <f>-中国_中债国债到期收益率_1年!F555+中国_中债国债到期收益率_1年!F554</f>
        <v>0.0232999999999999</v>
      </c>
      <c r="G556">
        <f>-中国_中债国债到期收益率_1年!G555+中国_中债国债到期收益率_1年!G554</f>
        <v>0.0348999999999999</v>
      </c>
    </row>
    <row r="557" spans="1:7">
      <c r="A557" s="9">
        <v>45519</v>
      </c>
      <c r="B557">
        <f>-中国_中债国债到期收益率_1年!B556+中国_中债国债到期收益率_1年!B555</f>
        <v>-0.0051000000000001</v>
      </c>
      <c r="C557">
        <f>-中国_中债国债到期收益率_1年!C556+中国_中债国债到期收益率_1年!C555</f>
        <v>0.0153000000000001</v>
      </c>
      <c r="D557">
        <f>-中国_中债国债到期收益率_1年!D556+中国_中债国债到期收益率_1年!D555</f>
        <v>0.0288999999999997</v>
      </c>
      <c r="E557">
        <f>-中国_中债国债到期收益率_1年!E556+中国_中债国债到期收益率_1年!E555</f>
        <v>0.0324</v>
      </c>
      <c r="F557">
        <f>-中国_中债国债到期收益率_1年!F556+中国_中债国债到期收益率_1年!F555</f>
        <v>0.0289000000000001</v>
      </c>
      <c r="G557">
        <f>-中国_中债国债到期收益率_1年!G556+中国_中债国债到期收益率_1年!G555</f>
        <v>0.0356000000000001</v>
      </c>
    </row>
    <row r="558" spans="1:7">
      <c r="A558" s="9">
        <v>45520</v>
      </c>
      <c r="B558">
        <f>-中国_中债国债到期收益率_1年!B557+中国_中债国债到期收益率_1年!B556</f>
        <v>-0.0151999999999999</v>
      </c>
      <c r="C558">
        <f>-中国_中债国债到期收益率_1年!C557+中国_中债国债到期收益率_1年!C556</f>
        <v>-0.02</v>
      </c>
      <c r="D558">
        <f>-中国_中债国债到期收益率_1年!D557+中国_中债国债到期收益率_1年!D556</f>
        <v>-0.00839999999999996</v>
      </c>
      <c r="E558">
        <f>-中国_中债国债到期收益率_1年!E557+中国_中债国债到期收益率_1年!E556</f>
        <v>-0.0148999999999999</v>
      </c>
      <c r="F558">
        <f>-中国_中债国债到期收益率_1年!F557+中国_中债国债到期收益率_1年!F556</f>
        <v>-0.0135000000000001</v>
      </c>
      <c r="G558">
        <f>-中国_中债国债到期收益率_1年!G557+中国_中债国债到期收益率_1年!G556</f>
        <v>-0.00889999999999991</v>
      </c>
    </row>
    <row r="559" spans="1:7">
      <c r="A559" s="9">
        <v>45523</v>
      </c>
      <c r="B559">
        <f>-中国_中债国债到期收益率_1年!B558+中国_中债国债到期收益率_1年!B557</f>
        <v>-0.0130000000000001</v>
      </c>
      <c r="C559">
        <f>-中国_中债国债到期收益率_1年!C558+中国_中债国债到期收益率_1年!C557</f>
        <v>0.0157</v>
      </c>
      <c r="D559">
        <f>-中国_中债国债到期收益率_1年!D558+中国_中债国债到期收益率_1年!D557</f>
        <v>0.0072000000000001</v>
      </c>
      <c r="E559">
        <f>-中国_中债国债到期收益率_1年!E558+中国_中债国债到期收益率_1年!E557</f>
        <v>0</v>
      </c>
      <c r="F559">
        <f>-中国_中债国债到期收益率_1年!F558+中国_中债国债到期收益率_1年!F557</f>
        <v>0.00239999999999996</v>
      </c>
      <c r="G559">
        <f>-中国_中债国债到期收益率_1年!G558+中国_中债国债到期收益率_1年!G557</f>
        <v>0.004</v>
      </c>
    </row>
    <row r="560" spans="1:7">
      <c r="A560" s="9">
        <v>45524</v>
      </c>
      <c r="B560">
        <f>-中国_中债国债到期收益率_1年!B559+中国_中债国债到期收益率_1年!B558</f>
        <v>-0.00649999999999995</v>
      </c>
      <c r="C560">
        <f>-中国_中债国债到期收益率_1年!C559+中国_中债国债到期收益率_1年!C558</f>
        <v>0.00669999999999993</v>
      </c>
      <c r="D560">
        <f>-中国_中债国债到期收益率_1年!D559+中国_中债国债到期收益率_1年!D558</f>
        <v>0.0162</v>
      </c>
      <c r="E560">
        <f>-中国_中债国债到期收益率_1年!E559+中国_中债国债到期收益率_1年!E558</f>
        <v>0.0225</v>
      </c>
      <c r="F560">
        <f>-中国_中债国债到期收益率_1年!F559+中国_中债国债到期收益率_1年!F558</f>
        <v>-0.000599999999999934</v>
      </c>
      <c r="G560">
        <f>-中国_中债国债到期收益率_1年!G559+中国_中债国债到期收益率_1年!G558</f>
        <v>0.00380000000000003</v>
      </c>
    </row>
    <row r="561" spans="1:7">
      <c r="A561" s="9">
        <v>45525</v>
      </c>
      <c r="B561">
        <f>-中国_中债国债到期收益率_1年!B560+中国_中债国债到期收益率_1年!B559</f>
        <v>-0.0129000000000001</v>
      </c>
      <c r="C561">
        <f>-中国_中债国债到期收益率_1年!C560+中国_中债国债到期收益率_1年!C559</f>
        <v>-0.00249999999999995</v>
      </c>
      <c r="D561">
        <f>-中国_中债国债到期收益率_1年!D560+中国_中债国债到期收益率_1年!D559</f>
        <v>0.0106000000000002</v>
      </c>
      <c r="E561">
        <f>-中国_中债国债到期收益率_1年!E560+中国_中债国债到期收益率_1年!E559</f>
        <v>0.00750000000000028</v>
      </c>
      <c r="F561">
        <f>-中国_中债国债到期收益率_1年!F560+中国_中债国债到期收益率_1年!F559</f>
        <v>-0.00550000000000006</v>
      </c>
      <c r="G561">
        <f>-中国_中债国债到期收益率_1年!G560+中国_中债国债到期收益率_1年!G559</f>
        <v>0.00619999999999998</v>
      </c>
    </row>
    <row r="562" spans="1:7">
      <c r="A562" s="9">
        <v>45526</v>
      </c>
      <c r="B562">
        <f>-中国_中债国债到期收益率_1年!B561+中国_中债国债到期收益率_1年!B560</f>
        <v>0.0092000000000001</v>
      </c>
      <c r="C562">
        <f>-中国_中债国债到期收益率_1年!C561+中国_中债国债到期收益率_1年!C560</f>
        <v>0.00979999999999981</v>
      </c>
      <c r="D562">
        <f>-中国_中债国债到期收益率_1年!D561+中国_中债国债到期收益率_1年!D560</f>
        <v>0.004</v>
      </c>
      <c r="E562">
        <f>-中国_中债国债到期收益率_1年!E561+中国_中债国债到期收益率_1年!E560</f>
        <v>0.00489999999999968</v>
      </c>
      <c r="F562">
        <f>-中国_中债国债到期收益率_1年!F561+中国_中债国债到期收益率_1年!F560</f>
        <v>-0.0265</v>
      </c>
      <c r="G562">
        <f>-中国_中债国债到期收益率_1年!G561+中国_中债国债到期收益率_1年!G560</f>
        <v>-0.02</v>
      </c>
    </row>
    <row r="563" spans="1:7">
      <c r="A563" s="9">
        <v>45527</v>
      </c>
      <c r="B563">
        <f>-中国_中债国债到期收益率_1年!B562+中国_中债国债到期收益率_1年!B561</f>
        <v>0.0232000000000001</v>
      </c>
      <c r="C563">
        <f>-中国_中债国债到期收益率_1年!C562+中国_中债国债到期收益率_1年!C561</f>
        <v>0.00350000000000006</v>
      </c>
      <c r="D563">
        <f>-中国_中债国债到期收益率_1年!D562+中国_中债国债到期收益率_1年!D561</f>
        <v>0.00879999999999992</v>
      </c>
      <c r="E563">
        <f>-中国_中债国债到期收益率_1年!E562+中国_中债国债到期收益率_1年!E561</f>
        <v>0.00750000000000028</v>
      </c>
      <c r="F563">
        <f>-中国_中债国债到期收益率_1年!F562+中国_中债国债到期收益率_1年!F561</f>
        <v>0.00099999999999989</v>
      </c>
      <c r="G563">
        <f>-中国_中债国债到期收益率_1年!G562+中国_中债国债到期收益率_1年!G561</f>
        <v>0.0150999999999999</v>
      </c>
    </row>
    <row r="564" spans="1:7">
      <c r="A564" s="9">
        <v>45530</v>
      </c>
      <c r="B564">
        <f>-中国_中债国债到期收益率_1年!B563+中国_中债国债到期收益率_1年!B562</f>
        <v>0.0237999999999998</v>
      </c>
      <c r="C564">
        <f>-中国_中债国债到期收益率_1年!C563+中国_中债国债到期收益率_1年!C562</f>
        <v>0.0239</v>
      </c>
      <c r="D564">
        <f>-中国_中债国债到期收益率_1年!D563+中国_中债国债到期收益率_1年!D562</f>
        <v>0.00349999999999984</v>
      </c>
      <c r="E564">
        <f>-中国_中债国债到期收益率_1年!E563+中国_中债国债到期收益率_1年!E562</f>
        <v>0.00749999999999984</v>
      </c>
      <c r="F564">
        <f>-中国_中债国债到期收益率_1年!F563+中国_中债国债到期收益率_1年!F562</f>
        <v>-0.00239999999999996</v>
      </c>
      <c r="G564">
        <f>-中国_中债国债到期收益率_1年!G563+中国_中债国债到期收益率_1年!G562</f>
        <v>-0.00819999999999999</v>
      </c>
    </row>
    <row r="565" spans="1:7">
      <c r="A565" s="9">
        <v>45531</v>
      </c>
      <c r="B565">
        <f>-中国_中债国债到期收益率_1年!B564+中国_中债国债到期收益率_1年!B563</f>
        <v>-0.00689999999999991</v>
      </c>
      <c r="C565">
        <f>-中国_中债国债到期收益率_1年!C564+中国_中债国债到期收益率_1年!C563</f>
        <v>0.004</v>
      </c>
      <c r="D565">
        <f>-中国_中债国债到期收益率_1年!D564+中国_中债国债到期收益率_1年!D563</f>
        <v>-0.00809999999999977</v>
      </c>
      <c r="E565">
        <f>-中国_中债国债到期收益率_1年!E564+中国_中债国债到期收益率_1年!E563</f>
        <v>-0.00740000000000007</v>
      </c>
      <c r="F565">
        <f>-中国_中债国债到期收益率_1年!F564+中国_中债国债到期收益率_1年!F563</f>
        <v>0.0256000000000001</v>
      </c>
      <c r="G565">
        <f>-中国_中债国债到期收益率_1年!G564+中国_中债国债到期收益率_1年!G563</f>
        <v>0.00950000000000006</v>
      </c>
    </row>
    <row r="566" spans="1:7">
      <c r="A566" s="9">
        <v>45532</v>
      </c>
      <c r="B566">
        <f>-中国_中债国债到期收益率_1年!B565+中国_中债国债到期收益率_1年!B564</f>
        <v>-0.0031000000000001</v>
      </c>
      <c r="C566">
        <f>-中国_中债国债到期收益率_1年!C565+中国_中债国债到期收益率_1年!C564</f>
        <v>-0.0210999999999999</v>
      </c>
      <c r="D566">
        <f>-中国_中债国债到期收益率_1年!D565+中国_中债国债到期收益率_1年!D564</f>
        <v>-0.0275000000000003</v>
      </c>
      <c r="E566">
        <f>-中国_中债国债到期收益率_1年!E565+中国_中债国债到期收益率_1年!E564</f>
        <v>-0.0349999999999997</v>
      </c>
      <c r="F566">
        <f>-中国_中债国债到期收益率_1年!F565+中国_中债国债到期收益率_1年!F564</f>
        <v>-0.0092000000000001</v>
      </c>
      <c r="G566">
        <f>-中国_中债国债到期收益率_1年!G565+中国_中债国债到期收益率_1年!G564</f>
        <v>-0.02</v>
      </c>
    </row>
    <row r="567" spans="1:7">
      <c r="A567" s="9">
        <v>45533</v>
      </c>
      <c r="B567">
        <f>-中国_中债国债到期收益率_1年!B566+中国_中债国债到期收益率_1年!B565</f>
        <v>0.0110000000000001</v>
      </c>
      <c r="C567">
        <f>-中国_中债国债到期收益率_1年!C566+中国_中债国债到期收益率_1年!C565</f>
        <v>0.0105999999999999</v>
      </c>
      <c r="D567">
        <f>-中国_中债国债到期收益率_1年!D566+中国_中债国债到期收益率_1年!D565</f>
        <v>0.0230000000000001</v>
      </c>
      <c r="E567">
        <f>-中国_中债国债到期收益率_1年!E566+中国_中债国债到期收益率_1年!E565</f>
        <v>0.0274999999999999</v>
      </c>
      <c r="F567">
        <f>-中国_中债国债到期收益率_1年!F566+中国_中债国债到期收益率_1年!F565</f>
        <v>0.00460000000000016</v>
      </c>
      <c r="G567">
        <f>-中国_中债国债到期收益率_1年!G566+中国_中债国债到期收益率_1年!G565</f>
        <v>0.00229999999999997</v>
      </c>
    </row>
    <row r="568" spans="1:7">
      <c r="A568" s="9">
        <v>45534</v>
      </c>
      <c r="B568">
        <f>-中国_中债国债到期收益率_1年!B567+中国_中债国债到期收益率_1年!B566</f>
        <v>0.00509999999999988</v>
      </c>
      <c r="C568">
        <f>-中国_中债国债到期收益率_1年!C567+中国_中债国债到期收益率_1年!C566</f>
        <v>-0.0119</v>
      </c>
      <c r="D568">
        <f>-中国_中债国债到期收益率_1年!D567+中国_中债国债到期收益率_1年!D566</f>
        <v>-0.00300000000000011</v>
      </c>
      <c r="E568">
        <f>-中国_中债国债到期收益率_1年!E567+中国_中债国债到期收益率_1年!E566</f>
        <v>-0.0100000000000002</v>
      </c>
      <c r="F568">
        <f>-中国_中债国债到期收益率_1年!F567+中国_中债国债到期收益率_1年!F566</f>
        <v>0.00689999999999991</v>
      </c>
      <c r="G568">
        <f>-中国_中债国债到期收益率_1年!G567+中国_中债国债到期收益率_1年!G566</f>
        <v>0.00679999999999992</v>
      </c>
    </row>
    <row r="569" spans="1:7">
      <c r="A569" s="9">
        <v>45537</v>
      </c>
      <c r="B569">
        <f>-中国_中债国债到期收益率_1年!B568+中国_中债国债到期收益率_1年!B567</f>
        <v>0.00120000000000009</v>
      </c>
      <c r="C569">
        <f>-中国_中债国债到期收益率_1年!C568+中国_中债国债到期收益率_1年!C567</f>
        <v>0.0148999999999999</v>
      </c>
      <c r="D569">
        <f>-中国_中债国债到期收益率_1年!D568+中国_中债国债到期收益率_1年!D567</f>
        <v>-9.99999999997669e-5</v>
      </c>
      <c r="E569">
        <f>-中国_中债国债到期收益率_1年!E568+中国_中债国债到期收益率_1年!E567</f>
        <v>-9.99999999997669e-5</v>
      </c>
      <c r="F569">
        <f>-中国_中债国债到期收益率_1年!F568+中国_中债国债到期收益率_1年!F567</f>
        <v>0.00229999999999997</v>
      </c>
      <c r="G569">
        <f>-中国_中债国债到期收益率_1年!G568+中国_中债国债到期收益率_1年!G567</f>
        <v>-0.0149999999999999</v>
      </c>
    </row>
    <row r="570" spans="1:7">
      <c r="A570" s="9">
        <v>45538</v>
      </c>
      <c r="B570">
        <f>-中国_中债国债到期收益率_1年!B569+中国_中债国债到期收益率_1年!B568</f>
        <v>0.0249999999999999</v>
      </c>
      <c r="C570">
        <f>-中国_中债国债到期收益率_1年!C569+中国_中债国债到期收益率_1年!C568</f>
        <v>0.0437000000000001</v>
      </c>
      <c r="D570">
        <f>-中国_中债国债到期收益率_1年!D569+中国_中债国债到期收益率_1年!D568</f>
        <v>0.0246999999999997</v>
      </c>
      <c r="E570">
        <f>-中国_中债国债到期收益率_1年!E569+中国_中债国债到期收益率_1年!E568</f>
        <v>0.0226000000000002</v>
      </c>
      <c r="F570">
        <f>-中国_中债国债到期收益率_1年!F569+中国_中债国债到期收益率_1年!F568</f>
        <v>0.0361</v>
      </c>
      <c r="G570">
        <f>-中国_中债国债到期收益率_1年!G569+中国_中债国债到期收益率_1年!G568</f>
        <v>0.046</v>
      </c>
    </row>
    <row r="571" spans="1:7">
      <c r="A571" s="9">
        <v>45539</v>
      </c>
      <c r="B571">
        <f>-中国_中债国债到期收益率_1年!B570+中国_中债国债到期收益率_1年!B569</f>
        <v>0.0350000000000001</v>
      </c>
      <c r="C571">
        <f>-中国_中债国债到期收益率_1年!C570+中国_中债国债到期收益率_1年!C569</f>
        <v>0.0231999999999999</v>
      </c>
      <c r="D571">
        <f>-中国_中债国债到期收益率_1年!D570+中国_中债国债到期收益率_1年!D569</f>
        <v>0.00249999999999995</v>
      </c>
      <c r="E571">
        <f>-中国_中债国债到期收益率_1年!E570+中国_中债国债到期收益率_1年!E569</f>
        <v>0.00349999999999984</v>
      </c>
      <c r="F571">
        <f>-中国_中债国债到期收益率_1年!F570+中国_中债国债到期收益率_1年!F569</f>
        <v>0.0069999999999999</v>
      </c>
      <c r="G571">
        <f>-中国_中债国债到期收益率_1年!G570+中国_中债国债到期收益率_1年!G569</f>
        <v>0.0202</v>
      </c>
    </row>
    <row r="572" spans="1:7">
      <c r="A572" s="9">
        <v>45540</v>
      </c>
      <c r="B572">
        <f>-中国_中债国债到期收益率_1年!B571+中国_中债国债到期收益率_1年!B570</f>
        <v>-0.0250000000000001</v>
      </c>
      <c r="C572">
        <f>-中国_中债国债到期收益率_1年!C571+中国_中债国债到期收益率_1年!C570</f>
        <v>0.0103000000000002</v>
      </c>
      <c r="D572">
        <f>-中国_中债国债到期收益率_1年!D571+中国_中债国债到期收益率_1年!D570</f>
        <v>0.00960000000000027</v>
      </c>
      <c r="E572">
        <f>-中国_中债国债到期收益率_1年!E571+中国_中债国债到期收益率_1年!E570</f>
        <v>0.0165000000000002</v>
      </c>
      <c r="F572">
        <f>-中国_中债国债到期收益率_1年!F571+中国_中债国债到期收益率_1年!F570</f>
        <v>0.00350000000000006</v>
      </c>
      <c r="G572">
        <f>-中国_中债国债到期收益率_1年!G571+中国_中债国债到期收益率_1年!G570</f>
        <v>0.0223</v>
      </c>
    </row>
    <row r="573" spans="1:7">
      <c r="A573" s="9">
        <v>45541</v>
      </c>
      <c r="B573">
        <f>-中国_中债国债到期收益率_1年!B572+中国_中债国债到期收益率_1年!B571</f>
        <v>0.00750000000000006</v>
      </c>
      <c r="C573">
        <f>-中国_中债国债到期收益率_1年!C572+中国_中债国债到期收益率_1年!C571</f>
        <v>-0.0011000000000001</v>
      </c>
      <c r="D573">
        <f>-中国_中债国债到期收益率_1年!D572+中国_中债国债到期收益率_1年!D571</f>
        <v>-0.000199999999999978</v>
      </c>
      <c r="E573">
        <f>-中国_中债国债到期收益率_1年!E572+中国_中债国债到期收益率_1年!E571</f>
        <v>0.00999999999999979</v>
      </c>
      <c r="F573">
        <f>-中国_中债国债到期收益率_1年!F572+中国_中债国债到期收益率_1年!F571</f>
        <v>0.00800000000000001</v>
      </c>
      <c r="G573">
        <f>-中国_中债国债到期收益率_1年!G572+中国_中债国债到期收益率_1年!G571</f>
        <v>0.0189999999999999</v>
      </c>
    </row>
    <row r="574" spans="1:7">
      <c r="A574" s="9">
        <v>45544</v>
      </c>
      <c r="B574">
        <f>-中国_中债国债到期收益率_1年!B573+中国_中债国债到期收益率_1年!B572</f>
        <v>0.0123</v>
      </c>
      <c r="C574">
        <f>-中国_中债国债到期收益率_1年!C573+中国_中债国债到期收益率_1年!C572</f>
        <v>-0.0028999999999999</v>
      </c>
      <c r="D574">
        <f>-中国_中债国债到期收益率_1年!D573+中国_中债国债到期收益率_1年!D572</f>
        <v>-0.00499999999999989</v>
      </c>
      <c r="E574">
        <f>-中国_中债国债到期收益率_1年!E573+中国_中债国债到期收益率_1年!E572</f>
        <v>0.00349999999999984</v>
      </c>
      <c r="F574">
        <f>-中国_中债国债到期收益率_1年!F573+中国_中债国债到期收益率_1年!F572</f>
        <v>0.00340000000000007</v>
      </c>
      <c r="G574">
        <f>-中国_中债国债到期收益率_1年!G573+中国_中债国债到期收益率_1年!G572</f>
        <v>-0.00459999999999994</v>
      </c>
    </row>
    <row r="575" spans="1:7">
      <c r="A575" s="9">
        <v>45545</v>
      </c>
      <c r="B575">
        <f>-中国_中债国债到期收益率_1年!B574+中国_中债国债到期收益率_1年!B573</f>
        <v>0.02</v>
      </c>
      <c r="C575">
        <f>-中国_中债国债到期收益率_1年!C574+中国_中债国债到期收益率_1年!C573</f>
        <v>0.0089999999999999</v>
      </c>
      <c r="D575">
        <f>-中国_中债国债到期收益率_1年!D574+中国_中债国债到期收益率_1年!D573</f>
        <v>0.0120999999999998</v>
      </c>
      <c r="E575">
        <f>-中国_中债国债到期收益率_1年!E574+中国_中债国债到期收益率_1年!E573</f>
        <v>0.0190000000000001</v>
      </c>
      <c r="F575">
        <f>-中国_中债国债到期收益率_1年!F574+中国_中债国债到期收益率_1年!F573</f>
        <v>-0.00639999999999996</v>
      </c>
      <c r="G575">
        <f>-中国_中债国债到期收益率_1年!G574+中国_中债国债到期收益率_1年!G573</f>
        <v>0.0111000000000001</v>
      </c>
    </row>
    <row r="576" spans="1:7">
      <c r="A576" s="9">
        <v>45546</v>
      </c>
      <c r="B576">
        <f>-中国_中债国债到期收益率_1年!B575+中国_中债国债到期收益率_1年!B574</f>
        <v>0.0600000000000001</v>
      </c>
      <c r="C576">
        <f>-中国_中债国债到期收益率_1年!C575+中国_中债国债到期收益率_1年!C574</f>
        <v>0.0203</v>
      </c>
      <c r="D576">
        <f>-中国_中债国债到期收益率_1年!D575+中国_中债国债到期收益率_1年!D574</f>
        <v>0.0124</v>
      </c>
      <c r="E576">
        <f>-中国_中债国债到期收益率_1年!E575+中国_中债国债到期收益率_1年!E574</f>
        <v>0.0230000000000001</v>
      </c>
      <c r="F576">
        <f>-中国_中债国债到期收益率_1年!F575+中国_中债国债到期收益率_1年!F574</f>
        <v>0.00529999999999986</v>
      </c>
      <c r="G576">
        <f>-中国_中债国债到期收益率_1年!G575+中国_中债国债到期收益率_1年!G574</f>
        <v>0.0216999999999998</v>
      </c>
    </row>
    <row r="577" spans="1:7">
      <c r="A577" s="9">
        <v>45547</v>
      </c>
      <c r="B577">
        <f>-中国_中债国债到期收益率_1年!B576+中国_中债国债到期收益率_1年!B575</f>
        <v>0.0266999999999999</v>
      </c>
      <c r="C577">
        <f>-中国_中债国债到期收益率_1年!C576+中国_中债国债到期收益率_1年!C575</f>
        <v>0.0322</v>
      </c>
      <c r="D577">
        <f>-中国_中债国债到期收益率_1年!D576+中国_中债国债到期收益率_1年!D575</f>
        <v>0.00990000000000002</v>
      </c>
      <c r="E577">
        <f>-中国_中债国债到期收益率_1年!E576+中国_中债国债到期收益率_1年!E575</f>
        <v>0.004</v>
      </c>
      <c r="F577">
        <f>-中国_中债国债到期收益率_1年!F576+中国_中债国债到期收益率_1年!F575</f>
        <v>-0.00180000000000002</v>
      </c>
      <c r="G577">
        <f>-中国_中债国债到期收益率_1年!G576+中国_中债国债到期收益率_1年!G575</f>
        <v>0.00900000000000012</v>
      </c>
    </row>
    <row r="578" spans="1:7">
      <c r="A578" s="9">
        <v>45548</v>
      </c>
      <c r="B578">
        <f>-中国_中债国债到期收益率_1年!B577+中国_中债国债到期收益率_1年!B576</f>
        <v>0.00249999999999995</v>
      </c>
      <c r="C578">
        <f>-中国_中债国债到期收益率_1年!C577+中国_中债国债到期收益率_1年!C576</f>
        <v>-0.00570000000000004</v>
      </c>
      <c r="D578">
        <f>-中国_中债国债到期收益率_1年!D577+中国_中债国债到期收益率_1年!D576</f>
        <v>0.00459999999999994</v>
      </c>
      <c r="E578">
        <f>-中国_中债国债到期收益率_1年!E577+中国_中债国债到期收益率_1年!E576</f>
        <v>0.0158999999999998</v>
      </c>
      <c r="F578">
        <f>-中国_中债国债到期收益率_1年!F577+中国_中债国债到期收益率_1年!F576</f>
        <v>-0.0098999999999998</v>
      </c>
      <c r="G578">
        <f>-中国_中债国债到期收益率_1年!G577+中国_中债国债到期收益率_1年!G576</f>
        <v>-0.0117</v>
      </c>
    </row>
    <row r="579" spans="1:7">
      <c r="A579" s="9">
        <v>45549</v>
      </c>
      <c r="B579">
        <f>-中国_中债国债到期收益率_1年!B578+中国_中债国债到期收益率_1年!B577</f>
        <v>0</v>
      </c>
      <c r="C579">
        <f>-中国_中债国债到期收益率_1年!C578+中国_中债国债到期收益率_1年!C577</f>
        <v>0.00270000000000015</v>
      </c>
      <c r="D579">
        <f>-中国_中债国债到期收益率_1年!D578+中国_中债国债到期收益率_1年!D577</f>
        <v>0.0274000000000001</v>
      </c>
      <c r="E579">
        <f>-中国_中债国债到期收益率_1年!E578+中国_中债国债到期收益率_1年!E577</f>
        <v>0.0295000000000001</v>
      </c>
      <c r="F579">
        <f>-中国_中债国债到期收益率_1年!F578+中国_中债国债到期收益率_1年!F577</f>
        <v>-0.00850000000000017</v>
      </c>
      <c r="G579">
        <f>-中国_中债国债到期收益率_1年!G578+中国_中债国债到期收益率_1年!G577</f>
        <v>0.00439999999999996</v>
      </c>
    </row>
    <row r="580" spans="1:7">
      <c r="A580" s="9">
        <v>45553</v>
      </c>
      <c r="B580">
        <f>-中国_中债国债到期收益率_1年!B579+中国_中债国债到期收益率_1年!B578</f>
        <v>-0.00499999999999989</v>
      </c>
      <c r="C580">
        <f>-中国_中债国债到期收益率_1年!C579+中国_中债国债到期收益率_1年!C578</f>
        <v>0.0195999999999998</v>
      </c>
      <c r="D580">
        <f>-中国_中债国债到期收益率_1年!D579+中国_中债国债到期收益率_1年!D578</f>
        <v>0.0299</v>
      </c>
      <c r="E580">
        <f>-中国_中债国债到期收益率_1年!E579+中国_中债国债到期收益率_1年!E578</f>
        <v>0.0346000000000002</v>
      </c>
      <c r="F580">
        <f>-中国_中债国债到期收益率_1年!F579+中国_中债国债到期收益率_1年!F578</f>
        <v>0.00710000000000011</v>
      </c>
      <c r="G580">
        <f>-中国_中债国债到期收益率_1年!G579+中国_中债国债到期收益率_1年!G578</f>
        <v>1.7174</v>
      </c>
    </row>
    <row r="581" spans="1:7">
      <c r="A581" s="9">
        <v>45554</v>
      </c>
      <c r="B581">
        <f>-中国_中债国债到期收益率_1年!B580+中国_中债国债到期收益率_1年!B579</f>
        <v>-0.0350000000000001</v>
      </c>
      <c r="C581">
        <f>-中国_中债国债到期收益率_1年!C580+中国_中债国债到期收益率_1年!C579</f>
        <v>-0.0207999999999999</v>
      </c>
      <c r="D581">
        <f>-中国_中债国债到期收益率_1年!D580+中国_中债国债到期收益率_1年!D579</f>
        <v>0.0022000000000002</v>
      </c>
      <c r="E581">
        <f>-中国_中债国债到期收益率_1年!E580+中国_中债国债到期收益率_1年!E579</f>
        <v>0.0179999999999998</v>
      </c>
      <c r="F581">
        <f>-中国_中债国债到期收益率_1年!F580+中国_中债国债到期收益率_1年!F579</f>
        <v>-0.000700000000000145</v>
      </c>
      <c r="G581">
        <f>-中国_中债国债到期收益率_1年!G580+中国_中债国债到期收益率_1年!G579</f>
        <v>-1.6963</v>
      </c>
    </row>
    <row r="582" spans="1:7">
      <c r="A582" s="9">
        <v>45555</v>
      </c>
      <c r="B582">
        <f>-中国_中债国债到期收益率_1年!B581+中国_中债国债到期收益率_1年!B580</f>
        <v>-0.0249999999999999</v>
      </c>
      <c r="C582">
        <f>-中国_中债国债到期收益率_1年!C581+中国_中债国债到期收益率_1年!C580</f>
        <v>-0.0194000000000001</v>
      </c>
      <c r="D582">
        <f>-中国_中债国债到期收益率_1年!D581+中国_中债国债到期收益率_1年!D580</f>
        <v>-0.00470000000000015</v>
      </c>
      <c r="E582">
        <f>-中国_中债国债到期收益率_1年!E581+中国_中债国债到期收益率_1年!E580</f>
        <v>-0.00499999999999989</v>
      </c>
      <c r="F582">
        <f>-中国_中债国债到期收益率_1年!F581+中国_中债国债到期收益率_1年!F580</f>
        <v>-0.00939999999999985</v>
      </c>
      <c r="G582">
        <f>-中国_中债国债到期收益率_1年!G581+中国_中债国债到期收益率_1年!G580</f>
        <v>-0.0092000000000001</v>
      </c>
    </row>
    <row r="583" spans="1:7">
      <c r="A583" s="9">
        <v>45558</v>
      </c>
      <c r="B583">
        <f>-中国_中债国债到期收益率_1年!B582+中国_中债国债到期收益率_1年!B581</f>
        <v>0</v>
      </c>
      <c r="C583">
        <f>-中国_中债国债到期收益率_1年!C582+中国_中债国债到期收益率_1年!C581</f>
        <v>0.0130000000000001</v>
      </c>
      <c r="D583">
        <f>-中国_中债国债到期收益率_1年!D582+中国_中债国债到期收益率_1年!D581</f>
        <v>0.00190000000000001</v>
      </c>
      <c r="E583">
        <f>-中国_中债国债到期收益率_1年!E582+中国_中债国债到期收益率_1年!E581</f>
        <v>0.02</v>
      </c>
      <c r="F583">
        <f>-中国_中债国债到期收益率_1年!F582+中国_中债国债到期收益率_1年!F581</f>
        <v>0</v>
      </c>
      <c r="G583">
        <f>-中国_中债国债到期收益率_1年!G582+中国_中债国债到期收益率_1年!G581</f>
        <v>0.00350000000000006</v>
      </c>
    </row>
    <row r="584" spans="1:7">
      <c r="A584" s="9">
        <v>45559</v>
      </c>
      <c r="B584">
        <f>-中国_中债国债到期收益率_1年!B583+中国_中债国债到期收益率_1年!B582</f>
        <v>0.0031000000000001</v>
      </c>
      <c r="C584">
        <f>-中国_中债国债到期收益率_1年!C583+中国_中债国债到期收益率_1年!C582</f>
        <v>-0.00330000000000008</v>
      </c>
      <c r="D584">
        <f>-中国_中债国债到期收益率_1年!D583+中国_中债国债到期收益率_1年!D582</f>
        <v>0.00499999999999989</v>
      </c>
      <c r="E584">
        <f>-中国_中债国债到期收益率_1年!E583+中国_中债国债到期收益率_1年!E582</f>
        <v>0.00999999999999979</v>
      </c>
      <c r="F584">
        <f>-中国_中债国债到期收益率_1年!F583+中国_中债国债到期收益率_1年!F582</f>
        <v>-0.0072000000000001</v>
      </c>
      <c r="G584">
        <f>-中国_中债国债到期收益率_1年!G583+中国_中债国债到期收益率_1年!G582</f>
        <v>-0.000700000000000145</v>
      </c>
    </row>
    <row r="585" spans="1:7">
      <c r="A585" s="9">
        <v>45560</v>
      </c>
      <c r="B585">
        <f>-中国_中债国债到期收益率_1年!B584+中国_中债国债到期收益率_1年!B583</f>
        <v>-0.03</v>
      </c>
      <c r="C585">
        <f>-中国_中债国债到期收益率_1年!C584+中国_中债国债到期收益率_1年!C583</f>
        <v>-0.0206999999999999</v>
      </c>
      <c r="D585">
        <f>-中国_中债国债到期收益率_1年!D584+中国_中债国债到期收益率_1年!D583</f>
        <v>-0.0347</v>
      </c>
      <c r="E585">
        <f>-中国_中债国债到期收益率_1年!E584+中国_中债国债到期收益率_1年!E583</f>
        <v>-0.0499999999999998</v>
      </c>
      <c r="F585">
        <f>-中国_中债国债到期收益率_1年!F584+中国_中债国债到期收益率_1年!F583</f>
        <v>0.0598000000000001</v>
      </c>
      <c r="G585">
        <f>-中国_中债国债到期收益率_1年!G584+中国_中债国债到期收益率_1年!G583</f>
        <v>0.00990000000000002</v>
      </c>
    </row>
    <row r="586" spans="1:7">
      <c r="A586" s="9">
        <v>45561</v>
      </c>
      <c r="B586">
        <f>-中国_中债国债到期收益率_1年!B585+中国_中债国债到期收益率_1年!B584</f>
        <v>0.03</v>
      </c>
      <c r="C586">
        <f>-中国_中债国债到期收益率_1年!C585+中国_中债国债到期收益率_1年!C584</f>
        <v>0.0526</v>
      </c>
      <c r="D586">
        <f>-中国_中债国债到期收益率_1年!D585+中国_中债国债到期收益率_1年!D584</f>
        <v>0.0291000000000001</v>
      </c>
      <c r="E586">
        <f>-中国_中债国债到期收益率_1年!E585+中国_中债国债到期收益率_1年!E584</f>
        <v>0.0350000000000001</v>
      </c>
      <c r="F586">
        <f>-中国_中债国债到期收益率_1年!F585+中国_中债国债到期收益率_1年!F584</f>
        <v>0.042</v>
      </c>
      <c r="G586">
        <f>-中国_中债国债到期收益率_1年!G585+中国_中债国债到期收益率_1年!G584</f>
        <v>0.00980000000000003</v>
      </c>
    </row>
    <row r="587" spans="1:7">
      <c r="A587" s="9">
        <v>45562</v>
      </c>
      <c r="B587">
        <f>-中国_中债国债到期收益率_1年!B586+中国_中债国债到期收益率_1年!B585</f>
        <v>-0.0150000000000001</v>
      </c>
      <c r="C587">
        <f>-中国_中债国债到期收益率_1年!C586+中国_中债国债到期收益率_1年!C585</f>
        <v>-0.0321</v>
      </c>
      <c r="D587">
        <f>-中国_中债国债到期收益率_1年!D586+中国_中债国债到期收益率_1年!D585</f>
        <v>-0.0350000000000001</v>
      </c>
      <c r="E587">
        <f>-中国_中债国债到期收益率_1年!E586+中国_中债国债到期收益率_1年!E585</f>
        <v>-0.0650000000000004</v>
      </c>
      <c r="F587">
        <f>-中国_中债国债到期收益率_1年!F586+中国_中债国债到期收益率_1年!F585</f>
        <v>0.0131999999999999</v>
      </c>
      <c r="G587">
        <f>-中国_中债国债到期收益率_1年!G586+中国_中债国债到期收益率_1年!G585</f>
        <v>0.00660000000000016</v>
      </c>
    </row>
    <row r="588" spans="1:7">
      <c r="A588" s="9">
        <v>45564</v>
      </c>
      <c r="B588">
        <f>-中国_中债国债到期收益率_1年!B587+中国_中债国债到期收益率_1年!B586</f>
        <v>-0.0349999999999999</v>
      </c>
      <c r="C588">
        <f>-中国_中债国债到期收益率_1年!C587+中国_中债国债到期收益率_1年!C586</f>
        <v>-0.0995999999999999</v>
      </c>
      <c r="D588">
        <f>-中国_中债国债到期收益率_1年!D587+中国_中债国债到期收益率_1年!D586</f>
        <v>-0.0927000000000002</v>
      </c>
      <c r="E588">
        <f>-中国_中债国债到期收益率_1年!E587+中国_中债国债到期收益率_1年!E586</f>
        <v>-0.1275</v>
      </c>
      <c r="F588">
        <f>-中国_中债国债到期收益率_1年!F587+中国_中债国债到期收益率_1年!F586</f>
        <v>-0.000799999999999912</v>
      </c>
      <c r="G588">
        <f>-中国_中债国债到期收益率_1年!G587+中国_中债国债到期收益率_1年!G586</f>
        <v>-0.0859000000000001</v>
      </c>
    </row>
    <row r="589" spans="1:7">
      <c r="A589" s="9">
        <v>45565</v>
      </c>
      <c r="B589">
        <f>-中国_中债国债到期收益率_1年!B588+中国_中债国债到期收益率_1年!B587</f>
        <v>0</v>
      </c>
      <c r="C589">
        <f>-中国_中债国债到期收益率_1年!C588+中国_中债国债到期收益率_1年!C587</f>
        <v>-0.1</v>
      </c>
      <c r="D589">
        <f>-中国_中债国债到期收益率_1年!D588+中国_中债国债到期收益率_1年!D587</f>
        <v>-0.0819999999999999</v>
      </c>
      <c r="E589">
        <f>-中国_中债国债到期收益率_1年!E588+中国_中债国债到期收益率_1年!E587</f>
        <v>-0.0874999999999999</v>
      </c>
      <c r="F589">
        <f>-中国_中债国债到期收益率_1年!F588+中国_中债国债到期收益率_1年!F587</f>
        <v>-0.0481</v>
      </c>
      <c r="G589">
        <f>-中国_中债国债到期收益率_1年!G588+中国_中债国债到期收益率_1年!G587</f>
        <v>-0.127</v>
      </c>
    </row>
    <row r="590" spans="1:7">
      <c r="A590" s="9">
        <v>45573</v>
      </c>
      <c r="B590">
        <f>-中国_中债国债到期收益率_1年!B589+中国_中债国债到期收益率_1年!B588</f>
        <v>0.0700000000000001</v>
      </c>
      <c r="C590">
        <f>-中国_中债国债到期收益率_1年!C589+中国_中债国债到期收益率_1年!C588</f>
        <v>0.0924</v>
      </c>
      <c r="D590">
        <f>-中国_中债国债到期收益率_1年!D589+中国_中债国债到期收益率_1年!D588</f>
        <v>0.1016</v>
      </c>
      <c r="E590">
        <f>-中国_中债国债到期收益率_1年!E589+中国_中债国债到期收益率_1年!E588</f>
        <v>0.0800000000000001</v>
      </c>
      <c r="F590">
        <f>-中国_中债国债到期收益率_1年!F589+中国_中债国债到期收益率_1年!F588</f>
        <v>0.0181</v>
      </c>
      <c r="G590">
        <f>-中国_中债国债到期收益率_1年!G589+中国_中债国债到期收益率_1年!G588</f>
        <v>0.0499000000000001</v>
      </c>
    </row>
    <row r="591" spans="1:7">
      <c r="A591" s="9">
        <v>45574</v>
      </c>
      <c r="B591">
        <f>-中国_中债国债到期收益率_1年!B590+中国_中债国债到期收益率_1年!B589</f>
        <v>-0.00500000000000012</v>
      </c>
      <c r="C591">
        <f>-中国_中债国债到期收益率_1年!C590+中国_中债国债到期收益率_1年!C589</f>
        <v>-0.0718000000000001</v>
      </c>
      <c r="D591">
        <f>-中国_中债国债到期收益率_1年!D590+中国_中债国债到期收益率_1年!D589</f>
        <v>-0.0409999999999999</v>
      </c>
      <c r="E591">
        <f>-中国_中债国债到期收益率_1年!E590+中国_中债国债到期收益率_1年!E589</f>
        <v>-0.0249999999999999</v>
      </c>
      <c r="F591">
        <f>-中国_中债国债到期收益率_1年!F590+中国_中债国债到期收益率_1年!F589</f>
        <v>-0.0224</v>
      </c>
      <c r="G591">
        <f>-中国_中债国债到期收益率_1年!G590+中国_中债国债到期收益率_1年!G589</f>
        <v>-0.000199999999999978</v>
      </c>
    </row>
    <row r="592" spans="1:7">
      <c r="A592" s="9">
        <v>45575</v>
      </c>
      <c r="B592">
        <f>-中国_中债国债到期收益率_1年!B591+中国_中债国债到期收益率_1年!B590</f>
        <v>-0.0549999999999999</v>
      </c>
      <c r="C592">
        <f>-中国_中债国债到期收益率_1年!C591+中国_中债国债到期收益率_1年!C590</f>
        <v>0.022</v>
      </c>
      <c r="D592">
        <f>-中国_中债国债到期收益率_1年!D591+中国_中债国债到期收益率_1年!D590</f>
        <v>0.0167999999999999</v>
      </c>
      <c r="E592">
        <f>-中国_中债国债到期收益率_1年!E591+中国_中债国债到期收益率_1年!E590</f>
        <v>0.0223999999999998</v>
      </c>
      <c r="F592">
        <f>-中国_中债国债到期收益率_1年!F591+中国_中债国债到期收益率_1年!F590</f>
        <v>-0.0470999999999999</v>
      </c>
      <c r="G592">
        <f>-中国_中债国债到期收益率_1年!G591+中国_中债国债到期收益率_1年!G590</f>
        <v>-0.00580000000000003</v>
      </c>
    </row>
    <row r="593" spans="1:7">
      <c r="A593" s="9">
        <v>45576</v>
      </c>
      <c r="B593">
        <f>-中国_中债国债到期收益率_1年!B592+中国_中债国债到期收益率_1年!B591</f>
        <v>-0.01</v>
      </c>
      <c r="C593">
        <f>-中国_中债国债到期收益率_1年!C592+中国_中债国债到期收益率_1年!C591</f>
        <v>0.056</v>
      </c>
      <c r="D593">
        <f>-中国_中债国债到期收益率_1年!D592+中国_中债国债到期收益率_1年!D591</f>
        <v>0.0319000000000003</v>
      </c>
      <c r="E593">
        <f>-中国_中债国债到期收益率_1年!E592+中国_中债国债到期收益率_1年!E591</f>
        <v>0.0676000000000001</v>
      </c>
      <c r="F593">
        <f>-中国_中债国债到期收益率_1年!F592+中国_中债国债到期收益率_1年!F591</f>
        <v>0.0241</v>
      </c>
      <c r="G593">
        <f>-中国_中债国债到期收益率_1年!G592+中国_中债国债到期收益率_1年!G591</f>
        <v>0.0513999999999999</v>
      </c>
    </row>
    <row r="594" spans="1:7">
      <c r="A594" s="9">
        <v>45577</v>
      </c>
      <c r="B594">
        <f>-中国_中债国债到期收益率_1年!B593+中国_中债国债到期收益率_1年!B592</f>
        <v>-0.00500000000000012</v>
      </c>
      <c r="C594">
        <f>-中国_中债国债到期收益率_1年!C593+中国_中债国债到期收益率_1年!C592</f>
        <v>0.0155000000000001</v>
      </c>
      <c r="D594">
        <f>-中国_中债国债到期收益率_1年!D593+中国_中债国债到期收益率_1年!D592</f>
        <v>0.00489999999999968</v>
      </c>
      <c r="E594">
        <f>-中国_中债国债到期收益率_1年!E593+中国_中债国债到期收益率_1年!E592</f>
        <v>-0.00999999999999979</v>
      </c>
      <c r="F594">
        <f>-中国_中债国债到期收益率_1年!F593+中国_中债国债到期收益率_1年!F592</f>
        <v>0.0335999999999999</v>
      </c>
      <c r="G594">
        <f>-中国_中债国债到期收益率_1年!G593+中国_中债国债到期收益率_1年!G592</f>
        <v>0.0271000000000001</v>
      </c>
    </row>
    <row r="595" spans="1:7">
      <c r="A595" s="9">
        <v>45579</v>
      </c>
      <c r="B595">
        <f>-中国_中债国债到期收益率_1年!B594+中国_中债国债到期收益率_1年!B593</f>
        <v>0.0250000000000001</v>
      </c>
      <c r="C595">
        <f>-中国_中债国债到期收益率_1年!C594+中国_中债国债到期收益率_1年!C593</f>
        <v>0.0048999999999999</v>
      </c>
      <c r="D595">
        <f>-中国_中债国债到期收益率_1年!D594+中国_中债国债到期收益率_1年!D593</f>
        <v>-0.00489999999999968</v>
      </c>
      <c r="E595">
        <f>-中国_中债国债到期收益率_1年!E594+中国_中债国债到期收益率_1年!E593</f>
        <v>0</v>
      </c>
      <c r="F595">
        <f>-中国_中债国债到期收益率_1年!F594+中国_中债国债到期收益率_1年!F593</f>
        <v>-0.00879999999999992</v>
      </c>
      <c r="G595">
        <f>-中国_中债国债到期收益率_1年!G594+中国_中债国债到期收益率_1年!G593</f>
        <v>-0.0129000000000001</v>
      </c>
    </row>
    <row r="596" spans="1:7">
      <c r="A596" s="9">
        <v>45580</v>
      </c>
      <c r="B596">
        <f>-中国_中债国债到期收益率_1年!B595+中国_中债国债到期收益率_1年!B594</f>
        <v>-0.03</v>
      </c>
      <c r="C596">
        <f>-中国_中债国债到期收益率_1年!C595+中国_中债国债到期收益率_1年!C594</f>
        <v>-0.00679999999999992</v>
      </c>
      <c r="D596">
        <f>-中国_中债国债到期收益率_1年!D595+中国_中债国债到期收益率_1年!D594</f>
        <v>0.00729999999999986</v>
      </c>
      <c r="E596">
        <f>-中国_中债国债到期收益率_1年!E595+中国_中债国债到期收益率_1年!E594</f>
        <v>-0.0126000000000004</v>
      </c>
      <c r="F596">
        <f>-中国_中债国债到期收益率_1年!F595+中国_中债国债到期收益率_1年!F594</f>
        <v>0.00760000000000005</v>
      </c>
      <c r="G596">
        <f>-中国_中债国债到期收益率_1年!G595+中国_中债国债到期收益率_1年!G594</f>
        <v>0.0111000000000001</v>
      </c>
    </row>
    <row r="597" spans="1:7">
      <c r="A597" s="9">
        <v>45581</v>
      </c>
      <c r="B597">
        <f>-中国_中债国债到期收益率_1年!B596+中国_中债国债到期收益率_1年!B595</f>
        <v>-0.00249999999999995</v>
      </c>
      <c r="C597">
        <f>-中国_中债国债到期收益率_1年!C596+中国_中债国债到期收益率_1年!C595</f>
        <v>0.0125</v>
      </c>
      <c r="D597">
        <f>-中国_中债国债到期收益率_1年!D596+中国_中债国债到期收益率_1年!D595</f>
        <v>0.0114000000000001</v>
      </c>
      <c r="E597">
        <f>-中国_中债国债到期收益率_1年!E596+中国_中债国债到期收益率_1年!E595</f>
        <v>0.000100000000000211</v>
      </c>
      <c r="F597">
        <f>-中国_中债国债到期收益率_1年!F596+中国_中债国债到期收益率_1年!F595</f>
        <v>-0.0105000000000002</v>
      </c>
      <c r="G597">
        <f>-中国_中债国债到期收益率_1年!G596+中国_中债国债到期收益率_1年!G595</f>
        <v>0.00709999999999988</v>
      </c>
    </row>
    <row r="598" spans="1:7">
      <c r="A598" s="9">
        <v>45582</v>
      </c>
      <c r="B598">
        <f>-中国_中债国债到期收益率_1年!B597+中国_中债国债到期收益率_1年!B596</f>
        <v>0</v>
      </c>
      <c r="C598">
        <f>-中国_中债国债到期收益率_1年!C597+中国_中债国债到期收益率_1年!C596</f>
        <v>-0.0149999999999999</v>
      </c>
      <c r="D598">
        <f>-中国_中债国债到期收益率_1年!D597+中国_中债国债到期收益率_1年!D596</f>
        <v>-0.00770000000000026</v>
      </c>
      <c r="E598">
        <f>-中国_中债国债到期收益率_1年!E597+中国_中债国债到期收益率_1年!E596</f>
        <v>-0.0154999999999998</v>
      </c>
      <c r="F598">
        <f>-中国_中债国债到期收益率_1年!F597+中国_中债国债到期收益率_1年!F596</f>
        <v>-0.0134999999999998</v>
      </c>
      <c r="G598">
        <f>-中国_中债国债到期收益率_1年!G597+中国_中债国债到期收益率_1年!G596</f>
        <v>0.0113000000000001</v>
      </c>
    </row>
    <row r="599" spans="1:7">
      <c r="A599" s="9">
        <v>45583</v>
      </c>
      <c r="B599">
        <f>-中国_中债国债到期收益率_1年!B598+中国_中债国债到期收益率_1年!B597</f>
        <v>0.0225</v>
      </c>
      <c r="C599">
        <f>-中国_中债国债到期收益率_1年!C598+中国_中债国债到期收益率_1年!C597</f>
        <v>0.0409999999999999</v>
      </c>
      <c r="D599">
        <f>-中国_中债国债到期收益率_1年!D598+中国_中债国债到期收益率_1年!D597</f>
        <v>0.0247000000000002</v>
      </c>
      <c r="E599">
        <f>-中国_中债国债到期收益率_1年!E598+中国_中债国债到期收益率_1年!E597</f>
        <v>0.0329999999999999</v>
      </c>
      <c r="F599">
        <f>-中国_中债国债到期收益率_1年!F598+中国_中债国债到期收益率_1年!F597</f>
        <v>-0.00900000000000012</v>
      </c>
      <c r="G599">
        <f>-中国_中债国债到期收益率_1年!G598+中国_中债国债到期收益率_1年!G597</f>
        <v>0.0142</v>
      </c>
    </row>
    <row r="600" spans="1:7">
      <c r="A600" s="9">
        <v>45586</v>
      </c>
      <c r="B600">
        <f>-中国_中债国债到期收益率_1年!B599+中国_中债国债到期收益率_1年!B598</f>
        <v>-0.00500000000000012</v>
      </c>
      <c r="C600">
        <f>-中国_中债国债到期收益率_1年!C599+中国_中债国债到期收益率_1年!C598</f>
        <v>-0.00770000000000004</v>
      </c>
      <c r="D600">
        <f>-中国_中债国债到期收益率_1年!D599+中国_中债国债到期收益率_1年!D598</f>
        <v>-0.0124999999999997</v>
      </c>
      <c r="E600">
        <f>-中国_中债国债到期收益率_1年!E599+中国_中债国债到期收益率_1年!E598</f>
        <v>-0.0100000000000002</v>
      </c>
      <c r="F600">
        <f>-中国_中债国债到期收益率_1年!F599+中国_中债国债到期收益率_1年!F598</f>
        <v>-0.000899999999999901</v>
      </c>
      <c r="G600">
        <f>-中国_中债国债到期收益率_1年!G599+中国_中债国债到期收益率_1年!G598</f>
        <v>-0.00209999999999999</v>
      </c>
    </row>
    <row r="601" spans="1:7">
      <c r="A601" s="9">
        <v>45587</v>
      </c>
      <c r="B601">
        <f>-中国_中债国债到期收益率_1年!B600+中国_中债国债到期收益率_1年!B599</f>
        <v>-0.00249999999999995</v>
      </c>
      <c r="C601">
        <f>-中国_中债国债到期收益率_1年!C600+中国_中债国债到期收益率_1年!C599</f>
        <v>-0.00560000000000005</v>
      </c>
      <c r="D601">
        <f>-中国_中债国债到期收益率_1年!D600+中国_中债国债到期收益率_1年!D599</f>
        <v>-0.000200000000000422</v>
      </c>
      <c r="E601">
        <f>-中国_中债国债到期收益率_1年!E600+中国_中债国债到期收益率_1年!E599</f>
        <v>-0.00249999999999995</v>
      </c>
      <c r="F601">
        <f>-中国_中债国债到期收益率_1年!F600+中国_中债国债到期收益率_1年!F599</f>
        <v>-0.00600000000000001</v>
      </c>
      <c r="G601">
        <f>-中国_中债国债到期收益率_1年!G600+中国_中债国债到期收益率_1年!G599</f>
        <v>-0.0175000000000001</v>
      </c>
    </row>
    <row r="602" spans="1:7">
      <c r="A602" s="9">
        <v>45588</v>
      </c>
      <c r="B602">
        <f>-中国_中债国债到期收益率_1年!B601+中国_中债国债到期收益率_1年!B600</f>
        <v>0.000499999999999945</v>
      </c>
      <c r="C602">
        <f>-中国_中债国债到期收益率_1年!C601+中国_中债国债到期收益率_1年!C600</f>
        <v>-0.0377999999999998</v>
      </c>
      <c r="D602">
        <f>-中国_中债国债到期收益率_1年!D601+中国_中债国债到期收益率_1年!D600</f>
        <v>-0.0246999999999997</v>
      </c>
      <c r="E602">
        <f>-中国_中债国债到期收益率_1年!E601+中国_中债国债到期收益率_1年!E600</f>
        <v>-0.0324999999999998</v>
      </c>
      <c r="F602">
        <f>-中国_中债国债到期收益率_1年!F601+中国_中债国债到期收益率_1年!F600</f>
        <v>-0.0231000000000001</v>
      </c>
      <c r="G602">
        <f>-中国_中债国债到期收益率_1年!G601+中国_中债国债到期收益率_1年!G600</f>
        <v>-0.0221</v>
      </c>
    </row>
    <row r="603" spans="1:7">
      <c r="A603" s="9">
        <v>45589</v>
      </c>
      <c r="B603">
        <f>-中国_中债国债到期收益率_1年!B602+中国_中债国债到期收益率_1年!B601</f>
        <v>0.00950000000000006</v>
      </c>
      <c r="C603">
        <f>-中国_中债国债到期收益率_1年!C602+中国_中债国债到期收益率_1年!C601</f>
        <v>-0.0127000000000002</v>
      </c>
      <c r="D603">
        <f>-中国_中债国债到期收益率_1年!D602+中国_中债国债到期收益率_1年!D601</f>
        <v>-0.0101</v>
      </c>
      <c r="E603">
        <f>-中国_中债国债到期收益率_1年!E602+中国_中债国债到期收益率_1年!E601</f>
        <v>-0.0150000000000001</v>
      </c>
      <c r="F603">
        <f>-中国_中债国债到期收益率_1年!F602+中国_中债国债到期收益率_1年!F601</f>
        <v>-0.0179</v>
      </c>
      <c r="G603">
        <f>-中国_中债国债到期收益率_1年!G602+中国_中债国债到期收益率_1年!G601</f>
        <v>-0.0327</v>
      </c>
    </row>
    <row r="604" spans="1:7">
      <c r="A604" s="9">
        <v>45590</v>
      </c>
      <c r="B604">
        <f>-中国_中债国债到期收益率_1年!B603+中国_中债国债到期收益率_1年!B602</f>
        <v>-0.00479999999999992</v>
      </c>
      <c r="C604">
        <f>-中国_中债国债到期收益率_1年!C603+中国_中债国债到期收益率_1年!C602</f>
        <v>-0.00780000000000003</v>
      </c>
      <c r="D604">
        <f>-中国_中债国债到期收益率_1年!D603+中国_中债国债到期收益率_1年!D602</f>
        <v>-0.0102000000000002</v>
      </c>
      <c r="E604">
        <f>-中国_中债国债到期收益率_1年!E603+中国_中债国债到期收益率_1年!E602</f>
        <v>0</v>
      </c>
      <c r="F604">
        <f>-中国_中债国债到期收益率_1年!F603+中国_中债国债到期收益率_1年!F602</f>
        <v>0.00730000000000008</v>
      </c>
      <c r="G604">
        <f>-中国_中债国债到期收益率_1年!G603+中国_中债国债到期收益率_1年!G602</f>
        <v>-0.00150000000000006</v>
      </c>
    </row>
    <row r="605" spans="1:7">
      <c r="A605" s="9">
        <v>45593</v>
      </c>
      <c r="B605">
        <f>-中国_中债国债到期收益率_1年!B604+中国_中债国债到期收益率_1年!B603</f>
        <v>0.0132999999999999</v>
      </c>
      <c r="C605">
        <f>-中国_中债国债到期收益率_1年!C604+中国_中债国债到期收益率_1年!C603</f>
        <v>0.00930000000000009</v>
      </c>
      <c r="D605">
        <f>-中国_中债国债到期收益率_1年!D604+中国_中债国债到期收益率_1年!D603</f>
        <v>0.0122</v>
      </c>
      <c r="E605">
        <f>-中国_中债国债到期收益率_1年!E604+中国_中债国债到期收益率_1年!E603</f>
        <v>-0.00499999999999989</v>
      </c>
      <c r="F605">
        <f>-中国_中债国债到期收益率_1年!F604+中国_中债国债到期收益率_1年!F603</f>
        <v>-0.00180000000000002</v>
      </c>
      <c r="G605">
        <f>-中国_中债国债到期收益率_1年!G604+中国_中债国债到期收益率_1年!G603</f>
        <v>-0.00970000000000004</v>
      </c>
    </row>
    <row r="606" spans="1:7">
      <c r="A606" s="9">
        <v>45594</v>
      </c>
      <c r="B606">
        <f>-中国_中债国债到期收益率_1年!B605+中国_中债国债到期收益率_1年!B604</f>
        <v>0.00990000000000002</v>
      </c>
      <c r="C606">
        <f>-中国_中债国债到期收益率_1年!C605+中国_中债国债到期收益率_1年!C604</f>
        <v>0.0092000000000001</v>
      </c>
      <c r="D606">
        <f>-中国_中债国债到期收益率_1年!D605+中国_中债国债到期收益率_1年!D604</f>
        <v>-0.00780000000000003</v>
      </c>
      <c r="E606">
        <f>-中国_中债国债到期收益率_1年!E605+中国_中债国债到期收益率_1年!E604</f>
        <v>-0.02</v>
      </c>
      <c r="F606">
        <f>-中国_中债国债到期收益率_1年!F605+中国_中债国债到期收益率_1年!F604</f>
        <v>0.0173000000000001</v>
      </c>
      <c r="G606">
        <f>-中国_中债国债到期收益率_1年!G605+中国_中债国债到期收益率_1年!G604</f>
        <v>0.0103000000000002</v>
      </c>
    </row>
    <row r="607" spans="1:7">
      <c r="A607" s="9">
        <v>45595</v>
      </c>
      <c r="B607">
        <f>-中国_中债国债到期收益率_1年!B606+中国_中债国债到期收益率_1年!B605</f>
        <v>-0.0297000000000001</v>
      </c>
      <c r="C607">
        <f>-中国_中债国债到期收益率_1年!C606+中国_中债国债到期收益率_1年!C605</f>
        <v>0.00449999999999995</v>
      </c>
      <c r="D607">
        <f>-中国_中债国债到期收益率_1年!D606+中国_中债国债到期收益率_1年!D605</f>
        <v>0.00190000000000001</v>
      </c>
      <c r="E607">
        <f>-中国_中债国债到期收益率_1年!E606+中国_中债国债到期收益率_1年!E605</f>
        <v>0.0139999999999998</v>
      </c>
      <c r="F607">
        <f>-中国_中债国债到期收益率_1年!F606+中国_中债国债到期收益率_1年!F605</f>
        <v>0.00780000000000003</v>
      </c>
      <c r="G607">
        <f>-中国_中债国债到期收益率_1年!G606+中国_中债国债到期收益率_1年!G605</f>
        <v>0.0128999999999999</v>
      </c>
    </row>
    <row r="608" spans="1:7">
      <c r="A608" s="9">
        <v>45596</v>
      </c>
      <c r="B608">
        <f>-中国_中债国债到期收益率_1年!B607+中国_中债国债到期收益率_1年!B606</f>
        <v>-0.00939999999999985</v>
      </c>
      <c r="C608">
        <f>-中国_中债国债到期收益率_1年!C607+中国_中债国债到期收益率_1年!C606</f>
        <v>0.00709999999999988</v>
      </c>
      <c r="D608">
        <f>-中国_中债国债到期收益率_1年!D607+中国_中债国债到期收益率_1年!D606</f>
        <v>0.000100000000000211</v>
      </c>
      <c r="E608">
        <f>-中国_中债国债到期收益率_1年!E607+中国_中债国债到期收益率_1年!E606</f>
        <v>0.00600000000000023</v>
      </c>
      <c r="F608">
        <f>-中国_中债国债到期收益率_1年!F607+中国_中债国债到期收益率_1年!F606</f>
        <v>-0.0051000000000001</v>
      </c>
      <c r="G608">
        <f>-中国_中债国债到期收益率_1年!G607+中国_中债国债到期收益率_1年!G606</f>
        <v>0.00330000000000008</v>
      </c>
    </row>
    <row r="609" spans="1:7">
      <c r="A609" s="9">
        <v>45597</v>
      </c>
      <c r="B609">
        <f>-中国_中债国债到期收益率_1年!B608+中国_中债国债到期收益率_1年!B607</f>
        <v>0.0201</v>
      </c>
      <c r="C609">
        <f>-中国_中债国债到期收益率_1年!C608+中国_中债国债到期收益率_1年!C607</f>
        <v>0.0273000000000001</v>
      </c>
      <c r="D609">
        <f>-中国_中债国债到期收益率_1年!D608+中国_中债国债到期收益率_1年!D607</f>
        <v>0.0120999999999998</v>
      </c>
      <c r="E609">
        <f>-中国_中债国债到期收益率_1年!E608+中国_中债国债到期收益率_1年!E607</f>
        <v>0.0249999999999999</v>
      </c>
      <c r="F609">
        <f>-中国_中债国债到期收益率_1年!F608+中国_中债国债到期收益率_1年!F607</f>
        <v>-0.00409999999999999</v>
      </c>
      <c r="G609">
        <f>-中国_中债国债到期收益率_1年!G608+中国_中债国债到期收益率_1年!G607</f>
        <v>-0.00460000000000016</v>
      </c>
    </row>
    <row r="610" spans="1:7">
      <c r="A610" s="9">
        <v>45600</v>
      </c>
      <c r="B610">
        <f>-中国_中债国债到期收益率_1年!B609+中国_中债国债到期收益率_1年!B608</f>
        <v>0.0194999999999999</v>
      </c>
      <c r="C610">
        <f>-中国_中债国债到期收益率_1年!C609+中国_中债国债到期收益率_1年!C608</f>
        <v>0.0272999999999999</v>
      </c>
      <c r="D610">
        <f>-中国_中债国债到期收益率_1年!D609+中国_中债国债到期收益率_1年!D608</f>
        <v>0.00700000000000012</v>
      </c>
      <c r="E610">
        <f>-中国_中债国债到期收益率_1年!E609+中国_中债国债到期收益率_1年!E608</f>
        <v>0.0175000000000001</v>
      </c>
      <c r="F610">
        <f>-中国_中债国债到期收益率_1年!F609+中国_中债国债到期收益率_1年!F608</f>
        <v>0.0315000000000001</v>
      </c>
      <c r="G610">
        <f>-中国_中债国债到期收益率_1年!G609+中国_中债国债到期收益率_1年!G608</f>
        <v>0.0179</v>
      </c>
    </row>
    <row r="611" spans="1:7">
      <c r="A611" s="9">
        <v>45601</v>
      </c>
      <c r="B611">
        <f>-中国_中债国债到期收益率_1年!B610+中国_中债国债到期收益率_1年!B609</f>
        <v>0.00209999999999999</v>
      </c>
      <c r="C611">
        <f>-中国_中债国债到期收益率_1年!C610+中国_中债国债到期收益率_1年!C609</f>
        <v>-0.0111999999999999</v>
      </c>
      <c r="D611">
        <f>-中国_中债国债到期收益率_1年!D610+中国_中债国债到期收益率_1年!D609</f>
        <v>0.0131000000000001</v>
      </c>
      <c r="E611">
        <f>-中国_中债国债到期收益率_1年!E610+中国_中债国债到期收益率_1年!E609</f>
        <v>0.0124999999999997</v>
      </c>
      <c r="F611">
        <f>-中国_中债国债到期收益率_1年!F610+中国_中债国债到期收益率_1年!F609</f>
        <v>0.0112999999999999</v>
      </c>
      <c r="G611">
        <f>-中国_中债国债到期收益率_1年!G610+中国_中债国债到期收益率_1年!G609</f>
        <v>0.00800000000000001</v>
      </c>
    </row>
    <row r="612" spans="1:7">
      <c r="A612" s="9">
        <v>45602</v>
      </c>
      <c r="B612">
        <f>-中国_中债国债到期收益率_1年!B611+中国_中债国债到期收益率_1年!B610</f>
        <v>-0.00329999999999986</v>
      </c>
      <c r="C612">
        <f>-中国_中债国债到期收益率_1年!C611+中国_中债国债到期收益率_1年!C610</f>
        <v>0.00950000000000006</v>
      </c>
      <c r="D612">
        <f>-中国_中债国债到期收益率_1年!D611+中国_中债国债到期收益率_1年!D610</f>
        <v>0.0169000000000001</v>
      </c>
      <c r="E612">
        <f>-中国_中债国债到期收益率_1年!E611+中国_中债国债到期收益率_1年!E610</f>
        <v>0.0225</v>
      </c>
      <c r="F612">
        <f>-中国_中债国债到期收益率_1年!F611+中国_中债国债到期收益率_1年!F610</f>
        <v>0.000299999999999967</v>
      </c>
      <c r="G612">
        <f>-中国_中债国债到期收益率_1年!G611+中国_中债国债到期收益率_1年!G610</f>
        <v>0.00390000000000001</v>
      </c>
    </row>
    <row r="613" spans="1:7">
      <c r="A613" s="9">
        <v>45603</v>
      </c>
      <c r="B613">
        <f>-中国_中债国债到期收益率_1年!B612+中国_中债国债到期收益率_1年!B611</f>
        <v>-0.00260000000000016</v>
      </c>
      <c r="C613">
        <f>-中国_中债国债到期收益率_1年!C612+中国_中债国债到期收益率_1年!C611</f>
        <v>-0.00570000000000004</v>
      </c>
      <c r="D613">
        <f>-中国_中债国债到期收益率_1年!D612+中国_中债国债到期收益率_1年!D611</f>
        <v>-0.0128000000000004</v>
      </c>
      <c r="E613">
        <f>-中国_中债国债到期收益率_1年!E612+中国_中债国债到期收益率_1年!E611</f>
        <v>-0.00749999999999984</v>
      </c>
      <c r="F613">
        <f>-中国_中债国债到期收益率_1年!F612+中国_中债国债到期收益率_1年!F611</f>
        <v>0.00350000000000006</v>
      </c>
      <c r="G613">
        <f>-中国_中债国债到期收益率_1年!G612+中国_中债国债到期收益率_1年!G611</f>
        <v>0.0196000000000001</v>
      </c>
    </row>
    <row r="614" spans="1:7">
      <c r="A614" s="9">
        <v>45604</v>
      </c>
      <c r="B614">
        <f>-中国_中债国债到期收益率_1年!B613+中国_中债国债到期收益率_1年!B612</f>
        <v>0.00810000000000022</v>
      </c>
      <c r="C614">
        <f>-中国_中债国债到期收益率_1年!C613+中国_中债国债到期收益率_1年!C612</f>
        <v>0.0195999999999998</v>
      </c>
      <c r="D614">
        <f>-中国_中债国债到期收益率_1年!D613+中国_中债国债到期收益率_1年!D612</f>
        <v>0.0119000000000002</v>
      </c>
      <c r="E614">
        <f>-中国_中债国债到期收益率_1年!E613+中国_中债国债到期收益率_1年!E612</f>
        <v>0.0100000000000002</v>
      </c>
      <c r="F614">
        <f>-中国_中债国债到期收益率_1年!F613+中国_中债国债到期收益率_1年!F612</f>
        <v>0.0219</v>
      </c>
      <c r="G614">
        <f>-中国_中债国债到期收益率_1年!G613+中国_中债国债到期收益率_1年!G612</f>
        <v>0.0149999999999999</v>
      </c>
    </row>
    <row r="615" spans="1:7">
      <c r="A615" s="9">
        <v>45607</v>
      </c>
      <c r="B615">
        <f>-中国_中债国债到期收益率_1年!B614+中国_中债国债到期收益率_1年!B613</f>
        <v>-0.004</v>
      </c>
      <c r="C615">
        <f>-中国_中债国债到期收益率_1年!C614+中国_中债国债到期收益率_1年!C613</f>
        <v>0.0125000000000002</v>
      </c>
      <c r="D615">
        <f>-中国_中债国债到期收益率_1年!D614+中国_中债国债到期收益率_1年!D613</f>
        <v>0.00479999999999992</v>
      </c>
      <c r="E615">
        <f>-中国_中债国债到期收益率_1年!E614+中国_中债国债到期收益率_1年!E613</f>
        <v>0.00249999999999995</v>
      </c>
      <c r="F615">
        <f>-中国_中债国债到期收益率_1年!F614+中国_中债国债到期收益率_1年!F613</f>
        <v>-0.00390000000000001</v>
      </c>
      <c r="G615">
        <f>-中国_中债国债到期收益率_1年!G614+中国_中债国债到期收益率_1年!G613</f>
        <v>0.0110000000000001</v>
      </c>
    </row>
    <row r="616" spans="1:7">
      <c r="A616" s="9">
        <v>45608</v>
      </c>
      <c r="B616">
        <f>-中国_中债国债到期收益率_1年!B615+中国_中债国债到期收益率_1年!B614</f>
        <v>0.00299999999999989</v>
      </c>
      <c r="C616">
        <f>-中国_中债国债到期收益率_1年!C615+中国_中债国债到期收益率_1年!C614</f>
        <v>0.00180000000000002</v>
      </c>
      <c r="D616">
        <f>-中国_中债国债到期收益率_1年!D615+中国_中债国债到期收益率_1年!D614</f>
        <v>0.0146999999999999</v>
      </c>
      <c r="E616">
        <f>-中国_中债国债到期收益率_1年!E615+中国_中债国债到期收益率_1年!E614</f>
        <v>0.02</v>
      </c>
      <c r="F616">
        <f>-中国_中债国债到期收益率_1年!F615+中国_中债国债到期收益率_1年!F614</f>
        <v>-0.0106999999999999</v>
      </c>
      <c r="G616">
        <f>-中国_中债国债到期收益率_1年!G615+中国_中债国债到期收益率_1年!G614</f>
        <v>0.00800000000000001</v>
      </c>
    </row>
    <row r="617" spans="1:7">
      <c r="A617" s="9">
        <v>45609</v>
      </c>
      <c r="B617">
        <f>-中国_中债国债到期收益率_1年!B616+中国_中债国债到期收益率_1年!B615</f>
        <v>0.00239999999999996</v>
      </c>
      <c r="C617">
        <f>-中国_中债国债到期收益率_1年!C616+中国_中债国债到期收益率_1年!C615</f>
        <v>0.0278999999999998</v>
      </c>
      <c r="D617">
        <f>-中国_中债国债到期收益率_1年!D616+中国_中债国债到期收益率_1年!D615</f>
        <v>0.0190999999999999</v>
      </c>
      <c r="E617">
        <f>-中国_中债国债到期收益率_1年!E616+中国_中债国债到期收益率_1年!E615</f>
        <v>0.0214999999999996</v>
      </c>
      <c r="F617">
        <f>-中国_中债国债到期收益率_1年!F616+中国_中债国债到期收益率_1年!F615</f>
        <v>0.0115000000000001</v>
      </c>
      <c r="G617">
        <f>-中国_中债国债到期收益率_1年!G616+中国_中债国债到期收益率_1年!G615</f>
        <v>0.0248999999999999</v>
      </c>
    </row>
    <row r="618" spans="1:7">
      <c r="A618" s="9">
        <v>45610</v>
      </c>
      <c r="B618">
        <f>-中国_中债国债到期收益率_1年!B617+中国_中债国债到期收益率_1年!B616</f>
        <v>-0.002</v>
      </c>
      <c r="C618">
        <f>-中国_中债国债到期收益率_1年!C617+中国_中债国债到期收益率_1年!C616</f>
        <v>-0.00559999999999983</v>
      </c>
      <c r="D618">
        <f>-中国_中债国债到期收益率_1年!D617+中国_中债国债到期收益率_1年!D616</f>
        <v>-0.0146999999999999</v>
      </c>
      <c r="E618">
        <f>-中国_中债国债到期收益率_1年!E617+中国_中债国债到期收益率_1年!E616</f>
        <v>-0.0239999999999996</v>
      </c>
      <c r="F618">
        <f>-中国_中债国债到期收益率_1年!F617+中国_中债国债到期收益率_1年!F616</f>
        <v>-0.00610000000000022</v>
      </c>
      <c r="G618">
        <f>-中国_中债国债到期收益率_1年!G617+中国_中债国债到期收益率_1年!G616</f>
        <v>-0.00190000000000001</v>
      </c>
    </row>
    <row r="619" spans="1:7">
      <c r="A619" s="9">
        <v>45611</v>
      </c>
      <c r="B619">
        <f>-中国_中债国债到期收益率_1年!B618+中国_中债国债到期收益率_1年!B617</f>
        <v>0.0118</v>
      </c>
      <c r="C619">
        <f>-中国_中债国债到期收益率_1年!C618+中国_中债国债到期收益率_1年!C617</f>
        <v>0.0121</v>
      </c>
      <c r="D619">
        <f>-中国_中债国债到期收益率_1年!D618+中国_中债国债到期收益率_1年!D617</f>
        <v>0.00680000000000014</v>
      </c>
      <c r="E619">
        <f>-中国_中债国债到期收益率_1年!E618+中国_中债国债到期收益率_1年!E617</f>
        <v>-0.00100000000000033</v>
      </c>
      <c r="F619">
        <f>-中国_中债国债到期收益率_1年!F618+中国_中债国债到期收益率_1年!F617</f>
        <v>0.00480000000000014</v>
      </c>
      <c r="G619">
        <f>-中国_中债国债到期收益率_1年!G618+中国_中债国债到期收益率_1年!G617</f>
        <v>-0.00239999999999996</v>
      </c>
    </row>
    <row r="620" spans="1:7">
      <c r="A620" s="9">
        <v>45614</v>
      </c>
      <c r="B620">
        <f>-中国_中债国债到期收益率_1年!B619+中国_中债国债到期收益率_1年!B618</f>
        <v>0.00350000000000006</v>
      </c>
      <c r="C620">
        <f>-中国_中债国债到期收益率_1年!C619+中国_中债国债到期收益率_1年!C618</f>
        <v>-0.00340000000000007</v>
      </c>
      <c r="D620">
        <f>-中国_中债国债到期收益率_1年!D619+中国_中债国债到期收益率_1年!D618</f>
        <v>-0.0140000000000002</v>
      </c>
      <c r="E620">
        <f>-中国_中债国债到期收益率_1年!E619+中国_中债国债到期收益率_1年!E618</f>
        <v>-0.0215000000000001</v>
      </c>
      <c r="F620">
        <f>-中国_中债国债到期收益率_1年!F619+中国_中债国债到期收益率_1年!F618</f>
        <v>0.00540000000000007</v>
      </c>
      <c r="G620">
        <f>-中国_中债国债到期收益率_1年!G619+中国_中债国债到期收益率_1年!G618</f>
        <v>0.00990000000000002</v>
      </c>
    </row>
    <row r="621" spans="1:7">
      <c r="A621" s="9">
        <v>45615</v>
      </c>
      <c r="B621">
        <f>-中国_中债国债到期收益率_1年!B620+中国_中债国债到期收益率_1年!B619</f>
        <v>0.0171999999999999</v>
      </c>
      <c r="C621">
        <f>-中国_中债国债到期收益率_1年!C620+中国_中债国债到期收益率_1年!C619</f>
        <v>-0.0141</v>
      </c>
      <c r="D621">
        <f>-中国_中债国债到期收益率_1年!D620+中国_中债国债到期收益率_1年!D619</f>
        <v>-0.0168999999999997</v>
      </c>
      <c r="E621">
        <f>-中国_中债国债到期收益率_1年!E620+中国_中债国债到期收益率_1年!E619</f>
        <v>-0.0349999999999997</v>
      </c>
      <c r="F621">
        <f>-中国_中债国债到期收益率_1年!F620+中国_中债国债到期收益率_1年!F619</f>
        <v>-0.0284000000000002</v>
      </c>
      <c r="G621">
        <f>-中国_中债国债到期收益率_1年!G620+中国_中债国债到期收益率_1年!G619</f>
        <v>-0.0301</v>
      </c>
    </row>
    <row r="622" spans="1:7">
      <c r="A622" s="9">
        <v>45616</v>
      </c>
      <c r="B622">
        <f>-中国_中债国债到期收益率_1年!B621+中国_中债国债到期收益率_1年!B620</f>
        <v>0.0124</v>
      </c>
      <c r="C622">
        <f>-中国_中债国债到期收益率_1年!C621+中国_中债国债到期收益率_1年!C620</f>
        <v>0.0118</v>
      </c>
      <c r="D622">
        <f>-中国_中债国债到期收益率_1年!D621+中国_中债国债到期收益率_1年!D620</f>
        <v>0.0169999999999999</v>
      </c>
      <c r="E622">
        <f>-中国_中债国债到期收益率_1年!E621+中国_中债国债到期收益率_1年!E620</f>
        <v>0.0314999999999999</v>
      </c>
      <c r="F622">
        <f>-中国_中债国债到期收益率_1年!F621+中国_中债国债到期收益率_1年!F620</f>
        <v>0.00350000000000006</v>
      </c>
      <c r="G622">
        <f>-中国_中债国债到期收益率_1年!G621+中国_中债国债到期收益率_1年!G620</f>
        <v>0.00370000000000004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22"/>
  <sheetViews>
    <sheetView workbookViewId="0">
      <pane xSplit="1" ySplit="1" topLeftCell="V606" activePane="bottomRight" state="frozen"/>
      <selection/>
      <selection pane="topRight"/>
      <selection pane="bottomLeft"/>
      <selection pane="bottomRight" activeCell="AH440" sqref="AH440:AH622"/>
    </sheetView>
  </sheetViews>
  <sheetFormatPr defaultColWidth="8.72727272727273" defaultRowHeight="14"/>
  <cols>
    <col min="1" max="1" width="15" customWidth="1"/>
    <col min="2" max="2" width="7.54545454545455" customWidth="1" outlineLevel="1"/>
    <col min="3" max="30" width="8.72727272727273" customWidth="1" outlineLevel="1"/>
    <col min="31" max="31" width="14"/>
    <col min="33" max="33" width="11.3636363636364" style="5" customWidth="1"/>
    <col min="34" max="34" width="9.27272727272727" customWidth="1"/>
  </cols>
  <sheetData>
    <row r="1" spans="1:35">
      <c r="A1" s="6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9</v>
      </c>
      <c r="N1" t="s">
        <v>10</v>
      </c>
      <c r="O1" t="s">
        <v>11</v>
      </c>
      <c r="P1" t="s">
        <v>12</v>
      </c>
      <c r="Q1" s="2" t="s">
        <v>14</v>
      </c>
      <c r="R1" t="s">
        <v>15</v>
      </c>
      <c r="S1" t="s">
        <v>9</v>
      </c>
      <c r="T1" t="s">
        <v>10</v>
      </c>
      <c r="U1" t="s">
        <v>11</v>
      </c>
      <c r="V1" t="s">
        <v>12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t="s">
        <v>24</v>
      </c>
      <c r="AF1" s="2" t="s">
        <v>25</v>
      </c>
      <c r="AG1" s="5" t="s">
        <v>26</v>
      </c>
      <c r="AH1" s="2" t="s">
        <v>27</v>
      </c>
      <c r="AI1">
        <v>500000</v>
      </c>
    </row>
    <row r="2" spans="1:11">
      <c r="A2" s="7">
        <v>44713</v>
      </c>
      <c r="B2">
        <v>20</v>
      </c>
      <c r="C2">
        <v>10</v>
      </c>
      <c r="D2">
        <v>30</v>
      </c>
      <c r="F2">
        <f>SUM(B2:E2)</f>
        <v>60</v>
      </c>
      <c r="G2">
        <f>B2</f>
        <v>20</v>
      </c>
      <c r="H2">
        <f>5*C2</f>
        <v>50</v>
      </c>
      <c r="I2">
        <f>9*D2</f>
        <v>270</v>
      </c>
      <c r="J2">
        <f>16*E2</f>
        <v>0</v>
      </c>
      <c r="K2">
        <f>SUM(G2:J2)</f>
        <v>340</v>
      </c>
    </row>
    <row r="3" spans="1:32">
      <c r="A3" s="7">
        <v>44714</v>
      </c>
      <c r="B3">
        <v>20</v>
      </c>
      <c r="C3">
        <v>10</v>
      </c>
      <c r="D3">
        <v>30</v>
      </c>
      <c r="F3">
        <f t="shared" ref="F3:F66" si="0">SUM(B3:E3)</f>
        <v>60</v>
      </c>
      <c r="G3">
        <f t="shared" ref="G3:G34" si="1">B3</f>
        <v>20</v>
      </c>
      <c r="H3">
        <f t="shared" ref="H3:H34" si="2">5*C3</f>
        <v>50</v>
      </c>
      <c r="I3">
        <f t="shared" ref="I3:I34" si="3">9*D3</f>
        <v>270</v>
      </c>
      <c r="J3">
        <f t="shared" ref="J3:J34" si="4">16*E3</f>
        <v>0</v>
      </c>
      <c r="K3">
        <f t="shared" ref="K3:K66" si="5">SUM(G3:J3)</f>
        <v>340</v>
      </c>
      <c r="L3">
        <f>G3*Return!B3*100</f>
        <v>0</v>
      </c>
      <c r="M3">
        <f>H3*Return!C3*100</f>
        <v>0</v>
      </c>
      <c r="N3">
        <f>I3*Return!D3*100</f>
        <v>0</v>
      </c>
      <c r="O3">
        <f>J3*Return!E3*100</f>
        <v>0</v>
      </c>
      <c r="P3">
        <f>SUM(L3:O3)</f>
        <v>0</v>
      </c>
      <c r="Q3">
        <f>SUM($P$3:P3)</f>
        <v>0</v>
      </c>
      <c r="R3" t="e">
        <f>B3*中国_中债国债到期收益率_1年!B2/365*100</f>
        <v>#NAME?</v>
      </c>
      <c r="S3">
        <f>C3*中国_中债国债到期收益率_1年!C2/365*100</f>
        <v>7.01205479452055</v>
      </c>
      <c r="T3">
        <f>D3*中国_中债国债到期收益率_1年!D2/365*100</f>
        <v>22.6446575342466</v>
      </c>
      <c r="U3">
        <f>E3*中国_中债国债到期收益率_1年!E2/365*100</f>
        <v>0</v>
      </c>
      <c r="V3" t="e">
        <f>SUM(R3:U3)</f>
        <v>#NAME?</v>
      </c>
      <c r="W3" t="e">
        <f>SUM($V$3:V3)</f>
        <v>#NAME?</v>
      </c>
      <c r="X3">
        <f>MAX(F3-50,0)*中国_中债国债到期收益率_1年!H3*100/365</f>
        <v>4.52054794520548</v>
      </c>
      <c r="Y3">
        <f>SUM($X$3:X3)</f>
        <v>4.52054794520548</v>
      </c>
      <c r="AB3">
        <f>Z3*Return!F3*100</f>
        <v>0</v>
      </c>
      <c r="AD3">
        <f>SUM($AB$3:AB3)+SUM($AC$3:AC3)</f>
        <v>0</v>
      </c>
      <c r="AE3" t="e">
        <f>Q3+W3+AD3-Y3</f>
        <v>#NAME?</v>
      </c>
      <c r="AF3" t="e">
        <f>AE3/$AI$1+1</f>
        <v>#NAME?</v>
      </c>
    </row>
    <row r="4" spans="1:35">
      <c r="A4" s="7">
        <v>44718</v>
      </c>
      <c r="B4">
        <v>20</v>
      </c>
      <c r="C4">
        <v>10</v>
      </c>
      <c r="D4">
        <v>30</v>
      </c>
      <c r="F4">
        <f t="shared" si="0"/>
        <v>60</v>
      </c>
      <c r="G4">
        <f t="shared" si="1"/>
        <v>20</v>
      </c>
      <c r="H4">
        <f t="shared" si="2"/>
        <v>50</v>
      </c>
      <c r="I4">
        <f t="shared" si="3"/>
        <v>270</v>
      </c>
      <c r="J4">
        <f t="shared" si="4"/>
        <v>0</v>
      </c>
      <c r="K4">
        <f t="shared" si="5"/>
        <v>340</v>
      </c>
      <c r="L4" t="e">
        <f>G4*Return!B4*100</f>
        <v>#NAME?</v>
      </c>
      <c r="M4">
        <f>H4*Return!C4*100</f>
        <v>-18.0000000000002</v>
      </c>
      <c r="N4">
        <f>I4*Return!D4*100</f>
        <v>-134.999999999997</v>
      </c>
      <c r="O4">
        <f>J4*Return!E4*100</f>
        <v>0</v>
      </c>
      <c r="P4" t="e">
        <f t="shared" ref="P4:P35" si="6">SUM(L4:O4)</f>
        <v>#NAME?</v>
      </c>
      <c r="Q4" t="e">
        <f>SUM($P$3:P4)</f>
        <v>#NAME?</v>
      </c>
      <c r="R4">
        <f>B4*中国_中债国债到期收益率_1年!B3/365*100</f>
        <v>10.72</v>
      </c>
      <c r="S4">
        <f>C4*中国_中债国债到期收益率_1年!C3/365*100</f>
        <v>7.02191780821918</v>
      </c>
      <c r="T4">
        <f>D4*中国_中债国债到期收益率_1年!D3/365*100</f>
        <v>22.6857534246575</v>
      </c>
      <c r="U4">
        <f>E4*中国_中债国债到期收益率_1年!E3/365*100</f>
        <v>0</v>
      </c>
      <c r="V4">
        <f t="shared" ref="V4:V35" si="7">SUM(R4:U4)</f>
        <v>40.4276712328767</v>
      </c>
      <c r="W4" t="e">
        <f>SUM($V$3:V4)</f>
        <v>#NAME?</v>
      </c>
      <c r="X4">
        <f>MAX(F4-50,0)*中国_中债国债到期收益率_1年!H4*100/365</f>
        <v>4.6027397260274</v>
      </c>
      <c r="Y4">
        <f>SUM($X$3:X4)</f>
        <v>9.12328767123288</v>
      </c>
      <c r="AB4">
        <f>Z4*Return!F4*100</f>
        <v>0</v>
      </c>
      <c r="AD4">
        <f>SUM($AB$3:AB4)+SUM($AC$3:AC4)</f>
        <v>0</v>
      </c>
      <c r="AE4" t="e">
        <f t="shared" ref="AE4:AE67" si="8">Q4+W4+AD4-Y4</f>
        <v>#NAME?</v>
      </c>
      <c r="AF4" t="e">
        <f t="shared" ref="AF4:AF67" si="9">AE4/$AI$1+1</f>
        <v>#NAME?</v>
      </c>
      <c r="AG4" s="5" t="e">
        <f>(AF4/AF3-1)-中国_中债国债到期收益率_1年!H4%/252</f>
        <v>#NAME?</v>
      </c>
      <c r="AH4" s="5" t="e">
        <f>MIN((AF4-MAX($AF$3:AF4))/MAX($AF$3:AF4),0)</f>
        <v>#NAME?</v>
      </c>
      <c r="AI4" s="8"/>
    </row>
    <row r="5" spans="1:35">
      <c r="A5" s="7">
        <v>44719</v>
      </c>
      <c r="B5">
        <v>20</v>
      </c>
      <c r="C5">
        <v>10</v>
      </c>
      <c r="D5">
        <v>30</v>
      </c>
      <c r="F5">
        <f t="shared" si="0"/>
        <v>60</v>
      </c>
      <c r="G5">
        <f t="shared" si="1"/>
        <v>20</v>
      </c>
      <c r="H5">
        <f t="shared" si="2"/>
        <v>50</v>
      </c>
      <c r="I5">
        <f t="shared" si="3"/>
        <v>270</v>
      </c>
      <c r="J5">
        <f t="shared" si="4"/>
        <v>0</v>
      </c>
      <c r="K5">
        <f t="shared" si="5"/>
        <v>340</v>
      </c>
      <c r="L5">
        <f>G5*Return!B5*100</f>
        <v>-127</v>
      </c>
      <c r="M5">
        <f>H5*Return!C5*100</f>
        <v>-182</v>
      </c>
      <c r="N5">
        <f>I5*Return!D5*100</f>
        <v>-472.500000000002</v>
      </c>
      <c r="O5">
        <f>J5*Return!E5*100</f>
        <v>0</v>
      </c>
      <c r="P5">
        <f t="shared" si="6"/>
        <v>-781.500000000002</v>
      </c>
      <c r="Q5" t="e">
        <f>SUM($P$3:P5)</f>
        <v>#NAME?</v>
      </c>
      <c r="R5">
        <f>B5*中国_中债国债到期收益率_1年!B4/365*100</f>
        <v>11.0679452054795</v>
      </c>
      <c r="S5">
        <f>C5*中国_中债国债到期收益率_1年!C4/365*100</f>
        <v>7.12164383561644</v>
      </c>
      <c r="T5">
        <f>D5*中国_中债国债到期收益率_1年!D4/365*100</f>
        <v>22.8295890410959</v>
      </c>
      <c r="U5">
        <f>E5*中国_中债国债到期收益率_1年!E4/365*100</f>
        <v>0</v>
      </c>
      <c r="V5">
        <f t="shared" si="7"/>
        <v>41.0191780821918</v>
      </c>
      <c r="W5" t="e">
        <f>SUM($V$3:V5)</f>
        <v>#NAME?</v>
      </c>
      <c r="X5">
        <f>MAX(F5-50,0)*中国_中债国债到期收益率_1年!H5*100/365</f>
        <v>4.52054794520548</v>
      </c>
      <c r="Y5">
        <f>SUM($X$3:X5)</f>
        <v>13.6438356164384</v>
      </c>
      <c r="AB5">
        <f>Z5*Return!F5*100</f>
        <v>0</v>
      </c>
      <c r="AD5">
        <f>SUM($AB$3:AB5)+SUM($AC$3:AC5)</f>
        <v>0</v>
      </c>
      <c r="AE5" t="e">
        <f t="shared" si="8"/>
        <v>#NAME?</v>
      </c>
      <c r="AF5" t="e">
        <f t="shared" si="9"/>
        <v>#NAME?</v>
      </c>
      <c r="AG5" s="5" t="e">
        <f>(AF5/AF4-1)-中国_中债国债到期收益率_1年!H5%/252</f>
        <v>#NAME?</v>
      </c>
      <c r="AH5" s="5" t="e">
        <f>MIN((AF5-MAX($AF$3:AF5))/MAX($AF$3:AF5),0)</f>
        <v>#NAME?</v>
      </c>
      <c r="AI5" s="8"/>
    </row>
    <row r="6" spans="1:34">
      <c r="A6" s="7">
        <v>44720</v>
      </c>
      <c r="B6">
        <v>20</v>
      </c>
      <c r="C6">
        <v>10</v>
      </c>
      <c r="D6">
        <v>30</v>
      </c>
      <c r="F6">
        <f t="shared" si="0"/>
        <v>60</v>
      </c>
      <c r="G6">
        <f t="shared" si="1"/>
        <v>20</v>
      </c>
      <c r="H6">
        <f t="shared" si="2"/>
        <v>50</v>
      </c>
      <c r="I6">
        <f t="shared" si="3"/>
        <v>270</v>
      </c>
      <c r="J6">
        <f t="shared" si="4"/>
        <v>0</v>
      </c>
      <c r="K6">
        <f t="shared" si="5"/>
        <v>340</v>
      </c>
      <c r="L6">
        <f>G6*Return!B6*100</f>
        <v>3.80000000000003</v>
      </c>
      <c r="M6">
        <f>H6*Return!C6*100</f>
        <v>76.0000000000005</v>
      </c>
      <c r="N6">
        <f>I6*Return!D6*100</f>
        <v>540</v>
      </c>
      <c r="O6">
        <f>J6*Return!E6*100</f>
        <v>0</v>
      </c>
      <c r="P6">
        <f t="shared" si="6"/>
        <v>619.800000000001</v>
      </c>
      <c r="Q6" t="e">
        <f>SUM($P$3:P6)</f>
        <v>#NAME?</v>
      </c>
      <c r="R6">
        <f>B6*中国_中债国债到期收益率_1年!B5/365*100</f>
        <v>11.0575342465753</v>
      </c>
      <c r="S6">
        <f>C6*中国_中债国债到期收益率_1年!C5/365*100</f>
        <v>7.08</v>
      </c>
      <c r="T6">
        <f>D6*中国_中债国债到期收益率_1年!D5/365*100</f>
        <v>22.6652054794521</v>
      </c>
      <c r="U6">
        <f>E6*中国_中债国债到期收益率_1年!E5/365*100</f>
        <v>0</v>
      </c>
      <c r="V6">
        <f t="shared" si="7"/>
        <v>40.8027397260274</v>
      </c>
      <c r="W6" t="e">
        <f>SUM($V$3:V6)</f>
        <v>#NAME?</v>
      </c>
      <c r="X6">
        <f>MAX(F6-50,0)*中国_中债国债到期收益率_1年!H6*100/365</f>
        <v>4.52054794520548</v>
      </c>
      <c r="Y6">
        <f>SUM($X$3:X6)</f>
        <v>18.1643835616438</v>
      </c>
      <c r="AB6">
        <f>Z6*Return!F6*100</f>
        <v>0</v>
      </c>
      <c r="AD6">
        <f>SUM($AB$3:AB6)+SUM($AC$3:AC6)</f>
        <v>0</v>
      </c>
      <c r="AE6" t="e">
        <f t="shared" si="8"/>
        <v>#NAME?</v>
      </c>
      <c r="AF6" t="e">
        <f t="shared" si="9"/>
        <v>#NAME?</v>
      </c>
      <c r="AG6" s="5" t="e">
        <f>(AF6/AF5-1)-中国_中债国债到期收益率_1年!H6%/252</f>
        <v>#NAME?</v>
      </c>
      <c r="AH6" s="5" t="e">
        <f>MIN((AF6-MAX($AF$3:AF6))/MAX($AF$3:AF6),0)</f>
        <v>#NAME?</v>
      </c>
    </row>
    <row r="7" spans="1:34">
      <c r="A7" s="7">
        <v>44721</v>
      </c>
      <c r="B7">
        <v>20</v>
      </c>
      <c r="C7">
        <v>10</v>
      </c>
      <c r="D7">
        <v>30</v>
      </c>
      <c r="F7">
        <f t="shared" si="0"/>
        <v>60</v>
      </c>
      <c r="G7">
        <f t="shared" si="1"/>
        <v>20</v>
      </c>
      <c r="H7">
        <f t="shared" si="2"/>
        <v>50</v>
      </c>
      <c r="I7">
        <f t="shared" si="3"/>
        <v>270</v>
      </c>
      <c r="J7">
        <f t="shared" si="4"/>
        <v>0</v>
      </c>
      <c r="K7">
        <f t="shared" si="5"/>
        <v>340</v>
      </c>
      <c r="L7">
        <f>G7*Return!B7*100</f>
        <v>-20.4000000000004</v>
      </c>
      <c r="M7">
        <f>H7*Return!C7*100</f>
        <v>-3.99999999999956</v>
      </c>
      <c r="N7">
        <f>I7*Return!D7*100</f>
        <v>-229.499999999993</v>
      </c>
      <c r="O7">
        <f>J7*Return!E7*100</f>
        <v>0</v>
      </c>
      <c r="P7">
        <f t="shared" si="6"/>
        <v>-253.899999999993</v>
      </c>
      <c r="Q7" t="e">
        <f>SUM($P$3:P7)</f>
        <v>#NAME?</v>
      </c>
      <c r="R7">
        <f>B7*中国_中债国债到期收益率_1年!B6/365*100</f>
        <v>11.1134246575342</v>
      </c>
      <c r="S7">
        <f>C7*中国_中债国债到期收益率_1年!C6/365*100</f>
        <v>7.08219178082192</v>
      </c>
      <c r="T7">
        <f>D7*中国_中债国债到期收益率_1年!D6/365*100</f>
        <v>22.7350684931507</v>
      </c>
      <c r="U7">
        <f>E7*中国_中债国债到期收益率_1年!E6/365*100</f>
        <v>0</v>
      </c>
      <c r="V7">
        <f t="shared" si="7"/>
        <v>40.9306849315068</v>
      </c>
      <c r="W7" t="e">
        <f>SUM($V$3:V7)</f>
        <v>#NAME?</v>
      </c>
      <c r="X7">
        <f>MAX(F7-50,0)*中国_中债国债到期收益率_1年!H7*100/365</f>
        <v>4.52054794520548</v>
      </c>
      <c r="Y7">
        <f>SUM($X$3:X7)</f>
        <v>22.6849315068493</v>
      </c>
      <c r="AB7">
        <f>Z7*Return!F7*100</f>
        <v>0</v>
      </c>
      <c r="AD7">
        <f>SUM($AB$3:AB7)+SUM($AC$3:AC7)</f>
        <v>0</v>
      </c>
      <c r="AE7" t="e">
        <f t="shared" si="8"/>
        <v>#NAME?</v>
      </c>
      <c r="AF7" t="e">
        <f t="shared" si="9"/>
        <v>#NAME?</v>
      </c>
      <c r="AG7" s="5" t="e">
        <f>(AF7/AF6-1)-中国_中债国债到期收益率_1年!H7%/252</f>
        <v>#NAME?</v>
      </c>
      <c r="AH7" s="5" t="e">
        <f>MIN((AF7-MAX($AF$3:AF7))/MAX($AF$3:AF7),0)</f>
        <v>#NAME?</v>
      </c>
    </row>
    <row r="8" spans="1:34">
      <c r="A8" s="7">
        <v>44722</v>
      </c>
      <c r="B8">
        <v>20</v>
      </c>
      <c r="C8">
        <v>10</v>
      </c>
      <c r="D8">
        <v>30</v>
      </c>
      <c r="F8">
        <f t="shared" si="0"/>
        <v>60</v>
      </c>
      <c r="G8">
        <f t="shared" si="1"/>
        <v>20</v>
      </c>
      <c r="H8">
        <f t="shared" si="2"/>
        <v>50</v>
      </c>
      <c r="I8">
        <f t="shared" si="3"/>
        <v>270</v>
      </c>
      <c r="J8">
        <f t="shared" si="4"/>
        <v>0</v>
      </c>
      <c r="K8">
        <f t="shared" si="5"/>
        <v>340</v>
      </c>
      <c r="L8">
        <f>G8*Return!B8*100</f>
        <v>26.2000000000002</v>
      </c>
      <c r="M8">
        <f>H8*Return!C8*100</f>
        <v>61.9999999999998</v>
      </c>
      <c r="N8">
        <f>I8*Return!D8*100</f>
        <v>229.499999999993</v>
      </c>
      <c r="O8">
        <f>J8*Return!E8*100</f>
        <v>0</v>
      </c>
      <c r="P8">
        <f t="shared" si="6"/>
        <v>317.699999999993</v>
      </c>
      <c r="Q8" t="e">
        <f>SUM($P$3:P8)</f>
        <v>#NAME?</v>
      </c>
      <c r="R8">
        <f>B8*中国_中债国债到期收益率_1年!B7/365*100</f>
        <v>11.0416438356164</v>
      </c>
      <c r="S8">
        <f>C8*中国_中债国债到期收益率_1年!C7/365*100</f>
        <v>7.04821917808219</v>
      </c>
      <c r="T8">
        <f>D8*中国_中债国债到期收益率_1年!D7/365*100</f>
        <v>22.6652054794521</v>
      </c>
      <c r="U8">
        <f>E8*中国_中债国债到期收益率_1年!E7/365*100</f>
        <v>0</v>
      </c>
      <c r="V8">
        <f t="shared" si="7"/>
        <v>40.7550684931507</v>
      </c>
      <c r="W8" t="e">
        <f>SUM($V$3:V8)</f>
        <v>#NAME?</v>
      </c>
      <c r="X8">
        <f>MAX(F8-50,0)*中国_中债国债到期收益率_1年!H8*100/365</f>
        <v>4.43835616438356</v>
      </c>
      <c r="Y8">
        <f>SUM($X$3:X8)</f>
        <v>27.1232876712329</v>
      </c>
      <c r="AB8">
        <f>Z8*Return!F8*100</f>
        <v>0</v>
      </c>
      <c r="AD8">
        <f>SUM($AB$3:AB8)+SUM($AC$3:AC8)</f>
        <v>0</v>
      </c>
      <c r="AE8" t="e">
        <f t="shared" si="8"/>
        <v>#NAME?</v>
      </c>
      <c r="AF8" t="e">
        <f t="shared" si="9"/>
        <v>#NAME?</v>
      </c>
      <c r="AG8" s="5" t="e">
        <f>(AF8/AF7-1)-中国_中债国债到期收益率_1年!H8%/252</f>
        <v>#NAME?</v>
      </c>
      <c r="AH8" s="5" t="e">
        <f>MIN((AF8-MAX($AF$3:AF8))/MAX($AF$3:AF8),0)</f>
        <v>#NAME?</v>
      </c>
    </row>
    <row r="9" spans="1:34">
      <c r="A9" s="7">
        <v>44725</v>
      </c>
      <c r="B9">
        <v>20</v>
      </c>
      <c r="C9">
        <v>30</v>
      </c>
      <c r="D9">
        <v>30</v>
      </c>
      <c r="F9">
        <f t="shared" si="0"/>
        <v>80</v>
      </c>
      <c r="G9">
        <f t="shared" si="1"/>
        <v>20</v>
      </c>
      <c r="H9">
        <f t="shared" si="2"/>
        <v>150</v>
      </c>
      <c r="I9">
        <f t="shared" si="3"/>
        <v>270</v>
      </c>
      <c r="J9">
        <f t="shared" si="4"/>
        <v>0</v>
      </c>
      <c r="K9">
        <f t="shared" si="5"/>
        <v>440</v>
      </c>
      <c r="L9">
        <f>G9*Return!B9*100</f>
        <v>19.9999999999996</v>
      </c>
      <c r="M9">
        <f>H9*Return!C9*100</f>
        <v>68.9999999999991</v>
      </c>
      <c r="N9">
        <f>I9*Return!D9*100</f>
        <v>134.999999999997</v>
      </c>
      <c r="O9">
        <f>J9*Return!E9*100</f>
        <v>0</v>
      </c>
      <c r="P9">
        <f t="shared" si="6"/>
        <v>223.999999999996</v>
      </c>
      <c r="Q9" t="e">
        <f>SUM($P$3:P9)</f>
        <v>#NAME?</v>
      </c>
      <c r="R9">
        <f>B9*中国_中债国债到期收益率_1年!B8/365*100</f>
        <v>10.9868493150685</v>
      </c>
      <c r="S9">
        <f>C9*中国_中债国债到期收益率_1年!C8/365*100</f>
        <v>21.1068493150685</v>
      </c>
      <c r="T9">
        <f>D9*中国_中债国债到期收益率_1年!D8/365*100</f>
        <v>22.6241095890411</v>
      </c>
      <c r="U9">
        <f>E9*中国_中债国债到期收益率_1年!E8/365*100</f>
        <v>0</v>
      </c>
      <c r="V9">
        <f t="shared" si="7"/>
        <v>54.7178082191781</v>
      </c>
      <c r="W9" t="e">
        <f>SUM($V$3:V9)</f>
        <v>#NAME?</v>
      </c>
      <c r="X9">
        <f>MAX(F9-50,0)*中国_中债国债到期收益率_1年!H9*100/365</f>
        <v>13.5616438356164</v>
      </c>
      <c r="Y9">
        <f>SUM($X$3:X9)</f>
        <v>40.6849315068493</v>
      </c>
      <c r="AB9">
        <f>Z9*Return!F9*100</f>
        <v>0</v>
      </c>
      <c r="AD9">
        <f>SUM($AB$3:AB9)+SUM($AC$3:AC9)</f>
        <v>0</v>
      </c>
      <c r="AE9" t="e">
        <f t="shared" si="8"/>
        <v>#NAME?</v>
      </c>
      <c r="AF9" t="e">
        <f t="shared" si="9"/>
        <v>#NAME?</v>
      </c>
      <c r="AG9" s="5" t="e">
        <f>(AF9/AF8-1)-中国_中债国债到期收益率_1年!H9%/252</f>
        <v>#NAME?</v>
      </c>
      <c r="AH9" s="5" t="e">
        <f>MIN((AF9-MAX($AF$3:AF9))/MAX($AF$3:AF9),0)</f>
        <v>#NAME?</v>
      </c>
    </row>
    <row r="10" spans="1:34">
      <c r="A10" s="7">
        <v>44726</v>
      </c>
      <c r="B10">
        <v>20</v>
      </c>
      <c r="C10">
        <v>30</v>
      </c>
      <c r="D10">
        <v>30</v>
      </c>
      <c r="F10">
        <f t="shared" si="0"/>
        <v>80</v>
      </c>
      <c r="G10">
        <f t="shared" si="1"/>
        <v>20</v>
      </c>
      <c r="H10">
        <f t="shared" si="2"/>
        <v>150</v>
      </c>
      <c r="I10">
        <f t="shared" si="3"/>
        <v>270</v>
      </c>
      <c r="J10">
        <f t="shared" si="4"/>
        <v>0</v>
      </c>
      <c r="K10">
        <f t="shared" si="5"/>
        <v>440</v>
      </c>
      <c r="L10">
        <f>G10*Return!B10*100</f>
        <v>4.99999999999989</v>
      </c>
      <c r="M10">
        <f>H10*Return!C10*100</f>
        <v>-328.5</v>
      </c>
      <c r="N10">
        <f>I10*Return!D10*100</f>
        <v>-340.199999999999</v>
      </c>
      <c r="O10">
        <f>J10*Return!E10*100</f>
        <v>0</v>
      </c>
      <c r="P10">
        <f t="shared" si="6"/>
        <v>-663.699999999999</v>
      </c>
      <c r="Q10" t="e">
        <f>SUM($P$3:P10)</f>
        <v>#NAME?</v>
      </c>
      <c r="R10">
        <f>B10*中国_中债国债到期收益率_1年!B9/365*100</f>
        <v>10.9731506849315</v>
      </c>
      <c r="S10">
        <f>C10*中国_中债国债到期收益率_1年!C9/365*100</f>
        <v>21.2868493150685</v>
      </c>
      <c r="T10">
        <f>D10*中国_中债国债到期收益率_1年!D9/365*100</f>
        <v>22.7276712328767</v>
      </c>
      <c r="U10">
        <f>E10*中国_中债国债到期收益率_1年!E9/365*100</f>
        <v>0</v>
      </c>
      <c r="V10">
        <f t="shared" si="7"/>
        <v>54.9876712328767</v>
      </c>
      <c r="W10" t="e">
        <f>SUM($V$3:V10)</f>
        <v>#NAME?</v>
      </c>
      <c r="X10">
        <f>MAX(F10-50,0)*中国_中债国债到期收益率_1年!H10*100/365</f>
        <v>13.3972602739726</v>
      </c>
      <c r="Y10">
        <f>SUM($X$3:X10)</f>
        <v>54.0821917808219</v>
      </c>
      <c r="AB10">
        <f>Z10*Return!F10*100</f>
        <v>0</v>
      </c>
      <c r="AD10">
        <f>SUM($AB$3:AB10)+SUM($AC$3:AC10)</f>
        <v>0</v>
      </c>
      <c r="AE10" t="e">
        <f t="shared" si="8"/>
        <v>#NAME?</v>
      </c>
      <c r="AF10" t="e">
        <f t="shared" si="9"/>
        <v>#NAME?</v>
      </c>
      <c r="AG10" s="5" t="e">
        <f>(AF10/AF9-1)-中国_中债国债到期收益率_1年!H10%/252</f>
        <v>#NAME?</v>
      </c>
      <c r="AH10" s="5" t="e">
        <f>MIN((AF10-MAX($AF$3:AF10))/MAX($AF$3:AF10),0)</f>
        <v>#NAME?</v>
      </c>
    </row>
    <row r="11" spans="1:34">
      <c r="A11" s="7">
        <v>44727</v>
      </c>
      <c r="B11">
        <v>30</v>
      </c>
      <c r="C11">
        <v>30</v>
      </c>
      <c r="D11">
        <v>30</v>
      </c>
      <c r="F11">
        <f t="shared" si="0"/>
        <v>90</v>
      </c>
      <c r="G11">
        <f t="shared" si="1"/>
        <v>30</v>
      </c>
      <c r="H11">
        <f t="shared" si="2"/>
        <v>150</v>
      </c>
      <c r="I11">
        <f t="shared" si="3"/>
        <v>270</v>
      </c>
      <c r="J11">
        <f t="shared" si="4"/>
        <v>0</v>
      </c>
      <c r="K11">
        <f t="shared" si="5"/>
        <v>450</v>
      </c>
      <c r="L11">
        <f>G11*Return!B11*100</f>
        <v>-44.999999999999</v>
      </c>
      <c r="M11">
        <f>H11*Return!C11*100</f>
        <v>-79.5000000000012</v>
      </c>
      <c r="N11">
        <f>I11*Return!D11*100</f>
        <v>-134.999999999997</v>
      </c>
      <c r="O11">
        <f>J11*Return!E11*100</f>
        <v>0</v>
      </c>
      <c r="P11">
        <f t="shared" si="6"/>
        <v>-259.499999999997</v>
      </c>
      <c r="Q11" t="e">
        <f>SUM($P$3:P11)</f>
        <v>#NAME?</v>
      </c>
      <c r="R11">
        <f>B11*中国_中债国债到期收益率_1年!B10/365*100</f>
        <v>16.5830136986301</v>
      </c>
      <c r="S11">
        <f>C11*中国_中债国债到期收益率_1年!C10/365*100</f>
        <v>21.3304109589041</v>
      </c>
      <c r="T11">
        <f>D11*中国_中债国债到期收益率_1年!D10/365*100</f>
        <v>22.7687671232877</v>
      </c>
      <c r="U11">
        <f>E11*中国_中债国债到期收益率_1年!E10/365*100</f>
        <v>0</v>
      </c>
      <c r="V11">
        <f t="shared" si="7"/>
        <v>60.6821917808219</v>
      </c>
      <c r="W11" t="e">
        <f>SUM($V$3:V11)</f>
        <v>#NAME?</v>
      </c>
      <c r="X11">
        <f>MAX(F11-50,0)*中国_中债国债到期收益率_1年!H11*100/365</f>
        <v>17.8630136986301</v>
      </c>
      <c r="Y11">
        <f>SUM($X$3:X11)</f>
        <v>71.9452054794521</v>
      </c>
      <c r="AB11">
        <f>Z11*Return!F11*100</f>
        <v>0</v>
      </c>
      <c r="AD11">
        <f>SUM($AB$3:AB11)+SUM($AC$3:AC11)</f>
        <v>0</v>
      </c>
      <c r="AE11" t="e">
        <f t="shared" si="8"/>
        <v>#NAME?</v>
      </c>
      <c r="AF11" t="e">
        <f t="shared" si="9"/>
        <v>#NAME?</v>
      </c>
      <c r="AG11" s="5" t="e">
        <f>(AF11/AF10-1)-中国_中债国债到期收益率_1年!H11%/252</f>
        <v>#NAME?</v>
      </c>
      <c r="AH11" s="5" t="e">
        <f>MIN((AF11-MAX($AF$3:AF11))/MAX($AF$3:AF11),0)</f>
        <v>#NAME?</v>
      </c>
    </row>
    <row r="12" spans="1:34">
      <c r="A12" s="7">
        <v>44728</v>
      </c>
      <c r="B12">
        <v>30</v>
      </c>
      <c r="C12">
        <v>30</v>
      </c>
      <c r="D12">
        <v>30</v>
      </c>
      <c r="F12">
        <f t="shared" si="0"/>
        <v>90</v>
      </c>
      <c r="G12">
        <f t="shared" si="1"/>
        <v>30</v>
      </c>
      <c r="H12">
        <f t="shared" si="2"/>
        <v>150</v>
      </c>
      <c r="I12">
        <f t="shared" si="3"/>
        <v>270</v>
      </c>
      <c r="J12">
        <f t="shared" si="4"/>
        <v>0</v>
      </c>
      <c r="K12">
        <f t="shared" si="5"/>
        <v>450</v>
      </c>
      <c r="L12">
        <f>G12*Return!B12*100</f>
        <v>-55.2000000000006</v>
      </c>
      <c r="M12">
        <f>H12*Return!C12*100</f>
        <v>-240</v>
      </c>
      <c r="N12">
        <f>I12*Return!D12*100</f>
        <v>-337.500000000005</v>
      </c>
      <c r="O12">
        <f>J12*Return!E12*100</f>
        <v>0</v>
      </c>
      <c r="P12">
        <f t="shared" si="6"/>
        <v>-632.700000000006</v>
      </c>
      <c r="Q12" t="e">
        <f>SUM($P$3:P12)</f>
        <v>#NAME?</v>
      </c>
      <c r="R12">
        <f>B12*中国_中债国债到期收益率_1年!B11/365*100</f>
        <v>16.7342465753425</v>
      </c>
      <c r="S12">
        <f>C12*中国_中债国债到期收益率_1年!C11/365*100</f>
        <v>21.4619178082192</v>
      </c>
      <c r="T12">
        <f>D12*中国_中债国债到期收益率_1年!D11/365*100</f>
        <v>22.8715068493151</v>
      </c>
      <c r="U12">
        <f>E12*中国_中债国债到期收益率_1年!E11/365*100</f>
        <v>0</v>
      </c>
      <c r="V12">
        <f t="shared" si="7"/>
        <v>61.0676712328767</v>
      </c>
      <c r="W12" t="e">
        <f>SUM($V$3:V12)</f>
        <v>#NAME?</v>
      </c>
      <c r="X12">
        <f>MAX(F12-50,0)*中国_中债国债到期收益率_1年!H12*100/365</f>
        <v>18.0821917808219</v>
      </c>
      <c r="Y12">
        <f>SUM($X$3:X12)</f>
        <v>90.027397260274</v>
      </c>
      <c r="AB12">
        <f>Z12*Return!F12*100</f>
        <v>0</v>
      </c>
      <c r="AD12">
        <f>SUM($AB$3:AB12)+SUM($AC$3:AC12)</f>
        <v>0</v>
      </c>
      <c r="AE12" t="e">
        <f t="shared" si="8"/>
        <v>#NAME?</v>
      </c>
      <c r="AF12" t="e">
        <f t="shared" si="9"/>
        <v>#NAME?</v>
      </c>
      <c r="AG12" s="5" t="e">
        <f>(AF12/AF11-1)-中国_中债国债到期收益率_1年!H12%/252</f>
        <v>#NAME?</v>
      </c>
      <c r="AH12" s="5" t="e">
        <f>MIN((AF12-MAX($AF$3:AF12))/MAX($AF$3:AF12),0)</f>
        <v>#NAME?</v>
      </c>
    </row>
    <row r="13" spans="1:34">
      <c r="A13" s="7">
        <v>44729</v>
      </c>
      <c r="B13">
        <v>30</v>
      </c>
      <c r="C13">
        <v>30</v>
      </c>
      <c r="D13">
        <v>30</v>
      </c>
      <c r="F13">
        <f t="shared" si="0"/>
        <v>90</v>
      </c>
      <c r="G13">
        <f t="shared" si="1"/>
        <v>30</v>
      </c>
      <c r="H13">
        <f t="shared" si="2"/>
        <v>150</v>
      </c>
      <c r="I13">
        <f t="shared" si="3"/>
        <v>270</v>
      </c>
      <c r="J13">
        <f t="shared" si="4"/>
        <v>0</v>
      </c>
      <c r="K13">
        <f t="shared" si="5"/>
        <v>450</v>
      </c>
      <c r="L13">
        <f>G13*Return!B13*100</f>
        <v>2.39999999999974</v>
      </c>
      <c r="M13">
        <f>H13*Return!C13*100</f>
        <v>264.000000000004</v>
      </c>
      <c r="N13">
        <f>I13*Return!D13*100</f>
        <v>267.300000000001</v>
      </c>
      <c r="O13">
        <f>J13*Return!E13*100</f>
        <v>0</v>
      </c>
      <c r="P13">
        <f t="shared" si="6"/>
        <v>533.700000000004</v>
      </c>
      <c r="Q13" t="e">
        <f>SUM($P$3:P13)</f>
        <v>#NAME?</v>
      </c>
      <c r="R13">
        <f>B13*中国_中债国债到期收益率_1年!B12/365*100</f>
        <v>16.7276712328767</v>
      </c>
      <c r="S13">
        <f>C13*中国_中债国债到期收益率_1年!C12/365*100</f>
        <v>21.3172602739726</v>
      </c>
      <c r="T13">
        <f>D13*中国_中债国债到期收益率_1年!D12/365*100</f>
        <v>22.7901369863014</v>
      </c>
      <c r="U13">
        <f>E13*中国_中债国债到期收益率_1年!E12/365*100</f>
        <v>0</v>
      </c>
      <c r="V13">
        <f t="shared" si="7"/>
        <v>60.8350684931507</v>
      </c>
      <c r="W13" t="e">
        <f>SUM($V$3:V13)</f>
        <v>#NAME?</v>
      </c>
      <c r="X13">
        <f>MAX(F13-50,0)*中国_中债国债到期收益率_1年!H13*100/365</f>
        <v>18.6301369863014</v>
      </c>
      <c r="Y13">
        <f>SUM($X$3:X13)</f>
        <v>108.657534246575</v>
      </c>
      <c r="AB13">
        <f>Z13*Return!F13*100</f>
        <v>0</v>
      </c>
      <c r="AD13">
        <f>SUM($AB$3:AB13)+SUM($AC$3:AC13)</f>
        <v>0</v>
      </c>
      <c r="AE13" t="e">
        <f t="shared" si="8"/>
        <v>#NAME?</v>
      </c>
      <c r="AF13" t="e">
        <f t="shared" si="9"/>
        <v>#NAME?</v>
      </c>
      <c r="AG13" s="5" t="e">
        <f>(AF13/AF12-1)-中国_中债国债到期收益率_1年!H13%/252</f>
        <v>#NAME?</v>
      </c>
      <c r="AH13" s="5" t="e">
        <f>MIN((AF13-MAX($AF$3:AF13))/MAX($AF$3:AF13),0)</f>
        <v>#NAME?</v>
      </c>
    </row>
    <row r="14" spans="1:34">
      <c r="A14" s="7">
        <v>44732</v>
      </c>
      <c r="B14">
        <v>30</v>
      </c>
      <c r="C14">
        <v>30</v>
      </c>
      <c r="D14">
        <v>30</v>
      </c>
      <c r="F14">
        <f t="shared" si="0"/>
        <v>90</v>
      </c>
      <c r="G14">
        <f t="shared" si="1"/>
        <v>30</v>
      </c>
      <c r="H14">
        <f t="shared" si="2"/>
        <v>150</v>
      </c>
      <c r="I14">
        <f t="shared" si="3"/>
        <v>270</v>
      </c>
      <c r="J14">
        <f t="shared" si="4"/>
        <v>0</v>
      </c>
      <c r="K14">
        <f t="shared" si="5"/>
        <v>450</v>
      </c>
      <c r="L14">
        <f>G14*Return!B14*100</f>
        <v>74.9999999999997</v>
      </c>
      <c r="M14">
        <f>H14*Return!C14*100</f>
        <v>-11.9999999999987</v>
      </c>
      <c r="N14">
        <f>I14*Return!D14*100</f>
        <v>-64.7999999999929</v>
      </c>
      <c r="O14">
        <f>J14*Return!E14*100</f>
        <v>0</v>
      </c>
      <c r="P14">
        <f t="shared" si="6"/>
        <v>-1.79999999999181</v>
      </c>
      <c r="Q14" t="e">
        <f>SUM($P$3:P14)</f>
        <v>#NAME?</v>
      </c>
      <c r="R14">
        <f>B14*中国_中债国债到期收益率_1年!B13/365*100</f>
        <v>16.5221917808219</v>
      </c>
      <c r="S14">
        <f>C14*中国_中债国债到期收益率_1年!C13/365*100</f>
        <v>21.3238356164384</v>
      </c>
      <c r="T14">
        <f>D14*中国_中债国债到期收益率_1年!D13/365*100</f>
        <v>22.8098630136986</v>
      </c>
      <c r="U14">
        <f>E14*中国_中债国债到期收益率_1年!E13/365*100</f>
        <v>0</v>
      </c>
      <c r="V14">
        <f t="shared" si="7"/>
        <v>60.6558904109589</v>
      </c>
      <c r="W14" t="e">
        <f>SUM($V$3:V14)</f>
        <v>#NAME?</v>
      </c>
      <c r="X14">
        <f>MAX(F14-50,0)*中国_中债国债到期收益率_1年!H14*100/365</f>
        <v>18.6301369863014</v>
      </c>
      <c r="Y14">
        <f>SUM($X$3:X14)</f>
        <v>127.287671232877</v>
      </c>
      <c r="AB14">
        <f>Z14*Return!F14*100</f>
        <v>0</v>
      </c>
      <c r="AD14">
        <f>SUM($AB$3:AB14)+SUM($AC$3:AC14)</f>
        <v>0</v>
      </c>
      <c r="AE14" t="e">
        <f t="shared" si="8"/>
        <v>#NAME?</v>
      </c>
      <c r="AF14" t="e">
        <f t="shared" si="9"/>
        <v>#NAME?</v>
      </c>
      <c r="AG14" s="5" t="e">
        <f>(AF14/AF13-1)-中国_中债国债到期收益率_1年!H14%/252</f>
        <v>#NAME?</v>
      </c>
      <c r="AH14" s="5" t="e">
        <f>MIN((AF14-MAX($AF$3:AF14))/MAX($AF$3:AF14),0)</f>
        <v>#NAME?</v>
      </c>
    </row>
    <row r="15" spans="1:34">
      <c r="A15" s="7">
        <v>44733</v>
      </c>
      <c r="B15">
        <v>30</v>
      </c>
      <c r="C15">
        <v>30</v>
      </c>
      <c r="D15">
        <v>30</v>
      </c>
      <c r="F15">
        <f t="shared" si="0"/>
        <v>90</v>
      </c>
      <c r="G15">
        <f t="shared" si="1"/>
        <v>30</v>
      </c>
      <c r="H15">
        <f t="shared" si="2"/>
        <v>150</v>
      </c>
      <c r="I15">
        <f t="shared" si="3"/>
        <v>270</v>
      </c>
      <c r="J15">
        <f t="shared" si="4"/>
        <v>0</v>
      </c>
      <c r="K15">
        <f t="shared" si="5"/>
        <v>450</v>
      </c>
      <c r="L15">
        <f>G15*Return!B15*100</f>
        <v>13.8000000000011</v>
      </c>
      <c r="M15">
        <f>H15*Return!C15*100</f>
        <v>-328.5</v>
      </c>
      <c r="N15">
        <f>I15*Return!D15*100</f>
        <v>-272.7</v>
      </c>
      <c r="O15">
        <f>J15*Return!E15*100</f>
        <v>0</v>
      </c>
      <c r="P15">
        <f t="shared" si="6"/>
        <v>-587.399999999999</v>
      </c>
      <c r="Q15" t="e">
        <f>SUM($P$3:P15)</f>
        <v>#NAME?</v>
      </c>
      <c r="R15">
        <f>B15*中国_中债国债到期收益率_1年!B14/365*100</f>
        <v>16.4843835616438</v>
      </c>
      <c r="S15">
        <f>C15*中国_中债国债到期收益率_1年!C14/365*100</f>
        <v>21.5038356164384</v>
      </c>
      <c r="T15">
        <f>D15*中国_中债国债到期收益率_1年!D14/365*100</f>
        <v>22.8928767123288</v>
      </c>
      <c r="U15">
        <f>E15*中国_中债国债到期收益率_1年!E14/365*100</f>
        <v>0</v>
      </c>
      <c r="V15">
        <f t="shared" si="7"/>
        <v>60.881095890411</v>
      </c>
      <c r="W15" t="e">
        <f>SUM($V$3:V15)</f>
        <v>#NAME?</v>
      </c>
      <c r="X15">
        <f>MAX(F15-50,0)*中国_中债国债到期收益率_1年!H15*100/365</f>
        <v>19.1780821917808</v>
      </c>
      <c r="Y15">
        <f>SUM($X$3:X15)</f>
        <v>146.465753424658</v>
      </c>
      <c r="AB15">
        <f>Z15*Return!F15*100</f>
        <v>0</v>
      </c>
      <c r="AD15">
        <f>SUM($AB$3:AB15)+SUM($AC$3:AC15)</f>
        <v>0</v>
      </c>
      <c r="AE15" t="e">
        <f t="shared" si="8"/>
        <v>#NAME?</v>
      </c>
      <c r="AF15" t="e">
        <f t="shared" si="9"/>
        <v>#NAME?</v>
      </c>
      <c r="AG15" s="5" t="e">
        <f>(AF15/AF14-1)-中国_中债国债到期收益率_1年!H15%/252</f>
        <v>#NAME?</v>
      </c>
      <c r="AH15" s="5" t="e">
        <f>MIN((AF15-MAX($AF$3:AF15))/MAX($AF$3:AF15),0)</f>
        <v>#NAME?</v>
      </c>
    </row>
    <row r="16" spans="1:34">
      <c r="A16" s="7">
        <v>44734</v>
      </c>
      <c r="B16">
        <v>30</v>
      </c>
      <c r="C16">
        <v>30</v>
      </c>
      <c r="D16">
        <v>30</v>
      </c>
      <c r="F16">
        <f t="shared" si="0"/>
        <v>90</v>
      </c>
      <c r="G16">
        <f t="shared" si="1"/>
        <v>30</v>
      </c>
      <c r="H16">
        <f t="shared" si="2"/>
        <v>150</v>
      </c>
      <c r="I16">
        <f t="shared" si="3"/>
        <v>270</v>
      </c>
      <c r="J16">
        <f t="shared" si="4"/>
        <v>0</v>
      </c>
      <c r="K16">
        <f t="shared" si="5"/>
        <v>450</v>
      </c>
      <c r="L16">
        <f>G16*Return!B16*100</f>
        <v>11.4000000000001</v>
      </c>
      <c r="M16">
        <f>H16*Return!C16*100</f>
        <v>67.4999999999959</v>
      </c>
      <c r="N16">
        <f>I16*Return!D16*100</f>
        <v>0</v>
      </c>
      <c r="O16">
        <f>J16*Return!E16*100</f>
        <v>0</v>
      </c>
      <c r="P16">
        <f t="shared" si="6"/>
        <v>78.899999999996</v>
      </c>
      <c r="Q16" t="e">
        <f>SUM($P$3:P16)</f>
        <v>#NAME?</v>
      </c>
      <c r="R16">
        <f>B16*中国_中债国债到期收益率_1年!B15/365*100</f>
        <v>16.4531506849315</v>
      </c>
      <c r="S16">
        <f>C16*中国_中债国债到期收益率_1年!C15/365*100</f>
        <v>21.4668493150685</v>
      </c>
      <c r="T16">
        <f>D16*中国_中债国债到期收益率_1年!D15/365*100</f>
        <v>22.8928767123288</v>
      </c>
      <c r="U16">
        <f>E16*中国_中债国债到期收益率_1年!E15/365*100</f>
        <v>0</v>
      </c>
      <c r="V16">
        <f t="shared" si="7"/>
        <v>60.8128767123288</v>
      </c>
      <c r="W16" t="e">
        <f>SUM($V$3:V16)</f>
        <v>#NAME?</v>
      </c>
      <c r="X16">
        <f>MAX(F16-50,0)*中国_中债国债到期收益率_1年!H16*100/365</f>
        <v>19.038904109589</v>
      </c>
      <c r="Y16">
        <f>SUM($X$3:X16)</f>
        <v>165.504657534247</v>
      </c>
      <c r="AB16">
        <f>Z16*Return!F16*100</f>
        <v>0</v>
      </c>
      <c r="AD16">
        <f>SUM($AB$3:AB16)+SUM($AC$3:AC16)</f>
        <v>0</v>
      </c>
      <c r="AE16" t="e">
        <f t="shared" si="8"/>
        <v>#NAME?</v>
      </c>
      <c r="AF16" t="e">
        <f t="shared" si="9"/>
        <v>#NAME?</v>
      </c>
      <c r="AG16" s="5" t="e">
        <f>(AF16/AF15-1)-中国_中债国债到期收益率_1年!H16%/252</f>
        <v>#NAME?</v>
      </c>
      <c r="AH16" s="5" t="e">
        <f>MIN((AF16-MAX($AF$3:AF16))/MAX($AF$3:AF16),0)</f>
        <v>#NAME?</v>
      </c>
    </row>
    <row r="17" spans="1:34">
      <c r="A17" s="7">
        <v>44735</v>
      </c>
      <c r="B17">
        <v>30</v>
      </c>
      <c r="C17">
        <v>30</v>
      </c>
      <c r="D17">
        <v>30</v>
      </c>
      <c r="F17">
        <f t="shared" si="0"/>
        <v>90</v>
      </c>
      <c r="G17">
        <f t="shared" si="1"/>
        <v>30</v>
      </c>
      <c r="H17">
        <f t="shared" si="2"/>
        <v>150</v>
      </c>
      <c r="I17">
        <f t="shared" si="3"/>
        <v>270</v>
      </c>
      <c r="J17">
        <f t="shared" si="4"/>
        <v>0</v>
      </c>
      <c r="K17">
        <f t="shared" si="5"/>
        <v>450</v>
      </c>
      <c r="L17">
        <f>G17*Return!B17*100</f>
        <v>44.6999999999991</v>
      </c>
      <c r="M17">
        <f>H17*Return!C17*100</f>
        <v>109.500000000005</v>
      </c>
      <c r="N17">
        <f>I17*Return!D17*100</f>
        <v>216</v>
      </c>
      <c r="O17">
        <f>J17*Return!E17*100</f>
        <v>0</v>
      </c>
      <c r="P17">
        <f t="shared" si="6"/>
        <v>370.200000000004</v>
      </c>
      <c r="Q17" t="e">
        <f>SUM($P$3:P17)</f>
        <v>#NAME?</v>
      </c>
      <c r="R17">
        <f>B17*中国_中债国债到期收益率_1年!B16/365*100</f>
        <v>16.3306849315069</v>
      </c>
      <c r="S17">
        <f>C17*中国_中债国债到期收益率_1年!C16/365*100</f>
        <v>21.4068493150685</v>
      </c>
      <c r="T17">
        <f>D17*中国_中债国债到期收益率_1年!D16/365*100</f>
        <v>22.8271232876712</v>
      </c>
      <c r="U17">
        <f>E17*中国_中债国债到期收益率_1年!E16/365*100</f>
        <v>0</v>
      </c>
      <c r="V17">
        <f t="shared" si="7"/>
        <v>60.5646575342466</v>
      </c>
      <c r="W17" t="e">
        <f>SUM($V$3:V17)</f>
        <v>#NAME?</v>
      </c>
      <c r="X17">
        <f>MAX(F17-50,0)*中国_中债国债到期收益率_1年!H17*100/365</f>
        <v>18.0821917808219</v>
      </c>
      <c r="Y17">
        <f>SUM($X$3:X17)</f>
        <v>183.586849315068</v>
      </c>
      <c r="AB17">
        <f>Z17*Return!F17*100</f>
        <v>0</v>
      </c>
      <c r="AD17">
        <f>SUM($AB$3:AB17)+SUM($AC$3:AC17)</f>
        <v>0</v>
      </c>
      <c r="AE17" t="e">
        <f t="shared" si="8"/>
        <v>#NAME?</v>
      </c>
      <c r="AF17" t="e">
        <f t="shared" si="9"/>
        <v>#NAME?</v>
      </c>
      <c r="AG17" s="5" t="e">
        <f>(AF17/AF16-1)-中国_中债国债到期收益率_1年!H17%/252</f>
        <v>#NAME?</v>
      </c>
      <c r="AH17" s="5" t="e">
        <f>MIN((AF17-MAX($AF$3:AF17))/MAX($AF$3:AF17),0)</f>
        <v>#NAME?</v>
      </c>
    </row>
    <row r="18" spans="1:34">
      <c r="A18" s="7">
        <v>44736</v>
      </c>
      <c r="B18">
        <v>30</v>
      </c>
      <c r="C18">
        <v>30</v>
      </c>
      <c r="D18">
        <v>30</v>
      </c>
      <c r="F18">
        <f t="shared" si="0"/>
        <v>90</v>
      </c>
      <c r="G18">
        <f t="shared" si="1"/>
        <v>30</v>
      </c>
      <c r="H18">
        <f t="shared" si="2"/>
        <v>150</v>
      </c>
      <c r="I18">
        <f t="shared" si="3"/>
        <v>270</v>
      </c>
      <c r="J18">
        <f t="shared" si="4"/>
        <v>0</v>
      </c>
      <c r="K18">
        <f t="shared" si="5"/>
        <v>450</v>
      </c>
      <c r="L18">
        <f>G18*Return!B18*100</f>
        <v>78.3</v>
      </c>
      <c r="M18">
        <f>H18*Return!C18*100</f>
        <v>-48.0000000000014</v>
      </c>
      <c r="N18">
        <f>I18*Return!D18*100</f>
        <v>-81.0000000000031</v>
      </c>
      <c r="O18">
        <f>J18*Return!E18*100</f>
        <v>0</v>
      </c>
      <c r="P18">
        <f t="shared" si="6"/>
        <v>-50.7000000000044</v>
      </c>
      <c r="Q18" t="e">
        <f>SUM($P$3:P18)</f>
        <v>#NAME?</v>
      </c>
      <c r="R18">
        <f>B18*中国_中债国债到期收益率_1年!B17/365*100</f>
        <v>16.1161643835616</v>
      </c>
      <c r="S18">
        <f>C18*中国_中债国债到期收益率_1年!C17/365*100</f>
        <v>21.4331506849315</v>
      </c>
      <c r="T18">
        <f>D18*中国_中债国债到期收益率_1年!D17/365*100</f>
        <v>22.8517808219178</v>
      </c>
      <c r="U18">
        <f>E18*中国_中债国债到期收益率_1年!E17/365*100</f>
        <v>0</v>
      </c>
      <c r="V18">
        <f t="shared" si="7"/>
        <v>60.401095890411</v>
      </c>
      <c r="W18" t="e">
        <f>SUM($V$3:V18)</f>
        <v>#NAME?</v>
      </c>
      <c r="X18">
        <f>MAX(F18-50,0)*中国_中债国债到期收益率_1年!H18*100/365</f>
        <v>27.3972602739726</v>
      </c>
      <c r="Y18">
        <f>SUM($X$3:X18)</f>
        <v>210.984109589041</v>
      </c>
      <c r="AB18">
        <f>Z18*Return!F18*100</f>
        <v>0</v>
      </c>
      <c r="AD18">
        <f>SUM($AB$3:AB18)+SUM($AC$3:AC18)</f>
        <v>0</v>
      </c>
      <c r="AE18" t="e">
        <f t="shared" si="8"/>
        <v>#NAME?</v>
      </c>
      <c r="AF18" t="e">
        <f t="shared" si="9"/>
        <v>#NAME?</v>
      </c>
      <c r="AG18" s="5" t="e">
        <f>(AF18/AF17-1)-中国_中债国债到期收益率_1年!H18%/252</f>
        <v>#NAME?</v>
      </c>
      <c r="AH18" s="5" t="e">
        <f>MIN((AF18-MAX($AF$3:AF18))/MAX($AF$3:AF18),0)</f>
        <v>#NAME?</v>
      </c>
    </row>
    <row r="19" spans="1:34">
      <c r="A19" s="7">
        <v>44739</v>
      </c>
      <c r="B19">
        <v>30</v>
      </c>
      <c r="C19">
        <v>30</v>
      </c>
      <c r="D19">
        <v>30</v>
      </c>
      <c r="F19">
        <f t="shared" si="0"/>
        <v>90</v>
      </c>
      <c r="G19">
        <f t="shared" si="1"/>
        <v>30</v>
      </c>
      <c r="H19">
        <f t="shared" si="2"/>
        <v>150</v>
      </c>
      <c r="I19">
        <f t="shared" si="3"/>
        <v>270</v>
      </c>
      <c r="J19">
        <f t="shared" si="4"/>
        <v>0</v>
      </c>
      <c r="K19">
        <f t="shared" si="5"/>
        <v>450</v>
      </c>
      <c r="L19">
        <f>G19*Return!B19*100</f>
        <v>-13.4999999999998</v>
      </c>
      <c r="M19">
        <f>H19*Return!C19*100</f>
        <v>-394.5</v>
      </c>
      <c r="N19">
        <f>I19*Return!D19*100</f>
        <v>-472.500000000002</v>
      </c>
      <c r="O19">
        <f>J19*Return!E19*100</f>
        <v>0</v>
      </c>
      <c r="P19">
        <f t="shared" si="6"/>
        <v>-880.500000000002</v>
      </c>
      <c r="Q19" t="e">
        <f>SUM($P$3:P19)</f>
        <v>#NAME?</v>
      </c>
      <c r="R19">
        <f>B19*中国_中债国债到期收益率_1年!B18/365*100</f>
        <v>16.1531506849315</v>
      </c>
      <c r="S19">
        <f>C19*中国_中债国债到期收益率_1年!C18/365*100</f>
        <v>21.6493150684931</v>
      </c>
      <c r="T19">
        <f>D19*中国_中债国债到期收益率_1年!D18/365*100</f>
        <v>22.9956164383562</v>
      </c>
      <c r="U19">
        <f>E19*中国_中债国债到期收益率_1年!E18/365*100</f>
        <v>0</v>
      </c>
      <c r="V19">
        <f t="shared" si="7"/>
        <v>60.7980821917808</v>
      </c>
      <c r="W19" t="e">
        <f>SUM($V$3:V19)</f>
        <v>#NAME?</v>
      </c>
      <c r="X19">
        <f>MAX(F19-50,0)*中国_中债国债到期收益率_1年!H19*100/365</f>
        <v>27.3972602739726</v>
      </c>
      <c r="Y19">
        <f>SUM($X$3:X19)</f>
        <v>238.381369863014</v>
      </c>
      <c r="AB19">
        <f>Z19*Return!F19*100</f>
        <v>0</v>
      </c>
      <c r="AD19">
        <f>SUM($AB$3:AB19)+SUM($AC$3:AC19)</f>
        <v>0</v>
      </c>
      <c r="AE19" t="e">
        <f t="shared" si="8"/>
        <v>#NAME?</v>
      </c>
      <c r="AF19" t="e">
        <f t="shared" si="9"/>
        <v>#NAME?</v>
      </c>
      <c r="AG19" s="5" t="e">
        <f>(AF19/AF18-1)-中国_中债国债到期收益率_1年!H19%/252</f>
        <v>#NAME?</v>
      </c>
      <c r="AH19" s="5" t="e">
        <f>MIN((AF19-MAX($AF$3:AF19))/MAX($AF$3:AF19),0)</f>
        <v>#NAME?</v>
      </c>
    </row>
    <row r="20" spans="1:34">
      <c r="A20" s="7">
        <v>44740</v>
      </c>
      <c r="B20">
        <v>30</v>
      </c>
      <c r="C20">
        <v>30</v>
      </c>
      <c r="D20">
        <v>30</v>
      </c>
      <c r="F20">
        <f t="shared" si="0"/>
        <v>90</v>
      </c>
      <c r="G20">
        <f t="shared" si="1"/>
        <v>30</v>
      </c>
      <c r="H20">
        <f t="shared" si="2"/>
        <v>150</v>
      </c>
      <c r="I20">
        <f t="shared" si="3"/>
        <v>270</v>
      </c>
      <c r="J20">
        <f t="shared" si="4"/>
        <v>0</v>
      </c>
      <c r="K20">
        <f t="shared" si="5"/>
        <v>450</v>
      </c>
      <c r="L20">
        <f>G20*Return!B20*100</f>
        <v>-95.4000000000001</v>
      </c>
      <c r="M20">
        <f>H20*Return!C20*100</f>
        <v>-546</v>
      </c>
      <c r="N20">
        <f>I20*Return!D20*100</f>
        <v>-947.699999999998</v>
      </c>
      <c r="O20">
        <f>J20*Return!E20*100</f>
        <v>0</v>
      </c>
      <c r="P20">
        <f t="shared" si="6"/>
        <v>-1589.1</v>
      </c>
      <c r="Q20" t="e">
        <f>SUM($P$3:P20)</f>
        <v>#NAME?</v>
      </c>
      <c r="R20">
        <f>B20*中国_中债国债到期收益率_1年!B19/365*100</f>
        <v>16.4145205479452</v>
      </c>
      <c r="S20">
        <f>C20*中国_中债国债到期收益率_1年!C19/365*100</f>
        <v>21.9484931506849</v>
      </c>
      <c r="T20">
        <f>D20*中国_中债国债到期收益率_1年!D19/365*100</f>
        <v>23.2841095890411</v>
      </c>
      <c r="U20">
        <f>E20*中国_中债国债到期收益率_1年!E19/365*100</f>
        <v>0</v>
      </c>
      <c r="V20">
        <f t="shared" si="7"/>
        <v>61.6471232876712</v>
      </c>
      <c r="W20" t="e">
        <f>SUM($V$3:V20)</f>
        <v>#NAME?</v>
      </c>
      <c r="X20">
        <f>MAX(F20-50,0)*中国_中债国债到期收益率_1年!H20*100/365</f>
        <v>27.3972602739726</v>
      </c>
      <c r="Y20">
        <f>SUM($X$3:X20)</f>
        <v>265.778630136986</v>
      </c>
      <c r="AB20">
        <f>Z20*Return!F20*100</f>
        <v>0</v>
      </c>
      <c r="AD20">
        <f>SUM($AB$3:AB20)+SUM($AC$3:AC20)</f>
        <v>0</v>
      </c>
      <c r="AE20" t="e">
        <f t="shared" si="8"/>
        <v>#NAME?</v>
      </c>
      <c r="AF20" t="e">
        <f t="shared" si="9"/>
        <v>#NAME?</v>
      </c>
      <c r="AG20" s="5" t="e">
        <f>(AF20/AF19-1)-中国_中债国债到期收益率_1年!H20%/252</f>
        <v>#NAME?</v>
      </c>
      <c r="AH20" s="5" t="e">
        <f>MIN((AF20-MAX($AF$3:AF20))/MAX($AF$3:AF20),0)</f>
        <v>#NAME?</v>
      </c>
    </row>
    <row r="21" spans="1:34">
      <c r="A21" s="7">
        <v>44741</v>
      </c>
      <c r="B21">
        <v>30</v>
      </c>
      <c r="C21">
        <v>30</v>
      </c>
      <c r="D21">
        <v>30</v>
      </c>
      <c r="F21">
        <f t="shared" si="0"/>
        <v>90</v>
      </c>
      <c r="G21">
        <f t="shared" si="1"/>
        <v>30</v>
      </c>
      <c r="H21">
        <f t="shared" si="2"/>
        <v>150</v>
      </c>
      <c r="I21">
        <f t="shared" si="3"/>
        <v>270</v>
      </c>
      <c r="J21">
        <f t="shared" si="4"/>
        <v>0</v>
      </c>
      <c r="K21">
        <f t="shared" si="5"/>
        <v>450</v>
      </c>
      <c r="L21">
        <f>G21*Return!B21*100</f>
        <v>-1.49999999999983</v>
      </c>
      <c r="M21">
        <f>H21*Return!C21*100</f>
        <v>-181.500000000003</v>
      </c>
      <c r="N21">
        <f>I21*Return!D21*100</f>
        <v>-229.500000000005</v>
      </c>
      <c r="O21">
        <f>J21*Return!E21*100</f>
        <v>0</v>
      </c>
      <c r="P21">
        <f t="shared" si="6"/>
        <v>-412.500000000008</v>
      </c>
      <c r="Q21" t="e">
        <f>SUM($P$3:P21)</f>
        <v>#NAME?</v>
      </c>
      <c r="R21">
        <f>B21*中国_中债国债到期收益率_1年!B20/365*100</f>
        <v>16.4186301369863</v>
      </c>
      <c r="S21">
        <f>C21*中国_中债国债到期收益率_1年!C20/365*100</f>
        <v>22.0479452054795</v>
      </c>
      <c r="T21">
        <f>D21*中国_中债国债到期收益率_1年!D20/365*100</f>
        <v>23.3539726027397</v>
      </c>
      <c r="U21">
        <f>E21*中国_中债国债到期收益率_1年!E20/365*100</f>
        <v>0</v>
      </c>
      <c r="V21">
        <f t="shared" si="7"/>
        <v>61.8205479452055</v>
      </c>
      <c r="W21" t="e">
        <f>SUM($V$3:V21)</f>
        <v>#NAME?</v>
      </c>
      <c r="X21">
        <f>MAX(F21-50,0)*中国_中债国债到期收益率_1年!H21*100/365</f>
        <v>27.3972602739726</v>
      </c>
      <c r="Y21">
        <f>SUM($X$3:X21)</f>
        <v>293.175890410959</v>
      </c>
      <c r="AB21">
        <f>Z21*Return!F21*100</f>
        <v>0</v>
      </c>
      <c r="AD21">
        <f>SUM($AB$3:AB21)+SUM($AC$3:AC21)</f>
        <v>0</v>
      </c>
      <c r="AE21" t="e">
        <f t="shared" si="8"/>
        <v>#NAME?</v>
      </c>
      <c r="AF21" t="e">
        <f t="shared" si="9"/>
        <v>#NAME?</v>
      </c>
      <c r="AG21" s="5" t="e">
        <f>(AF21/AF20-1)-中国_中债国债到期收益率_1年!H21%/252</f>
        <v>#NAME?</v>
      </c>
      <c r="AH21" s="5" t="e">
        <f>MIN((AF21-MAX($AF$3:AF21))/MAX($AF$3:AF21),0)</f>
        <v>#NAME?</v>
      </c>
    </row>
    <row r="22" spans="1:34">
      <c r="A22" s="7">
        <v>44742</v>
      </c>
      <c r="B22">
        <v>30</v>
      </c>
      <c r="C22">
        <v>30</v>
      </c>
      <c r="D22">
        <v>20</v>
      </c>
      <c r="F22">
        <f t="shared" si="0"/>
        <v>80</v>
      </c>
      <c r="G22">
        <f t="shared" si="1"/>
        <v>30</v>
      </c>
      <c r="H22">
        <f t="shared" si="2"/>
        <v>150</v>
      </c>
      <c r="I22">
        <f t="shared" si="3"/>
        <v>180</v>
      </c>
      <c r="J22">
        <f t="shared" si="4"/>
        <v>0</v>
      </c>
      <c r="K22">
        <f t="shared" si="5"/>
        <v>360</v>
      </c>
      <c r="L22">
        <f>G22*Return!B22*100</f>
        <v>63.9000000000003</v>
      </c>
      <c r="M22">
        <f>H22*Return!C22*100</f>
        <v>139.500000000001</v>
      </c>
      <c r="N22">
        <f>I22*Return!D22*100</f>
        <v>216</v>
      </c>
      <c r="O22">
        <f>J22*Return!E22*100</f>
        <v>0</v>
      </c>
      <c r="P22">
        <f t="shared" si="6"/>
        <v>419.400000000002</v>
      </c>
      <c r="Q22" t="e">
        <f>SUM($P$3:P22)</f>
        <v>#NAME?</v>
      </c>
      <c r="R22">
        <f>B22*中国_中债国债到期收益率_1年!B21/365*100</f>
        <v>16.2435616438356</v>
      </c>
      <c r="S22">
        <f>C22*中国_中债国债到期收益率_1年!C21/365*100</f>
        <v>21.9715068493151</v>
      </c>
      <c r="T22">
        <f>D22*中国_中债国债到期收益率_1年!D21/365*100</f>
        <v>15.5035616438356</v>
      </c>
      <c r="U22">
        <f>E22*中国_中债国债到期收益率_1年!E21/365*100</f>
        <v>0</v>
      </c>
      <c r="V22">
        <f t="shared" si="7"/>
        <v>53.7186301369863</v>
      </c>
      <c r="W22" t="e">
        <f>SUM($V$3:V22)</f>
        <v>#NAME?</v>
      </c>
      <c r="X22">
        <f>MAX(F22-50,0)*中国_中债国债到期收益率_1年!H22*100/365</f>
        <v>20.5479452054795</v>
      </c>
      <c r="Y22">
        <f>SUM($X$3:X22)</f>
        <v>313.723835616438</v>
      </c>
      <c r="AB22">
        <f>Z22*Return!F22*100</f>
        <v>0</v>
      </c>
      <c r="AD22">
        <f>SUM($AB$3:AB22)+SUM($AC$3:AC22)</f>
        <v>0</v>
      </c>
      <c r="AE22" t="e">
        <f t="shared" si="8"/>
        <v>#NAME?</v>
      </c>
      <c r="AF22" t="e">
        <f t="shared" si="9"/>
        <v>#NAME?</v>
      </c>
      <c r="AG22" s="5" t="e">
        <f>(AF22/AF21-1)-中国_中债国债到期收益率_1年!H22%/252</f>
        <v>#NAME?</v>
      </c>
      <c r="AH22" s="5" t="e">
        <f>MIN((AF22-MAX($AF$3:AF22))/MAX($AF$3:AF22),0)</f>
        <v>#NAME?</v>
      </c>
    </row>
    <row r="23" spans="1:34">
      <c r="A23" s="7">
        <v>44743</v>
      </c>
      <c r="B23">
        <v>30</v>
      </c>
      <c r="C23">
        <v>30</v>
      </c>
      <c r="D23">
        <v>20</v>
      </c>
      <c r="F23">
        <f t="shared" si="0"/>
        <v>80</v>
      </c>
      <c r="G23">
        <f t="shared" si="1"/>
        <v>30</v>
      </c>
      <c r="H23">
        <f t="shared" si="2"/>
        <v>150</v>
      </c>
      <c r="I23">
        <f t="shared" si="3"/>
        <v>180</v>
      </c>
      <c r="J23">
        <f t="shared" si="4"/>
        <v>0</v>
      </c>
      <c r="K23">
        <f t="shared" si="5"/>
        <v>360</v>
      </c>
      <c r="L23">
        <f>G23*Return!B23*100</f>
        <v>77.7000000000001</v>
      </c>
      <c r="M23">
        <f>H23*Return!C23*100</f>
        <v>304.500000000003</v>
      </c>
      <c r="N23">
        <f>I23*Return!D23*100</f>
        <v>160.200000000002</v>
      </c>
      <c r="O23">
        <f>J23*Return!E23*100</f>
        <v>0</v>
      </c>
      <c r="P23">
        <f t="shared" si="6"/>
        <v>542.400000000006</v>
      </c>
      <c r="Q23" t="e">
        <f>SUM($P$3:P23)</f>
        <v>#NAME?</v>
      </c>
      <c r="R23">
        <f>B23*中国_中债国债到期收益率_1年!B22/365*100</f>
        <v>16.0306849315069</v>
      </c>
      <c r="S23">
        <f>C23*中国_中债国债到期收益率_1年!C22/365*100</f>
        <v>21.8046575342466</v>
      </c>
      <c r="T23">
        <f>D23*中国_中债国债到期收益率_1年!D22/365*100</f>
        <v>15.4547945205479</v>
      </c>
      <c r="U23">
        <f>E23*中国_中债国债到期收益率_1年!E22/365*100</f>
        <v>0</v>
      </c>
      <c r="V23">
        <f t="shared" si="7"/>
        <v>53.2901369863014</v>
      </c>
      <c r="W23" t="e">
        <f>SUM($V$3:V23)</f>
        <v>#NAME?</v>
      </c>
      <c r="X23">
        <f>MAX(F23-50,0)*中国_中债国债到期收益率_1年!H23*100/365</f>
        <v>14.3835616438356</v>
      </c>
      <c r="Y23">
        <f>SUM($X$3:X23)</f>
        <v>328.107397260274</v>
      </c>
      <c r="AB23">
        <f>Z23*Return!F23*100</f>
        <v>0</v>
      </c>
      <c r="AD23">
        <f>SUM($AB$3:AB23)+SUM($AC$3:AC23)</f>
        <v>0</v>
      </c>
      <c r="AE23" t="e">
        <f t="shared" si="8"/>
        <v>#NAME?</v>
      </c>
      <c r="AF23" t="e">
        <f t="shared" si="9"/>
        <v>#NAME?</v>
      </c>
      <c r="AG23" s="5" t="e">
        <f>(AF23/AF22-1)-中国_中债国债到期收益率_1年!H23%/252</f>
        <v>#NAME?</v>
      </c>
      <c r="AH23" s="5" t="e">
        <f>MIN((AF23-MAX($AF$3:AF23))/MAX($AF$3:AF23),0)</f>
        <v>#NAME?</v>
      </c>
    </row>
    <row r="24" spans="1:34">
      <c r="A24" s="7">
        <v>44746</v>
      </c>
      <c r="B24">
        <v>30</v>
      </c>
      <c r="C24">
        <v>30</v>
      </c>
      <c r="D24">
        <v>20</v>
      </c>
      <c r="E24">
        <v>5</v>
      </c>
      <c r="F24">
        <f t="shared" si="0"/>
        <v>85</v>
      </c>
      <c r="G24">
        <f t="shared" si="1"/>
        <v>30</v>
      </c>
      <c r="H24">
        <f t="shared" si="2"/>
        <v>150</v>
      </c>
      <c r="I24">
        <f t="shared" si="3"/>
        <v>180</v>
      </c>
      <c r="J24">
        <f t="shared" si="4"/>
        <v>80</v>
      </c>
      <c r="K24">
        <f t="shared" si="5"/>
        <v>440</v>
      </c>
      <c r="L24">
        <f>G24*Return!B24*100</f>
        <v>54</v>
      </c>
      <c r="M24">
        <f>H24*Return!C24*100</f>
        <v>65.9999999999994</v>
      </c>
      <c r="N24">
        <f>I24*Return!D24*100</f>
        <v>-89.9999999999981</v>
      </c>
      <c r="O24">
        <f>J24*Return!E24*100</f>
        <v>-20.8000000000013</v>
      </c>
      <c r="P24">
        <f t="shared" si="6"/>
        <v>9.20000000000009</v>
      </c>
      <c r="Q24" t="e">
        <f>SUM($P$3:P24)</f>
        <v>#NAME?</v>
      </c>
      <c r="R24">
        <f>B24*中国_中债国债到期收益率_1年!B23/365*100</f>
        <v>15.8827397260274</v>
      </c>
      <c r="S24">
        <f>C24*中国_中债国债到期收益率_1年!C23/365*100</f>
        <v>21.7684931506849</v>
      </c>
      <c r="T24">
        <f>D24*中国_中债国债到期收益率_1年!D23/365*100</f>
        <v>15.4821917808219</v>
      </c>
      <c r="U24">
        <f>E24*中国_中债国债到期收益率_1年!E23/365*100</f>
        <v>4.51041095890411</v>
      </c>
      <c r="V24">
        <f t="shared" si="7"/>
        <v>57.6438356164384</v>
      </c>
      <c r="W24" t="e">
        <f>SUM($V$3:V24)</f>
        <v>#NAME?</v>
      </c>
      <c r="X24">
        <f>MAX(F24-50,0)*中国_中债国债到期收益率_1年!H24*100/365</f>
        <v>15.3424657534247</v>
      </c>
      <c r="Y24">
        <f>SUM($X$3:X24)</f>
        <v>343.449863013699</v>
      </c>
      <c r="AB24">
        <f>Z24*Return!F24*100</f>
        <v>0</v>
      </c>
      <c r="AD24">
        <f>SUM($AB$3:AB24)+SUM($AC$3:AC24)</f>
        <v>0</v>
      </c>
      <c r="AE24" t="e">
        <f t="shared" si="8"/>
        <v>#NAME?</v>
      </c>
      <c r="AF24" t="e">
        <f t="shared" si="9"/>
        <v>#NAME?</v>
      </c>
      <c r="AG24" s="5" t="e">
        <f>(AF24/AF23-1)-中国_中债国债到期收益率_1年!H24%/252</f>
        <v>#NAME?</v>
      </c>
      <c r="AH24" s="5" t="e">
        <f>MIN((AF24-MAX($AF$3:AF24))/MAX($AF$3:AF24),0)</f>
        <v>#NAME?</v>
      </c>
    </row>
    <row r="25" spans="1:34">
      <c r="A25" s="7">
        <v>44747</v>
      </c>
      <c r="B25">
        <v>30</v>
      </c>
      <c r="C25">
        <v>30</v>
      </c>
      <c r="D25">
        <v>20</v>
      </c>
      <c r="E25">
        <v>5</v>
      </c>
      <c r="F25">
        <f t="shared" si="0"/>
        <v>85</v>
      </c>
      <c r="G25">
        <f t="shared" si="1"/>
        <v>30</v>
      </c>
      <c r="H25">
        <f t="shared" si="2"/>
        <v>150</v>
      </c>
      <c r="I25">
        <f t="shared" si="3"/>
        <v>180</v>
      </c>
      <c r="J25">
        <f t="shared" si="4"/>
        <v>80</v>
      </c>
      <c r="K25">
        <f t="shared" si="5"/>
        <v>440</v>
      </c>
      <c r="L25">
        <f>G25*Return!B25*100</f>
        <v>-152.100000000001</v>
      </c>
      <c r="M25">
        <f>H25*Return!C25*100</f>
        <v>-720.000000000001</v>
      </c>
      <c r="N25">
        <f>I25*Return!D25*100</f>
        <v>-342.000000000002</v>
      </c>
      <c r="O25">
        <f>J25*Return!E25*100</f>
        <v>-139.999999999997</v>
      </c>
      <c r="P25">
        <f t="shared" si="6"/>
        <v>-1354.1</v>
      </c>
      <c r="Q25" t="e">
        <f>SUM($P$3:P25)</f>
        <v>#NAME?</v>
      </c>
      <c r="R25">
        <f>B25*中国_中债国债到期收益率_1年!B24/365*100</f>
        <v>16.2994520547945</v>
      </c>
      <c r="S25">
        <f>C25*中国_中债国债到期收益率_1年!C24/365*100</f>
        <v>22.1630136986301</v>
      </c>
      <c r="T25">
        <f>D25*中国_中债国债到期收益率_1年!D24/365*100</f>
        <v>15.586301369863</v>
      </c>
      <c r="U25">
        <f>E25*中国_中债国债到期收益率_1年!E24/365*100</f>
        <v>4.53438356164384</v>
      </c>
      <c r="V25">
        <f t="shared" si="7"/>
        <v>58.5831506849315</v>
      </c>
      <c r="W25" t="e">
        <f>SUM($V$3:V25)</f>
        <v>#NAME?</v>
      </c>
      <c r="X25">
        <f>MAX(F25-50,0)*中国_中债国债到期收益率_1年!H25*100/365</f>
        <v>16.3013698630137</v>
      </c>
      <c r="Y25">
        <f>SUM($X$3:X25)</f>
        <v>359.751232876712</v>
      </c>
      <c r="AB25">
        <f>Z25*Return!F25*100</f>
        <v>0</v>
      </c>
      <c r="AD25">
        <f>SUM($AB$3:AB25)+SUM($AC$3:AC25)</f>
        <v>0</v>
      </c>
      <c r="AE25" t="e">
        <f t="shared" si="8"/>
        <v>#NAME?</v>
      </c>
      <c r="AF25" t="e">
        <f t="shared" si="9"/>
        <v>#NAME?</v>
      </c>
      <c r="AG25" s="5" t="e">
        <f>(AF25/AF24-1)-中国_中债国债到期收益率_1年!H25%/252</f>
        <v>#NAME?</v>
      </c>
      <c r="AH25" s="5" t="e">
        <f>MIN((AF25-MAX($AF$3:AF25))/MAX($AF$3:AF25),0)</f>
        <v>#NAME?</v>
      </c>
    </row>
    <row r="26" spans="1:34">
      <c r="A26" s="7">
        <v>44748</v>
      </c>
      <c r="B26">
        <v>30</v>
      </c>
      <c r="C26">
        <v>30</v>
      </c>
      <c r="D26">
        <v>20</v>
      </c>
      <c r="E26">
        <v>5</v>
      </c>
      <c r="F26">
        <f t="shared" si="0"/>
        <v>85</v>
      </c>
      <c r="G26">
        <f t="shared" si="1"/>
        <v>30</v>
      </c>
      <c r="H26">
        <f t="shared" si="2"/>
        <v>150</v>
      </c>
      <c r="I26">
        <f t="shared" si="3"/>
        <v>180</v>
      </c>
      <c r="J26">
        <f t="shared" si="4"/>
        <v>80</v>
      </c>
      <c r="K26">
        <f t="shared" si="5"/>
        <v>440</v>
      </c>
      <c r="L26">
        <f>G26*Return!B26*100</f>
        <v>-80.6999999999991</v>
      </c>
      <c r="M26">
        <f>H26*Return!C26*100</f>
        <v>52.4999999999975</v>
      </c>
      <c r="N26">
        <f>I26*Return!D26*100</f>
        <v>201.600000000002</v>
      </c>
      <c r="O26">
        <f>J26*Return!E26*100</f>
        <v>-41.6000000000025</v>
      </c>
      <c r="P26">
        <f t="shared" si="6"/>
        <v>131.799999999998</v>
      </c>
      <c r="Q26" t="e">
        <f>SUM($P$3:P26)</f>
        <v>#NAME?</v>
      </c>
      <c r="R26">
        <f>B26*中国_中债国债到期收益率_1年!B25/365*100</f>
        <v>16.5205479452055</v>
      </c>
      <c r="S26">
        <f>C26*中国_中债国债到期收益率_1年!C25/365*100</f>
        <v>22.1342465753425</v>
      </c>
      <c r="T26">
        <f>D26*中国_中债国债到期收益率_1年!D25/365*100</f>
        <v>15.5249315068493</v>
      </c>
      <c r="U26">
        <f>E26*中国_中债国债到期收益率_1年!E25/365*100</f>
        <v>4.54150684931507</v>
      </c>
      <c r="V26">
        <f t="shared" si="7"/>
        <v>58.7212328767123</v>
      </c>
      <c r="W26" t="e">
        <f>SUM($V$3:V26)</f>
        <v>#NAME?</v>
      </c>
      <c r="X26">
        <f>MAX(F26-50,0)*中国_中债国债到期收益率_1年!H26*100/365</f>
        <v>16.3013698630137</v>
      </c>
      <c r="Y26">
        <f>SUM($X$3:X26)</f>
        <v>376.052602739726</v>
      </c>
      <c r="AB26">
        <f>Z26*Return!F26*100</f>
        <v>0</v>
      </c>
      <c r="AD26">
        <f>SUM($AB$3:AB26)+SUM($AC$3:AC26)</f>
        <v>0</v>
      </c>
      <c r="AE26" t="e">
        <f t="shared" si="8"/>
        <v>#NAME?</v>
      </c>
      <c r="AF26" t="e">
        <f t="shared" si="9"/>
        <v>#NAME?</v>
      </c>
      <c r="AG26" s="5" t="e">
        <f>(AF26/AF25-1)-中国_中债国债到期收益率_1年!H26%/252</f>
        <v>#NAME?</v>
      </c>
      <c r="AH26" s="5" t="e">
        <f>MIN((AF26-MAX($AF$3:AF26))/MAX($AF$3:AF26),0)</f>
        <v>#NAME?</v>
      </c>
    </row>
    <row r="27" spans="1:34">
      <c r="A27" s="7">
        <v>44749</v>
      </c>
      <c r="B27">
        <v>30</v>
      </c>
      <c r="C27">
        <v>30</v>
      </c>
      <c r="D27">
        <v>20</v>
      </c>
      <c r="E27">
        <v>5</v>
      </c>
      <c r="F27">
        <f t="shared" si="0"/>
        <v>85</v>
      </c>
      <c r="G27">
        <f t="shared" si="1"/>
        <v>30</v>
      </c>
      <c r="H27">
        <f t="shared" si="2"/>
        <v>150</v>
      </c>
      <c r="I27">
        <f t="shared" si="3"/>
        <v>180</v>
      </c>
      <c r="J27">
        <f t="shared" si="4"/>
        <v>80</v>
      </c>
      <c r="K27">
        <f t="shared" si="5"/>
        <v>440</v>
      </c>
      <c r="L27">
        <f>G27*Return!B27*100</f>
        <v>56.6999999999991</v>
      </c>
      <c r="M27">
        <f>H27*Return!C27*100</f>
        <v>42.000000000002</v>
      </c>
      <c r="N27">
        <f>I27*Return!D27*100</f>
        <v>-41.3999999999994</v>
      </c>
      <c r="O27">
        <f>J27*Return!E27*100</f>
        <v>0</v>
      </c>
      <c r="P27">
        <f t="shared" si="6"/>
        <v>57.3000000000017</v>
      </c>
      <c r="Q27" t="e">
        <f>SUM($P$3:P27)</f>
        <v>#NAME?</v>
      </c>
      <c r="R27">
        <f>B27*中国_中债国债到期收益率_1年!B26/365*100</f>
        <v>16.3652054794521</v>
      </c>
      <c r="S27">
        <f>C27*中国_中债国债到期收益率_1年!C26/365*100</f>
        <v>22.1112328767123</v>
      </c>
      <c r="T27">
        <f>D27*中国_中债国债到期收益率_1年!D26/365*100</f>
        <v>15.5375342465753</v>
      </c>
      <c r="U27">
        <f>E27*中国_中债国债到期收益率_1年!E26/365*100</f>
        <v>4.54150684931507</v>
      </c>
      <c r="V27">
        <f t="shared" si="7"/>
        <v>58.5554794520548</v>
      </c>
      <c r="W27" t="e">
        <f>SUM($V$3:V27)</f>
        <v>#NAME?</v>
      </c>
      <c r="X27">
        <f>MAX(F27-50,0)*中国_中债国债到期收益率_1年!H27*100/365</f>
        <v>15.8219178082192</v>
      </c>
      <c r="Y27">
        <f>SUM($X$3:X27)</f>
        <v>391.874520547945</v>
      </c>
      <c r="AB27">
        <f>Z27*Return!F27*100</f>
        <v>0</v>
      </c>
      <c r="AD27">
        <f>SUM($AB$3:AB27)+SUM($AC$3:AC27)</f>
        <v>0</v>
      </c>
      <c r="AE27" t="e">
        <f t="shared" si="8"/>
        <v>#NAME?</v>
      </c>
      <c r="AF27" t="e">
        <f t="shared" si="9"/>
        <v>#NAME?</v>
      </c>
      <c r="AG27" s="5" t="e">
        <f>(AF27/AF26-1)-中国_中债国债到期收益率_1年!H27%/252</f>
        <v>#NAME?</v>
      </c>
      <c r="AH27" s="5" t="e">
        <f>MIN((AF27-MAX($AF$3:AF27))/MAX($AF$3:AF27),0)</f>
        <v>#NAME?</v>
      </c>
    </row>
    <row r="28" spans="1:34">
      <c r="A28" s="7">
        <v>44750</v>
      </c>
      <c r="B28">
        <v>30</v>
      </c>
      <c r="C28">
        <v>30</v>
      </c>
      <c r="D28">
        <v>20</v>
      </c>
      <c r="E28">
        <v>5</v>
      </c>
      <c r="F28">
        <f t="shared" si="0"/>
        <v>85</v>
      </c>
      <c r="G28">
        <f t="shared" si="1"/>
        <v>30</v>
      </c>
      <c r="H28">
        <f t="shared" si="2"/>
        <v>150</v>
      </c>
      <c r="I28">
        <f t="shared" si="3"/>
        <v>180</v>
      </c>
      <c r="J28">
        <f t="shared" si="4"/>
        <v>80</v>
      </c>
      <c r="K28">
        <f t="shared" si="5"/>
        <v>440</v>
      </c>
      <c r="L28">
        <f>G28*Return!B28*100</f>
        <v>26.1000000000005</v>
      </c>
      <c r="M28">
        <f>H28*Return!C28*100</f>
        <v>67.4999999999959</v>
      </c>
      <c r="N28">
        <f>I28*Return!D28*100</f>
        <v>0</v>
      </c>
      <c r="O28">
        <f>J28*Return!E28*100</f>
        <v>-0.799999999998136</v>
      </c>
      <c r="P28">
        <f t="shared" si="6"/>
        <v>92.7999999999982</v>
      </c>
      <c r="Q28" t="e">
        <f>SUM($P$3:P28)</f>
        <v>#NAME?</v>
      </c>
      <c r="R28">
        <f>B28*中国_中债国债到期收益率_1年!B27/365*100</f>
        <v>16.293698630137</v>
      </c>
      <c r="S28">
        <f>C28*中国_中债国债到期收益率_1年!C27/365*100</f>
        <v>22.0742465753425</v>
      </c>
      <c r="T28">
        <f>D28*中国_中债国债到期收益率_1年!D27/365*100</f>
        <v>15.5375342465753</v>
      </c>
      <c r="U28">
        <f>E28*中国_中债国债到期收益率_1年!E27/365*100</f>
        <v>4.54164383561644</v>
      </c>
      <c r="V28">
        <f t="shared" si="7"/>
        <v>58.4471232876712</v>
      </c>
      <c r="W28" t="e">
        <f>SUM($V$3:V28)</f>
        <v>#NAME?</v>
      </c>
      <c r="X28">
        <f>MAX(F28-50,0)*中国_中债国债到期收益率_1年!H28*100/365</f>
        <v>15.3424657534247</v>
      </c>
      <c r="Y28">
        <f>SUM($X$3:X28)</f>
        <v>407.21698630137</v>
      </c>
      <c r="AB28">
        <f>Z28*Return!F28*100</f>
        <v>0</v>
      </c>
      <c r="AD28">
        <f>SUM($AB$3:AB28)+SUM($AC$3:AC28)</f>
        <v>0</v>
      </c>
      <c r="AE28" t="e">
        <f t="shared" si="8"/>
        <v>#NAME?</v>
      </c>
      <c r="AF28" t="e">
        <f t="shared" si="9"/>
        <v>#NAME?</v>
      </c>
      <c r="AG28" s="5" t="e">
        <f>(AF28/AF27-1)-中国_中债国债到期收益率_1年!H28%/252</f>
        <v>#NAME?</v>
      </c>
      <c r="AH28" s="5" t="e">
        <f>MIN((AF28-MAX($AF$3:AF28))/MAX($AF$3:AF28),0)</f>
        <v>#NAME?</v>
      </c>
    </row>
    <row r="29" spans="1:34">
      <c r="A29" s="7">
        <v>44753</v>
      </c>
      <c r="B29">
        <v>30</v>
      </c>
      <c r="C29">
        <v>30</v>
      </c>
      <c r="D29">
        <v>20</v>
      </c>
      <c r="E29">
        <v>5</v>
      </c>
      <c r="F29">
        <f t="shared" si="0"/>
        <v>85</v>
      </c>
      <c r="G29">
        <f t="shared" si="1"/>
        <v>30</v>
      </c>
      <c r="H29">
        <f t="shared" si="2"/>
        <v>150</v>
      </c>
      <c r="I29">
        <f t="shared" si="3"/>
        <v>180</v>
      </c>
      <c r="J29">
        <f t="shared" si="4"/>
        <v>80</v>
      </c>
      <c r="K29">
        <f t="shared" si="5"/>
        <v>440</v>
      </c>
      <c r="L29">
        <f>G29*Return!B29*100</f>
        <v>72.0000000000001</v>
      </c>
      <c r="M29">
        <f>H29*Return!C29*100</f>
        <v>108.000000000001</v>
      </c>
      <c r="N29">
        <f>I29*Return!D29*100</f>
        <v>-50.4000000000024</v>
      </c>
      <c r="O29">
        <f>J29*Return!E29*100</f>
        <v>-202.400000000001</v>
      </c>
      <c r="P29">
        <f t="shared" si="6"/>
        <v>-72.8000000000018</v>
      </c>
      <c r="Q29" t="e">
        <f>SUM($P$3:P29)</f>
        <v>#NAME?</v>
      </c>
      <c r="R29">
        <f>B29*中国_中债国债到期收益率_1年!B28/365*100</f>
        <v>16.0964383561644</v>
      </c>
      <c r="S29">
        <f>C29*中国_中债国债到期收益率_1年!C28/365*100</f>
        <v>22.0150684931507</v>
      </c>
      <c r="T29">
        <f>D29*中国_中债国债到期收益率_1年!D28/365*100</f>
        <v>15.5528767123288</v>
      </c>
      <c r="U29">
        <f>E29*中国_中债国债到期收益率_1年!E28/365*100</f>
        <v>4.57630136986301</v>
      </c>
      <c r="V29">
        <f t="shared" si="7"/>
        <v>58.2406849315068</v>
      </c>
      <c r="W29" t="e">
        <f>SUM($V$3:V29)</f>
        <v>#NAME?</v>
      </c>
      <c r="X29">
        <f>MAX(F29-50,0)*中国_中债国债到期收益率_1年!H29*100/365</f>
        <v>15.3424657534247</v>
      </c>
      <c r="Y29">
        <f>SUM($X$3:X29)</f>
        <v>422.559452054795</v>
      </c>
      <c r="AB29">
        <f>Z29*Return!F29*100</f>
        <v>0</v>
      </c>
      <c r="AD29">
        <f>SUM($AB$3:AB29)+SUM($AC$3:AC29)</f>
        <v>0</v>
      </c>
      <c r="AE29" t="e">
        <f t="shared" si="8"/>
        <v>#NAME?</v>
      </c>
      <c r="AF29" t="e">
        <f t="shared" si="9"/>
        <v>#NAME?</v>
      </c>
      <c r="AG29" s="5" t="e">
        <f>(AF29/AF28-1)-中国_中债国债到期收益率_1年!H29%/252</f>
        <v>#NAME?</v>
      </c>
      <c r="AH29" s="5" t="e">
        <f>MIN((AF29-MAX($AF$3:AF29))/MAX($AF$3:AF29),0)</f>
        <v>#NAME?</v>
      </c>
    </row>
    <row r="30" spans="1:34">
      <c r="A30" s="7">
        <v>44754</v>
      </c>
      <c r="B30">
        <v>30</v>
      </c>
      <c r="C30">
        <v>30</v>
      </c>
      <c r="D30">
        <v>20</v>
      </c>
      <c r="E30">
        <v>5</v>
      </c>
      <c r="F30">
        <f t="shared" si="0"/>
        <v>85</v>
      </c>
      <c r="G30">
        <f t="shared" si="1"/>
        <v>30</v>
      </c>
      <c r="H30">
        <f t="shared" si="2"/>
        <v>150</v>
      </c>
      <c r="I30">
        <f t="shared" si="3"/>
        <v>180</v>
      </c>
      <c r="J30">
        <f t="shared" si="4"/>
        <v>80</v>
      </c>
      <c r="K30">
        <f t="shared" si="5"/>
        <v>440</v>
      </c>
      <c r="L30">
        <f>G30*Return!B30*100</f>
        <v>50.0999999999998</v>
      </c>
      <c r="M30">
        <f>H30*Return!C30*100</f>
        <v>374.999999999999</v>
      </c>
      <c r="N30">
        <f>I30*Return!D30*100</f>
        <v>212.400000000001</v>
      </c>
      <c r="O30">
        <f>J30*Return!E30*100</f>
        <v>66.4000000000016</v>
      </c>
      <c r="P30">
        <f t="shared" si="6"/>
        <v>703.900000000001</v>
      </c>
      <c r="Q30" t="e">
        <f>SUM($P$3:P30)</f>
        <v>#NAME?</v>
      </c>
      <c r="R30">
        <f>B30*中国_中债国债到期收益率_1年!B29/365*100</f>
        <v>15.9591780821918</v>
      </c>
      <c r="S30">
        <f>C30*中国_中债国债到期收益率_1年!C29/365*100</f>
        <v>21.8095890410959</v>
      </c>
      <c r="T30">
        <f>D30*中国_中债国债到期收益率_1年!D29/365*100</f>
        <v>15.4882191780822</v>
      </c>
      <c r="U30">
        <f>E30*中国_中债国债到期收益率_1年!E29/365*100</f>
        <v>4.56493150684932</v>
      </c>
      <c r="V30">
        <f t="shared" si="7"/>
        <v>57.8219178082192</v>
      </c>
      <c r="W30" t="e">
        <f>SUM($V$3:V30)</f>
        <v>#NAME?</v>
      </c>
      <c r="X30">
        <f>MAX(F30-50,0)*中国_中债国债到期收益率_1年!H30*100/365</f>
        <v>15.3424657534247</v>
      </c>
      <c r="Y30">
        <f>SUM($X$3:X30)</f>
        <v>437.901917808219</v>
      </c>
      <c r="AB30">
        <f>Z30*Return!F30*100</f>
        <v>0</v>
      </c>
      <c r="AD30">
        <f>SUM($AB$3:AB30)+SUM($AC$3:AC30)</f>
        <v>0</v>
      </c>
      <c r="AE30" t="e">
        <f t="shared" si="8"/>
        <v>#NAME?</v>
      </c>
      <c r="AF30" t="e">
        <f t="shared" si="9"/>
        <v>#NAME?</v>
      </c>
      <c r="AG30" s="5" t="e">
        <f>(AF30/AF29-1)-中国_中债国债到期收益率_1年!H30%/252</f>
        <v>#NAME?</v>
      </c>
      <c r="AH30" s="5" t="e">
        <f>MIN((AF30-MAX($AF$3:AF30))/MAX($AF$3:AF30),0)</f>
        <v>#NAME?</v>
      </c>
    </row>
    <row r="31" spans="1:34">
      <c r="A31" s="7">
        <v>44755</v>
      </c>
      <c r="B31">
        <v>30</v>
      </c>
      <c r="C31">
        <v>30</v>
      </c>
      <c r="D31">
        <v>20</v>
      </c>
      <c r="E31">
        <v>5</v>
      </c>
      <c r="F31">
        <f t="shared" si="0"/>
        <v>85</v>
      </c>
      <c r="G31">
        <f t="shared" si="1"/>
        <v>30</v>
      </c>
      <c r="H31">
        <f t="shared" si="2"/>
        <v>150</v>
      </c>
      <c r="I31">
        <f t="shared" si="3"/>
        <v>180</v>
      </c>
      <c r="J31">
        <f t="shared" si="4"/>
        <v>80</v>
      </c>
      <c r="K31">
        <f t="shared" si="5"/>
        <v>440</v>
      </c>
      <c r="L31">
        <f>G31*Return!B31*100</f>
        <v>21.5999999999996</v>
      </c>
      <c r="M31">
        <f>H31*Return!C31*100</f>
        <v>489.000000000006</v>
      </c>
      <c r="N31">
        <f>I31*Return!D31*100</f>
        <v>268.199999999998</v>
      </c>
      <c r="O31">
        <f>J31*Return!E31*100</f>
        <v>111.999999999998</v>
      </c>
      <c r="P31">
        <f t="shared" si="6"/>
        <v>890.800000000002</v>
      </c>
      <c r="Q31" t="e">
        <f>SUM($P$3:P31)</f>
        <v>#NAME?</v>
      </c>
      <c r="R31">
        <f>B31*中国_中债国债到期收益率_1年!B30/365*100</f>
        <v>15.9</v>
      </c>
      <c r="S31">
        <f>C31*中国_中债国债到期收益率_1年!C30/365*100</f>
        <v>21.5416438356164</v>
      </c>
      <c r="T31">
        <f>D31*中国_中债国债到期收益率_1年!D30/365*100</f>
        <v>15.4065753424658</v>
      </c>
      <c r="U31">
        <f>E31*中国_中债国债到期收益率_1年!E30/365*100</f>
        <v>4.54575342465753</v>
      </c>
      <c r="V31">
        <f t="shared" si="7"/>
        <v>57.3939726027397</v>
      </c>
      <c r="W31" t="e">
        <f>SUM($V$3:V31)</f>
        <v>#NAME?</v>
      </c>
      <c r="X31">
        <f>MAX(F31-50,0)*中国_中债国债到期收益率_1年!H31*100/365</f>
        <v>15.2465753424658</v>
      </c>
      <c r="Y31">
        <f>SUM($X$3:X31)</f>
        <v>453.148493150685</v>
      </c>
      <c r="AB31">
        <f>Z31*Return!F31*100</f>
        <v>0</v>
      </c>
      <c r="AD31">
        <f>SUM($AB$3:AB31)+SUM($AC$3:AC31)</f>
        <v>0</v>
      </c>
      <c r="AE31" t="e">
        <f t="shared" si="8"/>
        <v>#NAME?</v>
      </c>
      <c r="AF31" t="e">
        <f t="shared" si="9"/>
        <v>#NAME?</v>
      </c>
      <c r="AG31" s="5" t="e">
        <f>(AF31/AF30-1)-中国_中债国债到期收益率_1年!H31%/252</f>
        <v>#NAME?</v>
      </c>
      <c r="AH31" s="5" t="e">
        <f>MIN((AF31-MAX($AF$3:AF31))/MAX($AF$3:AF31),0)</f>
        <v>#NAME?</v>
      </c>
    </row>
    <row r="32" spans="1:34">
      <c r="A32" s="7">
        <v>44756</v>
      </c>
      <c r="B32">
        <v>30</v>
      </c>
      <c r="C32">
        <v>30</v>
      </c>
      <c r="D32">
        <v>20</v>
      </c>
      <c r="E32">
        <v>5</v>
      </c>
      <c r="F32">
        <f t="shared" si="0"/>
        <v>85</v>
      </c>
      <c r="G32">
        <f t="shared" si="1"/>
        <v>30</v>
      </c>
      <c r="H32">
        <f t="shared" si="2"/>
        <v>150</v>
      </c>
      <c r="I32">
        <f t="shared" si="3"/>
        <v>180</v>
      </c>
      <c r="J32">
        <f t="shared" si="4"/>
        <v>80</v>
      </c>
      <c r="K32">
        <f t="shared" si="5"/>
        <v>440</v>
      </c>
      <c r="L32">
        <f>G32*Return!B32*100</f>
        <v>-9.29999999999964</v>
      </c>
      <c r="M32">
        <f>H32*Return!C32*100</f>
        <v>112.499999999998</v>
      </c>
      <c r="N32">
        <f>I32*Return!D32*100</f>
        <v>89.9999999999981</v>
      </c>
      <c r="O32">
        <f>J32*Return!E32*100</f>
        <v>19.2000000000014</v>
      </c>
      <c r="P32">
        <f t="shared" si="6"/>
        <v>212.399999999997</v>
      </c>
      <c r="Q32" t="e">
        <f>SUM($P$3:P32)</f>
        <v>#NAME?</v>
      </c>
      <c r="R32">
        <f>B32*中国_中债国债到期收益率_1年!B31/365*100</f>
        <v>15.9254794520548</v>
      </c>
      <c r="S32">
        <f>C32*中国_中债国债到期收益率_1年!C31/365*100</f>
        <v>21.48</v>
      </c>
      <c r="T32">
        <f>D32*中国_中债国债到期收益率_1年!D31/365*100</f>
        <v>15.3791780821918</v>
      </c>
      <c r="U32">
        <f>E32*中国_中债国债到期收益率_1年!E31/365*100</f>
        <v>4.54246575342466</v>
      </c>
      <c r="V32">
        <f t="shared" si="7"/>
        <v>57.3271232876712</v>
      </c>
      <c r="W32" t="e">
        <f>SUM($V$3:V32)</f>
        <v>#NAME?</v>
      </c>
      <c r="X32">
        <f>MAX(F32-50,0)*中国_中债国债到期收益率_1年!H32*100/365</f>
        <v>15.3424657534247</v>
      </c>
      <c r="Y32">
        <f>SUM($X$3:X32)</f>
        <v>468.49095890411</v>
      </c>
      <c r="AB32">
        <f>Z32*Return!F32*100</f>
        <v>0</v>
      </c>
      <c r="AD32">
        <f>SUM($AB$3:AB32)+SUM($AC$3:AC32)</f>
        <v>0</v>
      </c>
      <c r="AE32" t="e">
        <f t="shared" si="8"/>
        <v>#NAME?</v>
      </c>
      <c r="AF32" t="e">
        <f t="shared" si="9"/>
        <v>#NAME?</v>
      </c>
      <c r="AG32" s="5" t="e">
        <f>(AF32/AF31-1)-中国_中债国债到期收益率_1年!H32%/252</f>
        <v>#NAME?</v>
      </c>
      <c r="AH32" s="5" t="e">
        <f>MIN((AF32-MAX($AF$3:AF32))/MAX($AF$3:AF32),0)</f>
        <v>#NAME?</v>
      </c>
    </row>
    <row r="33" spans="1:34">
      <c r="A33" s="7">
        <v>44757</v>
      </c>
      <c r="B33">
        <v>30</v>
      </c>
      <c r="C33">
        <v>30</v>
      </c>
      <c r="D33">
        <v>20</v>
      </c>
      <c r="E33">
        <v>5</v>
      </c>
      <c r="F33">
        <f t="shared" si="0"/>
        <v>85</v>
      </c>
      <c r="G33">
        <f t="shared" si="1"/>
        <v>30</v>
      </c>
      <c r="H33">
        <f t="shared" si="2"/>
        <v>150</v>
      </c>
      <c r="I33">
        <f t="shared" si="3"/>
        <v>180</v>
      </c>
      <c r="J33">
        <f t="shared" si="4"/>
        <v>80</v>
      </c>
      <c r="K33">
        <f t="shared" si="5"/>
        <v>440</v>
      </c>
      <c r="L33">
        <f>G33*Return!B33*100</f>
        <v>68.6999999999998</v>
      </c>
      <c r="M33">
        <f>H33*Return!C33*100</f>
        <v>395.999999999996</v>
      </c>
      <c r="N33">
        <f>I33*Return!D33*100</f>
        <v>288</v>
      </c>
      <c r="O33">
        <f>J33*Return!E33*100</f>
        <v>160</v>
      </c>
      <c r="P33">
        <f t="shared" si="6"/>
        <v>912.699999999997</v>
      </c>
      <c r="Q33" t="e">
        <f>SUM($P$3:P33)</f>
        <v>#NAME?</v>
      </c>
      <c r="R33">
        <f>B33*中国_中债国债到期收益率_1年!B32/365*100</f>
        <v>15.7372602739726</v>
      </c>
      <c r="S33">
        <f>C33*中国_中债国债到期收益率_1年!C32/365*100</f>
        <v>21.2630136986301</v>
      </c>
      <c r="T33">
        <f>D33*中国_中债国债到期收益率_1年!D32/365*100</f>
        <v>15.2915068493151</v>
      </c>
      <c r="U33">
        <f>E33*中国_中债国债到期收益率_1年!E32/365*100</f>
        <v>4.51506849315069</v>
      </c>
      <c r="V33">
        <f t="shared" si="7"/>
        <v>56.8068493150685</v>
      </c>
      <c r="W33" t="e">
        <f>SUM($V$3:V33)</f>
        <v>#NAME?</v>
      </c>
      <c r="X33">
        <f>MAX(F33-50,0)*中国_中债国债到期收益率_1年!H33*100/365</f>
        <v>15.0547945205479</v>
      </c>
      <c r="Y33">
        <f>SUM($X$3:X33)</f>
        <v>483.545753424658</v>
      </c>
      <c r="AB33">
        <f>Z33*Return!F33*100</f>
        <v>0</v>
      </c>
      <c r="AD33">
        <f>SUM($AB$3:AB33)+SUM($AC$3:AC33)</f>
        <v>0</v>
      </c>
      <c r="AE33" t="e">
        <f t="shared" si="8"/>
        <v>#NAME?</v>
      </c>
      <c r="AF33" t="e">
        <f t="shared" si="9"/>
        <v>#NAME?</v>
      </c>
      <c r="AG33" s="5" t="e">
        <f>(AF33/AF32-1)-中国_中债国债到期收益率_1年!H33%/252</f>
        <v>#NAME?</v>
      </c>
      <c r="AH33" s="5" t="e">
        <f>MIN((AF33-MAX($AF$3:AF33))/MAX($AF$3:AF33),0)</f>
        <v>#NAME?</v>
      </c>
    </row>
    <row r="34" spans="1:34">
      <c r="A34" s="7">
        <v>44760</v>
      </c>
      <c r="B34">
        <v>30</v>
      </c>
      <c r="C34">
        <v>30</v>
      </c>
      <c r="D34">
        <v>20</v>
      </c>
      <c r="E34">
        <v>5</v>
      </c>
      <c r="F34">
        <f t="shared" si="0"/>
        <v>85</v>
      </c>
      <c r="G34">
        <f t="shared" si="1"/>
        <v>30</v>
      </c>
      <c r="H34">
        <f t="shared" si="2"/>
        <v>150</v>
      </c>
      <c r="I34">
        <f t="shared" si="3"/>
        <v>180</v>
      </c>
      <c r="J34">
        <f t="shared" si="4"/>
        <v>80</v>
      </c>
      <c r="K34">
        <f t="shared" si="5"/>
        <v>440</v>
      </c>
      <c r="L34">
        <f>G34*Return!B34*100</f>
        <v>93.0000000000004</v>
      </c>
      <c r="M34">
        <f>H34*Return!C34*100</f>
        <v>33.000000000003</v>
      </c>
      <c r="N34">
        <f>I34*Return!D34*100</f>
        <v>90.0000000000061</v>
      </c>
      <c r="O34">
        <f>J34*Return!E34*100</f>
        <v>80.8</v>
      </c>
      <c r="P34">
        <f t="shared" si="6"/>
        <v>296.80000000001</v>
      </c>
      <c r="Q34" t="e">
        <f>SUM($P$3:P34)</f>
        <v>#NAME?</v>
      </c>
      <c r="R34">
        <f>B34*中国_中债国债到期收益率_1年!B33/365*100</f>
        <v>15.4824657534247</v>
      </c>
      <c r="S34">
        <f>C34*中国_中债国债到期收益率_1年!C33/365*100</f>
        <v>21.2449315068493</v>
      </c>
      <c r="T34">
        <f>D34*中国_中债国债到期收益率_1年!D33/365*100</f>
        <v>15.2641095890411</v>
      </c>
      <c r="U34">
        <f>E34*中国_中债国债到期收益率_1年!E33/365*100</f>
        <v>4.50123287671233</v>
      </c>
      <c r="V34">
        <f t="shared" si="7"/>
        <v>56.4927397260274</v>
      </c>
      <c r="W34" t="e">
        <f>SUM($V$3:V34)</f>
        <v>#NAME?</v>
      </c>
      <c r="X34">
        <f>MAX(F34-50,0)*中国_中债国债到期收益率_1年!H34*100/365</f>
        <v>15.4412328767123</v>
      </c>
      <c r="Y34">
        <f>SUM($X$3:X34)</f>
        <v>498.98698630137</v>
      </c>
      <c r="AB34">
        <f>Z34*Return!F34*100</f>
        <v>0</v>
      </c>
      <c r="AD34">
        <f>SUM($AB$3:AB34)+SUM($AC$3:AC34)</f>
        <v>0</v>
      </c>
      <c r="AE34" t="e">
        <f t="shared" si="8"/>
        <v>#NAME?</v>
      </c>
      <c r="AF34" t="e">
        <f t="shared" si="9"/>
        <v>#NAME?</v>
      </c>
      <c r="AG34" s="5" t="e">
        <f>(AF34/AF33-1)-中国_中债国债到期收益率_1年!H34%/252</f>
        <v>#NAME?</v>
      </c>
      <c r="AH34" s="5" t="e">
        <f>MIN((AF34-MAX($AF$3:AF34))/MAX($AF$3:AF34),0)</f>
        <v>#NAME?</v>
      </c>
    </row>
    <row r="35" spans="1:34">
      <c r="A35" s="7">
        <v>44761</v>
      </c>
      <c r="B35">
        <v>30</v>
      </c>
      <c r="C35">
        <v>30</v>
      </c>
      <c r="D35">
        <v>20</v>
      </c>
      <c r="E35">
        <v>5</v>
      </c>
      <c r="F35">
        <f t="shared" si="0"/>
        <v>85</v>
      </c>
      <c r="G35">
        <f t="shared" ref="G35:G58" si="10">B35</f>
        <v>30</v>
      </c>
      <c r="H35">
        <f t="shared" ref="H35:H58" si="11">5*C35</f>
        <v>150</v>
      </c>
      <c r="I35">
        <f t="shared" ref="I35:I58" si="12">9*D35</f>
        <v>180</v>
      </c>
      <c r="J35">
        <f t="shared" ref="J35:J58" si="13">16*E35</f>
        <v>80</v>
      </c>
      <c r="K35">
        <f t="shared" si="5"/>
        <v>440</v>
      </c>
      <c r="L35">
        <f>G35*Return!B35*100</f>
        <v>104.7</v>
      </c>
      <c r="M35">
        <f>H35*Return!C35*100</f>
        <v>88.5000000000002</v>
      </c>
      <c r="N35">
        <f>I35*Return!D35*100</f>
        <v>35.999999999996</v>
      </c>
      <c r="O35">
        <f>J35*Return!E35*100</f>
        <v>59.199999999997</v>
      </c>
      <c r="P35">
        <f t="shared" si="6"/>
        <v>288.399999999993</v>
      </c>
      <c r="Q35" t="e">
        <f>SUM($P$3:P35)</f>
        <v>#NAME?</v>
      </c>
      <c r="R35">
        <f>B35*中国_中债国债到期收益率_1年!B34/365*100</f>
        <v>15.1956164383562</v>
      </c>
      <c r="S35">
        <f>C35*中国_中债国债到期收益率_1年!C34/365*100</f>
        <v>21.1964383561644</v>
      </c>
      <c r="T35">
        <f>D35*中国_中债国债到期收益率_1年!D34/365*100</f>
        <v>15.2531506849315</v>
      </c>
      <c r="U35">
        <f>E35*中国_中债国债到期收益率_1年!E34/365*100</f>
        <v>4.49109589041096</v>
      </c>
      <c r="V35">
        <f t="shared" si="7"/>
        <v>56.136301369863</v>
      </c>
      <c r="W35" t="e">
        <f>SUM($V$3:V35)</f>
        <v>#NAME?</v>
      </c>
      <c r="X35">
        <f>MAX(F35-50,0)*中国_中债国债到期收益率_1年!H35*100/365</f>
        <v>15.3424657534247</v>
      </c>
      <c r="Y35">
        <f>SUM($X$3:X35)</f>
        <v>514.329452054795</v>
      </c>
      <c r="AB35">
        <f>Z35*Return!F35*100</f>
        <v>0</v>
      </c>
      <c r="AD35">
        <f>SUM($AB$3:AB35)+SUM($AC$3:AC35)</f>
        <v>0</v>
      </c>
      <c r="AE35" t="e">
        <f t="shared" si="8"/>
        <v>#NAME?</v>
      </c>
      <c r="AF35" t="e">
        <f t="shared" si="9"/>
        <v>#NAME?</v>
      </c>
      <c r="AG35" s="5" t="e">
        <f>(AF35/AF34-1)-中国_中债国债到期收益率_1年!H35%/252</f>
        <v>#NAME?</v>
      </c>
      <c r="AH35" s="5" t="e">
        <f>MIN((AF35-MAX($AF$3:AF35))/MAX($AF$3:AF35),0)</f>
        <v>#NAME?</v>
      </c>
    </row>
    <row r="36" spans="1:34">
      <c r="A36" s="7">
        <v>44762</v>
      </c>
      <c r="B36">
        <v>30</v>
      </c>
      <c r="C36">
        <v>30</v>
      </c>
      <c r="D36">
        <v>20</v>
      </c>
      <c r="E36">
        <v>5</v>
      </c>
      <c r="F36">
        <f t="shared" si="0"/>
        <v>85</v>
      </c>
      <c r="G36">
        <f t="shared" si="10"/>
        <v>30</v>
      </c>
      <c r="H36">
        <f t="shared" si="11"/>
        <v>150</v>
      </c>
      <c r="I36">
        <f t="shared" si="12"/>
        <v>180</v>
      </c>
      <c r="J36">
        <f t="shared" si="13"/>
        <v>80</v>
      </c>
      <c r="K36">
        <f t="shared" si="5"/>
        <v>440</v>
      </c>
      <c r="L36">
        <f>G36*Return!B36*100</f>
        <v>-0.899999999999901</v>
      </c>
      <c r="M36">
        <f>H36*Return!C36*100</f>
        <v>-118.500000000004</v>
      </c>
      <c r="N36">
        <f>I36*Return!D36*100</f>
        <v>-39.5999999999956</v>
      </c>
      <c r="O36">
        <f>J36*Return!E36*100</f>
        <v>0</v>
      </c>
      <c r="P36">
        <f t="shared" ref="P36:P62" si="14">SUM(L36:O36)</f>
        <v>-158.999999999999</v>
      </c>
      <c r="Q36" t="e">
        <f>SUM($P$3:P36)</f>
        <v>#NAME?</v>
      </c>
      <c r="R36">
        <f>B36*中国_中债国债到期收益率_1年!B35/365*100</f>
        <v>15.1980821917808</v>
      </c>
      <c r="S36">
        <f>C36*中国_中债国债到期收益率_1年!C35/365*100</f>
        <v>21.2613698630137</v>
      </c>
      <c r="T36">
        <f>D36*中国_中债国债到期收益率_1年!D35/365*100</f>
        <v>15.2652054794521</v>
      </c>
      <c r="U36">
        <f>E36*中国_中债国债到期收益率_1年!E35/365*100</f>
        <v>4.49109589041096</v>
      </c>
      <c r="V36">
        <f t="shared" ref="V36:V62" si="15">SUM(R36:U36)</f>
        <v>56.2157534246575</v>
      </c>
      <c r="W36" t="e">
        <f>SUM($V$3:V36)</f>
        <v>#NAME?</v>
      </c>
      <c r="X36">
        <f>MAX(F36-50,0)*中国_中债国债到期收益率_1年!H36*100/365</f>
        <v>15.3424657534247</v>
      </c>
      <c r="Y36">
        <f>SUM($X$3:X36)</f>
        <v>529.671917808219</v>
      </c>
      <c r="AB36">
        <f>Z36*Return!F36*100</f>
        <v>0</v>
      </c>
      <c r="AD36">
        <f>SUM($AB$3:AB36)+SUM($AC$3:AC36)</f>
        <v>0</v>
      </c>
      <c r="AE36" t="e">
        <f t="shared" si="8"/>
        <v>#NAME?</v>
      </c>
      <c r="AF36" t="e">
        <f t="shared" si="9"/>
        <v>#NAME?</v>
      </c>
      <c r="AG36" s="5" t="e">
        <f>(AF36/AF35-1)-中国_中债国债到期收益率_1年!H36%/252</f>
        <v>#NAME?</v>
      </c>
      <c r="AH36" s="5" t="e">
        <f>MIN((AF36-MAX($AF$3:AF36))/MAX($AF$3:AF36),0)</f>
        <v>#NAME?</v>
      </c>
    </row>
    <row r="37" spans="1:34">
      <c r="A37" s="7">
        <v>44763</v>
      </c>
      <c r="B37">
        <v>30</v>
      </c>
      <c r="C37">
        <v>30</v>
      </c>
      <c r="D37">
        <v>20</v>
      </c>
      <c r="E37">
        <v>5</v>
      </c>
      <c r="F37">
        <f t="shared" si="0"/>
        <v>85</v>
      </c>
      <c r="G37">
        <f t="shared" si="10"/>
        <v>30</v>
      </c>
      <c r="H37">
        <f t="shared" si="11"/>
        <v>150</v>
      </c>
      <c r="I37">
        <f t="shared" si="12"/>
        <v>180</v>
      </c>
      <c r="J37">
        <f t="shared" si="13"/>
        <v>80</v>
      </c>
      <c r="K37">
        <f t="shared" si="5"/>
        <v>440</v>
      </c>
      <c r="L37">
        <f>G37*Return!B37*100</f>
        <v>-66.3</v>
      </c>
      <c r="M37">
        <f>H37*Return!C37*100</f>
        <v>351.000000000001</v>
      </c>
      <c r="N37">
        <f>I37*Return!D37*100</f>
        <v>268.199999999998</v>
      </c>
      <c r="O37">
        <f>J37*Return!E37*100</f>
        <v>119.200000000003</v>
      </c>
      <c r="P37">
        <f t="shared" si="14"/>
        <v>672.100000000003</v>
      </c>
      <c r="Q37" t="e">
        <f>SUM($P$3:P37)</f>
        <v>#NAME?</v>
      </c>
      <c r="R37">
        <f>B37*中国_中债国债到期收益率_1年!B36/365*100</f>
        <v>15.3797260273973</v>
      </c>
      <c r="S37">
        <f>C37*中国_中债国债到期收益率_1年!C36/365*100</f>
        <v>21.0690410958904</v>
      </c>
      <c r="T37">
        <f>D37*中国_中债国债到期收益率_1年!D36/365*100</f>
        <v>15.1835616438356</v>
      </c>
      <c r="U37">
        <f>E37*中国_中债国债到期收益率_1年!E36/365*100</f>
        <v>4.47068493150685</v>
      </c>
      <c r="V37">
        <f t="shared" si="15"/>
        <v>56.1030136986301</v>
      </c>
      <c r="W37" t="e">
        <f>SUM($V$3:V37)</f>
        <v>#NAME?</v>
      </c>
      <c r="X37">
        <f>MAX(F37-50,0)*中国_中债国债到期收益率_1年!H37*100/365</f>
        <v>15.3424657534247</v>
      </c>
      <c r="Y37">
        <f>SUM($X$3:X37)</f>
        <v>545.014383561644</v>
      </c>
      <c r="AB37">
        <f>Z37*Return!F37*100</f>
        <v>0</v>
      </c>
      <c r="AD37">
        <f>SUM($AB$3:AB37)+SUM($AC$3:AC37)</f>
        <v>0</v>
      </c>
      <c r="AE37" t="e">
        <f t="shared" si="8"/>
        <v>#NAME?</v>
      </c>
      <c r="AF37" t="e">
        <f t="shared" si="9"/>
        <v>#NAME?</v>
      </c>
      <c r="AG37" s="5" t="e">
        <f>(AF37/AF36-1)-中国_中债国债到期收益率_1年!H37%/252</f>
        <v>#NAME?</v>
      </c>
      <c r="AH37" s="5" t="e">
        <f>MIN((AF37-MAX($AF$3:AF37))/MAX($AF$3:AF37),0)</f>
        <v>#NAME?</v>
      </c>
    </row>
    <row r="38" spans="1:34">
      <c r="A38" s="7">
        <v>44764</v>
      </c>
      <c r="B38">
        <v>30</v>
      </c>
      <c r="C38">
        <v>30</v>
      </c>
      <c r="D38">
        <v>20</v>
      </c>
      <c r="E38">
        <v>5</v>
      </c>
      <c r="F38">
        <f t="shared" si="0"/>
        <v>85</v>
      </c>
      <c r="G38">
        <f t="shared" si="10"/>
        <v>30</v>
      </c>
      <c r="H38">
        <f t="shared" si="11"/>
        <v>150</v>
      </c>
      <c r="I38">
        <f t="shared" si="12"/>
        <v>180</v>
      </c>
      <c r="J38">
        <f t="shared" si="13"/>
        <v>80</v>
      </c>
      <c r="K38">
        <f t="shared" si="5"/>
        <v>440</v>
      </c>
      <c r="L38">
        <f>G38*Return!B38*100</f>
        <v>-1.49999999999983</v>
      </c>
      <c r="M38">
        <f>H38*Return!C38*100</f>
        <v>177</v>
      </c>
      <c r="N38">
        <f>I38*Return!D38*100</f>
        <v>134.999999999997</v>
      </c>
      <c r="O38">
        <f>J38*Return!E38*100</f>
        <v>55.9999999999974</v>
      </c>
      <c r="P38">
        <f t="shared" si="14"/>
        <v>366.499999999995</v>
      </c>
      <c r="Q38" t="e">
        <f>SUM($P$3:P38)</f>
        <v>#NAME?</v>
      </c>
      <c r="R38">
        <f>B38*中国_中债国债到期收益率_1年!B37/365*100</f>
        <v>15.3838356164384</v>
      </c>
      <c r="S38">
        <f>C38*中国_中债国债到期收益率_1年!C37/365*100</f>
        <v>20.9720547945205</v>
      </c>
      <c r="T38">
        <f>D38*中国_中债国债到期收益率_1年!D37/365*100</f>
        <v>15.1424657534247</v>
      </c>
      <c r="U38">
        <f>E38*中国_中债国债到期收益率_1年!E37/365*100</f>
        <v>4.46109589041096</v>
      </c>
      <c r="V38">
        <f t="shared" si="15"/>
        <v>55.9594520547945</v>
      </c>
      <c r="W38" t="e">
        <f>SUM($V$3:V38)</f>
        <v>#NAME?</v>
      </c>
      <c r="X38">
        <f>MAX(F38-50,0)*中国_中债国债到期收益率_1年!H38*100/365</f>
        <v>14.8630136986301</v>
      </c>
      <c r="Y38">
        <f>SUM($X$3:X38)</f>
        <v>559.877397260274</v>
      </c>
      <c r="AB38">
        <f>Z38*Return!F38*100</f>
        <v>0</v>
      </c>
      <c r="AD38">
        <f>SUM($AB$3:AB38)+SUM($AC$3:AC38)</f>
        <v>0</v>
      </c>
      <c r="AE38" t="e">
        <f t="shared" si="8"/>
        <v>#NAME?</v>
      </c>
      <c r="AF38" t="e">
        <f t="shared" si="9"/>
        <v>#NAME?</v>
      </c>
      <c r="AG38" s="5" t="e">
        <f>(AF38/AF37-1)-中国_中债国债到期收益率_1年!H38%/252</f>
        <v>#NAME?</v>
      </c>
      <c r="AH38" s="5" t="e">
        <f>MIN((AF38-MAX($AF$3:AF38))/MAX($AF$3:AF38),0)</f>
        <v>#NAME?</v>
      </c>
    </row>
    <row r="39" spans="1:34">
      <c r="A39" s="7">
        <v>44767</v>
      </c>
      <c r="B39">
        <v>30</v>
      </c>
      <c r="C39">
        <v>30</v>
      </c>
      <c r="D39">
        <v>20</v>
      </c>
      <c r="E39">
        <v>5</v>
      </c>
      <c r="F39">
        <f t="shared" si="0"/>
        <v>85</v>
      </c>
      <c r="G39">
        <f t="shared" si="10"/>
        <v>30</v>
      </c>
      <c r="H39">
        <f t="shared" si="11"/>
        <v>150</v>
      </c>
      <c r="I39">
        <f t="shared" si="12"/>
        <v>180</v>
      </c>
      <c r="J39">
        <f t="shared" si="13"/>
        <v>80</v>
      </c>
      <c r="K39">
        <f t="shared" si="5"/>
        <v>440</v>
      </c>
      <c r="L39">
        <f>G39*Return!B39*100</f>
        <v>-95.7000000000001</v>
      </c>
      <c r="M39">
        <f>H39*Return!C39*100</f>
        <v>-427.499999999996</v>
      </c>
      <c r="N39">
        <f>I39*Return!D39*100</f>
        <v>-422.999999999997</v>
      </c>
      <c r="O39">
        <f>J39*Return!E39*100</f>
        <v>-97.5999999999999</v>
      </c>
      <c r="P39">
        <f t="shared" si="14"/>
        <v>-1043.79999999999</v>
      </c>
      <c r="Q39" t="e">
        <f>SUM($P$3:P39)</f>
        <v>#NAME?</v>
      </c>
      <c r="R39">
        <f>B39*中国_中债国债到期收益率_1年!B38/365*100</f>
        <v>15.6460273972603</v>
      </c>
      <c r="S39">
        <f>C39*中国_中债国债到期收益率_1年!C38/365*100</f>
        <v>21.206301369863</v>
      </c>
      <c r="T39">
        <f>D39*中国_中债国债到期收益率_1年!D38/365*100</f>
        <v>15.2712328767123</v>
      </c>
      <c r="U39">
        <f>E39*中国_中债国债到期收益率_1年!E38/365*100</f>
        <v>4.47780821917808</v>
      </c>
      <c r="V39">
        <f t="shared" si="15"/>
        <v>56.6013698630137</v>
      </c>
      <c r="W39" t="e">
        <f>SUM($V$3:V39)</f>
        <v>#NAME?</v>
      </c>
      <c r="X39">
        <f>MAX(F39-50,0)*中国_中债国债到期收益率_1年!H39*100/365</f>
        <v>17.2602739726027</v>
      </c>
      <c r="Y39">
        <f>SUM($X$3:X39)</f>
        <v>577.137671232877</v>
      </c>
      <c r="AB39">
        <f>Z39*Return!F39*100</f>
        <v>0</v>
      </c>
      <c r="AD39">
        <f>SUM($AB$3:AB39)+SUM($AC$3:AC39)</f>
        <v>0</v>
      </c>
      <c r="AE39" t="e">
        <f t="shared" si="8"/>
        <v>#NAME?</v>
      </c>
      <c r="AF39" t="e">
        <f t="shared" si="9"/>
        <v>#NAME?</v>
      </c>
      <c r="AG39" s="5" t="e">
        <f>(AF39/AF38-1)-中国_中债国债到期收益率_1年!H39%/252</f>
        <v>#NAME?</v>
      </c>
      <c r="AH39" s="5" t="e">
        <f>MIN((AF39-MAX($AF$3:AF39))/MAX($AF$3:AF39),0)</f>
        <v>#NAME?</v>
      </c>
    </row>
    <row r="40" spans="1:34">
      <c r="A40" s="7">
        <v>44768</v>
      </c>
      <c r="B40">
        <v>30</v>
      </c>
      <c r="C40">
        <v>30</v>
      </c>
      <c r="D40">
        <v>20</v>
      </c>
      <c r="E40">
        <v>5</v>
      </c>
      <c r="F40">
        <f t="shared" si="0"/>
        <v>85</v>
      </c>
      <c r="G40">
        <f t="shared" si="10"/>
        <v>30</v>
      </c>
      <c r="H40">
        <f t="shared" si="11"/>
        <v>150</v>
      </c>
      <c r="I40">
        <f t="shared" si="12"/>
        <v>180</v>
      </c>
      <c r="J40">
        <f t="shared" si="13"/>
        <v>80</v>
      </c>
      <c r="K40">
        <f t="shared" si="5"/>
        <v>440</v>
      </c>
      <c r="L40">
        <f>G40*Return!B40*100</f>
        <v>8.69999999999971</v>
      </c>
      <c r="M40">
        <f>H40*Return!C40*100</f>
        <v>368.999999999999</v>
      </c>
      <c r="N40">
        <f>I40*Return!D40*100</f>
        <v>144</v>
      </c>
      <c r="O40">
        <f>J40*Return!E40*100</f>
        <v>39.200000000001</v>
      </c>
      <c r="P40">
        <f t="shared" si="14"/>
        <v>560.9</v>
      </c>
      <c r="Q40" t="e">
        <f>SUM($P$3:P40)</f>
        <v>#NAME?</v>
      </c>
      <c r="R40">
        <f>B40*中国_中债国债到期收益率_1年!B39/365*100</f>
        <v>15.6221917808219</v>
      </c>
      <c r="S40">
        <f>C40*中国_中债国债到期收益率_1年!C39/365*100</f>
        <v>21.0041095890411</v>
      </c>
      <c r="T40">
        <f>D40*中国_中债国债到期收益率_1年!D39/365*100</f>
        <v>15.227397260274</v>
      </c>
      <c r="U40">
        <f>E40*中国_中债国债到期收益率_1年!E39/365*100</f>
        <v>4.47109589041096</v>
      </c>
      <c r="V40">
        <f t="shared" si="15"/>
        <v>56.3247945205479</v>
      </c>
      <c r="W40" t="e">
        <f>SUM($V$3:V40)</f>
        <v>#NAME?</v>
      </c>
      <c r="X40">
        <f>MAX(F40-50,0)*中国_中债国债到期收益率_1年!H40*100/365</f>
        <v>16.7808219178082</v>
      </c>
      <c r="Y40">
        <f>SUM($X$3:X40)</f>
        <v>593.918493150685</v>
      </c>
      <c r="AB40">
        <f>Z40*Return!F40*100</f>
        <v>0</v>
      </c>
      <c r="AD40">
        <f>SUM($AB$3:AB40)+SUM($AC$3:AC40)</f>
        <v>0</v>
      </c>
      <c r="AE40" t="e">
        <f t="shared" si="8"/>
        <v>#NAME?</v>
      </c>
      <c r="AF40" t="e">
        <f t="shared" si="9"/>
        <v>#NAME?</v>
      </c>
      <c r="AG40" s="5" t="e">
        <f>(AF40/AF39-1)-中国_中债国债到期收益率_1年!H40%/252</f>
        <v>#NAME?</v>
      </c>
      <c r="AH40" s="5" t="e">
        <f>MIN((AF40-MAX($AF$3:AF40))/MAX($AF$3:AF40),0)</f>
        <v>#NAME?</v>
      </c>
    </row>
    <row r="41" spans="1:34">
      <c r="A41" s="7">
        <v>44769</v>
      </c>
      <c r="B41">
        <v>30</v>
      </c>
      <c r="C41">
        <v>30</v>
      </c>
      <c r="D41">
        <v>20</v>
      </c>
      <c r="E41">
        <v>5</v>
      </c>
      <c r="F41">
        <f t="shared" si="0"/>
        <v>85</v>
      </c>
      <c r="G41">
        <f t="shared" si="10"/>
        <v>30</v>
      </c>
      <c r="H41">
        <f t="shared" si="11"/>
        <v>150</v>
      </c>
      <c r="I41">
        <f t="shared" si="12"/>
        <v>180</v>
      </c>
      <c r="J41">
        <f t="shared" si="13"/>
        <v>80</v>
      </c>
      <c r="K41">
        <f t="shared" si="5"/>
        <v>440</v>
      </c>
      <c r="L41">
        <f>G41*Return!B41*100</f>
        <v>59.1000000000002</v>
      </c>
      <c r="M41">
        <f>H41*Return!C41*100</f>
        <v>209.999999999997</v>
      </c>
      <c r="N41">
        <f>I41*Return!D41*100</f>
        <v>161.999999999998</v>
      </c>
      <c r="O41">
        <f>J41*Return!E41*100</f>
        <v>54.4000000000011</v>
      </c>
      <c r="P41">
        <f t="shared" si="14"/>
        <v>485.499999999996</v>
      </c>
      <c r="Q41" t="e">
        <f>SUM($P$3:P41)</f>
        <v>#NAME?</v>
      </c>
      <c r="R41">
        <f>B41*中国_中债国债到期收益率_1年!B40/365*100</f>
        <v>15.4602739726027</v>
      </c>
      <c r="S41">
        <f>C41*中国_中债国债到期收益率_1年!C40/365*100</f>
        <v>20.8890410958904</v>
      </c>
      <c r="T41">
        <f>D41*中国_中债国债到期收益率_1年!D40/365*100</f>
        <v>15.1780821917808</v>
      </c>
      <c r="U41">
        <f>E41*中国_中债国债到期收益率_1年!E40/365*100</f>
        <v>4.46178082191781</v>
      </c>
      <c r="V41">
        <f t="shared" si="15"/>
        <v>55.9891780821918</v>
      </c>
      <c r="W41" t="e">
        <f>SUM($V$3:V41)</f>
        <v>#NAME?</v>
      </c>
      <c r="X41">
        <f>MAX(F41-50,0)*中国_中债国债到期收益率_1年!H41*100/365</f>
        <v>16.3013698630137</v>
      </c>
      <c r="Y41">
        <f>SUM($X$3:X41)</f>
        <v>610.219863013699</v>
      </c>
      <c r="AB41">
        <f>Z41*Return!F41*100</f>
        <v>0</v>
      </c>
      <c r="AD41">
        <f>SUM($AB$3:AB41)+SUM($AC$3:AC41)</f>
        <v>0</v>
      </c>
      <c r="AE41" t="e">
        <f t="shared" si="8"/>
        <v>#NAME?</v>
      </c>
      <c r="AF41" t="e">
        <f t="shared" si="9"/>
        <v>#NAME?</v>
      </c>
      <c r="AG41" s="5" t="e">
        <f>(AF41/AF40-1)-中国_中债国债到期收益率_1年!H41%/252</f>
        <v>#NAME?</v>
      </c>
      <c r="AH41" s="5" t="e">
        <f>MIN((AF41-MAX($AF$3:AF41))/MAX($AF$3:AF41),0)</f>
        <v>#NAME?</v>
      </c>
    </row>
    <row r="42" spans="1:34">
      <c r="A42" s="7">
        <v>44770</v>
      </c>
      <c r="B42">
        <v>30</v>
      </c>
      <c r="C42">
        <v>30</v>
      </c>
      <c r="D42">
        <v>20</v>
      </c>
      <c r="E42">
        <v>5</v>
      </c>
      <c r="F42">
        <f t="shared" si="0"/>
        <v>85</v>
      </c>
      <c r="G42">
        <f t="shared" si="10"/>
        <v>30</v>
      </c>
      <c r="H42">
        <f t="shared" si="11"/>
        <v>150</v>
      </c>
      <c r="I42">
        <f t="shared" si="12"/>
        <v>180</v>
      </c>
      <c r="J42">
        <f t="shared" si="13"/>
        <v>80</v>
      </c>
      <c r="K42">
        <f t="shared" si="5"/>
        <v>440</v>
      </c>
      <c r="L42">
        <f>G42*Return!B42*100</f>
        <v>11.4000000000001</v>
      </c>
      <c r="M42">
        <f>H42*Return!C42*100</f>
        <v>314.999999999999</v>
      </c>
      <c r="N42">
        <f>I42*Return!D42*100</f>
        <v>-1.7999999999958</v>
      </c>
      <c r="O42">
        <f>J42*Return!E42*100</f>
        <v>3.99999999999778</v>
      </c>
      <c r="P42">
        <f t="shared" si="14"/>
        <v>328.600000000001</v>
      </c>
      <c r="Q42" t="e">
        <f>SUM($P$3:P42)</f>
        <v>#NAME?</v>
      </c>
      <c r="R42">
        <f>B42*中国_中债国债到期收益率_1年!B41/365*100</f>
        <v>15.4290410958904</v>
      </c>
      <c r="S42">
        <f>C42*中国_中债国债到期收益率_1年!C41/365*100</f>
        <v>20.7164383561644</v>
      </c>
      <c r="T42">
        <f>D42*中国_中债国债到期收益率_1年!D41/365*100</f>
        <v>15.1786301369863</v>
      </c>
      <c r="U42">
        <f>E42*中国_中债国债到期收益率_1年!E41/365*100</f>
        <v>4.46109589041096</v>
      </c>
      <c r="V42">
        <f t="shared" si="15"/>
        <v>55.7852054794521</v>
      </c>
      <c r="W42" t="e">
        <f>SUM($V$3:V42)</f>
        <v>#NAME?</v>
      </c>
      <c r="X42">
        <f>MAX(F42-50,0)*中国_中债国债到期收益率_1年!H42*100/365</f>
        <v>16.3013698630137</v>
      </c>
      <c r="Y42">
        <f>SUM($X$3:X42)</f>
        <v>626.521232876712</v>
      </c>
      <c r="AB42">
        <f>Z42*Return!F42*100</f>
        <v>0</v>
      </c>
      <c r="AD42">
        <f>SUM($AB$3:AB42)+SUM($AC$3:AC42)</f>
        <v>0</v>
      </c>
      <c r="AE42" t="e">
        <f t="shared" si="8"/>
        <v>#NAME?</v>
      </c>
      <c r="AF42" t="e">
        <f t="shared" si="9"/>
        <v>#NAME?</v>
      </c>
      <c r="AG42" s="5" t="e">
        <f>(AF42/AF41-1)-中国_中债国债到期收益率_1年!H42%/252</f>
        <v>#NAME?</v>
      </c>
      <c r="AH42" s="5" t="e">
        <f>MIN((AF42-MAX($AF$3:AF42))/MAX($AF$3:AF42),0)</f>
        <v>#NAME?</v>
      </c>
    </row>
    <row r="43" spans="1:34">
      <c r="A43" s="7">
        <v>44771</v>
      </c>
      <c r="B43">
        <v>30</v>
      </c>
      <c r="C43">
        <v>30</v>
      </c>
      <c r="D43">
        <v>20</v>
      </c>
      <c r="E43">
        <v>5</v>
      </c>
      <c r="F43">
        <f t="shared" si="0"/>
        <v>85</v>
      </c>
      <c r="G43">
        <f t="shared" si="10"/>
        <v>30</v>
      </c>
      <c r="H43">
        <f t="shared" si="11"/>
        <v>150</v>
      </c>
      <c r="I43">
        <f t="shared" si="12"/>
        <v>180</v>
      </c>
      <c r="J43">
        <f t="shared" si="13"/>
        <v>80</v>
      </c>
      <c r="K43">
        <f t="shared" si="5"/>
        <v>440</v>
      </c>
      <c r="L43">
        <f>G43*Return!B43*100</f>
        <v>-39.9000000000003</v>
      </c>
      <c r="M43">
        <f>H43*Return!C43*100</f>
        <v>-416.999999999994</v>
      </c>
      <c r="N43">
        <f>I43*Return!D43*100</f>
        <v>-268.200000000006</v>
      </c>
      <c r="O43">
        <f>J43*Return!E43*100</f>
        <v>-101.599999999998</v>
      </c>
      <c r="P43">
        <f t="shared" si="14"/>
        <v>-826.699999999998</v>
      </c>
      <c r="Q43" t="e">
        <f>SUM($P$3:P43)</f>
        <v>#NAME?</v>
      </c>
      <c r="R43">
        <f>B43*中国_中债国债到期收益率_1年!B42/365*100</f>
        <v>15.5383561643836</v>
      </c>
      <c r="S43">
        <f>C43*中国_中债国债到期收益率_1年!C42/365*100</f>
        <v>20.9449315068493</v>
      </c>
      <c r="T43">
        <f>D43*中国_中债国债到期收益率_1年!D42/365*100</f>
        <v>15.2602739726027</v>
      </c>
      <c r="U43">
        <f>E43*中国_中债国债到期收益率_1年!E42/365*100</f>
        <v>4.47849315068493</v>
      </c>
      <c r="V43">
        <f t="shared" si="15"/>
        <v>56.2220547945206</v>
      </c>
      <c r="W43" t="e">
        <f>SUM($V$3:V43)</f>
        <v>#NAME?</v>
      </c>
      <c r="X43">
        <f>MAX(F43-50,0)*中国_中债国债到期收益率_1年!H43*100/365</f>
        <v>15.8219178082192</v>
      </c>
      <c r="Y43">
        <f>SUM($X$3:X43)</f>
        <v>642.343150684932</v>
      </c>
      <c r="AB43">
        <f>Z43*Return!F43*100</f>
        <v>0</v>
      </c>
      <c r="AD43">
        <f>SUM($AB$3:AB43)+SUM($AC$3:AC43)</f>
        <v>0</v>
      </c>
      <c r="AE43" t="e">
        <f t="shared" si="8"/>
        <v>#NAME?</v>
      </c>
      <c r="AF43" t="e">
        <f t="shared" si="9"/>
        <v>#NAME?</v>
      </c>
      <c r="AG43" s="5" t="e">
        <f>(AF43/AF42-1)-中国_中债国债到期收益率_1年!H43%/252</f>
        <v>#NAME?</v>
      </c>
      <c r="AH43" s="5" t="e">
        <f>MIN((AF43-MAX($AF$3:AF43))/MAX($AF$3:AF43),0)</f>
        <v>#NAME?</v>
      </c>
    </row>
    <row r="44" spans="1:34">
      <c r="A44" s="7">
        <v>44774</v>
      </c>
      <c r="B44">
        <v>30</v>
      </c>
      <c r="C44">
        <v>30</v>
      </c>
      <c r="D44">
        <v>20</v>
      </c>
      <c r="E44">
        <v>5</v>
      </c>
      <c r="F44">
        <f t="shared" si="0"/>
        <v>85</v>
      </c>
      <c r="G44">
        <f t="shared" si="10"/>
        <v>30</v>
      </c>
      <c r="H44">
        <f t="shared" si="11"/>
        <v>150</v>
      </c>
      <c r="I44">
        <f t="shared" si="12"/>
        <v>180</v>
      </c>
      <c r="J44">
        <f t="shared" si="13"/>
        <v>80</v>
      </c>
      <c r="K44">
        <f t="shared" si="5"/>
        <v>440</v>
      </c>
      <c r="L44">
        <f>G44*Return!B44*100</f>
        <v>84.6</v>
      </c>
      <c r="M44">
        <f>H44*Return!C44*100</f>
        <v>520.499999999999</v>
      </c>
      <c r="N44">
        <f>I44*Return!D44*100</f>
        <v>522.000000000006</v>
      </c>
      <c r="O44">
        <f>J44*Return!E44*100</f>
        <v>195.2</v>
      </c>
      <c r="P44">
        <f t="shared" si="14"/>
        <v>1322.30000000001</v>
      </c>
      <c r="Q44" t="e">
        <f>SUM($P$3:P44)</f>
        <v>#NAME?</v>
      </c>
      <c r="R44">
        <f>B44*中国_中债国债到期收益率_1年!B43/365*100</f>
        <v>15.3065753424658</v>
      </c>
      <c r="S44">
        <f>C44*中国_中债国债到期收益率_1年!C43/365*100</f>
        <v>20.6597260273973</v>
      </c>
      <c r="T44">
        <f>D44*中国_中债国债到期收益率_1年!D43/365*100</f>
        <v>15.1013698630137</v>
      </c>
      <c r="U44">
        <f>E44*中国_中债国债到期收益率_1年!E43/365*100</f>
        <v>4.44506849315068</v>
      </c>
      <c r="V44">
        <f t="shared" si="15"/>
        <v>55.5127397260274</v>
      </c>
      <c r="W44" t="e">
        <f>SUM($V$3:V44)</f>
        <v>#NAME?</v>
      </c>
      <c r="X44">
        <f>MAX(F44-50,0)*中国_中债国债到期收益率_1年!H44*100/365</f>
        <v>14.8630136986301</v>
      </c>
      <c r="Y44">
        <f>SUM($X$3:X44)</f>
        <v>657.206164383562</v>
      </c>
      <c r="AB44">
        <f>Z44*Return!F44*100</f>
        <v>0</v>
      </c>
      <c r="AD44">
        <f>SUM($AB$3:AB44)+SUM($AC$3:AC44)</f>
        <v>0</v>
      </c>
      <c r="AE44" t="e">
        <f t="shared" si="8"/>
        <v>#NAME?</v>
      </c>
      <c r="AF44" t="e">
        <f t="shared" si="9"/>
        <v>#NAME?</v>
      </c>
      <c r="AG44" s="5" t="e">
        <f>(AF44/AF43-1)-中国_中债国债到期收益率_1年!H44%/252</f>
        <v>#NAME?</v>
      </c>
      <c r="AH44" s="5" t="e">
        <f>MIN((AF44-MAX($AF$3:AF44))/MAX($AF$3:AF44),0)</f>
        <v>#NAME?</v>
      </c>
    </row>
    <row r="45" spans="1:34">
      <c r="A45" s="7">
        <v>44775</v>
      </c>
      <c r="B45">
        <v>30</v>
      </c>
      <c r="C45">
        <v>30</v>
      </c>
      <c r="D45">
        <v>20</v>
      </c>
      <c r="E45">
        <v>5</v>
      </c>
      <c r="F45">
        <f t="shared" si="0"/>
        <v>85</v>
      </c>
      <c r="G45">
        <f t="shared" si="10"/>
        <v>30</v>
      </c>
      <c r="H45">
        <f t="shared" si="11"/>
        <v>150</v>
      </c>
      <c r="I45">
        <f t="shared" si="12"/>
        <v>180</v>
      </c>
      <c r="J45">
        <f t="shared" si="13"/>
        <v>80</v>
      </c>
      <c r="K45">
        <f t="shared" si="5"/>
        <v>440</v>
      </c>
      <c r="L45">
        <f>G45*Return!B45*100</f>
        <v>106.2</v>
      </c>
      <c r="M45">
        <f>H45*Return!C45*100</f>
        <v>361.499999999997</v>
      </c>
      <c r="N45">
        <f>I45*Return!D45*100</f>
        <v>482.399999999995</v>
      </c>
      <c r="O45">
        <f>J45*Return!E45*100</f>
        <v>162.399999999998</v>
      </c>
      <c r="P45">
        <f t="shared" si="14"/>
        <v>1112.49999999999</v>
      </c>
      <c r="Q45" t="e">
        <f>SUM($P$3:P45)</f>
        <v>#NAME?</v>
      </c>
      <c r="R45">
        <f>B45*中国_中债国债到期收益率_1年!B44/365*100</f>
        <v>15.0156164383562</v>
      </c>
      <c r="S45">
        <f>C45*中国_中债国债到期收益率_1年!C44/365*100</f>
        <v>20.4616438356164</v>
      </c>
      <c r="T45">
        <f>D45*中国_中债国债到期收益率_1年!D44/365*100</f>
        <v>14.9545205479452</v>
      </c>
      <c r="U45">
        <f>E45*中国_中债国债到期收益率_1年!E44/365*100</f>
        <v>4.4172602739726</v>
      </c>
      <c r="V45">
        <f t="shared" si="15"/>
        <v>54.8490410958904</v>
      </c>
      <c r="W45" t="e">
        <f>SUM($V$3:V45)</f>
        <v>#NAME?</v>
      </c>
      <c r="X45">
        <f>MAX(F45-50,0)*中国_中债国债到期收益率_1年!H45*100/365</f>
        <v>14.3835616438356</v>
      </c>
      <c r="Y45">
        <f>SUM($X$3:X45)</f>
        <v>671.589726027397</v>
      </c>
      <c r="AB45">
        <f>Z45*Return!F45*100</f>
        <v>0</v>
      </c>
      <c r="AD45">
        <f>SUM($AB$3:AB45)+SUM($AC$3:AC45)</f>
        <v>0</v>
      </c>
      <c r="AE45" t="e">
        <f t="shared" si="8"/>
        <v>#NAME?</v>
      </c>
      <c r="AF45" t="e">
        <f t="shared" si="9"/>
        <v>#NAME?</v>
      </c>
      <c r="AG45" s="5" t="e">
        <f>(AF45/AF44-1)-中国_中债国债到期收益率_1年!H45%/252</f>
        <v>#NAME?</v>
      </c>
      <c r="AH45" s="5" t="e">
        <f>MIN((AF45-MAX($AF$3:AF45))/MAX($AF$3:AF45),0)</f>
        <v>#NAME?</v>
      </c>
    </row>
    <row r="46" spans="1:34">
      <c r="A46" s="7">
        <v>44776</v>
      </c>
      <c r="B46">
        <v>30</v>
      </c>
      <c r="C46">
        <v>30</v>
      </c>
      <c r="D46">
        <v>20</v>
      </c>
      <c r="E46">
        <v>5</v>
      </c>
      <c r="F46">
        <f t="shared" si="0"/>
        <v>85</v>
      </c>
      <c r="G46">
        <f t="shared" si="10"/>
        <v>30</v>
      </c>
      <c r="H46">
        <f t="shared" si="11"/>
        <v>150</v>
      </c>
      <c r="I46">
        <f t="shared" si="12"/>
        <v>180</v>
      </c>
      <c r="J46">
        <f t="shared" si="13"/>
        <v>80</v>
      </c>
      <c r="K46">
        <f t="shared" si="5"/>
        <v>440</v>
      </c>
      <c r="L46">
        <f>G46*Return!B46*100</f>
        <v>169.2</v>
      </c>
      <c r="M46">
        <f>H46*Return!C46*100</f>
        <v>-5.99999999999934</v>
      </c>
      <c r="N46">
        <f>I46*Return!D46*100</f>
        <v>-39.5999999999956</v>
      </c>
      <c r="O46">
        <f>J46*Return!E46*100</f>
        <v>-21.5999999999994</v>
      </c>
      <c r="P46">
        <f t="shared" si="14"/>
        <v>102.000000000006</v>
      </c>
      <c r="Q46" t="e">
        <f>SUM($P$3:P46)</f>
        <v>#NAME?</v>
      </c>
      <c r="R46">
        <f>B46*中国_中债国债到期收益率_1年!B45/365*100</f>
        <v>14.5520547945205</v>
      </c>
      <c r="S46">
        <f>C46*中国_中债国债到期收益率_1年!C45/365*100</f>
        <v>20.4649315068493</v>
      </c>
      <c r="T46">
        <f>D46*中国_中债国债到期收益率_1年!D45/365*100</f>
        <v>14.9665753424658</v>
      </c>
      <c r="U46">
        <f>E46*中国_中债国债到期收益率_1年!E45/365*100</f>
        <v>4.42095890410959</v>
      </c>
      <c r="V46">
        <f t="shared" si="15"/>
        <v>54.4045205479452</v>
      </c>
      <c r="W46" t="e">
        <f>SUM($V$3:V46)</f>
        <v>#NAME?</v>
      </c>
      <c r="X46">
        <f>MAX(F46-50,0)*中国_中债国债到期收益率_1年!H46*100/365</f>
        <v>13.4246575342466</v>
      </c>
      <c r="Y46">
        <f>SUM($X$3:X46)</f>
        <v>685.014383561644</v>
      </c>
      <c r="AB46">
        <f>Z46*Return!F46*100</f>
        <v>0</v>
      </c>
      <c r="AD46">
        <f>SUM($AB$3:AB46)+SUM($AC$3:AC46)</f>
        <v>0</v>
      </c>
      <c r="AE46" t="e">
        <f t="shared" si="8"/>
        <v>#NAME?</v>
      </c>
      <c r="AF46" t="e">
        <f t="shared" si="9"/>
        <v>#NAME?</v>
      </c>
      <c r="AG46" s="5" t="e">
        <f>(AF46/AF45-1)-中国_中债国债到期收益率_1年!H46%/252</f>
        <v>#NAME?</v>
      </c>
      <c r="AH46" s="5" t="e">
        <f>MIN((AF46-MAX($AF$3:AF46))/MAX($AF$3:AF46),0)</f>
        <v>#NAME?</v>
      </c>
    </row>
    <row r="47" spans="1:34">
      <c r="A47" s="7">
        <v>44777</v>
      </c>
      <c r="B47">
        <v>30</v>
      </c>
      <c r="C47">
        <v>30</v>
      </c>
      <c r="D47">
        <v>20</v>
      </c>
      <c r="E47">
        <v>5</v>
      </c>
      <c r="F47">
        <f t="shared" si="0"/>
        <v>85</v>
      </c>
      <c r="G47">
        <f t="shared" si="10"/>
        <v>30</v>
      </c>
      <c r="H47">
        <f t="shared" si="11"/>
        <v>150</v>
      </c>
      <c r="I47">
        <f t="shared" si="12"/>
        <v>180</v>
      </c>
      <c r="J47">
        <f t="shared" si="13"/>
        <v>80</v>
      </c>
      <c r="K47">
        <f t="shared" si="5"/>
        <v>440</v>
      </c>
      <c r="L47">
        <f>G47*Return!B47*100</f>
        <v>53.1000000000002</v>
      </c>
      <c r="M47">
        <f>H47*Return!C47*100</f>
        <v>597.000000000001</v>
      </c>
      <c r="N47">
        <f>I47*Return!D47*100</f>
        <v>172.799999999997</v>
      </c>
      <c r="O47">
        <f>J47*Return!E47*100</f>
        <v>60.8000000000004</v>
      </c>
      <c r="P47">
        <f t="shared" si="14"/>
        <v>883.699999999998</v>
      </c>
      <c r="Q47" t="e">
        <f>SUM($P$3:P47)</f>
        <v>#NAME?</v>
      </c>
      <c r="R47">
        <f>B47*中国_中债国债到期收益率_1年!B46/365*100</f>
        <v>14.4065753424658</v>
      </c>
      <c r="S47">
        <f>C47*中国_中债国债到期收益率_1年!C46/365*100</f>
        <v>20.1378082191781</v>
      </c>
      <c r="T47">
        <f>D47*中国_中债国债到期收益率_1年!D46/365*100</f>
        <v>14.9139726027397</v>
      </c>
      <c r="U47">
        <f>E47*中国_中债国债到期收益率_1年!E46/365*100</f>
        <v>4.41054794520548</v>
      </c>
      <c r="V47">
        <f t="shared" si="15"/>
        <v>53.868904109589</v>
      </c>
      <c r="W47" t="e">
        <f>SUM($V$3:V47)</f>
        <v>#NAME?</v>
      </c>
      <c r="X47">
        <f>MAX(F47-50,0)*中国_中债国债到期收益率_1年!H47*100/365</f>
        <v>13.4246575342466</v>
      </c>
      <c r="Y47">
        <f>SUM($X$3:X47)</f>
        <v>698.43904109589</v>
      </c>
      <c r="AB47">
        <f>Z47*Return!F47*100</f>
        <v>0</v>
      </c>
      <c r="AD47">
        <f>SUM($AB$3:AB47)+SUM($AC$3:AC47)</f>
        <v>0</v>
      </c>
      <c r="AE47" t="e">
        <f t="shared" si="8"/>
        <v>#NAME?</v>
      </c>
      <c r="AF47" t="e">
        <f t="shared" si="9"/>
        <v>#NAME?</v>
      </c>
      <c r="AG47" s="5" t="e">
        <f>(AF47/AF46-1)-中国_中债国债到期收益率_1年!H47%/252</f>
        <v>#NAME?</v>
      </c>
      <c r="AH47" s="5" t="e">
        <f>MIN((AF47-MAX($AF$3:AF47))/MAX($AF$3:AF47),0)</f>
        <v>#NAME?</v>
      </c>
    </row>
    <row r="48" spans="1:34">
      <c r="A48" s="7">
        <v>44778</v>
      </c>
      <c r="B48">
        <v>30</v>
      </c>
      <c r="C48">
        <v>30</v>
      </c>
      <c r="D48">
        <v>20</v>
      </c>
      <c r="E48">
        <v>5</v>
      </c>
      <c r="F48">
        <f t="shared" si="0"/>
        <v>85</v>
      </c>
      <c r="G48">
        <f t="shared" si="10"/>
        <v>30</v>
      </c>
      <c r="H48">
        <f t="shared" si="11"/>
        <v>150</v>
      </c>
      <c r="I48">
        <f t="shared" si="12"/>
        <v>180</v>
      </c>
      <c r="J48">
        <f t="shared" si="13"/>
        <v>80</v>
      </c>
      <c r="K48">
        <f t="shared" si="5"/>
        <v>440</v>
      </c>
      <c r="L48">
        <f>G48*Return!B48*100</f>
        <v>186.299999999999</v>
      </c>
      <c r="M48">
        <f>H48*Return!C48*100</f>
        <v>183</v>
      </c>
      <c r="N48">
        <f>I48*Return!D48*100</f>
        <v>46.8000000000028</v>
      </c>
      <c r="O48">
        <f>J48*Return!E48*100</f>
        <v>4.79999999999947</v>
      </c>
      <c r="P48">
        <f t="shared" si="14"/>
        <v>420.900000000002</v>
      </c>
      <c r="Q48" t="e">
        <f>SUM($P$3:P48)</f>
        <v>#NAME?</v>
      </c>
      <c r="R48">
        <f>B48*中国_中债国债到期收益率_1年!B47/365*100</f>
        <v>13.8961643835616</v>
      </c>
      <c r="S48">
        <f>C48*中国_中债国债到期收益率_1年!C47/365*100</f>
        <v>20.0375342465753</v>
      </c>
      <c r="T48">
        <f>D48*中国_中债国债到期收益率_1年!D47/365*100</f>
        <v>14.8997260273973</v>
      </c>
      <c r="U48">
        <f>E48*中国_中债国债到期收益率_1年!E47/365*100</f>
        <v>4.40972602739726</v>
      </c>
      <c r="V48">
        <f t="shared" si="15"/>
        <v>53.2431506849315</v>
      </c>
      <c r="W48" t="e">
        <f>SUM($V$3:V48)</f>
        <v>#NAME?</v>
      </c>
      <c r="X48">
        <f>MAX(F48-50,0)*中国_中债国债到期收益率_1年!H48*100/365</f>
        <v>13.4246575342466</v>
      </c>
      <c r="Y48">
        <f>SUM($X$3:X48)</f>
        <v>711.863698630137</v>
      </c>
      <c r="AB48">
        <f>Z48*Return!F48*100</f>
        <v>0</v>
      </c>
      <c r="AD48">
        <f>SUM($AB$3:AB48)+SUM($AC$3:AC48)</f>
        <v>0</v>
      </c>
      <c r="AE48" t="e">
        <f t="shared" si="8"/>
        <v>#NAME?</v>
      </c>
      <c r="AF48" t="e">
        <f t="shared" si="9"/>
        <v>#NAME?</v>
      </c>
      <c r="AG48" s="5" t="e">
        <f>(AF48/AF47-1)-中国_中债国债到期收益率_1年!H48%/252</f>
        <v>#NAME?</v>
      </c>
      <c r="AH48" s="5" t="e">
        <f>MIN((AF48-MAX($AF$3:AF48))/MAX($AF$3:AF48),0)</f>
        <v>#NAME?</v>
      </c>
    </row>
    <row r="49" spans="1:34">
      <c r="A49" s="7">
        <v>44781</v>
      </c>
      <c r="B49">
        <v>30</v>
      </c>
      <c r="C49">
        <v>30</v>
      </c>
      <c r="D49">
        <v>20</v>
      </c>
      <c r="E49">
        <v>5</v>
      </c>
      <c r="F49">
        <f t="shared" si="0"/>
        <v>85</v>
      </c>
      <c r="G49">
        <f t="shared" si="10"/>
        <v>30</v>
      </c>
      <c r="H49">
        <f t="shared" si="11"/>
        <v>150</v>
      </c>
      <c r="I49">
        <f t="shared" si="12"/>
        <v>180</v>
      </c>
      <c r="J49">
        <f t="shared" si="13"/>
        <v>80</v>
      </c>
      <c r="K49">
        <f t="shared" si="5"/>
        <v>440</v>
      </c>
      <c r="L49">
        <f>G49*Return!B49*100</f>
        <v>-62.6999999999998</v>
      </c>
      <c r="M49">
        <f>H49*Return!C49*100</f>
        <v>-417.000000000001</v>
      </c>
      <c r="N49">
        <f>I49*Return!D49*100</f>
        <v>-264.600000000007</v>
      </c>
      <c r="O49">
        <f>J49*Return!E49*100</f>
        <v>-102.399999999999</v>
      </c>
      <c r="P49">
        <f t="shared" si="14"/>
        <v>-846.700000000007</v>
      </c>
      <c r="Q49" t="e">
        <f>SUM($P$3:P49)</f>
        <v>#NAME?</v>
      </c>
      <c r="R49">
        <f>B49*中国_中债国债到期收益率_1年!B48/365*100</f>
        <v>14.0679452054795</v>
      </c>
      <c r="S49">
        <f>C49*中国_中债国债到期收益率_1年!C48/365*100</f>
        <v>20.2660273972603</v>
      </c>
      <c r="T49">
        <f>D49*中国_中债国债到期收益率_1年!D48/365*100</f>
        <v>14.9802739726027</v>
      </c>
      <c r="U49">
        <f>E49*中国_中债国债到期收益率_1年!E48/365*100</f>
        <v>4.4272602739726</v>
      </c>
      <c r="V49">
        <f t="shared" si="15"/>
        <v>53.7415068493151</v>
      </c>
      <c r="W49" t="e">
        <f>SUM($V$3:V49)</f>
        <v>#NAME?</v>
      </c>
      <c r="X49">
        <f>MAX(F49-50,0)*中国_中债国债到期收益率_1年!H49*100/365</f>
        <v>13.1369863013699</v>
      </c>
      <c r="Y49">
        <f>SUM($X$3:X49)</f>
        <v>725.000684931507</v>
      </c>
      <c r="AB49">
        <f>Z49*Return!F49*100</f>
        <v>0</v>
      </c>
      <c r="AD49">
        <f>SUM($AB$3:AB49)+SUM($AC$3:AC49)</f>
        <v>0</v>
      </c>
      <c r="AE49" t="e">
        <f t="shared" si="8"/>
        <v>#NAME?</v>
      </c>
      <c r="AF49" t="e">
        <f t="shared" si="9"/>
        <v>#NAME?</v>
      </c>
      <c r="AG49" s="5" t="e">
        <f>(AF49/AF48-1)-中国_中债国债到期收益率_1年!H49%/252</f>
        <v>#NAME?</v>
      </c>
      <c r="AH49" s="5" t="e">
        <f>MIN((AF49-MAX($AF$3:AF49))/MAX($AF$3:AF49),0)</f>
        <v>#NAME?</v>
      </c>
    </row>
    <row r="50" spans="1:34">
      <c r="A50" s="7">
        <v>44782</v>
      </c>
      <c r="B50">
        <v>30</v>
      </c>
      <c r="C50">
        <v>30</v>
      </c>
      <c r="D50">
        <v>20</v>
      </c>
      <c r="E50">
        <v>5</v>
      </c>
      <c r="F50">
        <f t="shared" si="0"/>
        <v>85</v>
      </c>
      <c r="G50">
        <f t="shared" si="10"/>
        <v>30</v>
      </c>
      <c r="H50">
        <f t="shared" si="11"/>
        <v>150</v>
      </c>
      <c r="I50">
        <f t="shared" si="12"/>
        <v>180</v>
      </c>
      <c r="J50">
        <f t="shared" si="13"/>
        <v>80</v>
      </c>
      <c r="K50">
        <f t="shared" si="5"/>
        <v>440</v>
      </c>
      <c r="L50">
        <f>G50*Return!B50*100</f>
        <v>-60.0000000000001</v>
      </c>
      <c r="M50">
        <f>H50*Return!C50*100</f>
        <v>-86.9999999999971</v>
      </c>
      <c r="N50">
        <f>I50*Return!D50*100</f>
        <v>-125.999999999994</v>
      </c>
      <c r="O50">
        <f>J50*Return!E50*100</f>
        <v>-77.6000000000003</v>
      </c>
      <c r="P50">
        <f t="shared" si="14"/>
        <v>-350.599999999992</v>
      </c>
      <c r="Q50" t="e">
        <f>SUM($P$3:P50)</f>
        <v>#NAME?</v>
      </c>
      <c r="R50">
        <f>B50*中国_中债国债到期收益率_1年!B49/365*100</f>
        <v>14.2323287671233</v>
      </c>
      <c r="S50">
        <f>C50*中国_中债国债到期收益率_1年!C49/365*100</f>
        <v>20.313698630137</v>
      </c>
      <c r="T50">
        <f>D50*中国_中债国债到期收益率_1年!D49/365*100</f>
        <v>15.0186301369863</v>
      </c>
      <c r="U50">
        <f>E50*中国_中债国债到期收益率_1年!E49/365*100</f>
        <v>4.44054794520548</v>
      </c>
      <c r="V50">
        <f t="shared" si="15"/>
        <v>54.0052054794521</v>
      </c>
      <c r="W50" t="e">
        <f>SUM($V$3:V50)</f>
        <v>#NAME?</v>
      </c>
      <c r="X50">
        <f>MAX(F50-50,0)*中国_中债国债到期收益率_1年!H50*100/365</f>
        <v>13.1724657534247</v>
      </c>
      <c r="Y50">
        <f>SUM($X$3:X50)</f>
        <v>738.173150684931</v>
      </c>
      <c r="AB50">
        <f>Z50*Return!F50*100</f>
        <v>0</v>
      </c>
      <c r="AD50">
        <f>SUM($AB$3:AB50)+SUM($AC$3:AC50)</f>
        <v>0</v>
      </c>
      <c r="AE50" t="e">
        <f t="shared" si="8"/>
        <v>#NAME?</v>
      </c>
      <c r="AF50" t="e">
        <f t="shared" si="9"/>
        <v>#NAME?</v>
      </c>
      <c r="AG50" s="5" t="e">
        <f>(AF50/AF49-1)-中国_中债国债到期收益率_1年!H50%/252</f>
        <v>#NAME?</v>
      </c>
      <c r="AH50" s="5" t="e">
        <f>MIN((AF50-MAX($AF$3:AF50))/MAX($AF$3:AF50),0)</f>
        <v>#NAME?</v>
      </c>
    </row>
    <row r="51" spans="1:34">
      <c r="A51" s="7">
        <v>44783</v>
      </c>
      <c r="B51">
        <v>30</v>
      </c>
      <c r="C51">
        <v>30</v>
      </c>
      <c r="D51">
        <v>20</v>
      </c>
      <c r="E51">
        <v>5</v>
      </c>
      <c r="F51">
        <f t="shared" si="0"/>
        <v>85</v>
      </c>
      <c r="G51">
        <f t="shared" si="10"/>
        <v>30</v>
      </c>
      <c r="H51">
        <f t="shared" si="11"/>
        <v>150</v>
      </c>
      <c r="I51">
        <f t="shared" si="12"/>
        <v>180</v>
      </c>
      <c r="J51">
        <f t="shared" si="13"/>
        <v>80</v>
      </c>
      <c r="K51">
        <f t="shared" si="5"/>
        <v>440</v>
      </c>
      <c r="L51">
        <f>G51*Return!B51*100</f>
        <v>-171</v>
      </c>
      <c r="M51">
        <f>H51*Return!C51*100</f>
        <v>-261.000000000005</v>
      </c>
      <c r="N51">
        <f>I51*Return!D51*100</f>
        <v>16.1999999999942</v>
      </c>
      <c r="O51">
        <f>J51*Return!E51*100</f>
        <v>-19.2000000000014</v>
      </c>
      <c r="P51">
        <f t="shared" si="14"/>
        <v>-435.000000000012</v>
      </c>
      <c r="Q51" t="e">
        <f>SUM($P$3:P51)</f>
        <v>#NAME?</v>
      </c>
      <c r="R51">
        <f>B51*中国_中债国债到期收益率_1年!B50/365*100</f>
        <v>14.7008219178082</v>
      </c>
      <c r="S51">
        <f>C51*中国_中债国债到期收益率_1年!C50/365*100</f>
        <v>20.4567123287671</v>
      </c>
      <c r="T51">
        <f>D51*中国_中债国债到期收益率_1年!D50/365*100</f>
        <v>15.013698630137</v>
      </c>
      <c r="U51">
        <f>E51*中国_中债国债到期收益率_1年!E50/365*100</f>
        <v>4.44383561643836</v>
      </c>
      <c r="V51">
        <f t="shared" si="15"/>
        <v>54.6150684931507</v>
      </c>
      <c r="W51" t="e">
        <f>SUM($V$3:V51)</f>
        <v>#NAME?</v>
      </c>
      <c r="X51">
        <f>MAX(F51-50,0)*中国_中债国债到期收益率_1年!H51*100/365</f>
        <v>13.4246575342466</v>
      </c>
      <c r="Y51">
        <f>SUM($X$3:X51)</f>
        <v>751.597808219178</v>
      </c>
      <c r="AB51">
        <f>Z51*Return!F51*100</f>
        <v>0</v>
      </c>
      <c r="AD51">
        <f>SUM($AB$3:AB51)+SUM($AC$3:AC51)</f>
        <v>0</v>
      </c>
      <c r="AE51" t="e">
        <f t="shared" si="8"/>
        <v>#NAME?</v>
      </c>
      <c r="AF51" t="e">
        <f t="shared" si="9"/>
        <v>#NAME?</v>
      </c>
      <c r="AG51" s="5" t="e">
        <f>(AF51/AF50-1)-中国_中债国债到期收益率_1年!H51%/252</f>
        <v>#NAME?</v>
      </c>
      <c r="AH51" s="5" t="e">
        <f>MIN((AF51-MAX($AF$3:AF51))/MAX($AF$3:AF51),0)</f>
        <v>#NAME?</v>
      </c>
    </row>
    <row r="52" spans="1:34">
      <c r="A52" s="7">
        <v>44784</v>
      </c>
      <c r="B52">
        <v>30</v>
      </c>
      <c r="C52">
        <v>30</v>
      </c>
      <c r="D52">
        <v>20</v>
      </c>
      <c r="E52">
        <v>5</v>
      </c>
      <c r="F52">
        <f t="shared" si="0"/>
        <v>85</v>
      </c>
      <c r="G52">
        <f t="shared" si="10"/>
        <v>30</v>
      </c>
      <c r="H52">
        <f t="shared" si="11"/>
        <v>150</v>
      </c>
      <c r="I52">
        <f t="shared" si="12"/>
        <v>180</v>
      </c>
      <c r="J52">
        <f t="shared" si="13"/>
        <v>80</v>
      </c>
      <c r="K52">
        <f t="shared" si="5"/>
        <v>440</v>
      </c>
      <c r="L52">
        <f>G52*Return!B52*100</f>
        <v>-75.0000000000004</v>
      </c>
      <c r="M52">
        <f>H52*Return!C52*100</f>
        <v>-37.4999999999992</v>
      </c>
      <c r="N52">
        <f>I52*Return!D52*100</f>
        <v>61.2000000000013</v>
      </c>
      <c r="O52">
        <f>J52*Return!E52*100</f>
        <v>16.0000000000018</v>
      </c>
      <c r="P52">
        <f t="shared" si="14"/>
        <v>-35.2999999999966</v>
      </c>
      <c r="Q52" t="e">
        <f>SUM($P$3:P52)</f>
        <v>#NAME?</v>
      </c>
      <c r="R52">
        <f>B52*中国_中债国债到期收益率_1年!B51/365*100</f>
        <v>14.906301369863</v>
      </c>
      <c r="S52">
        <f>C52*中国_中债国债到期收益率_1年!C51/365*100</f>
        <v>20.4772602739726</v>
      </c>
      <c r="T52">
        <f>D52*中国_中债国债到期收益率_1年!D51/365*100</f>
        <v>14.9950684931507</v>
      </c>
      <c r="U52">
        <f>E52*中国_中债国债到期收益率_1年!E51/365*100</f>
        <v>4.44109589041096</v>
      </c>
      <c r="V52">
        <f t="shared" si="15"/>
        <v>54.8197260273973</v>
      </c>
      <c r="W52" t="e">
        <f>SUM($V$3:V52)</f>
        <v>#NAME?</v>
      </c>
      <c r="X52">
        <f>MAX(F52-50,0)*中国_中债国债到期收益率_1年!H52*100/365</f>
        <v>13.4246575342466</v>
      </c>
      <c r="Y52">
        <f>SUM($X$3:X52)</f>
        <v>765.022465753424</v>
      </c>
      <c r="AB52">
        <f>Z52*Return!F52*100</f>
        <v>0</v>
      </c>
      <c r="AD52">
        <f>SUM($AB$3:AB52)+SUM($AC$3:AC52)</f>
        <v>0</v>
      </c>
      <c r="AE52" t="e">
        <f t="shared" si="8"/>
        <v>#NAME?</v>
      </c>
      <c r="AF52" t="e">
        <f t="shared" si="9"/>
        <v>#NAME?</v>
      </c>
      <c r="AG52" s="5" t="e">
        <f>(AF52/AF51-1)-中国_中债国债到期收益率_1年!H52%/252</f>
        <v>#NAME?</v>
      </c>
      <c r="AH52" s="5" t="e">
        <f>MIN((AF52-MAX($AF$3:AF52))/MAX($AF$3:AF52),0)</f>
        <v>#NAME?</v>
      </c>
    </row>
    <row r="53" spans="1:34">
      <c r="A53" s="7">
        <v>44785</v>
      </c>
      <c r="B53">
        <v>30</v>
      </c>
      <c r="C53">
        <v>30</v>
      </c>
      <c r="D53">
        <v>20</v>
      </c>
      <c r="E53">
        <v>5</v>
      </c>
      <c r="F53">
        <f t="shared" si="0"/>
        <v>85</v>
      </c>
      <c r="G53">
        <f t="shared" si="10"/>
        <v>30</v>
      </c>
      <c r="H53">
        <f t="shared" si="11"/>
        <v>150</v>
      </c>
      <c r="I53">
        <f t="shared" si="12"/>
        <v>180</v>
      </c>
      <c r="J53">
        <f t="shared" si="13"/>
        <v>80</v>
      </c>
      <c r="K53">
        <f t="shared" si="5"/>
        <v>440</v>
      </c>
      <c r="L53">
        <f>G53*Return!B53*100</f>
        <v>-7.49999999999984</v>
      </c>
      <c r="M53">
        <f>H53*Return!C53*100</f>
        <v>112.499999999998</v>
      </c>
      <c r="N53">
        <f>I53*Return!D53*100</f>
        <v>88.2000000000023</v>
      </c>
      <c r="O53">
        <f>J53*Return!E53*100</f>
        <v>13.6000000000003</v>
      </c>
      <c r="P53">
        <f t="shared" si="14"/>
        <v>206.8</v>
      </c>
      <c r="Q53" t="e">
        <f>SUM($P$3:P53)</f>
        <v>#NAME?</v>
      </c>
      <c r="R53">
        <f>B53*中国_中债国债到期收益率_1年!B52/365*100</f>
        <v>14.9268493150685</v>
      </c>
      <c r="S53">
        <f>C53*中国_中债国债到期收益率_1年!C52/365*100</f>
        <v>20.4156164383562</v>
      </c>
      <c r="T53">
        <f>D53*中国_中债国债到期收益率_1年!D52/365*100</f>
        <v>14.9682191780822</v>
      </c>
      <c r="U53">
        <f>E53*中国_中债国债到期收益率_1年!E52/365*100</f>
        <v>4.43876712328767</v>
      </c>
      <c r="V53">
        <f t="shared" si="15"/>
        <v>54.7494520547945</v>
      </c>
      <c r="W53" t="e">
        <f>SUM($V$3:V53)</f>
        <v>#NAME?</v>
      </c>
      <c r="X53">
        <f>MAX(F53-50,0)*中国_中债国债到期收益率_1年!H53*100/365</f>
        <v>13.9041095890411</v>
      </c>
      <c r="Y53">
        <f>SUM($X$3:X53)</f>
        <v>778.926575342466</v>
      </c>
      <c r="AB53">
        <f>Z53*Return!F53*100</f>
        <v>0</v>
      </c>
      <c r="AD53">
        <f>SUM($AB$3:AB53)+SUM($AC$3:AC53)</f>
        <v>0</v>
      </c>
      <c r="AE53" t="e">
        <f t="shared" si="8"/>
        <v>#NAME?</v>
      </c>
      <c r="AF53" t="e">
        <f t="shared" si="9"/>
        <v>#NAME?</v>
      </c>
      <c r="AG53" s="5" t="e">
        <f>(AF53/AF52-1)-中国_中债国债到期收益率_1年!H53%/252</f>
        <v>#NAME?</v>
      </c>
      <c r="AH53" s="5" t="e">
        <f>MIN((AF53-MAX($AF$3:AF53))/MAX($AF$3:AF53),0)</f>
        <v>#NAME?</v>
      </c>
    </row>
    <row r="54" spans="1:34">
      <c r="A54" s="7">
        <v>44788</v>
      </c>
      <c r="B54">
        <v>30</v>
      </c>
      <c r="C54">
        <v>30</v>
      </c>
      <c r="D54">
        <v>20</v>
      </c>
      <c r="E54">
        <v>5</v>
      </c>
      <c r="F54">
        <f t="shared" si="0"/>
        <v>85</v>
      </c>
      <c r="G54">
        <f t="shared" si="10"/>
        <v>30</v>
      </c>
      <c r="H54">
        <f t="shared" si="11"/>
        <v>150</v>
      </c>
      <c r="I54">
        <f t="shared" si="12"/>
        <v>180</v>
      </c>
      <c r="J54">
        <f t="shared" si="13"/>
        <v>80</v>
      </c>
      <c r="K54">
        <f t="shared" si="5"/>
        <v>440</v>
      </c>
      <c r="L54">
        <f>G54*Return!B54*100</f>
        <v>13.7999999999998</v>
      </c>
      <c r="M54">
        <f>H54*Return!C54*100</f>
        <v>-79.4999999999946</v>
      </c>
      <c r="N54">
        <f>I54*Return!D54*100</f>
        <v>-54.000000000002</v>
      </c>
      <c r="O54">
        <f>J54*Return!E54*100</f>
        <v>-15.2000000000001</v>
      </c>
      <c r="P54">
        <f t="shared" si="14"/>
        <v>-134.899999999997</v>
      </c>
      <c r="Q54" t="e">
        <f>SUM($P$3:P54)</f>
        <v>#NAME?</v>
      </c>
      <c r="R54">
        <f>B54*中国_中债国债到期收益率_1年!B53/365*100</f>
        <v>14.8890410958904</v>
      </c>
      <c r="S54">
        <f>C54*中国_中债国债到期收益率_1年!C53/365*100</f>
        <v>20.4591780821918</v>
      </c>
      <c r="T54">
        <f>D54*中国_中债国债到期收益率_1年!D53/365*100</f>
        <v>14.9846575342466</v>
      </c>
      <c r="U54">
        <f>E54*中国_中债国债到期收益率_1年!E53/365*100</f>
        <v>4.4413698630137</v>
      </c>
      <c r="V54">
        <f t="shared" si="15"/>
        <v>54.7742465753425</v>
      </c>
      <c r="W54" t="e">
        <f>SUM($V$3:V54)</f>
        <v>#NAME?</v>
      </c>
      <c r="X54">
        <f>MAX(F54-50,0)*中国_中债国债到期收益率_1年!H54*100/365</f>
        <v>13.5205479452055</v>
      </c>
      <c r="Y54">
        <f>SUM($X$3:X54)</f>
        <v>792.447123287671</v>
      </c>
      <c r="AB54">
        <f>Z54*Return!F54*100</f>
        <v>0</v>
      </c>
      <c r="AD54">
        <f>SUM($AB$3:AB54)+SUM($AC$3:AC54)</f>
        <v>0</v>
      </c>
      <c r="AE54" t="e">
        <f t="shared" si="8"/>
        <v>#NAME?</v>
      </c>
      <c r="AF54" t="e">
        <f t="shared" si="9"/>
        <v>#NAME?</v>
      </c>
      <c r="AG54" s="5" t="e">
        <f>(AF54/AF53-1)-中国_中债国债到期收益率_1年!H54%/252</f>
        <v>#NAME?</v>
      </c>
      <c r="AH54" s="5" t="e">
        <f>MIN((AF54-MAX($AF$3:AF54))/MAX($AF$3:AF54),0)</f>
        <v>#NAME?</v>
      </c>
    </row>
    <row r="55" spans="1:34">
      <c r="A55" s="7">
        <v>44789</v>
      </c>
      <c r="B55">
        <v>30</v>
      </c>
      <c r="C55">
        <v>30</v>
      </c>
      <c r="D55">
        <v>20</v>
      </c>
      <c r="E55">
        <v>5</v>
      </c>
      <c r="F55">
        <f t="shared" si="0"/>
        <v>85</v>
      </c>
      <c r="G55">
        <f t="shared" si="10"/>
        <v>30</v>
      </c>
      <c r="H55">
        <f t="shared" si="11"/>
        <v>150</v>
      </c>
      <c r="I55">
        <f t="shared" si="12"/>
        <v>180</v>
      </c>
      <c r="J55">
        <f t="shared" si="13"/>
        <v>80</v>
      </c>
      <c r="K55">
        <f t="shared" si="5"/>
        <v>440</v>
      </c>
      <c r="L55">
        <f>G55*Return!B55*100</f>
        <v>284.400000000001</v>
      </c>
      <c r="M55">
        <f>H55*Return!C55*100</f>
        <v>1413</v>
      </c>
      <c r="N55">
        <f>I55*Return!D55*100</f>
        <v>1377</v>
      </c>
      <c r="O55">
        <f>J55*Return!E55*100</f>
        <v>431.200000000001</v>
      </c>
      <c r="P55">
        <f t="shared" si="14"/>
        <v>3505.6</v>
      </c>
      <c r="Q55" t="e">
        <f>SUM($P$3:P55)</f>
        <v>#NAME?</v>
      </c>
      <c r="R55">
        <f>B55*中国_中债国债到期收益率_1年!B54/365*100</f>
        <v>14.1098630136986</v>
      </c>
      <c r="S55">
        <f>C55*中国_中债国债到期收益率_1年!C54/365*100</f>
        <v>19.6849315068493</v>
      </c>
      <c r="T55">
        <f>D55*中国_中债国债到期收益率_1年!D54/365*100</f>
        <v>14.5654794520548</v>
      </c>
      <c r="U55">
        <f>E55*中国_中债国债到期收益率_1年!E54/365*100</f>
        <v>4.36753424657534</v>
      </c>
      <c r="V55">
        <f t="shared" si="15"/>
        <v>52.7278082191781</v>
      </c>
      <c r="W55" t="e">
        <f>SUM($V$3:V55)</f>
        <v>#NAME?</v>
      </c>
      <c r="X55">
        <f>MAX(F55-50,0)*中国_中债国债到期收益率_1年!H55*100/365</f>
        <v>13.4246575342466</v>
      </c>
      <c r="Y55">
        <f>SUM($X$3:X55)</f>
        <v>805.871780821918</v>
      </c>
      <c r="AB55">
        <f>Z55*Return!F55*100</f>
        <v>0</v>
      </c>
      <c r="AD55">
        <f>SUM($AB$3:AB55)+SUM($AC$3:AC55)</f>
        <v>0</v>
      </c>
      <c r="AE55" t="e">
        <f t="shared" si="8"/>
        <v>#NAME?</v>
      </c>
      <c r="AF55" t="e">
        <f t="shared" si="9"/>
        <v>#NAME?</v>
      </c>
      <c r="AG55" s="5" t="e">
        <f>(AF55/AF54-1)-中国_中债国债到期收益率_1年!H55%/252</f>
        <v>#NAME?</v>
      </c>
      <c r="AH55" s="5" t="e">
        <f>MIN((AF55-MAX($AF$3:AF55))/MAX($AF$3:AF55),0)</f>
        <v>#NAME?</v>
      </c>
    </row>
    <row r="56" spans="1:34">
      <c r="A56" s="7">
        <v>44790</v>
      </c>
      <c r="B56">
        <v>30</v>
      </c>
      <c r="C56">
        <v>30</v>
      </c>
      <c r="D56">
        <v>20</v>
      </c>
      <c r="E56">
        <v>5</v>
      </c>
      <c r="F56">
        <f t="shared" si="0"/>
        <v>85</v>
      </c>
      <c r="G56">
        <f t="shared" si="10"/>
        <v>30</v>
      </c>
      <c r="H56">
        <f t="shared" si="11"/>
        <v>150</v>
      </c>
      <c r="I56">
        <f t="shared" si="12"/>
        <v>180</v>
      </c>
      <c r="J56">
        <f t="shared" si="13"/>
        <v>80</v>
      </c>
      <c r="K56">
        <f t="shared" si="5"/>
        <v>440</v>
      </c>
      <c r="L56">
        <f>G56*Return!B56*100</f>
        <v>-9.60000000000027</v>
      </c>
      <c r="M56">
        <f>H56*Return!C56*100</f>
        <v>183</v>
      </c>
      <c r="N56">
        <f>I56*Return!D56*100</f>
        <v>424.800000000001</v>
      </c>
      <c r="O56">
        <f>J56*Return!E56*100</f>
        <v>99.1999999999997</v>
      </c>
      <c r="P56">
        <f t="shared" si="14"/>
        <v>697.4</v>
      </c>
      <c r="Q56" t="e">
        <f>SUM($P$3:P56)</f>
        <v>#NAME?</v>
      </c>
      <c r="R56">
        <f>B56*中国_中债国债到期收益率_1年!B55/365*100</f>
        <v>14.1361643835616</v>
      </c>
      <c r="S56">
        <f>C56*中国_中债国债到期收益率_1年!C55/365*100</f>
        <v>19.5846575342466</v>
      </c>
      <c r="T56">
        <f>D56*中国_中债国债到期收益率_1年!D55/365*100</f>
        <v>14.4361643835616</v>
      </c>
      <c r="U56">
        <f>E56*中国_中债国债到期收益率_1年!E55/365*100</f>
        <v>4.35054794520548</v>
      </c>
      <c r="V56">
        <f t="shared" si="15"/>
        <v>52.5075342465753</v>
      </c>
      <c r="W56" t="e">
        <f>SUM($V$3:V56)</f>
        <v>#NAME?</v>
      </c>
      <c r="X56">
        <f>MAX(F56-50,0)*中国_中债国债到期收益率_1年!H56*100/365</f>
        <v>14.3835616438356</v>
      </c>
      <c r="Y56">
        <f>SUM($X$3:X56)</f>
        <v>820.255342465753</v>
      </c>
      <c r="AB56">
        <f>Z56*Return!F56*100</f>
        <v>0</v>
      </c>
      <c r="AD56">
        <f>SUM($AB$3:AB56)+SUM($AC$3:AC56)</f>
        <v>0</v>
      </c>
      <c r="AE56" t="e">
        <f t="shared" si="8"/>
        <v>#NAME?</v>
      </c>
      <c r="AF56" t="e">
        <f t="shared" si="9"/>
        <v>#NAME?</v>
      </c>
      <c r="AG56" s="5" t="e">
        <f>(AF56/AF55-1)-中国_中债国债到期收益率_1年!H56%/252</f>
        <v>#NAME?</v>
      </c>
      <c r="AH56" s="5" t="e">
        <f>MIN((AF56-MAX($AF$3:AF56))/MAX($AF$3:AF56),0)</f>
        <v>#NAME?</v>
      </c>
    </row>
    <row r="57" spans="1:34">
      <c r="A57" s="7">
        <v>44791</v>
      </c>
      <c r="B57">
        <v>30</v>
      </c>
      <c r="C57">
        <v>30</v>
      </c>
      <c r="D57">
        <v>20</v>
      </c>
      <c r="E57">
        <v>5</v>
      </c>
      <c r="F57">
        <f t="shared" si="0"/>
        <v>85</v>
      </c>
      <c r="G57">
        <f t="shared" si="10"/>
        <v>30</v>
      </c>
      <c r="H57">
        <f t="shared" si="11"/>
        <v>150</v>
      </c>
      <c r="I57">
        <f t="shared" si="12"/>
        <v>180</v>
      </c>
      <c r="J57">
        <f t="shared" si="13"/>
        <v>80</v>
      </c>
      <c r="K57">
        <f t="shared" si="5"/>
        <v>440</v>
      </c>
      <c r="L57">
        <f>G57*Return!B57*100</f>
        <v>2.6999999999997</v>
      </c>
      <c r="M57">
        <f>H57*Return!C57*100</f>
        <v>40.4999999999989</v>
      </c>
      <c r="N57">
        <f>I57*Return!D57*100</f>
        <v>399.599999999996</v>
      </c>
      <c r="O57">
        <f>J57*Return!E57*100</f>
        <v>39.9999999999991</v>
      </c>
      <c r="P57">
        <f t="shared" si="14"/>
        <v>482.799999999994</v>
      </c>
      <c r="Q57" t="e">
        <f>SUM($P$3:P57)</f>
        <v>#NAME?</v>
      </c>
      <c r="R57">
        <f>B57*中国_中债国债到期收益率_1年!B56/365*100</f>
        <v>14.1287671232877</v>
      </c>
      <c r="S57">
        <f>C57*中国_中债国债到期收益率_1年!C56/365*100</f>
        <v>19.5624657534247</v>
      </c>
      <c r="T57">
        <f>D57*中国_中债国债到期收益率_1年!D56/365*100</f>
        <v>14.3145205479452</v>
      </c>
      <c r="U57">
        <f>E57*中国_中债国债到期收益率_1年!E56/365*100</f>
        <v>4.34369863013699</v>
      </c>
      <c r="V57">
        <f t="shared" si="15"/>
        <v>52.3494520547945</v>
      </c>
      <c r="W57" t="e">
        <f>SUM($V$3:V57)</f>
        <v>#NAME?</v>
      </c>
      <c r="X57">
        <f>MAX(F57-50,0)*中国_中债国债到期收益率_1年!H57*100/365</f>
        <v>14.3835616438356</v>
      </c>
      <c r="Y57">
        <f>SUM($X$3:X57)</f>
        <v>834.638904109589</v>
      </c>
      <c r="AB57">
        <f>Z57*Return!F57*100</f>
        <v>0</v>
      </c>
      <c r="AD57">
        <f>SUM($AB$3:AB57)+SUM($AC$3:AC57)</f>
        <v>0</v>
      </c>
      <c r="AE57" t="e">
        <f t="shared" si="8"/>
        <v>#NAME?</v>
      </c>
      <c r="AF57" t="e">
        <f t="shared" si="9"/>
        <v>#NAME?</v>
      </c>
      <c r="AG57" s="5" t="e">
        <f>(AF57/AF56-1)-中国_中债国债到期收益率_1年!H57%/252</f>
        <v>#NAME?</v>
      </c>
      <c r="AH57" s="5" t="e">
        <f>MIN((AF57-MAX($AF$3:AF57))/MAX($AF$3:AF57),0)</f>
        <v>#NAME?</v>
      </c>
    </row>
    <row r="58" spans="1:34">
      <c r="A58" s="7">
        <v>44792</v>
      </c>
      <c r="B58">
        <v>30</v>
      </c>
      <c r="C58">
        <v>30</v>
      </c>
      <c r="D58">
        <v>20</v>
      </c>
      <c r="E58">
        <v>5</v>
      </c>
      <c r="F58">
        <f t="shared" si="0"/>
        <v>85</v>
      </c>
      <c r="G58">
        <f t="shared" si="10"/>
        <v>30</v>
      </c>
      <c r="H58">
        <f t="shared" si="11"/>
        <v>150</v>
      </c>
      <c r="I58">
        <f t="shared" si="12"/>
        <v>180</v>
      </c>
      <c r="J58">
        <f t="shared" si="13"/>
        <v>80</v>
      </c>
      <c r="K58">
        <f t="shared" si="5"/>
        <v>440</v>
      </c>
      <c r="L58">
        <f>G58*Return!B58*100</f>
        <v>55.8000000000005</v>
      </c>
      <c r="M58">
        <f>H58*Return!C58*100</f>
        <v>334.5</v>
      </c>
      <c r="N58">
        <f>I58*Return!D58*100</f>
        <v>583.2</v>
      </c>
      <c r="O58">
        <f>J58*Return!E58*100</f>
        <v>264.800000000001</v>
      </c>
      <c r="P58">
        <f t="shared" si="14"/>
        <v>1238.3</v>
      </c>
      <c r="Q58" t="e">
        <f>SUM($P$3:P58)</f>
        <v>#NAME?</v>
      </c>
      <c r="R58">
        <f>B58*中国_中债国债到期收益率_1年!B57/365*100</f>
        <v>13.9758904109589</v>
      </c>
      <c r="S58">
        <f>C58*中国_中债国债到期收益率_1年!C57/365*100</f>
        <v>19.3791780821918</v>
      </c>
      <c r="T58">
        <f>D58*中国_中债国债到期收益率_1年!D57/365*100</f>
        <v>14.1369863013699</v>
      </c>
      <c r="U58">
        <f>E58*中国_中债国债到期收益率_1年!E57/365*100</f>
        <v>4.29835616438356</v>
      </c>
      <c r="V58">
        <f t="shared" si="15"/>
        <v>51.7904109589041</v>
      </c>
      <c r="W58" t="e">
        <f>SUM($V$3:V58)</f>
        <v>#NAME?</v>
      </c>
      <c r="X58">
        <f>MAX(F58-50,0)*中国_中债国债到期收益率_1年!H58*100/365</f>
        <v>14.3835616438356</v>
      </c>
      <c r="Y58">
        <f>SUM($X$3:X58)</f>
        <v>849.022465753424</v>
      </c>
      <c r="AB58">
        <f>Z58*Return!F58*100</f>
        <v>0</v>
      </c>
      <c r="AD58">
        <f>SUM($AB$3:AB58)+SUM($AC$3:AC58)</f>
        <v>0</v>
      </c>
      <c r="AE58" t="e">
        <f t="shared" si="8"/>
        <v>#NAME?</v>
      </c>
      <c r="AF58" t="e">
        <f t="shared" si="9"/>
        <v>#NAME?</v>
      </c>
      <c r="AG58" s="5" t="e">
        <f>(AF58/AF57-1)-中国_中债国债到期收益率_1年!H58%/252</f>
        <v>#NAME?</v>
      </c>
      <c r="AH58" s="5" t="e">
        <f>MIN((AF58-MAX($AF$3:AF58))/MAX($AF$3:AF58),0)</f>
        <v>#NAME?</v>
      </c>
    </row>
    <row r="59" spans="1:34">
      <c r="A59" s="7">
        <v>44795</v>
      </c>
      <c r="B59">
        <v>30</v>
      </c>
      <c r="C59">
        <v>30</v>
      </c>
      <c r="D59">
        <v>20</v>
      </c>
      <c r="F59">
        <f t="shared" si="0"/>
        <v>80</v>
      </c>
      <c r="G59">
        <f t="shared" ref="G59:G87" si="16">B59</f>
        <v>30</v>
      </c>
      <c r="H59">
        <f t="shared" ref="H59:H87" si="17">5*C59</f>
        <v>150</v>
      </c>
      <c r="I59">
        <f t="shared" ref="I59:I87" si="18">9*D59</f>
        <v>180</v>
      </c>
      <c r="J59">
        <f t="shared" ref="J59:J87" si="19">16*E59</f>
        <v>0</v>
      </c>
      <c r="K59">
        <f t="shared" si="5"/>
        <v>360</v>
      </c>
      <c r="L59">
        <f>G59*Return!B59*100</f>
        <v>-73.2000000000006</v>
      </c>
      <c r="M59">
        <f>H59*Return!C59*100</f>
        <v>-194.999999999999</v>
      </c>
      <c r="N59">
        <f>I59*Return!D59*100</f>
        <v>-134.999999999997</v>
      </c>
      <c r="O59">
        <f>J59*Return!E59*100</f>
        <v>0</v>
      </c>
      <c r="P59">
        <f t="shared" si="14"/>
        <v>-403.199999999996</v>
      </c>
      <c r="Q59" t="e">
        <f>SUM($P$3:P59)</f>
        <v>#NAME?</v>
      </c>
      <c r="R59">
        <f>B59*中国_中债国债到期收益率_1年!B58/365*100</f>
        <v>14.1764383561644</v>
      </c>
      <c r="S59">
        <f>C59*中国_中债国债到期收益率_1年!C58/365*100</f>
        <v>19.4860273972603</v>
      </c>
      <c r="T59">
        <f>D59*中国_中债国债到期收益率_1年!D58/365*100</f>
        <v>14.1780821917808</v>
      </c>
      <c r="U59">
        <f>E59*中国_中债国债到期收益率_1年!E58/365*100</f>
        <v>0</v>
      </c>
      <c r="V59">
        <f t="shared" si="15"/>
        <v>47.8405479452055</v>
      </c>
      <c r="W59" t="e">
        <f>SUM($V$3:V59)</f>
        <v>#NAME?</v>
      </c>
      <c r="X59">
        <f>MAX(F59-50,0)*中国_中债国债到期收益率_1年!H59*100/365</f>
        <v>12.3287671232877</v>
      </c>
      <c r="Y59">
        <f>SUM($X$3:X59)</f>
        <v>861.351232876712</v>
      </c>
      <c r="AB59">
        <f>Z59*Return!F59*100</f>
        <v>0</v>
      </c>
      <c r="AD59">
        <f>SUM($AB$3:AB59)+SUM($AC$3:AC59)</f>
        <v>0</v>
      </c>
      <c r="AE59" t="e">
        <f t="shared" si="8"/>
        <v>#NAME?</v>
      </c>
      <c r="AF59" t="e">
        <f t="shared" si="9"/>
        <v>#NAME?</v>
      </c>
      <c r="AG59" s="5" t="e">
        <f>(AF59/AF58-1)-中国_中债国债到期收益率_1年!H59%/252</f>
        <v>#NAME?</v>
      </c>
      <c r="AH59" s="5" t="e">
        <f>MIN((AF59-MAX($AF$3:AF59))/MAX($AF$3:AF59),0)</f>
        <v>#NAME?</v>
      </c>
    </row>
    <row r="60" spans="1:34">
      <c r="A60" s="7">
        <v>44796</v>
      </c>
      <c r="B60">
        <v>30</v>
      </c>
      <c r="C60">
        <v>30</v>
      </c>
      <c r="D60">
        <v>20</v>
      </c>
      <c r="F60">
        <f t="shared" si="0"/>
        <v>80</v>
      </c>
      <c r="G60">
        <f t="shared" si="16"/>
        <v>30</v>
      </c>
      <c r="H60">
        <f t="shared" si="17"/>
        <v>150</v>
      </c>
      <c r="I60">
        <f t="shared" si="18"/>
        <v>180</v>
      </c>
      <c r="J60">
        <f t="shared" si="19"/>
        <v>0</v>
      </c>
      <c r="K60">
        <f t="shared" si="5"/>
        <v>360</v>
      </c>
      <c r="L60">
        <f>G60*Return!B60*100</f>
        <v>-96.5999999999994</v>
      </c>
      <c r="M60">
        <f>H60*Return!C60*100</f>
        <v>-388.500000000001</v>
      </c>
      <c r="N60">
        <f>I60*Return!D60*100</f>
        <v>-89.9999999999981</v>
      </c>
      <c r="O60">
        <f>J60*Return!E60*100</f>
        <v>0</v>
      </c>
      <c r="P60">
        <f t="shared" si="14"/>
        <v>-575.099999999998</v>
      </c>
      <c r="Q60" t="e">
        <f>SUM($P$3:P60)</f>
        <v>#NAME?</v>
      </c>
      <c r="R60">
        <f>B60*中国_中债国债到期收益率_1年!B59/365*100</f>
        <v>14.441095890411</v>
      </c>
      <c r="S60">
        <f>C60*中国_中债国债到期收益率_1年!C59/365*100</f>
        <v>19.698904109589</v>
      </c>
      <c r="T60">
        <f>D60*中国_中债国债到期收益率_1年!D59/365*100</f>
        <v>14.2054794520548</v>
      </c>
      <c r="U60">
        <f>E60*中国_中债国债到期收益率_1年!E59/365*100</f>
        <v>0</v>
      </c>
      <c r="V60">
        <f t="shared" si="15"/>
        <v>48.3454794520548</v>
      </c>
      <c r="W60" t="e">
        <f>SUM($V$3:V60)</f>
        <v>#NAME?</v>
      </c>
      <c r="X60">
        <f>MAX(F60-50,0)*中国_中债国债到期收益率_1年!H60*100/365</f>
        <v>11.9178082191781</v>
      </c>
      <c r="Y60">
        <f>SUM($X$3:X60)</f>
        <v>873.26904109589</v>
      </c>
      <c r="AB60">
        <f>Z60*Return!F60*100</f>
        <v>0</v>
      </c>
      <c r="AD60">
        <f>SUM($AB$3:AB60)+SUM($AC$3:AC60)</f>
        <v>0</v>
      </c>
      <c r="AE60" t="e">
        <f t="shared" si="8"/>
        <v>#NAME?</v>
      </c>
      <c r="AF60" t="e">
        <f t="shared" si="9"/>
        <v>#NAME?</v>
      </c>
      <c r="AG60" s="5" t="e">
        <f>(AF60/AF59-1)-中国_中债国债到期收益率_1年!H60%/252</f>
        <v>#NAME?</v>
      </c>
      <c r="AH60" s="5" t="e">
        <f>MIN((AF60-MAX($AF$3:AF60))/MAX($AF$3:AF60),0)</f>
        <v>#NAME?</v>
      </c>
    </row>
    <row r="61" spans="1:34">
      <c r="A61" s="7">
        <v>44797</v>
      </c>
      <c r="B61">
        <v>30</v>
      </c>
      <c r="C61">
        <v>30</v>
      </c>
      <c r="D61">
        <v>20</v>
      </c>
      <c r="F61">
        <f t="shared" si="0"/>
        <v>80</v>
      </c>
      <c r="G61">
        <f t="shared" si="16"/>
        <v>30</v>
      </c>
      <c r="H61">
        <f t="shared" si="17"/>
        <v>150</v>
      </c>
      <c r="I61">
        <f t="shared" si="18"/>
        <v>180</v>
      </c>
      <c r="J61">
        <f t="shared" si="19"/>
        <v>0</v>
      </c>
      <c r="K61">
        <f t="shared" si="5"/>
        <v>360</v>
      </c>
      <c r="L61">
        <f>G61*Return!B61*100</f>
        <v>-0.300000000000633</v>
      </c>
      <c r="M61">
        <f>H61*Return!C61*100</f>
        <v>-185.999999999999</v>
      </c>
      <c r="N61">
        <f>I61*Return!D61*100</f>
        <v>-270.000000000002</v>
      </c>
      <c r="O61">
        <f>J61*Return!E61*100</f>
        <v>0</v>
      </c>
      <c r="P61">
        <f t="shared" si="14"/>
        <v>-456.300000000002</v>
      </c>
      <c r="Q61" t="e">
        <f>SUM($P$3:P61)</f>
        <v>#NAME?</v>
      </c>
      <c r="R61">
        <f>B61*中国_中债国债到期收益率_1年!B60/365*100</f>
        <v>14.4419178082192</v>
      </c>
      <c r="S61">
        <f>C61*中国_中债国债到期收益率_1年!C60/365*100</f>
        <v>19.8008219178082</v>
      </c>
      <c r="T61">
        <f>D61*中国_中债国债到期收益率_1年!D60/365*100</f>
        <v>14.2876712328767</v>
      </c>
      <c r="U61">
        <f>E61*中国_中债国债到期收益率_1年!E60/365*100</f>
        <v>0</v>
      </c>
      <c r="V61">
        <f t="shared" si="15"/>
        <v>48.5304109589041</v>
      </c>
      <c r="W61" t="e">
        <f>SUM($V$3:V61)</f>
        <v>#NAME?</v>
      </c>
      <c r="X61">
        <f>MAX(F61-50,0)*中国_中债国债到期收益率_1年!H61*100/365</f>
        <v>11.9178082191781</v>
      </c>
      <c r="Y61">
        <f>SUM($X$3:X61)</f>
        <v>885.186849315068</v>
      </c>
      <c r="AB61">
        <f>Z61*Return!F61*100</f>
        <v>0</v>
      </c>
      <c r="AD61">
        <f>SUM($AB$3:AB61)+SUM($AC$3:AC61)</f>
        <v>0</v>
      </c>
      <c r="AE61" t="e">
        <f t="shared" si="8"/>
        <v>#NAME?</v>
      </c>
      <c r="AF61" t="e">
        <f t="shared" si="9"/>
        <v>#NAME?</v>
      </c>
      <c r="AG61" s="5" t="e">
        <f>(AF61/AF60-1)-中国_中债国债到期收益率_1年!H61%/252</f>
        <v>#NAME?</v>
      </c>
      <c r="AH61" s="5" t="e">
        <f>MIN((AF61-MAX($AF$3:AF61))/MAX($AF$3:AF61),0)</f>
        <v>#NAME?</v>
      </c>
    </row>
    <row r="62" spans="1:34">
      <c r="A62" s="7">
        <v>44798</v>
      </c>
      <c r="B62">
        <v>30</v>
      </c>
      <c r="C62">
        <v>30</v>
      </c>
      <c r="D62">
        <v>20</v>
      </c>
      <c r="F62">
        <f t="shared" si="0"/>
        <v>80</v>
      </c>
      <c r="G62">
        <f t="shared" si="16"/>
        <v>30</v>
      </c>
      <c r="H62">
        <f t="shared" si="17"/>
        <v>150</v>
      </c>
      <c r="I62">
        <f t="shared" si="18"/>
        <v>180</v>
      </c>
      <c r="J62">
        <f t="shared" si="19"/>
        <v>0</v>
      </c>
      <c r="K62">
        <f t="shared" si="5"/>
        <v>360</v>
      </c>
      <c r="L62">
        <f>G62*Return!B62*100</f>
        <v>22.5000000000002</v>
      </c>
      <c r="M62">
        <f>H62*Return!C62*100</f>
        <v>-46.4999999999982</v>
      </c>
      <c r="N62">
        <f>I62*Return!D62*100</f>
        <v>-44.999999999999</v>
      </c>
      <c r="O62">
        <f>J62*Return!E62*100</f>
        <v>0</v>
      </c>
      <c r="P62">
        <f t="shared" si="14"/>
        <v>-68.9999999999971</v>
      </c>
      <c r="Q62" t="e">
        <f>SUM($P$3:P62)</f>
        <v>#NAME?</v>
      </c>
      <c r="R62">
        <f>B62*中国_中债国债到期收益率_1年!B61/365*100</f>
        <v>14.3802739726027</v>
      </c>
      <c r="S62">
        <f>C62*中国_中债国债到期收益率_1年!C61/365*100</f>
        <v>19.826301369863</v>
      </c>
      <c r="T62">
        <f>D62*中国_中债国债到期收益率_1年!D61/365*100</f>
        <v>14.3013698630137</v>
      </c>
      <c r="U62">
        <f>E62*中国_中债国债到期收益率_1年!E61/365*100</f>
        <v>0</v>
      </c>
      <c r="V62">
        <f t="shared" si="15"/>
        <v>48.5079452054795</v>
      </c>
      <c r="W62" t="e">
        <f>SUM($V$3:V62)</f>
        <v>#NAME?</v>
      </c>
      <c r="X62">
        <f>MAX(F62-50,0)*中国_中债国债到期收益率_1年!H62*100/365</f>
        <v>13.972602739726</v>
      </c>
      <c r="Y62">
        <f>SUM($X$3:X62)</f>
        <v>899.159452054794</v>
      </c>
      <c r="AB62">
        <f>Z62*Return!F62*100</f>
        <v>0</v>
      </c>
      <c r="AD62">
        <f>SUM($AB$3:AB62)+SUM($AC$3:AC62)</f>
        <v>0</v>
      </c>
      <c r="AE62" t="e">
        <f t="shared" si="8"/>
        <v>#NAME?</v>
      </c>
      <c r="AF62" t="e">
        <f t="shared" si="9"/>
        <v>#NAME?</v>
      </c>
      <c r="AG62" s="5" t="e">
        <f>(AF62/AF61-1)-中国_中债国债到期收益率_1年!H62%/252</f>
        <v>#NAME?</v>
      </c>
      <c r="AH62" s="5" t="e">
        <f>MIN((AF62-MAX($AF$3:AF62))/MAX($AF$3:AF62),0)</f>
        <v>#NAME?</v>
      </c>
    </row>
    <row r="63" spans="1:34">
      <c r="A63" s="7">
        <v>44799</v>
      </c>
      <c r="B63">
        <v>30</v>
      </c>
      <c r="C63">
        <v>30</v>
      </c>
      <c r="D63">
        <v>20</v>
      </c>
      <c r="F63">
        <f t="shared" si="0"/>
        <v>80</v>
      </c>
      <c r="G63">
        <f t="shared" si="16"/>
        <v>30</v>
      </c>
      <c r="H63">
        <f t="shared" si="17"/>
        <v>150</v>
      </c>
      <c r="I63">
        <f t="shared" si="18"/>
        <v>180</v>
      </c>
      <c r="J63">
        <f t="shared" si="19"/>
        <v>0</v>
      </c>
      <c r="K63">
        <f t="shared" si="5"/>
        <v>360</v>
      </c>
      <c r="L63">
        <f>G63*Return!B63*100</f>
        <v>-124.8</v>
      </c>
      <c r="M63">
        <f>H63*Return!C63*100</f>
        <v>-488.999999999999</v>
      </c>
      <c r="N63">
        <f>I63*Return!D63*100</f>
        <v>-521.999999999998</v>
      </c>
      <c r="O63">
        <f>J63*Return!E63*100</f>
        <v>0</v>
      </c>
      <c r="P63">
        <f t="shared" ref="P63:P126" si="20">SUM(L63:O63)</f>
        <v>-1135.8</v>
      </c>
      <c r="Q63" t="e">
        <f>SUM($P$3:P63)</f>
        <v>#NAME?</v>
      </c>
      <c r="R63">
        <f>B63*中国_中债国债到期收益率_1年!B62/365*100</f>
        <v>14.7221917808219</v>
      </c>
      <c r="S63">
        <f>C63*中国_中债国债到期收益率_1年!C62/365*100</f>
        <v>20.0942465753425</v>
      </c>
      <c r="T63">
        <f>D63*中国_中债国债到期收益率_1年!D62/365*100</f>
        <v>14.4602739726027</v>
      </c>
      <c r="U63">
        <f>E63*中国_中债国债到期收益率_1年!E62/365*100</f>
        <v>0</v>
      </c>
      <c r="V63">
        <f t="shared" ref="V63:V126" si="21">SUM(R63:U63)</f>
        <v>49.2767123287671</v>
      </c>
      <c r="W63" t="e">
        <f>SUM($V$3:V63)</f>
        <v>#NAME?</v>
      </c>
      <c r="X63">
        <f>MAX(F63-50,0)*中国_中债国债到期收益率_1年!H63*100/365</f>
        <v>14.7945205479452</v>
      </c>
      <c r="Y63">
        <f>SUM($X$3:X63)</f>
        <v>913.953972602739</v>
      </c>
      <c r="AB63">
        <f>Z63*Return!F63*100</f>
        <v>0</v>
      </c>
      <c r="AD63">
        <f>SUM($AB$3:AB63)+SUM($AC$3:AC63)</f>
        <v>0</v>
      </c>
      <c r="AE63" t="e">
        <f t="shared" si="8"/>
        <v>#NAME?</v>
      </c>
      <c r="AF63" t="e">
        <f t="shared" si="9"/>
        <v>#NAME?</v>
      </c>
      <c r="AG63" s="5" t="e">
        <f>(AF63/AF62-1)-中国_中债国债到期收益率_1年!H63%/252</f>
        <v>#NAME?</v>
      </c>
      <c r="AH63" s="5" t="e">
        <f>MIN((AF63-MAX($AF$3:AF63))/MAX($AF$3:AF63),0)</f>
        <v>#NAME?</v>
      </c>
    </row>
    <row r="64" spans="1:34">
      <c r="A64" s="7">
        <v>44802</v>
      </c>
      <c r="B64">
        <v>20</v>
      </c>
      <c r="C64">
        <v>30</v>
      </c>
      <c r="D64">
        <v>30</v>
      </c>
      <c r="F64">
        <f t="shared" si="0"/>
        <v>80</v>
      </c>
      <c r="G64">
        <f t="shared" si="16"/>
        <v>20</v>
      </c>
      <c r="H64">
        <f t="shared" si="17"/>
        <v>150</v>
      </c>
      <c r="I64">
        <f t="shared" si="18"/>
        <v>270</v>
      </c>
      <c r="J64">
        <f t="shared" si="19"/>
        <v>0</v>
      </c>
      <c r="K64">
        <f t="shared" si="5"/>
        <v>440</v>
      </c>
      <c r="L64">
        <f>G64*Return!B64*100</f>
        <v>-2.00000000000022</v>
      </c>
      <c r="M64">
        <f>H64*Return!C64*100</f>
        <v>22.5000000000009</v>
      </c>
      <c r="N64">
        <f>I64*Return!D64*100</f>
        <v>-108</v>
      </c>
      <c r="O64">
        <f>J64*Return!E64*100</f>
        <v>0</v>
      </c>
      <c r="P64">
        <f t="shared" si="20"/>
        <v>-87.4999999999995</v>
      </c>
      <c r="Q64" t="e">
        <f>SUM($P$3:P64)</f>
        <v>#NAME?</v>
      </c>
      <c r="R64">
        <f>B64*中国_中债国债到期收益率_1年!B63/365*100</f>
        <v>9.82027397260274</v>
      </c>
      <c r="S64">
        <f>C64*中国_中债国债到期收益率_1年!C63/365*100</f>
        <v>20.0819178082192</v>
      </c>
      <c r="T64">
        <f>D64*中国_中债国债到期收益率_1年!D63/365*100</f>
        <v>21.7232876712329</v>
      </c>
      <c r="U64">
        <f>E64*中国_中债国债到期收益率_1年!E63/365*100</f>
        <v>0</v>
      </c>
      <c r="V64">
        <f t="shared" si="21"/>
        <v>51.6254794520548</v>
      </c>
      <c r="W64" t="e">
        <f>SUM($V$3:V64)</f>
        <v>#NAME?</v>
      </c>
      <c r="X64">
        <f>MAX(F64-50,0)*中国_中债国债到期收益率_1年!H64*100/365</f>
        <v>14.7945205479452</v>
      </c>
      <c r="Y64">
        <f>SUM($X$3:X64)</f>
        <v>928.748493150685</v>
      </c>
      <c r="AB64">
        <f>Z64*Return!F64*100</f>
        <v>0</v>
      </c>
      <c r="AD64">
        <f>SUM($AB$3:AB64)+SUM($AC$3:AC64)</f>
        <v>0</v>
      </c>
      <c r="AE64" t="e">
        <f t="shared" si="8"/>
        <v>#NAME?</v>
      </c>
      <c r="AF64" t="e">
        <f t="shared" si="9"/>
        <v>#NAME?</v>
      </c>
      <c r="AG64" s="5" t="e">
        <f>(AF64/AF63-1)-中国_中债国债到期收益率_1年!H64%/252</f>
        <v>#NAME?</v>
      </c>
      <c r="AH64" s="5" t="e">
        <f>MIN((AF64-MAX($AF$3:AF64))/MAX($AF$3:AF64),0)</f>
        <v>#NAME?</v>
      </c>
    </row>
    <row r="65" spans="1:34">
      <c r="A65" s="7">
        <v>44803</v>
      </c>
      <c r="B65">
        <v>20</v>
      </c>
      <c r="C65">
        <v>30</v>
      </c>
      <c r="D65">
        <v>30</v>
      </c>
      <c r="F65">
        <f t="shared" si="0"/>
        <v>80</v>
      </c>
      <c r="G65">
        <f t="shared" si="16"/>
        <v>20</v>
      </c>
      <c r="H65">
        <f t="shared" si="17"/>
        <v>150</v>
      </c>
      <c r="I65">
        <f t="shared" si="18"/>
        <v>270</v>
      </c>
      <c r="J65">
        <f t="shared" si="19"/>
        <v>0</v>
      </c>
      <c r="K65">
        <f t="shared" si="5"/>
        <v>440</v>
      </c>
      <c r="L65">
        <f>G65*Return!B65*100</f>
        <v>72.2</v>
      </c>
      <c r="M65">
        <f>H65*Return!C65*100</f>
        <v>454.5</v>
      </c>
      <c r="N65">
        <f>I65*Return!D65*100</f>
        <v>553.499999999993</v>
      </c>
      <c r="O65">
        <f>J65*Return!E65*100</f>
        <v>0</v>
      </c>
      <c r="P65">
        <f t="shared" si="20"/>
        <v>1080.19999999999</v>
      </c>
      <c r="Q65" t="e">
        <f>SUM($P$3:P65)</f>
        <v>#NAME?</v>
      </c>
      <c r="R65">
        <f>B65*中国_中债国债到期收益率_1年!B64/365*100</f>
        <v>9.62246575342466</v>
      </c>
      <c r="S65">
        <f>C65*中国_中债国债到期收益率_1年!C64/365*100</f>
        <v>19.8328767123288</v>
      </c>
      <c r="T65">
        <f>D65*中国_中债国债到期收益率_1年!D64/365*100</f>
        <v>21.5547945205479</v>
      </c>
      <c r="U65">
        <f>E65*中国_中债国债到期收益率_1年!E64/365*100</f>
        <v>0</v>
      </c>
      <c r="V65">
        <f t="shared" si="21"/>
        <v>51.0101369863014</v>
      </c>
      <c r="W65" t="e">
        <f>SUM($V$3:V65)</f>
        <v>#NAME?</v>
      </c>
      <c r="X65">
        <f>MAX(F65-50,0)*中国_中债国债到期收益率_1年!H65*100/365</f>
        <v>14.3835616438356</v>
      </c>
      <c r="Y65">
        <f>SUM($X$3:X65)</f>
        <v>943.13205479452</v>
      </c>
      <c r="AB65">
        <f>Z65*Return!F65*100</f>
        <v>0</v>
      </c>
      <c r="AD65">
        <f>SUM($AB$3:AB65)+SUM($AC$3:AC65)</f>
        <v>0</v>
      </c>
      <c r="AE65" t="e">
        <f t="shared" si="8"/>
        <v>#NAME?</v>
      </c>
      <c r="AF65" t="e">
        <f t="shared" si="9"/>
        <v>#NAME?</v>
      </c>
      <c r="AG65" s="5" t="e">
        <f>(AF65/AF64-1)-中国_中债国债到期收益率_1年!H65%/252</f>
        <v>#NAME?</v>
      </c>
      <c r="AH65" s="5" t="e">
        <f>MIN((AF65-MAX($AF$3:AF65))/MAX($AF$3:AF65),0)</f>
        <v>#NAME?</v>
      </c>
    </row>
    <row r="66" spans="1:34">
      <c r="A66" s="7">
        <v>44804</v>
      </c>
      <c r="B66">
        <v>20</v>
      </c>
      <c r="C66">
        <v>30</v>
      </c>
      <c r="D66">
        <v>30</v>
      </c>
      <c r="F66">
        <f t="shared" si="0"/>
        <v>80</v>
      </c>
      <c r="G66">
        <f t="shared" si="16"/>
        <v>20</v>
      </c>
      <c r="H66">
        <f t="shared" si="17"/>
        <v>150</v>
      </c>
      <c r="I66">
        <f t="shared" si="18"/>
        <v>270</v>
      </c>
      <c r="J66">
        <f t="shared" si="19"/>
        <v>0</v>
      </c>
      <c r="K66">
        <f t="shared" si="5"/>
        <v>440</v>
      </c>
      <c r="L66">
        <f>G66*Return!B66*100</f>
        <v>31.0000000000001</v>
      </c>
      <c r="M66">
        <f>H66*Return!C66*100</f>
        <v>88.5000000000002</v>
      </c>
      <c r="N66">
        <f>I66*Return!D66*100</f>
        <v>256.500000000002</v>
      </c>
      <c r="O66">
        <f>J66*Return!E66*100</f>
        <v>0</v>
      </c>
      <c r="P66">
        <f t="shared" si="20"/>
        <v>376.000000000002</v>
      </c>
      <c r="Q66" t="e">
        <f>SUM($P$3:P66)</f>
        <v>#NAME?</v>
      </c>
      <c r="R66">
        <f>B66*中国_中债国债到期收益率_1年!B65/365*100</f>
        <v>9.53753424657534</v>
      </c>
      <c r="S66">
        <f>C66*中国_中债国债到期收益率_1年!C65/365*100</f>
        <v>19.7843835616438</v>
      </c>
      <c r="T66">
        <f>D66*中国_中债国债到期收益率_1年!D65/365*100</f>
        <v>21.4767123287671</v>
      </c>
      <c r="U66">
        <f>E66*中国_中债国债到期收益率_1年!E65/365*100</f>
        <v>0</v>
      </c>
      <c r="V66">
        <f t="shared" si="21"/>
        <v>50.7986301369863</v>
      </c>
      <c r="W66" t="e">
        <f>SUM($V$3:V66)</f>
        <v>#NAME?</v>
      </c>
      <c r="X66">
        <f>MAX(F66-50,0)*中国_中债国债到期收益率_1年!H66*100/365</f>
        <v>13.972602739726</v>
      </c>
      <c r="Y66">
        <f>SUM($X$3:X66)</f>
        <v>957.104657534246</v>
      </c>
      <c r="AB66">
        <f>Z66*Return!F66*100</f>
        <v>0</v>
      </c>
      <c r="AD66">
        <f>SUM($AB$3:AB66)+SUM($AC$3:AC66)</f>
        <v>0</v>
      </c>
      <c r="AE66" t="e">
        <f t="shared" si="8"/>
        <v>#NAME?</v>
      </c>
      <c r="AF66" t="e">
        <f t="shared" si="9"/>
        <v>#NAME?</v>
      </c>
      <c r="AG66" s="5" t="e">
        <f>(AF66/AF65-1)-中国_中债国债到期收益率_1年!H66%/252</f>
        <v>#NAME?</v>
      </c>
      <c r="AH66" s="5" t="e">
        <f>MIN((AF66-MAX($AF$3:AF66))/MAX($AF$3:AF66),0)</f>
        <v>#NAME?</v>
      </c>
    </row>
    <row r="67" spans="1:34">
      <c r="A67" s="7">
        <v>44805</v>
      </c>
      <c r="B67">
        <v>20</v>
      </c>
      <c r="C67">
        <v>30</v>
      </c>
      <c r="D67">
        <v>30</v>
      </c>
      <c r="F67">
        <f t="shared" ref="F67:F130" si="22">SUM(B67:E67)</f>
        <v>80</v>
      </c>
      <c r="G67">
        <f t="shared" si="16"/>
        <v>20</v>
      </c>
      <c r="H67">
        <f t="shared" si="17"/>
        <v>150</v>
      </c>
      <c r="I67">
        <f t="shared" si="18"/>
        <v>270</v>
      </c>
      <c r="J67">
        <f t="shared" si="19"/>
        <v>0</v>
      </c>
      <c r="K67">
        <f t="shared" ref="K67:K130" si="23">SUM(G67:J67)</f>
        <v>440</v>
      </c>
      <c r="L67">
        <f>G67*Return!B67*100</f>
        <v>5.59999999999983</v>
      </c>
      <c r="M67">
        <f>H67*Return!C67*100</f>
        <v>8.99999999999901</v>
      </c>
      <c r="N67">
        <f>I67*Return!D67*100</f>
        <v>-256.500000000002</v>
      </c>
      <c r="O67">
        <f>J67*Return!E67*100</f>
        <v>0</v>
      </c>
      <c r="P67">
        <f t="shared" si="20"/>
        <v>-241.900000000003</v>
      </c>
      <c r="Q67" t="e">
        <f>SUM($P$3:P67)</f>
        <v>#NAME?</v>
      </c>
      <c r="R67">
        <f>B67*中国_中债国债到期收益率_1年!B66/365*100</f>
        <v>9.52219178082192</v>
      </c>
      <c r="S67">
        <f>C67*中国_中债国债到期收益率_1年!C66/365*100</f>
        <v>19.7794520547945</v>
      </c>
      <c r="T67">
        <f>D67*中国_中债国债到期收益率_1年!D66/365*100</f>
        <v>21.5547945205479</v>
      </c>
      <c r="U67">
        <f>E67*中国_中债国债到期收益率_1年!E66/365*100</f>
        <v>0</v>
      </c>
      <c r="V67">
        <f t="shared" si="21"/>
        <v>50.8564383561644</v>
      </c>
      <c r="W67" t="e">
        <f>SUM($V$3:V67)</f>
        <v>#NAME?</v>
      </c>
      <c r="X67">
        <f>MAX(F67-50,0)*中国_中债国债到期收益率_1年!H67*100/365</f>
        <v>12.3287671232877</v>
      </c>
      <c r="Y67">
        <f>SUM($X$3:X67)</f>
        <v>969.433424657534</v>
      </c>
      <c r="AB67">
        <f>Z67*Return!F67*100</f>
        <v>0</v>
      </c>
      <c r="AD67">
        <f>SUM($AB$3:AB67)+SUM($AC$3:AC67)</f>
        <v>0</v>
      </c>
      <c r="AE67" t="e">
        <f t="shared" si="8"/>
        <v>#NAME?</v>
      </c>
      <c r="AF67" t="e">
        <f t="shared" si="9"/>
        <v>#NAME?</v>
      </c>
      <c r="AG67" s="5" t="e">
        <f>(AF67/AF66-1)-中国_中债国债到期收益率_1年!H67%/252</f>
        <v>#NAME?</v>
      </c>
      <c r="AH67" s="5" t="e">
        <f>MIN((AF67-MAX($AF$3:AF67))/MAX($AF$3:AF67),0)</f>
        <v>#NAME?</v>
      </c>
    </row>
    <row r="68" spans="1:34">
      <c r="A68" s="7">
        <v>44806</v>
      </c>
      <c r="B68">
        <v>20</v>
      </c>
      <c r="C68">
        <v>30</v>
      </c>
      <c r="D68">
        <v>30</v>
      </c>
      <c r="F68">
        <f t="shared" si="22"/>
        <v>80</v>
      </c>
      <c r="G68">
        <f t="shared" si="16"/>
        <v>20</v>
      </c>
      <c r="H68">
        <f t="shared" si="17"/>
        <v>150</v>
      </c>
      <c r="I68">
        <f t="shared" si="18"/>
        <v>270</v>
      </c>
      <c r="J68">
        <f t="shared" si="19"/>
        <v>0</v>
      </c>
      <c r="K68">
        <f t="shared" si="23"/>
        <v>440</v>
      </c>
      <c r="L68">
        <f>G68*Return!B68*100</f>
        <v>27.0000000000001</v>
      </c>
      <c r="M68">
        <f>H68*Return!C68*100</f>
        <v>149.999999999997</v>
      </c>
      <c r="N68">
        <f>I68*Return!D68*100</f>
        <v>270.000000000006</v>
      </c>
      <c r="O68">
        <f>J68*Return!E68*100</f>
        <v>0</v>
      </c>
      <c r="P68">
        <f t="shared" si="20"/>
        <v>447.000000000003</v>
      </c>
      <c r="Q68" t="e">
        <f>SUM($P$3:P68)</f>
        <v>#NAME?</v>
      </c>
      <c r="R68">
        <f>B68*中国_中债国债到期收益率_1年!B67/365*100</f>
        <v>9.44821917808219</v>
      </c>
      <c r="S68">
        <f>C68*中国_中债国债到期收益率_1年!C67/365*100</f>
        <v>19.6972602739726</v>
      </c>
      <c r="T68">
        <f>D68*中国_中债国债到期收益率_1年!D67/365*100</f>
        <v>21.472602739726</v>
      </c>
      <c r="U68">
        <f>E68*中国_中债国债到期收益率_1年!E67/365*100</f>
        <v>0</v>
      </c>
      <c r="V68">
        <f t="shared" si="21"/>
        <v>50.6180821917808</v>
      </c>
      <c r="W68" t="e">
        <f>SUM($V$3:V68)</f>
        <v>#NAME?</v>
      </c>
      <c r="X68">
        <f>MAX(F68-50,0)*中国_中债国债到期收益率_1年!H68*100/365</f>
        <v>12.4923287671233</v>
      </c>
      <c r="Y68">
        <f>SUM($X$3:X68)</f>
        <v>981.925753424657</v>
      </c>
      <c r="AB68">
        <f>Z68*Return!F68*100</f>
        <v>0</v>
      </c>
      <c r="AD68">
        <f>SUM($AB$3:AB68)+SUM($AC$3:AC68)</f>
        <v>0</v>
      </c>
      <c r="AE68" t="e">
        <f t="shared" ref="AE68:AE131" si="24">Q68+W68+AD68-Y68</f>
        <v>#NAME?</v>
      </c>
      <c r="AF68" t="e">
        <f t="shared" ref="AF68:AF131" si="25">AE68/$AI$1+1</f>
        <v>#NAME?</v>
      </c>
      <c r="AG68" s="5" t="e">
        <f>(AF68/AF67-1)-中国_中债国债到期收益率_1年!H68%/252</f>
        <v>#NAME?</v>
      </c>
      <c r="AH68" s="5" t="e">
        <f>MIN((AF68-MAX($AF$3:AF68))/MAX($AF$3:AF68),0)</f>
        <v>#NAME?</v>
      </c>
    </row>
    <row r="69" spans="1:34">
      <c r="A69" s="7">
        <v>44809</v>
      </c>
      <c r="B69">
        <v>20</v>
      </c>
      <c r="C69">
        <v>30</v>
      </c>
      <c r="D69">
        <v>30</v>
      </c>
      <c r="F69">
        <f t="shared" si="22"/>
        <v>80</v>
      </c>
      <c r="G69">
        <f t="shared" si="16"/>
        <v>20</v>
      </c>
      <c r="H69">
        <f t="shared" si="17"/>
        <v>150</v>
      </c>
      <c r="I69">
        <f t="shared" si="18"/>
        <v>270</v>
      </c>
      <c r="J69">
        <f t="shared" si="19"/>
        <v>0</v>
      </c>
      <c r="K69">
        <f t="shared" si="23"/>
        <v>440</v>
      </c>
      <c r="L69">
        <f>G69*Return!B69*100</f>
        <v>9.99999999999979</v>
      </c>
      <c r="M69">
        <f>H69*Return!C69*100</f>
        <v>-88.5000000000002</v>
      </c>
      <c r="N69">
        <f>I69*Return!D69*100</f>
        <v>-272.7</v>
      </c>
      <c r="O69">
        <f>J69*Return!E69*100</f>
        <v>0</v>
      </c>
      <c r="P69">
        <f t="shared" si="20"/>
        <v>-351.2</v>
      </c>
      <c r="Q69" t="e">
        <f>SUM($P$3:P69)</f>
        <v>#NAME?</v>
      </c>
      <c r="R69">
        <f>B69*中国_中债国债到期收益率_1年!B68/365*100</f>
        <v>9.42082191780822</v>
      </c>
      <c r="S69">
        <f>C69*中国_中债国债到期收益率_1年!C68/365*100</f>
        <v>19.7457534246575</v>
      </c>
      <c r="T69">
        <f>D69*中国_中债国债到期收益率_1年!D68/365*100</f>
        <v>21.5556164383562</v>
      </c>
      <c r="U69">
        <f>E69*中国_中债国债到期收益率_1年!E68/365*100</f>
        <v>0</v>
      </c>
      <c r="V69">
        <f t="shared" si="21"/>
        <v>50.7221917808219</v>
      </c>
      <c r="W69" t="e">
        <f>SUM($V$3:V69)</f>
        <v>#NAME?</v>
      </c>
      <c r="X69">
        <f>MAX(F69-50,0)*中国_中债国债到期收益率_1年!H69*100/365</f>
        <v>12.3287671232877</v>
      </c>
      <c r="Y69">
        <f>SUM($X$3:X69)</f>
        <v>994.254520547945</v>
      </c>
      <c r="AB69">
        <f>Z69*Return!F69*100</f>
        <v>0</v>
      </c>
      <c r="AD69">
        <f>SUM($AB$3:AB69)+SUM($AC$3:AC69)</f>
        <v>0</v>
      </c>
      <c r="AE69" t="e">
        <f t="shared" si="24"/>
        <v>#NAME?</v>
      </c>
      <c r="AF69" t="e">
        <f t="shared" si="25"/>
        <v>#NAME?</v>
      </c>
      <c r="AG69" s="5" t="e">
        <f>(AF69/AF68-1)-中国_中债国债到期收益率_1年!H69%/252</f>
        <v>#NAME?</v>
      </c>
      <c r="AH69" s="5" t="e">
        <f>MIN((AF69-MAX($AF$3:AF69))/MAX($AF$3:AF69),0)</f>
        <v>#NAME?</v>
      </c>
    </row>
    <row r="70" spans="1:34">
      <c r="A70" s="7">
        <v>44810</v>
      </c>
      <c r="B70">
        <v>20</v>
      </c>
      <c r="C70">
        <v>30</v>
      </c>
      <c r="D70">
        <v>30</v>
      </c>
      <c r="F70">
        <f t="shared" si="22"/>
        <v>80</v>
      </c>
      <c r="G70">
        <f t="shared" si="16"/>
        <v>20</v>
      </c>
      <c r="H70">
        <f t="shared" si="17"/>
        <v>150</v>
      </c>
      <c r="I70">
        <f t="shared" si="18"/>
        <v>270</v>
      </c>
      <c r="J70">
        <f t="shared" si="19"/>
        <v>0</v>
      </c>
      <c r="K70">
        <f t="shared" si="23"/>
        <v>440</v>
      </c>
      <c r="L70">
        <f>G70*Return!B70*100</f>
        <v>12.2</v>
      </c>
      <c r="M70">
        <f>H70*Return!C70*100</f>
        <v>213.000000000003</v>
      </c>
      <c r="N70">
        <f>I70*Return!D70*100</f>
        <v>124.199999999998</v>
      </c>
      <c r="O70">
        <f>J70*Return!E70*100</f>
        <v>0</v>
      </c>
      <c r="P70">
        <f t="shared" si="20"/>
        <v>349.400000000001</v>
      </c>
      <c r="Q70" t="e">
        <f>SUM($P$3:P70)</f>
        <v>#NAME?</v>
      </c>
      <c r="R70">
        <f>B70*中国_中债国债到期收益率_1年!B69/365*100</f>
        <v>9.38739726027397</v>
      </c>
      <c r="S70">
        <f>C70*中国_中债国债到期收益率_1年!C69/365*100</f>
        <v>19.6290410958904</v>
      </c>
      <c r="T70">
        <f>D70*中国_中债国债到期收益率_1年!D69/365*100</f>
        <v>21.5178082191781</v>
      </c>
      <c r="U70">
        <f>E70*中国_中债国债到期收益率_1年!E69/365*100</f>
        <v>0</v>
      </c>
      <c r="V70">
        <f t="shared" si="21"/>
        <v>50.5342465753425</v>
      </c>
      <c r="W70" t="e">
        <f>SUM($V$3:V70)</f>
        <v>#NAME?</v>
      </c>
      <c r="X70">
        <f>MAX(F70-50,0)*中国_中债国债到期收益率_1年!H70*100/365</f>
        <v>12.3287671232877</v>
      </c>
      <c r="Y70">
        <f>SUM($X$3:X70)</f>
        <v>1006.58328767123</v>
      </c>
      <c r="AB70">
        <f>Z70*Return!F70*100</f>
        <v>0</v>
      </c>
      <c r="AD70">
        <f>SUM($AB$3:AB70)+SUM($AC$3:AC70)</f>
        <v>0</v>
      </c>
      <c r="AE70" t="e">
        <f t="shared" si="24"/>
        <v>#NAME?</v>
      </c>
      <c r="AF70" t="e">
        <f t="shared" si="25"/>
        <v>#NAME?</v>
      </c>
      <c r="AG70" s="5" t="e">
        <f>(AF70/AF69-1)-中国_中债国债到期收益率_1年!H70%/252</f>
        <v>#NAME?</v>
      </c>
      <c r="AH70" s="5" t="e">
        <f>MIN((AF70-MAX($AF$3:AF70))/MAX($AF$3:AF70),0)</f>
        <v>#NAME?</v>
      </c>
    </row>
    <row r="71" spans="1:34">
      <c r="A71" s="7">
        <v>44811</v>
      </c>
      <c r="B71">
        <v>20</v>
      </c>
      <c r="C71">
        <v>30</v>
      </c>
      <c r="D71">
        <v>30</v>
      </c>
      <c r="F71">
        <f t="shared" si="22"/>
        <v>80</v>
      </c>
      <c r="G71">
        <f t="shared" si="16"/>
        <v>20</v>
      </c>
      <c r="H71">
        <f t="shared" si="17"/>
        <v>150</v>
      </c>
      <c r="I71">
        <f t="shared" si="18"/>
        <v>270</v>
      </c>
      <c r="J71">
        <f t="shared" si="19"/>
        <v>0</v>
      </c>
      <c r="K71">
        <f t="shared" si="23"/>
        <v>440</v>
      </c>
      <c r="L71">
        <f>G71*Return!B71*100</f>
        <v>1.00000000000033</v>
      </c>
      <c r="M71">
        <f>H71*Return!C71*100</f>
        <v>70.4999999999956</v>
      </c>
      <c r="N71">
        <f>I71*Return!D71*100</f>
        <v>108</v>
      </c>
      <c r="O71">
        <f>J71*Return!E71*100</f>
        <v>0</v>
      </c>
      <c r="P71">
        <f t="shared" si="20"/>
        <v>179.499999999996</v>
      </c>
      <c r="Q71" t="e">
        <f>SUM($P$3:P71)</f>
        <v>#NAME?</v>
      </c>
      <c r="R71">
        <f>B71*中国_中债国债到期收益率_1年!B70/365*100</f>
        <v>9.38465753424657</v>
      </c>
      <c r="S71">
        <f>C71*中国_中债国债到期收益率_1年!C70/365*100</f>
        <v>19.5904109589041</v>
      </c>
      <c r="T71">
        <f>D71*中国_中债国债到期收益率_1年!D70/365*100</f>
        <v>21.4849315068493</v>
      </c>
      <c r="U71">
        <f>E71*中国_中债国债到期收益率_1年!E70/365*100</f>
        <v>0</v>
      </c>
      <c r="V71">
        <f t="shared" si="21"/>
        <v>50.46</v>
      </c>
      <c r="W71" t="e">
        <f>SUM($V$3:V71)</f>
        <v>#NAME?</v>
      </c>
      <c r="X71">
        <f>MAX(F71-50,0)*中国_中债国债到期收益率_1年!H71*100/365</f>
        <v>12.4109589041096</v>
      </c>
      <c r="Y71">
        <f>SUM($X$3:X71)</f>
        <v>1018.99424657534</v>
      </c>
      <c r="AB71">
        <f>Z71*Return!F71*100</f>
        <v>0</v>
      </c>
      <c r="AD71">
        <f>SUM($AB$3:AB71)+SUM($AC$3:AC71)</f>
        <v>0</v>
      </c>
      <c r="AE71" t="e">
        <f t="shared" si="24"/>
        <v>#NAME?</v>
      </c>
      <c r="AF71" t="e">
        <f t="shared" si="25"/>
        <v>#NAME?</v>
      </c>
      <c r="AG71" s="5" t="e">
        <f>(AF71/AF70-1)-中国_中债国债到期收益率_1年!H71%/252</f>
        <v>#NAME?</v>
      </c>
      <c r="AH71" s="5" t="e">
        <f>MIN((AF71-MAX($AF$3:AF71))/MAX($AF$3:AF71),0)</f>
        <v>#NAME?</v>
      </c>
    </row>
    <row r="72" spans="1:34">
      <c r="A72" s="7">
        <v>44812</v>
      </c>
      <c r="B72">
        <v>20</v>
      </c>
      <c r="C72">
        <v>30</v>
      </c>
      <c r="D72">
        <v>30</v>
      </c>
      <c r="F72">
        <f t="shared" si="22"/>
        <v>80</v>
      </c>
      <c r="G72">
        <f t="shared" si="16"/>
        <v>20</v>
      </c>
      <c r="H72">
        <f t="shared" si="17"/>
        <v>150</v>
      </c>
      <c r="I72">
        <f t="shared" si="18"/>
        <v>270</v>
      </c>
      <c r="J72">
        <f t="shared" si="19"/>
        <v>0</v>
      </c>
      <c r="K72">
        <f t="shared" si="23"/>
        <v>440</v>
      </c>
      <c r="L72">
        <f>G72*Return!B72*100</f>
        <v>-47.6000000000001</v>
      </c>
      <c r="M72">
        <f>H72*Return!C72*100</f>
        <v>-118.499999999997</v>
      </c>
      <c r="N72">
        <f>I72*Return!D72*100</f>
        <v>-202.500000000008</v>
      </c>
      <c r="O72">
        <f>J72*Return!E72*100</f>
        <v>0</v>
      </c>
      <c r="P72">
        <f t="shared" si="20"/>
        <v>-368.600000000005</v>
      </c>
      <c r="Q72" t="e">
        <f>SUM($P$3:P72)</f>
        <v>#NAME?</v>
      </c>
      <c r="R72">
        <f>B72*中国_中债国债到期收益率_1年!B71/365*100</f>
        <v>9.51506849315068</v>
      </c>
      <c r="S72">
        <f>C72*中国_中债国债到期收益率_1年!C71/365*100</f>
        <v>19.6553424657534</v>
      </c>
      <c r="T72">
        <f>D72*中国_中债国债到期收益率_1年!D71/365*100</f>
        <v>21.5465753424658</v>
      </c>
      <c r="U72">
        <f>E72*中国_中债国债到期收益率_1年!E71/365*100</f>
        <v>0</v>
      </c>
      <c r="V72">
        <f t="shared" si="21"/>
        <v>50.7169863013699</v>
      </c>
      <c r="W72" t="e">
        <f>SUM($V$3:V72)</f>
        <v>#NAME?</v>
      </c>
      <c r="X72">
        <f>MAX(F72-50,0)*中国_中债国债到期收益率_1年!H72*100/365</f>
        <v>12.3287671232877</v>
      </c>
      <c r="Y72">
        <f>SUM($X$3:X72)</f>
        <v>1031.32301369863</v>
      </c>
      <c r="AB72">
        <f>Z72*Return!F72*100</f>
        <v>0</v>
      </c>
      <c r="AD72">
        <f>SUM($AB$3:AB72)+SUM($AC$3:AC72)</f>
        <v>0</v>
      </c>
      <c r="AE72" t="e">
        <f t="shared" si="24"/>
        <v>#NAME?</v>
      </c>
      <c r="AF72" t="e">
        <f t="shared" si="25"/>
        <v>#NAME?</v>
      </c>
      <c r="AG72" s="5" t="e">
        <f>(AF72/AF71-1)-中国_中债国债到期收益率_1年!H72%/252</f>
        <v>#NAME?</v>
      </c>
      <c r="AH72" s="5" t="e">
        <f>MIN((AF72-MAX($AF$3:AF72))/MAX($AF$3:AF72),0)</f>
        <v>#NAME?</v>
      </c>
    </row>
    <row r="73" spans="1:34">
      <c r="A73" s="7">
        <v>44813</v>
      </c>
      <c r="B73">
        <v>20</v>
      </c>
      <c r="C73">
        <v>30</v>
      </c>
      <c r="D73">
        <v>30</v>
      </c>
      <c r="F73">
        <f t="shared" si="22"/>
        <v>80</v>
      </c>
      <c r="G73">
        <f t="shared" si="16"/>
        <v>20</v>
      </c>
      <c r="H73">
        <f t="shared" si="17"/>
        <v>150</v>
      </c>
      <c r="I73">
        <f t="shared" si="18"/>
        <v>270</v>
      </c>
      <c r="J73">
        <f t="shared" si="19"/>
        <v>0</v>
      </c>
      <c r="K73">
        <f t="shared" si="23"/>
        <v>440</v>
      </c>
      <c r="L73">
        <f>G73*Return!B73*100</f>
        <v>-25.0000000000004</v>
      </c>
      <c r="M73">
        <f>H73*Return!C73*100</f>
        <v>-108.000000000001</v>
      </c>
      <c r="N73">
        <f>I73*Return!D73*100</f>
        <v>-110.699999999994</v>
      </c>
      <c r="O73">
        <f>J73*Return!E73*100</f>
        <v>0</v>
      </c>
      <c r="P73">
        <f t="shared" si="20"/>
        <v>-243.699999999996</v>
      </c>
      <c r="Q73" t="e">
        <f>SUM($P$3:P73)</f>
        <v>#NAME?</v>
      </c>
      <c r="R73">
        <f>B73*中国_中债国债到期收益率_1年!B72/365*100</f>
        <v>9.58356164383562</v>
      </c>
      <c r="S73">
        <f>C73*中国_中债国债到期收益率_1年!C72/365*100</f>
        <v>19.7145205479452</v>
      </c>
      <c r="T73">
        <f>D73*中国_中债国债到期收益率_1年!D72/365*100</f>
        <v>21.5802739726027</v>
      </c>
      <c r="U73">
        <f>E73*中国_中债国债到期收益率_1年!E72/365*100</f>
        <v>0</v>
      </c>
      <c r="V73">
        <f t="shared" si="21"/>
        <v>50.8783561643836</v>
      </c>
      <c r="W73" t="e">
        <f>SUM($V$3:V73)</f>
        <v>#NAME?</v>
      </c>
      <c r="X73">
        <f>MAX(F73-50,0)*中国_中债国债到期收益率_1年!H73*100/365</f>
        <v>12.7397260273973</v>
      </c>
      <c r="Y73">
        <f>SUM($X$3:X73)</f>
        <v>1044.06273972603</v>
      </c>
      <c r="AB73">
        <f>Z73*Return!F73*100</f>
        <v>0</v>
      </c>
      <c r="AD73">
        <f>SUM($AB$3:AB73)+SUM($AC$3:AC73)</f>
        <v>0</v>
      </c>
      <c r="AE73" t="e">
        <f t="shared" si="24"/>
        <v>#NAME?</v>
      </c>
      <c r="AF73" t="e">
        <f t="shared" si="25"/>
        <v>#NAME?</v>
      </c>
      <c r="AG73" s="5" t="e">
        <f>(AF73/AF72-1)-中国_中债国债到期收益率_1年!H73%/252</f>
        <v>#NAME?</v>
      </c>
      <c r="AH73" s="5" t="e">
        <f>MIN((AF73-MAX($AF$3:AF73))/MAX($AF$3:AF73),0)</f>
        <v>#NAME?</v>
      </c>
    </row>
    <row r="74" spans="1:34">
      <c r="A74" s="7">
        <v>44817</v>
      </c>
      <c r="B74">
        <v>10</v>
      </c>
      <c r="C74">
        <v>30</v>
      </c>
      <c r="D74">
        <v>30</v>
      </c>
      <c r="F74">
        <f t="shared" si="22"/>
        <v>70</v>
      </c>
      <c r="G74">
        <f t="shared" si="16"/>
        <v>10</v>
      </c>
      <c r="H74">
        <f t="shared" si="17"/>
        <v>150</v>
      </c>
      <c r="I74">
        <f t="shared" si="18"/>
        <v>270</v>
      </c>
      <c r="J74">
        <f t="shared" si="19"/>
        <v>0</v>
      </c>
      <c r="K74">
        <f t="shared" si="23"/>
        <v>430</v>
      </c>
      <c r="L74">
        <f>G74*Return!B74*100</f>
        <v>-10.6999999999999</v>
      </c>
      <c r="M74">
        <f>H74*Return!C74*100</f>
        <v>-297.000000000001</v>
      </c>
      <c r="N74">
        <f>I74*Return!D74*100</f>
        <v>-253.799999999996</v>
      </c>
      <c r="O74">
        <f>J74*Return!E74*100</f>
        <v>0</v>
      </c>
      <c r="P74">
        <f t="shared" si="20"/>
        <v>-561.499999999997</v>
      </c>
      <c r="Q74" t="e">
        <f>SUM($P$3:P74)</f>
        <v>#NAME?</v>
      </c>
      <c r="R74">
        <f>B74*中国_中债国债到期收益率_1年!B73/365*100</f>
        <v>4.82109589041096</v>
      </c>
      <c r="S74">
        <f>C74*中国_中债国债到期收益率_1年!C73/365*100</f>
        <v>19.8772602739726</v>
      </c>
      <c r="T74">
        <f>D74*中国_中债国债到期收益率_1年!D73/365*100</f>
        <v>21.6575342465753</v>
      </c>
      <c r="U74">
        <f>E74*中国_中债国债到期收益率_1年!E73/365*100</f>
        <v>0</v>
      </c>
      <c r="V74">
        <f t="shared" si="21"/>
        <v>46.3558904109589</v>
      </c>
      <c r="W74" t="e">
        <f>SUM($V$3:V74)</f>
        <v>#NAME?</v>
      </c>
      <c r="X74">
        <f>MAX(F74-50,0)*中国_中债国债到期收益率_1年!H74*100/365</f>
        <v>8.49315068493151</v>
      </c>
      <c r="Y74">
        <f>SUM($X$3:X74)</f>
        <v>1052.55589041096</v>
      </c>
      <c r="AB74">
        <f>Z74*Return!F74*100</f>
        <v>0</v>
      </c>
      <c r="AD74">
        <f>SUM($AB$3:AB74)+SUM($AC$3:AC74)</f>
        <v>0</v>
      </c>
      <c r="AE74" t="e">
        <f t="shared" si="24"/>
        <v>#NAME?</v>
      </c>
      <c r="AF74" t="e">
        <f t="shared" si="25"/>
        <v>#NAME?</v>
      </c>
      <c r="AG74" s="5" t="e">
        <f>(AF74/AF73-1)-中国_中债国债到期收益率_1年!H74%/252</f>
        <v>#NAME?</v>
      </c>
      <c r="AH74" s="5" t="e">
        <f>MIN((AF74-MAX($AF$3:AF74))/MAX($AF$3:AF74),0)</f>
        <v>#NAME?</v>
      </c>
    </row>
    <row r="75" spans="1:34">
      <c r="A75" s="7">
        <v>44818</v>
      </c>
      <c r="B75">
        <v>10</v>
      </c>
      <c r="C75">
        <v>30</v>
      </c>
      <c r="D75">
        <v>20</v>
      </c>
      <c r="F75">
        <f t="shared" si="22"/>
        <v>60</v>
      </c>
      <c r="G75">
        <f t="shared" si="16"/>
        <v>10</v>
      </c>
      <c r="H75">
        <f t="shared" si="17"/>
        <v>150</v>
      </c>
      <c r="I75">
        <f t="shared" si="18"/>
        <v>180</v>
      </c>
      <c r="J75">
        <f t="shared" si="19"/>
        <v>0</v>
      </c>
      <c r="K75">
        <f t="shared" si="23"/>
        <v>340</v>
      </c>
      <c r="L75">
        <f>G75*Return!B75*100</f>
        <v>-10</v>
      </c>
      <c r="M75">
        <f>H75*Return!C75*100</f>
        <v>-178.499999999997</v>
      </c>
      <c r="N75">
        <f>I75*Return!D75*100</f>
        <v>-138.600000000005</v>
      </c>
      <c r="O75">
        <f>J75*Return!E75*100</f>
        <v>0</v>
      </c>
      <c r="P75">
        <f t="shared" si="20"/>
        <v>-327.100000000002</v>
      </c>
      <c r="Q75" t="e">
        <f>SUM($P$3:P75)</f>
        <v>#NAME?</v>
      </c>
      <c r="R75">
        <f>B75*中国_中债国债到期收益率_1年!B74/365*100</f>
        <v>4.84849315068493</v>
      </c>
      <c r="S75">
        <f>C75*中国_中债国债到期收益率_1年!C74/365*100</f>
        <v>19.9750684931507</v>
      </c>
      <c r="T75">
        <f>D75*中国_中债国债到期收益率_1年!D74/365*100</f>
        <v>14.4805479452055</v>
      </c>
      <c r="U75">
        <f>E75*中国_中债国债到期收益率_1年!E74/365*100</f>
        <v>0</v>
      </c>
      <c r="V75">
        <f t="shared" si="21"/>
        <v>39.3041095890411</v>
      </c>
      <c r="W75" t="e">
        <f>SUM($V$3:V75)</f>
        <v>#NAME?</v>
      </c>
      <c r="X75">
        <f>MAX(F75-50,0)*中国_中债国债到期收益率_1年!H75*100/365</f>
        <v>4.38356164383562</v>
      </c>
      <c r="Y75">
        <f>SUM($X$3:X75)</f>
        <v>1056.93945205479</v>
      </c>
      <c r="AB75">
        <f>Z75*Return!F75*100</f>
        <v>0</v>
      </c>
      <c r="AD75">
        <f>SUM($AB$3:AB75)+SUM($AC$3:AC75)</f>
        <v>0</v>
      </c>
      <c r="AE75" t="e">
        <f t="shared" si="24"/>
        <v>#NAME?</v>
      </c>
      <c r="AF75" t="e">
        <f t="shared" si="25"/>
        <v>#NAME?</v>
      </c>
      <c r="AG75" s="5" t="e">
        <f>(AF75/AF74-1)-中国_中债国债到期收益率_1年!H75%/252</f>
        <v>#NAME?</v>
      </c>
      <c r="AH75" s="5" t="e">
        <f>MIN((AF75-MAX($AF$3:AF75))/MAX($AF$3:AF75),0)</f>
        <v>#NAME?</v>
      </c>
    </row>
    <row r="76" spans="1:34">
      <c r="A76" s="7">
        <v>44819</v>
      </c>
      <c r="B76">
        <v>10</v>
      </c>
      <c r="C76">
        <v>30</v>
      </c>
      <c r="D76">
        <v>20</v>
      </c>
      <c r="F76">
        <f t="shared" si="22"/>
        <v>60</v>
      </c>
      <c r="G76">
        <f t="shared" si="16"/>
        <v>10</v>
      </c>
      <c r="H76">
        <f t="shared" si="17"/>
        <v>150</v>
      </c>
      <c r="I76">
        <f t="shared" si="18"/>
        <v>180</v>
      </c>
      <c r="J76">
        <f t="shared" si="19"/>
        <v>0</v>
      </c>
      <c r="K76">
        <f t="shared" si="23"/>
        <v>340</v>
      </c>
      <c r="L76">
        <f>G76*Return!B76*100</f>
        <v>-31.8000000000001</v>
      </c>
      <c r="M76">
        <f>H76*Return!C76*100</f>
        <v>-294.000000000001</v>
      </c>
      <c r="N76">
        <f>I76*Return!D76*100</f>
        <v>-356.400000000001</v>
      </c>
      <c r="O76">
        <f>J76*Return!E76*100</f>
        <v>0</v>
      </c>
      <c r="P76">
        <f t="shared" si="20"/>
        <v>-682.200000000002</v>
      </c>
      <c r="Q76" t="e">
        <f>SUM($P$3:P76)</f>
        <v>#NAME?</v>
      </c>
      <c r="R76">
        <f>B76*中国_中债国债到期收益率_1年!B75/365*100</f>
        <v>4.93561643835617</v>
      </c>
      <c r="S76">
        <f>C76*中国_中债国债到期收益率_1年!C75/365*100</f>
        <v>20.1361643835616</v>
      </c>
      <c r="T76">
        <f>D76*中国_中债国债到期收益率_1年!D75/365*100</f>
        <v>14.5890410958904</v>
      </c>
      <c r="U76">
        <f>E76*中国_中债国债到期收益率_1年!E75/365*100</f>
        <v>0</v>
      </c>
      <c r="V76">
        <f t="shared" si="21"/>
        <v>39.6608219178082</v>
      </c>
      <c r="W76" t="e">
        <f>SUM($V$3:V76)</f>
        <v>#NAME?</v>
      </c>
      <c r="X76">
        <f>MAX(F76-50,0)*中国_中债国债到期收益率_1年!H76*100/365</f>
        <v>4.38356164383562</v>
      </c>
      <c r="Y76">
        <f>SUM($X$3:X76)</f>
        <v>1061.32301369863</v>
      </c>
      <c r="AB76">
        <f>Z76*Return!F76*100</f>
        <v>0</v>
      </c>
      <c r="AD76">
        <f>SUM($AB$3:AB76)+SUM($AC$3:AC76)</f>
        <v>0</v>
      </c>
      <c r="AE76" t="e">
        <f t="shared" si="24"/>
        <v>#NAME?</v>
      </c>
      <c r="AF76" t="e">
        <f t="shared" si="25"/>
        <v>#NAME?</v>
      </c>
      <c r="AG76" s="5" t="e">
        <f>(AF76/AF75-1)-中国_中债国债到期收益率_1年!H76%/252</f>
        <v>#NAME?</v>
      </c>
      <c r="AH76" s="5" t="e">
        <f>MIN((AF76-MAX($AF$3:AF76))/MAX($AF$3:AF76),0)</f>
        <v>#NAME?</v>
      </c>
    </row>
    <row r="77" spans="1:34">
      <c r="A77" s="7">
        <v>44820</v>
      </c>
      <c r="B77">
        <v>10</v>
      </c>
      <c r="C77">
        <v>30</v>
      </c>
      <c r="D77">
        <v>20</v>
      </c>
      <c r="F77">
        <f t="shared" si="22"/>
        <v>60</v>
      </c>
      <c r="G77">
        <f t="shared" si="16"/>
        <v>10</v>
      </c>
      <c r="H77">
        <f t="shared" si="17"/>
        <v>150</v>
      </c>
      <c r="I77">
        <f t="shared" si="18"/>
        <v>180</v>
      </c>
      <c r="J77">
        <f t="shared" si="19"/>
        <v>0</v>
      </c>
      <c r="K77">
        <f t="shared" si="23"/>
        <v>340</v>
      </c>
      <c r="L77">
        <f>G77*Return!B77*100</f>
        <v>-4.29999999999997</v>
      </c>
      <c r="M77">
        <f>H77*Return!C77*100</f>
        <v>-70.5000000000022</v>
      </c>
      <c r="N77">
        <f>I77*Return!D77*100</f>
        <v>0</v>
      </c>
      <c r="O77">
        <f>J77*Return!E77*100</f>
        <v>0</v>
      </c>
      <c r="P77">
        <f t="shared" si="20"/>
        <v>-74.8000000000022</v>
      </c>
      <c r="Q77" t="e">
        <f>SUM($P$3:P77)</f>
        <v>#NAME?</v>
      </c>
      <c r="R77">
        <f>B77*中国_中债国债到期收益率_1年!B76/365*100</f>
        <v>4.94739726027397</v>
      </c>
      <c r="S77">
        <f>C77*中国_中债国债到期收益率_1年!C76/365*100</f>
        <v>20.1747945205479</v>
      </c>
      <c r="T77">
        <f>D77*中国_中债国债到期收益率_1年!D76/365*100</f>
        <v>14.5890410958904</v>
      </c>
      <c r="U77">
        <f>E77*中国_中债国债到期收益率_1年!E76/365*100</f>
        <v>0</v>
      </c>
      <c r="V77">
        <f t="shared" si="21"/>
        <v>39.7112328767123</v>
      </c>
      <c r="W77" t="e">
        <f>SUM($V$3:V77)</f>
        <v>#NAME?</v>
      </c>
      <c r="X77">
        <f>MAX(F77-50,0)*中国_中债国债到期收益率_1年!H77*100/365</f>
        <v>4.46575342465753</v>
      </c>
      <c r="Y77">
        <f>SUM($X$3:X77)</f>
        <v>1065.78876712329</v>
      </c>
      <c r="AB77">
        <f>Z77*Return!F77*100</f>
        <v>0</v>
      </c>
      <c r="AD77">
        <f>SUM($AB$3:AB77)+SUM($AC$3:AC77)</f>
        <v>0</v>
      </c>
      <c r="AE77" t="e">
        <f t="shared" si="24"/>
        <v>#NAME?</v>
      </c>
      <c r="AF77" t="e">
        <f t="shared" si="25"/>
        <v>#NAME?</v>
      </c>
      <c r="AG77" s="5" t="e">
        <f>(AF77/AF76-1)-中国_中债国债到期收益率_1年!H77%/252</f>
        <v>#NAME?</v>
      </c>
      <c r="AH77" s="5" t="e">
        <f>MIN((AF77-MAX($AF$3:AF77))/MAX($AF$3:AF77),0)</f>
        <v>#NAME?</v>
      </c>
    </row>
    <row r="78" spans="1:34">
      <c r="A78" s="7">
        <v>44823</v>
      </c>
      <c r="B78">
        <v>10</v>
      </c>
      <c r="C78">
        <v>30</v>
      </c>
      <c r="D78">
        <v>20</v>
      </c>
      <c r="F78">
        <f t="shared" si="22"/>
        <v>60</v>
      </c>
      <c r="G78">
        <f t="shared" si="16"/>
        <v>10</v>
      </c>
      <c r="H78">
        <f t="shared" si="17"/>
        <v>150</v>
      </c>
      <c r="I78">
        <f t="shared" si="18"/>
        <v>180</v>
      </c>
      <c r="J78">
        <f t="shared" si="19"/>
        <v>0</v>
      </c>
      <c r="K78">
        <f t="shared" si="23"/>
        <v>340</v>
      </c>
      <c r="L78">
        <f>G78*Return!B78*100</f>
        <v>-24</v>
      </c>
      <c r="M78">
        <f>H78*Return!C78*100</f>
        <v>-180</v>
      </c>
      <c r="N78">
        <f>I78*Return!D78*100</f>
        <v>-188.999999999999</v>
      </c>
      <c r="O78">
        <f>J78*Return!E78*100</f>
        <v>0</v>
      </c>
      <c r="P78">
        <f t="shared" si="20"/>
        <v>-392.999999999999</v>
      </c>
      <c r="Q78" t="e">
        <f>SUM($P$3:P78)</f>
        <v>#NAME?</v>
      </c>
      <c r="R78">
        <f>B78*中国_中债国债到期收益率_1年!B77/365*100</f>
        <v>5.01315068493151</v>
      </c>
      <c r="S78">
        <f>C78*中国_中债国债到期收益率_1年!C77/365*100</f>
        <v>20.2734246575342</v>
      </c>
      <c r="T78">
        <f>D78*中国_中债国债到期收益率_1年!D77/365*100</f>
        <v>14.6465753424658</v>
      </c>
      <c r="U78">
        <f>E78*中国_中债国债到期收益率_1年!E77/365*100</f>
        <v>0</v>
      </c>
      <c r="V78">
        <f t="shared" si="21"/>
        <v>39.9331506849315</v>
      </c>
      <c r="W78" t="e">
        <f>SUM($V$3:V78)</f>
        <v>#NAME?</v>
      </c>
      <c r="X78">
        <f>MAX(F78-50,0)*中国_中债国债到期收益率_1年!H78*100/365</f>
        <v>4.65753424657534</v>
      </c>
      <c r="Y78">
        <f>SUM($X$3:X78)</f>
        <v>1070.44630136986</v>
      </c>
      <c r="AB78">
        <f>Z78*Return!F78*100</f>
        <v>0</v>
      </c>
      <c r="AD78">
        <f>SUM($AB$3:AB78)+SUM($AC$3:AC78)</f>
        <v>0</v>
      </c>
      <c r="AE78" t="e">
        <f t="shared" si="24"/>
        <v>#NAME?</v>
      </c>
      <c r="AF78" t="e">
        <f t="shared" si="25"/>
        <v>#NAME?</v>
      </c>
      <c r="AG78" s="5" t="e">
        <f>(AF78/AF77-1)-中国_中债国债到期收益率_1年!H78%/252</f>
        <v>#NAME?</v>
      </c>
      <c r="AH78" s="5" t="e">
        <f>MIN((AF78-MAX($AF$3:AF78))/MAX($AF$3:AF78),0)</f>
        <v>#NAME?</v>
      </c>
    </row>
    <row r="79" spans="1:34">
      <c r="A79" s="7">
        <v>44824</v>
      </c>
      <c r="B79">
        <v>10</v>
      </c>
      <c r="C79">
        <v>30</v>
      </c>
      <c r="D79">
        <v>20</v>
      </c>
      <c r="F79">
        <f t="shared" si="22"/>
        <v>60</v>
      </c>
      <c r="G79">
        <f t="shared" si="16"/>
        <v>10</v>
      </c>
      <c r="H79">
        <f t="shared" si="17"/>
        <v>150</v>
      </c>
      <c r="I79">
        <f t="shared" si="18"/>
        <v>180</v>
      </c>
      <c r="J79">
        <f t="shared" si="19"/>
        <v>0</v>
      </c>
      <c r="K79">
        <f t="shared" si="23"/>
        <v>340</v>
      </c>
      <c r="L79">
        <f>G79*Return!B79*100</f>
        <v>-20.7999999999999</v>
      </c>
      <c r="M79">
        <f>H79*Return!C79*100</f>
        <v>114.000000000001</v>
      </c>
      <c r="N79">
        <f>I79*Return!D79*100</f>
        <v>-35.999999999996</v>
      </c>
      <c r="O79">
        <f>J79*Return!E79*100</f>
        <v>0</v>
      </c>
      <c r="P79">
        <f t="shared" si="20"/>
        <v>57.2000000000048</v>
      </c>
      <c r="Q79" t="e">
        <f>SUM($P$3:P79)</f>
        <v>#NAME?</v>
      </c>
      <c r="R79">
        <f>B79*中国_中债国债到期收益率_1年!B78/365*100</f>
        <v>5.07013698630137</v>
      </c>
      <c r="S79">
        <f>C79*中国_中债国债到期收益率_1年!C78/365*100</f>
        <v>20.2109589041096</v>
      </c>
      <c r="T79">
        <f>D79*中国_中债国债到期收益率_1年!D78/365*100</f>
        <v>14.6575342465753</v>
      </c>
      <c r="U79">
        <f>E79*中国_中债国债到期收益率_1年!E78/365*100</f>
        <v>0</v>
      </c>
      <c r="V79">
        <f t="shared" si="21"/>
        <v>39.9386301369863</v>
      </c>
      <c r="W79" t="e">
        <f>SUM($V$3:V79)</f>
        <v>#NAME?</v>
      </c>
      <c r="X79">
        <f>MAX(F79-50,0)*中国_中债国债到期收益率_1年!H79*100/365</f>
        <v>4.79452054794521</v>
      </c>
      <c r="Y79">
        <f>SUM($X$3:X79)</f>
        <v>1075.24082191781</v>
      </c>
      <c r="AB79">
        <f>Z79*Return!F79*100</f>
        <v>0</v>
      </c>
      <c r="AD79">
        <f>SUM($AB$3:AB79)+SUM($AC$3:AC79)</f>
        <v>0</v>
      </c>
      <c r="AE79" t="e">
        <f t="shared" si="24"/>
        <v>#NAME?</v>
      </c>
      <c r="AF79" t="e">
        <f t="shared" si="25"/>
        <v>#NAME?</v>
      </c>
      <c r="AG79" s="5" t="e">
        <f>(AF79/AF78-1)-中国_中债国债到期收益率_1年!H79%/252</f>
        <v>#NAME?</v>
      </c>
      <c r="AH79" s="5" t="e">
        <f>MIN((AF79-MAX($AF$3:AF79))/MAX($AF$3:AF79),0)</f>
        <v>#NAME?</v>
      </c>
    </row>
    <row r="80" spans="1:34">
      <c r="A80" s="7">
        <v>44825</v>
      </c>
      <c r="B80">
        <v>10</v>
      </c>
      <c r="C80">
        <v>30</v>
      </c>
      <c r="D80">
        <v>20</v>
      </c>
      <c r="F80">
        <f t="shared" si="22"/>
        <v>60</v>
      </c>
      <c r="G80">
        <f t="shared" si="16"/>
        <v>10</v>
      </c>
      <c r="H80">
        <f t="shared" si="17"/>
        <v>150</v>
      </c>
      <c r="I80">
        <f t="shared" si="18"/>
        <v>180</v>
      </c>
      <c r="J80">
        <f t="shared" si="19"/>
        <v>0</v>
      </c>
      <c r="K80">
        <f t="shared" si="23"/>
        <v>340</v>
      </c>
      <c r="L80">
        <f>G80*Return!B80*100</f>
        <v>2.29999999999997</v>
      </c>
      <c r="M80">
        <f>H80*Return!C80*100</f>
        <v>262.500000000001</v>
      </c>
      <c r="N80">
        <f>I80*Return!D80*100</f>
        <v>197.999999999994</v>
      </c>
      <c r="O80">
        <f>J80*Return!E80*100</f>
        <v>0</v>
      </c>
      <c r="P80">
        <f t="shared" si="20"/>
        <v>462.799999999995</v>
      </c>
      <c r="Q80" t="e">
        <f>SUM($P$3:P80)</f>
        <v>#NAME?</v>
      </c>
      <c r="R80">
        <f>B80*中国_中债国债到期收益率_1年!B79/365*100</f>
        <v>5.06383561643836</v>
      </c>
      <c r="S80">
        <f>C80*中国_中债国债到期收益率_1年!C79/365*100</f>
        <v>20.0671232876712</v>
      </c>
      <c r="T80">
        <f>D80*中国_中债国债到期收益率_1年!D79/365*100</f>
        <v>14.5972602739726</v>
      </c>
      <c r="U80">
        <f>E80*中国_中债国债到期收益率_1年!E79/365*100</f>
        <v>0</v>
      </c>
      <c r="V80">
        <f t="shared" si="21"/>
        <v>39.7282191780822</v>
      </c>
      <c r="W80" t="e">
        <f>SUM($V$3:V80)</f>
        <v>#NAME?</v>
      </c>
      <c r="X80">
        <f>MAX(F80-50,0)*中国_中债国债到期收益率_1年!H80*100/365</f>
        <v>4.76712328767123</v>
      </c>
      <c r="Y80">
        <f>SUM($X$3:X80)</f>
        <v>1080.00794520548</v>
      </c>
      <c r="AB80">
        <f>Z80*Return!F80*100</f>
        <v>0</v>
      </c>
      <c r="AD80">
        <f>SUM($AB$3:AB80)+SUM($AC$3:AC80)</f>
        <v>0</v>
      </c>
      <c r="AE80" t="e">
        <f t="shared" si="24"/>
        <v>#NAME?</v>
      </c>
      <c r="AF80" t="e">
        <f t="shared" si="25"/>
        <v>#NAME?</v>
      </c>
      <c r="AG80" s="5" t="e">
        <f>(AF80/AF79-1)-中国_中债国债到期收益率_1年!H80%/252</f>
        <v>#NAME?</v>
      </c>
      <c r="AH80" s="5" t="e">
        <f>MIN((AF80-MAX($AF$3:AF80))/MAX($AF$3:AF80),0)</f>
        <v>#NAME?</v>
      </c>
    </row>
    <row r="81" spans="1:34">
      <c r="A81" s="7">
        <v>44826</v>
      </c>
      <c r="B81">
        <v>10</v>
      </c>
      <c r="C81">
        <v>30</v>
      </c>
      <c r="D81">
        <v>20</v>
      </c>
      <c r="F81">
        <f t="shared" si="22"/>
        <v>60</v>
      </c>
      <c r="G81">
        <f t="shared" si="16"/>
        <v>10</v>
      </c>
      <c r="H81">
        <f t="shared" si="17"/>
        <v>150</v>
      </c>
      <c r="I81">
        <f t="shared" si="18"/>
        <v>180</v>
      </c>
      <c r="J81">
        <f t="shared" si="19"/>
        <v>0</v>
      </c>
      <c r="K81">
        <f t="shared" si="23"/>
        <v>340</v>
      </c>
      <c r="L81">
        <f>G81*Return!B81*100</f>
        <v>20.1</v>
      </c>
      <c r="M81">
        <f>H81*Return!C81*100</f>
        <v>134.999999999998</v>
      </c>
      <c r="N81">
        <f>I81*Return!D81*100</f>
        <v>340.200000000007</v>
      </c>
      <c r="O81">
        <f>J81*Return!E81*100</f>
        <v>0</v>
      </c>
      <c r="P81">
        <f t="shared" si="20"/>
        <v>495.300000000005</v>
      </c>
      <c r="Q81" t="e">
        <f>SUM($P$3:P81)</f>
        <v>#NAME?</v>
      </c>
      <c r="R81">
        <f>B81*中国_中债国债到期收益率_1年!B80/365*100</f>
        <v>5.00876712328767</v>
      </c>
      <c r="S81">
        <f>C81*中国_中债国债到期收益率_1年!C80/365*100</f>
        <v>19.9931506849315</v>
      </c>
      <c r="T81">
        <f>D81*中国_中债国债到期收益率_1年!D80/365*100</f>
        <v>14.493698630137</v>
      </c>
      <c r="U81">
        <f>E81*中国_中债国债到期收益率_1年!E80/365*100</f>
        <v>0</v>
      </c>
      <c r="V81">
        <f t="shared" si="21"/>
        <v>39.4956164383562</v>
      </c>
      <c r="W81" t="e">
        <f>SUM($V$3:V81)</f>
        <v>#NAME?</v>
      </c>
      <c r="X81">
        <f>MAX(F81-50,0)*中国_中债国债到期收益率_1年!H81*100/365</f>
        <v>4.52054794520548</v>
      </c>
      <c r="Y81">
        <f>SUM($X$3:X81)</f>
        <v>1084.52849315068</v>
      </c>
      <c r="AB81">
        <f>Z81*Return!F81*100</f>
        <v>0</v>
      </c>
      <c r="AD81">
        <f>SUM($AB$3:AB81)+SUM($AC$3:AC81)</f>
        <v>0</v>
      </c>
      <c r="AE81" t="e">
        <f t="shared" si="24"/>
        <v>#NAME?</v>
      </c>
      <c r="AF81" t="e">
        <f t="shared" si="25"/>
        <v>#NAME?</v>
      </c>
      <c r="AG81" s="5" t="e">
        <f>(AF81/AF80-1)-中国_中债国债到期收益率_1年!H81%/252</f>
        <v>#NAME?</v>
      </c>
      <c r="AH81" s="5" t="e">
        <f>MIN((AF81-MAX($AF$3:AF81))/MAX($AF$3:AF81),0)</f>
        <v>#NAME?</v>
      </c>
    </row>
    <row r="82" spans="1:34">
      <c r="A82" s="7">
        <v>44827</v>
      </c>
      <c r="B82">
        <v>10</v>
      </c>
      <c r="C82">
        <v>30</v>
      </c>
      <c r="D82">
        <v>20</v>
      </c>
      <c r="F82">
        <f t="shared" si="22"/>
        <v>60</v>
      </c>
      <c r="G82">
        <f t="shared" si="16"/>
        <v>10</v>
      </c>
      <c r="H82">
        <f t="shared" si="17"/>
        <v>150</v>
      </c>
      <c r="I82">
        <f t="shared" si="18"/>
        <v>180</v>
      </c>
      <c r="J82">
        <f t="shared" si="19"/>
        <v>0</v>
      </c>
      <c r="K82">
        <f t="shared" si="23"/>
        <v>340</v>
      </c>
      <c r="L82">
        <f>G82*Return!B82*100</f>
        <v>5.00000000000012</v>
      </c>
      <c r="M82">
        <f>H82*Return!C82*100</f>
        <v>-155.999999999996</v>
      </c>
      <c r="N82">
        <f>I82*Return!D82*100</f>
        <v>-90.0000000000061</v>
      </c>
      <c r="O82">
        <f>J82*Return!E82*100</f>
        <v>0</v>
      </c>
      <c r="P82">
        <f t="shared" si="20"/>
        <v>-241.000000000002</v>
      </c>
      <c r="Q82" t="e">
        <f>SUM($P$3:P82)</f>
        <v>#NAME?</v>
      </c>
      <c r="R82">
        <f>B82*中国_中债国债到期收益率_1年!B81/365*100</f>
        <v>4.99506849315068</v>
      </c>
      <c r="S82">
        <f>C82*中国_中债国债到期收益率_1年!C81/365*100</f>
        <v>20.0786301369863</v>
      </c>
      <c r="T82">
        <f>D82*中国_中债国债到期收益率_1年!D81/365*100</f>
        <v>14.521095890411</v>
      </c>
      <c r="U82">
        <f>E82*中国_中债国债到期收益率_1年!E81/365*100</f>
        <v>0</v>
      </c>
      <c r="V82">
        <f t="shared" si="21"/>
        <v>39.5947945205479</v>
      </c>
      <c r="W82" t="e">
        <f>SUM($V$3:V82)</f>
        <v>#NAME?</v>
      </c>
      <c r="X82">
        <f>MAX(F82-50,0)*中国_中债国债到期收益率_1年!H82*100/365</f>
        <v>4.24657534246575</v>
      </c>
      <c r="Y82">
        <f>SUM($X$3:X82)</f>
        <v>1088.77506849315</v>
      </c>
      <c r="AB82">
        <f>Z82*Return!F82*100</f>
        <v>0</v>
      </c>
      <c r="AD82">
        <f>SUM($AB$3:AB82)+SUM($AC$3:AC82)</f>
        <v>0</v>
      </c>
      <c r="AE82" t="e">
        <f t="shared" si="24"/>
        <v>#NAME?</v>
      </c>
      <c r="AF82" t="e">
        <f t="shared" si="25"/>
        <v>#NAME?</v>
      </c>
      <c r="AG82" s="5" t="e">
        <f>(AF82/AF81-1)-中国_中债国债到期收益率_1年!H82%/252</f>
        <v>#NAME?</v>
      </c>
      <c r="AH82" s="5" t="e">
        <f>MIN((AF82-MAX($AF$3:AF82))/MAX($AF$3:AF82),0)</f>
        <v>#NAME?</v>
      </c>
    </row>
    <row r="83" spans="1:34">
      <c r="A83" s="7">
        <v>44830</v>
      </c>
      <c r="B83">
        <v>10</v>
      </c>
      <c r="C83">
        <v>30</v>
      </c>
      <c r="D83">
        <v>20</v>
      </c>
      <c r="F83">
        <f t="shared" si="22"/>
        <v>60</v>
      </c>
      <c r="G83">
        <f t="shared" si="16"/>
        <v>10</v>
      </c>
      <c r="H83">
        <f t="shared" si="17"/>
        <v>150</v>
      </c>
      <c r="I83">
        <f t="shared" si="18"/>
        <v>180</v>
      </c>
      <c r="J83">
        <f t="shared" si="19"/>
        <v>0</v>
      </c>
      <c r="K83">
        <f t="shared" si="23"/>
        <v>340</v>
      </c>
      <c r="L83">
        <f>G83*Return!B83*100</f>
        <v>-4.80000000000014</v>
      </c>
      <c r="M83">
        <f>H83*Return!C83*100</f>
        <v>-388.500000000001</v>
      </c>
      <c r="N83">
        <f>I83*Return!D83*100</f>
        <v>-541.8</v>
      </c>
      <c r="O83">
        <f>J83*Return!E83*100</f>
        <v>0</v>
      </c>
      <c r="P83">
        <f t="shared" si="20"/>
        <v>-935.100000000001</v>
      </c>
      <c r="Q83" t="e">
        <f>SUM($P$3:P83)</f>
        <v>#NAME?</v>
      </c>
      <c r="R83">
        <f>B83*中国_中债国债到期收益率_1年!B82/365*100</f>
        <v>5.00821917808219</v>
      </c>
      <c r="S83">
        <f>C83*中国_中债国债到期收益率_1年!C82/365*100</f>
        <v>20.2915068493151</v>
      </c>
      <c r="T83">
        <f>D83*中国_中债国债到期收益率_1年!D82/365*100</f>
        <v>14.6860273972603</v>
      </c>
      <c r="U83">
        <f>E83*中国_中债国债到期收益率_1年!E82/365*100</f>
        <v>0</v>
      </c>
      <c r="V83">
        <f t="shared" si="21"/>
        <v>39.9857534246575</v>
      </c>
      <c r="W83" t="e">
        <f>SUM($V$3:V83)</f>
        <v>#NAME?</v>
      </c>
      <c r="X83">
        <f>MAX(F83-50,0)*中国_中债国债到期收益率_1年!H83*100/365</f>
        <v>4.9041095890411</v>
      </c>
      <c r="Y83">
        <f>SUM($X$3:X83)</f>
        <v>1093.67917808219</v>
      </c>
      <c r="Z83">
        <v>-10</v>
      </c>
      <c r="AA83">
        <v>-10</v>
      </c>
      <c r="AB83">
        <f>Z83*Return!F83*100</f>
        <v>6.9999999999999</v>
      </c>
      <c r="AC83">
        <f>AA83*Return!G83*100</f>
        <v>21.1000000000001</v>
      </c>
      <c r="AD83">
        <f>SUM($AB$3:AB83)+SUM($AC$3:AC83)</f>
        <v>28.1</v>
      </c>
      <c r="AE83" t="e">
        <f t="shared" si="24"/>
        <v>#NAME?</v>
      </c>
      <c r="AF83" t="e">
        <f t="shared" si="25"/>
        <v>#NAME?</v>
      </c>
      <c r="AG83" s="5" t="e">
        <f>(AF83/AF82-1)-中国_中债国债到期收益率_1年!H83%/252</f>
        <v>#NAME?</v>
      </c>
      <c r="AH83" s="5" t="e">
        <f>MIN((AF83-MAX($AF$3:AF83))/MAX($AF$3:AF83),0)</f>
        <v>#NAME?</v>
      </c>
    </row>
    <row r="84" spans="1:34">
      <c r="A84" s="7">
        <v>44831</v>
      </c>
      <c r="B84">
        <v>10</v>
      </c>
      <c r="C84">
        <v>30</v>
      </c>
      <c r="D84">
        <v>20</v>
      </c>
      <c r="F84">
        <f t="shared" si="22"/>
        <v>60</v>
      </c>
      <c r="G84">
        <f t="shared" si="16"/>
        <v>10</v>
      </c>
      <c r="H84">
        <f t="shared" si="17"/>
        <v>150</v>
      </c>
      <c r="I84">
        <f t="shared" si="18"/>
        <v>180</v>
      </c>
      <c r="J84">
        <f t="shared" si="19"/>
        <v>0</v>
      </c>
      <c r="K84">
        <f t="shared" si="23"/>
        <v>340</v>
      </c>
      <c r="L84">
        <f>G84*Return!B84*100</f>
        <v>-32.7999999999999</v>
      </c>
      <c r="M84">
        <f>H84*Return!C84*100</f>
        <v>-648.000000000002</v>
      </c>
      <c r="N84">
        <f>I84*Return!D84*100</f>
        <v>-633.599999999994</v>
      </c>
      <c r="O84">
        <f>J84*Return!E84*100</f>
        <v>0</v>
      </c>
      <c r="P84">
        <f t="shared" si="20"/>
        <v>-1314.4</v>
      </c>
      <c r="Q84" t="e">
        <f>SUM($P$3:P84)</f>
        <v>#NAME?</v>
      </c>
      <c r="R84">
        <f>B84*中国_中债国债到期收益率_1年!B83/365*100</f>
        <v>5.09808219178082</v>
      </c>
      <c r="S84">
        <f>C84*中国_中债国债到期收益率_1年!C83/365*100</f>
        <v>20.6465753424658</v>
      </c>
      <c r="T84">
        <f>D84*中国_中债国债到期收益率_1年!D83/365*100</f>
        <v>14.878904109589</v>
      </c>
      <c r="U84">
        <f>E84*中国_中债国债到期收益率_1年!E83/365*100</f>
        <v>0</v>
      </c>
      <c r="V84">
        <f t="shared" si="21"/>
        <v>40.6235616438356</v>
      </c>
      <c r="W84" t="e">
        <f>SUM($V$3:V84)</f>
        <v>#NAME?</v>
      </c>
      <c r="X84">
        <f>MAX(F84-50,0)*中国_中债国债到期收益率_1年!H84*100/365</f>
        <v>3.97260273972603</v>
      </c>
      <c r="Y84">
        <f>SUM($X$3:X84)</f>
        <v>1097.65178082192</v>
      </c>
      <c r="Z84">
        <v>-10</v>
      </c>
      <c r="AA84">
        <v>-10</v>
      </c>
      <c r="AB84">
        <f>Z84*Return!F84*100</f>
        <v>40.8000000000002</v>
      </c>
      <c r="AC84">
        <f>AA84*Return!G84*100</f>
        <v>36.0999999999998</v>
      </c>
      <c r="AD84">
        <f>SUM($AB$3:AB84)+SUM($AC$3:AC84)</f>
        <v>105</v>
      </c>
      <c r="AE84" t="e">
        <f t="shared" si="24"/>
        <v>#NAME?</v>
      </c>
      <c r="AF84" t="e">
        <f t="shared" si="25"/>
        <v>#NAME?</v>
      </c>
      <c r="AG84" s="5" t="e">
        <f>(AF84/AF83-1)-中国_中债国债到期收益率_1年!H84%/252</f>
        <v>#NAME?</v>
      </c>
      <c r="AH84" s="5" t="e">
        <f>MIN((AF84-MAX($AF$3:AF84))/MAX($AF$3:AF84),0)</f>
        <v>#NAME?</v>
      </c>
    </row>
    <row r="85" spans="1:34">
      <c r="A85" s="7">
        <v>44832</v>
      </c>
      <c r="B85">
        <v>10</v>
      </c>
      <c r="C85">
        <v>30</v>
      </c>
      <c r="D85">
        <v>20</v>
      </c>
      <c r="F85">
        <f t="shared" si="22"/>
        <v>60</v>
      </c>
      <c r="G85">
        <f t="shared" si="16"/>
        <v>10</v>
      </c>
      <c r="H85">
        <f t="shared" si="17"/>
        <v>150</v>
      </c>
      <c r="I85">
        <f t="shared" si="18"/>
        <v>180</v>
      </c>
      <c r="J85">
        <f t="shared" si="19"/>
        <v>0</v>
      </c>
      <c r="K85">
        <f t="shared" si="23"/>
        <v>340</v>
      </c>
      <c r="L85">
        <f>G85*Return!B85*100</f>
        <v>-10.3</v>
      </c>
      <c r="M85">
        <f>H85*Return!C85*100</f>
        <v>140.999999999998</v>
      </c>
      <c r="N85">
        <f>I85*Return!D85*100</f>
        <v>185.4</v>
      </c>
      <c r="O85">
        <f>J85*Return!E85*100</f>
        <v>0</v>
      </c>
      <c r="P85">
        <f t="shared" si="20"/>
        <v>316.099999999997</v>
      </c>
      <c r="Q85" t="e">
        <f>SUM($P$3:P85)</f>
        <v>#NAME?</v>
      </c>
      <c r="R85">
        <f>B85*中国_中债国债到期收益率_1年!B84/365*100</f>
        <v>5.12630136986301</v>
      </c>
      <c r="S85">
        <f>C85*中国_中债国债到期收益率_1年!C84/365*100</f>
        <v>20.5693150684932</v>
      </c>
      <c r="T85">
        <f>D85*中国_中债国债到期收益率_1年!D84/365*100</f>
        <v>14.8224657534247</v>
      </c>
      <c r="U85">
        <f>E85*中国_中债国债到期收益率_1年!E84/365*100</f>
        <v>0</v>
      </c>
      <c r="V85">
        <f t="shared" si="21"/>
        <v>40.5180821917808</v>
      </c>
      <c r="W85" t="e">
        <f>SUM($V$3:V85)</f>
        <v>#NAME?</v>
      </c>
      <c r="X85">
        <f>MAX(F85-50,0)*中国_中债国债到期收益率_1年!H85*100/365</f>
        <v>4.61753424657534</v>
      </c>
      <c r="Y85">
        <f>SUM($X$3:X85)</f>
        <v>1102.26931506849</v>
      </c>
      <c r="Z85">
        <v>-10</v>
      </c>
      <c r="AA85">
        <v>-10</v>
      </c>
      <c r="AB85">
        <f>Z85*Return!F85*100</f>
        <v>-12.1</v>
      </c>
      <c r="AC85">
        <f>AA85*Return!G85*100</f>
        <v>7.60000000000005</v>
      </c>
      <c r="AD85">
        <f>SUM($AB$3:AB85)+SUM($AC$3:AC85)</f>
        <v>100.5</v>
      </c>
      <c r="AE85" t="e">
        <f t="shared" si="24"/>
        <v>#NAME?</v>
      </c>
      <c r="AF85" t="e">
        <f t="shared" si="25"/>
        <v>#NAME?</v>
      </c>
      <c r="AG85" s="5" t="e">
        <f>(AF85/AF84-1)-中国_中债国债到期收益率_1年!H85%/252</f>
        <v>#NAME?</v>
      </c>
      <c r="AH85" s="5" t="e">
        <f>MIN((AF85-MAX($AF$3:AF85))/MAX($AF$3:AF85),0)</f>
        <v>#NAME?</v>
      </c>
    </row>
    <row r="86" spans="1:34">
      <c r="A86" s="7">
        <v>44833</v>
      </c>
      <c r="B86">
        <v>10</v>
      </c>
      <c r="C86">
        <v>30</v>
      </c>
      <c r="D86">
        <v>20</v>
      </c>
      <c r="F86">
        <f t="shared" si="22"/>
        <v>60</v>
      </c>
      <c r="G86">
        <f t="shared" si="16"/>
        <v>10</v>
      </c>
      <c r="H86">
        <f t="shared" si="17"/>
        <v>150</v>
      </c>
      <c r="I86">
        <f t="shared" si="18"/>
        <v>180</v>
      </c>
      <c r="J86">
        <f t="shared" si="19"/>
        <v>0</v>
      </c>
      <c r="K86">
        <f t="shared" si="23"/>
        <v>340</v>
      </c>
      <c r="L86">
        <f>G86*Return!B86*100</f>
        <v>-31.3000000000001</v>
      </c>
      <c r="M86">
        <f>H86*Return!C86*100</f>
        <v>-433.499999999996</v>
      </c>
      <c r="N86">
        <f>I86*Return!D86*100</f>
        <v>-630.000000000003</v>
      </c>
      <c r="O86">
        <f>J86*Return!E86*100</f>
        <v>0</v>
      </c>
      <c r="P86">
        <f t="shared" si="20"/>
        <v>-1094.8</v>
      </c>
      <c r="Q86" t="e">
        <f>SUM($P$3:P86)</f>
        <v>#NAME?</v>
      </c>
      <c r="R86">
        <f>B86*中国_中债国债到期收益率_1年!B85/365*100</f>
        <v>5.21205479452055</v>
      </c>
      <c r="S86">
        <f>C86*中国_中债国债到期收益率_1年!C85/365*100</f>
        <v>20.8068493150685</v>
      </c>
      <c r="T86">
        <f>D86*中国_中债国债到期收益率_1年!D85/365*100</f>
        <v>15.0142465753425</v>
      </c>
      <c r="U86">
        <f>E86*中国_中债国债到期收益率_1年!E85/365*100</f>
        <v>0</v>
      </c>
      <c r="V86">
        <f t="shared" si="21"/>
        <v>41.0331506849315</v>
      </c>
      <c r="W86" t="e">
        <f>SUM($V$3:V86)</f>
        <v>#NAME?</v>
      </c>
      <c r="X86">
        <f>MAX(F86-50,0)*中国_中债国债到期收益率_1年!H86*100/365</f>
        <v>5.64383561643836</v>
      </c>
      <c r="Y86">
        <f>SUM($X$3:X86)</f>
        <v>1107.91315068493</v>
      </c>
      <c r="Z86">
        <v>-10</v>
      </c>
      <c r="AA86">
        <v>-10</v>
      </c>
      <c r="AB86">
        <f>Z86*Return!F86*100</f>
        <v>1.70000000000003</v>
      </c>
      <c r="AC86">
        <f>AA86*Return!G86*100</f>
        <v>14.5</v>
      </c>
      <c r="AD86">
        <f>SUM($AB$3:AB86)+SUM($AC$3:AC86)</f>
        <v>116.7</v>
      </c>
      <c r="AE86" t="e">
        <f t="shared" si="24"/>
        <v>#NAME?</v>
      </c>
      <c r="AF86" t="e">
        <f t="shared" si="25"/>
        <v>#NAME?</v>
      </c>
      <c r="AG86" s="5" t="e">
        <f>(AF86/AF85-1)-中国_中债国债到期收益率_1年!H86%/252</f>
        <v>#NAME?</v>
      </c>
      <c r="AH86" s="5" t="e">
        <f>MIN((AF86-MAX($AF$3:AF86))/MAX($AF$3:AF86),0)</f>
        <v>#NAME?</v>
      </c>
    </row>
    <row r="87" spans="1:34">
      <c r="A87" s="7">
        <v>44834</v>
      </c>
      <c r="B87">
        <v>10</v>
      </c>
      <c r="C87">
        <v>30</v>
      </c>
      <c r="D87">
        <v>10</v>
      </c>
      <c r="F87">
        <f t="shared" si="22"/>
        <v>50</v>
      </c>
      <c r="G87">
        <f t="shared" si="16"/>
        <v>10</v>
      </c>
      <c r="H87">
        <f t="shared" si="17"/>
        <v>150</v>
      </c>
      <c r="I87">
        <f t="shared" si="18"/>
        <v>90</v>
      </c>
      <c r="J87">
        <f t="shared" si="19"/>
        <v>0</v>
      </c>
      <c r="K87">
        <f t="shared" si="23"/>
        <v>250</v>
      </c>
      <c r="L87">
        <f>G87*Return!B87*100</f>
        <v>9.40000000000007</v>
      </c>
      <c r="M87">
        <f>H87*Return!C87*100</f>
        <v>-451.5</v>
      </c>
      <c r="N87">
        <f>I87*Return!D87*100</f>
        <v>-90.0000000000021</v>
      </c>
      <c r="O87">
        <f>J87*Return!E87*100</f>
        <v>0</v>
      </c>
      <c r="P87">
        <f t="shared" si="20"/>
        <v>-532.100000000002</v>
      </c>
      <c r="Q87" t="e">
        <f>SUM($P$3:P87)</f>
        <v>#NAME?</v>
      </c>
      <c r="R87">
        <f>B87*中国_中债国债到期收益率_1年!B86/365*100</f>
        <v>5.18630136986301</v>
      </c>
      <c r="S87">
        <f>C87*中国_中债国债到期收益率_1年!C86/365*100</f>
        <v>21.0542465753425</v>
      </c>
      <c r="T87">
        <f>D87*中国_中债国债到期收益率_1年!D86/365*100</f>
        <v>7.53452054794521</v>
      </c>
      <c r="U87">
        <f>E87*中国_中债国债到期收益率_1年!E86/365*100</f>
        <v>0</v>
      </c>
      <c r="V87">
        <f t="shared" si="21"/>
        <v>33.7750684931507</v>
      </c>
      <c r="W87" t="e">
        <f>SUM($V$3:V87)</f>
        <v>#NAME?</v>
      </c>
      <c r="X87">
        <f>MAX(F87-50,0)*中国_中债国债到期收益率_1年!H87*100/365</f>
        <v>0</v>
      </c>
      <c r="Y87">
        <f>SUM($X$3:X87)</f>
        <v>1107.91315068493</v>
      </c>
      <c r="Z87">
        <v>-10</v>
      </c>
      <c r="AA87">
        <v>-20</v>
      </c>
      <c r="AB87">
        <f>Z87*Return!F87*100</f>
        <v>24.3999999999998</v>
      </c>
      <c r="AC87">
        <f>AA87*Return!G87*100</f>
        <v>31.6000000000001</v>
      </c>
      <c r="AD87">
        <f>SUM($AB$3:AB87)+SUM($AC$3:AC87)</f>
        <v>172.7</v>
      </c>
      <c r="AE87" t="e">
        <f t="shared" si="24"/>
        <v>#NAME?</v>
      </c>
      <c r="AF87" t="e">
        <f t="shared" si="25"/>
        <v>#NAME?</v>
      </c>
      <c r="AG87" s="5" t="e">
        <f>(AF87/AF86-1)-中国_中债国债到期收益率_1年!H87%/252</f>
        <v>#NAME?</v>
      </c>
      <c r="AH87" s="5" t="e">
        <f>MIN((AF87-MAX($AF$3:AF87))/MAX($AF$3:AF87),0)</f>
        <v>#NAME?</v>
      </c>
    </row>
    <row r="88" spans="1:34">
      <c r="A88" s="7">
        <v>44842</v>
      </c>
      <c r="B88">
        <v>10</v>
      </c>
      <c r="C88">
        <v>30</v>
      </c>
      <c r="D88">
        <v>10</v>
      </c>
      <c r="F88">
        <f t="shared" si="22"/>
        <v>50</v>
      </c>
      <c r="G88">
        <f t="shared" ref="G88:G119" si="26">B88</f>
        <v>10</v>
      </c>
      <c r="H88">
        <f t="shared" ref="H88:H119" si="27">5*C88</f>
        <v>150</v>
      </c>
      <c r="I88">
        <f t="shared" ref="I88:I119" si="28">9*D88</f>
        <v>90</v>
      </c>
      <c r="J88">
        <f t="shared" ref="J88:J119" si="29">16*E88</f>
        <v>0</v>
      </c>
      <c r="K88">
        <f t="shared" si="23"/>
        <v>250</v>
      </c>
      <c r="L88">
        <f>G88*Return!B88*100</f>
        <v>39.5000000000001</v>
      </c>
      <c r="M88">
        <f>H88*Return!C88*100</f>
        <v>-330.000000000004</v>
      </c>
      <c r="N88">
        <f>I88*Return!D88*100</f>
        <v>-89.9999999999981</v>
      </c>
      <c r="O88">
        <f>J88*Return!E88*100</f>
        <v>0</v>
      </c>
      <c r="P88">
        <f t="shared" si="20"/>
        <v>-380.500000000002</v>
      </c>
      <c r="Q88" t="e">
        <f>SUM($P$3:P88)</f>
        <v>#NAME?</v>
      </c>
      <c r="R88">
        <f>B88*中国_中债国债到期收益率_1年!B87/365*100</f>
        <v>5.07808219178082</v>
      </c>
      <c r="S88">
        <f>C88*中国_中债国债到期收益率_1年!C87/365*100</f>
        <v>21.2350684931507</v>
      </c>
      <c r="T88">
        <f>D88*中国_中债国债到期收益率_1年!D87/365*100</f>
        <v>7.56191780821918</v>
      </c>
      <c r="U88">
        <f>E88*中国_中债国债到期收益率_1年!E87/365*100</f>
        <v>0</v>
      </c>
      <c r="V88">
        <f t="shared" si="21"/>
        <v>33.8750684931507</v>
      </c>
      <c r="W88" t="e">
        <f>SUM($V$3:V88)</f>
        <v>#NAME?</v>
      </c>
      <c r="X88">
        <f>MAX(F88-50,0)*中国_中债国债到期收益率_1年!H88*100/365</f>
        <v>0</v>
      </c>
      <c r="Y88">
        <f>SUM($X$3:X88)</f>
        <v>1107.91315068493</v>
      </c>
      <c r="Z88">
        <v>-20</v>
      </c>
      <c r="AA88">
        <v>-20</v>
      </c>
      <c r="AB88">
        <f>Z88*Return!F88*100</f>
        <v>0</v>
      </c>
      <c r="AC88">
        <f>AA88*Return!G88*100</f>
        <v>49.1999999999999</v>
      </c>
      <c r="AD88">
        <f>SUM($AB$3:AB88)+SUM($AC$3:AC88)</f>
        <v>221.9</v>
      </c>
      <c r="AE88" t="e">
        <f t="shared" si="24"/>
        <v>#NAME?</v>
      </c>
      <c r="AF88" t="e">
        <f t="shared" si="25"/>
        <v>#NAME?</v>
      </c>
      <c r="AG88" s="5" t="e">
        <f>(AF88/AF87-1)-中国_中债国债到期收益率_1年!H88%/252</f>
        <v>#NAME?</v>
      </c>
      <c r="AH88" s="5" t="e">
        <f>MIN((AF88-MAX($AF$3:AF88))/MAX($AF$3:AF88),0)</f>
        <v>#NAME?</v>
      </c>
    </row>
    <row r="89" spans="1:34">
      <c r="A89" s="7">
        <v>44843</v>
      </c>
      <c r="B89">
        <v>0</v>
      </c>
      <c r="C89">
        <v>30</v>
      </c>
      <c r="D89">
        <v>10</v>
      </c>
      <c r="F89">
        <f t="shared" si="22"/>
        <v>40</v>
      </c>
      <c r="G89">
        <f t="shared" si="26"/>
        <v>0</v>
      </c>
      <c r="H89">
        <f t="shared" si="27"/>
        <v>150</v>
      </c>
      <c r="I89">
        <f t="shared" si="28"/>
        <v>90</v>
      </c>
      <c r="J89">
        <f t="shared" si="29"/>
        <v>0</v>
      </c>
      <c r="K89">
        <f t="shared" si="23"/>
        <v>240</v>
      </c>
      <c r="L89">
        <f>G89*Return!B89*100</f>
        <v>0</v>
      </c>
      <c r="M89">
        <f>H89*Return!C89*100</f>
        <v>37.4999999999992</v>
      </c>
      <c r="N89">
        <f>I89*Return!D89*100</f>
        <v>-22.4999999999995</v>
      </c>
      <c r="O89">
        <f>J89*Return!E89*100</f>
        <v>0</v>
      </c>
      <c r="P89">
        <f t="shared" si="20"/>
        <v>14.9999999999997</v>
      </c>
      <c r="Q89" t="e">
        <f>SUM($P$3:P89)</f>
        <v>#NAME?</v>
      </c>
      <c r="R89">
        <f>B89*中国_中债国债到期收益率_1年!B88/365*100</f>
        <v>0</v>
      </c>
      <c r="S89">
        <f>C89*中国_中债国债到期收益率_1年!C88/365*100</f>
        <v>21.2145205479452</v>
      </c>
      <c r="T89">
        <f>D89*中国_中债国债到期收益率_1年!D88/365*100</f>
        <v>7.56876712328767</v>
      </c>
      <c r="U89">
        <f>E89*中国_中债国债到期收益率_1年!E88/365*100</f>
        <v>0</v>
      </c>
      <c r="V89">
        <f t="shared" si="21"/>
        <v>28.7832876712329</v>
      </c>
      <c r="W89" t="e">
        <f>SUM($V$3:V89)</f>
        <v>#NAME?</v>
      </c>
      <c r="X89">
        <f>MAX(F89-50,0)*中国_中债国债到期收益率_1年!H89*100/365</f>
        <v>0</v>
      </c>
      <c r="Y89">
        <f>SUM($X$3:X89)</f>
        <v>1107.91315068493</v>
      </c>
      <c r="Z89">
        <v>-40</v>
      </c>
      <c r="AA89">
        <v>-30</v>
      </c>
      <c r="AB89">
        <f>Z89*Return!F89*100</f>
        <v>-33.9999999999989</v>
      </c>
      <c r="AC89">
        <f>AA89*Return!G89*100</f>
        <v>-62.1000000000005</v>
      </c>
      <c r="AD89">
        <f>SUM($AB$3:AB89)+SUM($AC$3:AC89)</f>
        <v>125.8</v>
      </c>
      <c r="AE89" t="e">
        <f t="shared" si="24"/>
        <v>#NAME?</v>
      </c>
      <c r="AF89" t="e">
        <f t="shared" si="25"/>
        <v>#NAME?</v>
      </c>
      <c r="AG89" s="5" t="e">
        <f>(AF89/AF88-1)-中国_中债国债到期收益率_1年!H89%/252</f>
        <v>#NAME?</v>
      </c>
      <c r="AH89" s="5" t="e">
        <f>MIN((AF89-MAX($AF$3:AF89))/MAX($AF$3:AF89),0)</f>
        <v>#NAME?</v>
      </c>
    </row>
    <row r="90" spans="1:34">
      <c r="A90" s="7">
        <v>44844</v>
      </c>
      <c r="B90">
        <v>0</v>
      </c>
      <c r="C90">
        <v>30</v>
      </c>
      <c r="D90">
        <v>10</v>
      </c>
      <c r="F90">
        <f t="shared" si="22"/>
        <v>40</v>
      </c>
      <c r="G90">
        <f t="shared" si="26"/>
        <v>0</v>
      </c>
      <c r="H90">
        <f t="shared" si="27"/>
        <v>150</v>
      </c>
      <c r="I90">
        <f t="shared" si="28"/>
        <v>90</v>
      </c>
      <c r="J90">
        <f t="shared" si="29"/>
        <v>0</v>
      </c>
      <c r="K90">
        <f t="shared" si="23"/>
        <v>240</v>
      </c>
      <c r="L90">
        <f>G90*Return!B90*100</f>
        <v>0</v>
      </c>
      <c r="M90">
        <f>H90*Return!C90*100</f>
        <v>487.500000000003</v>
      </c>
      <c r="N90">
        <f>I90*Return!D90*100</f>
        <v>156.599999999999</v>
      </c>
      <c r="O90">
        <f>J90*Return!E90*100</f>
        <v>0</v>
      </c>
      <c r="P90">
        <f t="shared" si="20"/>
        <v>644.100000000002</v>
      </c>
      <c r="Q90" t="e">
        <f>SUM($P$3:P90)</f>
        <v>#NAME?</v>
      </c>
      <c r="R90">
        <f>B90*中国_中债国债到期收益率_1年!B89/365*100</f>
        <v>0</v>
      </c>
      <c r="S90">
        <f>C90*中国_中债国债到期收益率_1年!C89/365*100</f>
        <v>20.947397260274</v>
      </c>
      <c r="T90">
        <f>D90*中国_中债国债到期收益率_1年!D89/365*100</f>
        <v>7.52109589041096</v>
      </c>
      <c r="U90">
        <f>E90*中国_中债国债到期收益率_1年!E89/365*100</f>
        <v>0</v>
      </c>
      <c r="V90">
        <f t="shared" si="21"/>
        <v>28.4684931506849</v>
      </c>
      <c r="W90" t="e">
        <f>SUM($V$3:V90)</f>
        <v>#NAME?</v>
      </c>
      <c r="X90">
        <f>MAX(F90-50,0)*中国_中债国债到期收益率_1年!H90*100/365</f>
        <v>0</v>
      </c>
      <c r="Y90">
        <f>SUM($X$3:X90)</f>
        <v>1107.91315068493</v>
      </c>
      <c r="Z90">
        <v>-40</v>
      </c>
      <c r="AA90">
        <v>-30</v>
      </c>
      <c r="AB90">
        <f>Z90*Return!F90*100</f>
        <v>-46.8000000000011</v>
      </c>
      <c r="AC90">
        <f>AA90*Return!G90*100</f>
        <v>0.900000000000567</v>
      </c>
      <c r="AD90">
        <f>SUM($AB$3:AB90)+SUM($AC$3:AC90)</f>
        <v>79.8999999999998</v>
      </c>
      <c r="AE90" t="e">
        <f t="shared" si="24"/>
        <v>#NAME?</v>
      </c>
      <c r="AF90" t="e">
        <f t="shared" si="25"/>
        <v>#NAME?</v>
      </c>
      <c r="AG90" s="5" t="e">
        <f>(AF90/AF89-1)-中国_中债国债到期收益率_1年!H90%/252</f>
        <v>#NAME?</v>
      </c>
      <c r="AH90" s="5" t="e">
        <f>MIN((AF90-MAX($AF$3:AF90))/MAX($AF$3:AF90),0)</f>
        <v>#NAME?</v>
      </c>
    </row>
    <row r="91" spans="1:34">
      <c r="A91" s="7">
        <v>44845</v>
      </c>
      <c r="B91">
        <v>0</v>
      </c>
      <c r="C91">
        <v>30</v>
      </c>
      <c r="D91">
        <v>10</v>
      </c>
      <c r="F91">
        <f t="shared" si="22"/>
        <v>40</v>
      </c>
      <c r="G91">
        <f t="shared" si="26"/>
        <v>0</v>
      </c>
      <c r="H91">
        <f t="shared" si="27"/>
        <v>150</v>
      </c>
      <c r="I91">
        <f t="shared" si="28"/>
        <v>90</v>
      </c>
      <c r="J91">
        <f t="shared" si="29"/>
        <v>0</v>
      </c>
      <c r="K91">
        <f t="shared" si="23"/>
        <v>240</v>
      </c>
      <c r="L91">
        <f>G91*Return!B91*100</f>
        <v>0</v>
      </c>
      <c r="M91">
        <f>H91*Return!C91*100</f>
        <v>269.999999999997</v>
      </c>
      <c r="N91">
        <f>I91*Return!D91*100</f>
        <v>44.999999999999</v>
      </c>
      <c r="O91">
        <f>J91*Return!E91*100</f>
        <v>0</v>
      </c>
      <c r="P91">
        <f t="shared" si="20"/>
        <v>314.999999999996</v>
      </c>
      <c r="Q91" t="e">
        <f>SUM($P$3:P91)</f>
        <v>#NAME?</v>
      </c>
      <c r="R91">
        <f>B91*中国_中债国债到期收益率_1年!B90/365*100</f>
        <v>0</v>
      </c>
      <c r="S91">
        <f>C91*中国_中债国债到期收益率_1年!C90/365*100</f>
        <v>20.7994520547945</v>
      </c>
      <c r="T91">
        <f>D91*中国_中债国债到期收益率_1年!D90/365*100</f>
        <v>7.50739726027397</v>
      </c>
      <c r="U91">
        <f>E91*中国_中债国债到期收益率_1年!E90/365*100</f>
        <v>0</v>
      </c>
      <c r="V91">
        <f t="shared" si="21"/>
        <v>28.3068493150685</v>
      </c>
      <c r="W91" t="e">
        <f>SUM($V$3:V91)</f>
        <v>#NAME?</v>
      </c>
      <c r="X91">
        <f>MAX(F91-50,0)*中国_中债国债到期收益率_1年!H91*100/365</f>
        <v>0</v>
      </c>
      <c r="Y91">
        <f>SUM($X$3:X91)</f>
        <v>1107.91315068493</v>
      </c>
      <c r="Z91">
        <v>-40</v>
      </c>
      <c r="AA91">
        <v>-30</v>
      </c>
      <c r="AB91">
        <f>Z91*Return!F91*100</f>
        <v>-110.399999999999</v>
      </c>
      <c r="AC91">
        <f>AA91*Return!G91*100</f>
        <v>-38.7000000000004</v>
      </c>
      <c r="AD91">
        <f>SUM($AB$3:AB91)+SUM($AC$3:AC91)</f>
        <v>-69.1999999999999</v>
      </c>
      <c r="AE91" t="e">
        <f t="shared" si="24"/>
        <v>#NAME?</v>
      </c>
      <c r="AF91" t="e">
        <f t="shared" si="25"/>
        <v>#NAME?</v>
      </c>
      <c r="AG91" s="5" t="e">
        <f>(AF91/AF90-1)-中国_中债国债到期收益率_1年!H91%/252</f>
        <v>#NAME?</v>
      </c>
      <c r="AH91" s="5" t="e">
        <f>MIN((AF91-MAX($AF$3:AF91))/MAX($AF$3:AF91),0)</f>
        <v>#NAME?</v>
      </c>
    </row>
    <row r="92" spans="1:34">
      <c r="A92" s="7">
        <v>44846</v>
      </c>
      <c r="B92">
        <v>0</v>
      </c>
      <c r="C92">
        <v>30</v>
      </c>
      <c r="D92">
        <v>10</v>
      </c>
      <c r="F92">
        <f t="shared" si="22"/>
        <v>40</v>
      </c>
      <c r="G92">
        <f t="shared" si="26"/>
        <v>0</v>
      </c>
      <c r="H92">
        <f t="shared" si="27"/>
        <v>150</v>
      </c>
      <c r="I92">
        <f t="shared" si="28"/>
        <v>90</v>
      </c>
      <c r="J92">
        <f t="shared" si="29"/>
        <v>0</v>
      </c>
      <c r="K92">
        <f t="shared" si="23"/>
        <v>240</v>
      </c>
      <c r="L92">
        <f>G92*Return!B92*100</f>
        <v>0</v>
      </c>
      <c r="M92">
        <f>H92*Return!C92*100</f>
        <v>-65.9999999999994</v>
      </c>
      <c r="N92">
        <f>I92*Return!D92*100</f>
        <v>-21.5999999999976</v>
      </c>
      <c r="O92">
        <f>J92*Return!E92*100</f>
        <v>0</v>
      </c>
      <c r="P92">
        <f t="shared" si="20"/>
        <v>-87.599999999997</v>
      </c>
      <c r="Q92" t="e">
        <f>SUM($P$3:P92)</f>
        <v>#NAME?</v>
      </c>
      <c r="R92">
        <f>B92*中国_中债国债到期收益率_1年!B91/365*100</f>
        <v>0</v>
      </c>
      <c r="S92">
        <f>C92*中国_中债国债到期收益率_1年!C91/365*100</f>
        <v>20.8356164383562</v>
      </c>
      <c r="T92">
        <f>D92*中国_中债国债到期收益率_1年!D91/365*100</f>
        <v>7.51397260273973</v>
      </c>
      <c r="U92">
        <f>E92*中国_中债国债到期收益率_1年!E91/365*100</f>
        <v>0</v>
      </c>
      <c r="V92">
        <f t="shared" si="21"/>
        <v>28.3495890410959</v>
      </c>
      <c r="W92" t="e">
        <f>SUM($V$3:V92)</f>
        <v>#NAME?</v>
      </c>
      <c r="X92">
        <f>MAX(F92-50,0)*中国_中债国债到期收益率_1年!H92*100/365</f>
        <v>0</v>
      </c>
      <c r="Y92">
        <f>SUM($X$3:X92)</f>
        <v>1107.91315068493</v>
      </c>
      <c r="Z92">
        <v>-40</v>
      </c>
      <c r="AA92">
        <v>-30</v>
      </c>
      <c r="AB92">
        <f>Z92*Return!F92*100</f>
        <v>-13.6000000000003</v>
      </c>
      <c r="AC92">
        <f>AA92*Return!G92*100</f>
        <v>-26.6999999999991</v>
      </c>
      <c r="AD92">
        <f>SUM($AB$3:AB92)+SUM($AC$3:AC92)</f>
        <v>-109.499999999999</v>
      </c>
      <c r="AE92" t="e">
        <f t="shared" si="24"/>
        <v>#NAME?</v>
      </c>
      <c r="AF92" t="e">
        <f t="shared" si="25"/>
        <v>#NAME?</v>
      </c>
      <c r="AG92" s="5" t="e">
        <f>(AF92/AF91-1)-中国_中债国债到期收益率_1年!H92%/252</f>
        <v>#NAME?</v>
      </c>
      <c r="AH92" s="5" t="e">
        <f>MIN((AF92-MAX($AF$3:AF92))/MAX($AF$3:AF92),0)</f>
        <v>#NAME?</v>
      </c>
    </row>
    <row r="93" spans="1:34">
      <c r="A93" s="7">
        <v>44847</v>
      </c>
      <c r="B93">
        <v>0</v>
      </c>
      <c r="C93">
        <v>30</v>
      </c>
      <c r="D93">
        <v>10</v>
      </c>
      <c r="F93">
        <f t="shared" si="22"/>
        <v>40</v>
      </c>
      <c r="G93">
        <f t="shared" si="26"/>
        <v>0</v>
      </c>
      <c r="H93">
        <f t="shared" si="27"/>
        <v>150</v>
      </c>
      <c r="I93">
        <f t="shared" si="28"/>
        <v>90</v>
      </c>
      <c r="J93">
        <f t="shared" si="29"/>
        <v>0</v>
      </c>
      <c r="K93">
        <f t="shared" si="23"/>
        <v>240</v>
      </c>
      <c r="L93">
        <f>G93*Return!B93*100</f>
        <v>0</v>
      </c>
      <c r="M93">
        <f>H93*Return!C93*100</f>
        <v>196.500000000002</v>
      </c>
      <c r="N93">
        <f>I93*Return!D93*100</f>
        <v>66.6000000000007</v>
      </c>
      <c r="O93">
        <f>J93*Return!E93*100</f>
        <v>0</v>
      </c>
      <c r="P93">
        <f t="shared" si="20"/>
        <v>263.100000000002</v>
      </c>
      <c r="Q93" t="e">
        <f>SUM($P$3:P93)</f>
        <v>#NAME?</v>
      </c>
      <c r="R93">
        <f>B93*中国_中债国债到期收益率_1年!B92/365*100</f>
        <v>0</v>
      </c>
      <c r="S93">
        <f>C93*中国_中债国债到期收益率_1年!C92/365*100</f>
        <v>20.7279452054795</v>
      </c>
      <c r="T93">
        <f>D93*中国_中债国债到期收益率_1年!D92/365*100</f>
        <v>7.49369863013699</v>
      </c>
      <c r="U93">
        <f>E93*中国_中债国债到期收益率_1年!E92/365*100</f>
        <v>0</v>
      </c>
      <c r="V93">
        <f t="shared" si="21"/>
        <v>28.2216438356164</v>
      </c>
      <c r="W93" t="e">
        <f>SUM($V$3:V93)</f>
        <v>#NAME?</v>
      </c>
      <c r="X93">
        <f>MAX(F93-50,0)*中国_中债国债到期收益率_1年!H93*100/365</f>
        <v>0</v>
      </c>
      <c r="Y93">
        <f>SUM($X$3:X93)</f>
        <v>1107.91315068493</v>
      </c>
      <c r="Z93">
        <v>-50</v>
      </c>
      <c r="AA93">
        <v>-30</v>
      </c>
      <c r="AB93">
        <f>Z93*Return!F93*100</f>
        <v>-3.49999999999961</v>
      </c>
      <c r="AC93">
        <f>AA93*Return!G93*100</f>
        <v>5.09999999999877</v>
      </c>
      <c r="AD93">
        <f>SUM($AB$3:AB93)+SUM($AC$3:AC93)</f>
        <v>-107.9</v>
      </c>
      <c r="AE93" t="e">
        <f t="shared" si="24"/>
        <v>#NAME?</v>
      </c>
      <c r="AF93" t="e">
        <f t="shared" si="25"/>
        <v>#NAME?</v>
      </c>
      <c r="AG93" s="5" t="e">
        <f>(AF93/AF92-1)-中国_中债国债到期收益率_1年!H93%/252</f>
        <v>#NAME?</v>
      </c>
      <c r="AH93" s="5" t="e">
        <f>MIN((AF93-MAX($AF$3:AF93))/MAX($AF$3:AF93),0)</f>
        <v>#NAME?</v>
      </c>
    </row>
    <row r="94" spans="1:34">
      <c r="A94" s="7">
        <v>44848</v>
      </c>
      <c r="B94">
        <v>0</v>
      </c>
      <c r="C94">
        <v>30</v>
      </c>
      <c r="D94">
        <v>10</v>
      </c>
      <c r="F94">
        <f t="shared" si="22"/>
        <v>40</v>
      </c>
      <c r="G94">
        <f t="shared" si="26"/>
        <v>0</v>
      </c>
      <c r="H94">
        <f t="shared" si="27"/>
        <v>150</v>
      </c>
      <c r="I94">
        <f t="shared" si="28"/>
        <v>90</v>
      </c>
      <c r="J94">
        <f t="shared" si="29"/>
        <v>0</v>
      </c>
      <c r="K94">
        <f t="shared" si="23"/>
        <v>240</v>
      </c>
      <c r="L94">
        <f>G94*Return!B94*100</f>
        <v>0</v>
      </c>
      <c r="M94">
        <f>H94*Return!C94*100</f>
        <v>145.500000000001</v>
      </c>
      <c r="N94">
        <f>I94*Return!D94*100</f>
        <v>89.9999999999981</v>
      </c>
      <c r="O94">
        <f>J94*Return!E94*100</f>
        <v>0</v>
      </c>
      <c r="P94">
        <f t="shared" si="20"/>
        <v>235.499999999999</v>
      </c>
      <c r="Q94" t="e">
        <f>SUM($P$3:P94)</f>
        <v>#NAME?</v>
      </c>
      <c r="R94">
        <f>B94*中国_中债国债到期收益率_1年!B93/365*100</f>
        <v>0</v>
      </c>
      <c r="S94">
        <f>C94*中国_中债国债到期收益率_1年!C93/365*100</f>
        <v>20.6482191780822</v>
      </c>
      <c r="T94">
        <f>D94*中国_中债国债到期收益率_1年!D93/365*100</f>
        <v>7.46630136986301</v>
      </c>
      <c r="U94">
        <f>E94*中国_中债国债到期收益率_1年!E93/365*100</f>
        <v>0</v>
      </c>
      <c r="V94">
        <f t="shared" si="21"/>
        <v>28.1145205479452</v>
      </c>
      <c r="W94" t="e">
        <f>SUM($V$3:V94)</f>
        <v>#NAME?</v>
      </c>
      <c r="X94">
        <f>MAX(F94-50,0)*中国_中债国债到期收益率_1年!H94*100/365</f>
        <v>0</v>
      </c>
      <c r="Y94">
        <f>SUM($X$3:X94)</f>
        <v>1107.91315068493</v>
      </c>
      <c r="Z94">
        <v>-50</v>
      </c>
      <c r="AA94">
        <v>-30</v>
      </c>
      <c r="AB94">
        <f>Z94*Return!F94*100</f>
        <v>-54.4999999999995</v>
      </c>
      <c r="AC94">
        <f>AA94*Return!G94*100</f>
        <v>-32.6999999999997</v>
      </c>
      <c r="AD94">
        <f>SUM($AB$3:AB94)+SUM($AC$3:AC94)</f>
        <v>-195.099999999999</v>
      </c>
      <c r="AE94" t="e">
        <f t="shared" si="24"/>
        <v>#NAME?</v>
      </c>
      <c r="AF94" t="e">
        <f t="shared" si="25"/>
        <v>#NAME?</v>
      </c>
      <c r="AG94" s="5" t="e">
        <f>(AF94/AF93-1)-中国_中债国债到期收益率_1年!H94%/252</f>
        <v>#NAME?</v>
      </c>
      <c r="AH94" s="5" t="e">
        <f>MIN((AF94-MAX($AF$3:AF94))/MAX($AF$3:AF94),0)</f>
        <v>#NAME?</v>
      </c>
    </row>
    <row r="95" spans="1:34">
      <c r="A95" s="7">
        <v>44851</v>
      </c>
      <c r="B95">
        <v>0</v>
      </c>
      <c r="C95">
        <v>30</v>
      </c>
      <c r="D95">
        <v>10</v>
      </c>
      <c r="F95">
        <f t="shared" si="22"/>
        <v>40</v>
      </c>
      <c r="G95">
        <f t="shared" si="26"/>
        <v>0</v>
      </c>
      <c r="H95">
        <f t="shared" si="27"/>
        <v>150</v>
      </c>
      <c r="I95">
        <f t="shared" si="28"/>
        <v>90</v>
      </c>
      <c r="J95">
        <f t="shared" si="29"/>
        <v>0</v>
      </c>
      <c r="K95">
        <f t="shared" si="23"/>
        <v>240</v>
      </c>
      <c r="L95">
        <f>G95*Return!B95*100</f>
        <v>0</v>
      </c>
      <c r="M95">
        <f>H95*Return!C95*100</f>
        <v>325.500000000001</v>
      </c>
      <c r="N95">
        <f>I95*Return!D95*100</f>
        <v>247.499999999999</v>
      </c>
      <c r="O95">
        <f>J95*Return!E95*100</f>
        <v>0</v>
      </c>
      <c r="P95">
        <f t="shared" si="20"/>
        <v>573</v>
      </c>
      <c r="Q95" t="e">
        <f>SUM($P$3:P95)</f>
        <v>#NAME?</v>
      </c>
      <c r="R95">
        <f>B95*中国_中债国债到期收益率_1年!B94/365*100</f>
        <v>0</v>
      </c>
      <c r="S95">
        <f>C95*中国_中债国债到期收益率_1年!C94/365*100</f>
        <v>20.4698630136986</v>
      </c>
      <c r="T95">
        <f>D95*中国_中债国债到期收益率_1年!D94/365*100</f>
        <v>7.39095890410959</v>
      </c>
      <c r="U95">
        <f>E95*中国_中债国债到期收益率_1年!E94/365*100</f>
        <v>0</v>
      </c>
      <c r="V95">
        <f t="shared" si="21"/>
        <v>27.8608219178082</v>
      </c>
      <c r="W95" t="e">
        <f>SUM($V$3:V95)</f>
        <v>#NAME?</v>
      </c>
      <c r="X95">
        <f>MAX(F95-50,0)*中国_中债国债到期收益率_1年!H95*100/365</f>
        <v>0</v>
      </c>
      <c r="Y95">
        <f>SUM($X$3:X95)</f>
        <v>1107.91315068493</v>
      </c>
      <c r="Z95">
        <v>-50</v>
      </c>
      <c r="AA95">
        <v>-30</v>
      </c>
      <c r="AB95">
        <f>Z95*Return!F95*100</f>
        <v>-26.0000000000005</v>
      </c>
      <c r="AC95">
        <f>AA95*Return!G95*100</f>
        <v>-23.4000000000001</v>
      </c>
      <c r="AD95">
        <f>SUM($AB$3:AB95)+SUM($AC$3:AC95)</f>
        <v>-244.5</v>
      </c>
      <c r="AE95" t="e">
        <f t="shared" si="24"/>
        <v>#NAME?</v>
      </c>
      <c r="AF95" t="e">
        <f t="shared" si="25"/>
        <v>#NAME?</v>
      </c>
      <c r="AG95" s="5" t="e">
        <f>(AF95/AF94-1)-中国_中债国债到期收益率_1年!H95%/252</f>
        <v>#NAME?</v>
      </c>
      <c r="AH95" s="5" t="e">
        <f>MIN((AF95-MAX($AF$3:AF95))/MAX($AF$3:AF95),0)</f>
        <v>#NAME?</v>
      </c>
    </row>
    <row r="96" spans="1:34">
      <c r="A96" s="7">
        <v>44852</v>
      </c>
      <c r="B96">
        <v>0</v>
      </c>
      <c r="C96">
        <v>30</v>
      </c>
      <c r="D96">
        <v>10</v>
      </c>
      <c r="F96">
        <f t="shared" si="22"/>
        <v>40</v>
      </c>
      <c r="G96">
        <f t="shared" si="26"/>
        <v>0</v>
      </c>
      <c r="H96">
        <f t="shared" si="27"/>
        <v>150</v>
      </c>
      <c r="I96">
        <f t="shared" si="28"/>
        <v>90</v>
      </c>
      <c r="J96">
        <f t="shared" si="29"/>
        <v>0</v>
      </c>
      <c r="K96">
        <f t="shared" si="23"/>
        <v>240</v>
      </c>
      <c r="L96">
        <f>G96*Return!B96*100</f>
        <v>0</v>
      </c>
      <c r="M96">
        <f>H96*Return!C96*100</f>
        <v>-39.0000000000024</v>
      </c>
      <c r="N96">
        <f>I96*Return!D96*100</f>
        <v>-22.4999999999995</v>
      </c>
      <c r="O96">
        <f>J96*Return!E96*100</f>
        <v>0</v>
      </c>
      <c r="P96">
        <f t="shared" si="20"/>
        <v>-61.5000000000019</v>
      </c>
      <c r="Q96" t="e">
        <f>SUM($P$3:P96)</f>
        <v>#NAME?</v>
      </c>
      <c r="R96">
        <f>B96*中国_中债国债到期收益率_1年!B95/365*100</f>
        <v>0</v>
      </c>
      <c r="S96">
        <f>C96*中国_中债国债到期收益率_1年!C95/365*100</f>
        <v>20.4912328767123</v>
      </c>
      <c r="T96">
        <f>D96*中国_中债国债到期收益率_1年!D95/365*100</f>
        <v>7.39780821917808</v>
      </c>
      <c r="U96">
        <f>E96*中国_中债国债到期收益率_1年!E95/365*100</f>
        <v>0</v>
      </c>
      <c r="V96">
        <f t="shared" si="21"/>
        <v>27.8890410958904</v>
      </c>
      <c r="W96" t="e">
        <f>SUM($V$3:V96)</f>
        <v>#NAME?</v>
      </c>
      <c r="X96">
        <f>MAX(F96-50,0)*中国_中债国债到期收益率_1年!H96*100/365</f>
        <v>0</v>
      </c>
      <c r="Y96">
        <f>SUM($X$3:X96)</f>
        <v>1107.91315068493</v>
      </c>
      <c r="Z96">
        <v>-50</v>
      </c>
      <c r="AA96">
        <v>-30</v>
      </c>
      <c r="AB96">
        <f>Z96*Return!F96*100</f>
        <v>-40.9999999999999</v>
      </c>
      <c r="AC96">
        <f>AA96*Return!G96*100</f>
        <v>-37.4999999999992</v>
      </c>
      <c r="AD96">
        <f>SUM($AB$3:AB96)+SUM($AC$3:AC96)</f>
        <v>-322.999999999999</v>
      </c>
      <c r="AE96" t="e">
        <f t="shared" si="24"/>
        <v>#NAME?</v>
      </c>
      <c r="AF96" t="e">
        <f t="shared" si="25"/>
        <v>#NAME?</v>
      </c>
      <c r="AG96" s="5" t="e">
        <f>(AF96/AF95-1)-中国_中债国债到期收益率_1年!H96%/252</f>
        <v>#NAME?</v>
      </c>
      <c r="AH96" s="5" t="e">
        <f>MIN((AF96-MAX($AF$3:AF96))/MAX($AF$3:AF96),0)</f>
        <v>#NAME?</v>
      </c>
    </row>
    <row r="97" spans="1:34">
      <c r="A97" s="7">
        <v>44853</v>
      </c>
      <c r="B97">
        <v>0</v>
      </c>
      <c r="C97">
        <v>30</v>
      </c>
      <c r="D97">
        <v>10</v>
      </c>
      <c r="F97">
        <f t="shared" si="22"/>
        <v>40</v>
      </c>
      <c r="G97">
        <f t="shared" si="26"/>
        <v>0</v>
      </c>
      <c r="H97">
        <f t="shared" si="27"/>
        <v>150</v>
      </c>
      <c r="I97">
        <f t="shared" si="28"/>
        <v>90</v>
      </c>
      <c r="J97">
        <f t="shared" si="29"/>
        <v>0</v>
      </c>
      <c r="K97">
        <f t="shared" si="23"/>
        <v>240</v>
      </c>
      <c r="L97">
        <f>G97*Return!B97*100</f>
        <v>0</v>
      </c>
      <c r="M97">
        <f>H97*Return!C97*100</f>
        <v>30.0000000000034</v>
      </c>
      <c r="N97">
        <f>I97*Return!D97*100</f>
        <v>0</v>
      </c>
      <c r="O97">
        <f>J97*Return!E97*100</f>
        <v>0</v>
      </c>
      <c r="P97">
        <f t="shared" si="20"/>
        <v>30.0000000000034</v>
      </c>
      <c r="Q97" t="e">
        <f>SUM($P$3:P97)</f>
        <v>#NAME?</v>
      </c>
      <c r="R97">
        <f>B97*中国_中债国债到期收益率_1年!B96/365*100</f>
        <v>0</v>
      </c>
      <c r="S97">
        <f>C97*中国_中债国债到期收益率_1年!C96/365*100</f>
        <v>20.4747945205479</v>
      </c>
      <c r="T97">
        <f>D97*中国_中债国债到期收益率_1年!D96/365*100</f>
        <v>7.39780821917808</v>
      </c>
      <c r="U97">
        <f>E97*中国_中债国债到期收益率_1年!E96/365*100</f>
        <v>0</v>
      </c>
      <c r="V97">
        <f t="shared" si="21"/>
        <v>27.872602739726</v>
      </c>
      <c r="W97" t="e">
        <f>SUM($V$3:V97)</f>
        <v>#NAME?</v>
      </c>
      <c r="X97">
        <f>MAX(F97-50,0)*中国_中债国债到期收益率_1年!H97*100/365</f>
        <v>0</v>
      </c>
      <c r="Y97">
        <f>SUM($X$3:X97)</f>
        <v>1107.91315068493</v>
      </c>
      <c r="Z97">
        <v>-50</v>
      </c>
      <c r="AA97">
        <v>-30</v>
      </c>
      <c r="AB97">
        <f>Z97*Return!F97*100</f>
        <v>-3.49999999999961</v>
      </c>
      <c r="AC97">
        <f>AA97*Return!G97*100</f>
        <v>8.39999999999907</v>
      </c>
      <c r="AD97">
        <f>SUM($AB$3:AB97)+SUM($AC$3:AC97)</f>
        <v>-318.1</v>
      </c>
      <c r="AE97" t="e">
        <f t="shared" si="24"/>
        <v>#NAME?</v>
      </c>
      <c r="AF97" t="e">
        <f t="shared" si="25"/>
        <v>#NAME?</v>
      </c>
      <c r="AG97" s="5" t="e">
        <f>(AF97/AF96-1)-中国_中债国债到期收益率_1年!H97%/252</f>
        <v>#NAME?</v>
      </c>
      <c r="AH97" s="5" t="e">
        <f>MIN((AF97-MAX($AF$3:AF97))/MAX($AF$3:AF97),0)</f>
        <v>#NAME?</v>
      </c>
    </row>
    <row r="98" spans="1:34">
      <c r="A98" s="7">
        <v>44854</v>
      </c>
      <c r="B98">
        <v>0</v>
      </c>
      <c r="C98">
        <v>30</v>
      </c>
      <c r="D98">
        <v>0</v>
      </c>
      <c r="F98">
        <f t="shared" si="22"/>
        <v>30</v>
      </c>
      <c r="G98">
        <f t="shared" si="26"/>
        <v>0</v>
      </c>
      <c r="H98">
        <f t="shared" si="27"/>
        <v>150</v>
      </c>
      <c r="I98">
        <f t="shared" si="28"/>
        <v>0</v>
      </c>
      <c r="J98">
        <f t="shared" si="29"/>
        <v>0</v>
      </c>
      <c r="K98">
        <f t="shared" si="23"/>
        <v>150</v>
      </c>
      <c r="L98">
        <f>G98*Return!B98*100</f>
        <v>0</v>
      </c>
      <c r="M98">
        <f>H98*Return!C98*100</f>
        <v>223.499999999999</v>
      </c>
      <c r="N98">
        <f>I98*Return!D98*100</f>
        <v>0</v>
      </c>
      <c r="O98">
        <f>J98*Return!E98*100</f>
        <v>0</v>
      </c>
      <c r="P98">
        <f t="shared" si="20"/>
        <v>223.499999999999</v>
      </c>
      <c r="Q98" t="e">
        <f>SUM($P$3:P98)</f>
        <v>#NAME?</v>
      </c>
      <c r="R98">
        <f>B98*中国_中债国债到期收益率_1年!B97/365*100</f>
        <v>0</v>
      </c>
      <c r="S98">
        <f>C98*中国_中债国债到期收益率_1年!C97/365*100</f>
        <v>20.3523287671233</v>
      </c>
      <c r="T98">
        <f>D98*中国_中债国债到期收益率_1年!D97/365*100</f>
        <v>0</v>
      </c>
      <c r="U98">
        <f>E98*中国_中债国债到期收益率_1年!E97/365*100</f>
        <v>0</v>
      </c>
      <c r="V98">
        <f t="shared" si="21"/>
        <v>20.3523287671233</v>
      </c>
      <c r="W98" t="e">
        <f>SUM($V$3:V98)</f>
        <v>#NAME?</v>
      </c>
      <c r="X98">
        <f>MAX(F98-50,0)*中国_中债国债到期收益率_1年!H98*100/365</f>
        <v>0</v>
      </c>
      <c r="Y98">
        <f>SUM($X$3:X98)</f>
        <v>1107.91315068493</v>
      </c>
      <c r="Z98">
        <v>-50</v>
      </c>
      <c r="AA98">
        <v>-30</v>
      </c>
      <c r="AB98">
        <f>Z98*Return!F98*100</f>
        <v>-2.50000000000083</v>
      </c>
      <c r="AC98">
        <f>AA98*Return!G98*100</f>
        <v>-4.79999999999947</v>
      </c>
      <c r="AD98">
        <f>SUM($AB$3:AB98)+SUM($AC$3:AC98)</f>
        <v>-325.4</v>
      </c>
      <c r="AE98" t="e">
        <f t="shared" si="24"/>
        <v>#NAME?</v>
      </c>
      <c r="AF98" t="e">
        <f t="shared" si="25"/>
        <v>#NAME?</v>
      </c>
      <c r="AG98" s="5" t="e">
        <f>(AF98/AF97-1)-中国_中债国债到期收益率_1年!H98%/252</f>
        <v>#NAME?</v>
      </c>
      <c r="AH98" s="5" t="e">
        <f>MIN((AF98-MAX($AF$3:AF98))/MAX($AF$3:AF98),0)</f>
        <v>#NAME?</v>
      </c>
    </row>
    <row r="99" spans="1:34">
      <c r="A99" s="7">
        <v>44855</v>
      </c>
      <c r="B99">
        <v>0</v>
      </c>
      <c r="C99">
        <v>30</v>
      </c>
      <c r="D99">
        <v>0</v>
      </c>
      <c r="F99">
        <f t="shared" si="22"/>
        <v>30</v>
      </c>
      <c r="G99">
        <f t="shared" si="26"/>
        <v>0</v>
      </c>
      <c r="H99">
        <f t="shared" si="27"/>
        <v>150</v>
      </c>
      <c r="I99">
        <f t="shared" si="28"/>
        <v>0</v>
      </c>
      <c r="J99">
        <f t="shared" si="29"/>
        <v>0</v>
      </c>
      <c r="K99">
        <f t="shared" si="23"/>
        <v>150</v>
      </c>
      <c r="L99">
        <f>G99*Return!B99*100</f>
        <v>0</v>
      </c>
      <c r="M99">
        <f>H99*Return!C99*100</f>
        <v>-118.500000000004</v>
      </c>
      <c r="N99">
        <f>I99*Return!D99*100</f>
        <v>0</v>
      </c>
      <c r="O99">
        <f>J99*Return!E99*100</f>
        <v>0</v>
      </c>
      <c r="P99">
        <f t="shared" si="20"/>
        <v>-118.500000000004</v>
      </c>
      <c r="Q99" t="e">
        <f>SUM($P$3:P99)</f>
        <v>#NAME?</v>
      </c>
      <c r="R99">
        <f>B99*中国_中债国债到期收益率_1年!B98/365*100</f>
        <v>0</v>
      </c>
      <c r="S99">
        <f>C99*中国_中债国债到期收益率_1年!C98/365*100</f>
        <v>20.4172602739726</v>
      </c>
      <c r="T99">
        <f>D99*中国_中债国债到期收益率_1年!D98/365*100</f>
        <v>0</v>
      </c>
      <c r="U99">
        <f>E99*中国_中债国债到期收益率_1年!E98/365*100</f>
        <v>0</v>
      </c>
      <c r="V99">
        <f t="shared" si="21"/>
        <v>20.4172602739726</v>
      </c>
      <c r="W99" t="e">
        <f>SUM($V$3:V99)</f>
        <v>#NAME?</v>
      </c>
      <c r="X99">
        <f>MAX(F99-50,0)*中国_中债国债到期收益率_1年!H99*100/365</f>
        <v>0</v>
      </c>
      <c r="Y99">
        <f>SUM($X$3:X99)</f>
        <v>1107.91315068493</v>
      </c>
      <c r="Z99">
        <v>-50</v>
      </c>
      <c r="AA99">
        <v>-30</v>
      </c>
      <c r="AB99">
        <f>Z99*Return!F99*100</f>
        <v>53.5000000000008</v>
      </c>
      <c r="AC99">
        <f>AA99*Return!G99*100</f>
        <v>49.5000000000005</v>
      </c>
      <c r="AD99">
        <f>SUM($AB$3:AB99)+SUM($AC$3:AC99)</f>
        <v>-222.399999999999</v>
      </c>
      <c r="AE99" t="e">
        <f t="shared" si="24"/>
        <v>#NAME?</v>
      </c>
      <c r="AF99" t="e">
        <f t="shared" si="25"/>
        <v>#NAME?</v>
      </c>
      <c r="AG99" s="5" t="e">
        <f>(AF99/AF98-1)-中国_中债国债到期收益率_1年!H99%/252</f>
        <v>#NAME?</v>
      </c>
      <c r="AH99" s="5" t="e">
        <f>MIN((AF99-MAX($AF$3:AF99))/MAX($AF$3:AF99),0)</f>
        <v>#NAME?</v>
      </c>
    </row>
    <row r="100" spans="1:34">
      <c r="A100" s="7">
        <v>44858</v>
      </c>
      <c r="B100">
        <v>0</v>
      </c>
      <c r="C100">
        <v>30</v>
      </c>
      <c r="D100">
        <v>0</v>
      </c>
      <c r="F100">
        <f t="shared" si="22"/>
        <v>30</v>
      </c>
      <c r="G100">
        <f t="shared" si="26"/>
        <v>0</v>
      </c>
      <c r="H100">
        <f t="shared" si="27"/>
        <v>150</v>
      </c>
      <c r="I100">
        <f t="shared" si="28"/>
        <v>0</v>
      </c>
      <c r="J100">
        <f t="shared" si="29"/>
        <v>0</v>
      </c>
      <c r="K100">
        <f t="shared" si="23"/>
        <v>150</v>
      </c>
      <c r="L100">
        <f>G100*Return!B100*100</f>
        <v>0</v>
      </c>
      <c r="M100">
        <f>H100*Return!C100*100</f>
        <v>-115.499999999997</v>
      </c>
      <c r="N100">
        <f>I100*Return!D100*100</f>
        <v>0</v>
      </c>
      <c r="O100">
        <f>J100*Return!E100*100</f>
        <v>0</v>
      </c>
      <c r="P100">
        <f t="shared" si="20"/>
        <v>-115.499999999997</v>
      </c>
      <c r="Q100" t="e">
        <f>SUM($P$3:P100)</f>
        <v>#NAME?</v>
      </c>
      <c r="R100">
        <f>B100*中国_中债国债到期收益率_1年!B99/365*100</f>
        <v>0</v>
      </c>
      <c r="S100">
        <f>C100*中国_中债国债到期收益率_1年!C99/365*100</f>
        <v>20.4805479452055</v>
      </c>
      <c r="T100">
        <f>D100*中国_中债国债到期收益率_1年!D99/365*100</f>
        <v>0</v>
      </c>
      <c r="U100">
        <f>E100*中国_中债国债到期收益率_1年!E99/365*100</f>
        <v>0</v>
      </c>
      <c r="V100">
        <f t="shared" si="21"/>
        <v>20.4805479452055</v>
      </c>
      <c r="W100" t="e">
        <f>SUM($V$3:V100)</f>
        <v>#NAME?</v>
      </c>
      <c r="X100">
        <f>MAX(F100-50,0)*中国_中债国债到期收益率_1年!H100*100/365</f>
        <v>0</v>
      </c>
      <c r="Y100">
        <f>SUM($X$3:X100)</f>
        <v>1107.91315068493</v>
      </c>
      <c r="Z100">
        <v>-50</v>
      </c>
      <c r="AA100">
        <v>-30</v>
      </c>
      <c r="AB100">
        <f>Z100*Return!F100*100</f>
        <v>91.4999999999999</v>
      </c>
      <c r="AC100">
        <f>AA100*Return!G100*100</f>
        <v>25.1999999999999</v>
      </c>
      <c r="AD100">
        <f>SUM($AB$3:AB100)+SUM($AC$3:AC100)</f>
        <v>-105.699999999999</v>
      </c>
      <c r="AE100" t="e">
        <f t="shared" si="24"/>
        <v>#NAME?</v>
      </c>
      <c r="AF100" t="e">
        <f t="shared" si="25"/>
        <v>#NAME?</v>
      </c>
      <c r="AG100" s="5" t="e">
        <f>(AF100/AF99-1)-中国_中债国债到期收益率_1年!H100%/252</f>
        <v>#NAME?</v>
      </c>
      <c r="AH100" s="5" t="e">
        <f>MIN((AF100-MAX($AF$3:AF100))/MAX($AF$3:AF100),0)</f>
        <v>#NAME?</v>
      </c>
    </row>
    <row r="101" spans="1:34">
      <c r="A101" s="7">
        <v>44859</v>
      </c>
      <c r="B101">
        <v>0</v>
      </c>
      <c r="C101">
        <v>30</v>
      </c>
      <c r="D101">
        <v>0</v>
      </c>
      <c r="F101">
        <f t="shared" si="22"/>
        <v>30</v>
      </c>
      <c r="G101">
        <f t="shared" si="26"/>
        <v>0</v>
      </c>
      <c r="H101">
        <f t="shared" si="27"/>
        <v>150</v>
      </c>
      <c r="I101">
        <f t="shared" si="28"/>
        <v>0</v>
      </c>
      <c r="J101">
        <f t="shared" si="29"/>
        <v>0</v>
      </c>
      <c r="K101">
        <f t="shared" si="23"/>
        <v>150</v>
      </c>
      <c r="L101">
        <f>G101*Return!B101*100</f>
        <v>0</v>
      </c>
      <c r="M101">
        <f>H101*Return!C101*100</f>
        <v>99.0000000000024</v>
      </c>
      <c r="N101">
        <f>I101*Return!D101*100</f>
        <v>0</v>
      </c>
      <c r="O101">
        <f>J101*Return!E101*100</f>
        <v>0</v>
      </c>
      <c r="P101">
        <f t="shared" si="20"/>
        <v>99.0000000000024</v>
      </c>
      <c r="Q101" t="e">
        <f>SUM($P$3:P101)</f>
        <v>#NAME?</v>
      </c>
      <c r="R101">
        <f>B101*中国_中债国债到期收益率_1年!B100/365*100</f>
        <v>0</v>
      </c>
      <c r="S101">
        <f>C101*中国_中债国债到期收益率_1年!C100/365*100</f>
        <v>20.426301369863</v>
      </c>
      <c r="T101">
        <f>D101*中国_中债国债到期收益率_1年!D100/365*100</f>
        <v>0</v>
      </c>
      <c r="U101">
        <f>E101*中国_中债国债到期收益率_1年!E100/365*100</f>
        <v>0</v>
      </c>
      <c r="V101">
        <f t="shared" si="21"/>
        <v>20.426301369863</v>
      </c>
      <c r="W101" t="e">
        <f>SUM($V$3:V101)</f>
        <v>#NAME?</v>
      </c>
      <c r="X101">
        <f>MAX(F101-50,0)*中国_中债国债到期收益率_1年!H101*100/365</f>
        <v>0</v>
      </c>
      <c r="Y101">
        <f>SUM($X$3:X101)</f>
        <v>1107.91315068493</v>
      </c>
      <c r="Z101">
        <v>-50</v>
      </c>
      <c r="AA101">
        <v>-30</v>
      </c>
      <c r="AB101">
        <f>Z101*Return!F101*100</f>
        <v>20.5</v>
      </c>
      <c r="AC101">
        <f>AA101*Return!G101*100</f>
        <v>-15.9000000000002</v>
      </c>
      <c r="AD101">
        <f>SUM($AB$3:AB101)+SUM($AC$3:AC101)</f>
        <v>-101.099999999999</v>
      </c>
      <c r="AE101" t="e">
        <f t="shared" si="24"/>
        <v>#NAME?</v>
      </c>
      <c r="AF101" t="e">
        <f t="shared" si="25"/>
        <v>#NAME?</v>
      </c>
      <c r="AG101" s="5" t="e">
        <f>(AF101/AF100-1)-中国_中债国债到期收益率_1年!H101%/252</f>
        <v>#NAME?</v>
      </c>
      <c r="AH101" s="5" t="e">
        <f>MIN((AF101-MAX($AF$3:AF101))/MAX($AF$3:AF101),0)</f>
        <v>#NAME?</v>
      </c>
    </row>
    <row r="102" spans="1:34">
      <c r="A102" s="7">
        <v>44860</v>
      </c>
      <c r="B102">
        <v>0</v>
      </c>
      <c r="C102">
        <v>30</v>
      </c>
      <c r="D102">
        <v>0</v>
      </c>
      <c r="F102">
        <f t="shared" si="22"/>
        <v>30</v>
      </c>
      <c r="G102">
        <f t="shared" si="26"/>
        <v>0</v>
      </c>
      <c r="H102">
        <f t="shared" si="27"/>
        <v>150</v>
      </c>
      <c r="I102">
        <f t="shared" si="28"/>
        <v>0</v>
      </c>
      <c r="J102">
        <f t="shared" si="29"/>
        <v>0</v>
      </c>
      <c r="K102">
        <f t="shared" si="23"/>
        <v>150</v>
      </c>
      <c r="L102">
        <f>G102*Return!B102*100</f>
        <v>0</v>
      </c>
      <c r="M102">
        <f>H102*Return!C102*100</f>
        <v>-268.5</v>
      </c>
      <c r="N102">
        <f>I102*Return!D102*100</f>
        <v>0</v>
      </c>
      <c r="O102">
        <f>J102*Return!E102*100</f>
        <v>0</v>
      </c>
      <c r="P102">
        <f t="shared" si="20"/>
        <v>-268.5</v>
      </c>
      <c r="Q102" t="e">
        <f>SUM($P$3:P102)</f>
        <v>#NAME?</v>
      </c>
      <c r="R102">
        <f>B102*中国_中债国债到期收益率_1年!B101/365*100</f>
        <v>0</v>
      </c>
      <c r="S102">
        <f>C102*中国_中债国债到期收益率_1年!C101/365*100</f>
        <v>20.5734246575342</v>
      </c>
      <c r="T102">
        <f>D102*中国_中债国债到期收益率_1年!D101/365*100</f>
        <v>0</v>
      </c>
      <c r="U102">
        <f>E102*中国_中债国债到期收益率_1年!E101/365*100</f>
        <v>0</v>
      </c>
      <c r="V102">
        <f t="shared" si="21"/>
        <v>20.5734246575342</v>
      </c>
      <c r="W102" t="e">
        <f>SUM($V$3:V102)</f>
        <v>#NAME?</v>
      </c>
      <c r="X102">
        <f>MAX(F102-50,0)*中国_中债国债到期收益率_1年!H102*100/365</f>
        <v>0</v>
      </c>
      <c r="Y102">
        <f>SUM($X$3:X102)</f>
        <v>1107.91315068493</v>
      </c>
      <c r="Z102">
        <v>-50</v>
      </c>
      <c r="AA102">
        <v>-30</v>
      </c>
      <c r="AB102">
        <f>Z102*Return!F102*100</f>
        <v>103.5</v>
      </c>
      <c r="AC102">
        <f>AA102*Return!G102*100</f>
        <v>23.4000000000001</v>
      </c>
      <c r="AD102">
        <f>SUM($AB$3:AB102)+SUM($AC$3:AC102)</f>
        <v>25.8000000000007</v>
      </c>
      <c r="AE102" t="e">
        <f t="shared" si="24"/>
        <v>#NAME?</v>
      </c>
      <c r="AF102" t="e">
        <f t="shared" si="25"/>
        <v>#NAME?</v>
      </c>
      <c r="AG102" s="5" t="e">
        <f>(AF102/AF101-1)-中国_中债国债到期收益率_1年!H102%/252</f>
        <v>#NAME?</v>
      </c>
      <c r="AH102" s="5" t="e">
        <f>MIN((AF102-MAX($AF$3:AF102))/MAX($AF$3:AF102),0)</f>
        <v>#NAME?</v>
      </c>
    </row>
    <row r="103" spans="1:34">
      <c r="A103" s="7">
        <v>44861</v>
      </c>
      <c r="B103">
        <v>0</v>
      </c>
      <c r="C103">
        <v>30</v>
      </c>
      <c r="D103">
        <v>0</v>
      </c>
      <c r="F103">
        <f t="shared" si="22"/>
        <v>30</v>
      </c>
      <c r="G103">
        <f t="shared" si="26"/>
        <v>0</v>
      </c>
      <c r="H103">
        <f t="shared" si="27"/>
        <v>150</v>
      </c>
      <c r="I103">
        <f t="shared" si="28"/>
        <v>0</v>
      </c>
      <c r="J103">
        <f t="shared" si="29"/>
        <v>0</v>
      </c>
      <c r="K103">
        <f t="shared" si="23"/>
        <v>150</v>
      </c>
      <c r="L103">
        <f>G103*Return!B103*100</f>
        <v>0</v>
      </c>
      <c r="M103">
        <f>H103*Return!C103*100</f>
        <v>294.000000000001</v>
      </c>
      <c r="N103">
        <f>I103*Return!D103*100</f>
        <v>0</v>
      </c>
      <c r="O103">
        <f>J103*Return!E103*100</f>
        <v>0</v>
      </c>
      <c r="P103">
        <f t="shared" si="20"/>
        <v>294.000000000001</v>
      </c>
      <c r="Q103" t="e">
        <f>SUM($P$3:P103)</f>
        <v>#NAME?</v>
      </c>
      <c r="R103">
        <f>B103*中国_中债国债到期收益率_1年!B102/365*100</f>
        <v>0</v>
      </c>
      <c r="S103">
        <f>C103*中国_中债国债到期收益率_1年!C102/365*100</f>
        <v>20.4123287671233</v>
      </c>
      <c r="T103">
        <f>D103*中国_中债国债到期收益率_1年!D102/365*100</f>
        <v>0</v>
      </c>
      <c r="U103">
        <f>E103*中国_中债国债到期收益率_1年!E102/365*100</f>
        <v>0</v>
      </c>
      <c r="V103">
        <f t="shared" si="21"/>
        <v>20.4123287671233</v>
      </c>
      <c r="W103" t="e">
        <f>SUM($V$3:V103)</f>
        <v>#NAME?</v>
      </c>
      <c r="X103">
        <f>MAX(F103-50,0)*中国_中债国债到期收益率_1年!H103*100/365</f>
        <v>0</v>
      </c>
      <c r="Y103">
        <f>SUM($X$3:X103)</f>
        <v>1107.91315068493</v>
      </c>
      <c r="Z103">
        <v>-50</v>
      </c>
      <c r="AA103">
        <v>-30</v>
      </c>
      <c r="AB103">
        <f>Z103*Return!F103*100</f>
        <v>-27.5000000000003</v>
      </c>
      <c r="AC103">
        <f>AA103*Return!G103*100</f>
        <v>-17.7</v>
      </c>
      <c r="AD103">
        <f>SUM($AB$3:AB103)+SUM($AC$3:AC103)</f>
        <v>-19.3999999999997</v>
      </c>
      <c r="AE103" t="e">
        <f t="shared" si="24"/>
        <v>#NAME?</v>
      </c>
      <c r="AF103" t="e">
        <f t="shared" si="25"/>
        <v>#NAME?</v>
      </c>
      <c r="AG103" s="5" t="e">
        <f>(AF103/AF102-1)-中国_中债国债到期收益率_1年!H103%/252</f>
        <v>#NAME?</v>
      </c>
      <c r="AH103" s="5" t="e">
        <f>MIN((AF103-MAX($AF$3:AF103))/MAX($AF$3:AF103),0)</f>
        <v>#NAME?</v>
      </c>
    </row>
    <row r="104" spans="1:34">
      <c r="A104" s="7">
        <v>44862</v>
      </c>
      <c r="B104">
        <v>0</v>
      </c>
      <c r="C104">
        <v>30</v>
      </c>
      <c r="D104">
        <v>0</v>
      </c>
      <c r="F104">
        <f t="shared" si="22"/>
        <v>30</v>
      </c>
      <c r="G104">
        <f t="shared" si="26"/>
        <v>0</v>
      </c>
      <c r="H104">
        <f t="shared" si="27"/>
        <v>150</v>
      </c>
      <c r="I104">
        <f t="shared" si="28"/>
        <v>0</v>
      </c>
      <c r="J104">
        <f t="shared" si="29"/>
        <v>0</v>
      </c>
      <c r="K104">
        <f t="shared" si="23"/>
        <v>150</v>
      </c>
      <c r="L104">
        <f>G104*Return!B104*100</f>
        <v>0</v>
      </c>
      <c r="M104">
        <f>H104*Return!C104*100</f>
        <v>298.499999999997</v>
      </c>
      <c r="N104">
        <f>I104*Return!D104*100</f>
        <v>0</v>
      </c>
      <c r="O104">
        <f>J104*Return!E104*100</f>
        <v>0</v>
      </c>
      <c r="P104">
        <f t="shared" si="20"/>
        <v>298.499999999997</v>
      </c>
      <c r="Q104" t="e">
        <f>SUM($P$3:P104)</f>
        <v>#NAME?</v>
      </c>
      <c r="R104">
        <f>B104*中国_中债国债到期收益率_1年!B103/365*100</f>
        <v>0</v>
      </c>
      <c r="S104">
        <f>C104*中国_中债国债到期收益率_1年!C103/365*100</f>
        <v>20.2487671232877</v>
      </c>
      <c r="T104">
        <f>D104*中国_中债国债到期收益率_1年!D103/365*100</f>
        <v>0</v>
      </c>
      <c r="U104">
        <f>E104*中国_中债国债到期收益率_1年!E103/365*100</f>
        <v>0</v>
      </c>
      <c r="V104">
        <f t="shared" si="21"/>
        <v>20.2487671232877</v>
      </c>
      <c r="W104" t="e">
        <f>SUM($V$3:V104)</f>
        <v>#NAME?</v>
      </c>
      <c r="X104">
        <f>MAX(F104-50,0)*中国_中债国债到期收益率_1年!H104*100/365</f>
        <v>0</v>
      </c>
      <c r="Y104">
        <f>SUM($X$3:X104)</f>
        <v>1107.91315068493</v>
      </c>
      <c r="Z104">
        <v>-50</v>
      </c>
      <c r="AA104">
        <v>-30</v>
      </c>
      <c r="AB104">
        <f>Z104*Return!F104*100</f>
        <v>-81</v>
      </c>
      <c r="AC104">
        <f>AA104*Return!G104*100</f>
        <v>-68.0999999999998</v>
      </c>
      <c r="AD104">
        <f>SUM($AB$3:AB104)+SUM($AC$3:AC104)</f>
        <v>-168.499999999999</v>
      </c>
      <c r="AE104" t="e">
        <f t="shared" si="24"/>
        <v>#NAME?</v>
      </c>
      <c r="AF104" t="e">
        <f t="shared" si="25"/>
        <v>#NAME?</v>
      </c>
      <c r="AG104" s="5" t="e">
        <f>(AF104/AF103-1)-中国_中债国债到期收益率_1年!H104%/252</f>
        <v>#NAME?</v>
      </c>
      <c r="AH104" s="5" t="e">
        <f>MIN((AF104-MAX($AF$3:AF104))/MAX($AF$3:AF104),0)</f>
        <v>#NAME?</v>
      </c>
    </row>
    <row r="105" spans="1:34">
      <c r="A105" s="7">
        <v>44865</v>
      </c>
      <c r="B105">
        <v>0</v>
      </c>
      <c r="C105">
        <v>30</v>
      </c>
      <c r="D105">
        <v>0</v>
      </c>
      <c r="F105">
        <f t="shared" si="22"/>
        <v>30</v>
      </c>
      <c r="G105">
        <f t="shared" si="26"/>
        <v>0</v>
      </c>
      <c r="H105">
        <f t="shared" si="27"/>
        <v>150</v>
      </c>
      <c r="I105">
        <f t="shared" si="28"/>
        <v>0</v>
      </c>
      <c r="J105">
        <f t="shared" si="29"/>
        <v>0</v>
      </c>
      <c r="K105">
        <f t="shared" si="23"/>
        <v>150</v>
      </c>
      <c r="L105">
        <f>G105*Return!B105*100</f>
        <v>0</v>
      </c>
      <c r="M105">
        <f>H105*Return!C105*100</f>
        <v>448.500000000001</v>
      </c>
      <c r="N105">
        <f>I105*Return!D105*100</f>
        <v>0</v>
      </c>
      <c r="O105">
        <f>J105*Return!E105*100</f>
        <v>0</v>
      </c>
      <c r="P105">
        <f t="shared" si="20"/>
        <v>448.500000000001</v>
      </c>
      <c r="Q105" t="e">
        <f>SUM($P$3:P105)</f>
        <v>#NAME?</v>
      </c>
      <c r="R105">
        <f>B105*中国_中债国债到期收益率_1年!B104/365*100</f>
        <v>0</v>
      </c>
      <c r="S105">
        <f>C105*中国_中债国债到期收益率_1年!C104/365*100</f>
        <v>20.0030136986301</v>
      </c>
      <c r="T105">
        <f>D105*中国_中债国债到期收益率_1年!D104/365*100</f>
        <v>0</v>
      </c>
      <c r="U105">
        <f>E105*中国_中债国债到期收益率_1年!E104/365*100</f>
        <v>0</v>
      </c>
      <c r="V105">
        <f t="shared" si="21"/>
        <v>20.0030136986301</v>
      </c>
      <c r="W105" t="e">
        <f>SUM($V$3:V105)</f>
        <v>#NAME?</v>
      </c>
      <c r="X105">
        <f>MAX(F105-50,0)*中国_中债国债到期收益率_1年!H105*100/365</f>
        <v>0</v>
      </c>
      <c r="Y105">
        <f>SUM($X$3:X105)</f>
        <v>1107.91315068493</v>
      </c>
      <c r="Z105">
        <v>-50</v>
      </c>
      <c r="AA105">
        <v>-30</v>
      </c>
      <c r="AB105">
        <f>Z105*Return!F105*100</f>
        <v>-81.4999999999999</v>
      </c>
      <c r="AC105">
        <f>AA105*Return!G105*100</f>
        <v>-37.7999999999998</v>
      </c>
      <c r="AD105">
        <f>SUM($AB$3:AB105)+SUM($AC$3:AC105)</f>
        <v>-287.799999999999</v>
      </c>
      <c r="AE105" t="e">
        <f t="shared" si="24"/>
        <v>#NAME?</v>
      </c>
      <c r="AF105" t="e">
        <f t="shared" si="25"/>
        <v>#NAME?</v>
      </c>
      <c r="AG105" s="5" t="e">
        <f>(AF105/AF104-1)-中国_中债国债到期收益率_1年!H105%/252</f>
        <v>#NAME?</v>
      </c>
      <c r="AH105" s="5" t="e">
        <f>MIN((AF105-MAX($AF$3:AF105))/MAX($AF$3:AF105),0)</f>
        <v>#NAME?</v>
      </c>
    </row>
    <row r="106" spans="1:34">
      <c r="A106" s="7">
        <v>44866</v>
      </c>
      <c r="B106">
        <v>0</v>
      </c>
      <c r="C106">
        <v>30</v>
      </c>
      <c r="D106">
        <v>0</v>
      </c>
      <c r="F106">
        <f t="shared" si="22"/>
        <v>30</v>
      </c>
      <c r="G106">
        <f t="shared" si="26"/>
        <v>0</v>
      </c>
      <c r="H106">
        <f t="shared" si="27"/>
        <v>150</v>
      </c>
      <c r="I106">
        <f t="shared" si="28"/>
        <v>0</v>
      </c>
      <c r="J106">
        <f t="shared" si="29"/>
        <v>0</v>
      </c>
      <c r="K106">
        <f t="shared" si="23"/>
        <v>150</v>
      </c>
      <c r="L106">
        <f>G106*Return!B106*100</f>
        <v>0</v>
      </c>
      <c r="M106">
        <f>H106*Return!C106*100</f>
        <v>97.4999999999993</v>
      </c>
      <c r="N106">
        <f>I106*Return!D106*100</f>
        <v>0</v>
      </c>
      <c r="O106">
        <f>J106*Return!E106*100</f>
        <v>0</v>
      </c>
      <c r="P106">
        <f t="shared" si="20"/>
        <v>97.4999999999993</v>
      </c>
      <c r="Q106" t="e">
        <f>SUM($P$3:P106)</f>
        <v>#NAME?</v>
      </c>
      <c r="R106">
        <f>B106*中国_中债国债到期收益率_1年!B105/365*100</f>
        <v>0</v>
      </c>
      <c r="S106">
        <f>C106*中国_中债国债到期收益率_1年!C105/365*100</f>
        <v>19.9495890410959</v>
      </c>
      <c r="T106">
        <f>D106*中国_中债国债到期收益率_1年!D105/365*100</f>
        <v>0</v>
      </c>
      <c r="U106">
        <f>E106*中国_中债国债到期收益率_1年!E105/365*100</f>
        <v>0</v>
      </c>
      <c r="V106">
        <f t="shared" si="21"/>
        <v>19.9495890410959</v>
      </c>
      <c r="W106" t="e">
        <f>SUM($V$3:V106)</f>
        <v>#NAME?</v>
      </c>
      <c r="X106">
        <f>MAX(F106-50,0)*中国_中债国债到期收益率_1年!H106*100/365</f>
        <v>0</v>
      </c>
      <c r="Y106">
        <f>SUM($X$3:X106)</f>
        <v>1107.91315068493</v>
      </c>
      <c r="Z106">
        <v>-50</v>
      </c>
      <c r="AA106">
        <v>-30</v>
      </c>
      <c r="AB106">
        <f>Z106*Return!F106*100</f>
        <v>-51.4999999999999</v>
      </c>
      <c r="AC106">
        <f>AA106*Return!G106*100</f>
        <v>-80.0999999999998</v>
      </c>
      <c r="AD106">
        <f>SUM($AB$3:AB106)+SUM($AC$3:AC106)</f>
        <v>-419.399999999999</v>
      </c>
      <c r="AE106" t="e">
        <f t="shared" si="24"/>
        <v>#NAME?</v>
      </c>
      <c r="AF106" t="e">
        <f t="shared" si="25"/>
        <v>#NAME?</v>
      </c>
      <c r="AG106" s="5" t="e">
        <f>(AF106/AF105-1)-中国_中债国债到期收益率_1年!H106%/252</f>
        <v>#NAME?</v>
      </c>
      <c r="AH106" s="5" t="e">
        <f>MIN((AF106-MAX($AF$3:AF106))/MAX($AF$3:AF106),0)</f>
        <v>#NAME?</v>
      </c>
    </row>
    <row r="107" spans="1:34">
      <c r="A107" s="7">
        <v>44867</v>
      </c>
      <c r="B107">
        <v>0</v>
      </c>
      <c r="C107">
        <v>30</v>
      </c>
      <c r="D107">
        <v>0</v>
      </c>
      <c r="F107">
        <f t="shared" si="22"/>
        <v>30</v>
      </c>
      <c r="G107">
        <f t="shared" si="26"/>
        <v>0</v>
      </c>
      <c r="H107">
        <f t="shared" si="27"/>
        <v>150</v>
      </c>
      <c r="I107">
        <f t="shared" si="28"/>
        <v>0</v>
      </c>
      <c r="J107">
        <f t="shared" si="29"/>
        <v>0</v>
      </c>
      <c r="K107">
        <f t="shared" si="23"/>
        <v>150</v>
      </c>
      <c r="L107">
        <f>G107*Return!B107*100</f>
        <v>0</v>
      </c>
      <c r="M107">
        <f>H107*Return!C107*100</f>
        <v>-306</v>
      </c>
      <c r="N107">
        <f>I107*Return!D107*100</f>
        <v>0</v>
      </c>
      <c r="O107">
        <f>J107*Return!E107*100</f>
        <v>0</v>
      </c>
      <c r="P107">
        <f t="shared" si="20"/>
        <v>-306</v>
      </c>
      <c r="Q107" t="e">
        <f>SUM($P$3:P107)</f>
        <v>#NAME?</v>
      </c>
      <c r="R107">
        <f>B107*中国_中债国债到期收益率_1年!B106/365*100</f>
        <v>0</v>
      </c>
      <c r="S107">
        <f>C107*中国_中债国债到期收益率_1年!C106/365*100</f>
        <v>20.1172602739726</v>
      </c>
      <c r="T107">
        <f>D107*中国_中债国债到期收益率_1年!D106/365*100</f>
        <v>0</v>
      </c>
      <c r="U107">
        <f>E107*中国_中债国债到期收益率_1年!E106/365*100</f>
        <v>0</v>
      </c>
      <c r="V107">
        <f t="shared" si="21"/>
        <v>20.1172602739726</v>
      </c>
      <c r="W107" t="e">
        <f>SUM($V$3:V107)</f>
        <v>#NAME?</v>
      </c>
      <c r="X107">
        <f>MAX(F107-50,0)*中国_中债国债到期收益率_1年!H107*100/365</f>
        <v>0</v>
      </c>
      <c r="Y107">
        <f>SUM($X$3:X107)</f>
        <v>1107.91315068493</v>
      </c>
      <c r="Z107">
        <v>-50</v>
      </c>
      <c r="AA107">
        <v>-30</v>
      </c>
      <c r="AB107">
        <f>Z107*Return!F107*100</f>
        <v>132.5</v>
      </c>
      <c r="AC107">
        <f>AA107*Return!G107*100</f>
        <v>71.0999999999995</v>
      </c>
      <c r="AD107">
        <f>SUM($AB$3:AB107)+SUM($AC$3:AC107)</f>
        <v>-215.8</v>
      </c>
      <c r="AE107" t="e">
        <f t="shared" si="24"/>
        <v>#NAME?</v>
      </c>
      <c r="AF107" t="e">
        <f t="shared" si="25"/>
        <v>#NAME?</v>
      </c>
      <c r="AG107" s="5" t="e">
        <f>(AF107/AF106-1)-中国_中债国债到期收益率_1年!H107%/252</f>
        <v>#NAME?</v>
      </c>
      <c r="AH107" s="5" t="e">
        <f>MIN((AF107-MAX($AF$3:AF107))/MAX($AF$3:AF107),0)</f>
        <v>#NAME?</v>
      </c>
    </row>
    <row r="108" spans="1:34">
      <c r="A108" s="7">
        <v>44868</v>
      </c>
      <c r="B108">
        <v>0</v>
      </c>
      <c r="C108">
        <v>20</v>
      </c>
      <c r="D108">
        <v>0</v>
      </c>
      <c r="F108">
        <f t="shared" si="22"/>
        <v>20</v>
      </c>
      <c r="G108">
        <f t="shared" si="26"/>
        <v>0</v>
      </c>
      <c r="H108">
        <f t="shared" si="27"/>
        <v>100</v>
      </c>
      <c r="I108">
        <f t="shared" si="28"/>
        <v>0</v>
      </c>
      <c r="J108">
        <f t="shared" si="29"/>
        <v>0</v>
      </c>
      <c r="K108">
        <f t="shared" si="23"/>
        <v>100</v>
      </c>
      <c r="L108">
        <f>G108*Return!B108*100</f>
        <v>0</v>
      </c>
      <c r="M108">
        <f>H108*Return!C108*100</f>
        <v>-152.999999999999</v>
      </c>
      <c r="N108">
        <f>I108*Return!D108*100</f>
        <v>0</v>
      </c>
      <c r="O108">
        <f>J108*Return!E108*100</f>
        <v>0</v>
      </c>
      <c r="P108">
        <f t="shared" si="20"/>
        <v>-152.999999999999</v>
      </c>
      <c r="Q108" t="e">
        <f>SUM($P$3:P108)</f>
        <v>#NAME?</v>
      </c>
      <c r="R108">
        <f>B108*中国_中债国债到期收益率_1年!B107/365*100</f>
        <v>0</v>
      </c>
      <c r="S108">
        <f>C108*中国_中债国债到期收益率_1年!C107/365*100</f>
        <v>13.4953424657534</v>
      </c>
      <c r="T108">
        <f>D108*中国_中债国债到期收益率_1年!D107/365*100</f>
        <v>0</v>
      </c>
      <c r="U108">
        <f>E108*中国_中债国债到期收益率_1年!E107/365*100</f>
        <v>0</v>
      </c>
      <c r="V108">
        <f t="shared" si="21"/>
        <v>13.4953424657534</v>
      </c>
      <c r="W108" t="e">
        <f>SUM($V$3:V108)</f>
        <v>#NAME?</v>
      </c>
      <c r="X108">
        <f>MAX(F108-50,0)*中国_中债国债到期收益率_1年!H108*100/365</f>
        <v>0</v>
      </c>
      <c r="Y108">
        <f>SUM($X$3:X108)</f>
        <v>1107.91315068493</v>
      </c>
      <c r="Z108">
        <v>-50</v>
      </c>
      <c r="AA108">
        <v>-30</v>
      </c>
      <c r="AB108">
        <f>Z108*Return!F108*100</f>
        <v>35.0000000000006</v>
      </c>
      <c r="AC108">
        <f>AA108*Return!G108*100</f>
        <v>44.0999999999998</v>
      </c>
      <c r="AD108">
        <f>SUM($AB$3:AB108)+SUM($AC$3:AC108)</f>
        <v>-136.699999999999</v>
      </c>
      <c r="AE108" t="e">
        <f t="shared" si="24"/>
        <v>#NAME?</v>
      </c>
      <c r="AF108" t="e">
        <f t="shared" si="25"/>
        <v>#NAME?</v>
      </c>
      <c r="AG108" s="5" t="e">
        <f>(AF108/AF107-1)-中国_中债国债到期收益率_1年!H108%/252</f>
        <v>#NAME?</v>
      </c>
      <c r="AH108" s="5" t="e">
        <f>MIN((AF108-MAX($AF$3:AF108))/MAX($AF$3:AF108),0)</f>
        <v>#NAME?</v>
      </c>
    </row>
    <row r="109" spans="1:34">
      <c r="A109" s="7">
        <v>44869</v>
      </c>
      <c r="B109">
        <v>0</v>
      </c>
      <c r="C109">
        <v>20</v>
      </c>
      <c r="D109">
        <v>0</v>
      </c>
      <c r="F109">
        <f t="shared" si="22"/>
        <v>20</v>
      </c>
      <c r="G109">
        <f t="shared" si="26"/>
        <v>0</v>
      </c>
      <c r="H109">
        <f t="shared" si="27"/>
        <v>100</v>
      </c>
      <c r="I109">
        <f t="shared" si="28"/>
        <v>0</v>
      </c>
      <c r="J109">
        <f t="shared" si="29"/>
        <v>0</v>
      </c>
      <c r="K109">
        <f t="shared" si="23"/>
        <v>100</v>
      </c>
      <c r="L109">
        <f>G109*Return!B109*100</f>
        <v>0</v>
      </c>
      <c r="M109">
        <f>H109*Return!C109*100</f>
        <v>-3.00000000000189</v>
      </c>
      <c r="N109">
        <f>I109*Return!D109*100</f>
        <v>0</v>
      </c>
      <c r="O109">
        <f>J109*Return!E109*100</f>
        <v>0</v>
      </c>
      <c r="P109">
        <f t="shared" si="20"/>
        <v>-3.00000000000189</v>
      </c>
      <c r="Q109" t="e">
        <f>SUM($P$3:P109)</f>
        <v>#NAME?</v>
      </c>
      <c r="R109">
        <f>B109*中国_中债国债到期收益率_1年!B108/365*100</f>
        <v>0</v>
      </c>
      <c r="S109">
        <f>C109*中国_中债国债到期收益率_1年!C108/365*100</f>
        <v>13.4969863013699</v>
      </c>
      <c r="T109">
        <f>D109*中国_中债国债到期收益率_1年!D108/365*100</f>
        <v>0</v>
      </c>
      <c r="U109">
        <f>E109*中国_中债国债到期收益率_1年!E108/365*100</f>
        <v>0</v>
      </c>
      <c r="V109">
        <f t="shared" si="21"/>
        <v>13.4969863013699</v>
      </c>
      <c r="W109" t="e">
        <f>SUM($V$3:V109)</f>
        <v>#NAME?</v>
      </c>
      <c r="X109">
        <f>MAX(F109-50,0)*中国_中债国债到期收益率_1年!H109*100/365</f>
        <v>0</v>
      </c>
      <c r="Y109">
        <f>SUM($X$3:X109)</f>
        <v>1107.91315068493</v>
      </c>
      <c r="Z109">
        <v>-50</v>
      </c>
      <c r="AA109">
        <v>-30</v>
      </c>
      <c r="AB109">
        <f>Z109*Return!F109*100</f>
        <v>7.49999999999917</v>
      </c>
      <c r="AC109">
        <f>AA109*Return!G109*100</f>
        <v>6.89999999999991</v>
      </c>
      <c r="AD109">
        <f>SUM($AB$3:AB109)+SUM($AC$3:AC109)</f>
        <v>-122.3</v>
      </c>
      <c r="AE109" t="e">
        <f t="shared" si="24"/>
        <v>#NAME?</v>
      </c>
      <c r="AF109" t="e">
        <f t="shared" si="25"/>
        <v>#NAME?</v>
      </c>
      <c r="AG109" s="5" t="e">
        <f>(AF109/AF108-1)-中国_中债国债到期收益率_1年!H109%/252</f>
        <v>#NAME?</v>
      </c>
      <c r="AH109" s="5" t="e">
        <f>MIN((AF109-MAX($AF$3:AF109))/MAX($AF$3:AF109),0)</f>
        <v>#NAME?</v>
      </c>
    </row>
    <row r="110" spans="1:34">
      <c r="A110" s="7">
        <v>44872</v>
      </c>
      <c r="B110">
        <v>0</v>
      </c>
      <c r="C110">
        <v>20</v>
      </c>
      <c r="D110">
        <v>0</v>
      </c>
      <c r="F110">
        <f t="shared" si="22"/>
        <v>20</v>
      </c>
      <c r="G110">
        <f t="shared" si="26"/>
        <v>0</v>
      </c>
      <c r="H110">
        <f t="shared" si="27"/>
        <v>100</v>
      </c>
      <c r="I110">
        <f t="shared" si="28"/>
        <v>0</v>
      </c>
      <c r="J110">
        <f t="shared" si="29"/>
        <v>0</v>
      </c>
      <c r="K110">
        <f t="shared" si="23"/>
        <v>100</v>
      </c>
      <c r="L110">
        <f>G110*Return!B110*100</f>
        <v>0</v>
      </c>
      <c r="M110">
        <f>H110*Return!C110*100</f>
        <v>-255.000000000001</v>
      </c>
      <c r="N110">
        <f>I110*Return!D110*100</f>
        <v>0</v>
      </c>
      <c r="O110">
        <f>J110*Return!E110*100</f>
        <v>0</v>
      </c>
      <c r="P110">
        <f t="shared" si="20"/>
        <v>-255.000000000001</v>
      </c>
      <c r="Q110" t="e">
        <f>SUM($P$3:P110)</f>
        <v>#NAME?</v>
      </c>
      <c r="R110">
        <f>B110*中国_中债国债到期收益率_1年!B109/365*100</f>
        <v>0</v>
      </c>
      <c r="S110">
        <f>C110*中国_中债国债到期收益率_1年!C109/365*100</f>
        <v>13.6367123287671</v>
      </c>
      <c r="T110">
        <f>D110*中国_中债国债到期收益率_1年!D109/365*100</f>
        <v>0</v>
      </c>
      <c r="U110">
        <f>E110*中国_中债国债到期收益率_1年!E109/365*100</f>
        <v>0</v>
      </c>
      <c r="V110">
        <f t="shared" si="21"/>
        <v>13.6367123287671</v>
      </c>
      <c r="W110" t="e">
        <f>SUM($V$3:V110)</f>
        <v>#NAME?</v>
      </c>
      <c r="X110">
        <f>MAX(F110-50,0)*中国_中债国债到期收益率_1年!H110*100/365</f>
        <v>0</v>
      </c>
      <c r="Y110">
        <f>SUM($X$3:X110)</f>
        <v>1107.91315068493</v>
      </c>
      <c r="Z110">
        <v>-50</v>
      </c>
      <c r="AA110">
        <v>-30</v>
      </c>
      <c r="AB110">
        <f>Z110*Return!F110*100</f>
        <v>63.0000000000008</v>
      </c>
      <c r="AC110">
        <f>AA110*Return!G110*100</f>
        <v>78.9</v>
      </c>
      <c r="AD110">
        <f>SUM($AB$3:AB110)+SUM($AC$3:AC110)</f>
        <v>19.6000000000007</v>
      </c>
      <c r="AE110" t="e">
        <f t="shared" si="24"/>
        <v>#NAME?</v>
      </c>
      <c r="AF110" t="e">
        <f t="shared" si="25"/>
        <v>#NAME?</v>
      </c>
      <c r="AG110" s="5" t="e">
        <f>(AF110/AF109-1)-中国_中债国债到期收益率_1年!H110%/252</f>
        <v>#NAME?</v>
      </c>
      <c r="AH110" s="5" t="e">
        <f>MIN((AF110-MAX($AF$3:AF110))/MAX($AF$3:AF110),0)</f>
        <v>#NAME?</v>
      </c>
    </row>
    <row r="111" spans="1:34">
      <c r="A111" s="7">
        <v>44873</v>
      </c>
      <c r="B111">
        <v>0</v>
      </c>
      <c r="C111">
        <v>20</v>
      </c>
      <c r="D111">
        <v>0</v>
      </c>
      <c r="F111">
        <f t="shared" si="22"/>
        <v>20</v>
      </c>
      <c r="G111">
        <f t="shared" si="26"/>
        <v>0</v>
      </c>
      <c r="H111">
        <f t="shared" si="27"/>
        <v>100</v>
      </c>
      <c r="I111">
        <f t="shared" si="28"/>
        <v>0</v>
      </c>
      <c r="J111">
        <f t="shared" si="29"/>
        <v>0</v>
      </c>
      <c r="K111">
        <f t="shared" si="23"/>
        <v>100</v>
      </c>
      <c r="L111">
        <f>G111*Return!B111*100</f>
        <v>0</v>
      </c>
      <c r="M111">
        <f>H111*Return!C111*100</f>
        <v>-57.9999999999981</v>
      </c>
      <c r="N111">
        <f>I111*Return!D111*100</f>
        <v>0</v>
      </c>
      <c r="O111">
        <f>J111*Return!E111*100</f>
        <v>0</v>
      </c>
      <c r="P111">
        <f t="shared" si="20"/>
        <v>-57.9999999999981</v>
      </c>
      <c r="Q111" t="e">
        <f>SUM($P$3:P111)</f>
        <v>#NAME?</v>
      </c>
      <c r="R111">
        <f>B111*中国_中债国债到期收益率_1年!B110/365*100</f>
        <v>0</v>
      </c>
      <c r="S111">
        <f>C111*中国_中债国债到期收益率_1年!C110/365*100</f>
        <v>13.6684931506849</v>
      </c>
      <c r="T111">
        <f>D111*中国_中债国债到期收益率_1年!D110/365*100</f>
        <v>0</v>
      </c>
      <c r="U111">
        <f>E111*中国_中债国债到期收益率_1年!E110/365*100</f>
        <v>0</v>
      </c>
      <c r="V111">
        <f t="shared" si="21"/>
        <v>13.6684931506849</v>
      </c>
      <c r="W111" t="e">
        <f>SUM($V$3:V111)</f>
        <v>#NAME?</v>
      </c>
      <c r="X111">
        <f>MAX(F111-50,0)*中国_中债国债到期收益率_1年!H111*100/365</f>
        <v>0</v>
      </c>
      <c r="Y111">
        <f>SUM($X$3:X111)</f>
        <v>1107.91315068493</v>
      </c>
      <c r="Z111">
        <v>-50</v>
      </c>
      <c r="AA111">
        <v>-30</v>
      </c>
      <c r="AB111">
        <f>Z111*Return!F111*100</f>
        <v>79.0000000000002</v>
      </c>
      <c r="AC111">
        <f>AA111*Return!G111*100</f>
        <v>36.9000000000006</v>
      </c>
      <c r="AD111">
        <f>SUM($AB$3:AB111)+SUM($AC$3:AC111)</f>
        <v>135.500000000001</v>
      </c>
      <c r="AE111" t="e">
        <f t="shared" si="24"/>
        <v>#NAME?</v>
      </c>
      <c r="AF111" t="e">
        <f t="shared" si="25"/>
        <v>#NAME?</v>
      </c>
      <c r="AG111" s="5" t="e">
        <f>(AF111/AF110-1)-中国_中债国债到期收益率_1年!H111%/252</f>
        <v>#NAME?</v>
      </c>
      <c r="AH111" s="5" t="e">
        <f>MIN((AF111-MAX($AF$3:AF111))/MAX($AF$3:AF111),0)</f>
        <v>#NAME?</v>
      </c>
    </row>
    <row r="112" spans="1:34">
      <c r="A112" s="7">
        <v>44874</v>
      </c>
      <c r="B112">
        <v>0</v>
      </c>
      <c r="C112">
        <v>20</v>
      </c>
      <c r="D112">
        <v>0</v>
      </c>
      <c r="F112">
        <f t="shared" si="22"/>
        <v>20</v>
      </c>
      <c r="G112">
        <f t="shared" si="26"/>
        <v>0</v>
      </c>
      <c r="H112">
        <f t="shared" si="27"/>
        <v>100</v>
      </c>
      <c r="I112">
        <f t="shared" si="28"/>
        <v>0</v>
      </c>
      <c r="J112">
        <f t="shared" si="29"/>
        <v>0</v>
      </c>
      <c r="K112">
        <f t="shared" si="23"/>
        <v>100</v>
      </c>
      <c r="L112">
        <f>G112*Return!B112*100</f>
        <v>0</v>
      </c>
      <c r="M112">
        <f>H112*Return!C112*100</f>
        <v>103.999999999997</v>
      </c>
      <c r="N112">
        <f>I112*Return!D112*100</f>
        <v>0</v>
      </c>
      <c r="O112">
        <f>J112*Return!E112*100</f>
        <v>0</v>
      </c>
      <c r="P112">
        <f t="shared" si="20"/>
        <v>103.999999999997</v>
      </c>
      <c r="Q112" t="e">
        <f>SUM($P$3:P112)</f>
        <v>#NAME?</v>
      </c>
      <c r="R112">
        <f>B112*中国_中债国债到期收益率_1年!B111/365*100</f>
        <v>0</v>
      </c>
      <c r="S112">
        <f>C112*中国_中债国债到期收益率_1年!C111/365*100</f>
        <v>13.6115068493151</v>
      </c>
      <c r="T112">
        <f>D112*中国_中债国债到期收益率_1年!D111/365*100</f>
        <v>0</v>
      </c>
      <c r="U112">
        <f>E112*中国_中债国债到期收益率_1年!E111/365*100</f>
        <v>0</v>
      </c>
      <c r="V112">
        <f t="shared" si="21"/>
        <v>13.6115068493151</v>
      </c>
      <c r="W112" t="e">
        <f>SUM($V$3:V112)</f>
        <v>#NAME?</v>
      </c>
      <c r="X112">
        <f>MAX(F112-50,0)*中国_中债国债到期收益率_1年!H112*100/365</f>
        <v>0</v>
      </c>
      <c r="Y112">
        <f>SUM($X$3:X112)</f>
        <v>1107.91315068493</v>
      </c>
      <c r="Z112">
        <v>-50</v>
      </c>
      <c r="AA112">
        <v>-30</v>
      </c>
      <c r="AB112">
        <f>Z112*Return!F112*100</f>
        <v>131.5</v>
      </c>
      <c r="AC112">
        <f>AA112*Return!G112*100</f>
        <v>52.7999999999995</v>
      </c>
      <c r="AD112">
        <f>SUM($AB$3:AB112)+SUM($AC$3:AC112)</f>
        <v>319.800000000001</v>
      </c>
      <c r="AE112" t="e">
        <f t="shared" si="24"/>
        <v>#NAME?</v>
      </c>
      <c r="AF112" t="e">
        <f t="shared" si="25"/>
        <v>#NAME?</v>
      </c>
      <c r="AG112" s="5" t="e">
        <f>(AF112/AF111-1)-中国_中债国债到期收益率_1年!H112%/252</f>
        <v>#NAME?</v>
      </c>
      <c r="AH112" s="5" t="e">
        <f>MIN((AF112-MAX($AF$3:AF112))/MAX($AF$3:AF112),0)</f>
        <v>#NAME?</v>
      </c>
    </row>
    <row r="113" spans="1:34">
      <c r="A113" s="7">
        <v>44875</v>
      </c>
      <c r="B113">
        <v>0</v>
      </c>
      <c r="C113">
        <v>20</v>
      </c>
      <c r="D113">
        <v>0</v>
      </c>
      <c r="F113">
        <f t="shared" si="22"/>
        <v>20</v>
      </c>
      <c r="G113">
        <f t="shared" si="26"/>
        <v>0</v>
      </c>
      <c r="H113">
        <f t="shared" si="27"/>
        <v>100</v>
      </c>
      <c r="I113">
        <f t="shared" si="28"/>
        <v>0</v>
      </c>
      <c r="J113">
        <f t="shared" si="29"/>
        <v>0</v>
      </c>
      <c r="K113">
        <f t="shared" si="23"/>
        <v>100</v>
      </c>
      <c r="L113">
        <f>G113*Return!B113*100</f>
        <v>0</v>
      </c>
      <c r="M113">
        <f>H113*Return!C113*100</f>
        <v>-126.999999999997</v>
      </c>
      <c r="N113">
        <f>I113*Return!D113*100</f>
        <v>0</v>
      </c>
      <c r="O113">
        <f>J113*Return!E113*100</f>
        <v>0</v>
      </c>
      <c r="P113">
        <f t="shared" si="20"/>
        <v>-126.999999999997</v>
      </c>
      <c r="Q113" t="e">
        <f>SUM($P$3:P113)</f>
        <v>#NAME?</v>
      </c>
      <c r="R113">
        <f>B113*中国_中债国债到期收益率_1年!B112/365*100</f>
        <v>0</v>
      </c>
      <c r="S113">
        <f>C113*中国_中债国债到期收益率_1年!C112/365*100</f>
        <v>13.681095890411</v>
      </c>
      <c r="T113">
        <f>D113*中国_中债国债到期收益率_1年!D112/365*100</f>
        <v>0</v>
      </c>
      <c r="U113">
        <f>E113*中国_中债国债到期收益率_1年!E112/365*100</f>
        <v>0</v>
      </c>
      <c r="V113">
        <f t="shared" si="21"/>
        <v>13.681095890411</v>
      </c>
      <c r="W113" t="e">
        <f>SUM($V$3:V113)</f>
        <v>#NAME?</v>
      </c>
      <c r="X113">
        <f>MAX(F113-50,0)*中国_中债国债到期收益率_1年!H113*100/365</f>
        <v>0</v>
      </c>
      <c r="Y113">
        <f>SUM($X$3:X113)</f>
        <v>1107.91315068493</v>
      </c>
      <c r="Z113">
        <v>-50</v>
      </c>
      <c r="AA113">
        <v>-30</v>
      </c>
      <c r="AB113">
        <f>Z113*Return!F113*100</f>
        <v>21.4999999999987</v>
      </c>
      <c r="AC113">
        <f>AA113*Return!G113*100</f>
        <v>-32.4000000000004</v>
      </c>
      <c r="AD113">
        <f>SUM($AB$3:AB113)+SUM($AC$3:AC113)</f>
        <v>308.899999999999</v>
      </c>
      <c r="AE113" t="e">
        <f t="shared" si="24"/>
        <v>#NAME?</v>
      </c>
      <c r="AF113" t="e">
        <f t="shared" si="25"/>
        <v>#NAME?</v>
      </c>
      <c r="AG113" s="5" t="e">
        <f>(AF113/AF112-1)-中国_中债国债到期收益率_1年!H113%/252</f>
        <v>#NAME?</v>
      </c>
      <c r="AH113" s="5" t="e">
        <f>MIN((AF113-MAX($AF$3:AF113))/MAX($AF$3:AF113),0)</f>
        <v>#NAME?</v>
      </c>
    </row>
    <row r="114" spans="1:34">
      <c r="A114" s="7">
        <v>44876</v>
      </c>
      <c r="B114">
        <v>0</v>
      </c>
      <c r="C114">
        <v>20</v>
      </c>
      <c r="D114">
        <v>0</v>
      </c>
      <c r="F114">
        <f t="shared" si="22"/>
        <v>20</v>
      </c>
      <c r="G114">
        <f t="shared" si="26"/>
        <v>0</v>
      </c>
      <c r="H114">
        <f t="shared" si="27"/>
        <v>100</v>
      </c>
      <c r="I114">
        <f t="shared" si="28"/>
        <v>0</v>
      </c>
      <c r="J114">
        <f t="shared" si="29"/>
        <v>0</v>
      </c>
      <c r="K114">
        <f t="shared" si="23"/>
        <v>100</v>
      </c>
      <c r="L114">
        <f>G114*Return!B114*100</f>
        <v>0</v>
      </c>
      <c r="M114">
        <f>H114*Return!C114*100</f>
        <v>-54.0000000000029</v>
      </c>
      <c r="N114">
        <f>I114*Return!D114*100</f>
        <v>0</v>
      </c>
      <c r="O114">
        <f>J114*Return!E114*100</f>
        <v>0</v>
      </c>
      <c r="P114">
        <f t="shared" si="20"/>
        <v>-54.0000000000029</v>
      </c>
      <c r="Q114" t="e">
        <f>SUM($P$3:P114)</f>
        <v>#NAME?</v>
      </c>
      <c r="R114">
        <f>B114*中国_中债国债到期收益率_1年!B113/365*100</f>
        <v>0</v>
      </c>
      <c r="S114">
        <f>C114*中国_中债国债到期收益率_1年!C113/365*100</f>
        <v>13.7106849315069</v>
      </c>
      <c r="T114">
        <f>D114*中国_中债国债到期收益率_1年!D113/365*100</f>
        <v>0</v>
      </c>
      <c r="U114">
        <f>E114*中国_中债国债到期收益率_1年!E113/365*100</f>
        <v>0</v>
      </c>
      <c r="V114">
        <f t="shared" si="21"/>
        <v>13.7106849315069</v>
      </c>
      <c r="W114" t="e">
        <f>SUM($V$3:V114)</f>
        <v>#NAME?</v>
      </c>
      <c r="X114">
        <f>MAX(F114-50,0)*中国_中债国债到期收益率_1年!H114*100/365</f>
        <v>0</v>
      </c>
      <c r="Y114">
        <f>SUM($X$3:X114)</f>
        <v>1107.91315068493</v>
      </c>
      <c r="Z114">
        <v>-50</v>
      </c>
      <c r="AA114">
        <v>-30</v>
      </c>
      <c r="AB114">
        <f>Z114*Return!F114*100</f>
        <v>103</v>
      </c>
      <c r="AC114">
        <f>AA114*Return!G114*100</f>
        <v>17.1000000000001</v>
      </c>
      <c r="AD114">
        <f>SUM($AB$3:AB114)+SUM($AC$3:AC114)</f>
        <v>428.999999999999</v>
      </c>
      <c r="AE114" t="e">
        <f t="shared" si="24"/>
        <v>#NAME?</v>
      </c>
      <c r="AF114" t="e">
        <f t="shared" si="25"/>
        <v>#NAME?</v>
      </c>
      <c r="AG114" s="5" t="e">
        <f>(AF114/AF113-1)-中国_中债国债到期收益率_1年!H114%/252</f>
        <v>#NAME?</v>
      </c>
      <c r="AH114" s="5" t="e">
        <f>MIN((AF114-MAX($AF$3:AF114))/MAX($AF$3:AF114),0)</f>
        <v>#NAME?</v>
      </c>
    </row>
    <row r="115" spans="1:34">
      <c r="A115" s="7">
        <v>44879</v>
      </c>
      <c r="B115">
        <v>0</v>
      </c>
      <c r="C115">
        <v>20</v>
      </c>
      <c r="D115">
        <v>0</v>
      </c>
      <c r="F115">
        <f t="shared" si="22"/>
        <v>20</v>
      </c>
      <c r="G115">
        <f t="shared" si="26"/>
        <v>0</v>
      </c>
      <c r="H115">
        <f t="shared" si="27"/>
        <v>100</v>
      </c>
      <c r="I115">
        <f t="shared" si="28"/>
        <v>0</v>
      </c>
      <c r="J115">
        <f t="shared" si="29"/>
        <v>0</v>
      </c>
      <c r="K115">
        <f t="shared" si="23"/>
        <v>100</v>
      </c>
      <c r="L115">
        <f>G115*Return!B115*100</f>
        <v>0</v>
      </c>
      <c r="M115">
        <f>H115*Return!C115*100</f>
        <v>-326</v>
      </c>
      <c r="N115">
        <f>I115*Return!D115*100</f>
        <v>0</v>
      </c>
      <c r="O115">
        <f>J115*Return!E115*100</f>
        <v>0</v>
      </c>
      <c r="P115">
        <f t="shared" si="20"/>
        <v>-326</v>
      </c>
      <c r="Q115" t="e">
        <f>SUM($P$3:P115)</f>
        <v>#NAME?</v>
      </c>
      <c r="R115">
        <f>B115*中国_中债国债到期收益率_1年!B114/365*100</f>
        <v>0</v>
      </c>
      <c r="S115">
        <f>C115*中国_中债国债到期收益率_1年!C114/365*100</f>
        <v>13.8893150684932</v>
      </c>
      <c r="T115">
        <f>D115*中国_中债国债到期收益率_1年!D114/365*100</f>
        <v>0</v>
      </c>
      <c r="U115">
        <f>E115*中国_中债国债到期收益率_1年!E114/365*100</f>
        <v>0</v>
      </c>
      <c r="V115">
        <f t="shared" si="21"/>
        <v>13.8893150684932</v>
      </c>
      <c r="W115" t="e">
        <f>SUM($V$3:V115)</f>
        <v>#NAME?</v>
      </c>
      <c r="X115">
        <f>MAX(F115-50,0)*中国_中债国债到期收益率_1年!H115*100/365</f>
        <v>0</v>
      </c>
      <c r="Y115">
        <f>SUM($X$3:X115)</f>
        <v>1107.91315068493</v>
      </c>
      <c r="Z115">
        <v>-50</v>
      </c>
      <c r="AA115">
        <v>-30</v>
      </c>
      <c r="AB115">
        <f>Z115*Return!F115*100</f>
        <v>78.5000000000013</v>
      </c>
      <c r="AC115">
        <f>AA115*Return!G115*100</f>
        <v>105.3</v>
      </c>
      <c r="AD115">
        <f>SUM($AB$3:AB115)+SUM($AC$3:AC115)</f>
        <v>612.8</v>
      </c>
      <c r="AE115" t="e">
        <f t="shared" si="24"/>
        <v>#NAME?</v>
      </c>
      <c r="AF115" t="e">
        <f t="shared" si="25"/>
        <v>#NAME?</v>
      </c>
      <c r="AG115" s="5" t="e">
        <f>(AF115/AF114-1)-中国_中债国债到期收益率_1年!H115%/252</f>
        <v>#NAME?</v>
      </c>
      <c r="AH115" s="5" t="e">
        <f>MIN((AF115-MAX($AF$3:AF115))/MAX($AF$3:AF115),0)</f>
        <v>#NAME?</v>
      </c>
    </row>
    <row r="116" spans="1:34">
      <c r="A116" s="7">
        <v>44880</v>
      </c>
      <c r="B116">
        <v>0</v>
      </c>
      <c r="C116">
        <v>20</v>
      </c>
      <c r="D116">
        <v>0</v>
      </c>
      <c r="F116">
        <f t="shared" si="22"/>
        <v>20</v>
      </c>
      <c r="G116">
        <f t="shared" si="26"/>
        <v>0</v>
      </c>
      <c r="H116">
        <f t="shared" si="27"/>
        <v>100</v>
      </c>
      <c r="I116">
        <f t="shared" si="28"/>
        <v>0</v>
      </c>
      <c r="J116">
        <f t="shared" si="29"/>
        <v>0</v>
      </c>
      <c r="K116">
        <f t="shared" si="23"/>
        <v>100</v>
      </c>
      <c r="L116">
        <f>G116*Return!B116*100</f>
        <v>0</v>
      </c>
      <c r="M116">
        <f>H116*Return!C116*100</f>
        <v>-1126</v>
      </c>
      <c r="N116">
        <f>I116*Return!D116*100</f>
        <v>0</v>
      </c>
      <c r="O116">
        <f>J116*Return!E116*100</f>
        <v>0</v>
      </c>
      <c r="P116">
        <f t="shared" si="20"/>
        <v>-1126</v>
      </c>
      <c r="Q116" t="e">
        <f>SUM($P$3:P116)</f>
        <v>#NAME?</v>
      </c>
      <c r="R116">
        <f>B116*中国_中债国债到期收益率_1年!B115/365*100</f>
        <v>0</v>
      </c>
      <c r="S116">
        <f>C116*中国_中债国债到期收益率_1年!C115/365*100</f>
        <v>14.506301369863</v>
      </c>
      <c r="T116">
        <f>D116*中国_中债国债到期收益率_1年!D115/365*100</f>
        <v>0</v>
      </c>
      <c r="U116">
        <f>E116*中国_中债国债到期收益率_1年!E115/365*100</f>
        <v>0</v>
      </c>
      <c r="V116">
        <f t="shared" si="21"/>
        <v>14.506301369863</v>
      </c>
      <c r="W116" t="e">
        <f>SUM($V$3:V116)</f>
        <v>#NAME?</v>
      </c>
      <c r="X116">
        <f>MAX(F116-50,0)*中国_中债国债到期收益率_1年!H116*100/365</f>
        <v>0</v>
      </c>
      <c r="Y116">
        <f>SUM($X$3:X116)</f>
        <v>1107.91315068493</v>
      </c>
      <c r="Z116">
        <v>-50</v>
      </c>
      <c r="AA116">
        <v>-30</v>
      </c>
      <c r="AB116">
        <f>Z116*Return!F116*100</f>
        <v>494.999999999999</v>
      </c>
      <c r="AC116">
        <f>AA116*Return!G116*100</f>
        <v>383.100000000001</v>
      </c>
      <c r="AD116">
        <f>SUM($AB$3:AB116)+SUM($AC$3:AC116)</f>
        <v>1490.9</v>
      </c>
      <c r="AE116" t="e">
        <f t="shared" si="24"/>
        <v>#NAME?</v>
      </c>
      <c r="AF116" t="e">
        <f t="shared" si="25"/>
        <v>#NAME?</v>
      </c>
      <c r="AG116" s="5" t="e">
        <f>(AF116/AF115-1)-中国_中债国债到期收益率_1年!H116%/252</f>
        <v>#NAME?</v>
      </c>
      <c r="AH116" s="5" t="e">
        <f>MIN((AF116-MAX($AF$3:AF116))/MAX($AF$3:AF116),0)</f>
        <v>#NAME?</v>
      </c>
    </row>
    <row r="117" spans="1:34">
      <c r="A117" s="7">
        <v>44881</v>
      </c>
      <c r="B117">
        <v>0</v>
      </c>
      <c r="C117">
        <v>20</v>
      </c>
      <c r="D117">
        <v>0</v>
      </c>
      <c r="F117">
        <f t="shared" si="22"/>
        <v>20</v>
      </c>
      <c r="G117">
        <f t="shared" si="26"/>
        <v>0</v>
      </c>
      <c r="H117">
        <f t="shared" si="27"/>
        <v>100</v>
      </c>
      <c r="I117">
        <f t="shared" si="28"/>
        <v>0</v>
      </c>
      <c r="J117">
        <f t="shared" si="29"/>
        <v>0</v>
      </c>
      <c r="K117">
        <f t="shared" si="23"/>
        <v>100</v>
      </c>
      <c r="L117">
        <f>G117*Return!B117*100</f>
        <v>0</v>
      </c>
      <c r="M117">
        <f>H117*Return!C117*100</f>
        <v>-0.999999999997669</v>
      </c>
      <c r="N117">
        <f>I117*Return!D117*100</f>
        <v>0</v>
      </c>
      <c r="O117">
        <f>J117*Return!E117*100</f>
        <v>0</v>
      </c>
      <c r="P117">
        <f t="shared" si="20"/>
        <v>-0.999999999997669</v>
      </c>
      <c r="Q117" t="e">
        <f>SUM($P$3:P117)</f>
        <v>#NAME?</v>
      </c>
      <c r="R117">
        <f>B117*中国_中债国债到期收益率_1年!B116/365*100</f>
        <v>0</v>
      </c>
      <c r="S117">
        <f>C117*中国_中债国债到期收益率_1年!C116/365*100</f>
        <v>14.5068493150685</v>
      </c>
      <c r="T117">
        <f>D117*中国_中债国债到期收益率_1年!D116/365*100</f>
        <v>0</v>
      </c>
      <c r="U117">
        <f>E117*中国_中债国债到期收益率_1年!E116/365*100</f>
        <v>0</v>
      </c>
      <c r="V117">
        <f t="shared" si="21"/>
        <v>14.5068493150685</v>
      </c>
      <c r="W117" t="e">
        <f>SUM($V$3:V117)</f>
        <v>#NAME?</v>
      </c>
      <c r="X117">
        <f>MAX(F117-50,0)*中国_中债国债到期收益率_1年!H117*100/365</f>
        <v>0</v>
      </c>
      <c r="Y117">
        <f>SUM($X$3:X117)</f>
        <v>1107.91315068493</v>
      </c>
      <c r="Z117">
        <v>-50</v>
      </c>
      <c r="AA117">
        <v>-30</v>
      </c>
      <c r="AB117">
        <f>Z117*Return!F117*100</f>
        <v>221</v>
      </c>
      <c r="AC117">
        <f>AA117*Return!G117*100</f>
        <v>101.999999999999</v>
      </c>
      <c r="AD117">
        <f>SUM($AB$3:AB117)+SUM($AC$3:AC117)</f>
        <v>1813.9</v>
      </c>
      <c r="AE117" t="e">
        <f t="shared" si="24"/>
        <v>#NAME?</v>
      </c>
      <c r="AF117" t="e">
        <f t="shared" si="25"/>
        <v>#NAME?</v>
      </c>
      <c r="AG117" s="5" t="e">
        <f>(AF117/AF116-1)-中国_中债国债到期收益率_1年!H117%/252</f>
        <v>#NAME?</v>
      </c>
      <c r="AH117" s="5" t="e">
        <f>MIN((AF117-MAX($AF$3:AF117))/MAX($AF$3:AF117),0)</f>
        <v>#NAME?</v>
      </c>
    </row>
    <row r="118" spans="1:34">
      <c r="A118" s="7">
        <v>44882</v>
      </c>
      <c r="B118">
        <v>0</v>
      </c>
      <c r="C118">
        <v>20</v>
      </c>
      <c r="D118">
        <v>0</v>
      </c>
      <c r="F118">
        <f t="shared" si="22"/>
        <v>20</v>
      </c>
      <c r="G118">
        <f t="shared" si="26"/>
        <v>0</v>
      </c>
      <c r="H118">
        <f t="shared" si="27"/>
        <v>100</v>
      </c>
      <c r="I118">
        <f t="shared" si="28"/>
        <v>0</v>
      </c>
      <c r="J118">
        <f t="shared" si="29"/>
        <v>0</v>
      </c>
      <c r="K118">
        <f t="shared" si="23"/>
        <v>100</v>
      </c>
      <c r="L118">
        <f>G118*Return!B118*100</f>
        <v>0</v>
      </c>
      <c r="M118">
        <f>H118*Return!C118*100</f>
        <v>-348.999999999999</v>
      </c>
      <c r="N118">
        <f>I118*Return!D118*100</f>
        <v>0</v>
      </c>
      <c r="O118">
        <f>J118*Return!E118*100</f>
        <v>0</v>
      </c>
      <c r="P118">
        <f t="shared" si="20"/>
        <v>-348.999999999999</v>
      </c>
      <c r="Q118" t="e">
        <f>SUM($P$3:P118)</f>
        <v>#NAME?</v>
      </c>
      <c r="R118">
        <f>B118*中国_中债国债到期收益率_1年!B117/365*100</f>
        <v>0</v>
      </c>
      <c r="S118">
        <f>C118*中国_中债国债到期收益率_1年!C117/365*100</f>
        <v>14.6980821917808</v>
      </c>
      <c r="T118">
        <f>D118*中国_中债国债到期收益率_1年!D117/365*100</f>
        <v>0</v>
      </c>
      <c r="U118">
        <f>E118*中国_中债国债到期收益率_1年!E117/365*100</f>
        <v>0</v>
      </c>
      <c r="V118">
        <f t="shared" si="21"/>
        <v>14.6980821917808</v>
      </c>
      <c r="W118" t="e">
        <f>SUM($V$3:V118)</f>
        <v>#NAME?</v>
      </c>
      <c r="X118">
        <f>MAX(F118-50,0)*中国_中债国债到期收益率_1年!H118*100/365</f>
        <v>0</v>
      </c>
      <c r="Y118">
        <f>SUM($X$3:X118)</f>
        <v>1107.91315068493</v>
      </c>
      <c r="Z118">
        <v>-50</v>
      </c>
      <c r="AA118">
        <v>-30</v>
      </c>
      <c r="AB118">
        <f>Z118*Return!F118*100</f>
        <v>311.5</v>
      </c>
      <c r="AC118">
        <f>AA118*Return!G118*100</f>
        <v>120.300000000001</v>
      </c>
      <c r="AD118">
        <f>SUM($AB$3:AB118)+SUM($AC$3:AC118)</f>
        <v>2245.7</v>
      </c>
      <c r="AE118" t="e">
        <f t="shared" si="24"/>
        <v>#NAME?</v>
      </c>
      <c r="AF118" t="e">
        <f t="shared" si="25"/>
        <v>#NAME?</v>
      </c>
      <c r="AG118" s="5" t="e">
        <f>(AF118/AF117-1)-中国_中债国债到期收益率_1年!H118%/252</f>
        <v>#NAME?</v>
      </c>
      <c r="AH118" s="5" t="e">
        <f>MIN((AF118-MAX($AF$3:AF118))/MAX($AF$3:AF118),0)</f>
        <v>#NAME?</v>
      </c>
    </row>
    <row r="119" spans="1:34">
      <c r="A119" s="7">
        <v>44883</v>
      </c>
      <c r="B119">
        <v>0</v>
      </c>
      <c r="C119">
        <v>20</v>
      </c>
      <c r="D119">
        <v>0</v>
      </c>
      <c r="F119">
        <f t="shared" si="22"/>
        <v>20</v>
      </c>
      <c r="G119">
        <f t="shared" si="26"/>
        <v>0</v>
      </c>
      <c r="H119">
        <f t="shared" si="27"/>
        <v>100</v>
      </c>
      <c r="I119">
        <f t="shared" si="28"/>
        <v>0</v>
      </c>
      <c r="J119">
        <f t="shared" si="29"/>
        <v>0</v>
      </c>
      <c r="K119">
        <f t="shared" si="23"/>
        <v>100</v>
      </c>
      <c r="L119">
        <f>G119*Return!B119*100</f>
        <v>0</v>
      </c>
      <c r="M119">
        <f>H119*Return!C119*100</f>
        <v>444.999999999998</v>
      </c>
      <c r="N119">
        <f>I119*Return!D119*100</f>
        <v>0</v>
      </c>
      <c r="O119">
        <f>J119*Return!E119*100</f>
        <v>0</v>
      </c>
      <c r="P119">
        <f t="shared" si="20"/>
        <v>444.999999999998</v>
      </c>
      <c r="Q119" t="e">
        <f>SUM($P$3:P119)</f>
        <v>#NAME?</v>
      </c>
      <c r="R119">
        <f>B119*中国_中债国债到期收益率_1年!B118/365*100</f>
        <v>0</v>
      </c>
      <c r="S119">
        <f>C119*中国_中债国债到期收益率_1年!C118/365*100</f>
        <v>14.4542465753425</v>
      </c>
      <c r="T119">
        <f>D119*中国_中债国债到期收益率_1年!D118/365*100</f>
        <v>0</v>
      </c>
      <c r="U119">
        <f>E119*中国_中债国债到期收益率_1年!E118/365*100</f>
        <v>0</v>
      </c>
      <c r="V119">
        <f t="shared" si="21"/>
        <v>14.4542465753425</v>
      </c>
      <c r="W119" t="e">
        <f>SUM($V$3:V119)</f>
        <v>#NAME?</v>
      </c>
      <c r="X119">
        <f>MAX(F119-50,0)*中国_中债国债到期收益率_1年!H119*100/365</f>
        <v>0</v>
      </c>
      <c r="Y119">
        <f>SUM($X$3:X119)</f>
        <v>1107.91315068493</v>
      </c>
      <c r="Z119">
        <v>-50</v>
      </c>
      <c r="AA119">
        <v>-30</v>
      </c>
      <c r="AB119">
        <f>Z119*Return!F119*100</f>
        <v>-64.4999999999985</v>
      </c>
      <c r="AC119">
        <f>AA119*Return!G119*100</f>
        <v>12</v>
      </c>
      <c r="AD119">
        <f>SUM($AB$3:AB119)+SUM($AC$3:AC119)</f>
        <v>2193.2</v>
      </c>
      <c r="AE119" t="e">
        <f t="shared" si="24"/>
        <v>#NAME?</v>
      </c>
      <c r="AF119" t="e">
        <f t="shared" si="25"/>
        <v>#NAME?</v>
      </c>
      <c r="AG119" s="5" t="e">
        <f>(AF119/AF118-1)-中国_中债国债到期收益率_1年!H119%/252</f>
        <v>#NAME?</v>
      </c>
      <c r="AH119" s="5" t="e">
        <f>MIN((AF119-MAX($AF$3:AF119))/MAX($AF$3:AF119),0)</f>
        <v>#NAME?</v>
      </c>
    </row>
    <row r="120" spans="1:34">
      <c r="A120" s="7">
        <v>44886</v>
      </c>
      <c r="B120">
        <v>0</v>
      </c>
      <c r="C120">
        <v>20</v>
      </c>
      <c r="D120">
        <v>0</v>
      </c>
      <c r="F120">
        <f t="shared" si="22"/>
        <v>20</v>
      </c>
      <c r="G120">
        <f t="shared" ref="G120:G147" si="30">B120</f>
        <v>0</v>
      </c>
      <c r="H120">
        <f t="shared" ref="H120:H147" si="31">5*C120</f>
        <v>100</v>
      </c>
      <c r="I120">
        <f t="shared" ref="I120:I147" si="32">9*D120</f>
        <v>0</v>
      </c>
      <c r="J120">
        <f t="shared" ref="J120:J147" si="33">16*E120</f>
        <v>0</v>
      </c>
      <c r="K120">
        <f t="shared" si="23"/>
        <v>100</v>
      </c>
      <c r="L120">
        <f>G120*Return!B120*100</f>
        <v>0</v>
      </c>
      <c r="M120">
        <f>H120*Return!C120*100</f>
        <v>98.0000000000025</v>
      </c>
      <c r="N120">
        <f>I120*Return!D120*100</f>
        <v>0</v>
      </c>
      <c r="O120">
        <f>J120*Return!E120*100</f>
        <v>0</v>
      </c>
      <c r="P120">
        <f t="shared" si="20"/>
        <v>98.0000000000025</v>
      </c>
      <c r="Q120" t="e">
        <f>SUM($P$3:P120)</f>
        <v>#NAME?</v>
      </c>
      <c r="R120">
        <f>B120*中国_中债国债到期收益率_1年!B119/365*100</f>
        <v>0</v>
      </c>
      <c r="S120">
        <f>C120*中国_中债国债到期收益率_1年!C119/365*100</f>
        <v>14.4005479452055</v>
      </c>
      <c r="T120">
        <f>D120*中国_中债国债到期收益率_1年!D119/365*100</f>
        <v>0</v>
      </c>
      <c r="U120">
        <f>E120*中国_中债国债到期收益率_1年!E119/365*100</f>
        <v>0</v>
      </c>
      <c r="V120">
        <f t="shared" si="21"/>
        <v>14.4005479452055</v>
      </c>
      <c r="W120" t="e">
        <f>SUM($V$3:V120)</f>
        <v>#NAME?</v>
      </c>
      <c r="X120">
        <f>MAX(F120-50,0)*中国_中债国债到期收益率_1年!H120*100/365</f>
        <v>0</v>
      </c>
      <c r="Y120">
        <f>SUM($X$3:X120)</f>
        <v>1107.91315068493</v>
      </c>
      <c r="Z120">
        <v>-50</v>
      </c>
      <c r="AA120">
        <v>-30</v>
      </c>
      <c r="AB120">
        <f>Z120*Return!F120*100</f>
        <v>-196.000000000001</v>
      </c>
      <c r="AC120">
        <f>AA120*Return!G120*100</f>
        <v>-84.0000000000001</v>
      </c>
      <c r="AD120">
        <f>SUM($AB$3:AB120)+SUM($AC$3:AC120)</f>
        <v>1913.2</v>
      </c>
      <c r="AE120" t="e">
        <f t="shared" si="24"/>
        <v>#NAME?</v>
      </c>
      <c r="AF120" t="e">
        <f t="shared" si="25"/>
        <v>#NAME?</v>
      </c>
      <c r="AG120" s="5" t="e">
        <f>(AF120/AF119-1)-中国_中债国债到期收益率_1年!H120%/252</f>
        <v>#NAME?</v>
      </c>
      <c r="AH120" s="5" t="e">
        <f>MIN((AF120-MAX($AF$3:AF120))/MAX($AF$3:AF120),0)</f>
        <v>#NAME?</v>
      </c>
    </row>
    <row r="121" spans="1:34">
      <c r="A121" s="7">
        <v>44887</v>
      </c>
      <c r="B121">
        <v>0</v>
      </c>
      <c r="C121">
        <v>20</v>
      </c>
      <c r="D121">
        <v>0</v>
      </c>
      <c r="F121">
        <f t="shared" si="22"/>
        <v>20</v>
      </c>
      <c r="G121">
        <f t="shared" si="30"/>
        <v>0</v>
      </c>
      <c r="H121">
        <f t="shared" si="31"/>
        <v>100</v>
      </c>
      <c r="I121">
        <f t="shared" si="32"/>
        <v>0</v>
      </c>
      <c r="J121">
        <f t="shared" si="33"/>
        <v>0</v>
      </c>
      <c r="K121">
        <f t="shared" si="23"/>
        <v>100</v>
      </c>
      <c r="L121">
        <f>G121*Return!B121*100</f>
        <v>0</v>
      </c>
      <c r="M121">
        <f>H121*Return!C121*100</f>
        <v>85.9999999999994</v>
      </c>
      <c r="N121">
        <f>I121*Return!D121*100</f>
        <v>0</v>
      </c>
      <c r="O121">
        <f>J121*Return!E121*100</f>
        <v>0</v>
      </c>
      <c r="P121">
        <f t="shared" si="20"/>
        <v>85.9999999999994</v>
      </c>
      <c r="Q121" t="e">
        <f>SUM($P$3:P121)</f>
        <v>#NAME?</v>
      </c>
      <c r="R121">
        <f>B121*中国_中债国债到期收益率_1年!B120/365*100</f>
        <v>0</v>
      </c>
      <c r="S121">
        <f>C121*中国_中债国债到期收益率_1年!C120/365*100</f>
        <v>14.3534246575342</v>
      </c>
      <c r="T121">
        <f>D121*中国_中债国债到期收益率_1年!D120/365*100</f>
        <v>0</v>
      </c>
      <c r="U121">
        <f>E121*中国_中债国债到期收益率_1年!E120/365*100</f>
        <v>0</v>
      </c>
      <c r="V121">
        <f t="shared" si="21"/>
        <v>14.3534246575342</v>
      </c>
      <c r="W121" t="e">
        <f>SUM($V$3:V121)</f>
        <v>#NAME?</v>
      </c>
      <c r="X121">
        <f>MAX(F121-50,0)*中国_中债国债到期收益率_1年!H121*100/365</f>
        <v>0</v>
      </c>
      <c r="Y121">
        <f>SUM($X$3:X121)</f>
        <v>1107.91315068493</v>
      </c>
      <c r="Z121">
        <v>-50</v>
      </c>
      <c r="AA121">
        <v>-30</v>
      </c>
      <c r="AB121">
        <f>Z121*Return!F121*100</f>
        <v>-115.000000000001</v>
      </c>
      <c r="AC121">
        <f>AA121*Return!G121*100</f>
        <v>-84.6</v>
      </c>
      <c r="AD121">
        <f>SUM($AB$3:AB121)+SUM($AC$3:AC121)</f>
        <v>1713.6</v>
      </c>
      <c r="AE121" t="e">
        <f t="shared" si="24"/>
        <v>#NAME?</v>
      </c>
      <c r="AF121" t="e">
        <f t="shared" si="25"/>
        <v>#NAME?</v>
      </c>
      <c r="AG121" s="5" t="e">
        <f>(AF121/AF120-1)-中国_中债国债到期收益率_1年!H121%/252</f>
        <v>#NAME?</v>
      </c>
      <c r="AH121" s="5" t="e">
        <f>MIN((AF121-MAX($AF$3:AF121))/MAX($AF$3:AF121),0)</f>
        <v>#NAME?</v>
      </c>
    </row>
    <row r="122" spans="1:34">
      <c r="A122" s="7">
        <v>44888</v>
      </c>
      <c r="B122">
        <v>0</v>
      </c>
      <c r="C122">
        <v>10</v>
      </c>
      <c r="D122">
        <v>0</v>
      </c>
      <c r="F122">
        <f t="shared" si="22"/>
        <v>10</v>
      </c>
      <c r="G122">
        <f t="shared" si="30"/>
        <v>0</v>
      </c>
      <c r="H122">
        <f t="shared" si="31"/>
        <v>50</v>
      </c>
      <c r="I122">
        <f t="shared" si="32"/>
        <v>0</v>
      </c>
      <c r="J122">
        <f t="shared" si="33"/>
        <v>0</v>
      </c>
      <c r="K122">
        <f t="shared" si="23"/>
        <v>50</v>
      </c>
      <c r="L122">
        <f>G122*Return!B122*100</f>
        <v>0</v>
      </c>
      <c r="M122">
        <f>H122*Return!C122*100</f>
        <v>18.4999999999991</v>
      </c>
      <c r="N122">
        <f>I122*Return!D122*100</f>
        <v>0</v>
      </c>
      <c r="O122">
        <f>J122*Return!E122*100</f>
        <v>0</v>
      </c>
      <c r="P122">
        <f t="shared" si="20"/>
        <v>18.4999999999991</v>
      </c>
      <c r="Q122" t="e">
        <f>SUM($P$3:P122)</f>
        <v>#NAME?</v>
      </c>
      <c r="R122">
        <f>B122*中国_中债国债到期收益率_1年!B121/365*100</f>
        <v>0</v>
      </c>
      <c r="S122">
        <f>C122*中国_中债国债到期收益率_1年!C121/365*100</f>
        <v>7.16657534246575</v>
      </c>
      <c r="T122">
        <f>D122*中国_中债国债到期收益率_1年!D121/365*100</f>
        <v>0</v>
      </c>
      <c r="U122">
        <f>E122*中国_中债国债到期收益率_1年!E121/365*100</f>
        <v>0</v>
      </c>
      <c r="V122">
        <f t="shared" si="21"/>
        <v>7.16657534246575</v>
      </c>
      <c r="W122" t="e">
        <f>SUM($V$3:V122)</f>
        <v>#NAME?</v>
      </c>
      <c r="X122">
        <f>MAX(F122-50,0)*中国_中债国债到期收益率_1年!H122*100/365</f>
        <v>0</v>
      </c>
      <c r="Y122">
        <f>SUM($X$3:X122)</f>
        <v>1107.91315068493</v>
      </c>
      <c r="Z122">
        <v>-50</v>
      </c>
      <c r="AA122">
        <v>-30</v>
      </c>
      <c r="AB122">
        <f>Z122*Return!F122*100</f>
        <v>32.0000000000009</v>
      </c>
      <c r="AC122">
        <f>AA122*Return!G122*100</f>
        <v>48.8999999999993</v>
      </c>
      <c r="AD122">
        <f>SUM($AB$3:AB122)+SUM($AC$3:AC122)</f>
        <v>1794.5</v>
      </c>
      <c r="AE122" t="e">
        <f t="shared" si="24"/>
        <v>#NAME?</v>
      </c>
      <c r="AF122" t="e">
        <f t="shared" si="25"/>
        <v>#NAME?</v>
      </c>
      <c r="AG122" s="5" t="e">
        <f>(AF122/AF121-1)-中国_中债国债到期收益率_1年!H122%/252</f>
        <v>#NAME?</v>
      </c>
      <c r="AH122" s="5" t="e">
        <f>MIN((AF122-MAX($AF$3:AF122))/MAX($AF$3:AF122),0)</f>
        <v>#NAME?</v>
      </c>
    </row>
    <row r="123" spans="1:34">
      <c r="A123" s="7">
        <v>44889</v>
      </c>
      <c r="B123">
        <v>0</v>
      </c>
      <c r="C123">
        <v>10</v>
      </c>
      <c r="D123">
        <v>0</v>
      </c>
      <c r="F123">
        <f t="shared" si="22"/>
        <v>10</v>
      </c>
      <c r="G123">
        <f t="shared" si="30"/>
        <v>0</v>
      </c>
      <c r="H123">
        <f t="shared" si="31"/>
        <v>50</v>
      </c>
      <c r="I123">
        <f t="shared" si="32"/>
        <v>0</v>
      </c>
      <c r="J123">
        <f t="shared" si="33"/>
        <v>0</v>
      </c>
      <c r="K123">
        <f t="shared" si="23"/>
        <v>50</v>
      </c>
      <c r="L123">
        <f>G123*Return!B123*100</f>
        <v>0</v>
      </c>
      <c r="M123">
        <f>H123*Return!C123*100</f>
        <v>172.5</v>
      </c>
      <c r="N123">
        <f>I123*Return!D123*100</f>
        <v>0</v>
      </c>
      <c r="O123">
        <f>J123*Return!E123*100</f>
        <v>0</v>
      </c>
      <c r="P123">
        <f t="shared" si="20"/>
        <v>172.5</v>
      </c>
      <c r="Q123" t="e">
        <f>SUM($P$3:P123)</f>
        <v>#NAME?</v>
      </c>
      <c r="R123">
        <f>B123*中国_中债国债到期收益率_1年!B122/365*100</f>
        <v>0</v>
      </c>
      <c r="S123">
        <f>C123*中国_中债国债到期收益率_1年!C122/365*100</f>
        <v>7.07205479452055</v>
      </c>
      <c r="T123">
        <f>D123*中国_中债国债到期收益率_1年!D122/365*100</f>
        <v>0</v>
      </c>
      <c r="U123">
        <f>E123*中国_中债国债到期收益率_1年!E122/365*100</f>
        <v>0</v>
      </c>
      <c r="V123">
        <f t="shared" si="21"/>
        <v>7.07205479452055</v>
      </c>
      <c r="W123" t="e">
        <f>SUM($V$3:V123)</f>
        <v>#NAME?</v>
      </c>
      <c r="X123">
        <f>MAX(F123-50,0)*中国_中债国债到期收益率_1年!H123*100/365</f>
        <v>0</v>
      </c>
      <c r="Y123">
        <f>SUM($X$3:X123)</f>
        <v>1107.91315068493</v>
      </c>
      <c r="Z123">
        <v>-50</v>
      </c>
      <c r="AA123">
        <v>-30</v>
      </c>
      <c r="AB123">
        <f>Z123*Return!F123*100</f>
        <v>-136.000000000001</v>
      </c>
      <c r="AC123">
        <f>AA123*Return!G123*100</f>
        <v>-88.1999999999996</v>
      </c>
      <c r="AD123">
        <f>SUM($AB$3:AB123)+SUM($AC$3:AC123)</f>
        <v>1570.3</v>
      </c>
      <c r="AE123" t="e">
        <f t="shared" si="24"/>
        <v>#NAME?</v>
      </c>
      <c r="AF123" t="e">
        <f t="shared" si="25"/>
        <v>#NAME?</v>
      </c>
      <c r="AG123" s="5" t="e">
        <f>(AF123/AF122-1)-中国_中债国债到期收益率_1年!H123%/252</f>
        <v>#NAME?</v>
      </c>
      <c r="AH123" s="5" t="e">
        <f>MIN((AF123-MAX($AF$3:AF123))/MAX($AF$3:AF123),0)</f>
        <v>#NAME?</v>
      </c>
    </row>
    <row r="124" spans="1:34">
      <c r="A124" s="7">
        <v>44890</v>
      </c>
      <c r="B124">
        <v>0</v>
      </c>
      <c r="C124">
        <v>10</v>
      </c>
      <c r="D124">
        <v>0</v>
      </c>
      <c r="F124">
        <f t="shared" si="22"/>
        <v>10</v>
      </c>
      <c r="G124">
        <f t="shared" si="30"/>
        <v>0</v>
      </c>
      <c r="H124">
        <f t="shared" si="31"/>
        <v>50</v>
      </c>
      <c r="I124">
        <f t="shared" si="32"/>
        <v>0</v>
      </c>
      <c r="J124">
        <f t="shared" si="33"/>
        <v>0</v>
      </c>
      <c r="K124">
        <f t="shared" si="23"/>
        <v>50</v>
      </c>
      <c r="L124">
        <f>G124*Return!B124*100</f>
        <v>0</v>
      </c>
      <c r="M124">
        <f>H124*Return!C124*100</f>
        <v>45.0000000000017</v>
      </c>
      <c r="N124">
        <f>I124*Return!D124*100</f>
        <v>0</v>
      </c>
      <c r="O124">
        <f>J124*Return!E124*100</f>
        <v>0</v>
      </c>
      <c r="P124">
        <f t="shared" si="20"/>
        <v>45.0000000000017</v>
      </c>
      <c r="Q124" t="e">
        <f>SUM($P$3:P124)</f>
        <v>#NAME?</v>
      </c>
      <c r="R124">
        <f>B124*中国_中债国债到期收益率_1年!B123/365*100</f>
        <v>0</v>
      </c>
      <c r="S124">
        <f>C124*中国_中债国债到期收益率_1年!C123/365*100</f>
        <v>7.04739726027397</v>
      </c>
      <c r="T124">
        <f>D124*中国_中债国债到期收益率_1年!D123/365*100</f>
        <v>0</v>
      </c>
      <c r="U124">
        <f>E124*中国_中债国债到期收益率_1年!E123/365*100</f>
        <v>0</v>
      </c>
      <c r="V124">
        <f t="shared" si="21"/>
        <v>7.04739726027397</v>
      </c>
      <c r="W124" t="e">
        <f>SUM($V$3:V124)</f>
        <v>#NAME?</v>
      </c>
      <c r="X124">
        <f>MAX(F124-50,0)*中国_中债国债到期收益率_1年!H124*100/365</f>
        <v>0</v>
      </c>
      <c r="Y124">
        <f>SUM($X$3:X124)</f>
        <v>1107.91315068493</v>
      </c>
      <c r="Z124">
        <v>-50</v>
      </c>
      <c r="AA124">
        <v>-30</v>
      </c>
      <c r="AB124">
        <f>Z124*Return!F124*100</f>
        <v>-253.000000000001</v>
      </c>
      <c r="AC124">
        <f>AA124*Return!G124*100</f>
        <v>-167.4</v>
      </c>
      <c r="AD124">
        <f>SUM($AB$3:AB124)+SUM($AC$3:AC124)</f>
        <v>1149.9</v>
      </c>
      <c r="AE124" t="e">
        <f t="shared" si="24"/>
        <v>#NAME?</v>
      </c>
      <c r="AF124" t="e">
        <f t="shared" si="25"/>
        <v>#NAME?</v>
      </c>
      <c r="AG124" s="5" t="e">
        <f>(AF124/AF123-1)-中国_中债国债到期收益率_1年!H124%/252</f>
        <v>#NAME?</v>
      </c>
      <c r="AH124" s="5" t="e">
        <f>MIN((AF124-MAX($AF$3:AF124))/MAX($AF$3:AF124),0)</f>
        <v>#NAME?</v>
      </c>
    </row>
    <row r="125" spans="1:34">
      <c r="A125" s="7">
        <v>44893</v>
      </c>
      <c r="B125">
        <v>0</v>
      </c>
      <c r="C125">
        <v>10</v>
      </c>
      <c r="D125">
        <v>0</v>
      </c>
      <c r="F125">
        <f t="shared" si="22"/>
        <v>10</v>
      </c>
      <c r="G125">
        <f t="shared" si="30"/>
        <v>0</v>
      </c>
      <c r="H125">
        <f t="shared" si="31"/>
        <v>50</v>
      </c>
      <c r="I125">
        <f t="shared" si="32"/>
        <v>0</v>
      </c>
      <c r="J125">
        <f t="shared" si="33"/>
        <v>0</v>
      </c>
      <c r="K125">
        <f t="shared" si="23"/>
        <v>50</v>
      </c>
      <c r="L125">
        <f>G125*Return!B125*100</f>
        <v>0</v>
      </c>
      <c r="M125">
        <f>H125*Return!C125*100</f>
        <v>-210.5</v>
      </c>
      <c r="N125">
        <f>I125*Return!D125*100</f>
        <v>0</v>
      </c>
      <c r="O125">
        <f>J125*Return!E125*100</f>
        <v>0</v>
      </c>
      <c r="P125">
        <f t="shared" si="20"/>
        <v>-210.5</v>
      </c>
      <c r="Q125" t="e">
        <f>SUM($P$3:P125)</f>
        <v>#NAME?</v>
      </c>
      <c r="R125">
        <f>B125*中国_中债国债到期收益率_1年!B124/365*100</f>
        <v>0</v>
      </c>
      <c r="S125">
        <f>C125*中国_中债国债到期收益率_1年!C124/365*100</f>
        <v>7.1627397260274</v>
      </c>
      <c r="T125">
        <f>D125*中国_中债国债到期收益率_1年!D124/365*100</f>
        <v>0</v>
      </c>
      <c r="U125">
        <f>E125*中国_中债国债到期收益率_1年!E124/365*100</f>
        <v>0</v>
      </c>
      <c r="V125">
        <f t="shared" si="21"/>
        <v>7.1627397260274</v>
      </c>
      <c r="W125" t="e">
        <f>SUM($V$3:V125)</f>
        <v>#NAME?</v>
      </c>
      <c r="X125">
        <f>MAX(F125-50,0)*中国_中债国债到期收益率_1年!H125*100/365</f>
        <v>0</v>
      </c>
      <c r="Y125">
        <f>SUM($X$3:X125)</f>
        <v>1107.91315068493</v>
      </c>
      <c r="Z125">
        <v>-50</v>
      </c>
      <c r="AA125">
        <v>-30</v>
      </c>
      <c r="AB125">
        <f>Z125*Return!F125*100</f>
        <v>191.5</v>
      </c>
      <c r="AC125">
        <f>AA125*Return!G125*100</f>
        <v>119.1</v>
      </c>
      <c r="AD125">
        <f>SUM($AB$3:AB125)+SUM($AC$3:AC125)</f>
        <v>1460.5</v>
      </c>
      <c r="AE125" t="e">
        <f t="shared" si="24"/>
        <v>#NAME?</v>
      </c>
      <c r="AF125" t="e">
        <f t="shared" si="25"/>
        <v>#NAME?</v>
      </c>
      <c r="AG125" s="5" t="e">
        <f>(AF125/AF124-1)-中国_中债国债到期收益率_1年!H125%/252</f>
        <v>#NAME?</v>
      </c>
      <c r="AH125" s="5" t="e">
        <f>MIN((AF125-MAX($AF$3:AF125))/MAX($AF$3:AF125),0)</f>
        <v>#NAME?</v>
      </c>
    </row>
    <row r="126" spans="1:34">
      <c r="A126" s="7">
        <v>44894</v>
      </c>
      <c r="B126">
        <v>0</v>
      </c>
      <c r="C126">
        <v>10</v>
      </c>
      <c r="D126">
        <v>0</v>
      </c>
      <c r="F126">
        <f t="shared" si="22"/>
        <v>10</v>
      </c>
      <c r="G126">
        <f t="shared" si="30"/>
        <v>0</v>
      </c>
      <c r="H126">
        <f t="shared" si="31"/>
        <v>50</v>
      </c>
      <c r="I126">
        <f t="shared" si="32"/>
        <v>0</v>
      </c>
      <c r="J126">
        <f t="shared" si="33"/>
        <v>0</v>
      </c>
      <c r="K126">
        <f t="shared" si="23"/>
        <v>50</v>
      </c>
      <c r="L126">
        <f>G126*Return!B126*100</f>
        <v>0</v>
      </c>
      <c r="M126">
        <f>H126*Return!C126*100</f>
        <v>-198.500000000001</v>
      </c>
      <c r="N126">
        <f>I126*Return!D126*100</f>
        <v>0</v>
      </c>
      <c r="O126">
        <f>J126*Return!E126*100</f>
        <v>0</v>
      </c>
      <c r="P126">
        <f t="shared" si="20"/>
        <v>-198.500000000001</v>
      </c>
      <c r="Q126" t="e">
        <f>SUM($P$3:P126)</f>
        <v>#NAME?</v>
      </c>
      <c r="R126">
        <f>B126*中国_中债国债到期收益率_1年!B125/365*100</f>
        <v>0</v>
      </c>
      <c r="S126">
        <f>C126*中国_中债国债到期收益率_1年!C125/365*100</f>
        <v>7.27150684931507</v>
      </c>
      <c r="T126">
        <f>D126*中国_中债国债到期收益率_1年!D125/365*100</f>
        <v>0</v>
      </c>
      <c r="U126">
        <f>E126*中国_中债国债到期收益率_1年!E125/365*100</f>
        <v>0</v>
      </c>
      <c r="V126">
        <f t="shared" si="21"/>
        <v>7.27150684931507</v>
      </c>
      <c r="W126" t="e">
        <f>SUM($V$3:V126)</f>
        <v>#NAME?</v>
      </c>
      <c r="X126">
        <f>MAX(F126-50,0)*中国_中债国债到期收益率_1年!H126*100/365</f>
        <v>0</v>
      </c>
      <c r="Y126">
        <f>SUM($X$3:X126)</f>
        <v>1107.91315068493</v>
      </c>
      <c r="Z126">
        <v>-50</v>
      </c>
      <c r="AA126">
        <v>-30</v>
      </c>
      <c r="AB126">
        <f>Z126*Return!F126*100</f>
        <v>200</v>
      </c>
      <c r="AC126">
        <f>AA126*Return!G126*100</f>
        <v>140.400000000001</v>
      </c>
      <c r="AD126">
        <f>SUM($AB$3:AB126)+SUM($AC$3:AC126)</f>
        <v>1800.9</v>
      </c>
      <c r="AE126" t="e">
        <f t="shared" si="24"/>
        <v>#NAME?</v>
      </c>
      <c r="AF126" t="e">
        <f t="shared" si="25"/>
        <v>#NAME?</v>
      </c>
      <c r="AG126" s="5" t="e">
        <f>(AF126/AF125-1)-中国_中债国债到期收益率_1年!H126%/252</f>
        <v>#NAME?</v>
      </c>
      <c r="AH126" s="5" t="e">
        <f>MIN((AF126-MAX($AF$3:AF126))/MAX($AF$3:AF126),0)</f>
        <v>#NAME?</v>
      </c>
    </row>
    <row r="127" spans="1:34">
      <c r="A127" s="7">
        <v>44895</v>
      </c>
      <c r="B127">
        <v>0</v>
      </c>
      <c r="C127">
        <v>10</v>
      </c>
      <c r="D127">
        <v>0</v>
      </c>
      <c r="F127">
        <f t="shared" si="22"/>
        <v>10</v>
      </c>
      <c r="G127">
        <f t="shared" si="30"/>
        <v>0</v>
      </c>
      <c r="H127">
        <f t="shared" si="31"/>
        <v>50</v>
      </c>
      <c r="I127">
        <f t="shared" si="32"/>
        <v>0</v>
      </c>
      <c r="J127">
        <f t="shared" si="33"/>
        <v>0</v>
      </c>
      <c r="K127">
        <f t="shared" si="23"/>
        <v>50</v>
      </c>
      <c r="L127">
        <f>G127*Return!B127*100</f>
        <v>0</v>
      </c>
      <c r="M127">
        <f>H127*Return!C127*100</f>
        <v>-252.999999999999</v>
      </c>
      <c r="N127">
        <f>I127*Return!D127*100</f>
        <v>0</v>
      </c>
      <c r="O127">
        <f>J127*Return!E127*100</f>
        <v>0</v>
      </c>
      <c r="P127">
        <f t="shared" ref="P127:P147" si="34">SUM(L127:O127)</f>
        <v>-252.999999999999</v>
      </c>
      <c r="Q127" t="e">
        <f>SUM($P$3:P127)</f>
        <v>#NAME?</v>
      </c>
      <c r="R127">
        <f>B127*中国_中债国债到期收益率_1年!B126/365*100</f>
        <v>0</v>
      </c>
      <c r="S127">
        <f>C127*中国_中债国债到期收益率_1年!C126/365*100</f>
        <v>7.41013698630137</v>
      </c>
      <c r="T127">
        <f>D127*中国_中债国债到期收益率_1年!D126/365*100</f>
        <v>0</v>
      </c>
      <c r="U127">
        <f>E127*中国_中债国债到期收益率_1年!E126/365*100</f>
        <v>0</v>
      </c>
      <c r="V127">
        <f t="shared" ref="V127:V147" si="35">SUM(R127:U127)</f>
        <v>7.41013698630137</v>
      </c>
      <c r="W127" t="e">
        <f>SUM($V$3:V127)</f>
        <v>#NAME?</v>
      </c>
      <c r="X127">
        <f>MAX(F127-50,0)*中国_中债国债到期收益率_1年!H127*100/365</f>
        <v>0</v>
      </c>
      <c r="Y127">
        <f>SUM($X$3:X127)</f>
        <v>1107.91315068493</v>
      </c>
      <c r="Z127">
        <v>-50</v>
      </c>
      <c r="AA127">
        <v>-30</v>
      </c>
      <c r="AB127">
        <f>Z127*Return!F127*100</f>
        <v>246.000000000002</v>
      </c>
      <c r="AC127">
        <f>AA127*Return!G127*100</f>
        <v>238.8</v>
      </c>
      <c r="AD127">
        <f>SUM($AB$3:AB127)+SUM($AC$3:AC127)</f>
        <v>2285.7</v>
      </c>
      <c r="AE127" t="e">
        <f t="shared" si="24"/>
        <v>#NAME?</v>
      </c>
      <c r="AF127" t="e">
        <f t="shared" si="25"/>
        <v>#NAME?</v>
      </c>
      <c r="AG127" s="5" t="e">
        <f>(AF127/AF126-1)-中国_中债国债到期收益率_1年!H127%/252</f>
        <v>#NAME?</v>
      </c>
      <c r="AH127" s="5" t="e">
        <f>MIN((AF127-MAX($AF$3:AF127))/MAX($AF$3:AF127),0)</f>
        <v>#NAME?</v>
      </c>
    </row>
    <row r="128" spans="1:34">
      <c r="A128" s="7">
        <v>44896</v>
      </c>
      <c r="B128">
        <v>0</v>
      </c>
      <c r="C128">
        <v>10</v>
      </c>
      <c r="D128">
        <v>0</v>
      </c>
      <c r="F128">
        <f t="shared" si="22"/>
        <v>10</v>
      </c>
      <c r="G128">
        <f t="shared" si="30"/>
        <v>0</v>
      </c>
      <c r="H128">
        <f t="shared" si="31"/>
        <v>50</v>
      </c>
      <c r="I128">
        <f t="shared" si="32"/>
        <v>0</v>
      </c>
      <c r="J128">
        <f t="shared" si="33"/>
        <v>0</v>
      </c>
      <c r="K128">
        <f t="shared" si="23"/>
        <v>50</v>
      </c>
      <c r="L128">
        <f>G128*Return!B128*100</f>
        <v>0</v>
      </c>
      <c r="M128">
        <f>H128*Return!C128*100</f>
        <v>50.9999999999988</v>
      </c>
      <c r="N128">
        <f>I128*Return!D128*100</f>
        <v>0</v>
      </c>
      <c r="O128">
        <f>J128*Return!E128*100</f>
        <v>0</v>
      </c>
      <c r="P128">
        <f t="shared" si="34"/>
        <v>50.9999999999988</v>
      </c>
      <c r="Q128" t="e">
        <f>SUM($P$3:P128)</f>
        <v>#NAME?</v>
      </c>
      <c r="R128">
        <f>B128*中国_中债国债到期收益率_1年!B127/365*100</f>
        <v>0</v>
      </c>
      <c r="S128">
        <f>C128*中国_中债国债到期收益率_1年!C127/365*100</f>
        <v>7.38219178082192</v>
      </c>
      <c r="T128">
        <f>D128*中国_中债国债到期收益率_1年!D127/365*100</f>
        <v>0</v>
      </c>
      <c r="U128">
        <f>E128*中国_中债国债到期收益率_1年!E127/365*100</f>
        <v>0</v>
      </c>
      <c r="V128">
        <f t="shared" si="35"/>
        <v>7.38219178082192</v>
      </c>
      <c r="W128" t="e">
        <f>SUM($V$3:V128)</f>
        <v>#NAME?</v>
      </c>
      <c r="X128">
        <f>MAX(F128-50,0)*中国_中债国债到期收益率_1年!H128*100/365</f>
        <v>0</v>
      </c>
      <c r="Y128">
        <f>SUM($X$3:X128)</f>
        <v>1107.91315068493</v>
      </c>
      <c r="Z128">
        <v>-50</v>
      </c>
      <c r="AA128">
        <v>-30</v>
      </c>
      <c r="AB128">
        <f>Z128*Return!F128*100</f>
        <v>-93.0000000000009</v>
      </c>
      <c r="AC128">
        <f>AA128*Return!G128*100</f>
        <v>-55.2000000000006</v>
      </c>
      <c r="AD128">
        <f>SUM($AB$3:AB128)+SUM($AC$3:AC128)</f>
        <v>2137.5</v>
      </c>
      <c r="AE128" t="e">
        <f t="shared" si="24"/>
        <v>#NAME?</v>
      </c>
      <c r="AF128" t="e">
        <f t="shared" si="25"/>
        <v>#NAME?</v>
      </c>
      <c r="AG128" s="5" t="e">
        <f>(AF128/AF127-1)-中国_中债国债到期收益率_1年!H128%/252</f>
        <v>#NAME?</v>
      </c>
      <c r="AH128" s="5" t="e">
        <f>MIN((AF128-MAX($AF$3:AF128))/MAX($AF$3:AF128),0)</f>
        <v>#NAME?</v>
      </c>
    </row>
    <row r="129" spans="1:34">
      <c r="A129" s="7">
        <v>44897</v>
      </c>
      <c r="B129">
        <v>0</v>
      </c>
      <c r="C129">
        <v>10</v>
      </c>
      <c r="D129">
        <v>0</v>
      </c>
      <c r="F129">
        <f t="shared" si="22"/>
        <v>10</v>
      </c>
      <c r="G129">
        <f t="shared" si="30"/>
        <v>0</v>
      </c>
      <c r="H129">
        <f t="shared" si="31"/>
        <v>50</v>
      </c>
      <c r="I129">
        <f t="shared" si="32"/>
        <v>0</v>
      </c>
      <c r="J129">
        <f t="shared" si="33"/>
        <v>0</v>
      </c>
      <c r="K129">
        <f t="shared" si="23"/>
        <v>50</v>
      </c>
      <c r="L129">
        <f>G129*Return!B129*100</f>
        <v>0</v>
      </c>
      <c r="M129">
        <f>H129*Return!C129*100</f>
        <v>98.0000000000003</v>
      </c>
      <c r="N129">
        <f>I129*Return!D129*100</f>
        <v>0</v>
      </c>
      <c r="O129">
        <f>J129*Return!E129*100</f>
        <v>0</v>
      </c>
      <c r="P129">
        <f t="shared" si="34"/>
        <v>98.0000000000003</v>
      </c>
      <c r="Q129" t="e">
        <f>SUM($P$3:P129)</f>
        <v>#NAME?</v>
      </c>
      <c r="R129">
        <f>B129*中国_中债国债到期收益率_1年!B128/365*100</f>
        <v>0</v>
      </c>
      <c r="S129">
        <f>C129*中国_中债国债到期收益率_1年!C128/365*100</f>
        <v>7.32849315068493</v>
      </c>
      <c r="T129">
        <f>D129*中国_中债国债到期收益率_1年!D128/365*100</f>
        <v>0</v>
      </c>
      <c r="U129">
        <f>E129*中国_中债国债到期收益率_1年!E128/365*100</f>
        <v>0</v>
      </c>
      <c r="V129">
        <f t="shared" si="35"/>
        <v>7.32849315068493</v>
      </c>
      <c r="W129" t="e">
        <f>SUM($V$3:V129)</f>
        <v>#NAME?</v>
      </c>
      <c r="X129">
        <f>MAX(F129-50,0)*中国_中债国债到期收益率_1年!H129*100/365</f>
        <v>0</v>
      </c>
      <c r="Y129">
        <f>SUM($X$3:X129)</f>
        <v>1107.91315068493</v>
      </c>
      <c r="Z129">
        <v>-50</v>
      </c>
      <c r="AA129">
        <v>-30</v>
      </c>
      <c r="AB129">
        <f>Z129*Return!F129*100</f>
        <v>-57.4999999999992</v>
      </c>
      <c r="AC129">
        <f>AA129*Return!G129*100</f>
        <v>-0.299999999999301</v>
      </c>
      <c r="AD129">
        <f>SUM($AB$3:AB129)+SUM($AC$3:AC129)</f>
        <v>2079.7</v>
      </c>
      <c r="AE129" t="e">
        <f t="shared" si="24"/>
        <v>#NAME?</v>
      </c>
      <c r="AF129" t="e">
        <f t="shared" si="25"/>
        <v>#NAME?</v>
      </c>
      <c r="AG129" s="5" t="e">
        <f>(AF129/AF128-1)-中国_中债国债到期收益率_1年!H129%/252</f>
        <v>#NAME?</v>
      </c>
      <c r="AH129" s="5" t="e">
        <f>MIN((AF129-MAX($AF$3:AF129))/MAX($AF$3:AF129),0)</f>
        <v>#NAME?</v>
      </c>
    </row>
    <row r="130" spans="1:34">
      <c r="A130" s="7">
        <v>44900</v>
      </c>
      <c r="B130">
        <v>0</v>
      </c>
      <c r="C130">
        <v>10</v>
      </c>
      <c r="D130">
        <v>0</v>
      </c>
      <c r="F130">
        <f t="shared" si="22"/>
        <v>10</v>
      </c>
      <c r="G130">
        <f t="shared" si="30"/>
        <v>0</v>
      </c>
      <c r="H130">
        <f t="shared" si="31"/>
        <v>50</v>
      </c>
      <c r="I130">
        <f t="shared" si="32"/>
        <v>0</v>
      </c>
      <c r="J130">
        <f t="shared" si="33"/>
        <v>0</v>
      </c>
      <c r="K130">
        <f t="shared" si="23"/>
        <v>50</v>
      </c>
      <c r="L130">
        <f>G130*Return!B130*100</f>
        <v>0</v>
      </c>
      <c r="M130">
        <f>H130*Return!C130*100</f>
        <v>23.5000000000007</v>
      </c>
      <c r="N130">
        <f>I130*Return!D130*100</f>
        <v>0</v>
      </c>
      <c r="O130">
        <f>J130*Return!E130*100</f>
        <v>0</v>
      </c>
      <c r="P130">
        <f t="shared" si="34"/>
        <v>23.5000000000007</v>
      </c>
      <c r="Q130" t="e">
        <f>SUM($P$3:P130)</f>
        <v>#NAME?</v>
      </c>
      <c r="R130">
        <f>B130*中国_中债国债到期收益率_1年!B129/365*100</f>
        <v>0</v>
      </c>
      <c r="S130">
        <f>C130*中国_中债国债到期收益率_1年!C129/365*100</f>
        <v>7.31561643835616</v>
      </c>
      <c r="T130">
        <f>D130*中国_中债国债到期收益率_1年!D129/365*100</f>
        <v>0</v>
      </c>
      <c r="U130">
        <f>E130*中国_中债国债到期收益率_1年!E129/365*100</f>
        <v>0</v>
      </c>
      <c r="V130">
        <f t="shared" si="35"/>
        <v>7.31561643835616</v>
      </c>
      <c r="W130" t="e">
        <f>SUM($V$3:V130)</f>
        <v>#NAME?</v>
      </c>
      <c r="X130">
        <f>MAX(F130-50,0)*中国_中债国债到期收益率_1年!H130*100/365</f>
        <v>0</v>
      </c>
      <c r="Y130">
        <f>SUM($X$3:X130)</f>
        <v>1107.91315068493</v>
      </c>
      <c r="Z130">
        <v>-30</v>
      </c>
      <c r="AA130">
        <v>-30</v>
      </c>
      <c r="AB130">
        <f>Z130*Return!F130*100</f>
        <v>-58.8000000000002</v>
      </c>
      <c r="AC130">
        <f>AA130*Return!G130*100</f>
        <v>-90.0000000000007</v>
      </c>
      <c r="AD130">
        <f>SUM($AB$3:AB130)+SUM($AC$3:AC130)</f>
        <v>1930.9</v>
      </c>
      <c r="AE130" t="e">
        <f t="shared" si="24"/>
        <v>#NAME?</v>
      </c>
      <c r="AF130" t="e">
        <f t="shared" si="25"/>
        <v>#NAME?</v>
      </c>
      <c r="AG130" s="5" t="e">
        <f>(AF130/AF129-1)-中国_中债国债到期收益率_1年!H130%/252</f>
        <v>#NAME?</v>
      </c>
      <c r="AH130" s="5" t="e">
        <f>MIN((AF130-MAX($AF$3:AF130))/MAX($AF$3:AF130),0)</f>
        <v>#NAME?</v>
      </c>
    </row>
    <row r="131" spans="1:34">
      <c r="A131" s="7">
        <v>44901</v>
      </c>
      <c r="B131">
        <v>0</v>
      </c>
      <c r="C131">
        <v>10</v>
      </c>
      <c r="D131">
        <v>0</v>
      </c>
      <c r="F131">
        <f t="shared" ref="F131:F194" si="36">SUM(B131:E131)</f>
        <v>10</v>
      </c>
      <c r="G131">
        <f t="shared" si="30"/>
        <v>0</v>
      </c>
      <c r="H131">
        <f t="shared" si="31"/>
        <v>50</v>
      </c>
      <c r="I131">
        <f t="shared" si="32"/>
        <v>0</v>
      </c>
      <c r="J131">
        <f t="shared" si="33"/>
        <v>0</v>
      </c>
      <c r="K131">
        <f t="shared" ref="K131:K194" si="37">SUM(G131:J131)</f>
        <v>50</v>
      </c>
      <c r="L131">
        <f>G131*Return!B131*100</f>
        <v>0</v>
      </c>
      <c r="M131">
        <f>H131*Return!C131*100</f>
        <v>-81.9999999999999</v>
      </c>
      <c r="N131">
        <f>I131*Return!D131*100</f>
        <v>0</v>
      </c>
      <c r="O131">
        <f>J131*Return!E131*100</f>
        <v>0</v>
      </c>
      <c r="P131">
        <f t="shared" si="34"/>
        <v>-81.9999999999999</v>
      </c>
      <c r="Q131" t="e">
        <f>SUM($P$3:P131)</f>
        <v>#NAME?</v>
      </c>
      <c r="R131">
        <f>B131*中国_中债国债到期收益率_1年!B130/365*100</f>
        <v>0</v>
      </c>
      <c r="S131">
        <f>C131*中国_中债国债到期收益率_1年!C130/365*100</f>
        <v>7.36054794520548</v>
      </c>
      <c r="T131">
        <f>D131*中国_中债国债到期收益率_1年!D130/365*100</f>
        <v>0</v>
      </c>
      <c r="U131">
        <f>E131*中国_中债国债到期收益率_1年!E130/365*100</f>
        <v>0</v>
      </c>
      <c r="V131">
        <f t="shared" si="35"/>
        <v>7.36054794520548</v>
      </c>
      <c r="W131" t="e">
        <f>SUM($V$3:V131)</f>
        <v>#NAME?</v>
      </c>
      <c r="X131">
        <f>MAX(F131-50,0)*中国_中债国债到期收益率_1年!H131*100/365</f>
        <v>0</v>
      </c>
      <c r="Y131">
        <f>SUM($X$3:X131)</f>
        <v>1107.91315068493</v>
      </c>
      <c r="Z131">
        <v>-30</v>
      </c>
      <c r="AA131">
        <v>-30</v>
      </c>
      <c r="AB131">
        <f>Z131*Return!F131*100</f>
        <v>38.6999999999991</v>
      </c>
      <c r="AC131">
        <f>AA131*Return!G131*100</f>
        <v>66.3</v>
      </c>
      <c r="AD131">
        <f>SUM($AB$3:AB131)+SUM($AC$3:AC131)</f>
        <v>2035.9</v>
      </c>
      <c r="AE131" t="e">
        <f t="shared" si="24"/>
        <v>#NAME?</v>
      </c>
      <c r="AF131" t="e">
        <f t="shared" si="25"/>
        <v>#NAME?</v>
      </c>
      <c r="AG131" s="5" t="e">
        <f>(AF131/AF130-1)-中国_中债国债到期收益率_1年!H131%/252</f>
        <v>#NAME?</v>
      </c>
      <c r="AH131" s="5" t="e">
        <f>MIN((AF131-MAX($AF$3:AF131))/MAX($AF$3:AF131),0)</f>
        <v>#NAME?</v>
      </c>
    </row>
    <row r="132" spans="1:34">
      <c r="A132" s="7">
        <v>44902</v>
      </c>
      <c r="B132">
        <v>0</v>
      </c>
      <c r="C132">
        <v>10</v>
      </c>
      <c r="D132">
        <v>0</v>
      </c>
      <c r="F132">
        <f t="shared" si="36"/>
        <v>10</v>
      </c>
      <c r="G132">
        <f t="shared" si="30"/>
        <v>0</v>
      </c>
      <c r="H132">
        <f t="shared" si="31"/>
        <v>50</v>
      </c>
      <c r="I132">
        <f t="shared" si="32"/>
        <v>0</v>
      </c>
      <c r="J132">
        <f t="shared" si="33"/>
        <v>0</v>
      </c>
      <c r="K132">
        <f t="shared" si="37"/>
        <v>50</v>
      </c>
      <c r="L132">
        <f>G132*Return!B132*100</f>
        <v>0</v>
      </c>
      <c r="M132">
        <f>H132*Return!C132*100</f>
        <v>-229.5</v>
      </c>
      <c r="N132">
        <f>I132*Return!D132*100</f>
        <v>0</v>
      </c>
      <c r="O132">
        <f>J132*Return!E132*100</f>
        <v>0</v>
      </c>
      <c r="P132">
        <f t="shared" si="34"/>
        <v>-229.5</v>
      </c>
      <c r="Q132" t="e">
        <f>SUM($P$3:P132)</f>
        <v>#NAME?</v>
      </c>
      <c r="R132">
        <f>B132*中国_中债国债到期收益率_1年!B131/365*100</f>
        <v>0</v>
      </c>
      <c r="S132">
        <f>C132*中国_中债国债到期收益率_1年!C131/365*100</f>
        <v>7.48630136986301</v>
      </c>
      <c r="T132">
        <f>D132*中国_中债国债到期收益率_1年!D131/365*100</f>
        <v>0</v>
      </c>
      <c r="U132">
        <f>E132*中国_中债国债到期收益率_1年!E131/365*100</f>
        <v>0</v>
      </c>
      <c r="V132">
        <f t="shared" si="35"/>
        <v>7.48630136986301</v>
      </c>
      <c r="W132" t="e">
        <f>SUM($V$3:V132)</f>
        <v>#NAME?</v>
      </c>
      <c r="X132">
        <f>MAX(F132-50,0)*中国_中债国债到期收益率_1年!H132*100/365</f>
        <v>0</v>
      </c>
      <c r="Y132">
        <f>SUM($X$3:X132)</f>
        <v>1107.91315068493</v>
      </c>
      <c r="Z132">
        <v>-30</v>
      </c>
      <c r="AA132">
        <v>-30</v>
      </c>
      <c r="AB132">
        <f>Z132*Return!F132*100</f>
        <v>70.8000000000002</v>
      </c>
      <c r="AC132">
        <f>AA132*Return!G132*100</f>
        <v>130.5</v>
      </c>
      <c r="AD132">
        <f>SUM($AB$3:AB132)+SUM($AC$3:AC132)</f>
        <v>2237.2</v>
      </c>
      <c r="AE132" t="e">
        <f t="shared" ref="AE132:AE195" si="38">Q132+W132+AD132-Y132</f>
        <v>#NAME?</v>
      </c>
      <c r="AF132" t="e">
        <f t="shared" ref="AF132:AF195" si="39">AE132/$AI$1+1</f>
        <v>#NAME?</v>
      </c>
      <c r="AG132" s="5" t="e">
        <f>(AF132/AF131-1)-中国_中债国债到期收益率_1年!H132%/252</f>
        <v>#NAME?</v>
      </c>
      <c r="AH132" s="5" t="e">
        <f>MIN((AF132-MAX($AF$3:AF132))/MAX($AF$3:AF132),0)</f>
        <v>#NAME?</v>
      </c>
    </row>
    <row r="133" spans="1:34">
      <c r="A133" s="7">
        <v>44903</v>
      </c>
      <c r="B133">
        <v>0</v>
      </c>
      <c r="C133">
        <v>10</v>
      </c>
      <c r="D133">
        <v>0</v>
      </c>
      <c r="F133">
        <f t="shared" si="36"/>
        <v>10</v>
      </c>
      <c r="G133">
        <f t="shared" si="30"/>
        <v>0</v>
      </c>
      <c r="H133">
        <f t="shared" si="31"/>
        <v>50</v>
      </c>
      <c r="I133">
        <f t="shared" si="32"/>
        <v>0</v>
      </c>
      <c r="J133">
        <f t="shared" si="33"/>
        <v>0</v>
      </c>
      <c r="K133">
        <f t="shared" si="37"/>
        <v>50</v>
      </c>
      <c r="L133">
        <f>G133*Return!B133*100</f>
        <v>0</v>
      </c>
      <c r="M133">
        <f>H133*Return!C133*100</f>
        <v>131.999999999999</v>
      </c>
      <c r="N133">
        <f>I133*Return!D133*100</f>
        <v>0</v>
      </c>
      <c r="O133">
        <f>J133*Return!E133*100</f>
        <v>0</v>
      </c>
      <c r="P133">
        <f t="shared" si="34"/>
        <v>131.999999999999</v>
      </c>
      <c r="Q133" t="e">
        <f>SUM($P$3:P133)</f>
        <v>#NAME?</v>
      </c>
      <c r="R133">
        <f>B133*中国_中债国债到期收益率_1年!B132/365*100</f>
        <v>0</v>
      </c>
      <c r="S133">
        <f>C133*中国_中债国债到期收益率_1年!C132/365*100</f>
        <v>7.41397260273973</v>
      </c>
      <c r="T133">
        <f>D133*中国_中债国债到期收益率_1年!D132/365*100</f>
        <v>0</v>
      </c>
      <c r="U133">
        <f>E133*中国_中债国债到期收益率_1年!E132/365*100</f>
        <v>0</v>
      </c>
      <c r="V133">
        <f t="shared" si="35"/>
        <v>7.41397260273973</v>
      </c>
      <c r="W133" t="e">
        <f>SUM($V$3:V133)</f>
        <v>#NAME?</v>
      </c>
      <c r="X133">
        <f>MAX(F133-50,0)*中国_中债国债到期收益率_1年!H133*100/365</f>
        <v>0</v>
      </c>
      <c r="Y133">
        <f>SUM($X$3:X133)</f>
        <v>1107.91315068493</v>
      </c>
      <c r="Z133">
        <v>-30</v>
      </c>
      <c r="AA133">
        <v>-30</v>
      </c>
      <c r="AB133">
        <f>Z133*Return!F133*100</f>
        <v>71.4000000000001</v>
      </c>
      <c r="AC133">
        <f>AA133*Return!G133*100</f>
        <v>85.1999999999999</v>
      </c>
      <c r="AD133">
        <f>SUM($AB$3:AB133)+SUM($AC$3:AC133)</f>
        <v>2393.8</v>
      </c>
      <c r="AE133" t="e">
        <f t="shared" si="38"/>
        <v>#NAME?</v>
      </c>
      <c r="AF133" t="e">
        <f t="shared" si="39"/>
        <v>#NAME?</v>
      </c>
      <c r="AG133" s="5" t="e">
        <f>(AF133/AF132-1)-中国_中债国债到期收益率_1年!H133%/252</f>
        <v>#NAME?</v>
      </c>
      <c r="AH133" s="5" t="e">
        <f>MIN((AF133-MAX($AF$3:AF133))/MAX($AF$3:AF133),0)</f>
        <v>#NAME?</v>
      </c>
    </row>
    <row r="134" spans="1:34">
      <c r="A134" s="7">
        <v>44904</v>
      </c>
      <c r="B134">
        <v>0</v>
      </c>
      <c r="C134">
        <v>10</v>
      </c>
      <c r="D134">
        <v>0</v>
      </c>
      <c r="F134">
        <f t="shared" si="36"/>
        <v>10</v>
      </c>
      <c r="G134">
        <f t="shared" si="30"/>
        <v>0</v>
      </c>
      <c r="H134">
        <f t="shared" si="31"/>
        <v>50</v>
      </c>
      <c r="I134">
        <f t="shared" si="32"/>
        <v>0</v>
      </c>
      <c r="J134">
        <f t="shared" si="33"/>
        <v>0</v>
      </c>
      <c r="K134">
        <f t="shared" si="37"/>
        <v>50</v>
      </c>
      <c r="L134">
        <f>G134*Return!B134*100</f>
        <v>0</v>
      </c>
      <c r="M134">
        <f>H134*Return!C134*100</f>
        <v>54.5000000000018</v>
      </c>
      <c r="N134">
        <f>I134*Return!D134*100</f>
        <v>0</v>
      </c>
      <c r="O134">
        <f>J134*Return!E134*100</f>
        <v>0</v>
      </c>
      <c r="P134">
        <f t="shared" si="34"/>
        <v>54.5000000000018</v>
      </c>
      <c r="Q134" t="e">
        <f>SUM($P$3:P134)</f>
        <v>#NAME?</v>
      </c>
      <c r="R134">
        <f>B134*中国_中债国债到期收益率_1年!B133/365*100</f>
        <v>0</v>
      </c>
      <c r="S134">
        <f>C134*中国_中债国债到期收益率_1年!C133/365*100</f>
        <v>7.38410958904109</v>
      </c>
      <c r="T134">
        <f>D134*中国_中债国债到期收益率_1年!D133/365*100</f>
        <v>0</v>
      </c>
      <c r="U134">
        <f>E134*中国_中债国债到期收益率_1年!E133/365*100</f>
        <v>0</v>
      </c>
      <c r="V134">
        <f t="shared" si="35"/>
        <v>7.38410958904109</v>
      </c>
      <c r="W134" t="e">
        <f>SUM($V$3:V134)</f>
        <v>#NAME?</v>
      </c>
      <c r="X134">
        <f>MAX(F134-50,0)*中国_中债国债到期收益率_1年!H134*100/365</f>
        <v>0</v>
      </c>
      <c r="Y134">
        <f>SUM($X$3:X134)</f>
        <v>1107.91315068493</v>
      </c>
      <c r="Z134">
        <v>-10</v>
      </c>
      <c r="AA134">
        <v>-30</v>
      </c>
      <c r="AB134">
        <f>Z134*Return!F134*100</f>
        <v>-34.7</v>
      </c>
      <c r="AC134">
        <f>AA134*Return!G134*100</f>
        <v>-153.3</v>
      </c>
      <c r="AD134">
        <f>SUM($AB$3:AB134)+SUM($AC$3:AC134)</f>
        <v>2205.8</v>
      </c>
      <c r="AE134" t="e">
        <f t="shared" si="38"/>
        <v>#NAME?</v>
      </c>
      <c r="AF134" t="e">
        <f t="shared" si="39"/>
        <v>#NAME?</v>
      </c>
      <c r="AG134" s="5" t="e">
        <f>(AF134/AF133-1)-中国_中债国债到期收益率_1年!H134%/252</f>
        <v>#NAME?</v>
      </c>
      <c r="AH134" s="5" t="e">
        <f>MIN((AF134-MAX($AF$3:AF134))/MAX($AF$3:AF134),0)</f>
        <v>#NAME?</v>
      </c>
    </row>
    <row r="135" spans="1:34">
      <c r="A135" s="7">
        <v>44907</v>
      </c>
      <c r="B135">
        <v>0</v>
      </c>
      <c r="C135">
        <v>10</v>
      </c>
      <c r="D135">
        <v>0</v>
      </c>
      <c r="F135">
        <f t="shared" si="36"/>
        <v>10</v>
      </c>
      <c r="G135">
        <f t="shared" si="30"/>
        <v>0</v>
      </c>
      <c r="H135">
        <f t="shared" si="31"/>
        <v>50</v>
      </c>
      <c r="I135">
        <f t="shared" si="32"/>
        <v>0</v>
      </c>
      <c r="J135">
        <f t="shared" si="33"/>
        <v>0</v>
      </c>
      <c r="K135">
        <f t="shared" si="37"/>
        <v>50</v>
      </c>
      <c r="L135">
        <f>G135*Return!B135*100</f>
        <v>0</v>
      </c>
      <c r="M135">
        <f>H135*Return!C135*100</f>
        <v>-196.000000000001</v>
      </c>
      <c r="N135">
        <f>I135*Return!D135*100</f>
        <v>0</v>
      </c>
      <c r="O135">
        <f>J135*Return!E135*100</f>
        <v>0</v>
      </c>
      <c r="P135">
        <f t="shared" si="34"/>
        <v>-196.000000000001</v>
      </c>
      <c r="Q135" t="e">
        <f>SUM($P$3:P135)</f>
        <v>#NAME?</v>
      </c>
      <c r="R135">
        <f>B135*中国_中债国债到期收益率_1年!B134/365*100</f>
        <v>0</v>
      </c>
      <c r="S135">
        <f>C135*中国_中债国债到期收益率_1年!C134/365*100</f>
        <v>7.49150684931507</v>
      </c>
      <c r="T135">
        <f>D135*中国_中债国债到期收益率_1年!D134/365*100</f>
        <v>0</v>
      </c>
      <c r="U135">
        <f>E135*中国_中债国债到期收益率_1年!E134/365*100</f>
        <v>0</v>
      </c>
      <c r="V135">
        <f t="shared" si="35"/>
        <v>7.49150684931507</v>
      </c>
      <c r="W135" t="e">
        <f>SUM($V$3:V135)</f>
        <v>#NAME?</v>
      </c>
      <c r="X135">
        <f>MAX(F135-50,0)*中国_中债国债到期收益率_1年!H135*100/365</f>
        <v>0</v>
      </c>
      <c r="Y135">
        <f>SUM($X$3:X135)</f>
        <v>1107.91315068493</v>
      </c>
      <c r="Z135">
        <v>-10</v>
      </c>
      <c r="AA135">
        <v>-30</v>
      </c>
      <c r="AB135">
        <f>Z135*Return!F135*100</f>
        <v>13.5999999999998</v>
      </c>
      <c r="AC135">
        <f>AA135*Return!G135*100</f>
        <v>63.3000000000004</v>
      </c>
      <c r="AD135">
        <f>SUM($AB$3:AB135)+SUM($AC$3:AC135)</f>
        <v>2282.7</v>
      </c>
      <c r="AE135" t="e">
        <f t="shared" si="38"/>
        <v>#NAME?</v>
      </c>
      <c r="AF135" t="e">
        <f t="shared" si="39"/>
        <v>#NAME?</v>
      </c>
      <c r="AG135" s="5" t="e">
        <f>(AF135/AF134-1)-中国_中债国债到期收益率_1年!H135%/252</f>
        <v>#NAME?</v>
      </c>
      <c r="AH135" s="5" t="e">
        <f>MIN((AF135-MAX($AF$3:AF135))/MAX($AF$3:AF135),0)</f>
        <v>#NAME?</v>
      </c>
    </row>
    <row r="136" spans="1:34">
      <c r="A136" s="7">
        <v>44908</v>
      </c>
      <c r="B136">
        <v>0</v>
      </c>
      <c r="C136">
        <v>10</v>
      </c>
      <c r="D136">
        <v>0</v>
      </c>
      <c r="F136">
        <f t="shared" si="36"/>
        <v>10</v>
      </c>
      <c r="G136">
        <f t="shared" si="30"/>
        <v>0</v>
      </c>
      <c r="H136">
        <f t="shared" si="31"/>
        <v>50</v>
      </c>
      <c r="I136">
        <f t="shared" si="32"/>
        <v>0</v>
      </c>
      <c r="J136">
        <f t="shared" si="33"/>
        <v>0</v>
      </c>
      <c r="K136">
        <f t="shared" si="37"/>
        <v>50</v>
      </c>
      <c r="L136">
        <f>G136*Return!B136*100</f>
        <v>0</v>
      </c>
      <c r="M136">
        <f>H136*Return!C136*100</f>
        <v>-35.0000000000006</v>
      </c>
      <c r="N136">
        <f>I136*Return!D136*100</f>
        <v>0</v>
      </c>
      <c r="O136">
        <f>J136*Return!E136*100</f>
        <v>0</v>
      </c>
      <c r="P136">
        <f t="shared" si="34"/>
        <v>-35.0000000000006</v>
      </c>
      <c r="Q136" t="e">
        <f>SUM($P$3:P136)</f>
        <v>#NAME?</v>
      </c>
      <c r="R136">
        <f>B136*中国_中债国债到期收益率_1年!B135/365*100</f>
        <v>0</v>
      </c>
      <c r="S136">
        <f>C136*中国_中债国债到期收益率_1年!C135/365*100</f>
        <v>7.51068493150685</v>
      </c>
      <c r="T136">
        <f>D136*中国_中债国债到期收益率_1年!D135/365*100</f>
        <v>0</v>
      </c>
      <c r="U136">
        <f>E136*中国_中债国债到期收益率_1年!E135/365*100</f>
        <v>0</v>
      </c>
      <c r="V136">
        <f t="shared" si="35"/>
        <v>7.51068493150685</v>
      </c>
      <c r="W136" t="e">
        <f>SUM($V$3:V136)</f>
        <v>#NAME?</v>
      </c>
      <c r="X136">
        <f>MAX(F136-50,0)*中国_中债国债到期收益率_1年!H136*100/365</f>
        <v>0</v>
      </c>
      <c r="Y136">
        <f>SUM($X$3:X136)</f>
        <v>1107.91315068493</v>
      </c>
      <c r="Z136">
        <v>-10</v>
      </c>
      <c r="AA136">
        <v>-30</v>
      </c>
      <c r="AB136">
        <f>Z136*Return!F136*100</f>
        <v>-11.4999999999998</v>
      </c>
      <c r="AC136">
        <f>AA136*Return!G136*100</f>
        <v>-29.3999999999994</v>
      </c>
      <c r="AD136">
        <f>SUM($AB$3:AB136)+SUM($AC$3:AC136)</f>
        <v>2241.8</v>
      </c>
      <c r="AE136" t="e">
        <f t="shared" si="38"/>
        <v>#NAME?</v>
      </c>
      <c r="AF136" t="e">
        <f t="shared" si="39"/>
        <v>#NAME?</v>
      </c>
      <c r="AG136" s="5" t="e">
        <f>(AF136/AF135-1)-中国_中债国债到期收益率_1年!H136%/252</f>
        <v>#NAME?</v>
      </c>
      <c r="AH136" s="5" t="e">
        <f>MIN((AF136-MAX($AF$3:AF136))/MAX($AF$3:AF136),0)</f>
        <v>#NAME?</v>
      </c>
    </row>
    <row r="137" spans="1:34">
      <c r="A137" s="7">
        <v>44909</v>
      </c>
      <c r="B137">
        <v>0</v>
      </c>
      <c r="C137">
        <v>10</v>
      </c>
      <c r="D137">
        <v>0</v>
      </c>
      <c r="F137">
        <f t="shared" si="36"/>
        <v>10</v>
      </c>
      <c r="G137">
        <f t="shared" si="30"/>
        <v>0</v>
      </c>
      <c r="H137">
        <f t="shared" si="31"/>
        <v>50</v>
      </c>
      <c r="I137">
        <f t="shared" si="32"/>
        <v>0</v>
      </c>
      <c r="J137">
        <f t="shared" si="33"/>
        <v>0</v>
      </c>
      <c r="K137">
        <f t="shared" si="37"/>
        <v>50</v>
      </c>
      <c r="L137">
        <f>G137*Return!B137*100</f>
        <v>0</v>
      </c>
      <c r="M137">
        <f>H137*Return!C137*100</f>
        <v>-90.5</v>
      </c>
      <c r="N137">
        <f>I137*Return!D137*100</f>
        <v>0</v>
      </c>
      <c r="O137">
        <f>J137*Return!E137*100</f>
        <v>0</v>
      </c>
      <c r="P137">
        <f t="shared" si="34"/>
        <v>-90.5</v>
      </c>
      <c r="Q137" t="e">
        <f>SUM($P$3:P137)</f>
        <v>#NAME?</v>
      </c>
      <c r="R137">
        <f>B137*中国_中债国债到期收益率_1年!B136/365*100</f>
        <v>0</v>
      </c>
      <c r="S137">
        <f>C137*中国_中债国债到期收益率_1年!C136/365*100</f>
        <v>7.56027397260274</v>
      </c>
      <c r="T137">
        <f>D137*中国_中债国债到期收益率_1年!D136/365*100</f>
        <v>0</v>
      </c>
      <c r="U137">
        <f>E137*中国_中债国债到期收益率_1年!E136/365*100</f>
        <v>0</v>
      </c>
      <c r="V137">
        <f t="shared" si="35"/>
        <v>7.56027397260274</v>
      </c>
      <c r="W137" t="e">
        <f>SUM($V$3:V137)</f>
        <v>#NAME?</v>
      </c>
      <c r="X137">
        <f>MAX(F137-50,0)*中国_中债国债到期收益率_1年!H137*100/365</f>
        <v>0</v>
      </c>
      <c r="Y137">
        <f>SUM($X$3:X137)</f>
        <v>1107.91315068493</v>
      </c>
      <c r="Z137">
        <v>0</v>
      </c>
      <c r="AA137">
        <v>0</v>
      </c>
      <c r="AB137">
        <f>Z137*Return!F137*100</f>
        <v>0</v>
      </c>
      <c r="AC137">
        <f>AA137*Return!G137*100</f>
        <v>0</v>
      </c>
      <c r="AD137">
        <f>SUM($AB$3:AB137)+SUM($AC$3:AC137)</f>
        <v>2241.8</v>
      </c>
      <c r="AE137" t="e">
        <f t="shared" si="38"/>
        <v>#NAME?</v>
      </c>
      <c r="AF137" t="e">
        <f t="shared" si="39"/>
        <v>#NAME?</v>
      </c>
      <c r="AG137" s="5" t="e">
        <f>(AF137/AF136-1)-中国_中债国债到期收益率_1年!H137%/252</f>
        <v>#NAME?</v>
      </c>
      <c r="AH137" s="5" t="e">
        <f>MIN((AF137-MAX($AF$3:AF137))/MAX($AF$3:AF137),0)</f>
        <v>#NAME?</v>
      </c>
    </row>
    <row r="138" spans="1:34">
      <c r="A138" s="7">
        <v>44910</v>
      </c>
      <c r="B138">
        <v>0</v>
      </c>
      <c r="C138">
        <v>10</v>
      </c>
      <c r="D138">
        <v>0</v>
      </c>
      <c r="F138">
        <f t="shared" si="36"/>
        <v>10</v>
      </c>
      <c r="G138">
        <f t="shared" si="30"/>
        <v>0</v>
      </c>
      <c r="H138">
        <f t="shared" si="31"/>
        <v>50</v>
      </c>
      <c r="I138">
        <f t="shared" si="32"/>
        <v>0</v>
      </c>
      <c r="J138">
        <f t="shared" si="33"/>
        <v>0</v>
      </c>
      <c r="K138">
        <f t="shared" si="37"/>
        <v>50</v>
      </c>
      <c r="L138">
        <f>G138*Return!B138*100</f>
        <v>0</v>
      </c>
      <c r="M138">
        <f>H138*Return!C138*100</f>
        <v>313.5</v>
      </c>
      <c r="N138">
        <f>I138*Return!D138*100</f>
        <v>0</v>
      </c>
      <c r="O138">
        <f>J138*Return!E138*100</f>
        <v>0</v>
      </c>
      <c r="P138">
        <f t="shared" si="34"/>
        <v>313.5</v>
      </c>
      <c r="Q138" t="e">
        <f>SUM($P$3:P138)</f>
        <v>#NAME?</v>
      </c>
      <c r="R138">
        <f>B138*中国_中债国债到期收益率_1年!B137/365*100</f>
        <v>0</v>
      </c>
      <c r="S138">
        <f>C138*中国_中债国债到期收益率_1年!C137/365*100</f>
        <v>7.38849315068493</v>
      </c>
      <c r="T138">
        <f>D138*中国_中债国债到期收益率_1年!D137/365*100</f>
        <v>0</v>
      </c>
      <c r="U138">
        <f>E138*中国_中债国债到期收益率_1年!E137/365*100</f>
        <v>0</v>
      </c>
      <c r="V138">
        <f t="shared" si="35"/>
        <v>7.38849315068493</v>
      </c>
      <c r="W138" t="e">
        <f>SUM($V$3:V138)</f>
        <v>#NAME?</v>
      </c>
      <c r="X138">
        <f>MAX(F138-50,0)*中国_中债国债到期收益率_1年!H138*100/365</f>
        <v>0</v>
      </c>
      <c r="Y138">
        <f>SUM($X$3:X138)</f>
        <v>1107.91315068493</v>
      </c>
      <c r="Z138">
        <v>0</v>
      </c>
      <c r="AA138">
        <v>0</v>
      </c>
      <c r="AB138">
        <f>Z138*Return!F138*100</f>
        <v>0</v>
      </c>
      <c r="AC138">
        <f>AA138*Return!G138*100</f>
        <v>0</v>
      </c>
      <c r="AD138">
        <f>SUM($AB$3:AB138)+SUM($AC$3:AC138)</f>
        <v>2241.8</v>
      </c>
      <c r="AE138" t="e">
        <f t="shared" si="38"/>
        <v>#NAME?</v>
      </c>
      <c r="AF138" t="e">
        <f t="shared" si="39"/>
        <v>#NAME?</v>
      </c>
      <c r="AG138" s="5" t="e">
        <f>(AF138/AF137-1)-中国_中债国债到期收益率_1年!H138%/252</f>
        <v>#NAME?</v>
      </c>
      <c r="AH138" s="5" t="e">
        <f>MIN((AF138-MAX($AF$3:AF138))/MAX($AF$3:AF138),0)</f>
        <v>#NAME?</v>
      </c>
    </row>
    <row r="139" spans="1:34">
      <c r="A139" s="7">
        <v>44911</v>
      </c>
      <c r="B139">
        <v>0</v>
      </c>
      <c r="C139">
        <v>10</v>
      </c>
      <c r="D139">
        <v>0</v>
      </c>
      <c r="F139">
        <f t="shared" si="36"/>
        <v>10</v>
      </c>
      <c r="G139">
        <f t="shared" si="30"/>
        <v>0</v>
      </c>
      <c r="H139">
        <f t="shared" si="31"/>
        <v>50</v>
      </c>
      <c r="I139">
        <f t="shared" si="32"/>
        <v>0</v>
      </c>
      <c r="J139">
        <f t="shared" si="33"/>
        <v>0</v>
      </c>
      <c r="K139">
        <f t="shared" si="37"/>
        <v>50</v>
      </c>
      <c r="L139">
        <f>G139*Return!B139*100</f>
        <v>0</v>
      </c>
      <c r="M139">
        <f>H139*Return!C139*100</f>
        <v>-44.5000000000007</v>
      </c>
      <c r="N139">
        <f>I139*Return!D139*100</f>
        <v>0</v>
      </c>
      <c r="O139">
        <f>J139*Return!E139*100</f>
        <v>0</v>
      </c>
      <c r="P139">
        <f t="shared" si="34"/>
        <v>-44.5000000000007</v>
      </c>
      <c r="Q139" t="e">
        <f>SUM($P$3:P139)</f>
        <v>#NAME?</v>
      </c>
      <c r="R139">
        <f>B139*中国_中债国债到期收益率_1年!B138/365*100</f>
        <v>0</v>
      </c>
      <c r="S139">
        <f>C139*中国_中债国债到期收益率_1年!C138/365*100</f>
        <v>7.41287671232877</v>
      </c>
      <c r="T139">
        <f>D139*中国_中债国债到期收益率_1年!D138/365*100</f>
        <v>0</v>
      </c>
      <c r="U139">
        <f>E139*中国_中债国债到期收益率_1年!E138/365*100</f>
        <v>0</v>
      </c>
      <c r="V139">
        <f t="shared" si="35"/>
        <v>7.41287671232877</v>
      </c>
      <c r="W139" t="e">
        <f>SUM($V$3:V139)</f>
        <v>#NAME?</v>
      </c>
      <c r="X139">
        <f>MAX(F139-50,0)*中国_中债国债到期收益率_1年!H139*100/365</f>
        <v>0</v>
      </c>
      <c r="Y139">
        <f>SUM($X$3:X139)</f>
        <v>1107.91315068493</v>
      </c>
      <c r="Z139">
        <v>0</v>
      </c>
      <c r="AA139">
        <v>0</v>
      </c>
      <c r="AB139">
        <f>Z139*Return!F139*100</f>
        <v>0</v>
      </c>
      <c r="AC139">
        <f>AA139*Return!G139*100</f>
        <v>0</v>
      </c>
      <c r="AD139">
        <f>SUM($AB$3:AB139)+SUM($AC$3:AC139)</f>
        <v>2241.8</v>
      </c>
      <c r="AE139" t="e">
        <f t="shared" si="38"/>
        <v>#NAME?</v>
      </c>
      <c r="AF139" t="e">
        <f t="shared" si="39"/>
        <v>#NAME?</v>
      </c>
      <c r="AG139" s="5" t="e">
        <f>(AF139/AF138-1)-中国_中债国债到期收益率_1年!H139%/252</f>
        <v>#NAME?</v>
      </c>
      <c r="AH139" s="5" t="e">
        <f>MIN((AF139-MAX($AF$3:AF139))/MAX($AF$3:AF139),0)</f>
        <v>#NAME?</v>
      </c>
    </row>
    <row r="140" spans="1:34">
      <c r="A140" s="7">
        <v>44914</v>
      </c>
      <c r="B140">
        <v>0</v>
      </c>
      <c r="C140">
        <v>10</v>
      </c>
      <c r="D140">
        <v>0</v>
      </c>
      <c r="F140">
        <f t="shared" si="36"/>
        <v>10</v>
      </c>
      <c r="G140">
        <f t="shared" si="30"/>
        <v>0</v>
      </c>
      <c r="H140">
        <f t="shared" si="31"/>
        <v>50</v>
      </c>
      <c r="I140">
        <f t="shared" si="32"/>
        <v>0</v>
      </c>
      <c r="J140">
        <f t="shared" si="33"/>
        <v>0</v>
      </c>
      <c r="K140">
        <f t="shared" si="37"/>
        <v>50</v>
      </c>
      <c r="L140">
        <f>G140*Return!B140*100</f>
        <v>0</v>
      </c>
      <c r="M140">
        <f>H140*Return!C140*100</f>
        <v>2.50000000000083</v>
      </c>
      <c r="N140">
        <f>I140*Return!D140*100</f>
        <v>0</v>
      </c>
      <c r="O140">
        <f>J140*Return!E140*100</f>
        <v>0</v>
      </c>
      <c r="P140">
        <f t="shared" si="34"/>
        <v>2.50000000000083</v>
      </c>
      <c r="Q140" t="e">
        <f>SUM($P$3:P140)</f>
        <v>#NAME?</v>
      </c>
      <c r="R140">
        <f>B140*中国_中债国债到期收益率_1年!B139/365*100</f>
        <v>0</v>
      </c>
      <c r="S140">
        <f>C140*中国_中债国债到期收益率_1年!C139/365*100</f>
        <v>7.41150684931507</v>
      </c>
      <c r="T140">
        <f>D140*中国_中债国债到期收益率_1年!D139/365*100</f>
        <v>0</v>
      </c>
      <c r="U140">
        <f>E140*中国_中债国债到期收益率_1年!E139/365*100</f>
        <v>0</v>
      </c>
      <c r="V140">
        <f t="shared" si="35"/>
        <v>7.41150684931507</v>
      </c>
      <c r="W140" t="e">
        <f>SUM($V$3:V140)</f>
        <v>#NAME?</v>
      </c>
      <c r="X140">
        <f>MAX(F140-50,0)*中国_中债国债到期收益率_1年!H140*100/365</f>
        <v>0</v>
      </c>
      <c r="Y140">
        <f>SUM($X$3:X140)</f>
        <v>1107.91315068493</v>
      </c>
      <c r="Z140">
        <v>0</v>
      </c>
      <c r="AA140">
        <v>0</v>
      </c>
      <c r="AB140">
        <f>Z140*Return!F140*100</f>
        <v>0</v>
      </c>
      <c r="AC140">
        <f>AA140*Return!G140*100</f>
        <v>0</v>
      </c>
      <c r="AD140">
        <f>SUM($AB$3:AB140)+SUM($AC$3:AC140)</f>
        <v>2241.8</v>
      </c>
      <c r="AE140" t="e">
        <f t="shared" si="38"/>
        <v>#NAME?</v>
      </c>
      <c r="AF140" t="e">
        <f t="shared" si="39"/>
        <v>#NAME?</v>
      </c>
      <c r="AG140" s="5" t="e">
        <f>(AF140/AF139-1)-中国_中债国债到期收益率_1年!H140%/252</f>
        <v>#NAME?</v>
      </c>
      <c r="AH140" s="5" t="e">
        <f>MIN((AF140-MAX($AF$3:AF140))/MAX($AF$3:AF140),0)</f>
        <v>#NAME?</v>
      </c>
    </row>
    <row r="141" spans="1:34">
      <c r="A141" s="7">
        <v>44915</v>
      </c>
      <c r="B141">
        <v>0</v>
      </c>
      <c r="C141">
        <v>10</v>
      </c>
      <c r="D141">
        <v>0</v>
      </c>
      <c r="F141">
        <f t="shared" si="36"/>
        <v>10</v>
      </c>
      <c r="G141">
        <f t="shared" si="30"/>
        <v>0</v>
      </c>
      <c r="H141">
        <f t="shared" si="31"/>
        <v>50</v>
      </c>
      <c r="I141">
        <f t="shared" si="32"/>
        <v>0</v>
      </c>
      <c r="J141">
        <f t="shared" si="33"/>
        <v>0</v>
      </c>
      <c r="K141">
        <f t="shared" si="37"/>
        <v>50</v>
      </c>
      <c r="L141">
        <f>G141*Return!B141*100</f>
        <v>0</v>
      </c>
      <c r="M141">
        <f>H141*Return!C141*100</f>
        <v>173.5</v>
      </c>
      <c r="N141">
        <f>I141*Return!D141*100</f>
        <v>0</v>
      </c>
      <c r="O141">
        <f>J141*Return!E141*100</f>
        <v>0</v>
      </c>
      <c r="P141">
        <f t="shared" si="34"/>
        <v>173.5</v>
      </c>
      <c r="Q141" t="e">
        <f>SUM($P$3:P141)</f>
        <v>#NAME?</v>
      </c>
      <c r="R141">
        <f>B141*中国_中债国债到期收益率_1年!B140/365*100</f>
        <v>0</v>
      </c>
      <c r="S141">
        <f>C141*中国_中债国债到期收益率_1年!C140/365*100</f>
        <v>7.31643835616438</v>
      </c>
      <c r="T141">
        <f>D141*中国_中债国债到期收益率_1年!D140/365*100</f>
        <v>0</v>
      </c>
      <c r="U141">
        <f>E141*中国_中债国债到期收益率_1年!E140/365*100</f>
        <v>0</v>
      </c>
      <c r="V141">
        <f t="shared" si="35"/>
        <v>7.31643835616438</v>
      </c>
      <c r="W141" t="e">
        <f>SUM($V$3:V141)</f>
        <v>#NAME?</v>
      </c>
      <c r="X141">
        <f>MAX(F141-50,0)*中国_中债国债到期收益率_1年!H141*100/365</f>
        <v>0</v>
      </c>
      <c r="Y141">
        <f>SUM($X$3:X141)</f>
        <v>1107.91315068493</v>
      </c>
      <c r="Z141">
        <v>0</v>
      </c>
      <c r="AA141">
        <v>0</v>
      </c>
      <c r="AB141">
        <f>Z141*Return!F141*100</f>
        <v>0</v>
      </c>
      <c r="AC141">
        <f>AA141*Return!G141*100</f>
        <v>0</v>
      </c>
      <c r="AD141">
        <f>SUM($AB$3:AB141)+SUM($AC$3:AC141)</f>
        <v>2241.8</v>
      </c>
      <c r="AE141" t="e">
        <f t="shared" si="38"/>
        <v>#NAME?</v>
      </c>
      <c r="AF141" t="e">
        <f t="shared" si="39"/>
        <v>#NAME?</v>
      </c>
      <c r="AG141" s="5" t="e">
        <f>(AF141/AF140-1)-中国_中债国债到期收益率_1年!H141%/252</f>
        <v>#NAME?</v>
      </c>
      <c r="AH141" s="5" t="e">
        <f>MIN((AF141-MAX($AF$3:AF141))/MAX($AF$3:AF141),0)</f>
        <v>#NAME?</v>
      </c>
    </row>
    <row r="142" spans="1:34">
      <c r="A142" s="7">
        <v>44916</v>
      </c>
      <c r="B142">
        <v>0</v>
      </c>
      <c r="C142">
        <v>10</v>
      </c>
      <c r="D142">
        <v>0</v>
      </c>
      <c r="F142">
        <f t="shared" si="36"/>
        <v>10</v>
      </c>
      <c r="G142">
        <f t="shared" si="30"/>
        <v>0</v>
      </c>
      <c r="H142">
        <f t="shared" si="31"/>
        <v>50</v>
      </c>
      <c r="I142">
        <f t="shared" si="32"/>
        <v>0</v>
      </c>
      <c r="J142">
        <f t="shared" si="33"/>
        <v>0</v>
      </c>
      <c r="K142">
        <f t="shared" si="37"/>
        <v>50</v>
      </c>
      <c r="L142">
        <f>G142*Return!B142*100</f>
        <v>0</v>
      </c>
      <c r="M142">
        <f>H142*Return!C142*100</f>
        <v>-25.9999999999994</v>
      </c>
      <c r="N142">
        <f>I142*Return!D142*100</f>
        <v>0</v>
      </c>
      <c r="O142">
        <f>J142*Return!E142*100</f>
        <v>0</v>
      </c>
      <c r="P142">
        <f t="shared" si="34"/>
        <v>-25.9999999999994</v>
      </c>
      <c r="Q142" t="e">
        <f>SUM($P$3:P142)</f>
        <v>#NAME?</v>
      </c>
      <c r="R142">
        <f>B142*中国_中债国债到期收益率_1年!B141/365*100</f>
        <v>0</v>
      </c>
      <c r="S142">
        <f>C142*中国_中债国债到期收益率_1年!C141/365*100</f>
        <v>7.33068493150685</v>
      </c>
      <c r="T142">
        <f>D142*中国_中债国债到期收益率_1年!D141/365*100</f>
        <v>0</v>
      </c>
      <c r="U142">
        <f>E142*中国_中债国债到期收益率_1年!E141/365*100</f>
        <v>0</v>
      </c>
      <c r="V142">
        <f t="shared" si="35"/>
        <v>7.33068493150685</v>
      </c>
      <c r="W142" t="e">
        <f>SUM($V$3:V142)</f>
        <v>#NAME?</v>
      </c>
      <c r="X142">
        <f>MAX(F142-50,0)*中国_中债国债到期收益率_1年!H142*100/365</f>
        <v>0</v>
      </c>
      <c r="Y142">
        <f>SUM($X$3:X142)</f>
        <v>1107.91315068493</v>
      </c>
      <c r="Z142">
        <v>0</v>
      </c>
      <c r="AA142">
        <v>0</v>
      </c>
      <c r="AB142">
        <f>Z142*Return!F142*100</f>
        <v>0</v>
      </c>
      <c r="AC142">
        <f>AA142*Return!G142*100</f>
        <v>0</v>
      </c>
      <c r="AD142">
        <f>SUM($AB$3:AB142)+SUM($AC$3:AC142)</f>
        <v>2241.8</v>
      </c>
      <c r="AE142" t="e">
        <f t="shared" si="38"/>
        <v>#NAME?</v>
      </c>
      <c r="AF142" t="e">
        <f t="shared" si="39"/>
        <v>#NAME?</v>
      </c>
      <c r="AG142" s="5" t="e">
        <f>(AF142/AF141-1)-中国_中债国债到期收益率_1年!H142%/252</f>
        <v>#NAME?</v>
      </c>
      <c r="AH142" s="5" t="e">
        <f>MIN((AF142-MAX($AF$3:AF142))/MAX($AF$3:AF142),0)</f>
        <v>#NAME?</v>
      </c>
    </row>
    <row r="143" spans="1:34">
      <c r="A143" s="7">
        <v>44917</v>
      </c>
      <c r="B143">
        <v>0</v>
      </c>
      <c r="C143">
        <v>10</v>
      </c>
      <c r="D143">
        <v>0</v>
      </c>
      <c r="F143">
        <f t="shared" si="36"/>
        <v>10</v>
      </c>
      <c r="G143">
        <f t="shared" si="30"/>
        <v>0</v>
      </c>
      <c r="H143">
        <f t="shared" si="31"/>
        <v>50</v>
      </c>
      <c r="I143">
        <f t="shared" si="32"/>
        <v>0</v>
      </c>
      <c r="J143">
        <f t="shared" si="33"/>
        <v>0</v>
      </c>
      <c r="K143">
        <f t="shared" si="37"/>
        <v>50</v>
      </c>
      <c r="L143">
        <f>G143*Return!B143*100</f>
        <v>0</v>
      </c>
      <c r="M143">
        <f>H143*Return!C143*100</f>
        <v>72.4999999999998</v>
      </c>
      <c r="N143">
        <f>I143*Return!D143*100</f>
        <v>0</v>
      </c>
      <c r="O143">
        <f>J143*Return!E143*100</f>
        <v>0</v>
      </c>
      <c r="P143">
        <f t="shared" si="34"/>
        <v>72.4999999999998</v>
      </c>
      <c r="Q143" t="e">
        <f>SUM($P$3:P143)</f>
        <v>#NAME?</v>
      </c>
      <c r="R143">
        <f>B143*中国_中债国债到期收益率_1年!B142/365*100</f>
        <v>0</v>
      </c>
      <c r="S143">
        <f>C143*中国_中债国债到期收益率_1年!C142/365*100</f>
        <v>7.29095890410959</v>
      </c>
      <c r="T143">
        <f>D143*中国_中债国债到期收益率_1年!D142/365*100</f>
        <v>0</v>
      </c>
      <c r="U143">
        <f>E143*中国_中债国债到期收益率_1年!E142/365*100</f>
        <v>0</v>
      </c>
      <c r="V143">
        <f t="shared" si="35"/>
        <v>7.29095890410959</v>
      </c>
      <c r="W143" t="e">
        <f>SUM($V$3:V143)</f>
        <v>#NAME?</v>
      </c>
      <c r="X143">
        <f>MAX(F143-50,0)*中国_中债国债到期收益率_1年!H143*100/365</f>
        <v>0</v>
      </c>
      <c r="Y143">
        <f>SUM($X$3:X143)</f>
        <v>1107.91315068493</v>
      </c>
      <c r="Z143">
        <v>0</v>
      </c>
      <c r="AA143">
        <v>0</v>
      </c>
      <c r="AB143">
        <f>Z143*Return!F143*100</f>
        <v>0</v>
      </c>
      <c r="AC143">
        <f>AA143*Return!G143*100</f>
        <v>0</v>
      </c>
      <c r="AD143">
        <f>SUM($AB$3:AB143)+SUM($AC$3:AC143)</f>
        <v>2241.8</v>
      </c>
      <c r="AE143" t="e">
        <f t="shared" si="38"/>
        <v>#NAME?</v>
      </c>
      <c r="AF143" t="e">
        <f t="shared" si="39"/>
        <v>#NAME?</v>
      </c>
      <c r="AG143" s="5" t="e">
        <f>(AF143/AF142-1)-中国_中债国债到期收益率_1年!H143%/252</f>
        <v>#NAME?</v>
      </c>
      <c r="AH143" s="5" t="e">
        <f>MIN((AF143-MAX($AF$3:AF143))/MAX($AF$3:AF143),0)</f>
        <v>#NAME?</v>
      </c>
    </row>
    <row r="144" spans="1:34">
      <c r="A144" s="7">
        <v>44918</v>
      </c>
      <c r="B144">
        <v>0</v>
      </c>
      <c r="C144">
        <v>10</v>
      </c>
      <c r="D144">
        <v>0</v>
      </c>
      <c r="F144">
        <f t="shared" si="36"/>
        <v>10</v>
      </c>
      <c r="G144">
        <f t="shared" si="30"/>
        <v>0</v>
      </c>
      <c r="H144">
        <f t="shared" si="31"/>
        <v>50</v>
      </c>
      <c r="I144">
        <f t="shared" si="32"/>
        <v>0</v>
      </c>
      <c r="J144">
        <f t="shared" si="33"/>
        <v>0</v>
      </c>
      <c r="K144">
        <f t="shared" si="37"/>
        <v>50</v>
      </c>
      <c r="L144">
        <f>G144*Return!B144*100</f>
        <v>0</v>
      </c>
      <c r="M144">
        <f>H144*Return!C144*100</f>
        <v>98.0000000000003</v>
      </c>
      <c r="N144">
        <f>I144*Return!D144*100</f>
        <v>0</v>
      </c>
      <c r="O144">
        <f>J144*Return!E144*100</f>
        <v>0</v>
      </c>
      <c r="P144">
        <f t="shared" si="34"/>
        <v>98.0000000000003</v>
      </c>
      <c r="Q144" t="e">
        <f>SUM($P$3:P144)</f>
        <v>#NAME?</v>
      </c>
      <c r="R144">
        <f>B144*中国_中债国债到期收益率_1年!B143/365*100</f>
        <v>0</v>
      </c>
      <c r="S144">
        <f>C144*中国_中债国债到期收益率_1年!C143/365*100</f>
        <v>7.2372602739726</v>
      </c>
      <c r="T144">
        <f>D144*中国_中债国债到期收益率_1年!D143/365*100</f>
        <v>0</v>
      </c>
      <c r="U144">
        <f>E144*中国_中债国债到期收益率_1年!E143/365*100</f>
        <v>0</v>
      </c>
      <c r="V144">
        <f t="shared" si="35"/>
        <v>7.2372602739726</v>
      </c>
      <c r="W144" t="e">
        <f>SUM($V$3:V144)</f>
        <v>#NAME?</v>
      </c>
      <c r="X144">
        <f>MAX(F144-50,0)*中国_中债国债到期收益率_1年!H144*100/365</f>
        <v>0</v>
      </c>
      <c r="Y144">
        <f>SUM($X$3:X144)</f>
        <v>1107.91315068493</v>
      </c>
      <c r="Z144">
        <v>0</v>
      </c>
      <c r="AA144">
        <v>0</v>
      </c>
      <c r="AB144">
        <f>Z144*Return!F144*100</f>
        <v>0</v>
      </c>
      <c r="AC144">
        <f>AA144*Return!G144*100</f>
        <v>0</v>
      </c>
      <c r="AD144">
        <f>SUM($AB$3:AB144)+SUM($AC$3:AC144)</f>
        <v>2241.8</v>
      </c>
      <c r="AE144" t="e">
        <f t="shared" si="38"/>
        <v>#NAME?</v>
      </c>
      <c r="AF144" t="e">
        <f t="shared" si="39"/>
        <v>#NAME?</v>
      </c>
      <c r="AG144" s="5" t="e">
        <f>(AF144/AF143-1)-中国_中债国债到期收益率_1年!H144%/252</f>
        <v>#NAME?</v>
      </c>
      <c r="AH144" s="5" t="e">
        <f>MIN((AF144-MAX($AF$3:AF144))/MAX($AF$3:AF144),0)</f>
        <v>#NAME?</v>
      </c>
    </row>
    <row r="145" spans="1:34">
      <c r="A145" s="7">
        <v>44921</v>
      </c>
      <c r="B145">
        <v>0</v>
      </c>
      <c r="C145">
        <v>10</v>
      </c>
      <c r="D145">
        <v>0</v>
      </c>
      <c r="F145">
        <f t="shared" si="36"/>
        <v>10</v>
      </c>
      <c r="G145">
        <f t="shared" si="30"/>
        <v>0</v>
      </c>
      <c r="H145">
        <f t="shared" si="31"/>
        <v>50</v>
      </c>
      <c r="I145">
        <f t="shared" si="32"/>
        <v>0</v>
      </c>
      <c r="J145">
        <f t="shared" si="33"/>
        <v>0</v>
      </c>
      <c r="K145">
        <f t="shared" si="37"/>
        <v>50</v>
      </c>
      <c r="L145">
        <f>G145*Return!B145*100</f>
        <v>0</v>
      </c>
      <c r="M145">
        <f>H145*Return!C145*100</f>
        <v>177</v>
      </c>
      <c r="N145">
        <f>I145*Return!D145*100</f>
        <v>0</v>
      </c>
      <c r="O145">
        <f>J145*Return!E145*100</f>
        <v>0</v>
      </c>
      <c r="P145">
        <f t="shared" si="34"/>
        <v>177</v>
      </c>
      <c r="Q145" t="e">
        <f>SUM($P$3:P145)</f>
        <v>#NAME?</v>
      </c>
      <c r="R145">
        <f>B145*中国_中债国债到期收益率_1年!B144/365*100</f>
        <v>0</v>
      </c>
      <c r="S145">
        <f>C145*中国_中债国债到期收益率_1年!C144/365*100</f>
        <v>7.14027397260274</v>
      </c>
      <c r="T145">
        <f>D145*中国_中债国债到期收益率_1年!D144/365*100</f>
        <v>0</v>
      </c>
      <c r="U145">
        <f>E145*中国_中债国债到期收益率_1年!E144/365*100</f>
        <v>0</v>
      </c>
      <c r="V145">
        <f t="shared" si="35"/>
        <v>7.14027397260274</v>
      </c>
      <c r="W145" t="e">
        <f>SUM($V$3:V145)</f>
        <v>#NAME?</v>
      </c>
      <c r="X145">
        <f>MAX(F145-50,0)*中国_中债国债到期收益率_1年!H145*100/365</f>
        <v>0</v>
      </c>
      <c r="Y145">
        <f>SUM($X$3:X145)</f>
        <v>1107.91315068493</v>
      </c>
      <c r="Z145">
        <v>0</v>
      </c>
      <c r="AA145">
        <v>0</v>
      </c>
      <c r="AB145">
        <f>Z145*Return!F147*100</f>
        <v>0</v>
      </c>
      <c r="AC145">
        <f>AA145*Return!G147*100</f>
        <v>0</v>
      </c>
      <c r="AD145">
        <f>SUM($AB$3:AB145)+SUM($AC$3:AC145)</f>
        <v>2241.8</v>
      </c>
      <c r="AE145" t="e">
        <f t="shared" si="38"/>
        <v>#NAME?</v>
      </c>
      <c r="AF145" t="e">
        <f t="shared" si="39"/>
        <v>#NAME?</v>
      </c>
      <c r="AG145" s="5" t="e">
        <f>(AF145/AF144-1)-中国_中债国债到期收益率_1年!H145%/252</f>
        <v>#NAME?</v>
      </c>
      <c r="AH145" s="5" t="e">
        <f>MIN((AF145-MAX($AF$3:AF145))/MAX($AF$3:AF145),0)</f>
        <v>#NAME?</v>
      </c>
    </row>
    <row r="146" spans="1:34">
      <c r="A146" s="7">
        <v>44922</v>
      </c>
      <c r="B146">
        <v>0</v>
      </c>
      <c r="C146">
        <v>10</v>
      </c>
      <c r="D146">
        <v>0</v>
      </c>
      <c r="F146">
        <f t="shared" si="36"/>
        <v>10</v>
      </c>
      <c r="G146">
        <f t="shared" si="30"/>
        <v>0</v>
      </c>
      <c r="H146">
        <f t="shared" si="31"/>
        <v>50</v>
      </c>
      <c r="I146">
        <f t="shared" si="32"/>
        <v>0</v>
      </c>
      <c r="J146">
        <f t="shared" si="33"/>
        <v>0</v>
      </c>
      <c r="K146">
        <f t="shared" si="37"/>
        <v>50</v>
      </c>
      <c r="L146">
        <f>G146*Return!B146*100</f>
        <v>0</v>
      </c>
      <c r="M146">
        <f>H146*Return!C146*100</f>
        <v>-107.000000000002</v>
      </c>
      <c r="N146">
        <f>I146*Return!D146*100</f>
        <v>0</v>
      </c>
      <c r="O146">
        <f>J146*Return!E146*100</f>
        <v>0</v>
      </c>
      <c r="P146">
        <f t="shared" si="34"/>
        <v>-107.000000000002</v>
      </c>
      <c r="Q146" t="e">
        <f>SUM($P$3:P146)</f>
        <v>#NAME?</v>
      </c>
      <c r="R146">
        <f>B146*中国_中债国债到期收益率_1年!B145/365*100</f>
        <v>0</v>
      </c>
      <c r="S146">
        <f>C146*中国_中债国债到期收益率_1年!C145/365*100</f>
        <v>7.19890410958904</v>
      </c>
      <c r="T146">
        <f>D146*中国_中债国债到期收益率_1年!D145/365*100</f>
        <v>0</v>
      </c>
      <c r="U146">
        <f>E146*中国_中债国债到期收益率_1年!E145/365*100</f>
        <v>0</v>
      </c>
      <c r="V146">
        <f t="shared" si="35"/>
        <v>7.19890410958904</v>
      </c>
      <c r="W146" t="e">
        <f>SUM($V$3:V146)</f>
        <v>#NAME?</v>
      </c>
      <c r="X146">
        <f>MAX(F146-50,0)*中国_中债国债到期收益率_1年!H146*100/365</f>
        <v>0</v>
      </c>
      <c r="Y146">
        <f>SUM($X$3:X146)</f>
        <v>1107.91315068493</v>
      </c>
      <c r="Z146">
        <v>0</v>
      </c>
      <c r="AA146">
        <v>0</v>
      </c>
      <c r="AB146">
        <f>Z146*Return!F148*100</f>
        <v>0</v>
      </c>
      <c r="AC146">
        <f>AA146*Return!G148*100</f>
        <v>0</v>
      </c>
      <c r="AD146">
        <f>SUM($AB$3:AB146)+SUM($AC$3:AC146)</f>
        <v>2241.8</v>
      </c>
      <c r="AE146" t="e">
        <f t="shared" si="38"/>
        <v>#NAME?</v>
      </c>
      <c r="AF146" t="e">
        <f t="shared" si="39"/>
        <v>#NAME?</v>
      </c>
      <c r="AG146" s="5" t="e">
        <f>(AF146/AF145-1)-中国_中债国债到期收益率_1年!H146%/252</f>
        <v>#NAME?</v>
      </c>
      <c r="AH146" s="5" t="e">
        <f>MIN((AF146-MAX($AF$3:AF146))/MAX($AF$3:AF146),0)</f>
        <v>#NAME?</v>
      </c>
    </row>
    <row r="147" spans="1:34">
      <c r="A147" s="7">
        <v>44923</v>
      </c>
      <c r="B147">
        <v>0</v>
      </c>
      <c r="C147">
        <v>10</v>
      </c>
      <c r="D147">
        <v>0</v>
      </c>
      <c r="F147">
        <f t="shared" si="36"/>
        <v>10</v>
      </c>
      <c r="G147">
        <f t="shared" si="30"/>
        <v>0</v>
      </c>
      <c r="H147">
        <f t="shared" si="31"/>
        <v>50</v>
      </c>
      <c r="I147">
        <f t="shared" si="32"/>
        <v>0</v>
      </c>
      <c r="J147">
        <f t="shared" si="33"/>
        <v>0</v>
      </c>
      <c r="K147">
        <f t="shared" si="37"/>
        <v>50</v>
      </c>
      <c r="L147">
        <f>G147*Return!B147*100</f>
        <v>0</v>
      </c>
      <c r="M147">
        <f>H147*Return!C147*100</f>
        <v>-213.5</v>
      </c>
      <c r="N147">
        <f>I147*Return!D147*100</f>
        <v>0</v>
      </c>
      <c r="O147">
        <f>J147*Return!E147*100</f>
        <v>0</v>
      </c>
      <c r="P147">
        <f t="shared" si="34"/>
        <v>-213.5</v>
      </c>
      <c r="Q147" t="e">
        <f>SUM($P$3:P147)</f>
        <v>#NAME?</v>
      </c>
      <c r="R147">
        <f>B147*中国_中债国债到期收益率_1年!B146/365*100</f>
        <v>0</v>
      </c>
      <c r="S147">
        <f>C147*中国_中债国债到期收益率_1年!C146/365*100</f>
        <v>7.3158904109589</v>
      </c>
      <c r="T147">
        <f>D147*中国_中债国债到期收益率_1年!D146/365*100</f>
        <v>0</v>
      </c>
      <c r="U147">
        <f>E147*中国_中债国债到期收益率_1年!E146/365*100</f>
        <v>0</v>
      </c>
      <c r="V147">
        <f t="shared" si="35"/>
        <v>7.3158904109589</v>
      </c>
      <c r="W147" t="e">
        <f>SUM($V$3:V147)</f>
        <v>#NAME?</v>
      </c>
      <c r="X147">
        <f>MAX(F147-50,0)*中国_中债国债到期收益率_1年!H147*100/365</f>
        <v>0</v>
      </c>
      <c r="Y147">
        <f>SUM($X$3:X147)</f>
        <v>1107.91315068493</v>
      </c>
      <c r="Z147">
        <v>0</v>
      </c>
      <c r="AA147">
        <v>0</v>
      </c>
      <c r="AB147">
        <f>Z147*Return!F149*100</f>
        <v>0</v>
      </c>
      <c r="AC147">
        <f>AA147*Return!G149*100</f>
        <v>0</v>
      </c>
      <c r="AD147">
        <f>SUM($AB$3:AB147)+SUM($AC$3:AC147)</f>
        <v>2241.8</v>
      </c>
      <c r="AE147" t="e">
        <f t="shared" si="38"/>
        <v>#NAME?</v>
      </c>
      <c r="AF147" t="e">
        <f t="shared" si="39"/>
        <v>#NAME?</v>
      </c>
      <c r="AG147" s="5" t="e">
        <f>(AF147/AF146-1)-中国_中债国债到期收益率_1年!H147%/252</f>
        <v>#NAME?</v>
      </c>
      <c r="AH147" s="5" t="e">
        <f>MIN((AF147-MAX($AF$3:AF147))/MAX($AF$3:AF147),0)</f>
        <v>#NAME?</v>
      </c>
    </row>
    <row r="148" spans="1:34">
      <c r="A148" s="7">
        <v>44924</v>
      </c>
      <c r="B148">
        <v>10</v>
      </c>
      <c r="C148">
        <v>10</v>
      </c>
      <c r="D148">
        <v>0</v>
      </c>
      <c r="F148">
        <f t="shared" si="36"/>
        <v>20</v>
      </c>
      <c r="G148">
        <f t="shared" ref="G148:G211" si="40">B148</f>
        <v>10</v>
      </c>
      <c r="H148">
        <f t="shared" ref="H148:H211" si="41">5*C148</f>
        <v>50</v>
      </c>
      <c r="I148">
        <f t="shared" ref="I148:I211" si="42">9*D148</f>
        <v>0</v>
      </c>
      <c r="J148">
        <f t="shared" ref="J148:J211" si="43">16*E148</f>
        <v>0</v>
      </c>
      <c r="K148">
        <f t="shared" si="37"/>
        <v>60</v>
      </c>
      <c r="L148">
        <f>G148*Return!B148*100</f>
        <v>10.0000000000002</v>
      </c>
      <c r="M148">
        <f>H148*Return!C148*100</f>
        <v>-0.499999999998835</v>
      </c>
      <c r="N148">
        <f>I148*Return!D148*100</f>
        <v>0</v>
      </c>
      <c r="O148">
        <f>J148*Return!E148*100</f>
        <v>0</v>
      </c>
      <c r="P148">
        <f t="shared" ref="P148:P211" si="44">SUM(L148:O148)</f>
        <v>9.5000000000014</v>
      </c>
      <c r="Q148" t="e">
        <f>SUM($P$3:P148)</f>
        <v>#NAME?</v>
      </c>
      <c r="R148">
        <f>B148*中国_中债国债到期收益率_1年!B147/365*100</f>
        <v>6.12849315068493</v>
      </c>
      <c r="S148">
        <f>C148*中国_中债国债到期收益率_1年!C147/365*100</f>
        <v>7.31616438356164</v>
      </c>
      <c r="T148">
        <f>D148*中国_中债国债到期收益率_1年!D147/365*100</f>
        <v>0</v>
      </c>
      <c r="U148">
        <f>E148*中国_中债国债到期收益率_1年!E147/365*100</f>
        <v>0</v>
      </c>
      <c r="V148">
        <f t="shared" ref="V148:V211" si="45">SUM(R148:U148)</f>
        <v>13.4446575342466</v>
      </c>
      <c r="W148" t="e">
        <f>SUM($V$3:V148)</f>
        <v>#NAME?</v>
      </c>
      <c r="X148">
        <f>MAX(F148-50,0)*中国_中债国债到期收益率_1年!H148*100/365</f>
        <v>0</v>
      </c>
      <c r="Y148">
        <f>SUM($X$3:X148)</f>
        <v>1107.91315068493</v>
      </c>
      <c r="AB148">
        <f>Z148*Return!F152*100</f>
        <v>0</v>
      </c>
      <c r="AC148">
        <f>AA148*Return!G152*100</f>
        <v>0</v>
      </c>
      <c r="AD148">
        <f>SUM($AB$3:AB148)+SUM($AC$3:AC148)</f>
        <v>2241.8</v>
      </c>
      <c r="AE148" t="e">
        <f t="shared" si="38"/>
        <v>#NAME?</v>
      </c>
      <c r="AF148" t="e">
        <f t="shared" si="39"/>
        <v>#NAME?</v>
      </c>
      <c r="AG148" s="5" t="e">
        <f>(AF148/AF147-1)-中国_中债国债到期收益率_1年!H148%/252</f>
        <v>#NAME?</v>
      </c>
      <c r="AH148" s="5" t="e">
        <f>MIN((AF148-MAX($AF$3:AF148))/MAX($AF$3:AF148),0)</f>
        <v>#NAME?</v>
      </c>
    </row>
    <row r="149" spans="1:34">
      <c r="A149" s="7">
        <v>44925</v>
      </c>
      <c r="B149">
        <v>10</v>
      </c>
      <c r="C149">
        <v>10</v>
      </c>
      <c r="F149">
        <f t="shared" si="36"/>
        <v>20</v>
      </c>
      <c r="G149">
        <f t="shared" si="40"/>
        <v>10</v>
      </c>
      <c r="H149">
        <f t="shared" si="41"/>
        <v>50</v>
      </c>
      <c r="I149">
        <f t="shared" si="42"/>
        <v>0</v>
      </c>
      <c r="J149">
        <f t="shared" si="43"/>
        <v>0</v>
      </c>
      <c r="K149">
        <f t="shared" si="37"/>
        <v>60</v>
      </c>
      <c r="L149">
        <f>G149*Return!B149*100</f>
        <v>69.9999999999998</v>
      </c>
      <c r="M149">
        <f>H149*Return!C149*100</f>
        <v>161</v>
      </c>
      <c r="N149">
        <f>I149*Return!D149*100</f>
        <v>0</v>
      </c>
      <c r="O149">
        <f>J149*Return!E149*100</f>
        <v>0</v>
      </c>
      <c r="P149">
        <f t="shared" si="44"/>
        <v>231</v>
      </c>
      <c r="Q149" t="e">
        <f>SUM($P$3:P149)</f>
        <v>#NAME?</v>
      </c>
      <c r="R149">
        <f>B149*中国_中债国债到期收益率_1年!B148/365*100</f>
        <v>5.93671232876712</v>
      </c>
      <c r="S149">
        <f>C149*中国_中债国债到期收益率_1年!C148/365*100</f>
        <v>7.22794520547945</v>
      </c>
      <c r="T149">
        <f>D149*中国_中债国债到期收益率_1年!D148/365*100</f>
        <v>0</v>
      </c>
      <c r="U149">
        <f>E149*中国_中债国债到期收益率_1年!E148/365*100</f>
        <v>0</v>
      </c>
      <c r="V149">
        <f t="shared" si="45"/>
        <v>13.1646575342466</v>
      </c>
      <c r="W149" t="e">
        <f>SUM($V$3:V149)</f>
        <v>#NAME?</v>
      </c>
      <c r="X149">
        <f>MAX(F149-50,0)*中国_中债国债到期收益率_1年!H149*100/365</f>
        <v>0</v>
      </c>
      <c r="Y149">
        <f>SUM($X$3:X149)</f>
        <v>1107.91315068493</v>
      </c>
      <c r="AB149">
        <f>Z149*Return!F153*100</f>
        <v>0</v>
      </c>
      <c r="AC149">
        <f>AA149*Return!G153*100</f>
        <v>0</v>
      </c>
      <c r="AD149">
        <f>SUM($AB$3:AB149)+SUM($AC$3:AC149)</f>
        <v>2241.8</v>
      </c>
      <c r="AE149" t="e">
        <f t="shared" si="38"/>
        <v>#NAME?</v>
      </c>
      <c r="AF149" t="e">
        <f t="shared" si="39"/>
        <v>#NAME?</v>
      </c>
      <c r="AG149" s="5" t="e">
        <f>(AF149/AF148-1)-中国_中债国债到期收益率_1年!H149%/252</f>
        <v>#NAME?</v>
      </c>
      <c r="AH149" s="5" t="e">
        <f>MIN((AF149-MAX($AF$3:AF149))/MAX($AF$3:AF149),0)</f>
        <v>#NAME?</v>
      </c>
    </row>
    <row r="150" spans="1:34">
      <c r="A150" s="7">
        <v>44926</v>
      </c>
      <c r="B150">
        <v>10</v>
      </c>
      <c r="C150">
        <v>10</v>
      </c>
      <c r="F150">
        <f t="shared" si="36"/>
        <v>20</v>
      </c>
      <c r="G150">
        <f t="shared" si="40"/>
        <v>10</v>
      </c>
      <c r="H150">
        <f t="shared" si="41"/>
        <v>50</v>
      </c>
      <c r="I150">
        <f t="shared" si="42"/>
        <v>0</v>
      </c>
      <c r="J150">
        <f t="shared" si="43"/>
        <v>0</v>
      </c>
      <c r="K150">
        <f t="shared" si="37"/>
        <v>60</v>
      </c>
      <c r="L150">
        <f>G150*Return!B150*100</f>
        <v>69.9999999999998</v>
      </c>
      <c r="M150">
        <f>H150*Return!C150*100</f>
        <v>-32.0000000000009</v>
      </c>
      <c r="N150">
        <f>I150*Return!D150*100</f>
        <v>0</v>
      </c>
      <c r="O150">
        <f>J150*Return!E150*100</f>
        <v>0</v>
      </c>
      <c r="P150">
        <f t="shared" si="44"/>
        <v>37.9999999999989</v>
      </c>
      <c r="Q150" t="e">
        <f>SUM($P$3:P150)</f>
        <v>#NAME?</v>
      </c>
      <c r="R150">
        <f>B150*中国_中债国债到期收益率_1年!B149/365*100</f>
        <v>5.74493150684932</v>
      </c>
      <c r="S150">
        <f>C150*中国_中债国债到期收益率_1年!C149/365*100</f>
        <v>7.2454794520548</v>
      </c>
      <c r="T150">
        <f>D150*中国_中债国债到期收益率_1年!D149/365*100</f>
        <v>0</v>
      </c>
      <c r="U150">
        <f>E150*中国_中债国债到期收益率_1年!E149/365*100</f>
        <v>0</v>
      </c>
      <c r="V150">
        <f t="shared" si="45"/>
        <v>12.9904109589041</v>
      </c>
      <c r="W150" t="e">
        <f>SUM($V$3:V150)</f>
        <v>#NAME?</v>
      </c>
      <c r="X150">
        <f>MAX(F150-50,0)*中国_中债国债到期收益率_1年!H150*100/365</f>
        <v>0</v>
      </c>
      <c r="Y150">
        <f>SUM($X$3:X150)</f>
        <v>1107.91315068493</v>
      </c>
      <c r="AB150">
        <f>Z150*Return!F154*100</f>
        <v>0</v>
      </c>
      <c r="AC150">
        <f>AA150*Return!G154*100</f>
        <v>0</v>
      </c>
      <c r="AD150">
        <f>SUM($AB$3:AB150)+SUM($AC$3:AC150)</f>
        <v>2241.8</v>
      </c>
      <c r="AE150" t="e">
        <f t="shared" si="38"/>
        <v>#NAME?</v>
      </c>
      <c r="AF150" t="e">
        <f t="shared" si="39"/>
        <v>#NAME?</v>
      </c>
      <c r="AG150" s="5" t="e">
        <f>(AF150/AF149-1)-中国_中债国债到期收益率_1年!H150%/252</f>
        <v>#NAME?</v>
      </c>
      <c r="AH150" s="5" t="e">
        <f>MIN((AF150-MAX($AF$3:AF150))/MAX($AF$3:AF150),0)</f>
        <v>#NAME?</v>
      </c>
    </row>
    <row r="151" spans="1:34">
      <c r="A151" s="7">
        <v>44929</v>
      </c>
      <c r="B151">
        <v>30</v>
      </c>
      <c r="C151">
        <v>10</v>
      </c>
      <c r="F151">
        <f t="shared" si="36"/>
        <v>40</v>
      </c>
      <c r="G151">
        <f t="shared" si="40"/>
        <v>30</v>
      </c>
      <c r="H151">
        <f t="shared" si="41"/>
        <v>50</v>
      </c>
      <c r="I151">
        <f t="shared" si="42"/>
        <v>0</v>
      </c>
      <c r="J151">
        <f t="shared" si="43"/>
        <v>0</v>
      </c>
      <c r="K151">
        <f t="shared" si="37"/>
        <v>80</v>
      </c>
      <c r="L151">
        <f>G151*Return!B151*100</f>
        <v>0</v>
      </c>
      <c r="M151">
        <f>H151*Return!C151*100</f>
        <v>0</v>
      </c>
      <c r="N151">
        <f>I151*Return!D151*100</f>
        <v>0</v>
      </c>
      <c r="O151">
        <f>J151*Return!E151*100</f>
        <v>0</v>
      </c>
      <c r="P151">
        <f t="shared" si="44"/>
        <v>0</v>
      </c>
      <c r="Q151">
        <f>SUM($P$148:P151)</f>
        <v>278.5</v>
      </c>
      <c r="R151">
        <f>B151*中国_中债国债到期收益率_1年!B150/365*100</f>
        <v>17.2347945205479</v>
      </c>
      <c r="S151">
        <f>C151*中国_中债国债到期收益率_1年!C150/365*100</f>
        <v>7.2454794520548</v>
      </c>
      <c r="T151">
        <f>D151*中国_中债国债到期收益率_1年!D150/365*100</f>
        <v>0</v>
      </c>
      <c r="U151">
        <f>E151*中国_中债国债到期收益率_1年!E150/365*100</f>
        <v>0</v>
      </c>
      <c r="V151">
        <f t="shared" si="45"/>
        <v>24.4802739726027</v>
      </c>
      <c r="W151">
        <f>SUM($V$148:V151)</f>
        <v>64.08</v>
      </c>
      <c r="X151">
        <f>MAX(F151-50,0)*中国_中债国债到期收益率_1年!H151*100/365</f>
        <v>0</v>
      </c>
      <c r="Y151">
        <f>SUM($X$148:X151)</f>
        <v>0</v>
      </c>
      <c r="AB151">
        <f>Z151*Return!F155*100</f>
        <v>0</v>
      </c>
      <c r="AC151">
        <f>AA151*Return!G155*100</f>
        <v>0</v>
      </c>
      <c r="AD151">
        <f>SUM($AB$148:AB151)+SUM($AC$148:AC151)</f>
        <v>0</v>
      </c>
      <c r="AE151">
        <f t="shared" si="38"/>
        <v>342.58</v>
      </c>
      <c r="AF151">
        <f>AE151/$AI$1+1</f>
        <v>1.00068516</v>
      </c>
      <c r="AH151" s="5"/>
    </row>
    <row r="152" spans="1:34">
      <c r="A152" s="7">
        <v>44930</v>
      </c>
      <c r="B152">
        <v>30</v>
      </c>
      <c r="C152">
        <v>10</v>
      </c>
      <c r="F152">
        <f t="shared" si="36"/>
        <v>40</v>
      </c>
      <c r="G152">
        <f t="shared" si="40"/>
        <v>30</v>
      </c>
      <c r="H152">
        <f t="shared" si="41"/>
        <v>50</v>
      </c>
      <c r="I152">
        <f t="shared" si="42"/>
        <v>0</v>
      </c>
      <c r="J152">
        <f t="shared" si="43"/>
        <v>0</v>
      </c>
      <c r="K152">
        <f t="shared" si="37"/>
        <v>80</v>
      </c>
      <c r="L152">
        <f>G152*Return!B152*100</f>
        <v>-45.2999999999997</v>
      </c>
      <c r="M152">
        <f>H152*Return!C152*100</f>
        <v>74.0000000000007</v>
      </c>
      <c r="N152">
        <f>I152*Return!D152*100</f>
        <v>0</v>
      </c>
      <c r="O152">
        <f>J152*Return!E152*100</f>
        <v>0</v>
      </c>
      <c r="P152">
        <f t="shared" si="44"/>
        <v>28.7000000000011</v>
      </c>
      <c r="Q152">
        <f>SUM($P$148:P152)</f>
        <v>307.200000000001</v>
      </c>
      <c r="R152">
        <f>B152*中国_中债国债到期收益率_1年!B151/365*100</f>
        <v>17.358904109589</v>
      </c>
      <c r="S152">
        <f>C152*中国_中债国债到期收益率_1年!C151/365*100</f>
        <v>7.20493150684931</v>
      </c>
      <c r="T152">
        <f>D152*中国_中债国债到期收益率_1年!D151/365*100</f>
        <v>0</v>
      </c>
      <c r="U152">
        <f>E152*中国_中债国债到期收益率_1年!E151/365*100</f>
        <v>0</v>
      </c>
      <c r="V152">
        <f t="shared" si="45"/>
        <v>24.5638356164384</v>
      </c>
      <c r="W152">
        <f>SUM($V$148:V152)</f>
        <v>88.6438356164384</v>
      </c>
      <c r="X152">
        <f>MAX(F152-50,0)*中国_中债国债到期收益率_1年!H152*100/365</f>
        <v>0</v>
      </c>
      <c r="Y152">
        <f>SUM($X$148:X152)</f>
        <v>0</v>
      </c>
      <c r="AB152">
        <f>Z152*Return!F156*100</f>
        <v>0</v>
      </c>
      <c r="AC152">
        <f>AA152*Return!G156*100</f>
        <v>0</v>
      </c>
      <c r="AD152">
        <f>SUM($AB$148:AB152)+SUM($AC$148:AC152)</f>
        <v>0</v>
      </c>
      <c r="AE152">
        <f t="shared" si="38"/>
        <v>395.84383561644</v>
      </c>
      <c r="AF152">
        <f t="shared" si="39"/>
        <v>1.00079168767123</v>
      </c>
      <c r="AG152" s="5">
        <f>(AF152/AF151-1)-中国_中债国债到期收益率_1年!H152%/252</f>
        <v>3.8994415247999e-5</v>
      </c>
      <c r="AH152" s="5">
        <f>MIN((AF152-MAX($AF$151:AF152))/MAX($AF$151:AF152),0)</f>
        <v>0</v>
      </c>
    </row>
    <row r="153" spans="1:34">
      <c r="A153" s="7">
        <v>44931</v>
      </c>
      <c r="B153">
        <v>30</v>
      </c>
      <c r="C153">
        <v>10</v>
      </c>
      <c r="F153">
        <f t="shared" si="36"/>
        <v>40</v>
      </c>
      <c r="G153">
        <f t="shared" si="40"/>
        <v>30</v>
      </c>
      <c r="H153">
        <f t="shared" si="41"/>
        <v>50</v>
      </c>
      <c r="I153">
        <f t="shared" si="42"/>
        <v>0</v>
      </c>
      <c r="J153">
        <f t="shared" si="43"/>
        <v>0</v>
      </c>
      <c r="K153">
        <f t="shared" si="37"/>
        <v>80</v>
      </c>
      <c r="L153">
        <f>G153*Return!B153*100</f>
        <v>135</v>
      </c>
      <c r="M153">
        <f>H153*Return!C153*100</f>
        <v>113.5</v>
      </c>
      <c r="N153">
        <f>I153*Return!D153*100</f>
        <v>0</v>
      </c>
      <c r="O153">
        <f>J153*Return!E153*100</f>
        <v>0</v>
      </c>
      <c r="P153">
        <f t="shared" si="44"/>
        <v>248.499999999999</v>
      </c>
      <c r="Q153">
        <f>SUM($P$148:P153)</f>
        <v>555.700000000001</v>
      </c>
      <c r="R153">
        <f>B153*中国_中债国债到期收益率_1年!B152/365*100</f>
        <v>16.9890410958904</v>
      </c>
      <c r="S153">
        <f>C153*中国_中债国债到期收益率_1年!C152/365*100</f>
        <v>7.1427397260274</v>
      </c>
      <c r="T153">
        <f>D153*中国_中债国债到期收益率_1年!D152/365*100</f>
        <v>0</v>
      </c>
      <c r="U153">
        <f>E153*中国_中债国债到期收益率_1年!E152/365*100</f>
        <v>0</v>
      </c>
      <c r="V153">
        <f t="shared" si="45"/>
        <v>24.1317808219178</v>
      </c>
      <c r="W153">
        <f>SUM($V$148:V153)</f>
        <v>112.775616438356</v>
      </c>
      <c r="X153">
        <f>MAX(F153-50,0)*中国_中债国债到期收益率_1年!H153*100/365</f>
        <v>0</v>
      </c>
      <c r="Y153">
        <f>SUM($X$148:X153)</f>
        <v>0</v>
      </c>
      <c r="AB153">
        <f>Z153*Return!F157*100</f>
        <v>0</v>
      </c>
      <c r="AC153">
        <f>AA153*Return!G157*100</f>
        <v>0</v>
      </c>
      <c r="AD153">
        <f>SUM($AB$148:AB153)+SUM($AC$148:AC153)</f>
        <v>0</v>
      </c>
      <c r="AE153">
        <f t="shared" si="38"/>
        <v>668.475616438357</v>
      </c>
      <c r="AF153">
        <f t="shared" si="39"/>
        <v>1.00133695123288</v>
      </c>
      <c r="AG153" s="5">
        <f>(AF153/AF152-1)-中国_中债国债到期收益率_1年!H153%/252</f>
        <v>0.000477371907228279</v>
      </c>
      <c r="AH153" s="5">
        <f>MIN((AF153-MAX($AF$151:AF153))/MAX($AF$151:AF153),0)</f>
        <v>0</v>
      </c>
    </row>
    <row r="154" spans="1:34">
      <c r="A154" s="7">
        <v>44932</v>
      </c>
      <c r="B154">
        <v>40</v>
      </c>
      <c r="C154">
        <v>10</v>
      </c>
      <c r="F154">
        <f t="shared" si="36"/>
        <v>50</v>
      </c>
      <c r="G154">
        <f t="shared" si="40"/>
        <v>40</v>
      </c>
      <c r="H154">
        <f t="shared" si="41"/>
        <v>50</v>
      </c>
      <c r="I154">
        <f t="shared" si="42"/>
        <v>0</v>
      </c>
      <c r="J154">
        <f t="shared" si="43"/>
        <v>0</v>
      </c>
      <c r="K154">
        <f t="shared" si="37"/>
        <v>90</v>
      </c>
      <c r="L154">
        <f>G154*Return!B154*100</f>
        <v>-59.9999999999987</v>
      </c>
      <c r="M154">
        <f>H154*Return!C154*100</f>
        <v>-89.5000000000001</v>
      </c>
      <c r="N154">
        <f>I154*Return!D154*100</f>
        <v>0</v>
      </c>
      <c r="O154">
        <f>J154*Return!E154*100</f>
        <v>0</v>
      </c>
      <c r="P154">
        <f t="shared" si="44"/>
        <v>-149.499999999999</v>
      </c>
      <c r="Q154">
        <f>SUM($P$148:P154)</f>
        <v>406.200000000002</v>
      </c>
      <c r="R154">
        <f>B154*中国_中债国债到期收益率_1年!B153/365*100</f>
        <v>22.8164383561644</v>
      </c>
      <c r="S154">
        <f>C154*中国_中债国债到期收益率_1年!C153/365*100</f>
        <v>7.19178082191781</v>
      </c>
      <c r="T154">
        <f>D154*中国_中债国债到期收益率_1年!D153/365*100</f>
        <v>0</v>
      </c>
      <c r="U154">
        <f>E154*中国_中债国债到期收益率_1年!E153/365*100</f>
        <v>0</v>
      </c>
      <c r="V154">
        <f t="shared" si="45"/>
        <v>30.0082191780822</v>
      </c>
      <c r="W154">
        <f>SUM($V$148:V154)</f>
        <v>142.783835616438</v>
      </c>
      <c r="X154">
        <f>MAX(F154-50,0)*中国_中债国债到期收益率_1年!H154*100/365</f>
        <v>0</v>
      </c>
      <c r="Y154">
        <f>SUM($X$148:X154)</f>
        <v>0</v>
      </c>
      <c r="AA154">
        <v>-20</v>
      </c>
      <c r="AB154">
        <f>Z154*Return!F158*100</f>
        <v>0</v>
      </c>
      <c r="AC154">
        <f>AA154*Return!G158*100</f>
        <v>29.5999999999994</v>
      </c>
      <c r="AD154">
        <f>SUM($AB$148:AB154)+SUM($AC$148:AC154)</f>
        <v>29.5999999999994</v>
      </c>
      <c r="AE154">
        <f t="shared" si="38"/>
        <v>578.58383561644</v>
      </c>
      <c r="AF154">
        <f t="shared" si="39"/>
        <v>1.00115716767123</v>
      </c>
      <c r="AG154" s="5">
        <f>(AF154/AF153-1)-中国_中债国债到期收益率_1年!H154%/252</f>
        <v>-0.000248987965156811</v>
      </c>
      <c r="AH154" s="5">
        <f>MIN((AF154-MAX($AF$151:AF154))/MAX($AF$151:AF154),0)</f>
        <v>-0.000179543520712349</v>
      </c>
    </row>
    <row r="155" spans="1:34">
      <c r="A155" s="7">
        <v>44935</v>
      </c>
      <c r="B155">
        <v>40</v>
      </c>
      <c r="C155">
        <v>10</v>
      </c>
      <c r="F155">
        <f t="shared" si="36"/>
        <v>50</v>
      </c>
      <c r="G155">
        <f t="shared" si="40"/>
        <v>40</v>
      </c>
      <c r="H155">
        <f t="shared" si="41"/>
        <v>50</v>
      </c>
      <c r="I155">
        <f t="shared" si="42"/>
        <v>0</v>
      </c>
      <c r="J155">
        <f t="shared" si="43"/>
        <v>0</v>
      </c>
      <c r="K155">
        <f t="shared" si="37"/>
        <v>90</v>
      </c>
      <c r="L155">
        <f>G155*Return!B155*100</f>
        <v>-60.0000000000005</v>
      </c>
      <c r="M155">
        <f>H155*Return!C155*100</f>
        <v>-122.500000000001</v>
      </c>
      <c r="N155">
        <f>I155*Return!D155*100</f>
        <v>0</v>
      </c>
      <c r="O155">
        <f>J155*Return!E155*100</f>
        <v>0</v>
      </c>
      <c r="P155">
        <f t="shared" si="44"/>
        <v>-182.500000000001</v>
      </c>
      <c r="Q155">
        <f>SUM($P$148:P155)</f>
        <v>223.7</v>
      </c>
      <c r="R155">
        <f>B155*中国_中债国债到期收益率_1年!B154/365*100</f>
        <v>22.9808219178082</v>
      </c>
      <c r="S155">
        <f>C155*中国_中债国债到期收益率_1年!C154/365*100</f>
        <v>7.25890410958904</v>
      </c>
      <c r="T155">
        <f>D155*中国_中债国债到期收益率_1年!D154/365*100</f>
        <v>0</v>
      </c>
      <c r="U155">
        <f>E155*中国_中债国债到期收益率_1年!E154/365*100</f>
        <v>0</v>
      </c>
      <c r="V155">
        <f t="shared" si="45"/>
        <v>30.2397260273973</v>
      </c>
      <c r="W155">
        <f>SUM($V$148:V155)</f>
        <v>173.023561643836</v>
      </c>
      <c r="X155">
        <f>MAX(F155-50,0)*中国_中债国债到期收益率_1年!H155*100/365</f>
        <v>0</v>
      </c>
      <c r="Y155">
        <f>SUM($X$148:X155)</f>
        <v>0</v>
      </c>
      <c r="AA155">
        <v>-30</v>
      </c>
      <c r="AB155">
        <f>Z155*Return!F159*100</f>
        <v>0</v>
      </c>
      <c r="AC155">
        <f>AA155*Return!G159*100</f>
        <v>-34.4999999999995</v>
      </c>
      <c r="AD155">
        <f>SUM($AB$148:AB155)+SUM($AC$148:AC155)</f>
        <v>-4.90000000000013</v>
      </c>
      <c r="AE155">
        <f t="shared" si="38"/>
        <v>391.823561643836</v>
      </c>
      <c r="AF155">
        <f t="shared" si="39"/>
        <v>1.00078364712329</v>
      </c>
      <c r="AG155" s="5">
        <f>(AF155/AF154-1)-中国_中债国债到期收益率_1年!H155%/252</f>
        <v>-0.000446501520035157</v>
      </c>
      <c r="AH155" s="5">
        <f>MIN((AF155-MAX($AF$151:AF155))/MAX($AF$151:AF155),0)</f>
        <v>-0.000552565356654268</v>
      </c>
    </row>
    <row r="156" spans="1:34">
      <c r="A156" s="7">
        <v>44936</v>
      </c>
      <c r="B156">
        <v>40</v>
      </c>
      <c r="C156">
        <v>10</v>
      </c>
      <c r="F156">
        <f t="shared" si="36"/>
        <v>50</v>
      </c>
      <c r="G156">
        <f t="shared" si="40"/>
        <v>40</v>
      </c>
      <c r="H156">
        <f t="shared" si="41"/>
        <v>50</v>
      </c>
      <c r="I156">
        <f t="shared" si="42"/>
        <v>0</v>
      </c>
      <c r="J156">
        <f t="shared" si="43"/>
        <v>0</v>
      </c>
      <c r="K156">
        <f t="shared" si="37"/>
        <v>90</v>
      </c>
      <c r="L156">
        <f>G156*Return!B156*100</f>
        <v>-10.4000000000006</v>
      </c>
      <c r="M156">
        <f>H156*Return!C156*100</f>
        <v>-76.9999999999982</v>
      </c>
      <c r="N156">
        <f>I156*Return!D156*100</f>
        <v>0</v>
      </c>
      <c r="O156">
        <f>J156*Return!E156*100</f>
        <v>0</v>
      </c>
      <c r="P156">
        <f t="shared" si="44"/>
        <v>-87.3999999999988</v>
      </c>
      <c r="Q156">
        <f>SUM($P$148:P156)</f>
        <v>136.300000000002</v>
      </c>
      <c r="R156">
        <f>B156*中国_中债国债到期收益率_1年!B155/365*100</f>
        <v>23.0093150684932</v>
      </c>
      <c r="S156">
        <f>C156*中国_中债国债到期收益率_1年!C155/365*100</f>
        <v>7.30109589041096</v>
      </c>
      <c r="T156">
        <f>D156*中国_中债国债到期收益率_1年!D155/365*100</f>
        <v>0</v>
      </c>
      <c r="U156">
        <f>E156*中国_中债国债到期收益率_1年!E155/365*100</f>
        <v>0</v>
      </c>
      <c r="V156">
        <f t="shared" si="45"/>
        <v>30.3104109589041</v>
      </c>
      <c r="W156">
        <f>SUM($V$148:V156)</f>
        <v>203.33397260274</v>
      </c>
      <c r="X156">
        <f>MAX(F156-50,0)*中国_中债国债到期收益率_1年!H156*100/365</f>
        <v>0</v>
      </c>
      <c r="Y156">
        <f>SUM($X$148:X156)</f>
        <v>0</v>
      </c>
      <c r="AA156">
        <v>-50</v>
      </c>
      <c r="AB156">
        <f>Z156*Return!F160*100</f>
        <v>0</v>
      </c>
      <c r="AC156">
        <f>AA156*Return!G160*100</f>
        <v>122.500000000001</v>
      </c>
      <c r="AD156">
        <f>SUM($AB$148:AB156)+SUM($AC$148:AC156)</f>
        <v>117.600000000001</v>
      </c>
      <c r="AE156">
        <f t="shared" si="38"/>
        <v>457.233972602742</v>
      </c>
      <c r="AF156">
        <f t="shared" si="39"/>
        <v>1.00091446794521</v>
      </c>
      <c r="AG156" s="5">
        <f>(AF156/AF155-1)-中国_中债国债到期收益率_1年!H156%/252</f>
        <v>5.21469562603786e-5</v>
      </c>
      <c r="AH156" s="5">
        <f>MIN((AF156-MAX($AF$151:AF156))/MAX($AF$151:AF156),0)</f>
        <v>-0.000421919202273484</v>
      </c>
    </row>
    <row r="157" spans="1:34">
      <c r="A157" s="7">
        <v>44937</v>
      </c>
      <c r="B157">
        <v>40</v>
      </c>
      <c r="C157">
        <v>10</v>
      </c>
      <c r="F157">
        <f t="shared" si="36"/>
        <v>50</v>
      </c>
      <c r="G157">
        <f t="shared" si="40"/>
        <v>40</v>
      </c>
      <c r="H157">
        <f t="shared" si="41"/>
        <v>50</v>
      </c>
      <c r="I157">
        <f t="shared" si="42"/>
        <v>0</v>
      </c>
      <c r="J157">
        <f t="shared" si="43"/>
        <v>0</v>
      </c>
      <c r="K157">
        <f t="shared" si="37"/>
        <v>90</v>
      </c>
      <c r="L157">
        <f>G157*Return!B157*100</f>
        <v>-89.599999999999</v>
      </c>
      <c r="M157">
        <f>H157*Return!C157*100</f>
        <v>-227.5</v>
      </c>
      <c r="N157">
        <f>I157*Return!D157*100</f>
        <v>0</v>
      </c>
      <c r="O157">
        <f>J157*Return!E157*100</f>
        <v>0</v>
      </c>
      <c r="P157">
        <f t="shared" si="44"/>
        <v>-317.1</v>
      </c>
      <c r="Q157">
        <f>SUM($P$148:P157)</f>
        <v>-180.799999999998</v>
      </c>
      <c r="R157">
        <f>B157*中国_中债国债到期收益率_1年!B156/365*100</f>
        <v>23.2547945205479</v>
      </c>
      <c r="S157">
        <f>C157*中国_中债国债到期收益率_1年!C156/365*100</f>
        <v>7.42575342465753</v>
      </c>
      <c r="T157">
        <f>D157*中国_中债国债到期收益率_1年!D156/365*100</f>
        <v>0</v>
      </c>
      <c r="U157">
        <f>E157*中国_中债国债到期收益率_1年!E156/365*100</f>
        <v>0</v>
      </c>
      <c r="V157">
        <f t="shared" si="45"/>
        <v>30.6805479452055</v>
      </c>
      <c r="W157">
        <f>SUM($V$148:V157)</f>
        <v>234.014520547945</v>
      </c>
      <c r="X157">
        <f>MAX(F157-50,0)*中国_中债国债到期收益率_1年!H157*100/365</f>
        <v>0</v>
      </c>
      <c r="Y157">
        <f>SUM($X$148:X157)</f>
        <v>0</v>
      </c>
      <c r="AA157">
        <v>-50</v>
      </c>
      <c r="AB157">
        <f>Z157*Return!F161*100</f>
        <v>0</v>
      </c>
      <c r="AC157">
        <f>AA157*Return!G161*100</f>
        <v>279</v>
      </c>
      <c r="AD157">
        <f>SUM($AB$148:AB157)+SUM($AC$148:AC157)</f>
        <v>396.600000000001</v>
      </c>
      <c r="AE157">
        <f t="shared" si="38"/>
        <v>449.814520547949</v>
      </c>
      <c r="AF157">
        <f t="shared" si="39"/>
        <v>1.0008996290411</v>
      </c>
      <c r="AG157" s="5">
        <f>(AF157/AF156-1)-中国_中债国债到期收益率_1年!H157%/252</f>
        <v>-0.000106095188075144</v>
      </c>
      <c r="AH157" s="5">
        <f>MIN((AF157-MAX($AF$151:AF157))/MAX($AF$151:AF157),0)</f>
        <v>-0.00043673829398025</v>
      </c>
    </row>
    <row r="158" spans="1:34">
      <c r="A158" s="7">
        <v>44938</v>
      </c>
      <c r="B158">
        <v>40</v>
      </c>
      <c r="C158">
        <v>10</v>
      </c>
      <c r="F158">
        <f t="shared" si="36"/>
        <v>50</v>
      </c>
      <c r="G158">
        <f t="shared" si="40"/>
        <v>40</v>
      </c>
      <c r="H158">
        <f t="shared" si="41"/>
        <v>50</v>
      </c>
      <c r="I158">
        <f t="shared" si="42"/>
        <v>0</v>
      </c>
      <c r="J158">
        <f t="shared" si="43"/>
        <v>0</v>
      </c>
      <c r="K158">
        <f t="shared" si="37"/>
        <v>90</v>
      </c>
      <c r="L158">
        <f>G158*Return!B158*100</f>
        <v>-19.9999999999996</v>
      </c>
      <c r="M158">
        <f>H158*Return!C158*100</f>
        <v>57.4999999999992</v>
      </c>
      <c r="N158">
        <f>I158*Return!D158*100</f>
        <v>0</v>
      </c>
      <c r="O158">
        <f>J158*Return!E158*100</f>
        <v>0</v>
      </c>
      <c r="P158">
        <f t="shared" si="44"/>
        <v>37.4999999999996</v>
      </c>
      <c r="Q158">
        <f>SUM($P$148:P158)</f>
        <v>-143.299999999998</v>
      </c>
      <c r="R158">
        <f>B158*中国_中债国债到期收益率_1年!B157/365*100</f>
        <v>23.3095890410959</v>
      </c>
      <c r="S158">
        <f>C158*中国_中债国债到期收益率_1年!C157/365*100</f>
        <v>7.39424657534247</v>
      </c>
      <c r="T158">
        <f>D158*中国_中债国债到期收益率_1年!D157/365*100</f>
        <v>0</v>
      </c>
      <c r="U158">
        <f>E158*中国_中债国债到期收益率_1年!E157/365*100</f>
        <v>0</v>
      </c>
      <c r="V158">
        <f t="shared" si="45"/>
        <v>30.7038356164384</v>
      </c>
      <c r="W158">
        <f>SUM($V$148:V158)</f>
        <v>264.718356164384</v>
      </c>
      <c r="X158">
        <f>MAX(F158-50,0)*中国_中债国债到期收益率_1年!H158*100/365</f>
        <v>0</v>
      </c>
      <c r="Y158">
        <f>SUM($X$148:X158)</f>
        <v>0</v>
      </c>
      <c r="AA158">
        <v>-50</v>
      </c>
      <c r="AB158">
        <f>Z158*Return!F162*100</f>
        <v>0</v>
      </c>
      <c r="AC158">
        <f>AA158*Return!G162*100</f>
        <v>-9.00000000000123</v>
      </c>
      <c r="AD158">
        <f>SUM($AB$148:AB158)+SUM($AC$148:AC158)</f>
        <v>387.6</v>
      </c>
      <c r="AE158">
        <f t="shared" si="38"/>
        <v>509.018356164385</v>
      </c>
      <c r="AF158">
        <f t="shared" si="39"/>
        <v>1.00101803671233</v>
      </c>
      <c r="AG158" s="5">
        <f>(AF158/AF157-1)-中国_中债国债到期收益率_1年!H158%/252</f>
        <v>3.0999656696444e-5</v>
      </c>
      <c r="AH158" s="5">
        <f>MIN((AF158-MAX($AF$151:AF158))/MAX($AF$151:AF158),0)</f>
        <v>-0.000318488716665594</v>
      </c>
    </row>
    <row r="159" spans="1:34">
      <c r="A159" s="7">
        <v>44939</v>
      </c>
      <c r="B159">
        <v>40</v>
      </c>
      <c r="C159">
        <v>10</v>
      </c>
      <c r="F159">
        <f t="shared" si="36"/>
        <v>50</v>
      </c>
      <c r="G159">
        <f t="shared" si="40"/>
        <v>40</v>
      </c>
      <c r="H159">
        <f t="shared" si="41"/>
        <v>50</v>
      </c>
      <c r="I159">
        <f t="shared" si="42"/>
        <v>0</v>
      </c>
      <c r="J159">
        <f t="shared" si="43"/>
        <v>0</v>
      </c>
      <c r="K159">
        <f t="shared" si="37"/>
        <v>90</v>
      </c>
      <c r="L159">
        <f>G159*Return!B159*100</f>
        <v>119.999999999999</v>
      </c>
      <c r="M159">
        <f>H159*Return!C159*100</f>
        <v>7.50000000000028</v>
      </c>
      <c r="N159">
        <f>I159*Return!D159*100</f>
        <v>0</v>
      </c>
      <c r="O159">
        <f>J159*Return!E159*100</f>
        <v>0</v>
      </c>
      <c r="P159">
        <f t="shared" si="44"/>
        <v>127.5</v>
      </c>
      <c r="Q159">
        <f>SUM($P$148:P159)</f>
        <v>-15.7999999999987</v>
      </c>
      <c r="R159">
        <f>B159*中国_中债国债到期收益率_1年!B158/365*100</f>
        <v>22.9808219178082</v>
      </c>
      <c r="S159">
        <f>C159*中国_中债国债到期收益率_1年!C158/365*100</f>
        <v>7.39013698630137</v>
      </c>
      <c r="T159">
        <f>D159*中国_中债国债到期收益率_1年!D158/365*100</f>
        <v>0</v>
      </c>
      <c r="U159">
        <f>E159*中国_中债国债到期收益率_1年!E158/365*100</f>
        <v>0</v>
      </c>
      <c r="V159">
        <f t="shared" si="45"/>
        <v>30.3709589041096</v>
      </c>
      <c r="W159">
        <f>SUM($V$148:V159)</f>
        <v>295.089315068493</v>
      </c>
      <c r="X159">
        <f>MAX(F159-50,0)*中国_中债国债到期收益率_1年!H159*100/365</f>
        <v>0</v>
      </c>
      <c r="Y159">
        <f>SUM($X$148:X159)</f>
        <v>0</v>
      </c>
      <c r="AA159">
        <v>-50</v>
      </c>
      <c r="AB159">
        <f>Z159*Return!F163*100</f>
        <v>0</v>
      </c>
      <c r="AC159">
        <f>AA159*Return!G163*100</f>
        <v>-40</v>
      </c>
      <c r="AD159">
        <f>SUM($AB$148:AB159)+SUM($AC$148:AC159)</f>
        <v>347.6</v>
      </c>
      <c r="AE159">
        <f t="shared" si="38"/>
        <v>626.889315068494</v>
      </c>
      <c r="AF159">
        <f t="shared" si="39"/>
        <v>1.00125377863014</v>
      </c>
      <c r="AG159" s="5">
        <f>(AF159/AF158-1)-中国_中债国债到期收益率_1年!H159%/252</f>
        <v>0.000158121215574474</v>
      </c>
      <c r="AH159" s="5">
        <f>MIN((AF159-MAX($AF$151:AF159))/MAX($AF$151:AF159),0)</f>
        <v>-8.30615534933641e-5</v>
      </c>
    </row>
    <row r="160" spans="1:34">
      <c r="A160" s="7">
        <v>44942</v>
      </c>
      <c r="B160">
        <v>40</v>
      </c>
      <c r="C160">
        <v>10</v>
      </c>
      <c r="F160">
        <f t="shared" si="36"/>
        <v>50</v>
      </c>
      <c r="G160">
        <f t="shared" si="40"/>
        <v>40</v>
      </c>
      <c r="H160">
        <f t="shared" si="41"/>
        <v>50</v>
      </c>
      <c r="I160">
        <f t="shared" si="42"/>
        <v>0</v>
      </c>
      <c r="J160">
        <f t="shared" si="43"/>
        <v>0</v>
      </c>
      <c r="K160">
        <f t="shared" si="37"/>
        <v>90</v>
      </c>
      <c r="L160">
        <f>G160*Return!B160*100</f>
        <v>0</v>
      </c>
      <c r="M160">
        <f>H160*Return!C160*100</f>
        <v>-60.9999999999999</v>
      </c>
      <c r="N160">
        <f>I160*Return!D160*100</f>
        <v>0</v>
      </c>
      <c r="O160">
        <f>J160*Return!E160*100</f>
        <v>0</v>
      </c>
      <c r="P160">
        <f t="shared" si="44"/>
        <v>-60.9999999999999</v>
      </c>
      <c r="Q160">
        <f>SUM($P$148:P160)</f>
        <v>-76.7999999999987</v>
      </c>
      <c r="R160">
        <f>B160*中国_中债国债到期收益率_1年!B159/365*100</f>
        <v>22.9808219178082</v>
      </c>
      <c r="S160">
        <f>C160*中国_中债国债到期收益率_1年!C159/365*100</f>
        <v>7.42356164383562</v>
      </c>
      <c r="T160">
        <f>D160*中国_中债国债到期收益率_1年!D159/365*100</f>
        <v>0</v>
      </c>
      <c r="U160">
        <f>E160*中国_中债国债到期收益率_1年!E159/365*100</f>
        <v>0</v>
      </c>
      <c r="V160">
        <f t="shared" si="45"/>
        <v>30.4043835616438</v>
      </c>
      <c r="W160">
        <f>SUM($V$148:V160)</f>
        <v>325.493698630137</v>
      </c>
      <c r="X160">
        <f>MAX(F160-50,0)*中国_中债国债到期收益率_1年!H160*100/365</f>
        <v>0</v>
      </c>
      <c r="Y160">
        <f>SUM($X$148:X160)</f>
        <v>0</v>
      </c>
      <c r="AA160">
        <v>-20</v>
      </c>
      <c r="AB160">
        <f>Z160*Return!F164*100</f>
        <v>0</v>
      </c>
      <c r="AC160">
        <f>AA160*Return!G164*100</f>
        <v>49.8000000000003</v>
      </c>
      <c r="AD160">
        <f>SUM($AB$148:AB160)+SUM($AC$148:AC160)</f>
        <v>397.4</v>
      </c>
      <c r="AE160">
        <f t="shared" si="38"/>
        <v>646.093698630139</v>
      </c>
      <c r="AF160">
        <f t="shared" si="39"/>
        <v>1.00129218739726</v>
      </c>
      <c r="AG160" s="5">
        <f>(AF160/AF159-1)-中国_中债国债到期收益率_1年!H160%/252</f>
        <v>-4.6956788984234e-5</v>
      </c>
      <c r="AH160" s="5">
        <f>MIN((AF160-MAX($AF$151:AF160))/MAX($AF$151:AF160),0)</f>
        <v>-4.47040684570299e-5</v>
      </c>
    </row>
    <row r="161" spans="1:34">
      <c r="A161" s="7">
        <v>44943</v>
      </c>
      <c r="B161">
        <v>40</v>
      </c>
      <c r="C161">
        <v>10</v>
      </c>
      <c r="F161">
        <f t="shared" si="36"/>
        <v>50</v>
      </c>
      <c r="G161">
        <f t="shared" si="40"/>
        <v>40</v>
      </c>
      <c r="H161">
        <f t="shared" si="41"/>
        <v>50</v>
      </c>
      <c r="I161">
        <f t="shared" si="42"/>
        <v>0</v>
      </c>
      <c r="J161">
        <f t="shared" si="43"/>
        <v>0</v>
      </c>
      <c r="K161">
        <f t="shared" si="37"/>
        <v>90</v>
      </c>
      <c r="L161">
        <f>G161*Return!B161*100</f>
        <v>-119.999999999999</v>
      </c>
      <c r="M161">
        <f>H161*Return!C161*100</f>
        <v>-237.499999999999</v>
      </c>
      <c r="N161">
        <f>I161*Return!D161*100</f>
        <v>0</v>
      </c>
      <c r="O161">
        <f>J161*Return!E161*100</f>
        <v>0</v>
      </c>
      <c r="P161">
        <f t="shared" si="44"/>
        <v>-357.499999999999</v>
      </c>
      <c r="Q161">
        <f>SUM($P$148:P161)</f>
        <v>-434.299999999997</v>
      </c>
      <c r="R161">
        <f>B161*中国_中债国债到期收益率_1年!B160/365*100</f>
        <v>23.3095890410959</v>
      </c>
      <c r="S161">
        <f>C161*中国_中债国债到期收益率_1年!C160/365*100</f>
        <v>7.55369863013699</v>
      </c>
      <c r="T161">
        <f>D161*中国_中债国债到期收益率_1年!D160/365*100</f>
        <v>0</v>
      </c>
      <c r="U161">
        <f>E161*中国_中债国债到期收益率_1年!E160/365*100</f>
        <v>0</v>
      </c>
      <c r="V161">
        <f t="shared" si="45"/>
        <v>30.8632876712329</v>
      </c>
      <c r="W161">
        <f>SUM($V$148:V161)</f>
        <v>356.35698630137</v>
      </c>
      <c r="X161">
        <f>MAX(F161-50,0)*中国_中债国债到期收益率_1年!H161*100/365</f>
        <v>0</v>
      </c>
      <c r="Y161">
        <f>SUM($X$148:X161)</f>
        <v>0</v>
      </c>
      <c r="AA161">
        <v>-20</v>
      </c>
      <c r="AB161">
        <f>Z161*Return!F165*100</f>
        <v>0</v>
      </c>
      <c r="AC161">
        <f>AA161*Return!G165*100</f>
        <v>-11.4000000000001</v>
      </c>
      <c r="AD161">
        <f>SUM($AB$148:AB161)+SUM($AC$148:AC161)</f>
        <v>386</v>
      </c>
      <c r="AE161">
        <f t="shared" si="38"/>
        <v>308.056986301373</v>
      </c>
      <c r="AF161">
        <f t="shared" si="39"/>
        <v>1.0006161139726</v>
      </c>
      <c r="AG161" s="5">
        <f>(AF161/AF160-1)-中国_中债国债到期收益率_1年!H161%/252</f>
        <v>-0.000778375541688856</v>
      </c>
      <c r="AH161" s="5">
        <f>MIN((AF161-MAX($AF$151:AF161))/MAX($AF$151:AF161),0)</f>
        <v>-0.000719874822742272</v>
      </c>
    </row>
    <row r="162" spans="1:34">
      <c r="A162" s="7">
        <v>44944</v>
      </c>
      <c r="B162">
        <v>40</v>
      </c>
      <c r="C162">
        <v>10</v>
      </c>
      <c r="F162">
        <f t="shared" si="36"/>
        <v>50</v>
      </c>
      <c r="G162">
        <f t="shared" si="40"/>
        <v>40</v>
      </c>
      <c r="H162">
        <f t="shared" si="41"/>
        <v>50</v>
      </c>
      <c r="I162">
        <f t="shared" si="42"/>
        <v>0</v>
      </c>
      <c r="J162">
        <f t="shared" si="43"/>
        <v>0</v>
      </c>
      <c r="K162">
        <f t="shared" si="37"/>
        <v>90</v>
      </c>
      <c r="L162">
        <f>G162*Return!B162*100</f>
        <v>0</v>
      </c>
      <c r="M162">
        <f>H162*Return!C162*100</f>
        <v>112.5</v>
      </c>
      <c r="N162">
        <f>I162*Return!D162*100</f>
        <v>0</v>
      </c>
      <c r="O162">
        <f>J162*Return!E162*100</f>
        <v>0</v>
      </c>
      <c r="P162">
        <f t="shared" si="44"/>
        <v>112.5</v>
      </c>
      <c r="Q162">
        <f>SUM($P$148:P162)</f>
        <v>-321.799999999997</v>
      </c>
      <c r="R162">
        <f>B162*中国_中债国债到期收益率_1年!B161/365*100</f>
        <v>23.3095890410959</v>
      </c>
      <c r="S162">
        <f>C162*中国_中债国债到期收益率_1年!C161/365*100</f>
        <v>7.49205479452055</v>
      </c>
      <c r="T162">
        <f>D162*中国_中债国债到期收益率_1年!D161/365*100</f>
        <v>0</v>
      </c>
      <c r="U162">
        <f>E162*中国_中债国债到期收益率_1年!E161/365*100</f>
        <v>0</v>
      </c>
      <c r="V162">
        <f t="shared" si="45"/>
        <v>30.8016438356164</v>
      </c>
      <c r="W162">
        <f>SUM($V$148:V162)</f>
        <v>387.158630136986</v>
      </c>
      <c r="X162">
        <f>MAX(F162-50,0)*中国_中债国债到期收益率_1年!H162*100/365</f>
        <v>0</v>
      </c>
      <c r="Y162">
        <f>SUM($X$148:X162)</f>
        <v>0</v>
      </c>
      <c r="AA162">
        <v>-20</v>
      </c>
      <c r="AB162">
        <f>Z162*Return!F166*100</f>
        <v>0</v>
      </c>
      <c r="AC162">
        <f>AA162*Return!G166*100</f>
        <v>73.5999999999999</v>
      </c>
      <c r="AD162">
        <f>SUM($AB$148:AB162)+SUM($AC$148:AC162)</f>
        <v>459.6</v>
      </c>
      <c r="AE162">
        <f t="shared" si="38"/>
        <v>524.958630136989</v>
      </c>
      <c r="AF162">
        <f t="shared" si="39"/>
        <v>1.00104991726027</v>
      </c>
      <c r="AG162" s="5">
        <f>(AF162/AF161-1)-中国_中债国债到期收益率_1年!H162%/252</f>
        <v>0.000330361576798612</v>
      </c>
      <c r="AH162" s="5">
        <f>MIN((AF162-MAX($AF$151:AF162))/MAX($AF$151:AF162),0)</f>
        <v>-0.000286650734549696</v>
      </c>
    </row>
    <row r="163" spans="1:34">
      <c r="A163" s="7">
        <v>44945</v>
      </c>
      <c r="B163">
        <v>40</v>
      </c>
      <c r="C163">
        <v>10</v>
      </c>
      <c r="F163">
        <f t="shared" si="36"/>
        <v>50</v>
      </c>
      <c r="G163">
        <f t="shared" si="40"/>
        <v>40</v>
      </c>
      <c r="H163">
        <f t="shared" si="41"/>
        <v>50</v>
      </c>
      <c r="I163">
        <f t="shared" si="42"/>
        <v>0</v>
      </c>
      <c r="J163">
        <f t="shared" si="43"/>
        <v>0</v>
      </c>
      <c r="K163">
        <f t="shared" si="37"/>
        <v>90</v>
      </c>
      <c r="L163">
        <f>G163*Return!B163*100</f>
        <v>-138.000000000002</v>
      </c>
      <c r="M163">
        <f>H163*Return!C163*100</f>
        <v>44.5000000000007</v>
      </c>
      <c r="N163">
        <f>I163*Return!D163*100</f>
        <v>0</v>
      </c>
      <c r="O163">
        <f>J163*Return!E163*100</f>
        <v>0</v>
      </c>
      <c r="P163">
        <f t="shared" si="44"/>
        <v>-93.500000000001</v>
      </c>
      <c r="Q163">
        <f>SUM($P$148:P163)</f>
        <v>-415.299999999998</v>
      </c>
      <c r="R163">
        <f>B163*中国_中债国债到期收益率_1年!B162/365*100</f>
        <v>23.6876712328767</v>
      </c>
      <c r="S163">
        <f>C163*中国_中债国债到期收益率_1年!C162/365*100</f>
        <v>7.46767123287671</v>
      </c>
      <c r="T163">
        <f>D163*中国_中债国债到期收益率_1年!D162/365*100</f>
        <v>0</v>
      </c>
      <c r="U163">
        <f>E163*中国_中债国债到期收益率_1年!E162/365*100</f>
        <v>0</v>
      </c>
      <c r="V163">
        <f t="shared" si="45"/>
        <v>31.1553424657534</v>
      </c>
      <c r="W163">
        <f>SUM($V$148:V163)</f>
        <v>418.31397260274</v>
      </c>
      <c r="X163">
        <f>MAX(F163-50,0)*中国_中债国债到期收益率_1年!H163*100/365</f>
        <v>0</v>
      </c>
      <c r="Y163">
        <f>SUM($X$148:X163)</f>
        <v>0</v>
      </c>
      <c r="AB163">
        <f>Z163*Return!F167*100</f>
        <v>0</v>
      </c>
      <c r="AC163">
        <f>AA163*Return!G167*100</f>
        <v>0</v>
      </c>
      <c r="AD163">
        <f>SUM($AB$148:AB163)+SUM($AC$148:AC163)</f>
        <v>459.6</v>
      </c>
      <c r="AE163">
        <f t="shared" si="38"/>
        <v>462.613972602741</v>
      </c>
      <c r="AF163">
        <f t="shared" si="39"/>
        <v>1.00092522794521</v>
      </c>
      <c r="AG163" s="5">
        <f>(AF163/AF162-1)-中国_中债国债到期收益率_1年!H163%/252</f>
        <v>-0.000219796634146788</v>
      </c>
      <c r="AH163" s="5">
        <f>MIN((AF163-MAX($AF$151:AF163))/MAX($AF$151:AF163),0)</f>
        <v>-0.000411173568661702</v>
      </c>
    </row>
    <row r="164" spans="1:34">
      <c r="A164" s="7">
        <v>44946</v>
      </c>
      <c r="B164">
        <v>40</v>
      </c>
      <c r="C164">
        <v>10</v>
      </c>
      <c r="F164">
        <f t="shared" si="36"/>
        <v>50</v>
      </c>
      <c r="G164">
        <f t="shared" si="40"/>
        <v>40</v>
      </c>
      <c r="H164">
        <f t="shared" si="41"/>
        <v>50</v>
      </c>
      <c r="I164">
        <f t="shared" si="42"/>
        <v>0</v>
      </c>
      <c r="J164">
        <f t="shared" si="43"/>
        <v>0</v>
      </c>
      <c r="K164">
        <f t="shared" si="37"/>
        <v>90</v>
      </c>
      <c r="L164">
        <f>G164*Return!B164*100</f>
        <v>-24.799999999999</v>
      </c>
      <c r="M164">
        <f>H164*Return!C164*100</f>
        <v>23.4999999999985</v>
      </c>
      <c r="N164">
        <f>I164*Return!D164*100</f>
        <v>0</v>
      </c>
      <c r="O164">
        <f>J164*Return!E164*100</f>
        <v>0</v>
      </c>
      <c r="P164">
        <f t="shared" si="44"/>
        <v>-1.30000000000052</v>
      </c>
      <c r="Q164">
        <f>SUM($P$148:P164)</f>
        <v>-416.599999999999</v>
      </c>
      <c r="R164">
        <f>B164*中国_中债国债到期收益率_1年!B163/365*100</f>
        <v>23.7556164383562</v>
      </c>
      <c r="S164">
        <f>C164*中国_中债国债到期收益率_1年!C163/365*100</f>
        <v>7.45479452054795</v>
      </c>
      <c r="T164">
        <f>D164*中国_中债国债到期收益率_1年!D163/365*100</f>
        <v>0</v>
      </c>
      <c r="U164">
        <f>E164*中国_中债国债到期收益率_1年!E163/365*100</f>
        <v>0</v>
      </c>
      <c r="V164">
        <f t="shared" si="45"/>
        <v>31.2104109589041</v>
      </c>
      <c r="W164">
        <f>SUM($V$148:V164)</f>
        <v>449.524383561644</v>
      </c>
      <c r="X164">
        <f>MAX(F164-50,0)*中国_中债国债到期收益率_1年!H164*100/365</f>
        <v>0</v>
      </c>
      <c r="Y164">
        <f>SUM($X$148:X164)</f>
        <v>0</v>
      </c>
      <c r="Z164">
        <v>20</v>
      </c>
      <c r="AC164">
        <f>AA164*Return!G168*100</f>
        <v>0</v>
      </c>
      <c r="AD164">
        <f>SUM($AB$148:AB164)+SUM($AC$148:AC164)</f>
        <v>459.6</v>
      </c>
      <c r="AE164">
        <f t="shared" si="38"/>
        <v>492.524383561645</v>
      </c>
      <c r="AF164">
        <f t="shared" si="39"/>
        <v>1.00098504876712</v>
      </c>
      <c r="AG164" s="5">
        <f>(AF164/AF163-1)-中国_中债国债到期收益率_1年!H164%/252</f>
        <v>-1.95995541813601e-5</v>
      </c>
      <c r="AH164" s="5">
        <f>MIN((AF164-MAX($AF$151:AF164))/MAX($AF$151:AF164),0)</f>
        <v>-0.000351432617482235</v>
      </c>
    </row>
    <row r="165" spans="1:34">
      <c r="A165" s="7">
        <v>44954</v>
      </c>
      <c r="B165">
        <v>40</v>
      </c>
      <c r="C165">
        <v>10</v>
      </c>
      <c r="F165">
        <f t="shared" si="36"/>
        <v>50</v>
      </c>
      <c r="G165">
        <f t="shared" si="40"/>
        <v>40</v>
      </c>
      <c r="H165">
        <f t="shared" si="41"/>
        <v>50</v>
      </c>
      <c r="I165">
        <f t="shared" si="42"/>
        <v>0</v>
      </c>
      <c r="J165">
        <f t="shared" si="43"/>
        <v>0</v>
      </c>
      <c r="K165">
        <f t="shared" si="37"/>
        <v>90</v>
      </c>
      <c r="L165">
        <f>G165*Return!B165*100</f>
        <v>11.5999999999996</v>
      </c>
      <c r="M165">
        <f>H165*Return!C165*100</f>
        <v>-39.0000000000001</v>
      </c>
      <c r="N165">
        <f>I165*Return!D165*100</f>
        <v>0</v>
      </c>
      <c r="O165">
        <f>J165*Return!E165*100</f>
        <v>0</v>
      </c>
      <c r="P165">
        <f t="shared" si="44"/>
        <v>-27.4000000000005</v>
      </c>
      <c r="Q165">
        <f>SUM($P$148:P165)</f>
        <v>-444</v>
      </c>
      <c r="R165">
        <f>B165*中国_中债国债到期收益率_1年!B164/365*100</f>
        <v>23.7238356164384</v>
      </c>
      <c r="S165">
        <f>C165*中国_中债国债到期收益率_1年!C164/365*100</f>
        <v>7.47616438356164</v>
      </c>
      <c r="T165">
        <f>D165*中国_中债国债到期收益率_1年!D164/365*100</f>
        <v>0</v>
      </c>
      <c r="U165">
        <f>E165*中国_中债国债到期收益率_1年!E164/365*100</f>
        <v>0</v>
      </c>
      <c r="V165">
        <f t="shared" si="45"/>
        <v>31.2</v>
      </c>
      <c r="W165">
        <f>SUM($V$148:V165)</f>
        <v>480.724383561644</v>
      </c>
      <c r="X165">
        <f>MAX(F165-50,0)*中国_中债国债到期收益率_1年!H165*100/365</f>
        <v>0</v>
      </c>
      <c r="Y165">
        <f>SUM($X$148:X165)</f>
        <v>0</v>
      </c>
      <c r="Z165">
        <v>20</v>
      </c>
      <c r="AA165">
        <v>0</v>
      </c>
      <c r="AB165">
        <f>Z165*Return!F169*100</f>
        <v>27.8</v>
      </c>
      <c r="AC165">
        <f>AA165*Return!G169*100</f>
        <v>0</v>
      </c>
      <c r="AD165">
        <f>SUM($AB$148:AB165)+SUM($AC$148:AC165)</f>
        <v>487.4</v>
      </c>
      <c r="AE165">
        <f t="shared" si="38"/>
        <v>524.124383561644</v>
      </c>
      <c r="AF165">
        <f t="shared" si="39"/>
        <v>1.00104824876712</v>
      </c>
      <c r="AG165" s="5">
        <f>(AF165/AF164-1)-中国_中债国债到期收益率_1年!H165%/252</f>
        <v>-1.4243146199007e-5</v>
      </c>
      <c r="AH165" s="5">
        <f>MIN((AF165-MAX($AF$151:AF165))/MAX($AF$151:AF165),0)</f>
        <v>-0.000288316999984821</v>
      </c>
    </row>
    <row r="166" spans="1:34">
      <c r="A166" s="7">
        <v>44955</v>
      </c>
      <c r="B166">
        <v>40</v>
      </c>
      <c r="C166">
        <v>10</v>
      </c>
      <c r="F166">
        <f t="shared" si="36"/>
        <v>50</v>
      </c>
      <c r="G166">
        <f t="shared" si="40"/>
        <v>40</v>
      </c>
      <c r="H166">
        <f t="shared" si="41"/>
        <v>50</v>
      </c>
      <c r="I166">
        <f t="shared" si="42"/>
        <v>0</v>
      </c>
      <c r="J166">
        <f t="shared" si="43"/>
        <v>0</v>
      </c>
      <c r="K166">
        <f t="shared" si="37"/>
        <v>90</v>
      </c>
      <c r="L166">
        <f>G166*Return!B166*100</f>
        <v>60.8000000000004</v>
      </c>
      <c r="M166">
        <f>H166*Return!C166*100</f>
        <v>2.50000000000083</v>
      </c>
      <c r="N166">
        <f>I166*Return!D166*100</f>
        <v>0</v>
      </c>
      <c r="O166">
        <f>J166*Return!E166*100</f>
        <v>0</v>
      </c>
      <c r="P166">
        <f t="shared" si="44"/>
        <v>63.3000000000012</v>
      </c>
      <c r="Q166">
        <f>SUM($P$148:P166)</f>
        <v>-380.699999999998</v>
      </c>
      <c r="R166">
        <f>B166*中国_中债国债到期收益率_1年!B165/365*100</f>
        <v>23.5572602739726</v>
      </c>
      <c r="S166">
        <f>C166*中国_中债国债到期收益率_1年!C165/365*100</f>
        <v>7.47479452054795</v>
      </c>
      <c r="T166">
        <f>D166*中国_中债国债到期收益率_1年!D165/365*100</f>
        <v>0</v>
      </c>
      <c r="U166">
        <f>E166*中国_中债国债到期收益率_1年!E165/365*100</f>
        <v>0</v>
      </c>
      <c r="V166">
        <f t="shared" si="45"/>
        <v>31.0320547945205</v>
      </c>
      <c r="W166">
        <f>SUM($V$148:V166)</f>
        <v>511.756438356164</v>
      </c>
      <c r="X166">
        <f>MAX(F166-50,0)*中国_中债国债到期收益率_1年!H166*100/365</f>
        <v>0</v>
      </c>
      <c r="Y166">
        <f>SUM($X$148:X166)</f>
        <v>0</v>
      </c>
      <c r="Z166">
        <v>20</v>
      </c>
      <c r="AA166">
        <v>0</v>
      </c>
      <c r="AB166">
        <f>Z166*Return!F170*100</f>
        <v>10.7999999999997</v>
      </c>
      <c r="AC166">
        <f>AA166*Return!G170*100</f>
        <v>0</v>
      </c>
      <c r="AD166">
        <f>SUM($AB$148:AB166)+SUM($AC$148:AC166)</f>
        <v>498.2</v>
      </c>
      <c r="AE166">
        <f t="shared" si="38"/>
        <v>629.256438356166</v>
      </c>
      <c r="AF166">
        <f t="shared" si="39"/>
        <v>1.00125851287671</v>
      </c>
      <c r="AG166" s="5">
        <f>(AF166/AF165-1)-中国_中债国债到期收益率_1年!H166%/252</f>
        <v>0.000136472502725659</v>
      </c>
      <c r="AH166" s="5">
        <f>MIN((AF166-MAX($AF$151:AF166))/MAX($AF$151:AF166),0)</f>
        <v>-7.83336279238502e-5</v>
      </c>
    </row>
    <row r="167" spans="1:34">
      <c r="A167" s="7">
        <v>44956</v>
      </c>
      <c r="B167">
        <v>40</v>
      </c>
      <c r="C167">
        <v>10</v>
      </c>
      <c r="F167">
        <f t="shared" si="36"/>
        <v>50</v>
      </c>
      <c r="G167">
        <f t="shared" si="40"/>
        <v>40</v>
      </c>
      <c r="H167">
        <f t="shared" si="41"/>
        <v>50</v>
      </c>
      <c r="I167">
        <f t="shared" si="42"/>
        <v>0</v>
      </c>
      <c r="J167">
        <f t="shared" si="43"/>
        <v>0</v>
      </c>
      <c r="K167">
        <f t="shared" si="37"/>
        <v>90</v>
      </c>
      <c r="L167">
        <f>G167*Return!B167*100</f>
        <v>-9.19999999999987</v>
      </c>
      <c r="M167">
        <f>H167*Return!C167*100</f>
        <v>28.999999999999</v>
      </c>
      <c r="N167">
        <f>I167*Return!D167*100</f>
        <v>0</v>
      </c>
      <c r="O167">
        <f>J167*Return!E167*100</f>
        <v>0</v>
      </c>
      <c r="P167">
        <f t="shared" si="44"/>
        <v>19.7999999999992</v>
      </c>
      <c r="Q167">
        <f>SUM($P$148:P167)</f>
        <v>-360.899999999999</v>
      </c>
      <c r="R167">
        <f>B167*中国_中债国债到期收益率_1年!B166/365*100</f>
        <v>23.5824657534247</v>
      </c>
      <c r="S167">
        <f>C167*中国_中债国债到期收益率_1年!C166/365*100</f>
        <v>7.45890410958904</v>
      </c>
      <c r="T167">
        <f>D167*中国_中债国债到期收益率_1年!D166/365*100</f>
        <v>0</v>
      </c>
      <c r="U167">
        <f>E167*中国_中债国债到期收益率_1年!E166/365*100</f>
        <v>0</v>
      </c>
      <c r="V167">
        <f t="shared" si="45"/>
        <v>31.0413698630137</v>
      </c>
      <c r="W167">
        <f>SUM($V$148:V167)</f>
        <v>542.797808219178</v>
      </c>
      <c r="X167">
        <f>MAX(F167-50,0)*中国_中债国债到期收益率_1年!H167*100/365</f>
        <v>0</v>
      </c>
      <c r="Y167">
        <f>SUM($X$148:X167)</f>
        <v>0</v>
      </c>
      <c r="Z167">
        <v>20</v>
      </c>
      <c r="AA167">
        <v>0</v>
      </c>
      <c r="AB167">
        <f>Z167*Return!F171*100</f>
        <v>30.8000000000002</v>
      </c>
      <c r="AC167">
        <f>AA167*Return!G171*100</f>
        <v>0</v>
      </c>
      <c r="AD167">
        <f>SUM($AB$148:AB167)+SUM($AC$148:AC167)</f>
        <v>529</v>
      </c>
      <c r="AE167">
        <f t="shared" si="38"/>
        <v>710.897808219179</v>
      </c>
      <c r="AF167">
        <f t="shared" si="39"/>
        <v>1.00142179561644</v>
      </c>
      <c r="AG167" s="5">
        <f>(AF167/AF166-1)-中国_中债国债到期收益率_1年!H167%/252</f>
        <v>7.81568696660268e-5</v>
      </c>
      <c r="AH167" s="5">
        <f>MIN((AF167-MAX($AF$151:AF167))/MAX($AF$151:AF167),0)</f>
        <v>0</v>
      </c>
    </row>
    <row r="168" spans="1:34">
      <c r="A168" s="7">
        <v>44957</v>
      </c>
      <c r="B168">
        <v>40</v>
      </c>
      <c r="C168">
        <v>10</v>
      </c>
      <c r="F168">
        <f t="shared" si="36"/>
        <v>50</v>
      </c>
      <c r="G168">
        <f t="shared" si="40"/>
        <v>40</v>
      </c>
      <c r="H168">
        <f t="shared" si="41"/>
        <v>50</v>
      </c>
      <c r="I168">
        <f t="shared" si="42"/>
        <v>0</v>
      </c>
      <c r="J168">
        <f t="shared" si="43"/>
        <v>0</v>
      </c>
      <c r="K168">
        <f t="shared" si="37"/>
        <v>90</v>
      </c>
      <c r="L168">
        <f>G168*Return!B168*100</f>
        <v>-96.4000000000009</v>
      </c>
      <c r="M168">
        <f>H168*Return!C168*100</f>
        <v>-6.50000000000039</v>
      </c>
      <c r="N168">
        <f>I168*Return!D168*100</f>
        <v>0</v>
      </c>
      <c r="O168">
        <f>J168*Return!E168*100</f>
        <v>0</v>
      </c>
      <c r="P168">
        <f t="shared" si="44"/>
        <v>-102.900000000001</v>
      </c>
      <c r="Q168">
        <f>SUM($P$148:P168)</f>
        <v>-463.8</v>
      </c>
      <c r="R168">
        <f>B168*中国_中债国债到期收益率_1年!B167/365*100</f>
        <v>23.8465753424658</v>
      </c>
      <c r="S168">
        <f>C168*中国_中债国债到期收益率_1年!C167/365*100</f>
        <v>7.46246575342466</v>
      </c>
      <c r="T168">
        <f>D168*中国_中债国债到期收益率_1年!D167/365*100</f>
        <v>0</v>
      </c>
      <c r="U168">
        <f>E168*中国_中债国债到期收益率_1年!E167/365*100</f>
        <v>0</v>
      </c>
      <c r="V168">
        <f t="shared" si="45"/>
        <v>31.3090410958904</v>
      </c>
      <c r="W168">
        <f>SUM($V$148:V168)</f>
        <v>574.106849315069</v>
      </c>
      <c r="X168">
        <f>MAX(F168-50,0)*中国_中债国债到期收益率_1年!H168*100/365</f>
        <v>0</v>
      </c>
      <c r="Y168">
        <f>SUM($X$148:X168)</f>
        <v>0</v>
      </c>
      <c r="Z168">
        <v>-20</v>
      </c>
      <c r="AA168">
        <v>0</v>
      </c>
      <c r="AB168">
        <f>Z168*Return!F172*100</f>
        <v>-27.0000000000001</v>
      </c>
      <c r="AC168">
        <f>AA168*Return!G172*100</f>
        <v>0</v>
      </c>
      <c r="AD168">
        <f>SUM($AB$148:AB168)+SUM($AC$148:AC168)</f>
        <v>502</v>
      </c>
      <c r="AE168">
        <f t="shared" si="38"/>
        <v>612.306849315068</v>
      </c>
      <c r="AF168">
        <f t="shared" si="39"/>
        <v>1.00122461369863</v>
      </c>
      <c r="AG168" s="5">
        <f>(AF168/AF167-1)-中国_中债国债到期收益率_1年!H168%/252</f>
        <v>-0.000284203550761482</v>
      </c>
      <c r="AH168" s="5">
        <f>MIN((AF168-MAX($AF$151:AF168))/MAX($AF$151:AF168),0)</f>
        <v>-0.00019690196345986</v>
      </c>
    </row>
    <row r="169" spans="1:34">
      <c r="A169" s="7">
        <v>44958</v>
      </c>
      <c r="B169">
        <v>40</v>
      </c>
      <c r="C169">
        <v>40</v>
      </c>
      <c r="F169">
        <f t="shared" si="36"/>
        <v>80</v>
      </c>
      <c r="G169">
        <f t="shared" si="40"/>
        <v>40</v>
      </c>
      <c r="H169">
        <f t="shared" si="41"/>
        <v>200</v>
      </c>
      <c r="I169">
        <f t="shared" si="42"/>
        <v>0</v>
      </c>
      <c r="J169">
        <f t="shared" si="43"/>
        <v>0</v>
      </c>
      <c r="K169">
        <f t="shared" si="37"/>
        <v>240</v>
      </c>
      <c r="L169">
        <f>G169*Return!B169*100</f>
        <v>89.9999999999999</v>
      </c>
      <c r="M169">
        <f>H169*Return!C169*100</f>
        <v>398.000000000005</v>
      </c>
      <c r="N169">
        <f>I169*Return!D169*100</f>
        <v>0</v>
      </c>
      <c r="O169">
        <f>J169*Return!E169*100</f>
        <v>0</v>
      </c>
      <c r="P169">
        <f t="shared" si="44"/>
        <v>488.000000000005</v>
      </c>
      <c r="Q169">
        <f>SUM($P$148:P169)</f>
        <v>24.2000000000044</v>
      </c>
      <c r="R169">
        <f>B169*中国_中债国债到期收益率_1年!B168/365*100</f>
        <v>23.6</v>
      </c>
      <c r="S169">
        <f>C169*中国_中债国债到期收益率_1年!C168/365*100</f>
        <v>29.6317808219178</v>
      </c>
      <c r="T169">
        <f>D169*中国_中债国债到期收益率_1年!D168/365*100</f>
        <v>0</v>
      </c>
      <c r="U169">
        <f>E169*中国_中债国债到期收益率_1年!E168/365*100</f>
        <v>0</v>
      </c>
      <c r="V169">
        <f t="shared" si="45"/>
        <v>53.2317808219178</v>
      </c>
      <c r="W169">
        <f>SUM($V$148:V169)</f>
        <v>627.338630136986</v>
      </c>
      <c r="X169">
        <f>MAX(F169-50,0)*中国_中债国债到期收益率_1年!H169*100/365</f>
        <v>16.8493150684931</v>
      </c>
      <c r="Y169">
        <f>SUM($X$148:X169)</f>
        <v>16.8493150684931</v>
      </c>
      <c r="Z169">
        <v>-20</v>
      </c>
      <c r="AA169">
        <v>0</v>
      </c>
      <c r="AB169">
        <f>Z169*Return!F173*100</f>
        <v>25.5999999999998</v>
      </c>
      <c r="AC169">
        <f>AA169*Return!G173*100</f>
        <v>0</v>
      </c>
      <c r="AD169">
        <f>SUM($AB$148:AB169)+SUM($AC$148:AC169)</f>
        <v>527.6</v>
      </c>
      <c r="AE169">
        <f t="shared" si="38"/>
        <v>1162.2893150685</v>
      </c>
      <c r="AF169">
        <f t="shared" si="39"/>
        <v>1.00232457863014</v>
      </c>
      <c r="AG169" s="5">
        <f>(AF169/AF168-1)-中国_中债国债到期收益率_1年!H169%/252</f>
        <v>0.00101727034061079</v>
      </c>
      <c r="AH169" s="5">
        <f>MIN((AF169-MAX($AF$151:AF169))/MAX($AF$151:AF169),0)</f>
        <v>0</v>
      </c>
    </row>
    <row r="170" spans="1:34">
      <c r="A170" s="7">
        <v>44959</v>
      </c>
      <c r="B170">
        <v>40</v>
      </c>
      <c r="C170">
        <v>40</v>
      </c>
      <c r="F170">
        <f t="shared" si="36"/>
        <v>80</v>
      </c>
      <c r="G170">
        <f t="shared" si="40"/>
        <v>40</v>
      </c>
      <c r="H170">
        <f t="shared" si="41"/>
        <v>200</v>
      </c>
      <c r="I170">
        <f t="shared" si="42"/>
        <v>0</v>
      </c>
      <c r="J170">
        <f t="shared" si="43"/>
        <v>0</v>
      </c>
      <c r="K170">
        <f t="shared" si="37"/>
        <v>240</v>
      </c>
      <c r="L170">
        <f>G170*Return!B170*100</f>
        <v>-38.3999999999993</v>
      </c>
      <c r="M170">
        <f>H170*Return!C170*100</f>
        <v>-103.999999999997</v>
      </c>
      <c r="N170">
        <f>I170*Return!D170*100</f>
        <v>0</v>
      </c>
      <c r="O170">
        <f>J170*Return!E170*100</f>
        <v>0</v>
      </c>
      <c r="P170">
        <f t="shared" si="44"/>
        <v>-142.399999999997</v>
      </c>
      <c r="Q170">
        <f>SUM($P$148:P170)</f>
        <v>-118.199999999992</v>
      </c>
      <c r="R170">
        <f>B170*中国_中债国债到期收益率_1年!B169/365*100</f>
        <v>23.7052054794521</v>
      </c>
      <c r="S170">
        <f>C170*中国_中债国债到期收益率_1年!C169/365*100</f>
        <v>29.6887671232877</v>
      </c>
      <c r="T170">
        <f>D170*中国_中债国债到期收益率_1年!D169/365*100</f>
        <v>0</v>
      </c>
      <c r="U170">
        <f>E170*中国_中债国债到期收益率_1年!E169/365*100</f>
        <v>0</v>
      </c>
      <c r="V170">
        <f t="shared" si="45"/>
        <v>53.3939726027397</v>
      </c>
      <c r="W170">
        <f>SUM($V$148:V170)</f>
        <v>680.732602739726</v>
      </c>
      <c r="X170">
        <f>MAX(F170-50,0)*中国_中债国债到期收益率_1年!H170*100/365</f>
        <v>16.8493150684931</v>
      </c>
      <c r="Y170">
        <f>SUM($X$148:X170)</f>
        <v>33.6986301369863</v>
      </c>
      <c r="Z170">
        <v>-20</v>
      </c>
      <c r="AB170">
        <f>Z170*Return!F174*100</f>
        <v>48.2000000000005</v>
      </c>
      <c r="AC170">
        <f>AA170*Return!G174*100</f>
        <v>0</v>
      </c>
      <c r="AD170">
        <f>SUM($AB$148:AB170)+SUM($AC$148:AC170)</f>
        <v>575.8</v>
      </c>
      <c r="AE170">
        <f t="shared" si="38"/>
        <v>1104.63397260275</v>
      </c>
      <c r="AF170">
        <f t="shared" si="39"/>
        <v>1.00220926794521</v>
      </c>
      <c r="AG170" s="5">
        <f>(AF170/AF169-1)-中国_中债国债到期收益率_1年!H170%/252</f>
        <v>-0.000196392464181943</v>
      </c>
      <c r="AH170" s="5">
        <f>MIN((AF170-MAX($AF$151:AF170))/MAX($AF$151:AF170),0)</f>
        <v>-0.000115043257832725</v>
      </c>
    </row>
    <row r="171" spans="1:34">
      <c r="A171" s="7">
        <v>44960</v>
      </c>
      <c r="B171">
        <v>50</v>
      </c>
      <c r="C171">
        <v>40</v>
      </c>
      <c r="F171">
        <f t="shared" si="36"/>
        <v>90</v>
      </c>
      <c r="G171">
        <f t="shared" si="40"/>
        <v>50</v>
      </c>
      <c r="H171">
        <f t="shared" si="41"/>
        <v>200</v>
      </c>
      <c r="I171">
        <f t="shared" si="42"/>
        <v>0</v>
      </c>
      <c r="J171">
        <f t="shared" si="43"/>
        <v>0</v>
      </c>
      <c r="K171">
        <f t="shared" si="37"/>
        <v>250</v>
      </c>
      <c r="L171">
        <f>G171*Return!B171*100</f>
        <v>61.9999999999998</v>
      </c>
      <c r="M171">
        <f>H171*Return!C171*100</f>
        <v>291.999999999994</v>
      </c>
      <c r="N171">
        <f>I171*Return!D171*100</f>
        <v>0</v>
      </c>
      <c r="O171">
        <f>J171*Return!E171*100</f>
        <v>0</v>
      </c>
      <c r="P171">
        <f t="shared" si="44"/>
        <v>353.999999999994</v>
      </c>
      <c r="Q171">
        <f>SUM($P$148:P171)</f>
        <v>235.800000000002</v>
      </c>
      <c r="R171">
        <f>B171*中国_中债国债到期收益率_1年!B170/365*100</f>
        <v>29.4616438356164</v>
      </c>
      <c r="S171">
        <f>C171*中国_中债国债到期收益率_1年!C170/365*100</f>
        <v>29.5287671232877</v>
      </c>
      <c r="T171">
        <f>D171*中国_中债国债到期收益率_1年!D170/365*100</f>
        <v>0</v>
      </c>
      <c r="U171">
        <f>E171*中国_中债国债到期收益率_1年!E170/365*100</f>
        <v>0</v>
      </c>
      <c r="V171">
        <f t="shared" si="45"/>
        <v>58.9904109589041</v>
      </c>
      <c r="W171">
        <f>SUM($V$148:V171)</f>
        <v>739.72301369863</v>
      </c>
      <c r="X171">
        <f>MAX(F171-50,0)*中国_中债国债到期收益率_1年!H171*100/365</f>
        <v>20.8219178082192</v>
      </c>
      <c r="Y171">
        <f>SUM($X$148:X171)</f>
        <v>54.5205479452055</v>
      </c>
      <c r="Z171">
        <v>-20</v>
      </c>
      <c r="AB171">
        <f>Z171*Return!F175*100</f>
        <v>19.9999999999996</v>
      </c>
      <c r="AC171">
        <f>AA171*Return!G175*100</f>
        <v>0</v>
      </c>
      <c r="AD171">
        <f>SUM($AB$148:AB171)+SUM($AC$148:AC171)</f>
        <v>595.8</v>
      </c>
      <c r="AE171">
        <f t="shared" si="38"/>
        <v>1516.80246575343</v>
      </c>
      <c r="AF171">
        <f t="shared" si="39"/>
        <v>1.00303360493151</v>
      </c>
      <c r="AG171" s="5">
        <f>(AF171/AF170-1)-中国_中债国债到期收益率_1年!H171%/252</f>
        <v>0.000747122994232838</v>
      </c>
      <c r="AH171" s="5">
        <f>MIN((AF171-MAX($AF$151:AF171))/MAX($AF$151:AF171),0)</f>
        <v>0</v>
      </c>
    </row>
    <row r="172" spans="1:34">
      <c r="A172" s="7">
        <v>44963</v>
      </c>
      <c r="B172">
        <v>50</v>
      </c>
      <c r="C172">
        <v>40</v>
      </c>
      <c r="F172">
        <f t="shared" si="36"/>
        <v>90</v>
      </c>
      <c r="G172">
        <f t="shared" si="40"/>
        <v>50</v>
      </c>
      <c r="H172">
        <f t="shared" si="41"/>
        <v>200</v>
      </c>
      <c r="I172">
        <f t="shared" si="42"/>
        <v>0</v>
      </c>
      <c r="J172">
        <f t="shared" si="43"/>
        <v>0</v>
      </c>
      <c r="K172">
        <f t="shared" si="37"/>
        <v>250</v>
      </c>
      <c r="L172">
        <f>G172*Return!B172*100</f>
        <v>1.50000000000095</v>
      </c>
      <c r="M172">
        <f>H172*Return!C172*100</f>
        <v>48.0000000000036</v>
      </c>
      <c r="N172">
        <f>I172*Return!D172*100</f>
        <v>0</v>
      </c>
      <c r="O172">
        <f>J172*Return!E172*100</f>
        <v>0</v>
      </c>
      <c r="P172">
        <f t="shared" si="44"/>
        <v>49.5000000000045</v>
      </c>
      <c r="Q172">
        <f>SUM($P$148:P172)</f>
        <v>285.300000000007</v>
      </c>
      <c r="R172">
        <f>B172*中国_中债国债到期收益率_1年!B171/365*100</f>
        <v>29.4575342465753</v>
      </c>
      <c r="S172">
        <f>C172*中国_中债国债到期收益率_1年!C171/365*100</f>
        <v>29.5024657534247</v>
      </c>
      <c r="T172">
        <f>D172*中国_中债国债到期收益率_1年!D171/365*100</f>
        <v>0</v>
      </c>
      <c r="U172">
        <f>E172*中国_中债国债到期收益率_1年!E171/365*100</f>
        <v>0</v>
      </c>
      <c r="V172">
        <f t="shared" si="45"/>
        <v>58.96</v>
      </c>
      <c r="W172">
        <f>SUM($V$148:V172)</f>
        <v>798.68301369863</v>
      </c>
      <c r="X172">
        <f>MAX(F172-50,0)*中国_中债国债到期收益率_1年!H172*100/365</f>
        <v>22.2465753424657</v>
      </c>
      <c r="Y172">
        <f>SUM($X$148:X172)</f>
        <v>76.7671232876712</v>
      </c>
      <c r="Z172">
        <v>-20</v>
      </c>
      <c r="AB172">
        <f>Z172*Return!F176*100</f>
        <v>-9.19999999999987</v>
      </c>
      <c r="AC172">
        <f>AA172*Return!G176*100</f>
        <v>0</v>
      </c>
      <c r="AD172">
        <f>SUM($AB$148:AB172)+SUM($AC$148:AC172)</f>
        <v>586.6</v>
      </c>
      <c r="AE172">
        <f t="shared" si="38"/>
        <v>1593.81589041097</v>
      </c>
      <c r="AF172">
        <f t="shared" si="39"/>
        <v>1.00318763178082</v>
      </c>
      <c r="AG172" s="5">
        <f>(AF172/AF171-1)-中国_中债国债到期收益率_1年!H172%/252</f>
        <v>7.30054503347015e-5</v>
      </c>
      <c r="AH172" s="5">
        <f>MIN((AF172-MAX($AF$151:AF172))/MAX($AF$151:AF172),0)</f>
        <v>0</v>
      </c>
    </row>
    <row r="173" spans="1:34">
      <c r="A173" s="7">
        <v>44964</v>
      </c>
      <c r="B173">
        <v>50</v>
      </c>
      <c r="C173">
        <v>40</v>
      </c>
      <c r="F173">
        <f t="shared" si="36"/>
        <v>90</v>
      </c>
      <c r="G173">
        <f t="shared" si="40"/>
        <v>50</v>
      </c>
      <c r="H173">
        <f t="shared" si="41"/>
        <v>200</v>
      </c>
      <c r="I173">
        <f t="shared" si="42"/>
        <v>0</v>
      </c>
      <c r="J173">
        <f t="shared" si="43"/>
        <v>0</v>
      </c>
      <c r="K173">
        <f t="shared" si="37"/>
        <v>250</v>
      </c>
      <c r="L173">
        <f>G173*Return!B173*100</f>
        <v>-38.5000000000013</v>
      </c>
      <c r="M173">
        <f>H173*Return!C173*100</f>
        <v>-266.000000000002</v>
      </c>
      <c r="N173">
        <f>I173*Return!D173*100</f>
        <v>0</v>
      </c>
      <c r="O173">
        <f>J173*Return!E173*100</f>
        <v>0</v>
      </c>
      <c r="P173">
        <f t="shared" si="44"/>
        <v>-304.500000000003</v>
      </c>
      <c r="Q173">
        <f>SUM($P$148:P173)</f>
        <v>-19.1999999999966</v>
      </c>
      <c r="R173">
        <f>B173*中国_中债国债到期收益率_1年!B172/365*100</f>
        <v>29.5630136986301</v>
      </c>
      <c r="S173">
        <f>C173*中国_中债国债到期收益率_1年!C172/365*100</f>
        <v>29.6482191780822</v>
      </c>
      <c r="T173">
        <f>D173*中国_中债国债到期收益率_1年!D172/365*100</f>
        <v>0</v>
      </c>
      <c r="U173">
        <f>E173*中国_中债国债到期收益率_1年!E172/365*100</f>
        <v>0</v>
      </c>
      <c r="V173">
        <f t="shared" si="45"/>
        <v>59.2112328767123</v>
      </c>
      <c r="W173">
        <f>SUM($V$148:V173)</f>
        <v>857.894246575343</v>
      </c>
      <c r="X173">
        <f>MAX(F173-50,0)*中国_中债国债到期收益率_1年!H173*100/365</f>
        <v>25.2054794520548</v>
      </c>
      <c r="Y173">
        <f>SUM($X$148:X173)</f>
        <v>101.972602739726</v>
      </c>
      <c r="Z173">
        <v>-20</v>
      </c>
      <c r="AB173">
        <f>Z173*Return!F177*100</f>
        <v>-28.6</v>
      </c>
      <c r="AC173">
        <f>AA173*Return!G177*100</f>
        <v>0</v>
      </c>
      <c r="AD173">
        <f>SUM($AB$148:AB173)+SUM($AC$148:AC173)</f>
        <v>558</v>
      </c>
      <c r="AE173">
        <f t="shared" si="38"/>
        <v>1294.72164383562</v>
      </c>
      <c r="AF173">
        <f t="shared" si="39"/>
        <v>1.00258944328767</v>
      </c>
      <c r="AG173" s="5">
        <f>(AF173/AF172-1)-中国_中债国债到期收益率_1年!H173%/252</f>
        <v>-0.000687557588646586</v>
      </c>
      <c r="AH173" s="5">
        <f>MIN((AF173-MAX($AF$151:AF173))/MAX($AF$151:AF173),0)</f>
        <v>-0.000596287747376689</v>
      </c>
    </row>
    <row r="174" spans="1:34">
      <c r="A174" s="7">
        <v>44965</v>
      </c>
      <c r="B174">
        <v>50</v>
      </c>
      <c r="C174">
        <v>40</v>
      </c>
      <c r="F174">
        <f t="shared" si="36"/>
        <v>90</v>
      </c>
      <c r="G174">
        <f t="shared" si="40"/>
        <v>50</v>
      </c>
      <c r="H174">
        <f t="shared" si="41"/>
        <v>200</v>
      </c>
      <c r="I174">
        <f t="shared" si="42"/>
        <v>0</v>
      </c>
      <c r="J174">
        <f t="shared" si="43"/>
        <v>0</v>
      </c>
      <c r="K174">
        <f t="shared" si="37"/>
        <v>250</v>
      </c>
      <c r="L174">
        <f>G174*Return!B174*100</f>
        <v>-24.4999999999984</v>
      </c>
      <c r="M174">
        <f>H174*Return!C174*100</f>
        <v>141.999999999998</v>
      </c>
      <c r="N174">
        <f>I174*Return!D174*100</f>
        <v>0</v>
      </c>
      <c r="O174">
        <f>J174*Return!E174*100</f>
        <v>0</v>
      </c>
      <c r="P174">
        <f t="shared" si="44"/>
        <v>117.499999999999</v>
      </c>
      <c r="Q174">
        <f>SUM($P$148:P174)</f>
        <v>98.3000000000027</v>
      </c>
      <c r="R174">
        <f>B174*中国_中债国债到期收益率_1年!B173/365*100</f>
        <v>29.6301369863014</v>
      </c>
      <c r="S174">
        <f>C174*中国_中债国债到期收益率_1年!C173/365*100</f>
        <v>29.5704109589041</v>
      </c>
      <c r="T174">
        <f>D174*中国_中债国债到期收益率_1年!D173/365*100</f>
        <v>0</v>
      </c>
      <c r="U174">
        <f>E174*中国_中债国债到期收益率_1年!E173/365*100</f>
        <v>0</v>
      </c>
      <c r="V174">
        <f t="shared" si="45"/>
        <v>59.2005479452055</v>
      </c>
      <c r="W174">
        <f>SUM($V$148:V174)</f>
        <v>917.094794520548</v>
      </c>
      <c r="X174">
        <f>MAX(F174-50,0)*中国_中债国债到期收益率_1年!H174*100/365</f>
        <v>26.8493150684932</v>
      </c>
      <c r="Y174">
        <f>SUM($X$148:X174)</f>
        <v>128.821917808219</v>
      </c>
      <c r="Z174">
        <v>-20</v>
      </c>
      <c r="AB174">
        <f>Z174*Return!F178*100</f>
        <v>-6.80000000000014</v>
      </c>
      <c r="AC174">
        <f>AA174*Return!G178*100</f>
        <v>0</v>
      </c>
      <c r="AD174">
        <f>SUM($AB$148:AB174)+SUM($AC$148:AC174)</f>
        <v>551.2</v>
      </c>
      <c r="AE174">
        <f t="shared" si="38"/>
        <v>1437.77287671233</v>
      </c>
      <c r="AF174">
        <f t="shared" si="39"/>
        <v>1.00287554575342</v>
      </c>
      <c r="AG174" s="5">
        <f>(AF174/AF173-1)-中国_中债国债到期收益率_1年!H174%/252</f>
        <v>0.000188141310845961</v>
      </c>
      <c r="AH174" s="5">
        <f>MIN((AF174-MAX($AF$151:AF174))/MAX($AF$151:AF174),0)</f>
        <v>-0.000311094373086809</v>
      </c>
    </row>
    <row r="175" spans="1:34">
      <c r="A175" s="7">
        <v>44966</v>
      </c>
      <c r="B175">
        <v>50</v>
      </c>
      <c r="C175">
        <v>40</v>
      </c>
      <c r="F175">
        <f t="shared" si="36"/>
        <v>90</v>
      </c>
      <c r="G175">
        <f t="shared" si="40"/>
        <v>50</v>
      </c>
      <c r="H175">
        <f t="shared" si="41"/>
        <v>200</v>
      </c>
      <c r="I175">
        <f t="shared" si="42"/>
        <v>0</v>
      </c>
      <c r="J175">
        <f t="shared" si="43"/>
        <v>0</v>
      </c>
      <c r="K175">
        <f t="shared" si="37"/>
        <v>250</v>
      </c>
      <c r="L175">
        <f>G175*Return!B175*100</f>
        <v>6.49999999999817</v>
      </c>
      <c r="M175">
        <f>H175*Return!C175*100</f>
        <v>-93.9999999999941</v>
      </c>
      <c r="N175">
        <f>I175*Return!D175*100</f>
        <v>0</v>
      </c>
      <c r="O175">
        <f>J175*Return!E175*100</f>
        <v>0</v>
      </c>
      <c r="P175">
        <f t="shared" si="44"/>
        <v>-87.4999999999959</v>
      </c>
      <c r="Q175">
        <f>SUM($P$148:P175)</f>
        <v>10.8000000000068</v>
      </c>
      <c r="R175">
        <f>B175*中国_中债国债到期收益率_1年!B174/365*100</f>
        <v>29.6123287671233</v>
      </c>
      <c r="S175">
        <f>C175*中国_中债国债到期收益率_1年!C174/365*100</f>
        <v>29.6219178082192</v>
      </c>
      <c r="T175">
        <f>D175*中国_中债国债到期收益率_1年!D174/365*100</f>
        <v>0</v>
      </c>
      <c r="U175">
        <f>E175*中国_中债国债到期收益率_1年!E174/365*100</f>
        <v>0</v>
      </c>
      <c r="V175">
        <f t="shared" si="45"/>
        <v>59.2342465753425</v>
      </c>
      <c r="W175">
        <f>SUM($V$148:V175)</f>
        <v>976.32904109589</v>
      </c>
      <c r="X175">
        <f>MAX(F175-50,0)*中国_中债国债到期收益率_1年!H175*100/365</f>
        <v>26.3013698630137</v>
      </c>
      <c r="Y175">
        <f>SUM($X$148:X175)</f>
        <v>155.123287671233</v>
      </c>
      <c r="Z175">
        <v>-20</v>
      </c>
      <c r="AB175">
        <f>Z175*Return!F179*100</f>
        <v>24.7999999999999</v>
      </c>
      <c r="AC175">
        <f>AA175*Return!G179*100</f>
        <v>0</v>
      </c>
      <c r="AD175">
        <f>SUM($AB$148:AB175)+SUM($AC$148:AC175)</f>
        <v>576</v>
      </c>
      <c r="AE175">
        <f t="shared" si="38"/>
        <v>1408.00575342466</v>
      </c>
      <c r="AF175">
        <f t="shared" si="39"/>
        <v>1.00281601150685</v>
      </c>
      <c r="AG175" s="5">
        <f>(AF175/AF174-1)-中国_中债国债到期收益率_1年!H175%/252</f>
        <v>-0.000154601639226484</v>
      </c>
      <c r="AH175" s="5">
        <f>MIN((AF175-MAX($AF$151:AF175))/MAX($AF$151:AF175),0)</f>
        <v>-0.000370439449410717</v>
      </c>
    </row>
    <row r="176" spans="1:34">
      <c r="A176" s="7">
        <v>44967</v>
      </c>
      <c r="B176">
        <v>50</v>
      </c>
      <c r="C176">
        <v>40</v>
      </c>
      <c r="F176">
        <f t="shared" si="36"/>
        <v>90</v>
      </c>
      <c r="G176">
        <f t="shared" si="40"/>
        <v>50</v>
      </c>
      <c r="H176">
        <f t="shared" si="41"/>
        <v>200</v>
      </c>
      <c r="I176">
        <f t="shared" si="42"/>
        <v>0</v>
      </c>
      <c r="J176">
        <f t="shared" si="43"/>
        <v>0</v>
      </c>
      <c r="K176">
        <f t="shared" si="37"/>
        <v>250</v>
      </c>
      <c r="L176">
        <f>G176*Return!B176*100</f>
        <v>-27.9999999999991</v>
      </c>
      <c r="M176">
        <f>H176*Return!C176*100</f>
        <v>141.999999999998</v>
      </c>
      <c r="N176">
        <f>I176*Return!D176*100</f>
        <v>0</v>
      </c>
      <c r="O176">
        <f>J176*Return!E176*100</f>
        <v>0</v>
      </c>
      <c r="P176">
        <f t="shared" si="44"/>
        <v>113.999999999999</v>
      </c>
      <c r="Q176">
        <f>SUM($P$148:P176)</f>
        <v>124.800000000005</v>
      </c>
      <c r="R176">
        <f>B176*中国_中债国债到期收益率_1年!B175/365*100</f>
        <v>29.6890410958904</v>
      </c>
      <c r="S176">
        <f>C176*中国_中债国债到期收益率_1年!C175/365*100</f>
        <v>29.5441095890411</v>
      </c>
      <c r="T176">
        <f>D176*中国_中债国债到期收益率_1年!D175/365*100</f>
        <v>0</v>
      </c>
      <c r="U176">
        <f>E176*中国_中债国债到期收益率_1年!E175/365*100</f>
        <v>0</v>
      </c>
      <c r="V176">
        <f t="shared" si="45"/>
        <v>59.2331506849315</v>
      </c>
      <c r="W176">
        <f>SUM($V$148:V176)</f>
        <v>1035.56219178082</v>
      </c>
      <c r="X176">
        <f>MAX(F176-50,0)*中国_中债国债到期收益率_1年!H176*100/365</f>
        <v>22.7945205479452</v>
      </c>
      <c r="Y176">
        <f>SUM($X$148:X176)</f>
        <v>177.917808219178</v>
      </c>
      <c r="Z176">
        <v>-20</v>
      </c>
      <c r="AB176">
        <f>Z176*Return!F180*100</f>
        <v>37.2000000000003</v>
      </c>
      <c r="AC176">
        <f>AA176*Return!G180*100</f>
        <v>0</v>
      </c>
      <c r="AD176">
        <f>SUM($AB$148:AB176)+SUM($AC$148:AC176)</f>
        <v>613.2</v>
      </c>
      <c r="AE176">
        <f t="shared" si="38"/>
        <v>1595.64438356165</v>
      </c>
      <c r="AF176">
        <f t="shared" si="39"/>
        <v>1.00319128876712</v>
      </c>
      <c r="AG176" s="5">
        <f>(AF176/AF175-1)-中国_中债国债到期收益率_1年!H176%/252</f>
        <v>0.000291683760213159</v>
      </c>
      <c r="AH176" s="5">
        <f>MIN((AF176-MAX($AF$151:AF176))/MAX($AF$151:AF176),0)</f>
        <v>0</v>
      </c>
    </row>
    <row r="177" spans="1:34">
      <c r="A177" s="7">
        <v>44970</v>
      </c>
      <c r="B177">
        <v>50</v>
      </c>
      <c r="C177">
        <v>40</v>
      </c>
      <c r="F177">
        <f t="shared" si="36"/>
        <v>90</v>
      </c>
      <c r="G177">
        <f t="shared" si="40"/>
        <v>50</v>
      </c>
      <c r="H177">
        <f t="shared" si="41"/>
        <v>200</v>
      </c>
      <c r="I177">
        <f t="shared" si="42"/>
        <v>0</v>
      </c>
      <c r="J177">
        <f t="shared" si="43"/>
        <v>0</v>
      </c>
      <c r="K177">
        <f t="shared" si="37"/>
        <v>250</v>
      </c>
      <c r="L177">
        <f>G177*Return!B177*100</f>
        <v>-4.50000000000061</v>
      </c>
      <c r="M177">
        <f>H177*Return!C177*100</f>
        <v>-3.99999999999956</v>
      </c>
      <c r="N177">
        <f>I177*Return!D177*100</f>
        <v>0</v>
      </c>
      <c r="O177">
        <f>J177*Return!E177*100</f>
        <v>0</v>
      </c>
      <c r="P177">
        <f t="shared" si="44"/>
        <v>-8.50000000000017</v>
      </c>
      <c r="Q177">
        <f>SUM($P$148:P177)</f>
        <v>116.300000000005</v>
      </c>
      <c r="R177">
        <f>B177*中国_中债国债到期收益率_1年!B176/365*100</f>
        <v>29.7013698630137</v>
      </c>
      <c r="S177">
        <f>C177*中国_中债国债到期收益率_1年!C176/365*100</f>
        <v>29.546301369863</v>
      </c>
      <c r="T177">
        <f>D177*中国_中债国债到期收益率_1年!D176/365*100</f>
        <v>0</v>
      </c>
      <c r="U177">
        <f>E177*中国_中债国债到期收益率_1年!E176/365*100</f>
        <v>0</v>
      </c>
      <c r="V177">
        <f t="shared" si="45"/>
        <v>59.2476712328767</v>
      </c>
      <c r="W177">
        <f>SUM($V$148:V177)</f>
        <v>1094.8098630137</v>
      </c>
      <c r="X177">
        <f>MAX(F177-50,0)*中国_中债国债到期收益率_1年!H177*100/365</f>
        <v>21.9178082191781</v>
      </c>
      <c r="Y177">
        <f>SUM($X$148:X177)</f>
        <v>199.835616438356</v>
      </c>
      <c r="Z177">
        <v>-20</v>
      </c>
      <c r="AB177">
        <f>Z177*Return!F181*100</f>
        <v>16.7999999999999</v>
      </c>
      <c r="AC177">
        <f>AA177*Return!G181*100</f>
        <v>0</v>
      </c>
      <c r="AD177">
        <f>SUM($AB$148:AB177)+SUM($AC$148:AC177)</f>
        <v>630</v>
      </c>
      <c r="AE177">
        <f t="shared" si="38"/>
        <v>1641.27424657535</v>
      </c>
      <c r="AF177">
        <f t="shared" si="39"/>
        <v>1.00328254849315</v>
      </c>
      <c r="AG177" s="5">
        <f>(AF177/AF176-1)-中国_中债国债到期收益率_1年!H177%/252</f>
        <v>1.16043369858151e-5</v>
      </c>
      <c r="AH177" s="5">
        <f>MIN((AF177-MAX($AF$151:AF177))/MAX($AF$151:AF177),0)</f>
        <v>0</v>
      </c>
    </row>
    <row r="178" spans="1:34">
      <c r="A178" s="7">
        <v>44971</v>
      </c>
      <c r="B178">
        <v>50</v>
      </c>
      <c r="C178">
        <v>40</v>
      </c>
      <c r="F178">
        <f t="shared" si="36"/>
        <v>90</v>
      </c>
      <c r="G178">
        <f t="shared" si="40"/>
        <v>50</v>
      </c>
      <c r="H178">
        <f t="shared" si="41"/>
        <v>200</v>
      </c>
      <c r="I178">
        <f t="shared" si="42"/>
        <v>0</v>
      </c>
      <c r="J178">
        <f t="shared" si="43"/>
        <v>0</v>
      </c>
      <c r="K178">
        <f t="shared" si="37"/>
        <v>250</v>
      </c>
      <c r="L178">
        <f>G178*Return!B178*100</f>
        <v>-25.9999999999994</v>
      </c>
      <c r="M178">
        <f>H178*Return!C178*100</f>
        <v>-11.9999999999987</v>
      </c>
      <c r="N178">
        <f>I178*Return!D178*100</f>
        <v>0</v>
      </c>
      <c r="O178">
        <f>J178*Return!E178*100</f>
        <v>0</v>
      </c>
      <c r="P178">
        <f t="shared" si="44"/>
        <v>-37.999999999998</v>
      </c>
      <c r="Q178">
        <f>SUM($P$148:P178)</f>
        <v>78.3000000000071</v>
      </c>
      <c r="R178">
        <f>B178*中国_中债国债到期收益率_1年!B177/365*100</f>
        <v>29.772602739726</v>
      </c>
      <c r="S178">
        <f>C178*中国_中债国债到期收益率_1年!C177/365*100</f>
        <v>29.5528767123288</v>
      </c>
      <c r="T178">
        <f>D178*中国_中债国债到期收益率_1年!D177/365*100</f>
        <v>0</v>
      </c>
      <c r="U178">
        <f>E178*中国_中债国债到期收益率_1年!E177/365*100</f>
        <v>0</v>
      </c>
      <c r="V178">
        <f t="shared" si="45"/>
        <v>59.3254794520548</v>
      </c>
      <c r="W178">
        <f>SUM($V$148:V178)</f>
        <v>1154.13534246575</v>
      </c>
      <c r="X178">
        <f>MAX(F178-50,0)*中国_中债国债到期收益率_1年!H178*100/365</f>
        <v>23.3424657534247</v>
      </c>
      <c r="Y178">
        <f>SUM($X$148:X178)</f>
        <v>223.178082191781</v>
      </c>
      <c r="Z178">
        <v>-20</v>
      </c>
      <c r="AB178">
        <f>Z178*Return!F182*100</f>
        <v>5.39999999999985</v>
      </c>
      <c r="AC178">
        <f>AA178*Return!G182*100</f>
        <v>0</v>
      </c>
      <c r="AD178">
        <f>SUM($AB$148:AB178)+SUM($AC$148:AC178)</f>
        <v>635.4</v>
      </c>
      <c r="AE178">
        <f t="shared" si="38"/>
        <v>1644.65726027398</v>
      </c>
      <c r="AF178">
        <f t="shared" si="39"/>
        <v>1.00328931452055</v>
      </c>
      <c r="AG178" s="5">
        <f>(AF178/AF177-1)-中国_中债国债到期收益率_1年!H178%/252</f>
        <v>-7.77799192733493e-5</v>
      </c>
      <c r="AH178" s="5">
        <f>MIN((AF178-MAX($AF$151:AF178))/MAX($AF$151:AF178),0)</f>
        <v>0</v>
      </c>
    </row>
    <row r="179" spans="1:34">
      <c r="A179" s="7">
        <v>44972</v>
      </c>
      <c r="B179">
        <v>50</v>
      </c>
      <c r="C179">
        <v>40</v>
      </c>
      <c r="F179">
        <f t="shared" si="36"/>
        <v>90</v>
      </c>
      <c r="G179">
        <f t="shared" si="40"/>
        <v>50</v>
      </c>
      <c r="H179">
        <f t="shared" si="41"/>
        <v>200</v>
      </c>
      <c r="I179">
        <f t="shared" si="42"/>
        <v>0</v>
      </c>
      <c r="J179">
        <f t="shared" si="43"/>
        <v>0</v>
      </c>
      <c r="K179">
        <f t="shared" si="37"/>
        <v>250</v>
      </c>
      <c r="L179">
        <f>G179*Return!B179*100</f>
        <v>-23.5000000000007</v>
      </c>
      <c r="M179">
        <f>H179*Return!C179*100</f>
        <v>34.0000000000007</v>
      </c>
      <c r="N179">
        <f>I179*Return!D179*100</f>
        <v>0</v>
      </c>
      <c r="O179">
        <f>J179*Return!E179*100</f>
        <v>0</v>
      </c>
      <c r="P179">
        <f t="shared" si="44"/>
        <v>10.5</v>
      </c>
      <c r="Q179">
        <f>SUM($P$148:P179)</f>
        <v>88.8000000000071</v>
      </c>
      <c r="R179">
        <f>B179*中国_中债国债到期收益率_1年!B178/365*100</f>
        <v>29.8369863013699</v>
      </c>
      <c r="S179">
        <f>C179*中国_中债国债到期收益率_1年!C178/365*100</f>
        <v>29.5342465753425</v>
      </c>
      <c r="T179">
        <f>D179*中国_中债国债到期收益率_1年!D178/365*100</f>
        <v>0</v>
      </c>
      <c r="U179">
        <f>E179*中国_中债国债到期收益率_1年!E178/365*100</f>
        <v>0</v>
      </c>
      <c r="V179">
        <f t="shared" si="45"/>
        <v>59.3712328767123</v>
      </c>
      <c r="W179">
        <f>SUM($V$148:V179)</f>
        <v>1213.50657534247</v>
      </c>
      <c r="X179">
        <f>MAX(F179-50,0)*中国_中债国债到期收益率_1年!H179*100/365</f>
        <v>23.013698630137</v>
      </c>
      <c r="Y179">
        <f>SUM($X$148:X179)</f>
        <v>246.191780821918</v>
      </c>
      <c r="Z179">
        <v>-20</v>
      </c>
      <c r="AB179">
        <f>Z179*Return!F183*100</f>
        <v>39.6000000000001</v>
      </c>
      <c r="AC179">
        <f>AA179*Return!G183*100</f>
        <v>0</v>
      </c>
      <c r="AD179">
        <f>SUM($AB$148:AB179)+SUM($AC$148:AC179)</f>
        <v>675</v>
      </c>
      <c r="AE179">
        <f t="shared" si="38"/>
        <v>1731.11479452056</v>
      </c>
      <c r="AF179">
        <f t="shared" si="39"/>
        <v>1.00346222958904</v>
      </c>
      <c r="AG179" s="5">
        <f>(AF179/AF178-1)-中国_中债国债到期收益率_1年!H179%/252</f>
        <v>8.90148278508326e-5</v>
      </c>
      <c r="AH179" s="5">
        <f>MIN((AF179-MAX($AF$151:AF179))/MAX($AF$151:AF179),0)</f>
        <v>0</v>
      </c>
    </row>
    <row r="180" spans="1:34">
      <c r="A180" s="7">
        <v>44973</v>
      </c>
      <c r="B180">
        <v>50</v>
      </c>
      <c r="C180">
        <v>40</v>
      </c>
      <c r="F180">
        <f t="shared" si="36"/>
        <v>90</v>
      </c>
      <c r="G180">
        <f t="shared" si="40"/>
        <v>50</v>
      </c>
      <c r="H180">
        <f t="shared" si="41"/>
        <v>200</v>
      </c>
      <c r="I180">
        <f t="shared" si="42"/>
        <v>0</v>
      </c>
      <c r="J180">
        <f t="shared" si="43"/>
        <v>0</v>
      </c>
      <c r="K180">
        <f t="shared" si="37"/>
        <v>250</v>
      </c>
      <c r="L180">
        <f>G180*Return!B180*100</f>
        <v>-5.49999999999828</v>
      </c>
      <c r="M180">
        <f>H180*Return!C180*100</f>
        <v>9.99999999999446</v>
      </c>
      <c r="N180">
        <f>I180*Return!D180*100</f>
        <v>0</v>
      </c>
      <c r="O180">
        <f>J180*Return!E180*100</f>
        <v>0</v>
      </c>
      <c r="P180">
        <f t="shared" si="44"/>
        <v>4.49999999999617</v>
      </c>
      <c r="Q180">
        <f>SUM($P$148:P180)</f>
        <v>93.3000000000032</v>
      </c>
      <c r="R180">
        <f>B180*中国_中债国债到期收益率_1年!B179/365*100</f>
        <v>29.8520547945205</v>
      </c>
      <c r="S180">
        <f>C180*中国_中债国债到期收益率_1年!C179/365*100</f>
        <v>29.5287671232877</v>
      </c>
      <c r="T180">
        <f>D180*中国_中债国债到期收益率_1年!D179/365*100</f>
        <v>0</v>
      </c>
      <c r="U180">
        <f>E180*中国_中债国债到期收益率_1年!E179/365*100</f>
        <v>0</v>
      </c>
      <c r="V180">
        <f t="shared" si="45"/>
        <v>59.3808219178082</v>
      </c>
      <c r="W180">
        <f>SUM($V$148:V180)</f>
        <v>1272.88739726027</v>
      </c>
      <c r="X180">
        <f>MAX(F180-50,0)*中国_中债国债到期收益率_1年!H180*100/365</f>
        <v>23.3424657534247</v>
      </c>
      <c r="Y180">
        <f>SUM($X$148:X180)</f>
        <v>269.534246575342</v>
      </c>
      <c r="Z180">
        <v>-20</v>
      </c>
      <c r="AB180">
        <f>Z180*Return!F184*100</f>
        <v>47.3999999999997</v>
      </c>
      <c r="AC180">
        <f>AA180*Return!G184*100</f>
        <v>0</v>
      </c>
      <c r="AD180">
        <f>SUM($AB$148:AB180)+SUM($AC$148:AC180)</f>
        <v>722.399999999999</v>
      </c>
      <c r="AE180">
        <f t="shared" si="38"/>
        <v>1819.05315068493</v>
      </c>
      <c r="AF180">
        <f t="shared" si="39"/>
        <v>1.00363810630137</v>
      </c>
      <c r="AG180" s="5">
        <f>(AF180/AF179-1)-中国_中债国债到期收益率_1年!H180%/252</f>
        <v>9.07460782134965e-5</v>
      </c>
      <c r="AH180" s="5">
        <f>MIN((AF180-MAX($AF$151:AF180))/MAX($AF$151:AF180),0)</f>
        <v>0</v>
      </c>
    </row>
    <row r="181" spans="1:34">
      <c r="A181" s="7">
        <v>44974</v>
      </c>
      <c r="B181">
        <v>50</v>
      </c>
      <c r="C181">
        <v>40</v>
      </c>
      <c r="F181">
        <f t="shared" si="36"/>
        <v>90</v>
      </c>
      <c r="G181">
        <f t="shared" si="40"/>
        <v>50</v>
      </c>
      <c r="H181">
        <f t="shared" si="41"/>
        <v>200</v>
      </c>
      <c r="I181">
        <f t="shared" si="42"/>
        <v>0</v>
      </c>
      <c r="J181">
        <f t="shared" si="43"/>
        <v>0</v>
      </c>
      <c r="K181">
        <f t="shared" si="37"/>
        <v>250</v>
      </c>
      <c r="L181">
        <f>G181*Return!B181*100</f>
        <v>-62.0000000000021</v>
      </c>
      <c r="M181">
        <f>H181*Return!C181*100</f>
        <v>48.0000000000036</v>
      </c>
      <c r="N181">
        <f>I181*Return!D181*100</f>
        <v>0</v>
      </c>
      <c r="O181">
        <f>J181*Return!E181*100</f>
        <v>0</v>
      </c>
      <c r="P181">
        <f t="shared" si="44"/>
        <v>-13.9999999999985</v>
      </c>
      <c r="Q181">
        <f>SUM($P$148:P181)</f>
        <v>79.3000000000048</v>
      </c>
      <c r="R181">
        <f>B181*中国_中债国债到期收益率_1年!B180/365*100</f>
        <v>30.0219178082192</v>
      </c>
      <c r="S181">
        <f>C181*中国_中债国债到期收益率_1年!C180/365*100</f>
        <v>29.5024657534247</v>
      </c>
      <c r="T181">
        <f>D181*中国_中债国债到期收益率_1年!D180/365*100</f>
        <v>0</v>
      </c>
      <c r="U181">
        <f>E181*中国_中债国债到期收益率_1年!E180/365*100</f>
        <v>0</v>
      </c>
      <c r="V181">
        <f t="shared" si="45"/>
        <v>59.5243835616438</v>
      </c>
      <c r="W181">
        <f>SUM($V$148:V181)</f>
        <v>1332.41178082192</v>
      </c>
      <c r="X181">
        <f>MAX(F181-50,0)*中国_中债国债到期收益率_1年!H181*100/365</f>
        <v>27.3972602739726</v>
      </c>
      <c r="Y181">
        <f>SUM($X$148:X181)</f>
        <v>296.931506849315</v>
      </c>
      <c r="Z181">
        <v>-20</v>
      </c>
      <c r="AB181">
        <f>Z181*Return!F185*100</f>
        <v>26.0000000000007</v>
      </c>
      <c r="AC181">
        <f>AA181*Return!G185*100</f>
        <v>0</v>
      </c>
      <c r="AD181">
        <f>SUM($AB$148:AB181)+SUM($AC$148:AC181)</f>
        <v>748.4</v>
      </c>
      <c r="AE181">
        <f t="shared" si="38"/>
        <v>1863.18027397261</v>
      </c>
      <c r="AF181">
        <f t="shared" si="39"/>
        <v>1.00372636054795</v>
      </c>
      <c r="AG181" s="5">
        <f>(AF181/AF180-1)-中国_中债国债到期收益率_1年!H181%/252</f>
        <v>-1.12720170789563e-5</v>
      </c>
      <c r="AH181" s="5">
        <f>MIN((AF181-MAX($AF$151:AF181))/MAX($AF$151:AF181),0)</f>
        <v>0</v>
      </c>
    </row>
    <row r="182" spans="1:34">
      <c r="A182" s="7">
        <v>44977</v>
      </c>
      <c r="B182">
        <v>50</v>
      </c>
      <c r="C182">
        <v>40</v>
      </c>
      <c r="F182">
        <f t="shared" si="36"/>
        <v>90</v>
      </c>
      <c r="G182">
        <f t="shared" si="40"/>
        <v>50</v>
      </c>
      <c r="H182">
        <f t="shared" si="41"/>
        <v>200</v>
      </c>
      <c r="I182">
        <f t="shared" si="42"/>
        <v>0</v>
      </c>
      <c r="J182">
        <f t="shared" si="43"/>
        <v>0</v>
      </c>
      <c r="K182">
        <f t="shared" si="37"/>
        <v>250</v>
      </c>
      <c r="L182">
        <f>G182*Return!B182*100</f>
        <v>-28.499999999998</v>
      </c>
      <c r="M182">
        <f>H182*Return!C182*100</f>
        <v>-110.000000000001</v>
      </c>
      <c r="N182">
        <f>I182*Return!D182*100</f>
        <v>0</v>
      </c>
      <c r="O182">
        <f>J182*Return!E182*100</f>
        <v>0</v>
      </c>
      <c r="P182">
        <f t="shared" si="44"/>
        <v>-138.499999999999</v>
      </c>
      <c r="Q182">
        <f>SUM($P$148:P182)</f>
        <v>-59.1999999999944</v>
      </c>
      <c r="R182">
        <f>B182*中国_中债国债到期收益率_1年!B181/365*100</f>
        <v>30.1</v>
      </c>
      <c r="S182">
        <f>C182*中国_中债国债到期收益率_1年!C181/365*100</f>
        <v>29.5627397260274</v>
      </c>
      <c r="T182">
        <f>D182*中国_中债国债到期收益率_1年!D181/365*100</f>
        <v>0</v>
      </c>
      <c r="U182">
        <f>E182*中国_中债国债到期收益率_1年!E181/365*100</f>
        <v>0</v>
      </c>
      <c r="V182">
        <f t="shared" si="45"/>
        <v>59.6627397260274</v>
      </c>
      <c r="W182">
        <f>SUM($V$148:V182)</f>
        <v>1392.07452054795</v>
      </c>
      <c r="X182">
        <f>MAX(F182-50,0)*中国_中债国债到期收益率_1年!H182*100/365</f>
        <v>25.2054794520548</v>
      </c>
      <c r="Y182">
        <f>SUM($X$148:X182)</f>
        <v>322.13698630137</v>
      </c>
      <c r="Z182">
        <v>-20</v>
      </c>
      <c r="AB182">
        <f>Z182*Return!F186*100</f>
        <v>71.7999999999996</v>
      </c>
      <c r="AC182">
        <f>AA182*Return!G186*100</f>
        <v>0</v>
      </c>
      <c r="AD182">
        <f>SUM($AB$148:AB182)+SUM($AC$148:AC182)</f>
        <v>820.2</v>
      </c>
      <c r="AE182">
        <f t="shared" si="38"/>
        <v>1830.93753424658</v>
      </c>
      <c r="AF182">
        <f t="shared" si="39"/>
        <v>1.00366187506849</v>
      </c>
      <c r="AG182" s="5">
        <f>(AF182/AF181-1)-中国_中债国债到期收益率_1年!H182%/252</f>
        <v>-0.000155515916681064</v>
      </c>
      <c r="AH182" s="5">
        <f>MIN((AF182-MAX($AF$151:AF182))/MAX($AF$151:AF182),0)</f>
        <v>-6.42460754112638e-5</v>
      </c>
    </row>
    <row r="183" spans="1:34">
      <c r="A183" s="7">
        <v>44978</v>
      </c>
      <c r="B183">
        <v>50</v>
      </c>
      <c r="C183">
        <v>40</v>
      </c>
      <c r="F183">
        <f t="shared" si="36"/>
        <v>90</v>
      </c>
      <c r="G183">
        <f t="shared" si="40"/>
        <v>50</v>
      </c>
      <c r="H183">
        <f t="shared" si="41"/>
        <v>200</v>
      </c>
      <c r="I183">
        <f t="shared" si="42"/>
        <v>0</v>
      </c>
      <c r="J183">
        <f t="shared" si="43"/>
        <v>0</v>
      </c>
      <c r="K183">
        <f t="shared" si="37"/>
        <v>250</v>
      </c>
      <c r="L183">
        <f>G183*Return!B183*100</f>
        <v>-211.000000000001</v>
      </c>
      <c r="M183">
        <f>H183*Return!C183*100</f>
        <v>-831.999999999997</v>
      </c>
      <c r="N183">
        <f>I183*Return!D183*100</f>
        <v>0</v>
      </c>
      <c r="O183">
        <f>J183*Return!E183*100</f>
        <v>0</v>
      </c>
      <c r="P183">
        <f t="shared" si="44"/>
        <v>-1043</v>
      </c>
      <c r="Q183">
        <f>SUM($P$148:P183)</f>
        <v>-1102.19999999999</v>
      </c>
      <c r="R183">
        <f>B183*中国_中债国债到期收益率_1年!B182/365*100</f>
        <v>30.6780821917808</v>
      </c>
      <c r="S183">
        <f>C183*中国_中债国债到期收益率_1年!C182/365*100</f>
        <v>30.0186301369863</v>
      </c>
      <c r="T183">
        <f>D183*中国_中债国债到期收益率_1年!D182/365*100</f>
        <v>0</v>
      </c>
      <c r="U183">
        <f>E183*中国_中债国债到期收益率_1年!E182/365*100</f>
        <v>0</v>
      </c>
      <c r="V183">
        <f t="shared" si="45"/>
        <v>60.6967123287671</v>
      </c>
      <c r="W183">
        <f>SUM($V$148:V183)</f>
        <v>1452.77123287671</v>
      </c>
      <c r="X183">
        <f>MAX(F183-50,0)*中国_中债国债到期收益率_1年!H183*100/365</f>
        <v>24.1172602739726</v>
      </c>
      <c r="Y183">
        <f>SUM($X$148:X183)</f>
        <v>346.254246575343</v>
      </c>
      <c r="Z183">
        <v>-20</v>
      </c>
      <c r="AB183">
        <f>Z183*Return!F187*100</f>
        <v>8.20000000000043</v>
      </c>
      <c r="AC183">
        <f>AA183*Return!G187*100</f>
        <v>0</v>
      </c>
      <c r="AD183">
        <f>SUM($AB$148:AB183)+SUM($AC$148:AC183)</f>
        <v>828.4</v>
      </c>
      <c r="AE183">
        <f t="shared" si="38"/>
        <v>832.716986301377</v>
      </c>
      <c r="AF183">
        <f t="shared" si="39"/>
        <v>1.0016654339726</v>
      </c>
      <c r="AG183" s="5">
        <f>(AF183/AF182-1)-中国_中债国债到期收益率_1年!H183%/252</f>
        <v>-0.00207648641635637</v>
      </c>
      <c r="AH183" s="5">
        <f>MIN((AF183-MAX($AF$151:AF183))/MAX($AF$151:AF183),0)</f>
        <v>-0.00205327533115432</v>
      </c>
    </row>
    <row r="184" spans="1:34">
      <c r="A184" s="7">
        <v>44979</v>
      </c>
      <c r="B184">
        <v>50</v>
      </c>
      <c r="C184">
        <v>40</v>
      </c>
      <c r="F184">
        <f t="shared" si="36"/>
        <v>90</v>
      </c>
      <c r="G184">
        <f t="shared" si="40"/>
        <v>50</v>
      </c>
      <c r="H184">
        <f t="shared" si="41"/>
        <v>200</v>
      </c>
      <c r="I184">
        <f t="shared" si="42"/>
        <v>0</v>
      </c>
      <c r="J184">
        <f t="shared" si="43"/>
        <v>0</v>
      </c>
      <c r="K184">
        <f t="shared" si="37"/>
        <v>250</v>
      </c>
      <c r="L184">
        <f>G184*Return!B184*100</f>
        <v>-13.4999999999996</v>
      </c>
      <c r="M184">
        <f>H184*Return!C184*100</f>
        <v>3.99999999999956</v>
      </c>
      <c r="N184">
        <f>I184*Return!D184*100</f>
        <v>0</v>
      </c>
      <c r="O184">
        <f>J184*Return!E184*100</f>
        <v>0</v>
      </c>
      <c r="P184">
        <f t="shared" si="44"/>
        <v>-9.50000000000006</v>
      </c>
      <c r="Q184">
        <f>SUM($P$148:P184)</f>
        <v>-1111.69999999999</v>
      </c>
      <c r="R184">
        <f>B184*中国_中债国债到期收益率_1年!B183/365*100</f>
        <v>30.7150684931507</v>
      </c>
      <c r="S184">
        <f>C184*中国_中债国债到期收益率_1年!C183/365*100</f>
        <v>30.0164383561644</v>
      </c>
      <c r="T184">
        <f>D184*中国_中债国债到期收益率_1年!D183/365*100</f>
        <v>0</v>
      </c>
      <c r="U184">
        <f>E184*中国_中债国债到期收益率_1年!E183/365*100</f>
        <v>0</v>
      </c>
      <c r="V184">
        <f t="shared" si="45"/>
        <v>60.7315068493151</v>
      </c>
      <c r="W184">
        <f>SUM($V$148:V184)</f>
        <v>1513.50273972603</v>
      </c>
      <c r="X184">
        <f>MAX(F184-50,0)*中国_中债国债到期收益率_1年!H184*100/365</f>
        <v>29.041095890411</v>
      </c>
      <c r="Y184">
        <f>SUM($X$148:X184)</f>
        <v>375.295342465753</v>
      </c>
      <c r="Z184">
        <v>-20</v>
      </c>
      <c r="AB184">
        <f>Z184*Return!F188*100</f>
        <v>13.7999999999998</v>
      </c>
      <c r="AC184">
        <f>AA184*Return!G188*100</f>
        <v>0</v>
      </c>
      <c r="AD184">
        <f>SUM($AB$148:AB184)+SUM($AC$148:AC184)</f>
        <v>842.2</v>
      </c>
      <c r="AE184">
        <f t="shared" si="38"/>
        <v>868.707397260281</v>
      </c>
      <c r="AF184">
        <f t="shared" si="39"/>
        <v>1.00173741479452</v>
      </c>
      <c r="AG184" s="5">
        <f>(AF184/AF183-1)-中国_中债国债到期收益率_1年!H184%/252</f>
        <v>-3.32975882279233e-5</v>
      </c>
      <c r="AH184" s="5">
        <f>MIN((AF184-MAX($AF$151:AF184))/MAX($AF$151:AF184),0)</f>
        <v>-0.00198156173993356</v>
      </c>
    </row>
    <row r="185" spans="1:34">
      <c r="A185" s="7">
        <v>44980</v>
      </c>
      <c r="B185">
        <v>50</v>
      </c>
      <c r="C185">
        <v>40</v>
      </c>
      <c r="F185">
        <f t="shared" si="36"/>
        <v>90</v>
      </c>
      <c r="G185">
        <f t="shared" si="40"/>
        <v>50</v>
      </c>
      <c r="H185">
        <f t="shared" si="41"/>
        <v>200</v>
      </c>
      <c r="I185">
        <f t="shared" si="42"/>
        <v>0</v>
      </c>
      <c r="J185">
        <f t="shared" si="43"/>
        <v>0</v>
      </c>
      <c r="K185">
        <f t="shared" si="37"/>
        <v>250</v>
      </c>
      <c r="L185">
        <f>G185*Return!B185*100</f>
        <v>10.9999999999988</v>
      </c>
      <c r="M185">
        <f>H185*Return!C185*100</f>
        <v>95.9999999999983</v>
      </c>
      <c r="N185">
        <f>I185*Return!D185*100</f>
        <v>0</v>
      </c>
      <c r="O185">
        <f>J185*Return!E185*100</f>
        <v>0</v>
      </c>
      <c r="P185">
        <f t="shared" si="44"/>
        <v>106.999999999997</v>
      </c>
      <c r="Q185">
        <f>SUM($P$148:P185)</f>
        <v>-1004.7</v>
      </c>
      <c r="R185">
        <f>B185*中国_中债国债到期收益率_1年!B184/365*100</f>
        <v>30.6849315068493</v>
      </c>
      <c r="S185">
        <f>C185*中国_中债国债到期收益率_1年!C184/365*100</f>
        <v>29.9638356164384</v>
      </c>
      <c r="T185">
        <f>D185*中国_中债国债到期收益率_1年!D184/365*100</f>
        <v>0</v>
      </c>
      <c r="U185">
        <f>E185*中国_中债国债到期收益率_1年!E184/365*100</f>
        <v>0</v>
      </c>
      <c r="V185">
        <f t="shared" si="45"/>
        <v>60.6487671232877</v>
      </c>
      <c r="W185">
        <f>SUM($V$148:V185)</f>
        <v>1574.15150684932</v>
      </c>
      <c r="X185">
        <f>MAX(F185-50,0)*中国_中债国债到期收益率_1年!H185*100/365</f>
        <v>28.4931506849315</v>
      </c>
      <c r="Y185">
        <f>SUM($X$148:X185)</f>
        <v>403.788493150685</v>
      </c>
      <c r="Z185">
        <v>-20</v>
      </c>
      <c r="AB185">
        <f>Z185*Return!F189*100</f>
        <v>64.5999999999995</v>
      </c>
      <c r="AC185">
        <f>AA185*Return!G189*100</f>
        <v>0</v>
      </c>
      <c r="AD185">
        <f>SUM($AB$148:AB185)+SUM($AC$148:AC185)</f>
        <v>906.8</v>
      </c>
      <c r="AE185">
        <f t="shared" si="38"/>
        <v>1072.46301369863</v>
      </c>
      <c r="AF185">
        <f t="shared" si="39"/>
        <v>1.0021449260274</v>
      </c>
      <c r="AG185" s="5">
        <f>(AF185/AF184-1)-中国_中债国债到期收益率_1年!H185%/252</f>
        <v>0.000303629841641175</v>
      </c>
      <c r="AH185" s="5">
        <f>MIN((AF185-MAX($AF$151:AF185))/MAX($AF$151:AF185),0)</f>
        <v>-0.0015755634032412</v>
      </c>
    </row>
    <row r="186" spans="1:34">
      <c r="A186" s="7">
        <v>44981</v>
      </c>
      <c r="B186">
        <v>50</v>
      </c>
      <c r="C186">
        <v>40</v>
      </c>
      <c r="F186">
        <f t="shared" si="36"/>
        <v>90</v>
      </c>
      <c r="G186">
        <f t="shared" si="40"/>
        <v>50</v>
      </c>
      <c r="H186">
        <f t="shared" si="41"/>
        <v>200</v>
      </c>
      <c r="I186">
        <f t="shared" si="42"/>
        <v>0</v>
      </c>
      <c r="J186">
        <f t="shared" si="43"/>
        <v>0</v>
      </c>
      <c r="K186">
        <f t="shared" si="37"/>
        <v>250</v>
      </c>
      <c r="L186">
        <f>G186*Return!B186*100</f>
        <v>-101.499999999999</v>
      </c>
      <c r="M186">
        <f>H186*Return!C186*100</f>
        <v>-208.000000000004</v>
      </c>
      <c r="N186">
        <f>I186*Return!D186*100</f>
        <v>0</v>
      </c>
      <c r="O186">
        <f>J186*Return!E186*100</f>
        <v>0</v>
      </c>
      <c r="P186">
        <f t="shared" si="44"/>
        <v>-309.500000000003</v>
      </c>
      <c r="Q186">
        <f>SUM($P$148:P186)</f>
        <v>-1314.2</v>
      </c>
      <c r="R186">
        <f>B186*中国_中债国债到期收益率_1年!B185/365*100</f>
        <v>30.9630136986301</v>
      </c>
      <c r="S186">
        <f>C186*中国_中债国债到期收益率_1年!C185/365*100</f>
        <v>30.0778082191781</v>
      </c>
      <c r="T186">
        <f>D186*中国_中债国债到期收益率_1年!D185/365*100</f>
        <v>0</v>
      </c>
      <c r="U186">
        <f>E186*中国_中债国债到期收益率_1年!E185/365*100</f>
        <v>0</v>
      </c>
      <c r="V186">
        <f t="shared" si="45"/>
        <v>61.0408219178082</v>
      </c>
      <c r="W186">
        <f>SUM($V$148:V186)</f>
        <v>1635.19232876712</v>
      </c>
      <c r="X186">
        <f>MAX(F186-50,0)*中国_中债国债到期收益率_1年!H186*100/365</f>
        <v>28.4931506849315</v>
      </c>
      <c r="Y186">
        <f>SUM($X$148:X186)</f>
        <v>432.281643835616</v>
      </c>
      <c r="Z186">
        <v>-20</v>
      </c>
      <c r="AB186">
        <f>Z186*Return!F190*100</f>
        <v>-64.0000000000001</v>
      </c>
      <c r="AC186">
        <f>AA186*Return!G190*100</f>
        <v>0</v>
      </c>
      <c r="AD186">
        <f>SUM($AB$148:AB186)+SUM($AC$148:AC186)</f>
        <v>842.8</v>
      </c>
      <c r="AE186">
        <f t="shared" si="38"/>
        <v>731.510684931508</v>
      </c>
      <c r="AF186">
        <f t="shared" si="39"/>
        <v>1.00146302136986</v>
      </c>
      <c r="AG186" s="5">
        <f>(AF186/AF185-1)-中国_中债国债到期收益率_1年!H186%/252</f>
        <v>-0.000783619756190066</v>
      </c>
      <c r="AH186" s="5">
        <f>MIN((AF186-MAX($AF$151:AF186))/MAX($AF$151:AF186),0)</f>
        <v>-0.00225493647177564</v>
      </c>
    </row>
    <row r="187" spans="1:34">
      <c r="A187" s="7">
        <v>44984</v>
      </c>
      <c r="B187">
        <v>50</v>
      </c>
      <c r="C187">
        <v>40</v>
      </c>
      <c r="F187">
        <f t="shared" si="36"/>
        <v>90</v>
      </c>
      <c r="G187">
        <f t="shared" si="40"/>
        <v>50</v>
      </c>
      <c r="H187">
        <f t="shared" si="41"/>
        <v>200</v>
      </c>
      <c r="I187">
        <f t="shared" si="42"/>
        <v>0</v>
      </c>
      <c r="J187">
        <f t="shared" si="43"/>
        <v>0</v>
      </c>
      <c r="K187">
        <f t="shared" si="37"/>
        <v>250</v>
      </c>
      <c r="L187">
        <f>G187*Return!B187*100</f>
        <v>-172.5</v>
      </c>
      <c r="M187">
        <f>H187*Return!C187*100</f>
        <v>102.000000000002</v>
      </c>
      <c r="N187">
        <f>I187*Return!D187*100</f>
        <v>0</v>
      </c>
      <c r="O187">
        <f>J187*Return!E187*100</f>
        <v>0</v>
      </c>
      <c r="P187">
        <f t="shared" si="44"/>
        <v>-70.4999999999978</v>
      </c>
      <c r="Q187">
        <f>SUM($P$148:P187)</f>
        <v>-1384.7</v>
      </c>
      <c r="R187">
        <f>B187*中国_中债国债到期收益率_1年!B186/365*100</f>
        <v>31.4356164383562</v>
      </c>
      <c r="S187">
        <f>C187*中国_中债国债到期收益率_1年!C186/365*100</f>
        <v>30.0219178082192</v>
      </c>
      <c r="T187">
        <f>D187*中国_中债国债到期收益率_1年!D186/365*100</f>
        <v>0</v>
      </c>
      <c r="U187">
        <f>E187*中国_中债国债到期收益率_1年!E186/365*100</f>
        <v>0</v>
      </c>
      <c r="V187">
        <f t="shared" si="45"/>
        <v>61.4575342465753</v>
      </c>
      <c r="W187">
        <f>SUM($V$148:V187)</f>
        <v>1696.6498630137</v>
      </c>
      <c r="X187">
        <f>MAX(F187-50,0)*中国_中债国债到期收益率_1年!H187*100/365</f>
        <v>29.041095890411</v>
      </c>
      <c r="Y187">
        <f>SUM($X$148:X187)</f>
        <v>461.322739726027</v>
      </c>
      <c r="Z187">
        <v>-20</v>
      </c>
      <c r="AB187">
        <f>Z187*Return!F191*100</f>
        <v>16.2000000000004</v>
      </c>
      <c r="AC187">
        <f>AA187*Return!G191*100</f>
        <v>0</v>
      </c>
      <c r="AD187">
        <f>SUM($AB$148:AB187)+SUM($AC$148:AC187)</f>
        <v>859</v>
      </c>
      <c r="AE187">
        <f t="shared" si="38"/>
        <v>709.627123287675</v>
      </c>
      <c r="AF187">
        <f t="shared" si="39"/>
        <v>1.00141925424658</v>
      </c>
      <c r="AG187" s="5">
        <f>(AF187/AF186-1)-中国_中债国债到期收益率_1年!H187%/252</f>
        <v>-0.000148861914753298</v>
      </c>
      <c r="AH187" s="5">
        <f>MIN((AF187-MAX($AF$151:AF187))/MAX($AF$151:AF187),0)</f>
        <v>-0.00229854110846535</v>
      </c>
    </row>
    <row r="188" spans="1:34">
      <c r="A188" s="7">
        <v>44985</v>
      </c>
      <c r="B188">
        <v>50</v>
      </c>
      <c r="C188">
        <v>40</v>
      </c>
      <c r="F188">
        <f t="shared" si="36"/>
        <v>90</v>
      </c>
      <c r="G188">
        <f t="shared" si="40"/>
        <v>50</v>
      </c>
      <c r="H188">
        <f t="shared" si="41"/>
        <v>200</v>
      </c>
      <c r="I188">
        <f t="shared" si="42"/>
        <v>0</v>
      </c>
      <c r="J188">
        <f t="shared" si="43"/>
        <v>0</v>
      </c>
      <c r="K188">
        <f t="shared" si="37"/>
        <v>250</v>
      </c>
      <c r="L188">
        <f>G188*Return!B188*100</f>
        <v>-108.5</v>
      </c>
      <c r="M188">
        <f>H188*Return!C188*100</f>
        <v>-5.9999999999949</v>
      </c>
      <c r="N188">
        <f>I188*Return!D188*100</f>
        <v>0</v>
      </c>
      <c r="O188">
        <f>J188*Return!E188*100</f>
        <v>0</v>
      </c>
      <c r="P188">
        <f t="shared" si="44"/>
        <v>-114.499999999995</v>
      </c>
      <c r="Q188">
        <f>SUM($P$148:P188)</f>
        <v>-1499.19999999999</v>
      </c>
      <c r="R188">
        <f>B188*中国_中债国债到期收益率_1年!B187/365*100</f>
        <v>31.7328767123288</v>
      </c>
      <c r="S188">
        <f>C188*中国_中债国债到期收益率_1年!C187/365*100</f>
        <v>30.0252054794521</v>
      </c>
      <c r="T188">
        <f>D188*中国_中债国债到期收益率_1年!D187/365*100</f>
        <v>0</v>
      </c>
      <c r="U188">
        <f>E188*中国_中债国债到期收益率_1年!E187/365*100</f>
        <v>0</v>
      </c>
      <c r="V188">
        <f t="shared" si="45"/>
        <v>61.7580821917808</v>
      </c>
      <c r="W188">
        <f>SUM($V$148:V188)</f>
        <v>1758.40794520548</v>
      </c>
      <c r="X188">
        <f>MAX(F188-50,0)*中国_中债国债到期收益率_1年!H188*100/365</f>
        <v>31.2328767123288</v>
      </c>
      <c r="Y188">
        <f>SUM($X$148:X188)</f>
        <v>492.555616438356</v>
      </c>
      <c r="Z188">
        <v>-20</v>
      </c>
      <c r="AB188">
        <f>Z188*Return!F192*100</f>
        <v>54.9999999999997</v>
      </c>
      <c r="AC188">
        <f>AA188*Return!G192*100</f>
        <v>0</v>
      </c>
      <c r="AD188">
        <f>SUM($AB$148:AB188)+SUM($AC$148:AC188)</f>
        <v>914</v>
      </c>
      <c r="AE188">
        <f t="shared" si="38"/>
        <v>680.652328767132</v>
      </c>
      <c r="AF188">
        <f t="shared" si="39"/>
        <v>1.00136130465753</v>
      </c>
      <c r="AG188" s="5">
        <f>(AF188/AF187-1)-中国_中债国债到期收益率_1年!H188%/252</f>
        <v>-0.000170962698497499</v>
      </c>
      <c r="AH188" s="5">
        <f>MIN((AF188-MAX($AF$151:AF188))/MAX($AF$151:AF188),0)</f>
        <v>-0.00235627555813101</v>
      </c>
    </row>
    <row r="189" spans="1:34">
      <c r="A189" s="7">
        <v>44986</v>
      </c>
      <c r="B189">
        <v>50</v>
      </c>
      <c r="C189">
        <v>40</v>
      </c>
      <c r="F189">
        <f t="shared" si="36"/>
        <v>90</v>
      </c>
      <c r="G189">
        <f t="shared" si="40"/>
        <v>50</v>
      </c>
      <c r="H189">
        <f t="shared" si="41"/>
        <v>200</v>
      </c>
      <c r="I189">
        <f t="shared" si="42"/>
        <v>0</v>
      </c>
      <c r="J189">
        <f t="shared" si="43"/>
        <v>0</v>
      </c>
      <c r="K189">
        <f t="shared" si="37"/>
        <v>250</v>
      </c>
      <c r="L189">
        <f>G189*Return!B189*100</f>
        <v>-62.9999999999997</v>
      </c>
      <c r="M189">
        <f>H189*Return!C189*100</f>
        <v>47.9999999999947</v>
      </c>
      <c r="N189">
        <f>I189*Return!D189*100</f>
        <v>0</v>
      </c>
      <c r="O189">
        <f>J189*Return!E189*100</f>
        <v>0</v>
      </c>
      <c r="P189">
        <f t="shared" si="44"/>
        <v>-15.000000000005</v>
      </c>
      <c r="Q189">
        <f>SUM($P$148:P189)</f>
        <v>-1514.2</v>
      </c>
      <c r="R189">
        <f>B189*中国_中债国债到期收益率_1年!B188/365*100</f>
        <v>31.9054794520548</v>
      </c>
      <c r="S189">
        <f>C189*中国_中债国债到期收益率_1年!C188/365*100</f>
        <v>29.998904109589</v>
      </c>
      <c r="T189">
        <f>D189*中国_中债国债到期收益率_1年!D188/365*100</f>
        <v>0</v>
      </c>
      <c r="U189">
        <f>E189*中国_中债国债到期收益率_1年!E188/365*100</f>
        <v>0</v>
      </c>
      <c r="V189">
        <f t="shared" si="45"/>
        <v>61.9043835616438</v>
      </c>
      <c r="W189">
        <f>SUM($V$148:V189)</f>
        <v>1820.31232876712</v>
      </c>
      <c r="X189">
        <f>MAX(F189-50,0)*中国_中债国债到期收益率_1年!H189*100/365</f>
        <v>23.2328767123288</v>
      </c>
      <c r="Y189">
        <f>SUM($X$148:X189)</f>
        <v>515.788493150685</v>
      </c>
      <c r="Z189">
        <v>-20</v>
      </c>
      <c r="AB189">
        <f>Z189*Return!F193*100</f>
        <v>-74.6000000000002</v>
      </c>
      <c r="AC189">
        <f>AA189*Return!G193*100</f>
        <v>0</v>
      </c>
      <c r="AD189">
        <f>SUM($AB$148:AB189)+SUM($AC$148:AC189)</f>
        <v>839.399999999999</v>
      </c>
      <c r="AE189">
        <f t="shared" si="38"/>
        <v>629.723835616442</v>
      </c>
      <c r="AF189">
        <f t="shared" si="39"/>
        <v>1.00125944767123</v>
      </c>
      <c r="AG189" s="5">
        <f>(AF189/AF188-1)-中国_中债国债到期收益率_1年!H189%/252</f>
        <v>-0.00018584550053826</v>
      </c>
      <c r="AH189" s="5">
        <f>MIN((AF189-MAX($AF$151:AF189))/MAX($AF$151:AF189),0)</f>
        <v>-0.00245775439768822</v>
      </c>
    </row>
    <row r="190" spans="1:34">
      <c r="A190" s="7">
        <v>44987</v>
      </c>
      <c r="B190">
        <v>50</v>
      </c>
      <c r="C190">
        <v>40</v>
      </c>
      <c r="F190">
        <f t="shared" si="36"/>
        <v>90</v>
      </c>
      <c r="G190">
        <f t="shared" si="40"/>
        <v>50</v>
      </c>
      <c r="H190">
        <f t="shared" si="41"/>
        <v>200</v>
      </c>
      <c r="I190">
        <f t="shared" si="42"/>
        <v>0</v>
      </c>
      <c r="J190">
        <f t="shared" si="43"/>
        <v>0</v>
      </c>
      <c r="K190">
        <f t="shared" si="37"/>
        <v>250</v>
      </c>
      <c r="L190">
        <f>G190*Return!B190*100</f>
        <v>46.9999999999993</v>
      </c>
      <c r="M190">
        <f>H190*Return!C190*100</f>
        <v>40.0000000000045</v>
      </c>
      <c r="N190">
        <f>I190*Return!D190*100</f>
        <v>0</v>
      </c>
      <c r="O190">
        <f>J190*Return!E190*100</f>
        <v>0</v>
      </c>
      <c r="P190">
        <f t="shared" si="44"/>
        <v>87.0000000000037</v>
      </c>
      <c r="Q190">
        <f>SUM($P$148:P190)</f>
        <v>-1427.19999999999</v>
      </c>
      <c r="R190">
        <f>B190*中国_中债国债到期收益率_1年!B189/365*100</f>
        <v>31.7767123287671</v>
      </c>
      <c r="S190">
        <f>C190*中国_中债国债到期收益率_1年!C189/365*100</f>
        <v>29.9769863013699</v>
      </c>
      <c r="T190">
        <f>D190*中国_中债国债到期收益率_1年!D189/365*100</f>
        <v>0</v>
      </c>
      <c r="U190">
        <f>E190*中国_中债国债到期收益率_1年!E189/365*100</f>
        <v>0</v>
      </c>
      <c r="V190">
        <f t="shared" si="45"/>
        <v>61.753698630137</v>
      </c>
      <c r="W190">
        <f>SUM($V$148:V190)</f>
        <v>1882.06602739726</v>
      </c>
      <c r="X190">
        <f>MAX(F190-50,0)*中国_中债国债到期收益率_1年!H190*100/365</f>
        <v>24.1095890410959</v>
      </c>
      <c r="Y190">
        <f>SUM($X$148:X190)</f>
        <v>539.898082191781</v>
      </c>
      <c r="Z190">
        <v>-20</v>
      </c>
      <c r="AB190">
        <f>Z190*Return!F194*100</f>
        <v>-2.79999999999969</v>
      </c>
      <c r="AC190">
        <f>AA190*Return!G194*100</f>
        <v>0</v>
      </c>
      <c r="AD190">
        <f>SUM($AB$148:AB190)+SUM($AC$148:AC190)</f>
        <v>836.6</v>
      </c>
      <c r="AE190">
        <f t="shared" si="38"/>
        <v>751.567945205487</v>
      </c>
      <c r="AF190">
        <f t="shared" si="39"/>
        <v>1.00150313589041</v>
      </c>
      <c r="AG190" s="5">
        <f>(AF190/AF189-1)-中国_中债国债到期收益率_1年!H190%/252</f>
        <v>0.000156080105370542</v>
      </c>
      <c r="AH190" s="5">
        <f>MIN((AF190-MAX($AF$151:AF190))/MAX($AF$151:AF190),0)</f>
        <v>-0.00221497087744167</v>
      </c>
    </row>
    <row r="191" spans="1:34">
      <c r="A191" s="7">
        <v>44988</v>
      </c>
      <c r="B191">
        <v>50</v>
      </c>
      <c r="C191">
        <v>40</v>
      </c>
      <c r="F191">
        <f t="shared" si="36"/>
        <v>90</v>
      </c>
      <c r="G191">
        <f t="shared" si="40"/>
        <v>50</v>
      </c>
      <c r="H191">
        <f t="shared" si="41"/>
        <v>200</v>
      </c>
      <c r="I191">
        <f t="shared" si="42"/>
        <v>0</v>
      </c>
      <c r="J191">
        <f t="shared" si="43"/>
        <v>0</v>
      </c>
      <c r="K191">
        <f t="shared" si="37"/>
        <v>250</v>
      </c>
      <c r="L191">
        <f>G191*Return!B191*100</f>
        <v>-24.9999999999995</v>
      </c>
      <c r="M191">
        <f>H191*Return!C191*100</f>
        <v>-318.000000000005</v>
      </c>
      <c r="N191">
        <f>I191*Return!D191*100</f>
        <v>0</v>
      </c>
      <c r="O191">
        <f>J191*Return!E191*100</f>
        <v>0</v>
      </c>
      <c r="P191">
        <f t="shared" si="44"/>
        <v>-343.000000000004</v>
      </c>
      <c r="Q191">
        <f>SUM($P$148:P191)</f>
        <v>-1770.2</v>
      </c>
      <c r="R191">
        <f>B191*中国_中债国债到期收益率_1年!B190/365*100</f>
        <v>31.8452054794521</v>
      </c>
      <c r="S191">
        <f>C191*中国_中债国债到期收益率_1年!C190/365*100</f>
        <v>30.1512328767123</v>
      </c>
      <c r="T191">
        <f>D191*中国_中债国债到期收益率_1年!D190/365*100</f>
        <v>0</v>
      </c>
      <c r="U191">
        <f>E191*中国_中债国债到期收益率_1年!E190/365*100</f>
        <v>0</v>
      </c>
      <c r="V191">
        <f t="shared" si="45"/>
        <v>61.9964383561644</v>
      </c>
      <c r="W191">
        <f>SUM($V$148:V191)</f>
        <v>1944.06246575342</v>
      </c>
      <c r="X191">
        <f>MAX(F191-50,0)*中国_中债国债到期收益率_1年!H191*100/365</f>
        <v>21.9178082191781</v>
      </c>
      <c r="Y191">
        <f>SUM($X$148:X191)</f>
        <v>561.815890410959</v>
      </c>
      <c r="Z191">
        <v>20</v>
      </c>
      <c r="AB191">
        <f>Z191*Return!F195*100</f>
        <v>-7.80000000000047</v>
      </c>
      <c r="AC191">
        <f>AA191*Return!G195*100</f>
        <v>0</v>
      </c>
      <c r="AD191">
        <f>SUM($AB$148:AB191)+SUM($AC$148:AC191)</f>
        <v>828.799999999999</v>
      </c>
      <c r="AE191">
        <f t="shared" si="38"/>
        <v>440.846575342468</v>
      </c>
      <c r="AF191">
        <f t="shared" si="39"/>
        <v>1.00088169315068</v>
      </c>
      <c r="AG191" s="5">
        <f>(AF191/AF190-1)-中国_中债国债到期收益率_1年!H191%/252</f>
        <v>-0.000699875108196313</v>
      </c>
      <c r="AH191" s="5">
        <f>MIN((AF191-MAX($AF$151:AF191))/MAX($AF$151:AF191),0)</f>
        <v>-0.00283410649462993</v>
      </c>
    </row>
    <row r="192" spans="1:34">
      <c r="A192" s="7">
        <v>44991</v>
      </c>
      <c r="B192">
        <v>50</v>
      </c>
      <c r="C192">
        <v>40</v>
      </c>
      <c r="F192">
        <f t="shared" si="36"/>
        <v>90</v>
      </c>
      <c r="G192">
        <f t="shared" si="40"/>
        <v>50</v>
      </c>
      <c r="H192">
        <f t="shared" si="41"/>
        <v>200</v>
      </c>
      <c r="I192">
        <f t="shared" si="42"/>
        <v>0</v>
      </c>
      <c r="J192">
        <f t="shared" si="43"/>
        <v>0</v>
      </c>
      <c r="K192">
        <f t="shared" si="37"/>
        <v>250</v>
      </c>
      <c r="L192">
        <f>G192*Return!B192*100</f>
        <v>8.50000000000017</v>
      </c>
      <c r="M192">
        <f>H192*Return!C192*100</f>
        <v>251.999999999999</v>
      </c>
      <c r="N192">
        <f>I192*Return!D192*100</f>
        <v>0</v>
      </c>
      <c r="O192">
        <f>J192*Return!E192*100</f>
        <v>0</v>
      </c>
      <c r="P192">
        <f t="shared" si="44"/>
        <v>260.499999999999</v>
      </c>
      <c r="Q192">
        <f>SUM($P$148:P192)</f>
        <v>-1509.7</v>
      </c>
      <c r="R192">
        <f>B192*中国_中债国债到期收益率_1年!B191/365*100</f>
        <v>31.8219178082192</v>
      </c>
      <c r="S192">
        <f>C192*中国_中债国债到期收益率_1年!C191/365*100</f>
        <v>30.0131506849315</v>
      </c>
      <c r="T192">
        <f>D192*中国_中债国债到期收益率_1年!D191/365*100</f>
        <v>0</v>
      </c>
      <c r="U192">
        <f>E192*中国_中债国债到期收益率_1年!E191/365*100</f>
        <v>0</v>
      </c>
      <c r="V192">
        <f t="shared" si="45"/>
        <v>61.8350684931507</v>
      </c>
      <c r="W192">
        <f>SUM($V$148:V192)</f>
        <v>2005.89753424658</v>
      </c>
      <c r="X192">
        <f>MAX(F192-50,0)*中国_中债国债到期收益率_1年!H192*100/365</f>
        <v>21.9178082191781</v>
      </c>
      <c r="Y192">
        <f>SUM($X$148:X192)</f>
        <v>583.733698630137</v>
      </c>
      <c r="Z192">
        <v>20</v>
      </c>
      <c r="AB192">
        <f>Z192*Return!F196*100</f>
        <v>-2.59999999999927</v>
      </c>
      <c r="AC192">
        <f>AA192*Return!G196*100</f>
        <v>0</v>
      </c>
      <c r="AD192">
        <f>SUM($AB$148:AB192)+SUM($AC$148:AC192)</f>
        <v>826.2</v>
      </c>
      <c r="AE192">
        <f t="shared" si="38"/>
        <v>738.66383561644</v>
      </c>
      <c r="AF192">
        <f t="shared" si="39"/>
        <v>1.00147732767123</v>
      </c>
      <c r="AG192" s="5">
        <f>(AF192/AF191-1)-中国_中债国债到期收益率_1年!H192%/252</f>
        <v>0.000515744736933987</v>
      </c>
      <c r="AH192" s="5">
        <f>MIN((AF192-MAX($AF$151:AF192))/MAX($AF$151:AF192),0)</f>
        <v>-0.00224068328292625</v>
      </c>
    </row>
    <row r="193" spans="1:34">
      <c r="A193" s="7">
        <v>44992</v>
      </c>
      <c r="B193">
        <v>50</v>
      </c>
      <c r="C193">
        <v>40</v>
      </c>
      <c r="F193">
        <f t="shared" si="36"/>
        <v>90</v>
      </c>
      <c r="G193">
        <f t="shared" si="40"/>
        <v>50</v>
      </c>
      <c r="H193">
        <f t="shared" si="41"/>
        <v>200</v>
      </c>
      <c r="I193">
        <f t="shared" si="42"/>
        <v>0</v>
      </c>
      <c r="J193">
        <f t="shared" si="43"/>
        <v>0</v>
      </c>
      <c r="K193">
        <f t="shared" si="37"/>
        <v>250</v>
      </c>
      <c r="L193">
        <f>G193*Return!B193*100</f>
        <v>137.499999999999</v>
      </c>
      <c r="M193">
        <f>H193*Return!C193*100</f>
        <v>546.000000000006</v>
      </c>
      <c r="N193">
        <f>I193*Return!D193*100</f>
        <v>0</v>
      </c>
      <c r="O193">
        <f>J193*Return!E193*100</f>
        <v>0</v>
      </c>
      <c r="P193">
        <f t="shared" si="44"/>
        <v>683.500000000006</v>
      </c>
      <c r="Q193">
        <f>SUM($P$148:P193)</f>
        <v>-826.199999999992</v>
      </c>
      <c r="R193">
        <f>B193*中国_中债国债到期收益率_1年!B192/365*100</f>
        <v>31.4452054794521</v>
      </c>
      <c r="S193">
        <f>C193*中国_中债国债到期收益率_1年!C192/365*100</f>
        <v>29.7139726027397</v>
      </c>
      <c r="T193">
        <f>D193*中国_中债国债到期收益率_1年!D192/365*100</f>
        <v>0</v>
      </c>
      <c r="U193">
        <f>E193*中国_中债国债到期收益率_1年!E192/365*100</f>
        <v>0</v>
      </c>
      <c r="V193">
        <f t="shared" si="45"/>
        <v>61.1591780821918</v>
      </c>
      <c r="W193">
        <f>SUM($V$148:V193)</f>
        <v>2067.05671232877</v>
      </c>
      <c r="X193">
        <f>MAX(F193-50,0)*中国_中债国债到期收益率_1年!H193*100/365</f>
        <v>21.9178082191781</v>
      </c>
      <c r="Y193">
        <f>SUM($X$148:X193)</f>
        <v>605.651506849315</v>
      </c>
      <c r="Z193">
        <v>20</v>
      </c>
      <c r="AB193">
        <f>Z193*Return!F197*100</f>
        <v>33.3999999999994</v>
      </c>
      <c r="AC193">
        <f>AA193*Return!G197*100</f>
        <v>0</v>
      </c>
      <c r="AD193">
        <f>SUM($AB$148:AB193)+SUM($AC$148:AC193)</f>
        <v>859.599999999999</v>
      </c>
      <c r="AE193">
        <f t="shared" si="38"/>
        <v>1494.80520547946</v>
      </c>
      <c r="AF193">
        <f t="shared" si="39"/>
        <v>1.00298961041096</v>
      </c>
      <c r="AG193" s="5">
        <f>(AF193/AF192-1)-中国_中债国债到期收益率_1年!H193%/252</f>
        <v>0.00143068681890672</v>
      </c>
      <c r="AH193" s="5">
        <f>MIN((AF193-MAX($AF$151:AF193))/MAX($AF$151:AF193),0)</f>
        <v>-0.000734014932699339</v>
      </c>
    </row>
    <row r="194" spans="1:34">
      <c r="A194" s="7">
        <v>44993</v>
      </c>
      <c r="B194">
        <v>50</v>
      </c>
      <c r="C194">
        <v>40</v>
      </c>
      <c r="F194">
        <f t="shared" si="36"/>
        <v>90</v>
      </c>
      <c r="G194">
        <f t="shared" si="40"/>
        <v>50</v>
      </c>
      <c r="H194">
        <f t="shared" si="41"/>
        <v>200</v>
      </c>
      <c r="I194">
        <f t="shared" si="42"/>
        <v>0</v>
      </c>
      <c r="J194">
        <f t="shared" si="43"/>
        <v>0</v>
      </c>
      <c r="K194">
        <f t="shared" si="37"/>
        <v>250</v>
      </c>
      <c r="L194">
        <f>G194*Return!B194*100</f>
        <v>37.5000000000014</v>
      </c>
      <c r="M194">
        <f>H194*Return!C194*100</f>
        <v>199.999999999996</v>
      </c>
      <c r="N194">
        <f>I194*Return!D194*100</f>
        <v>0</v>
      </c>
      <c r="O194">
        <f>J194*Return!E194*100</f>
        <v>0</v>
      </c>
      <c r="P194">
        <f t="shared" si="44"/>
        <v>237.499999999997</v>
      </c>
      <c r="Q194">
        <f>SUM($P$148:P194)</f>
        <v>-588.699999999995</v>
      </c>
      <c r="R194">
        <f>B194*中国_中债国债到期收益率_1年!B193/365*100</f>
        <v>31.3424657534247</v>
      </c>
      <c r="S194">
        <f>C194*中国_中债国债到期收益率_1年!C193/365*100</f>
        <v>29.6043835616438</v>
      </c>
      <c r="T194">
        <f>D194*中国_中债国债到期收益率_1年!D193/365*100</f>
        <v>0</v>
      </c>
      <c r="U194">
        <f>E194*中国_中债国债到期收益率_1年!E193/365*100</f>
        <v>0</v>
      </c>
      <c r="V194">
        <f t="shared" si="45"/>
        <v>60.9468493150685</v>
      </c>
      <c r="W194">
        <f>SUM($V$148:V194)</f>
        <v>2128.00356164384</v>
      </c>
      <c r="X194">
        <f>MAX(F194-50,0)*中国_中债国债到期收益率_1年!H194*100/365</f>
        <v>21.9178082191781</v>
      </c>
      <c r="Y194">
        <f>SUM($X$148:X194)</f>
        <v>627.569315068493</v>
      </c>
      <c r="Z194">
        <v>20</v>
      </c>
      <c r="AB194">
        <f>Z194*Return!F198*100</f>
        <v>1.00000000000033</v>
      </c>
      <c r="AC194">
        <f>AA194*Return!G198*100</f>
        <v>0</v>
      </c>
      <c r="AD194">
        <f>SUM($AB$148:AB194)+SUM($AC$148:AC194)</f>
        <v>860.6</v>
      </c>
      <c r="AE194">
        <f t="shared" si="38"/>
        <v>1772.33424657535</v>
      </c>
      <c r="AF194">
        <f t="shared" si="39"/>
        <v>1.00354466849315</v>
      </c>
      <c r="AG194" s="5">
        <f>(AF194/AF193-1)-中国_中债国债到期收益率_1年!H194%/252</f>
        <v>0.000474038541599819</v>
      </c>
      <c r="AH194" s="5">
        <f>MIN((AF194-MAX($AF$151:AF194))/MAX($AF$151:AF194),0)</f>
        <v>-0.000181017518256053</v>
      </c>
    </row>
    <row r="195" spans="1:34">
      <c r="A195" s="7">
        <v>44994</v>
      </c>
      <c r="B195">
        <v>50</v>
      </c>
      <c r="C195">
        <v>40</v>
      </c>
      <c r="F195">
        <f t="shared" ref="F195:F258" si="46">SUM(B195:E195)</f>
        <v>90</v>
      </c>
      <c r="G195">
        <f t="shared" si="40"/>
        <v>50</v>
      </c>
      <c r="H195">
        <f t="shared" si="41"/>
        <v>200</v>
      </c>
      <c r="I195">
        <f t="shared" si="42"/>
        <v>0</v>
      </c>
      <c r="J195">
        <f t="shared" si="43"/>
        <v>0</v>
      </c>
      <c r="K195">
        <f t="shared" ref="K195:K258" si="47">SUM(G195:J195)</f>
        <v>250</v>
      </c>
      <c r="L195">
        <f>G195*Return!B195*100</f>
        <v>74.9999999999984</v>
      </c>
      <c r="M195">
        <f>H195*Return!C195*100</f>
        <v>-217.999999999998</v>
      </c>
      <c r="N195">
        <f>I195*Return!D195*100</f>
        <v>0</v>
      </c>
      <c r="O195">
        <f>J195*Return!E195*100</f>
        <v>0</v>
      </c>
      <c r="P195">
        <f t="shared" si="44"/>
        <v>-143</v>
      </c>
      <c r="Q195">
        <f>SUM($P$148:P195)</f>
        <v>-731.699999999995</v>
      </c>
      <c r="R195">
        <f>B195*中国_中债国债到期收益率_1年!B194/365*100</f>
        <v>31.1369863013699</v>
      </c>
      <c r="S195">
        <f>C195*中国_中债国债到期收益率_1年!C194/365*100</f>
        <v>29.7238356164384</v>
      </c>
      <c r="T195">
        <f>D195*中国_中债国债到期收益率_1年!D194/365*100</f>
        <v>0</v>
      </c>
      <c r="U195">
        <f>E195*中国_中债国债到期收益率_1年!E194/365*100</f>
        <v>0</v>
      </c>
      <c r="V195">
        <f t="shared" si="45"/>
        <v>60.8608219178082</v>
      </c>
      <c r="W195">
        <f>SUM($V$148:V195)</f>
        <v>2188.86438356164</v>
      </c>
      <c r="X195">
        <f>MAX(F195-50,0)*中国_中债国债到期收益率_1年!H195*100/365</f>
        <v>23.013698630137</v>
      </c>
      <c r="Y195">
        <f>SUM($X$148:X195)</f>
        <v>650.58301369863</v>
      </c>
      <c r="Z195">
        <v>20</v>
      </c>
      <c r="AB195">
        <f>Z195*Return!F199*100</f>
        <v>11.4000000000001</v>
      </c>
      <c r="AC195">
        <f>AA195*Return!G199*100</f>
        <v>0</v>
      </c>
      <c r="AD195">
        <f>SUM($AB$148:AB195)+SUM($AC$148:AC195)</f>
        <v>872</v>
      </c>
      <c r="AE195">
        <f t="shared" si="38"/>
        <v>1678.58136986302</v>
      </c>
      <c r="AF195">
        <f t="shared" si="39"/>
        <v>1.00335716273973</v>
      </c>
      <c r="AG195" s="5">
        <f>(AF195/AF194-1)-中国_中债国债到期收益率_1年!H195%/252</f>
        <v>-0.000270176788648722</v>
      </c>
      <c r="AH195" s="5">
        <f>MIN((AF195-MAX($AF$151:AF195))/MAX($AF$151:AF195),0)</f>
        <v>-0.000367827151632894</v>
      </c>
    </row>
    <row r="196" spans="1:34">
      <c r="A196" s="7">
        <v>44995</v>
      </c>
      <c r="B196">
        <v>50</v>
      </c>
      <c r="C196">
        <v>40</v>
      </c>
      <c r="F196">
        <f t="shared" si="46"/>
        <v>90</v>
      </c>
      <c r="G196">
        <f t="shared" si="40"/>
        <v>50</v>
      </c>
      <c r="H196">
        <f t="shared" si="41"/>
        <v>200</v>
      </c>
      <c r="I196">
        <f t="shared" si="42"/>
        <v>0</v>
      </c>
      <c r="J196">
        <f t="shared" si="43"/>
        <v>0</v>
      </c>
      <c r="K196">
        <f t="shared" si="47"/>
        <v>250</v>
      </c>
      <c r="L196">
        <f>G196*Return!B196*100</f>
        <v>0</v>
      </c>
      <c r="M196">
        <f>H196*Return!C196*100</f>
        <v>191.999999999997</v>
      </c>
      <c r="N196">
        <f>I196*Return!D196*100</f>
        <v>0</v>
      </c>
      <c r="O196">
        <f>J196*Return!E196*100</f>
        <v>0</v>
      </c>
      <c r="P196">
        <f t="shared" si="44"/>
        <v>191.999999999997</v>
      </c>
      <c r="Q196">
        <f>SUM($P$148:P196)</f>
        <v>-539.699999999998</v>
      </c>
      <c r="R196">
        <f>B196*中国_中债国债到期收益率_1年!B195/365*100</f>
        <v>31.1369863013699</v>
      </c>
      <c r="S196">
        <f>C196*中国_中债国债到期收益率_1年!C195/365*100</f>
        <v>29.6186301369863</v>
      </c>
      <c r="T196">
        <f>D196*中国_中债国债到期收益率_1年!D195/365*100</f>
        <v>0</v>
      </c>
      <c r="U196">
        <f>E196*中国_中债国债到期收益率_1年!E195/365*100</f>
        <v>0</v>
      </c>
      <c r="V196">
        <f t="shared" si="45"/>
        <v>60.7556164383562</v>
      </c>
      <c r="W196">
        <f>SUM($V$148:V196)</f>
        <v>2249.62</v>
      </c>
      <c r="X196">
        <f>MAX(F196-50,0)*中国_中债国债到期收益率_1年!H196*100/365</f>
        <v>23.013698630137</v>
      </c>
      <c r="Y196">
        <f>SUM($X$148:X196)</f>
        <v>673.596712328767</v>
      </c>
      <c r="Z196">
        <v>20</v>
      </c>
      <c r="AB196">
        <f>Z196*Return!F200*100</f>
        <v>-41.5999999999999</v>
      </c>
      <c r="AC196">
        <f>AA196*Return!G200*100</f>
        <v>0</v>
      </c>
      <c r="AD196">
        <f>SUM($AB$148:AB196)+SUM($AC$148:AC196)</f>
        <v>830.4</v>
      </c>
      <c r="AE196">
        <f t="shared" ref="AE196:AE259" si="48">Q196+W196+AD196-Y196</f>
        <v>1866.72328767123</v>
      </c>
      <c r="AF196">
        <f t="shared" ref="AF196:AF259" si="49">AE196/$AI$1+1</f>
        <v>1.00373344657534</v>
      </c>
      <c r="AG196" s="5">
        <f>(AF196/AF195-1)-中国_中债国债到期收益率_1年!H196%/252</f>
        <v>0.000291691482943492</v>
      </c>
      <c r="AH196" s="5">
        <f>MIN((AF196-MAX($AF$151:AF196))/MAX($AF$151:AF196),0)</f>
        <v>0</v>
      </c>
    </row>
    <row r="197" spans="1:34">
      <c r="A197" s="7">
        <v>44998</v>
      </c>
      <c r="B197">
        <v>50</v>
      </c>
      <c r="C197">
        <v>40</v>
      </c>
      <c r="F197">
        <f t="shared" si="46"/>
        <v>90</v>
      </c>
      <c r="G197">
        <f t="shared" si="40"/>
        <v>50</v>
      </c>
      <c r="H197">
        <f t="shared" si="41"/>
        <v>200</v>
      </c>
      <c r="I197">
        <f t="shared" si="42"/>
        <v>0</v>
      </c>
      <c r="J197">
        <f t="shared" si="43"/>
        <v>0</v>
      </c>
      <c r="K197">
        <f t="shared" si="47"/>
        <v>250</v>
      </c>
      <c r="L197">
        <f>G197*Return!B197*100</f>
        <v>50.0000000000012</v>
      </c>
      <c r="M197">
        <f>H197*Return!C197*100</f>
        <v>144.000000000002</v>
      </c>
      <c r="N197">
        <f>I197*Return!D197*100</f>
        <v>0</v>
      </c>
      <c r="O197">
        <f>J197*Return!E197*100</f>
        <v>0</v>
      </c>
      <c r="P197">
        <f t="shared" si="44"/>
        <v>194.000000000003</v>
      </c>
      <c r="Q197">
        <f>SUM($P$148:P197)</f>
        <v>-345.699999999995</v>
      </c>
      <c r="R197">
        <f>B197*中国_中债国债到期收益率_1年!B196/365*100</f>
        <v>31</v>
      </c>
      <c r="S197">
        <f>C197*中国_中债国债到期收益率_1年!C196/365*100</f>
        <v>29.5397260273973</v>
      </c>
      <c r="T197">
        <f>D197*中国_中债国债到期收益率_1年!D196/365*100</f>
        <v>0</v>
      </c>
      <c r="U197">
        <f>E197*中国_中债国债到期收益率_1年!E196/365*100</f>
        <v>0</v>
      </c>
      <c r="V197">
        <f t="shared" si="45"/>
        <v>60.5397260273973</v>
      </c>
      <c r="W197">
        <f>SUM($V$148:V197)</f>
        <v>2310.1597260274</v>
      </c>
      <c r="X197">
        <f>MAX(F197-50,0)*中国_中债国债到期收益率_1年!H197*100/365</f>
        <v>24.1095890410959</v>
      </c>
      <c r="Y197">
        <f>SUM($X$148:X197)</f>
        <v>697.706301369863</v>
      </c>
      <c r="Z197">
        <v>20</v>
      </c>
      <c r="AB197">
        <f>Z197*Return!F201*100</f>
        <v>24.9999999999995</v>
      </c>
      <c r="AC197">
        <f>AA197*Return!G201*100</f>
        <v>0</v>
      </c>
      <c r="AD197">
        <f>SUM($AB$148:AB197)+SUM($AC$148:AC197)</f>
        <v>855.399999999999</v>
      </c>
      <c r="AE197">
        <f t="shared" si="48"/>
        <v>2122.15342465754</v>
      </c>
      <c r="AF197">
        <f t="shared" si="49"/>
        <v>1.00424430684931</v>
      </c>
      <c r="AG197" s="5">
        <f>(AF197/AF196-1)-中国_中债国债到期收益率_1年!H197%/252</f>
        <v>0.000421658511333627</v>
      </c>
      <c r="AH197" s="5">
        <f>MIN((AF197-MAX($AF$151:AF197))/MAX($AF$151:AF197),0)</f>
        <v>0</v>
      </c>
    </row>
    <row r="198" spans="1:34">
      <c r="A198" s="7">
        <v>44999</v>
      </c>
      <c r="B198">
        <v>50</v>
      </c>
      <c r="C198">
        <v>40</v>
      </c>
      <c r="F198">
        <f t="shared" si="46"/>
        <v>90</v>
      </c>
      <c r="G198">
        <f t="shared" si="40"/>
        <v>50</v>
      </c>
      <c r="H198">
        <f t="shared" si="41"/>
        <v>200</v>
      </c>
      <c r="I198">
        <f t="shared" si="42"/>
        <v>0</v>
      </c>
      <c r="J198">
        <f t="shared" si="43"/>
        <v>0</v>
      </c>
      <c r="K198">
        <f t="shared" si="47"/>
        <v>250</v>
      </c>
      <c r="L198">
        <f>G198*Return!B198*100</f>
        <v>0</v>
      </c>
      <c r="M198">
        <f>H198*Return!C198*100</f>
        <v>-183.999999999997</v>
      </c>
      <c r="N198">
        <f>I198*Return!D198*100</f>
        <v>0</v>
      </c>
      <c r="O198">
        <f>J198*Return!E198*100</f>
        <v>0</v>
      </c>
      <c r="P198">
        <f t="shared" si="44"/>
        <v>-183.999999999997</v>
      </c>
      <c r="Q198">
        <f>SUM($P$148:P198)</f>
        <v>-529.699999999993</v>
      </c>
      <c r="R198">
        <f>B198*中国_中债国债到期收益率_1年!B197/365*100</f>
        <v>31</v>
      </c>
      <c r="S198">
        <f>C198*中国_中债国债到期收益率_1年!C197/365*100</f>
        <v>29.6405479452055</v>
      </c>
      <c r="T198">
        <f>D198*中国_中债国债到期收益率_1年!D197/365*100</f>
        <v>0</v>
      </c>
      <c r="U198">
        <f>E198*中国_中债国债到期收益率_1年!E197/365*100</f>
        <v>0</v>
      </c>
      <c r="V198">
        <f t="shared" si="45"/>
        <v>60.6405479452055</v>
      </c>
      <c r="W198">
        <f>SUM($V$148:V198)</f>
        <v>2370.8002739726</v>
      </c>
      <c r="X198">
        <f>MAX(F198-50,0)*中国_中债国债到期收益率_1年!H198*100/365</f>
        <v>24.1095890410959</v>
      </c>
      <c r="Y198">
        <f>SUM($X$148:X198)</f>
        <v>721.815890410959</v>
      </c>
      <c r="Z198">
        <v>20</v>
      </c>
      <c r="AB198">
        <f>Z198*Return!F202*100</f>
        <v>22.4000000000002</v>
      </c>
      <c r="AC198">
        <f>AA198*Return!G202*100</f>
        <v>0</v>
      </c>
      <c r="AD198">
        <f>SUM($AB$148:AB198)+SUM($AC$148:AC198)</f>
        <v>877.8</v>
      </c>
      <c r="AE198">
        <f t="shared" si="48"/>
        <v>1997.08438356165</v>
      </c>
      <c r="AF198">
        <f t="shared" si="49"/>
        <v>1.00399416876712</v>
      </c>
      <c r="AG198" s="5">
        <f>(AF198/AF197-1)-中国_中债国债到期收益率_1年!H198%/252</f>
        <v>-0.000336382493696337</v>
      </c>
      <c r="AH198" s="5">
        <f>MIN((AF198-MAX($AF$151:AF198))/MAX($AF$151:AF198),0)</f>
        <v>-0.00024908090639472</v>
      </c>
    </row>
    <row r="199" spans="1:34">
      <c r="A199" s="7">
        <v>45000</v>
      </c>
      <c r="B199">
        <v>50</v>
      </c>
      <c r="C199">
        <v>40</v>
      </c>
      <c r="F199">
        <f t="shared" si="46"/>
        <v>90</v>
      </c>
      <c r="G199">
        <f t="shared" si="40"/>
        <v>50</v>
      </c>
      <c r="H199">
        <f t="shared" si="41"/>
        <v>200</v>
      </c>
      <c r="I199">
        <f t="shared" si="42"/>
        <v>0</v>
      </c>
      <c r="J199">
        <f t="shared" si="43"/>
        <v>0</v>
      </c>
      <c r="K199">
        <f t="shared" si="47"/>
        <v>250</v>
      </c>
      <c r="L199">
        <f>G199*Return!B199*100</f>
        <v>-30.0000000000011</v>
      </c>
      <c r="M199">
        <f>H199*Return!C199*100</f>
        <v>157.999999999996</v>
      </c>
      <c r="N199">
        <f>I199*Return!D199*100</f>
        <v>0</v>
      </c>
      <c r="O199">
        <f>J199*Return!E199*100</f>
        <v>0</v>
      </c>
      <c r="P199">
        <f t="shared" si="44"/>
        <v>127.999999999995</v>
      </c>
      <c r="Q199">
        <f>SUM($P$148:P199)</f>
        <v>-401.699999999998</v>
      </c>
      <c r="R199">
        <f>B199*中国_中债国债到期收益率_1年!B198/365*100</f>
        <v>31.0821917808219</v>
      </c>
      <c r="S199">
        <f>C199*中国_中债国债到期收益率_1年!C198/365*100</f>
        <v>29.5539726027397</v>
      </c>
      <c r="T199">
        <f>D199*中国_中债国债到期收益率_1年!D198/365*100</f>
        <v>0</v>
      </c>
      <c r="U199">
        <f>E199*中国_中债国债到期收益率_1年!E198/365*100</f>
        <v>0</v>
      </c>
      <c r="V199">
        <f t="shared" si="45"/>
        <v>60.6361643835616</v>
      </c>
      <c r="W199">
        <f>SUM($V$148:V199)</f>
        <v>2431.43643835616</v>
      </c>
      <c r="X199">
        <f>MAX(F199-50,0)*中国_中债国债到期收益率_1年!H199*100/365</f>
        <v>24.6575342465753</v>
      </c>
      <c r="Y199">
        <f>SUM($X$148:X199)</f>
        <v>746.473424657534</v>
      </c>
      <c r="Z199">
        <v>30</v>
      </c>
      <c r="AB199">
        <f>Z199*Return!F203*100</f>
        <v>168.299999999999</v>
      </c>
      <c r="AC199">
        <f>AA199*Return!G203*100</f>
        <v>0</v>
      </c>
      <c r="AD199">
        <f>SUM($AB$148:AB199)+SUM($AC$148:AC199)</f>
        <v>1046.1</v>
      </c>
      <c r="AE199">
        <f t="shared" si="48"/>
        <v>2329.36301369863</v>
      </c>
      <c r="AF199">
        <f t="shared" si="49"/>
        <v>1.0046587260274</v>
      </c>
      <c r="AG199" s="5">
        <f>(AF199/AF198-1)-中国_中债国债到期收益率_1年!H199%/252</f>
        <v>0.000572627751895227</v>
      </c>
      <c r="AH199" s="5">
        <f>MIN((AF199-MAX($AF$151:AF199))/MAX($AF$151:AF199),0)</f>
        <v>0</v>
      </c>
    </row>
    <row r="200" spans="1:34">
      <c r="A200" s="7">
        <v>45001</v>
      </c>
      <c r="B200">
        <v>50</v>
      </c>
      <c r="C200">
        <v>30</v>
      </c>
      <c r="F200">
        <f t="shared" si="46"/>
        <v>80</v>
      </c>
      <c r="G200">
        <f t="shared" si="40"/>
        <v>50</v>
      </c>
      <c r="H200">
        <f t="shared" si="41"/>
        <v>150</v>
      </c>
      <c r="I200">
        <f t="shared" si="42"/>
        <v>0</v>
      </c>
      <c r="J200">
        <f t="shared" si="43"/>
        <v>0</v>
      </c>
      <c r="K200">
        <f t="shared" si="47"/>
        <v>200</v>
      </c>
      <c r="L200">
        <f>G200*Return!B200*100</f>
        <v>-49.9999999999989</v>
      </c>
      <c r="M200">
        <f>H200*Return!C200*100</f>
        <v>-28.5000000000002</v>
      </c>
      <c r="N200">
        <f>I200*Return!D200*100</f>
        <v>0</v>
      </c>
      <c r="O200">
        <f>J200*Return!E200*100</f>
        <v>0</v>
      </c>
      <c r="P200">
        <f t="shared" si="44"/>
        <v>-78.4999999999991</v>
      </c>
      <c r="Q200">
        <f>SUM($P$148:P200)</f>
        <v>-480.199999999997</v>
      </c>
      <c r="R200">
        <f>B200*中国_中债国债到期收益率_1年!B199/365*100</f>
        <v>31.2191780821918</v>
      </c>
      <c r="S200">
        <f>C200*中国_中债国债到期收益率_1年!C199/365*100</f>
        <v>22.181095890411</v>
      </c>
      <c r="T200">
        <f>D200*中国_中债国债到期收益率_1年!D199/365*100</f>
        <v>0</v>
      </c>
      <c r="U200">
        <f>E200*中国_中债国债到期收益率_1年!E199/365*100</f>
        <v>0</v>
      </c>
      <c r="V200">
        <f t="shared" si="45"/>
        <v>53.4002739726027</v>
      </c>
      <c r="W200">
        <f>SUM($V$148:V200)</f>
        <v>2484.83671232877</v>
      </c>
      <c r="X200">
        <f>MAX(F200-50,0)*中国_中债国债到期收益率_1年!H200*100/365</f>
        <v>18.9041095890411</v>
      </c>
      <c r="Y200">
        <f>SUM($X$148:X200)</f>
        <v>765.377534246575</v>
      </c>
      <c r="Z200">
        <v>30</v>
      </c>
      <c r="AB200">
        <f>Z200*Return!F204*100</f>
        <v>-87.5999999999997</v>
      </c>
      <c r="AC200">
        <f>AA200*Return!G204*100</f>
        <v>0</v>
      </c>
      <c r="AD200">
        <f>SUM($AB$148:AB200)+SUM($AC$148:AC200)</f>
        <v>958.499999999999</v>
      </c>
      <c r="AE200">
        <f t="shared" si="48"/>
        <v>2197.75917808219</v>
      </c>
      <c r="AF200">
        <f t="shared" si="49"/>
        <v>1.00439551835616</v>
      </c>
      <c r="AG200" s="5">
        <f>(AF200/AF199-1)-中国_中债国债到期收益率_1年!H200%/252</f>
        <v>-0.000353256986172062</v>
      </c>
      <c r="AH200" s="5">
        <f>MIN((AF200-MAX($AF$151:AF200))/MAX($AF$151:AF200),0)</f>
        <v>-0.000261987144902202</v>
      </c>
    </row>
    <row r="201" spans="1:34">
      <c r="A201" s="7">
        <v>45002</v>
      </c>
      <c r="B201">
        <v>50</v>
      </c>
      <c r="C201">
        <v>30</v>
      </c>
      <c r="F201">
        <f t="shared" si="46"/>
        <v>80</v>
      </c>
      <c r="G201">
        <f t="shared" si="40"/>
        <v>50</v>
      </c>
      <c r="H201">
        <f t="shared" si="41"/>
        <v>150</v>
      </c>
      <c r="I201">
        <f t="shared" si="42"/>
        <v>0</v>
      </c>
      <c r="J201">
        <f t="shared" si="43"/>
        <v>0</v>
      </c>
      <c r="K201">
        <f t="shared" si="47"/>
        <v>200</v>
      </c>
      <c r="L201">
        <f>G201*Return!B201*100</f>
        <v>149.999999999999</v>
      </c>
      <c r="M201">
        <f>H201*Return!C201*100</f>
        <v>222.000000000002</v>
      </c>
      <c r="N201">
        <f>I201*Return!D201*100</f>
        <v>0</v>
      </c>
      <c r="O201">
        <f>J201*Return!E201*100</f>
        <v>0</v>
      </c>
      <c r="P201">
        <f t="shared" si="44"/>
        <v>372.000000000001</v>
      </c>
      <c r="Q201">
        <f>SUM($P$148:P201)</f>
        <v>-108.199999999996</v>
      </c>
      <c r="R201">
        <f>B201*中国_中债国债到期收益率_1年!B200/365*100</f>
        <v>30.8082191780822</v>
      </c>
      <c r="S201">
        <f>C201*中国_中债国债到期收益率_1年!C200/365*100</f>
        <v>22.0594520547945</v>
      </c>
      <c r="T201">
        <f>D201*中国_中债国债到期收益率_1年!D200/365*100</f>
        <v>0</v>
      </c>
      <c r="U201">
        <f>E201*中国_中债国债到期收益率_1年!E200/365*100</f>
        <v>0</v>
      </c>
      <c r="V201">
        <f t="shared" si="45"/>
        <v>52.8676712328767</v>
      </c>
      <c r="W201">
        <f>SUM($V$148:V201)</f>
        <v>2537.70438356164</v>
      </c>
      <c r="X201">
        <f>MAX(F201-50,0)*中国_中债国债到期收益率_1年!H201*100/365</f>
        <v>18.9041095890411</v>
      </c>
      <c r="Y201">
        <f>SUM($X$148:X201)</f>
        <v>784.281643835616</v>
      </c>
      <c r="Z201">
        <v>30</v>
      </c>
      <c r="AB201">
        <f>Z201*Return!F205*100</f>
        <v>-26.7000000000004</v>
      </c>
      <c r="AC201">
        <f>AA201*Return!G205*100</f>
        <v>0</v>
      </c>
      <c r="AD201">
        <f>SUM($AB$148:AB201)+SUM($AC$148:AC201)</f>
        <v>931.799999999999</v>
      </c>
      <c r="AE201">
        <f t="shared" si="48"/>
        <v>2577.02273972603</v>
      </c>
      <c r="AF201">
        <f t="shared" si="49"/>
        <v>1.00515404547945</v>
      </c>
      <c r="AG201" s="5">
        <f>(AF201/AF200-1)-中国_中债国债到期收益率_1年!H201%/252</f>
        <v>0.000663937753173855</v>
      </c>
      <c r="AH201" s="5">
        <f>MIN((AF201-MAX($AF$151:AF201))/MAX($AF$151:AF201),0)</f>
        <v>0</v>
      </c>
    </row>
    <row r="202" spans="1:34">
      <c r="A202" s="7">
        <v>45005</v>
      </c>
      <c r="B202">
        <v>50</v>
      </c>
      <c r="C202">
        <v>30</v>
      </c>
      <c r="F202">
        <f t="shared" si="46"/>
        <v>80</v>
      </c>
      <c r="G202">
        <f t="shared" si="40"/>
        <v>50</v>
      </c>
      <c r="H202">
        <f t="shared" si="41"/>
        <v>150</v>
      </c>
      <c r="I202">
        <f t="shared" si="42"/>
        <v>0</v>
      </c>
      <c r="J202">
        <f t="shared" si="43"/>
        <v>0</v>
      </c>
      <c r="K202">
        <f t="shared" si="47"/>
        <v>200</v>
      </c>
      <c r="L202">
        <f>G202*Return!B202*100</f>
        <v>0</v>
      </c>
      <c r="M202">
        <f>H202*Return!C202*100</f>
        <v>-39.0000000000024</v>
      </c>
      <c r="N202">
        <f>I202*Return!D202*100</f>
        <v>0</v>
      </c>
      <c r="O202">
        <f>J202*Return!E202*100</f>
        <v>0</v>
      </c>
      <c r="P202">
        <f t="shared" si="44"/>
        <v>-39.0000000000024</v>
      </c>
      <c r="Q202">
        <f>SUM($P$148:P202)</f>
        <v>-147.199999999998</v>
      </c>
      <c r="R202">
        <f>B202*中国_中债国债到期收益率_1年!B201/365*100</f>
        <v>30.8082191780822</v>
      </c>
      <c r="S202">
        <f>C202*中国_中债国债到期收益率_1年!C201/365*100</f>
        <v>22.0808219178082</v>
      </c>
      <c r="T202">
        <f>D202*中国_中债国债到期收益率_1年!D201/365*100</f>
        <v>0</v>
      </c>
      <c r="U202">
        <f>E202*中国_中债国债到期收益率_1年!E201/365*100</f>
        <v>0</v>
      </c>
      <c r="V202">
        <f t="shared" si="45"/>
        <v>52.8890410958904</v>
      </c>
      <c r="W202">
        <f>SUM($V$148:V202)</f>
        <v>2590.59342465753</v>
      </c>
      <c r="X202">
        <f>MAX(F202-50,0)*中国_中债国债到期收益率_1年!H202*100/365</f>
        <v>18.4931506849315</v>
      </c>
      <c r="Y202">
        <f>SUM($X$148:X202)</f>
        <v>802.774794520548</v>
      </c>
      <c r="Z202">
        <v>30</v>
      </c>
      <c r="AB202">
        <f>Z202*Return!F206*100</f>
        <v>37.5000000000005</v>
      </c>
      <c r="AC202">
        <f>AA202*Return!G206*100</f>
        <v>0</v>
      </c>
      <c r="AD202">
        <f>SUM($AB$148:AB202)+SUM($AC$148:AC202)</f>
        <v>969.3</v>
      </c>
      <c r="AE202">
        <f t="shared" si="48"/>
        <v>2609.91863013699</v>
      </c>
      <c r="AF202">
        <f t="shared" si="49"/>
        <v>1.00521983726027</v>
      </c>
      <c r="AG202" s="5">
        <f>(AF202/AF201-1)-中国_中债国债到期收益率_1年!H202%/252</f>
        <v>-2.38312885506911e-5</v>
      </c>
      <c r="AH202" s="5">
        <f>MIN((AF202-MAX($AF$151:AF202))/MAX($AF$151:AF202),0)</f>
        <v>0</v>
      </c>
    </row>
    <row r="203" spans="1:34">
      <c r="A203" s="7">
        <v>45006</v>
      </c>
      <c r="B203">
        <v>50</v>
      </c>
      <c r="C203">
        <v>30</v>
      </c>
      <c r="F203">
        <f t="shared" si="46"/>
        <v>80</v>
      </c>
      <c r="G203">
        <f t="shared" si="40"/>
        <v>50</v>
      </c>
      <c r="H203">
        <f t="shared" si="41"/>
        <v>150</v>
      </c>
      <c r="I203">
        <f t="shared" si="42"/>
        <v>0</v>
      </c>
      <c r="J203">
        <f t="shared" si="43"/>
        <v>0</v>
      </c>
      <c r="K203">
        <f t="shared" si="47"/>
        <v>200</v>
      </c>
      <c r="L203">
        <f>G203*Return!B203*100</f>
        <v>75.0000000000006</v>
      </c>
      <c r="M203">
        <f>H203*Return!C203*100</f>
        <v>433.500000000002</v>
      </c>
      <c r="N203">
        <f>I203*Return!D203*100</f>
        <v>0</v>
      </c>
      <c r="O203">
        <f>J203*Return!E203*100</f>
        <v>0</v>
      </c>
      <c r="P203">
        <f t="shared" si="44"/>
        <v>508.500000000003</v>
      </c>
      <c r="Q203">
        <f>SUM($P$148:P203)</f>
        <v>361.300000000005</v>
      </c>
      <c r="R203">
        <f>B203*中国_中债国债到期收益率_1年!B202/365*100</f>
        <v>30.6027397260274</v>
      </c>
      <c r="S203">
        <f>C203*中国_中债国债到期收益率_1年!C202/365*100</f>
        <v>21.8432876712329</v>
      </c>
      <c r="T203">
        <f>D203*中国_中债国债到期收益率_1年!D202/365*100</f>
        <v>0</v>
      </c>
      <c r="U203">
        <f>E203*中国_中债国债到期收益率_1年!E202/365*100</f>
        <v>0</v>
      </c>
      <c r="V203">
        <f t="shared" si="45"/>
        <v>52.4460273972603</v>
      </c>
      <c r="W203">
        <f>SUM($V$148:V203)</f>
        <v>2643.03945205479</v>
      </c>
      <c r="X203">
        <f>MAX(F203-50,0)*中国_中债国债到期收益率_1年!H203*100/365</f>
        <v>19.3150684931507</v>
      </c>
      <c r="Y203">
        <f>SUM($X$148:X203)</f>
        <v>822.089863013699</v>
      </c>
      <c r="Z203">
        <v>30</v>
      </c>
      <c r="AB203">
        <f>Z203*Return!F207*100</f>
        <v>-35.0999999999995</v>
      </c>
      <c r="AC203">
        <f>AA203*Return!G207*100</f>
        <v>0</v>
      </c>
      <c r="AD203">
        <f>SUM($AB$148:AB203)+SUM($AC$148:AC203)</f>
        <v>934.2</v>
      </c>
      <c r="AE203">
        <f t="shared" si="48"/>
        <v>3116.4495890411</v>
      </c>
      <c r="AF203">
        <f t="shared" si="49"/>
        <v>1.00623289917808</v>
      </c>
      <c r="AG203" s="5">
        <f>(AF203/AF202-1)-中国_中债国债到期收益率_1年!H203%/252</f>
        <v>0.000914547390470945</v>
      </c>
      <c r="AH203" s="5">
        <f>MIN((AF203-MAX($AF$151:AF203))/MAX($AF$151:AF203),0)</f>
        <v>0</v>
      </c>
    </row>
    <row r="204" spans="1:34">
      <c r="A204" s="7">
        <v>45007</v>
      </c>
      <c r="B204">
        <v>50</v>
      </c>
      <c r="C204">
        <v>30</v>
      </c>
      <c r="F204">
        <f t="shared" si="46"/>
        <v>80</v>
      </c>
      <c r="G204">
        <f t="shared" si="40"/>
        <v>50</v>
      </c>
      <c r="H204">
        <f t="shared" si="41"/>
        <v>150</v>
      </c>
      <c r="I204">
        <f t="shared" si="42"/>
        <v>0</v>
      </c>
      <c r="J204">
        <f t="shared" si="43"/>
        <v>0</v>
      </c>
      <c r="K204">
        <f t="shared" si="47"/>
        <v>200</v>
      </c>
      <c r="L204">
        <f>G204*Return!B204*100</f>
        <v>-75.0000000000006</v>
      </c>
      <c r="M204">
        <f>H204*Return!C204*100</f>
        <v>-337.499999999999</v>
      </c>
      <c r="N204">
        <f>I204*Return!D204*100</f>
        <v>0</v>
      </c>
      <c r="O204">
        <f>J204*Return!E204*100</f>
        <v>0</v>
      </c>
      <c r="P204">
        <f t="shared" si="44"/>
        <v>-412.5</v>
      </c>
      <c r="Q204">
        <f>SUM($P$148:P204)</f>
        <v>-51.1999999999954</v>
      </c>
      <c r="R204">
        <f>B204*中国_中债国债到期收益率_1年!B203/365*100</f>
        <v>30.8082191780822</v>
      </c>
      <c r="S204">
        <f>C204*中国_中债国债到期收益率_1年!C203/365*100</f>
        <v>22.0282191780822</v>
      </c>
      <c r="T204">
        <f>D204*中国_中债国债到期收益率_1年!D203/365*100</f>
        <v>0</v>
      </c>
      <c r="U204">
        <f>E204*中国_中债国债到期收益率_1年!E203/365*100</f>
        <v>0</v>
      </c>
      <c r="V204">
        <f t="shared" si="45"/>
        <v>52.8364383561644</v>
      </c>
      <c r="W204">
        <f>SUM($V$148:V204)</f>
        <v>2695.87589041096</v>
      </c>
      <c r="X204">
        <f>MAX(F204-50,0)*中国_中债国债到期收益率_1年!H204*100/365</f>
        <v>18.9041095890411</v>
      </c>
      <c r="Y204">
        <f>SUM($X$148:X204)</f>
        <v>840.99397260274</v>
      </c>
      <c r="Z204">
        <v>30</v>
      </c>
      <c r="AB204">
        <f>Z204*Return!F208*100</f>
        <v>51.299999999999</v>
      </c>
      <c r="AC204">
        <f>AA204*Return!G208*100</f>
        <v>0</v>
      </c>
      <c r="AD204">
        <f>SUM($AB$148:AB204)+SUM($AC$148:AC204)</f>
        <v>985.499999999999</v>
      </c>
      <c r="AE204">
        <f t="shared" si="48"/>
        <v>2789.18191780822</v>
      </c>
      <c r="AF204">
        <f t="shared" si="49"/>
        <v>1.00557836383562</v>
      </c>
      <c r="AG204" s="5">
        <f>(AF204/AF203-1)-中国_中债国债到期收益率_1年!H204%/252</f>
        <v>-0.000741750801493306</v>
      </c>
      <c r="AH204" s="5">
        <f>MIN((AF204-MAX($AF$151:AF204))/MAX($AF$151:AF204),0)</f>
        <v>-0.00065048096022351</v>
      </c>
    </row>
    <row r="205" spans="1:34">
      <c r="A205" s="7">
        <v>45008</v>
      </c>
      <c r="B205">
        <v>50</v>
      </c>
      <c r="C205">
        <v>30</v>
      </c>
      <c r="F205">
        <f t="shared" si="46"/>
        <v>80</v>
      </c>
      <c r="G205">
        <f t="shared" si="40"/>
        <v>50</v>
      </c>
      <c r="H205">
        <f t="shared" si="41"/>
        <v>150</v>
      </c>
      <c r="I205">
        <f t="shared" si="42"/>
        <v>0</v>
      </c>
      <c r="J205">
        <f t="shared" si="43"/>
        <v>0</v>
      </c>
      <c r="K205">
        <f t="shared" si="47"/>
        <v>200</v>
      </c>
      <c r="L205">
        <f>G205*Return!B205*100</f>
        <v>-119</v>
      </c>
      <c r="M205">
        <f>H205*Return!C205*100</f>
        <v>-121.500000000003</v>
      </c>
      <c r="N205">
        <f>I205*Return!D205*100</f>
        <v>0</v>
      </c>
      <c r="O205">
        <f>J205*Return!E205*100</f>
        <v>0</v>
      </c>
      <c r="P205">
        <f t="shared" si="44"/>
        <v>-240.500000000003</v>
      </c>
      <c r="Q205">
        <f>SUM($P$148:P205)</f>
        <v>-291.699999999999</v>
      </c>
      <c r="R205">
        <f>B205*中国_中债国债到期收益率_1年!B204/365*100</f>
        <v>31.1342465753425</v>
      </c>
      <c r="S205">
        <f>C205*中国_中债国债到期收益率_1年!C204/365*100</f>
        <v>22.0947945205479</v>
      </c>
      <c r="T205">
        <f>D205*中国_中债国债到期收益率_1年!D204/365*100</f>
        <v>0</v>
      </c>
      <c r="U205">
        <f>E205*中国_中债国债到期收益率_1年!E204/365*100</f>
        <v>0</v>
      </c>
      <c r="V205">
        <f t="shared" si="45"/>
        <v>53.2290410958904</v>
      </c>
      <c r="W205">
        <f>SUM($V$148:V205)</f>
        <v>2749.10493150685</v>
      </c>
      <c r="X205">
        <f>MAX(F205-50,0)*中国_中债国债到期收益率_1年!H205*100/365</f>
        <v>18.0821917808219</v>
      </c>
      <c r="Y205">
        <f>SUM($X$148:X205)</f>
        <v>859.076164383562</v>
      </c>
      <c r="Z205">
        <v>30</v>
      </c>
      <c r="AB205">
        <f>Z205*Return!F209*100</f>
        <v>-35.6999999999994</v>
      </c>
      <c r="AC205">
        <f>AA205*Return!G209*100</f>
        <v>0</v>
      </c>
      <c r="AD205">
        <f>SUM($AB$148:AB205)+SUM($AC$148:AC205)</f>
        <v>949.8</v>
      </c>
      <c r="AE205">
        <f t="shared" si="48"/>
        <v>2548.12876712329</v>
      </c>
      <c r="AF205">
        <f t="shared" si="49"/>
        <v>1.00509625753425</v>
      </c>
      <c r="AG205" s="5">
        <f>(AF205/AF204-1)-中国_中债国债到期收益率_1年!H205%/252</f>
        <v>-0.000566733443343966</v>
      </c>
      <c r="AH205" s="5">
        <f>MIN((AF205-MAX($AF$151:AF205))/MAX($AF$151:AF205),0)</f>
        <v>-0.00112960095497184</v>
      </c>
    </row>
    <row r="206" spans="1:34">
      <c r="A206" s="7">
        <v>45009</v>
      </c>
      <c r="B206">
        <v>50</v>
      </c>
      <c r="C206">
        <v>30</v>
      </c>
      <c r="F206">
        <f t="shared" si="46"/>
        <v>80</v>
      </c>
      <c r="G206">
        <f t="shared" si="40"/>
        <v>50</v>
      </c>
      <c r="H206">
        <f t="shared" si="41"/>
        <v>150</v>
      </c>
      <c r="I206">
        <f t="shared" si="42"/>
        <v>0</v>
      </c>
      <c r="J206">
        <f t="shared" si="43"/>
        <v>0</v>
      </c>
      <c r="K206">
        <f t="shared" si="47"/>
        <v>200</v>
      </c>
      <c r="L206">
        <f>G206*Return!B206*100</f>
        <v>25.0000000000017</v>
      </c>
      <c r="M206">
        <f>H206*Return!C206*100</f>
        <v>-86.9999999999971</v>
      </c>
      <c r="N206">
        <f>I206*Return!D206*100</f>
        <v>0</v>
      </c>
      <c r="O206">
        <f>J206*Return!E206*100</f>
        <v>0</v>
      </c>
      <c r="P206">
        <f t="shared" si="44"/>
        <v>-61.9999999999954</v>
      </c>
      <c r="Q206">
        <f>SUM($P$148:P206)</f>
        <v>-353.699999999994</v>
      </c>
      <c r="R206">
        <f>B206*中国_中债国债到期收益率_1年!B205/365*100</f>
        <v>31.0657534246575</v>
      </c>
      <c r="S206">
        <f>C206*中国_中债国债到期收益率_1年!C205/365*100</f>
        <v>22.1424657534247</v>
      </c>
      <c r="T206">
        <f>D206*中国_中债国债到期收益率_1年!D205/365*100</f>
        <v>0</v>
      </c>
      <c r="U206">
        <f>E206*中国_中债国债到期收益率_1年!E205/365*100</f>
        <v>0</v>
      </c>
      <c r="V206">
        <f t="shared" si="45"/>
        <v>53.2082191780822</v>
      </c>
      <c r="W206">
        <f>SUM($V$148:V206)</f>
        <v>2802.31315068493</v>
      </c>
      <c r="X206">
        <f>MAX(F206-50,0)*中国_中债国债到期收益率_1年!H206*100/365</f>
        <v>15.6164383561644</v>
      </c>
      <c r="Y206">
        <f>SUM($X$148:X206)</f>
        <v>874.692602739726</v>
      </c>
      <c r="Z206">
        <v>30</v>
      </c>
      <c r="AB206">
        <f>Z206*Return!F210*100</f>
        <v>11.0999999999994</v>
      </c>
      <c r="AC206">
        <f>AA206*Return!G210*100</f>
        <v>0</v>
      </c>
      <c r="AD206">
        <f>SUM($AB$148:AB206)+SUM($AC$148:AC206)</f>
        <v>960.899999999999</v>
      </c>
      <c r="AE206">
        <f t="shared" si="48"/>
        <v>2534.82054794521</v>
      </c>
      <c r="AF206">
        <f t="shared" si="49"/>
        <v>1.00506964109589</v>
      </c>
      <c r="AG206" s="5">
        <f>(AF206/AF205-1)-中国_中债国债到期收益率_1年!H206%/252</f>
        <v>-0.000101878307301364</v>
      </c>
      <c r="AH206" s="5">
        <f>MIN((AF206-MAX($AF$151:AF206))/MAX($AF$151:AF206),0)</f>
        <v>-0.00115605252336914</v>
      </c>
    </row>
    <row r="207" spans="1:34">
      <c r="A207" s="7">
        <v>45012</v>
      </c>
      <c r="B207">
        <v>50</v>
      </c>
      <c r="C207">
        <v>30</v>
      </c>
      <c r="F207">
        <f t="shared" si="46"/>
        <v>80</v>
      </c>
      <c r="G207">
        <f t="shared" si="40"/>
        <v>50</v>
      </c>
      <c r="H207">
        <f t="shared" si="41"/>
        <v>150</v>
      </c>
      <c r="I207">
        <f t="shared" si="42"/>
        <v>0</v>
      </c>
      <c r="J207">
        <f t="shared" si="43"/>
        <v>0</v>
      </c>
      <c r="K207">
        <f t="shared" si="47"/>
        <v>200</v>
      </c>
      <c r="L207">
        <f>G207*Return!B207*100</f>
        <v>-125.000000000002</v>
      </c>
      <c r="M207">
        <f>H207*Return!C207*100</f>
        <v>-188.999999999999</v>
      </c>
      <c r="N207">
        <f>I207*Return!D207*100</f>
        <v>0</v>
      </c>
      <c r="O207">
        <f>J207*Return!E207*100</f>
        <v>0</v>
      </c>
      <c r="P207">
        <f t="shared" si="44"/>
        <v>-314.000000000001</v>
      </c>
      <c r="Q207">
        <f>SUM($P$148:P207)</f>
        <v>-667.699999999995</v>
      </c>
      <c r="R207">
        <f>B207*中国_中债国债到期收益率_1年!B206/365*100</f>
        <v>31.4082191780822</v>
      </c>
      <c r="S207">
        <f>C207*中国_中债国债到期收益率_1年!C206/365*100</f>
        <v>22.2460273972603</v>
      </c>
      <c r="T207">
        <f>D207*中国_中债国债到期收益率_1年!D206/365*100</f>
        <v>0</v>
      </c>
      <c r="U207">
        <f>E207*中国_中债国债到期收益率_1年!E206/365*100</f>
        <v>0</v>
      </c>
      <c r="V207">
        <f t="shared" si="45"/>
        <v>53.6542465753425</v>
      </c>
      <c r="W207">
        <f>SUM($V$148:V207)</f>
        <v>2855.96739726027</v>
      </c>
      <c r="X207">
        <f>MAX(F207-50,0)*中国_中债国债到期收益率_1年!H207*100/365</f>
        <v>23.4246575342466</v>
      </c>
      <c r="Y207">
        <f>SUM($X$148:X207)</f>
        <v>898.117260273973</v>
      </c>
      <c r="Z207">
        <v>30</v>
      </c>
      <c r="AB207">
        <f>Z207*Return!F211*100</f>
        <v>25.1999999999999</v>
      </c>
      <c r="AC207">
        <f>AA207*Return!G211*100</f>
        <v>0</v>
      </c>
      <c r="AD207">
        <f>SUM($AB$148:AB207)+SUM($AC$148:AC207)</f>
        <v>986.099999999999</v>
      </c>
      <c r="AE207">
        <f t="shared" si="48"/>
        <v>2276.2501369863</v>
      </c>
      <c r="AF207">
        <f t="shared" si="49"/>
        <v>1.00455250027397</v>
      </c>
      <c r="AG207" s="5">
        <f>(AF207/AF206-1)-中国_中债国债到期收益率_1年!H207%/252</f>
        <v>-0.000627627565779408</v>
      </c>
      <c r="AH207" s="5">
        <f>MIN((AF207-MAX($AF$151:AF207))/MAX($AF$151:AF207),0)</f>
        <v>-0.00166999002465755</v>
      </c>
    </row>
    <row r="208" spans="1:34">
      <c r="A208" s="7">
        <v>45013</v>
      </c>
      <c r="B208">
        <v>50</v>
      </c>
      <c r="C208">
        <v>30</v>
      </c>
      <c r="D208">
        <v>10</v>
      </c>
      <c r="E208">
        <v>5</v>
      </c>
      <c r="F208">
        <f t="shared" si="46"/>
        <v>95</v>
      </c>
      <c r="G208">
        <f t="shared" si="40"/>
        <v>50</v>
      </c>
      <c r="H208">
        <f t="shared" si="41"/>
        <v>150</v>
      </c>
      <c r="I208">
        <f t="shared" si="42"/>
        <v>90</v>
      </c>
      <c r="J208">
        <f t="shared" si="43"/>
        <v>80</v>
      </c>
      <c r="K208">
        <f t="shared" si="47"/>
        <v>370</v>
      </c>
      <c r="L208">
        <f>G208*Return!B208*100</f>
        <v>100</v>
      </c>
      <c r="M208">
        <f>H208*Return!C208*100</f>
        <v>215.999999999996</v>
      </c>
      <c r="N208">
        <f>I208*Return!D208*100</f>
        <v>112.499999999998</v>
      </c>
      <c r="O208">
        <f>J208*Return!E208*100</f>
        <v>79.9999999999983</v>
      </c>
      <c r="P208">
        <f t="shared" si="44"/>
        <v>508.499999999992</v>
      </c>
      <c r="Q208">
        <f>SUM($P$148:P208)</f>
        <v>-159.200000000003</v>
      </c>
      <c r="R208">
        <f>B208*中国_中债国债到期收益率_1年!B207/365*100</f>
        <v>31.1342465753425</v>
      </c>
      <c r="S208">
        <f>C208*中国_中债国债到期收益率_1年!C207/365*100</f>
        <v>22.1276712328767</v>
      </c>
      <c r="T208">
        <f>D208*中国_中债国债到期收益率_1年!D207/365*100</f>
        <v>7.82219178082192</v>
      </c>
      <c r="U208">
        <f>E208*中国_中债国债到期收益率_1年!E207/365*100</f>
        <v>4.4272602739726</v>
      </c>
      <c r="V208">
        <f t="shared" si="45"/>
        <v>65.5113698630137</v>
      </c>
      <c r="W208">
        <f>SUM($V$148:V208)</f>
        <v>2921.47876712329</v>
      </c>
      <c r="X208">
        <f>MAX(F208-50,0)*中国_中债国债到期收益率_1年!H208*100/365</f>
        <v>44.3835616438356</v>
      </c>
      <c r="Y208">
        <f>SUM($X$148:X208)</f>
        <v>942.500821917808</v>
      </c>
      <c r="Z208">
        <v>30</v>
      </c>
      <c r="AB208">
        <f>Z208*Return!F212*100</f>
        <v>32.4000000000004</v>
      </c>
      <c r="AC208">
        <f>AA208*Return!G212*100</f>
        <v>0</v>
      </c>
      <c r="AD208">
        <f>SUM($AB$148:AB208)+SUM($AC$148:AC208)</f>
        <v>1018.5</v>
      </c>
      <c r="AE208">
        <f t="shared" si="48"/>
        <v>2838.27794520548</v>
      </c>
      <c r="AF208">
        <f t="shared" si="49"/>
        <v>1.00567655589041</v>
      </c>
      <c r="AG208" s="5">
        <f>(AF208/AF207-1)-中国_中债国债到期收益率_1年!H208%/252</f>
        <v>0.000976104400847024</v>
      </c>
      <c r="AH208" s="5">
        <f>MIN((AF208-MAX($AF$151:AF208))/MAX($AF$151:AF208),0)</f>
        <v>-0.000552897135569325</v>
      </c>
    </row>
    <row r="209" spans="1:34">
      <c r="A209" s="7">
        <v>45014</v>
      </c>
      <c r="B209">
        <v>50</v>
      </c>
      <c r="C209">
        <v>30</v>
      </c>
      <c r="D209">
        <v>10</v>
      </c>
      <c r="E209">
        <v>5</v>
      </c>
      <c r="F209">
        <f t="shared" si="46"/>
        <v>95</v>
      </c>
      <c r="G209">
        <f t="shared" si="40"/>
        <v>50</v>
      </c>
      <c r="H209">
        <f t="shared" si="41"/>
        <v>150</v>
      </c>
      <c r="I209">
        <f t="shared" si="42"/>
        <v>90</v>
      </c>
      <c r="J209">
        <f t="shared" si="43"/>
        <v>80</v>
      </c>
      <c r="K209">
        <f t="shared" si="47"/>
        <v>370</v>
      </c>
      <c r="L209">
        <f>G209*Return!B209*100</f>
        <v>-24.9999999999995</v>
      </c>
      <c r="M209">
        <f>H209*Return!C209*100</f>
        <v>-121.499999999997</v>
      </c>
      <c r="N209">
        <f>I209*Return!D209*100</f>
        <v>-4.49999999999751</v>
      </c>
      <c r="O209">
        <f>J209*Return!E209*100</f>
        <v>0</v>
      </c>
      <c r="P209">
        <f t="shared" si="44"/>
        <v>-150.999999999994</v>
      </c>
      <c r="Q209">
        <f>SUM($P$148:P209)</f>
        <v>-310.199999999997</v>
      </c>
      <c r="R209">
        <f>B209*中国_中债国债到期收益率_1年!B208/365*100</f>
        <v>31.2027397260274</v>
      </c>
      <c r="S209">
        <f>C209*中国_中债国债到期收益率_1年!C208/365*100</f>
        <v>22.1942465753425</v>
      </c>
      <c r="T209">
        <f>D209*中国_中债国债到期收益率_1年!D208/365*100</f>
        <v>7.82356164383561</v>
      </c>
      <c r="U209">
        <f>E209*中国_中债国债到期收益率_1年!E208/365*100</f>
        <v>4.4272602739726</v>
      </c>
      <c r="V209">
        <f t="shared" si="45"/>
        <v>65.6478082191781</v>
      </c>
      <c r="W209">
        <f>SUM($V$148:V209)</f>
        <v>2987.12657534247</v>
      </c>
      <c r="X209">
        <f>MAX(F209-50,0)*中国_中债国债到期收益率_1年!H209*100/365</f>
        <v>43.027397260274</v>
      </c>
      <c r="Y209">
        <f>SUM($X$148:X209)</f>
        <v>985.528219178082</v>
      </c>
      <c r="Z209">
        <v>30</v>
      </c>
      <c r="AB209">
        <f>Z209*Return!F213*100</f>
        <v>39.9000000000003</v>
      </c>
      <c r="AC209">
        <f>AA209*Return!G213*100</f>
        <v>0</v>
      </c>
      <c r="AD209">
        <f>SUM($AB$148:AB209)+SUM($AC$148:AC209)</f>
        <v>1058.4</v>
      </c>
      <c r="AE209">
        <f t="shared" si="48"/>
        <v>2749.79835616439</v>
      </c>
      <c r="AF209">
        <f t="shared" si="49"/>
        <v>1.00549959671233</v>
      </c>
      <c r="AG209" s="5">
        <f>(AF209/AF208-1)-中国_中债国债到期收益率_1年!H209%/252</f>
        <v>-0.000314452392929738</v>
      </c>
      <c r="AH209" s="5">
        <f>MIN((AF209-MAX($AF$151:AF209))/MAX($AF$151:AF209),0)</f>
        <v>-0.000728760177044905</v>
      </c>
    </row>
    <row r="210" spans="1:34">
      <c r="A210" s="7">
        <v>45015</v>
      </c>
      <c r="B210">
        <v>50</v>
      </c>
      <c r="C210">
        <v>30</v>
      </c>
      <c r="D210">
        <v>10</v>
      </c>
      <c r="E210">
        <v>5</v>
      </c>
      <c r="F210">
        <f t="shared" si="46"/>
        <v>95</v>
      </c>
      <c r="G210">
        <f t="shared" si="40"/>
        <v>50</v>
      </c>
      <c r="H210">
        <f t="shared" si="41"/>
        <v>150</v>
      </c>
      <c r="I210">
        <f t="shared" si="42"/>
        <v>90</v>
      </c>
      <c r="J210">
        <f t="shared" si="43"/>
        <v>80</v>
      </c>
      <c r="K210">
        <f t="shared" si="47"/>
        <v>370</v>
      </c>
      <c r="L210">
        <f>G210*Return!B210*100</f>
        <v>12.4999999999997</v>
      </c>
      <c r="M210">
        <f>H210*Return!C210*100</f>
        <v>73.5000000000019</v>
      </c>
      <c r="N210">
        <f>I210*Return!D210*100</f>
        <v>21.5999999999976</v>
      </c>
      <c r="O210">
        <f>J210*Return!E210*100</f>
        <v>26.3999999999989</v>
      </c>
      <c r="P210">
        <f t="shared" si="44"/>
        <v>133.999999999998</v>
      </c>
      <c r="Q210">
        <f>SUM($P$148:P210)</f>
        <v>-176.199999999999</v>
      </c>
      <c r="R210">
        <f>B210*中国_中债国债到期收益率_1年!B209/365*100</f>
        <v>31.1684931506849</v>
      </c>
      <c r="S210">
        <f>C210*中国_中债国债到期收益率_1年!C209/365*100</f>
        <v>22.1539726027397</v>
      </c>
      <c r="T210">
        <f>D210*中国_中债国债到期收益率_1年!D209/365*100</f>
        <v>7.81698630136986</v>
      </c>
      <c r="U210">
        <f>E210*中国_中债国债到期收益率_1年!E209/365*100</f>
        <v>4.4227397260274</v>
      </c>
      <c r="V210">
        <f t="shared" si="45"/>
        <v>65.5621917808219</v>
      </c>
      <c r="W210">
        <f>SUM($V$148:V210)</f>
        <v>3052.68876712329</v>
      </c>
      <c r="X210">
        <f>MAX(F210-50,0)*中国_中债国债到期收益率_1年!H210*100/365</f>
        <v>38.2191780821918</v>
      </c>
      <c r="Y210">
        <f>SUM($X$148:X210)</f>
        <v>1023.74739726027</v>
      </c>
      <c r="Z210">
        <v>30</v>
      </c>
      <c r="AB210">
        <f>Z210*Return!F214*100</f>
        <v>-43.8000000000005</v>
      </c>
      <c r="AC210">
        <f>AA210*Return!G214*100</f>
        <v>0</v>
      </c>
      <c r="AD210">
        <f>SUM($AB$148:AB210)+SUM($AC$148:AC210)</f>
        <v>1014.6</v>
      </c>
      <c r="AE210">
        <f t="shared" si="48"/>
        <v>2867.34136986301</v>
      </c>
      <c r="AF210">
        <f t="shared" si="49"/>
        <v>1.00573468273973</v>
      </c>
      <c r="AG210" s="5">
        <f>(AF210/AF209-1)-中国_中债国债到期收益率_1年!H210%/252</f>
        <v>0.000110784347457495</v>
      </c>
      <c r="AH210" s="5">
        <f>MIN((AF210-MAX($AF$151:AF210))/MAX($AF$151:AF210),0)</f>
        <v>-0.000495130340861636</v>
      </c>
    </row>
    <row r="211" spans="1:34">
      <c r="A211" s="7">
        <v>45016</v>
      </c>
      <c r="B211">
        <v>50</v>
      </c>
      <c r="C211">
        <v>30</v>
      </c>
      <c r="D211">
        <v>10</v>
      </c>
      <c r="E211">
        <v>5</v>
      </c>
      <c r="F211">
        <f t="shared" si="46"/>
        <v>95</v>
      </c>
      <c r="G211">
        <f t="shared" si="40"/>
        <v>50</v>
      </c>
      <c r="H211">
        <f t="shared" si="41"/>
        <v>150</v>
      </c>
      <c r="I211">
        <f t="shared" si="42"/>
        <v>90</v>
      </c>
      <c r="J211">
        <f t="shared" si="43"/>
        <v>80</v>
      </c>
      <c r="K211">
        <f t="shared" si="47"/>
        <v>370</v>
      </c>
      <c r="L211">
        <f>G211*Return!B211*100</f>
        <v>12.4999999999997</v>
      </c>
      <c r="M211">
        <f>H211*Return!C211*100</f>
        <v>-79.5000000000012</v>
      </c>
      <c r="N211">
        <f>I211*Return!D211*100</f>
        <v>-63.899999999999</v>
      </c>
      <c r="O211">
        <f>J211*Return!E211*100</f>
        <v>-7.19999999999743</v>
      </c>
      <c r="P211">
        <f t="shared" si="44"/>
        <v>-138.099999999998</v>
      </c>
      <c r="Q211">
        <f>SUM($P$148:P211)</f>
        <v>-314.299999999996</v>
      </c>
      <c r="R211">
        <f>B211*中国_中债国债到期收益率_1年!B210/365*100</f>
        <v>31.1342465753425</v>
      </c>
      <c r="S211">
        <f>C211*中国_中债国债到期收益率_1年!C210/365*100</f>
        <v>22.1975342465753</v>
      </c>
      <c r="T211">
        <f>D211*中国_中债国债到期收益率_1年!D210/365*100</f>
        <v>7.83643835616438</v>
      </c>
      <c r="U211">
        <f>E211*中国_中债国债到期收益率_1年!E210/365*100</f>
        <v>4.42397260273973</v>
      </c>
      <c r="V211">
        <f t="shared" si="45"/>
        <v>65.5921917808219</v>
      </c>
      <c r="W211">
        <f>SUM($V$148:V211)</f>
        <v>3118.28095890411</v>
      </c>
      <c r="X211">
        <f>MAX(F211-50,0)*中国_中债国债到期收益率_1年!H211*100/365</f>
        <v>33.2876712328767</v>
      </c>
      <c r="Y211">
        <f>SUM($X$148:X211)</f>
        <v>1057.03506849315</v>
      </c>
      <c r="Z211">
        <v>30</v>
      </c>
      <c r="AB211">
        <f>Z211*Return!F215*100</f>
        <v>-95.0999999999995</v>
      </c>
      <c r="AC211">
        <f>AA211*Return!G215*100</f>
        <v>0</v>
      </c>
      <c r="AD211">
        <f>SUM($AB$148:AB211)+SUM($AC$148:AC211)</f>
        <v>919.5</v>
      </c>
      <c r="AE211">
        <f t="shared" si="48"/>
        <v>2666.44589041096</v>
      </c>
      <c r="AF211">
        <f t="shared" si="49"/>
        <v>1.00533289178082</v>
      </c>
      <c r="AG211" s="5">
        <f>(AF211/AF210-1)-中国_中债国债到期收益率_1年!H211%/252</f>
        <v>-0.00050664281055945</v>
      </c>
      <c r="AH211" s="5">
        <f>MIN((AF211-MAX($AF$151:AF211))/MAX($AF$151:AF211),0)</f>
        <v>-0.000894432489730171</v>
      </c>
    </row>
    <row r="212" spans="1:34">
      <c r="A212" s="7">
        <v>45019</v>
      </c>
      <c r="B212">
        <v>50</v>
      </c>
      <c r="C212">
        <v>30</v>
      </c>
      <c r="D212">
        <v>10</v>
      </c>
      <c r="E212">
        <v>5</v>
      </c>
      <c r="F212">
        <f t="shared" si="46"/>
        <v>95</v>
      </c>
      <c r="G212">
        <f t="shared" ref="G212:G275" si="50">B212</f>
        <v>50</v>
      </c>
      <c r="H212">
        <f t="shared" ref="H212:H275" si="51">5*C212</f>
        <v>150</v>
      </c>
      <c r="I212">
        <f t="shared" ref="I212:I275" si="52">9*D212</f>
        <v>90</v>
      </c>
      <c r="J212">
        <f t="shared" ref="J212:J275" si="53">16*E212</f>
        <v>80</v>
      </c>
      <c r="K212">
        <f t="shared" si="47"/>
        <v>370</v>
      </c>
      <c r="L212">
        <f>G212*Return!B212*100</f>
        <v>200</v>
      </c>
      <c r="M212">
        <f>H212*Return!C212*100</f>
        <v>254.999999999999</v>
      </c>
      <c r="N212">
        <f>I212*Return!D212*100</f>
        <v>67.5000000000026</v>
      </c>
      <c r="O212">
        <f>J212*Return!E212*100</f>
        <v>-29.6000000000021</v>
      </c>
      <c r="P212">
        <f t="shared" ref="P212:P275" si="54">SUM(L212:O212)</f>
        <v>492.899999999999</v>
      </c>
      <c r="Q212">
        <f>SUM($P$148:P212)</f>
        <v>178.600000000003</v>
      </c>
      <c r="R212">
        <f>B212*中国_中债国债到期收益率_1年!B211/365*100</f>
        <v>30.586301369863</v>
      </c>
      <c r="S212">
        <f>C212*中国_中债国债到期收益率_1年!C211/365*100</f>
        <v>22.0578082191781</v>
      </c>
      <c r="T212">
        <f>D212*中国_中债国债到期收益率_1年!D211/365*100</f>
        <v>7.8158904109589</v>
      </c>
      <c r="U212">
        <f>E212*中国_中债国债到期收益率_1年!E211/365*100</f>
        <v>4.42904109589041</v>
      </c>
      <c r="V212">
        <f t="shared" ref="V212:V275" si="55">SUM(R212:U212)</f>
        <v>64.8890410958904</v>
      </c>
      <c r="W212">
        <f>SUM($V$148:V212)</f>
        <v>3183.17</v>
      </c>
      <c r="X212">
        <f>MAX(F212-50,0)*中国_中债国债到期收益率_1年!H212*100/365</f>
        <v>24.9041095890411</v>
      </c>
      <c r="Y212">
        <f>SUM($X$148:X212)</f>
        <v>1081.93917808219</v>
      </c>
      <c r="Z212">
        <v>40</v>
      </c>
      <c r="AB212">
        <f>Z212*Return!F216*100</f>
        <v>-20.4000000000004</v>
      </c>
      <c r="AC212">
        <f>AA212*Return!G216*100</f>
        <v>0</v>
      </c>
      <c r="AD212">
        <f>SUM($AB$148:AB212)+SUM($AC$148:AC212)</f>
        <v>899.099999999999</v>
      </c>
      <c r="AE212">
        <f t="shared" si="48"/>
        <v>3178.93082191781</v>
      </c>
      <c r="AF212">
        <f t="shared" si="49"/>
        <v>1.00635786164384</v>
      </c>
      <c r="AG212" s="5">
        <f>(AF212/AF211-1)-中国_中债国债到期收益率_1年!H212%/252</f>
        <v>0.000939374074739352</v>
      </c>
      <c r="AH212" s="5">
        <f>MIN((AF212-MAX($AF$151:AF212))/MAX($AF$151:AF212),0)</f>
        <v>0</v>
      </c>
    </row>
    <row r="213" spans="1:34">
      <c r="A213" s="7">
        <v>45020</v>
      </c>
      <c r="B213">
        <v>50</v>
      </c>
      <c r="C213">
        <v>30</v>
      </c>
      <c r="D213">
        <v>10</v>
      </c>
      <c r="E213">
        <v>5</v>
      </c>
      <c r="F213">
        <f t="shared" si="46"/>
        <v>95</v>
      </c>
      <c r="G213">
        <f t="shared" si="50"/>
        <v>50</v>
      </c>
      <c r="H213">
        <f t="shared" si="51"/>
        <v>150</v>
      </c>
      <c r="I213">
        <f t="shared" si="52"/>
        <v>90</v>
      </c>
      <c r="J213">
        <f t="shared" si="53"/>
        <v>80</v>
      </c>
      <c r="K213">
        <f t="shared" si="47"/>
        <v>370</v>
      </c>
      <c r="L213">
        <f>G213*Return!B213*100</f>
        <v>0</v>
      </c>
      <c r="M213">
        <f>H213*Return!C213*100</f>
        <v>-168.000000000001</v>
      </c>
      <c r="N213">
        <f>I213*Return!D213*100</f>
        <v>-68.4000000000005</v>
      </c>
      <c r="O213">
        <f>J213*Return!E213*100</f>
        <v>-59.9999999999987</v>
      </c>
      <c r="P213">
        <f t="shared" si="54"/>
        <v>-296.400000000001</v>
      </c>
      <c r="Q213">
        <f>SUM($P$148:P213)</f>
        <v>-117.799999999998</v>
      </c>
      <c r="R213">
        <f>B213*中国_中债国债到期收益率_1年!B212/365*100</f>
        <v>30.586301369863</v>
      </c>
      <c r="S213">
        <f>C213*中国_中债国债到期收益率_1年!C212/365*100</f>
        <v>22.1498630136986</v>
      </c>
      <c r="T213">
        <f>D213*中国_中债国债到期收益率_1年!D212/365*100</f>
        <v>7.83671232876712</v>
      </c>
      <c r="U213">
        <f>E213*中国_中债国债到期收益率_1年!E212/365*100</f>
        <v>4.43931506849315</v>
      </c>
      <c r="V213">
        <f t="shared" si="55"/>
        <v>65.0121917808219</v>
      </c>
      <c r="W213">
        <f>SUM($V$148:V213)</f>
        <v>3248.18219178082</v>
      </c>
      <c r="X213">
        <f>MAX(F213-50,0)*中国_中债国债到期收益率_1年!H213*100/365</f>
        <v>24.6575342465753</v>
      </c>
      <c r="Y213">
        <f>SUM($X$148:X213)</f>
        <v>1106.59671232877</v>
      </c>
      <c r="Z213">
        <v>40</v>
      </c>
      <c r="AB213">
        <f>Z213*Return!F217*100</f>
        <v>20.7999999999995</v>
      </c>
      <c r="AC213">
        <f>AA213*Return!G217*100</f>
        <v>0</v>
      </c>
      <c r="AD213">
        <f>SUM($AB$148:AB213)+SUM($AC$148:AC213)</f>
        <v>919.899999999999</v>
      </c>
      <c r="AE213">
        <f t="shared" si="48"/>
        <v>2943.68547945206</v>
      </c>
      <c r="AF213">
        <f t="shared" si="49"/>
        <v>1.0058873709589</v>
      </c>
      <c r="AG213" s="5">
        <f>(AF213/AF212-1)-中国_中债国债到期收益率_1年!H213%/252</f>
        <v>-0.000546883347829774</v>
      </c>
      <c r="AH213" s="5">
        <f>MIN((AF213-MAX($AF$151:AF213))/MAX($AF$151:AF213),0)</f>
        <v>-0.000467518268464682</v>
      </c>
    </row>
    <row r="214" spans="1:34">
      <c r="A214" s="7">
        <v>45022</v>
      </c>
      <c r="B214">
        <v>50</v>
      </c>
      <c r="C214">
        <v>30</v>
      </c>
      <c r="D214">
        <v>10</v>
      </c>
      <c r="E214">
        <v>5</v>
      </c>
      <c r="F214">
        <f t="shared" si="46"/>
        <v>95</v>
      </c>
      <c r="G214">
        <f t="shared" si="50"/>
        <v>50</v>
      </c>
      <c r="H214">
        <f t="shared" si="51"/>
        <v>150</v>
      </c>
      <c r="I214">
        <f t="shared" si="52"/>
        <v>90</v>
      </c>
      <c r="J214">
        <f t="shared" si="53"/>
        <v>80</v>
      </c>
      <c r="K214">
        <f t="shared" si="47"/>
        <v>370</v>
      </c>
      <c r="L214">
        <f>G214*Return!B214*100</f>
        <v>12.4999999999997</v>
      </c>
      <c r="M214">
        <f>H214*Return!C214*100</f>
        <v>-45.0000000000017</v>
      </c>
      <c r="N214">
        <f>I214*Return!D214*100</f>
        <v>17.999999999998</v>
      </c>
      <c r="O214">
        <f>J214*Return!E214*100</f>
        <v>-11.2000000000023</v>
      </c>
      <c r="P214">
        <f t="shared" si="54"/>
        <v>-25.7000000000063</v>
      </c>
      <c r="Q214">
        <f>SUM($P$148:P214)</f>
        <v>-143.500000000004</v>
      </c>
      <c r="R214">
        <f>B214*中国_中债国债到期收益率_1年!B213/365*100</f>
        <v>30.5520547945206</v>
      </c>
      <c r="S214">
        <f>C214*中国_中债国债到期收益率_1年!C213/365*100</f>
        <v>22.1745205479452</v>
      </c>
      <c r="T214">
        <f>D214*中国_中债国债到期收益率_1年!D213/365*100</f>
        <v>7.83123287671233</v>
      </c>
      <c r="U214">
        <f>E214*中国_中债国债到期收益率_1年!E213/365*100</f>
        <v>4.44123287671233</v>
      </c>
      <c r="V214">
        <f t="shared" si="55"/>
        <v>64.9990410958904</v>
      </c>
      <c r="W214">
        <f>SUM($V$148:V214)</f>
        <v>3313.18123287671</v>
      </c>
      <c r="X214">
        <f>MAX(F214-50,0)*中国_中债国债到期收益率_1年!H214*100/365</f>
        <v>26.5068493150685</v>
      </c>
      <c r="Y214">
        <f>SUM($X$148:X214)</f>
        <v>1133.10356164384</v>
      </c>
      <c r="Z214">
        <v>40</v>
      </c>
      <c r="AB214">
        <f>Z214*Return!F218*100</f>
        <v>30.4000000000002</v>
      </c>
      <c r="AC214">
        <f>AA214*Return!G218*100</f>
        <v>0</v>
      </c>
      <c r="AD214">
        <f>SUM($AB$148:AB214)+SUM($AC$148:AC214)</f>
        <v>950.299999999999</v>
      </c>
      <c r="AE214">
        <f t="shared" si="48"/>
        <v>2986.87767123287</v>
      </c>
      <c r="AF214">
        <f t="shared" si="49"/>
        <v>1.00597375534247</v>
      </c>
      <c r="AG214" s="5">
        <f>(AF214/AF213-1)-中国_中债国债到期收益率_1年!H214%/252</f>
        <v>5.61322989442711e-7</v>
      </c>
      <c r="AH214" s="5">
        <f>MIN((AF214-MAX($AF$151:AF214))/MAX($AF$151:AF214),0)</f>
        <v>-0.000381679635057901</v>
      </c>
    </row>
    <row r="215" spans="1:34">
      <c r="A215" s="7">
        <v>45023</v>
      </c>
      <c r="B215">
        <v>50</v>
      </c>
      <c r="C215">
        <v>30</v>
      </c>
      <c r="D215">
        <v>10</v>
      </c>
      <c r="E215">
        <v>5</v>
      </c>
      <c r="F215">
        <f t="shared" si="46"/>
        <v>95</v>
      </c>
      <c r="G215">
        <f t="shared" si="50"/>
        <v>50</v>
      </c>
      <c r="H215">
        <f t="shared" si="51"/>
        <v>150</v>
      </c>
      <c r="I215">
        <f t="shared" si="52"/>
        <v>90</v>
      </c>
      <c r="J215">
        <f t="shared" si="53"/>
        <v>80</v>
      </c>
      <c r="K215">
        <f t="shared" si="47"/>
        <v>370</v>
      </c>
      <c r="L215">
        <f>G215*Return!B215*100</f>
        <v>12.500000000002</v>
      </c>
      <c r="M215">
        <f>H215*Return!C215*100</f>
        <v>-73.4999999999952</v>
      </c>
      <c r="N215">
        <f>I215*Return!D215*100</f>
        <v>-18.8999999999999</v>
      </c>
      <c r="O215">
        <f>J215*Return!E215*100</f>
        <v>-33.5999999999999</v>
      </c>
      <c r="P215">
        <f t="shared" si="54"/>
        <v>-113.499999999993</v>
      </c>
      <c r="Q215">
        <f>SUM($P$148:P215)</f>
        <v>-256.999999999997</v>
      </c>
      <c r="R215">
        <f>B215*中国_中债国债到期收益率_1年!B214/365*100</f>
        <v>30.5178082191781</v>
      </c>
      <c r="S215">
        <f>C215*中国_中债国债到期收益率_1年!C214/365*100</f>
        <v>22.2147945205479</v>
      </c>
      <c r="T215">
        <f>D215*中国_中债国债到期收益率_1年!D214/365*100</f>
        <v>7.83698630136986</v>
      </c>
      <c r="U215">
        <f>E215*中国_中债国债到期收益率_1年!E214/365*100</f>
        <v>4.44698630136986</v>
      </c>
      <c r="V215">
        <f t="shared" si="55"/>
        <v>65.0165753424657</v>
      </c>
      <c r="W215">
        <f>SUM($V$148:V215)</f>
        <v>3378.19780821918</v>
      </c>
      <c r="X215">
        <f>MAX(F215-50,0)*中国_中债国债到期收益率_1年!H215*100/365</f>
        <v>27.1232876712329</v>
      </c>
      <c r="Y215">
        <f>SUM($X$148:X215)</f>
        <v>1160.22684931507</v>
      </c>
      <c r="Z215">
        <v>40</v>
      </c>
      <c r="AB215">
        <f>Z215*Return!F219*100</f>
        <v>32.4000000000009</v>
      </c>
      <c r="AC215">
        <f>AA215*Return!G219*100</f>
        <v>0</v>
      </c>
      <c r="AD215">
        <f>SUM($AB$148:AB215)+SUM($AC$148:AC215)</f>
        <v>982.7</v>
      </c>
      <c r="AE215">
        <f t="shared" si="48"/>
        <v>2943.67095890411</v>
      </c>
      <c r="AF215">
        <f t="shared" si="49"/>
        <v>1.00588734191781</v>
      </c>
      <c r="AG215" s="5">
        <f>(AF215/AF214-1)-中国_中债国债到期收益率_1年!H215%/252</f>
        <v>-0.000173201864717872</v>
      </c>
      <c r="AH215" s="5">
        <f>MIN((AF215-MAX($AF$151:AF215))/MAX($AF$151:AF215),0)</f>
        <v>-0.000467547126087658</v>
      </c>
    </row>
    <row r="216" spans="1:34">
      <c r="A216" s="7">
        <v>45026</v>
      </c>
      <c r="B216">
        <v>50</v>
      </c>
      <c r="C216">
        <v>30</v>
      </c>
      <c r="D216">
        <v>10</v>
      </c>
      <c r="E216">
        <v>5</v>
      </c>
      <c r="F216">
        <f t="shared" si="46"/>
        <v>95</v>
      </c>
      <c r="G216">
        <f t="shared" si="50"/>
        <v>50</v>
      </c>
      <c r="H216">
        <f t="shared" si="51"/>
        <v>150</v>
      </c>
      <c r="I216">
        <f t="shared" si="52"/>
        <v>90</v>
      </c>
      <c r="J216">
        <f t="shared" si="53"/>
        <v>80</v>
      </c>
      <c r="K216">
        <f t="shared" si="47"/>
        <v>370</v>
      </c>
      <c r="L216">
        <f>G216*Return!B216*100</f>
        <v>0</v>
      </c>
      <c r="M216">
        <f>H216*Return!C216*100</f>
        <v>221.999999999996</v>
      </c>
      <c r="N216">
        <f>I216*Return!D216*100</f>
        <v>126.9</v>
      </c>
      <c r="O216">
        <f>J216*Return!E216*100</f>
        <v>82.3999999999998</v>
      </c>
      <c r="P216">
        <f t="shared" si="54"/>
        <v>431.299999999995</v>
      </c>
      <c r="Q216">
        <f>SUM($P$148:P216)</f>
        <v>174.299999999998</v>
      </c>
      <c r="R216">
        <f>B216*中国_中债国债到期收益率_1年!B215/365*100</f>
        <v>30.5178082191781</v>
      </c>
      <c r="S216">
        <f>C216*中国_中债国债到期收益率_1年!C215/365*100</f>
        <v>22.0931506849315</v>
      </c>
      <c r="T216">
        <f>D216*中国_中债国债到期收益率_1年!D215/365*100</f>
        <v>7.79835616438356</v>
      </c>
      <c r="U216">
        <f>E216*中国_中债国债到期收益率_1年!E215/365*100</f>
        <v>4.43287671232877</v>
      </c>
      <c r="V216">
        <f t="shared" si="55"/>
        <v>64.8421917808219</v>
      </c>
      <c r="W216">
        <f>SUM($V$148:V216)</f>
        <v>3443.04</v>
      </c>
      <c r="X216">
        <f>MAX(F216-50,0)*中国_中债国债到期收益率_1年!H216*100/365</f>
        <v>25.8904109589041</v>
      </c>
      <c r="Y216">
        <f>SUM($X$148:X216)</f>
        <v>1186.11726027397</v>
      </c>
      <c r="Z216">
        <v>40</v>
      </c>
      <c r="AB216">
        <f>Z216*Return!F220*100</f>
        <v>-38.8000000000002</v>
      </c>
      <c r="AC216">
        <f>AA216*Return!G220*100</f>
        <v>0</v>
      </c>
      <c r="AD216">
        <f>SUM($AB$148:AB216)+SUM($AC$148:AC216)</f>
        <v>943.9</v>
      </c>
      <c r="AE216">
        <f t="shared" si="48"/>
        <v>3375.12273972603</v>
      </c>
      <c r="AF216">
        <f t="shared" si="49"/>
        <v>1.00675024547945</v>
      </c>
      <c r="AG216" s="5">
        <f>(AF216/AF215-1)-中国_中债国债到期收益率_1年!H216%/252</f>
        <v>0.000774519753870985</v>
      </c>
      <c r="AH216" s="5">
        <f>MIN((AF216-MAX($AF$151:AF216))/MAX($AF$151:AF216),0)</f>
        <v>0</v>
      </c>
    </row>
    <row r="217" spans="1:34">
      <c r="A217" s="7">
        <v>45027</v>
      </c>
      <c r="B217">
        <v>50</v>
      </c>
      <c r="C217">
        <v>30</v>
      </c>
      <c r="D217">
        <v>10</v>
      </c>
      <c r="E217">
        <v>5</v>
      </c>
      <c r="F217">
        <f t="shared" si="46"/>
        <v>95</v>
      </c>
      <c r="G217">
        <f t="shared" si="50"/>
        <v>50</v>
      </c>
      <c r="H217">
        <f t="shared" si="51"/>
        <v>150</v>
      </c>
      <c r="I217">
        <f t="shared" si="52"/>
        <v>90</v>
      </c>
      <c r="J217">
        <f t="shared" si="53"/>
        <v>80</v>
      </c>
      <c r="K217">
        <f t="shared" si="47"/>
        <v>370</v>
      </c>
      <c r="L217">
        <f>G217*Return!B217*100</f>
        <v>24.9999999999995</v>
      </c>
      <c r="M217">
        <f>H217*Return!C217*100</f>
        <v>-57.0000000000004</v>
      </c>
      <c r="N217">
        <f>I217*Return!D217*100</f>
        <v>8.10000000000111</v>
      </c>
      <c r="O217">
        <f>J217*Return!E217*100</f>
        <v>10.4000000000006</v>
      </c>
      <c r="P217">
        <f t="shared" si="54"/>
        <v>-13.4999999999992</v>
      </c>
      <c r="Q217">
        <f>SUM($P$148:P217)</f>
        <v>160.799999999999</v>
      </c>
      <c r="R217">
        <f>B217*中国_中债国债到期收益率_1年!B216/365*100</f>
        <v>30.4493150684931</v>
      </c>
      <c r="S217">
        <f>C217*中国_中债国债到期收益率_1年!C216/365*100</f>
        <v>22.1243835616438</v>
      </c>
      <c r="T217">
        <f>D217*中国_中债国债到期收益率_1年!D216/365*100</f>
        <v>7.7958904109589</v>
      </c>
      <c r="U217">
        <f>E217*中国_中债国债到期收益率_1年!E216/365*100</f>
        <v>4.43109589041096</v>
      </c>
      <c r="V217">
        <f t="shared" si="55"/>
        <v>64.8006849315069</v>
      </c>
      <c r="W217">
        <f>SUM($V$148:V217)</f>
        <v>3507.84068493151</v>
      </c>
      <c r="X217">
        <f>MAX(F217-50,0)*中国_中债国债到期收益率_1年!H217*100/365</f>
        <v>26.5068493150685</v>
      </c>
      <c r="Y217">
        <f>SUM($X$148:X217)</f>
        <v>1212.62410958904</v>
      </c>
      <c r="Z217">
        <v>40</v>
      </c>
      <c r="AB217">
        <f>Z217*Return!F221*100</f>
        <v>35.1999999999997</v>
      </c>
      <c r="AC217">
        <f>AA217*Return!G221*100</f>
        <v>0</v>
      </c>
      <c r="AD217">
        <f>SUM($AB$148:AB217)+SUM($AC$148:AC217)</f>
        <v>979.099999999999</v>
      </c>
      <c r="AE217">
        <f t="shared" si="48"/>
        <v>3435.11657534246</v>
      </c>
      <c r="AF217">
        <f t="shared" si="49"/>
        <v>1.00687023315068</v>
      </c>
      <c r="AG217" s="5">
        <f>(AF217/AF216-1)-中国_中债国债到期收益率_1年!H217%/252</f>
        <v>3.38656953575908e-5</v>
      </c>
      <c r="AH217" s="5">
        <f>MIN((AF217-MAX($AF$151:AF217))/MAX($AF$151:AF217),0)</f>
        <v>0</v>
      </c>
    </row>
    <row r="218" spans="1:34">
      <c r="A218" s="7">
        <v>45028</v>
      </c>
      <c r="B218">
        <v>50</v>
      </c>
      <c r="C218">
        <v>30</v>
      </c>
      <c r="D218">
        <v>10</v>
      </c>
      <c r="E218">
        <v>5</v>
      </c>
      <c r="F218">
        <f t="shared" si="46"/>
        <v>95</v>
      </c>
      <c r="G218">
        <f t="shared" si="50"/>
        <v>50</v>
      </c>
      <c r="H218">
        <f t="shared" si="51"/>
        <v>150</v>
      </c>
      <c r="I218">
        <f t="shared" si="52"/>
        <v>90</v>
      </c>
      <c r="J218">
        <f t="shared" si="53"/>
        <v>80</v>
      </c>
      <c r="K218">
        <f t="shared" si="47"/>
        <v>370</v>
      </c>
      <c r="L218">
        <f>G218*Return!B218*100</f>
        <v>49.9999999999989</v>
      </c>
      <c r="M218">
        <f>H218*Return!C218*100</f>
        <v>187.500000000003</v>
      </c>
      <c r="N218">
        <f>I218*Return!D218*100</f>
        <v>226.799999999999</v>
      </c>
      <c r="O218">
        <f>J218*Return!E218*100</f>
        <v>139.200000000002</v>
      </c>
      <c r="P218">
        <f t="shared" si="54"/>
        <v>603.500000000003</v>
      </c>
      <c r="Q218">
        <f>SUM($P$148:P218)</f>
        <v>764.300000000002</v>
      </c>
      <c r="R218">
        <f>B218*中国_中债国债到期收益率_1年!B217/365*100</f>
        <v>30.3123287671233</v>
      </c>
      <c r="S218">
        <f>C218*中国_中债国债到期收益率_1年!C217/365*100</f>
        <v>22.0216438356164</v>
      </c>
      <c r="T218">
        <f>D218*中国_中债国债到期收益率_1年!D217/365*100</f>
        <v>7.72684931506849</v>
      </c>
      <c r="U218">
        <f>E218*中国_中债国债到期收益率_1年!E217/365*100</f>
        <v>4.4072602739726</v>
      </c>
      <c r="V218">
        <f t="shared" si="55"/>
        <v>64.4680821917808</v>
      </c>
      <c r="W218">
        <f>SUM($V$148:V218)</f>
        <v>3572.30876712329</v>
      </c>
      <c r="X218">
        <f>MAX(F218-50,0)*中国_中债国债到期收益率_1年!H218*100/365</f>
        <v>25.8904109589041</v>
      </c>
      <c r="Y218">
        <f>SUM($X$148:X218)</f>
        <v>1238.51452054795</v>
      </c>
      <c r="Z218">
        <v>40</v>
      </c>
      <c r="AB218">
        <f>Z218*Return!F222*100</f>
        <v>-70.3999999999994</v>
      </c>
      <c r="AC218">
        <f>AA218*Return!G222*100</f>
        <v>0</v>
      </c>
      <c r="AD218">
        <f>SUM($AB$148:AB218)+SUM($AC$148:AC218)</f>
        <v>908.7</v>
      </c>
      <c r="AE218">
        <f t="shared" si="48"/>
        <v>4006.79424657534</v>
      </c>
      <c r="AF218">
        <f t="shared" si="49"/>
        <v>1.00801358849315</v>
      </c>
      <c r="AG218" s="5">
        <f>(AF218/AF217-1)-中国_中债国债到期收益率_1年!H218%/252</f>
        <v>0.00105222048961361</v>
      </c>
      <c r="AH218" s="5">
        <f>MIN((AF218-MAX($AF$151:AF218))/MAX($AF$151:AF218),0)</f>
        <v>0</v>
      </c>
    </row>
    <row r="219" spans="1:34">
      <c r="A219" s="7">
        <v>45029</v>
      </c>
      <c r="B219">
        <v>50</v>
      </c>
      <c r="C219">
        <v>30</v>
      </c>
      <c r="D219">
        <v>10</v>
      </c>
      <c r="E219">
        <v>5</v>
      </c>
      <c r="F219">
        <f t="shared" si="46"/>
        <v>95</v>
      </c>
      <c r="G219">
        <f t="shared" si="50"/>
        <v>50</v>
      </c>
      <c r="H219">
        <f t="shared" si="51"/>
        <v>150</v>
      </c>
      <c r="I219">
        <f t="shared" si="52"/>
        <v>90</v>
      </c>
      <c r="J219">
        <f t="shared" si="53"/>
        <v>80</v>
      </c>
      <c r="K219">
        <f t="shared" si="47"/>
        <v>370</v>
      </c>
      <c r="L219">
        <f>G219*Return!B219*100</f>
        <v>18.5000000000013</v>
      </c>
      <c r="M219">
        <f>H219*Return!C219*100</f>
        <v>154.5</v>
      </c>
      <c r="N219">
        <f>I219*Return!D219*100</f>
        <v>40.5000000000015</v>
      </c>
      <c r="O219">
        <f>J219*Return!E219*100</f>
        <v>156.799999999997</v>
      </c>
      <c r="P219">
        <f t="shared" si="54"/>
        <v>370.299999999999</v>
      </c>
      <c r="Q219">
        <f>SUM($P$148:P219)</f>
        <v>1134.6</v>
      </c>
      <c r="R219">
        <f>B219*中国_中债国债到期收益率_1年!B218/365*100</f>
        <v>30.2616438356164</v>
      </c>
      <c r="S219">
        <f>C219*中国_中债国债到期收益率_1年!C218/365*100</f>
        <v>21.9369863013699</v>
      </c>
      <c r="T219">
        <f>D219*中国_中债国债到期收益率_1年!D218/365*100</f>
        <v>7.7145205479452</v>
      </c>
      <c r="U219">
        <f>E219*中国_中债国债到期收益率_1年!E218/365*100</f>
        <v>4.38041095890411</v>
      </c>
      <c r="V219">
        <f t="shared" si="55"/>
        <v>64.2935616438356</v>
      </c>
      <c r="W219">
        <f>SUM($V$148:V219)</f>
        <v>3636.60232876712</v>
      </c>
      <c r="X219">
        <f>MAX(F219-50,0)*中国_中债国债到期收益率_1年!H219*100/365</f>
        <v>25.8904109589041</v>
      </c>
      <c r="Y219">
        <f>SUM($X$148:X219)</f>
        <v>1264.40493150685</v>
      </c>
      <c r="Z219">
        <v>40</v>
      </c>
      <c r="AB219">
        <f>Z219*Return!F223*100</f>
        <v>1.99999999999889</v>
      </c>
      <c r="AC219">
        <f>AA219*Return!G223*100</f>
        <v>0</v>
      </c>
      <c r="AD219">
        <f>SUM($AB$148:AB219)+SUM($AC$148:AC219)</f>
        <v>910.699999999999</v>
      </c>
      <c r="AE219">
        <f t="shared" si="48"/>
        <v>4417.49739726027</v>
      </c>
      <c r="AF219">
        <f t="shared" si="49"/>
        <v>1.00883499479452</v>
      </c>
      <c r="AG219" s="5">
        <f>(AF219/AF218-1)-中国_中债国债到期收益率_1年!H219%/252</f>
        <v>0.000731542885347038</v>
      </c>
      <c r="AH219" s="5">
        <f>MIN((AF219-MAX($AF$151:AF219))/MAX($AF$151:AF219),0)</f>
        <v>0</v>
      </c>
    </row>
    <row r="220" spans="1:34">
      <c r="A220" s="7">
        <v>45030</v>
      </c>
      <c r="B220">
        <v>50</v>
      </c>
      <c r="C220">
        <v>30</v>
      </c>
      <c r="D220">
        <v>10</v>
      </c>
      <c r="E220">
        <v>5</v>
      </c>
      <c r="F220">
        <f t="shared" si="46"/>
        <v>95</v>
      </c>
      <c r="G220">
        <f t="shared" si="50"/>
        <v>50</v>
      </c>
      <c r="H220">
        <f t="shared" si="51"/>
        <v>150</v>
      </c>
      <c r="I220">
        <f t="shared" si="52"/>
        <v>90</v>
      </c>
      <c r="J220">
        <f t="shared" si="53"/>
        <v>80</v>
      </c>
      <c r="K220">
        <f t="shared" si="47"/>
        <v>370</v>
      </c>
      <c r="L220">
        <f>G220*Return!B220*100</f>
        <v>12.4999999999997</v>
      </c>
      <c r="M220">
        <f>H220*Return!C220*100</f>
        <v>-154.5</v>
      </c>
      <c r="N220">
        <f>I220*Return!D220*100</f>
        <v>-107.100000000002</v>
      </c>
      <c r="O220">
        <f>J220*Return!E220*100</f>
        <v>-43.1999999999988</v>
      </c>
      <c r="P220">
        <f t="shared" si="54"/>
        <v>-292.300000000001</v>
      </c>
      <c r="Q220">
        <f>SUM($P$148:P220)</f>
        <v>842.3</v>
      </c>
      <c r="R220">
        <f>B220*中国_中债国债到期收益率_1年!B219/365*100</f>
        <v>30.227397260274</v>
      </c>
      <c r="S220">
        <f>C220*中国_中债国债到期收益率_1年!C219/365*100</f>
        <v>22.0216438356164</v>
      </c>
      <c r="T220">
        <f>D220*中国_中债国债到期收益率_1年!D219/365*100</f>
        <v>7.74712328767123</v>
      </c>
      <c r="U220">
        <f>E220*中国_中债国债到期收益率_1年!E219/365*100</f>
        <v>4.38780821917808</v>
      </c>
      <c r="V220">
        <f t="shared" si="55"/>
        <v>64.3839726027397</v>
      </c>
      <c r="W220">
        <f>SUM($V$148:V220)</f>
        <v>3700.98630136986</v>
      </c>
      <c r="X220">
        <f>MAX(F220-50,0)*中国_中债国债到期收益率_1年!H220*100/365</f>
        <v>25.8904109589041</v>
      </c>
      <c r="Y220">
        <f>SUM($X$148:X220)</f>
        <v>1290.29534246575</v>
      </c>
      <c r="Z220">
        <v>40</v>
      </c>
      <c r="AB220">
        <f>Z220*Return!F224*100</f>
        <v>34.0000000000007</v>
      </c>
      <c r="AC220">
        <f>AA220*Return!G224*100</f>
        <v>0</v>
      </c>
      <c r="AD220">
        <f>SUM($AB$148:AB220)+SUM($AC$148:AC220)</f>
        <v>944.7</v>
      </c>
      <c r="AE220">
        <f t="shared" si="48"/>
        <v>4197.69095890411</v>
      </c>
      <c r="AF220">
        <f t="shared" si="49"/>
        <v>1.00839538191781</v>
      </c>
      <c r="AG220" s="5">
        <f>(AF220/AF219-1)-中国_中债国债到期收益率_1年!H220%/252</f>
        <v>-0.000519096246972004</v>
      </c>
      <c r="AH220" s="5">
        <f>MIN((AF220-MAX($AF$151:AF220))/MAX($AF$151:AF220),0)</f>
        <v>-0.000435762913638704</v>
      </c>
    </row>
    <row r="221" spans="1:34">
      <c r="A221" s="7">
        <v>45033</v>
      </c>
      <c r="B221">
        <v>50</v>
      </c>
      <c r="C221">
        <v>30</v>
      </c>
      <c r="D221">
        <v>10</v>
      </c>
      <c r="E221">
        <v>5</v>
      </c>
      <c r="F221">
        <f t="shared" si="46"/>
        <v>95</v>
      </c>
      <c r="G221">
        <f t="shared" si="50"/>
        <v>50</v>
      </c>
      <c r="H221">
        <f t="shared" si="51"/>
        <v>150</v>
      </c>
      <c r="I221">
        <f t="shared" si="52"/>
        <v>90</v>
      </c>
      <c r="J221">
        <f t="shared" si="53"/>
        <v>80</v>
      </c>
      <c r="K221">
        <f t="shared" si="47"/>
        <v>370</v>
      </c>
      <c r="L221">
        <f>G221*Return!B221*100</f>
        <v>-12.4999999999997</v>
      </c>
      <c r="M221">
        <f>H221*Return!C221*100</f>
        <v>-49.4999999999979</v>
      </c>
      <c r="N221">
        <f>I221*Return!D221*100</f>
        <v>-3.5999999999996</v>
      </c>
      <c r="O221">
        <f>J221*Return!E221*100</f>
        <v>-0.799999999998136</v>
      </c>
      <c r="P221">
        <f t="shared" si="54"/>
        <v>-66.3999999999953</v>
      </c>
      <c r="Q221">
        <f>SUM($P$148:P221)</f>
        <v>775.900000000005</v>
      </c>
      <c r="R221">
        <f>B221*中国_中债国债到期收益率_1年!B220/365*100</f>
        <v>30.2616438356164</v>
      </c>
      <c r="S221">
        <f>C221*中国_中债国债到期收益率_1年!C220/365*100</f>
        <v>22.0487671232877</v>
      </c>
      <c r="T221">
        <f>D221*中国_中债国债到期收益率_1年!D220/365*100</f>
        <v>7.74821917808219</v>
      </c>
      <c r="U221">
        <f>E221*中国_中债国债到期收益率_1年!E220/365*100</f>
        <v>4.38794520547945</v>
      </c>
      <c r="V221">
        <f t="shared" si="55"/>
        <v>64.4465753424657</v>
      </c>
      <c r="W221">
        <f>SUM($V$148:V221)</f>
        <v>3765.43287671233</v>
      </c>
      <c r="X221">
        <f>MAX(F221-50,0)*中国_中债国债到期收益率_1年!H221*100/365</f>
        <v>27.1232876712329</v>
      </c>
      <c r="Y221">
        <f>SUM($X$148:X221)</f>
        <v>1317.41863013699</v>
      </c>
      <c r="Z221">
        <v>40</v>
      </c>
      <c r="AB221">
        <f>Z221*Return!F225*100</f>
        <v>-7.99999999999912</v>
      </c>
      <c r="AC221">
        <f>AA221*Return!G225*100</f>
        <v>0</v>
      </c>
      <c r="AD221">
        <f>SUM($AB$148:AB221)+SUM($AC$148:AC221)</f>
        <v>936.700000000001</v>
      </c>
      <c r="AE221">
        <f t="shared" si="48"/>
        <v>4160.61424657535</v>
      </c>
      <c r="AF221">
        <f t="shared" si="49"/>
        <v>1.00832122849315</v>
      </c>
      <c r="AG221" s="5">
        <f>(AF221/AF220-1)-中国_中债国债到期收益率_1年!H221%/252</f>
        <v>-0.000160837648639452</v>
      </c>
      <c r="AH221" s="5">
        <f>MIN((AF221-MAX($AF$151:AF221))/MAX($AF$151:AF221),0)</f>
        <v>-0.000509266930688248</v>
      </c>
    </row>
    <row r="222" spans="1:34">
      <c r="A222" s="7">
        <v>45034</v>
      </c>
      <c r="B222">
        <v>50</v>
      </c>
      <c r="C222">
        <v>30</v>
      </c>
      <c r="D222">
        <v>10</v>
      </c>
      <c r="E222">
        <v>5</v>
      </c>
      <c r="F222">
        <f t="shared" si="46"/>
        <v>95</v>
      </c>
      <c r="G222">
        <f t="shared" si="50"/>
        <v>50</v>
      </c>
      <c r="H222">
        <f t="shared" si="51"/>
        <v>150</v>
      </c>
      <c r="I222">
        <f t="shared" si="52"/>
        <v>90</v>
      </c>
      <c r="J222">
        <f t="shared" si="53"/>
        <v>80</v>
      </c>
      <c r="K222">
        <f t="shared" si="47"/>
        <v>370</v>
      </c>
      <c r="L222">
        <f>G222*Return!B222*100</f>
        <v>-25.0000000000017</v>
      </c>
      <c r="M222">
        <f>H222*Return!C222*100</f>
        <v>-180</v>
      </c>
      <c r="N222">
        <f>I222*Return!D222*100</f>
        <v>-135.899999999999</v>
      </c>
      <c r="O222">
        <f>J222*Return!E222*100</f>
        <v>-83.2000000000015</v>
      </c>
      <c r="P222">
        <f t="shared" si="54"/>
        <v>-424.100000000002</v>
      </c>
      <c r="Q222">
        <f>SUM($P$148:P222)</f>
        <v>351.800000000003</v>
      </c>
      <c r="R222">
        <f>B222*中国_中债国债到期收益率_1年!B221/365*100</f>
        <v>30.3301369863014</v>
      </c>
      <c r="S222">
        <f>C222*中国_中债国债到期收益率_1年!C221/365*100</f>
        <v>22.147397260274</v>
      </c>
      <c r="T222">
        <f>D222*中国_中债国债到期收益率_1年!D221/365*100</f>
        <v>7.78958904109589</v>
      </c>
      <c r="U222">
        <f>E222*中国_中债国债到期收益率_1年!E221/365*100</f>
        <v>4.40219178082192</v>
      </c>
      <c r="V222">
        <f t="shared" si="55"/>
        <v>64.6693150684932</v>
      </c>
      <c r="W222">
        <f>SUM($V$148:V222)</f>
        <v>3830.10219178082</v>
      </c>
      <c r="X222">
        <f>MAX(F222-50,0)*中国_中债国债到期收益率_1年!H222*100/365</f>
        <v>27.7397260273973</v>
      </c>
      <c r="Y222">
        <f>SUM($X$148:X222)</f>
        <v>1345.15835616438</v>
      </c>
      <c r="Z222">
        <v>40</v>
      </c>
      <c r="AB222">
        <f>Z222*Return!F226*100</f>
        <v>-24.0000000000009</v>
      </c>
      <c r="AC222">
        <f>AA222*Return!G226*100</f>
        <v>0</v>
      </c>
      <c r="AD222">
        <f>SUM($AB$148:AB222)+SUM($AC$148:AC222)</f>
        <v>912.7</v>
      </c>
      <c r="AE222">
        <f t="shared" si="48"/>
        <v>3749.44383561644</v>
      </c>
      <c r="AF222">
        <f t="shared" si="49"/>
        <v>1.00749888767123</v>
      </c>
      <c r="AG222" s="5">
        <f>(AF222/AF221-1)-中国_中债国债到期收益率_1年!H222%/252</f>
        <v>-0.000904840121631312</v>
      </c>
      <c r="AH222" s="5">
        <f>MIN((AF222-MAX($AF$151:AF222))/MAX($AF$151:AF222),0)</f>
        <v>-0.00132440600314397</v>
      </c>
    </row>
    <row r="223" spans="1:34">
      <c r="A223" s="7">
        <v>45035</v>
      </c>
      <c r="B223">
        <v>50</v>
      </c>
      <c r="C223">
        <v>30</v>
      </c>
      <c r="D223">
        <v>10</v>
      </c>
      <c r="E223">
        <v>5</v>
      </c>
      <c r="F223">
        <f t="shared" si="46"/>
        <v>95</v>
      </c>
      <c r="G223">
        <f t="shared" si="50"/>
        <v>50</v>
      </c>
      <c r="H223">
        <f t="shared" si="51"/>
        <v>150</v>
      </c>
      <c r="I223">
        <f t="shared" si="52"/>
        <v>90</v>
      </c>
      <c r="J223">
        <f t="shared" si="53"/>
        <v>80</v>
      </c>
      <c r="K223">
        <f t="shared" si="47"/>
        <v>370</v>
      </c>
      <c r="L223">
        <f>G223*Return!B223*100</f>
        <v>62.5000000000009</v>
      </c>
      <c r="M223">
        <f>H223*Return!C223*100</f>
        <v>140.999999999998</v>
      </c>
      <c r="N223">
        <f>I223*Return!D223*100</f>
        <v>101.699999999999</v>
      </c>
      <c r="O223">
        <f>J223*Return!E223*100</f>
        <v>64.0000000000001</v>
      </c>
      <c r="P223">
        <f t="shared" si="54"/>
        <v>369.199999999997</v>
      </c>
      <c r="Q223">
        <f>SUM($P$148:P223)</f>
        <v>721</v>
      </c>
      <c r="R223">
        <f>B223*中国_中债国债到期收益率_1年!B222/365*100</f>
        <v>30.158904109589</v>
      </c>
      <c r="S223">
        <f>C223*中国_中债国债到期收益率_1年!C222/365*100</f>
        <v>22.0701369863014</v>
      </c>
      <c r="T223">
        <f>D223*中国_中债国债到期收益率_1年!D222/365*100</f>
        <v>7.7586301369863</v>
      </c>
      <c r="U223">
        <f>E223*中国_中债国债到期收益率_1年!E222/365*100</f>
        <v>4.39123287671233</v>
      </c>
      <c r="V223">
        <f t="shared" si="55"/>
        <v>64.378904109589</v>
      </c>
      <c r="W223">
        <f>SUM($V$148:V223)</f>
        <v>3894.48109589041</v>
      </c>
      <c r="X223">
        <f>MAX(F223-50,0)*中国_中债国债到期收益率_1年!H223*100/365</f>
        <v>26.5068493150685</v>
      </c>
      <c r="Y223">
        <f>SUM($X$148:X223)</f>
        <v>1371.66520547945</v>
      </c>
      <c r="Z223">
        <v>40</v>
      </c>
      <c r="AB223">
        <f>Z223*Return!F227*100</f>
        <v>67.9999999999996</v>
      </c>
      <c r="AC223">
        <f>AA223*Return!G227*100</f>
        <v>0</v>
      </c>
      <c r="AD223">
        <f>SUM($AB$148:AB223)+SUM($AC$148:AC223)</f>
        <v>980.699999999999</v>
      </c>
      <c r="AE223">
        <f t="shared" si="48"/>
        <v>4224.51589041096</v>
      </c>
      <c r="AF223">
        <f t="shared" si="49"/>
        <v>1.00844903178082</v>
      </c>
      <c r="AG223" s="5">
        <f>(AF223/AF222-1)-中国_中债国债到期收益率_1年!H223%/252</f>
        <v>0.000857754657394924</v>
      </c>
      <c r="AH223" s="5">
        <f>MIN((AF223-MAX($AF$151:AF223))/MAX($AF$151:AF223),0)</f>
        <v>-0.000382582895805726</v>
      </c>
    </row>
    <row r="224" spans="1:34">
      <c r="A224" s="7">
        <v>45036</v>
      </c>
      <c r="B224">
        <v>50</v>
      </c>
      <c r="C224">
        <v>30</v>
      </c>
      <c r="D224">
        <v>10</v>
      </c>
      <c r="E224">
        <v>5</v>
      </c>
      <c r="F224">
        <f t="shared" si="46"/>
        <v>95</v>
      </c>
      <c r="G224">
        <f t="shared" si="50"/>
        <v>50</v>
      </c>
      <c r="H224">
        <f t="shared" si="51"/>
        <v>150</v>
      </c>
      <c r="I224">
        <f t="shared" si="52"/>
        <v>90</v>
      </c>
      <c r="J224">
        <f t="shared" si="53"/>
        <v>80</v>
      </c>
      <c r="K224">
        <f t="shared" si="47"/>
        <v>370</v>
      </c>
      <c r="L224">
        <f>G224*Return!B224*100</f>
        <v>62.5000000000009</v>
      </c>
      <c r="M224">
        <f>H224*Return!C224*100</f>
        <v>175.499999999997</v>
      </c>
      <c r="N224">
        <f>I224*Return!D224*100</f>
        <v>-12.5999999999986</v>
      </c>
      <c r="O224">
        <f>J224*Return!E224*100</f>
        <v>144.8</v>
      </c>
      <c r="P224">
        <f t="shared" si="54"/>
        <v>370.2</v>
      </c>
      <c r="Q224">
        <f>SUM($P$148:P224)</f>
        <v>1091.2</v>
      </c>
      <c r="R224">
        <f>B224*中国_中债国债到期收益率_1年!B223/365*100</f>
        <v>29.9876712328767</v>
      </c>
      <c r="S224">
        <f>C224*中国_中债国债到期收益率_1年!C223/365*100</f>
        <v>21.9739726027397</v>
      </c>
      <c r="T224">
        <f>D224*中国_中债国债到期收益率_1年!D223/365*100</f>
        <v>7.76246575342466</v>
      </c>
      <c r="U224">
        <f>E224*中国_中债国债到期收益率_1年!E223/365*100</f>
        <v>4.36643835616438</v>
      </c>
      <c r="V224">
        <f t="shared" si="55"/>
        <v>64.0905479452055</v>
      </c>
      <c r="W224">
        <f>SUM($V$148:V224)</f>
        <v>3958.57164383562</v>
      </c>
      <c r="X224">
        <f>MAX(F224-50,0)*中国_中债国债到期收益率_1年!H224*100/365</f>
        <v>26.5068493150685</v>
      </c>
      <c r="Y224">
        <f>SUM($X$148:X224)</f>
        <v>1398.17205479452</v>
      </c>
      <c r="AB224">
        <f>Z224*Return!F228*100</f>
        <v>0</v>
      </c>
      <c r="AC224">
        <f>AA224*Return!G228*100</f>
        <v>0</v>
      </c>
      <c r="AD224">
        <f>SUM($AB$148:AB224)+SUM($AC$148:AC224)</f>
        <v>980.699999999999</v>
      </c>
      <c r="AE224">
        <f t="shared" si="48"/>
        <v>4632.29958904109</v>
      </c>
      <c r="AF224">
        <f t="shared" si="49"/>
        <v>1.00926459917808</v>
      </c>
      <c r="AG224" s="5">
        <f>(AF224/AF223-1)-中国_中债国债到期收益率_1年!H224%/252</f>
        <v>0.000723416914507633</v>
      </c>
      <c r="AH224" s="5">
        <f>MIN((AF224-MAX($AF$151:AF224))/MAX($AF$151:AF224),0)</f>
        <v>0</v>
      </c>
    </row>
    <row r="225" spans="1:34">
      <c r="A225" s="7">
        <v>45037</v>
      </c>
      <c r="B225">
        <v>50</v>
      </c>
      <c r="C225">
        <v>30</v>
      </c>
      <c r="D225">
        <v>10</v>
      </c>
      <c r="E225">
        <v>5</v>
      </c>
      <c r="F225">
        <f t="shared" si="46"/>
        <v>95</v>
      </c>
      <c r="G225">
        <f t="shared" si="50"/>
        <v>50</v>
      </c>
      <c r="H225">
        <f t="shared" si="51"/>
        <v>150</v>
      </c>
      <c r="I225">
        <f t="shared" si="52"/>
        <v>90</v>
      </c>
      <c r="J225">
        <f t="shared" si="53"/>
        <v>80</v>
      </c>
      <c r="K225">
        <f t="shared" si="47"/>
        <v>370</v>
      </c>
      <c r="L225">
        <f>G225*Return!B225*100</f>
        <v>-7.00000000000145</v>
      </c>
      <c r="M225">
        <f>H225*Return!C225*100</f>
        <v>37.5000000000059</v>
      </c>
      <c r="N225">
        <f>I225*Return!D225*100</f>
        <v>0.899999999997902</v>
      </c>
      <c r="O225">
        <f>J225*Return!E225*100</f>
        <v>79.9999999999983</v>
      </c>
      <c r="P225">
        <f t="shared" si="54"/>
        <v>111.400000000001</v>
      </c>
      <c r="Q225">
        <f>SUM($P$148:P225)</f>
        <v>1202.6</v>
      </c>
      <c r="R225">
        <f>B225*中国_中债国债到期收益率_1年!B224/365*100</f>
        <v>30.0068493150685</v>
      </c>
      <c r="S225">
        <f>C225*中国_中债国债到期收益率_1年!C224/365*100</f>
        <v>21.9534246575342</v>
      </c>
      <c r="T225">
        <f>D225*中国_中债国债到期收益率_1年!D224/365*100</f>
        <v>7.76219178082192</v>
      </c>
      <c r="U225">
        <f>E225*中国_中债国债到期收益率_1年!E224/365*100</f>
        <v>4.3527397260274</v>
      </c>
      <c r="V225">
        <f t="shared" si="55"/>
        <v>64.0752054794521</v>
      </c>
      <c r="W225">
        <f>SUM($V$148:V225)</f>
        <v>4022.64684931507</v>
      </c>
      <c r="X225">
        <f>MAX(F225-50,0)*中国_中债国债到期收益率_1年!H225*100/365</f>
        <v>30.8219178082192</v>
      </c>
      <c r="Y225">
        <f>SUM($X$148:X225)</f>
        <v>1428.99397260274</v>
      </c>
      <c r="AB225">
        <f>Z225*Return!F229*100</f>
        <v>0</v>
      </c>
      <c r="AC225">
        <f>AA225*Return!G229*100</f>
        <v>0</v>
      </c>
      <c r="AD225">
        <f>SUM($AB$148:AB225)+SUM($AC$148:AC225)</f>
        <v>980.699999999999</v>
      </c>
      <c r="AE225">
        <f t="shared" si="48"/>
        <v>4776.95287671233</v>
      </c>
      <c r="AF225">
        <f t="shared" si="49"/>
        <v>1.00955390575342</v>
      </c>
      <c r="AG225" s="5">
        <f>(AF225/AF224-1)-中国_中债国债到期收益率_1年!H225%/252</f>
        <v>0.000187444520722057</v>
      </c>
      <c r="AH225" s="5">
        <f>MIN((AF225-MAX($AF$151:AF225))/MAX($AF$151:AF225),0)</f>
        <v>0</v>
      </c>
    </row>
    <row r="226" spans="1:34">
      <c r="A226" s="7">
        <v>45039</v>
      </c>
      <c r="B226">
        <v>50</v>
      </c>
      <c r="C226">
        <v>30</v>
      </c>
      <c r="D226">
        <v>10</v>
      </c>
      <c r="E226">
        <v>5</v>
      </c>
      <c r="F226">
        <f t="shared" si="46"/>
        <v>95</v>
      </c>
      <c r="G226">
        <f t="shared" si="50"/>
        <v>50</v>
      </c>
      <c r="H226">
        <f t="shared" si="51"/>
        <v>150</v>
      </c>
      <c r="I226">
        <f t="shared" si="52"/>
        <v>90</v>
      </c>
      <c r="J226">
        <f t="shared" si="53"/>
        <v>80</v>
      </c>
      <c r="K226">
        <f t="shared" si="47"/>
        <v>370</v>
      </c>
      <c r="L226">
        <f>G226*Return!B226*100</f>
        <v>5.5000000000005</v>
      </c>
      <c r="M226">
        <f>H226*Return!C226*100</f>
        <v>29.9999999999967</v>
      </c>
      <c r="N226">
        <f>I226*Return!D226*100</f>
        <v>66.6000000000007</v>
      </c>
      <c r="O226">
        <f>J226*Return!E226*100</f>
        <v>39.200000000001</v>
      </c>
      <c r="P226">
        <f t="shared" si="54"/>
        <v>141.299999999999</v>
      </c>
      <c r="Q226">
        <f>SUM($P$148:P226)</f>
        <v>1343.9</v>
      </c>
      <c r="R226">
        <f>B226*中国_中债国债到期收益率_1年!B225/365*100</f>
        <v>29.9917808219178</v>
      </c>
      <c r="S226">
        <f>C226*中国_中债国债到期收益率_1年!C225/365*100</f>
        <v>21.9369863013699</v>
      </c>
      <c r="T226">
        <f>D226*中国_中债国债到期收益率_1年!D225/365*100</f>
        <v>7.74191780821918</v>
      </c>
      <c r="U226">
        <f>E226*中国_中债国债到期收益率_1年!E225/365*100</f>
        <v>4.34602739726027</v>
      </c>
      <c r="V226">
        <f t="shared" si="55"/>
        <v>64.0167123287671</v>
      </c>
      <c r="W226">
        <f>SUM($V$148:V226)</f>
        <v>4086.66356164384</v>
      </c>
      <c r="X226">
        <f>MAX(F226-50,0)*中国_中债国债到期收益率_1年!H226*100/365</f>
        <v>25.8904109589041</v>
      </c>
      <c r="Y226">
        <f>SUM($X$148:X226)</f>
        <v>1454.88438356164</v>
      </c>
      <c r="AB226">
        <f>Z226*Return!F230*100</f>
        <v>0</v>
      </c>
      <c r="AC226">
        <f>AA226*Return!G230*100</f>
        <v>0</v>
      </c>
      <c r="AD226">
        <f>SUM($AB$148:AB226)+SUM($AC$148:AC226)</f>
        <v>980.699999999999</v>
      </c>
      <c r="AE226">
        <f t="shared" si="48"/>
        <v>4956.37917808219</v>
      </c>
      <c r="AF226">
        <f t="shared" si="49"/>
        <v>1.00991275835616</v>
      </c>
      <c r="AG226" s="5">
        <f>(AF226/AF225-1)-中国_中债国债到期收益率_1年!H226%/252</f>
        <v>0.000272123270513948</v>
      </c>
      <c r="AH226" s="5">
        <f>MIN((AF226-MAX($AF$151:AF226))/MAX($AF$151:AF226),0)</f>
        <v>0</v>
      </c>
    </row>
    <row r="227" spans="1:34">
      <c r="A227" s="7">
        <v>45040</v>
      </c>
      <c r="B227">
        <v>50</v>
      </c>
      <c r="C227">
        <v>30</v>
      </c>
      <c r="D227">
        <v>10</v>
      </c>
      <c r="E227">
        <v>5</v>
      </c>
      <c r="F227">
        <f t="shared" si="46"/>
        <v>95</v>
      </c>
      <c r="G227">
        <f t="shared" si="50"/>
        <v>50</v>
      </c>
      <c r="H227">
        <f t="shared" si="51"/>
        <v>150</v>
      </c>
      <c r="I227">
        <f t="shared" si="52"/>
        <v>90</v>
      </c>
      <c r="J227">
        <f t="shared" si="53"/>
        <v>80</v>
      </c>
      <c r="K227">
        <f t="shared" si="47"/>
        <v>370</v>
      </c>
      <c r="L227">
        <f>G227*Return!B227*100</f>
        <v>-5.99999999999934</v>
      </c>
      <c r="M227">
        <f>H227*Return!C227*100</f>
        <v>11.9999999999987</v>
      </c>
      <c r="N227">
        <f>I227*Return!D227*100</f>
        <v>34.2000000000002</v>
      </c>
      <c r="O227">
        <f>J227*Return!E227*100</f>
        <v>8.80000000000081</v>
      </c>
      <c r="P227">
        <f t="shared" si="54"/>
        <v>49.0000000000004</v>
      </c>
      <c r="Q227">
        <f>SUM($P$148:P227)</f>
        <v>1392.9</v>
      </c>
      <c r="R227">
        <f>B227*中国_中债国债到期收益率_1年!B226/365*100</f>
        <v>30.0082191780822</v>
      </c>
      <c r="S227">
        <f>C227*中国_中债国债到期收益率_1年!C226/365*100</f>
        <v>21.9304109589041</v>
      </c>
      <c r="T227">
        <f>D227*中国_中债国债到期收益率_1年!D226/365*100</f>
        <v>7.73150684931507</v>
      </c>
      <c r="U227">
        <f>E227*中国_中债国债到期收益率_1年!E226/365*100</f>
        <v>4.34452054794521</v>
      </c>
      <c r="V227">
        <f t="shared" si="55"/>
        <v>64.0146575342466</v>
      </c>
      <c r="W227">
        <f>SUM($V$148:V227)</f>
        <v>4150.67821917808</v>
      </c>
      <c r="X227">
        <f>MAX(F227-50,0)*中国_中债国债到期收益率_1年!H227*100/365</f>
        <v>31.4383561643836</v>
      </c>
      <c r="Y227">
        <f>SUM($X$148:X227)</f>
        <v>1486.32273972603</v>
      </c>
      <c r="AB227">
        <f>Z227*Return!F231*100</f>
        <v>0</v>
      </c>
      <c r="AC227">
        <f>AA227*Return!G231*100</f>
        <v>0</v>
      </c>
      <c r="AD227">
        <f>SUM($AB$148:AB227)+SUM($AC$148:AC227)</f>
        <v>980.699999999999</v>
      </c>
      <c r="AE227">
        <f t="shared" si="48"/>
        <v>5037.95547945205</v>
      </c>
      <c r="AF227">
        <f t="shared" si="49"/>
        <v>1.0100759109589</v>
      </c>
      <c r="AG227" s="5">
        <f>(AF227/AF226-1)-中国_中债国债到期收益率_1年!H227%/252</f>
        <v>6.03607086913379e-5</v>
      </c>
      <c r="AH227" s="5">
        <f>MIN((AF227-MAX($AF$151:AF227))/MAX($AF$151:AF227),0)</f>
        <v>0</v>
      </c>
    </row>
    <row r="228" spans="1:34">
      <c r="A228" s="7">
        <v>45041</v>
      </c>
      <c r="B228">
        <v>50</v>
      </c>
      <c r="C228">
        <v>30</v>
      </c>
      <c r="D228">
        <v>10</v>
      </c>
      <c r="E228">
        <v>5</v>
      </c>
      <c r="F228">
        <f t="shared" si="46"/>
        <v>95</v>
      </c>
      <c r="G228">
        <f t="shared" si="50"/>
        <v>50</v>
      </c>
      <c r="H228">
        <f t="shared" si="51"/>
        <v>150</v>
      </c>
      <c r="I228">
        <f t="shared" si="52"/>
        <v>90</v>
      </c>
      <c r="J228">
        <f t="shared" si="53"/>
        <v>80</v>
      </c>
      <c r="K228">
        <f t="shared" si="47"/>
        <v>370</v>
      </c>
      <c r="L228">
        <f>G228*Return!B228*100</f>
        <v>25.4999999999983</v>
      </c>
      <c r="M228">
        <f>H228*Return!C228*100</f>
        <v>75.0000000000051</v>
      </c>
      <c r="N228">
        <f>I228*Return!D228*100</f>
        <v>39.5999999999996</v>
      </c>
      <c r="O228">
        <f>J228*Return!E228*100</f>
        <v>85.5999999999995</v>
      </c>
      <c r="P228">
        <f t="shared" si="54"/>
        <v>225.700000000002</v>
      </c>
      <c r="Q228">
        <f>SUM($P$148:P228)</f>
        <v>1618.6</v>
      </c>
      <c r="R228">
        <f>B228*中国_中债国债到期收益率_1年!B227/365*100</f>
        <v>29.9383561643836</v>
      </c>
      <c r="S228">
        <f>C228*中国_中债国债到期收益率_1年!C227/365*100</f>
        <v>21.8893150684931</v>
      </c>
      <c r="T228">
        <f>D228*中国_中债国债到期收益率_1年!D227/365*100</f>
        <v>7.71945205479452</v>
      </c>
      <c r="U228">
        <f>E228*中国_中债国债到期收益率_1年!E227/365*100</f>
        <v>4.32986301369863</v>
      </c>
      <c r="V228">
        <f t="shared" si="55"/>
        <v>63.8769863013699</v>
      </c>
      <c r="W228">
        <f>SUM($V$148:V228)</f>
        <v>4214.55520547945</v>
      </c>
      <c r="X228">
        <f>MAX(F228-50,0)*中国_中债国债到期收益率_1年!H228*100/365</f>
        <v>32.0547945205479</v>
      </c>
      <c r="Y228">
        <f>SUM($X$148:X228)</f>
        <v>1518.37753424658</v>
      </c>
      <c r="AB228">
        <f>Z228*Return!F232*100</f>
        <v>0</v>
      </c>
      <c r="AC228">
        <f>AA228*Return!G232*100</f>
        <v>0</v>
      </c>
      <c r="AD228">
        <f>SUM($AB$148:AB228)+SUM($AC$148:AC228)</f>
        <v>980.699999999999</v>
      </c>
      <c r="AE228">
        <f t="shared" si="48"/>
        <v>5295.47767123288</v>
      </c>
      <c r="AF228">
        <f t="shared" si="49"/>
        <v>1.01059095534247</v>
      </c>
      <c r="AG228" s="5">
        <f>(AF228/AF227-1)-中国_中债国债到期收益率_1年!H228%/252</f>
        <v>0.000406732006787704</v>
      </c>
      <c r="AH228" s="5">
        <f>MIN((AF228-MAX($AF$151:AF228))/MAX($AF$151:AF228),0)</f>
        <v>0</v>
      </c>
    </row>
    <row r="229" spans="1:34">
      <c r="A229" s="7">
        <v>45042</v>
      </c>
      <c r="B229">
        <v>50</v>
      </c>
      <c r="C229">
        <v>30</v>
      </c>
      <c r="D229">
        <v>10</v>
      </c>
      <c r="E229">
        <v>5</v>
      </c>
      <c r="F229">
        <f t="shared" si="46"/>
        <v>95</v>
      </c>
      <c r="G229">
        <f t="shared" si="50"/>
        <v>50</v>
      </c>
      <c r="H229">
        <f t="shared" si="51"/>
        <v>150</v>
      </c>
      <c r="I229">
        <f t="shared" si="52"/>
        <v>90</v>
      </c>
      <c r="J229">
        <f t="shared" si="53"/>
        <v>80</v>
      </c>
      <c r="K229">
        <f t="shared" si="47"/>
        <v>370</v>
      </c>
      <c r="L229">
        <f>G229*Return!B229*100</f>
        <v>50.5000000000022</v>
      </c>
      <c r="M229">
        <f>H229*Return!C229*100</f>
        <v>49.4999999999979</v>
      </c>
      <c r="N229">
        <f>I229*Return!D229*100</f>
        <v>17.1000000000001</v>
      </c>
      <c r="O229">
        <f>J229*Return!E229*100</f>
        <v>19.2000000000014</v>
      </c>
      <c r="P229">
        <f t="shared" si="54"/>
        <v>136.300000000002</v>
      </c>
      <c r="Q229">
        <f>SUM($P$148:P229)</f>
        <v>1754.9</v>
      </c>
      <c r="R229">
        <f>B229*中国_中债国债到期收益率_1年!B228/365*100</f>
        <v>29.8</v>
      </c>
      <c r="S229">
        <f>C229*中国_中债国债到期收益率_1年!C228/365*100</f>
        <v>21.8621917808219</v>
      </c>
      <c r="T229">
        <f>D229*中国_中债国债到期收益率_1年!D228/365*100</f>
        <v>7.71424657534247</v>
      </c>
      <c r="U229">
        <f>E229*中国_中债国债到期收益率_1年!E228/365*100</f>
        <v>4.32657534246575</v>
      </c>
      <c r="V229">
        <f t="shared" si="55"/>
        <v>63.7030136986301</v>
      </c>
      <c r="W229">
        <f>SUM($V$148:V229)</f>
        <v>4278.25821917808</v>
      </c>
      <c r="X229">
        <f>MAX(F229-50,0)*中国_中债国债到期收益率_1年!H229*100/365</f>
        <v>30.8219178082192</v>
      </c>
      <c r="Y229">
        <f>SUM($X$148:X229)</f>
        <v>1549.19945205479</v>
      </c>
      <c r="AB229">
        <f>Z229*Return!F233*100</f>
        <v>0</v>
      </c>
      <c r="AC229">
        <f>AA229*Return!G233*100</f>
        <v>0</v>
      </c>
      <c r="AD229">
        <f>SUM($AB$148:AB229)+SUM($AC$148:AC229)</f>
        <v>980.699999999999</v>
      </c>
      <c r="AE229">
        <f t="shared" si="48"/>
        <v>5464.65876712329</v>
      </c>
      <c r="AF229">
        <f t="shared" si="49"/>
        <v>1.01092931753425</v>
      </c>
      <c r="AG229" s="5">
        <f>(AF229/AF228-1)-中国_中债国债到期收益率_1年!H229%/252</f>
        <v>0.000235609819484117</v>
      </c>
      <c r="AH229" s="5">
        <f>MIN((AF229-MAX($AF$151:AF229))/MAX($AF$151:AF229),0)</f>
        <v>0</v>
      </c>
    </row>
    <row r="230" spans="1:34">
      <c r="A230" s="7">
        <v>45043</v>
      </c>
      <c r="B230">
        <v>50</v>
      </c>
      <c r="C230">
        <v>30</v>
      </c>
      <c r="D230">
        <v>10</v>
      </c>
      <c r="E230">
        <v>5</v>
      </c>
      <c r="F230">
        <f t="shared" si="46"/>
        <v>95</v>
      </c>
      <c r="G230">
        <f t="shared" si="50"/>
        <v>50</v>
      </c>
      <c r="H230">
        <f t="shared" si="51"/>
        <v>150</v>
      </c>
      <c r="I230">
        <f t="shared" si="52"/>
        <v>90</v>
      </c>
      <c r="J230">
        <f t="shared" si="53"/>
        <v>80</v>
      </c>
      <c r="K230">
        <f t="shared" si="47"/>
        <v>370</v>
      </c>
      <c r="L230">
        <f>G230*Return!B230*100</f>
        <v>13.4999999999996</v>
      </c>
      <c r="M230">
        <f>H230*Return!C230*100</f>
        <v>335.999999999996</v>
      </c>
      <c r="N230">
        <f>I230*Return!D230*100</f>
        <v>89.1000000000002</v>
      </c>
      <c r="O230">
        <f>J230*Return!E230*100</f>
        <v>7.99999999999912</v>
      </c>
      <c r="P230">
        <f t="shared" si="54"/>
        <v>446.599999999995</v>
      </c>
      <c r="Q230">
        <f>SUM($P$148:P230)</f>
        <v>2201.5</v>
      </c>
      <c r="R230">
        <f>B230*中国_中债国债到期收益率_1年!B229/365*100</f>
        <v>29.7630136986301</v>
      </c>
      <c r="S230">
        <f>C230*中国_中债国债到期收益率_1年!C229/365*100</f>
        <v>21.6780821917808</v>
      </c>
      <c r="T230">
        <f>D230*中国_中债国债到期收益率_1年!D229/365*100</f>
        <v>7.68712328767123</v>
      </c>
      <c r="U230">
        <f>E230*中国_中债国债到期收益率_1年!E229/365*100</f>
        <v>4.32520547945205</v>
      </c>
      <c r="V230">
        <f t="shared" si="55"/>
        <v>63.4534246575342</v>
      </c>
      <c r="W230">
        <f>SUM($V$148:V230)</f>
        <v>4341.71164383562</v>
      </c>
      <c r="X230">
        <f>MAX(F230-50,0)*中国_中债国债到期收益率_1年!H230*100/365</f>
        <v>30.8219178082192</v>
      </c>
      <c r="Y230">
        <f>SUM($X$148:X230)</f>
        <v>1580.02136986301</v>
      </c>
      <c r="AB230">
        <f>Z230*Return!F234*100</f>
        <v>0</v>
      </c>
      <c r="AC230">
        <f>AA230*Return!G234*100</f>
        <v>0</v>
      </c>
      <c r="AD230">
        <f>SUM($AB$148:AB230)+SUM($AC$148:AC230)</f>
        <v>980.699999999999</v>
      </c>
      <c r="AE230">
        <f t="shared" si="48"/>
        <v>5943.8902739726</v>
      </c>
      <c r="AF230">
        <f t="shared" si="49"/>
        <v>1.01188778054795</v>
      </c>
      <c r="AG230" s="5">
        <f>(AF230/AF229-1)-中国_中债国债到期收益率_1年!H230%/252</f>
        <v>0.000848894568508007</v>
      </c>
      <c r="AH230" s="5">
        <f>MIN((AF230-MAX($AF$151:AF230))/MAX($AF$151:AF230),0)</f>
        <v>0</v>
      </c>
    </row>
    <row r="231" spans="1:34">
      <c r="A231" s="7">
        <v>45044</v>
      </c>
      <c r="B231">
        <v>50</v>
      </c>
      <c r="C231">
        <v>30</v>
      </c>
      <c r="D231">
        <v>10</v>
      </c>
      <c r="E231">
        <v>5</v>
      </c>
      <c r="F231">
        <f t="shared" si="46"/>
        <v>95</v>
      </c>
      <c r="G231">
        <f t="shared" si="50"/>
        <v>50</v>
      </c>
      <c r="H231">
        <f t="shared" si="51"/>
        <v>150</v>
      </c>
      <c r="I231">
        <f t="shared" si="52"/>
        <v>90</v>
      </c>
      <c r="J231">
        <f t="shared" si="53"/>
        <v>80</v>
      </c>
      <c r="K231">
        <f t="shared" si="47"/>
        <v>370</v>
      </c>
      <c r="L231">
        <f>G231*Return!B231*100</f>
        <v>83.4999999999986</v>
      </c>
      <c r="M231">
        <f>H231*Return!C231*100</f>
        <v>334.5</v>
      </c>
      <c r="N231">
        <f>I231*Return!D231*100</f>
        <v>185.4</v>
      </c>
      <c r="O231">
        <f>J231*Return!E231*100</f>
        <v>155.999999999999</v>
      </c>
      <c r="P231">
        <f t="shared" si="54"/>
        <v>759.399999999997</v>
      </c>
      <c r="Q231">
        <f>SUM($P$148:P231)</f>
        <v>2960.9</v>
      </c>
      <c r="R231">
        <f>B231*中国_中债国债到期收益率_1年!B230/365*100</f>
        <v>29.5342465753425</v>
      </c>
      <c r="S231">
        <f>C231*中国_中债国债到期收益率_1年!C230/365*100</f>
        <v>21.4947945205479</v>
      </c>
      <c r="T231">
        <f>D231*中国_中债国债到期收益率_1年!D230/365*100</f>
        <v>7.63068493150685</v>
      </c>
      <c r="U231">
        <f>E231*中国_中债国债到期收益率_1年!E230/365*100</f>
        <v>4.29849315068493</v>
      </c>
      <c r="V231">
        <f t="shared" si="55"/>
        <v>62.9582191780822</v>
      </c>
      <c r="W231">
        <f>SUM($V$148:V231)</f>
        <v>4404.6698630137</v>
      </c>
      <c r="X231">
        <f>MAX(F231-50,0)*中国_中债国债到期收益率_1年!H231*100/365</f>
        <v>29.5890410958904</v>
      </c>
      <c r="Y231">
        <f>SUM($X$148:X231)</f>
        <v>1609.6104109589</v>
      </c>
      <c r="AB231">
        <f>Z231*Return!F235*100</f>
        <v>0</v>
      </c>
      <c r="AC231">
        <f>AA231*Return!G235*100</f>
        <v>0</v>
      </c>
      <c r="AD231">
        <f>SUM($AB$148:AB231)+SUM($AC$148:AC231)</f>
        <v>980.699999999999</v>
      </c>
      <c r="AE231">
        <f t="shared" si="48"/>
        <v>6736.65945205479</v>
      </c>
      <c r="AF231">
        <f t="shared" si="49"/>
        <v>1.01347331890411</v>
      </c>
      <c r="AG231" s="5">
        <f>(AF231/AF230-1)-中国_中债国债到期收益率_1年!H231%/252</f>
        <v>0.00147167316374147</v>
      </c>
      <c r="AH231" s="5">
        <f>MIN((AF231-MAX($AF$151:AF231))/MAX($AF$151:AF231),0)</f>
        <v>0</v>
      </c>
    </row>
    <row r="232" spans="1:34">
      <c r="A232" s="7">
        <v>45050</v>
      </c>
      <c r="B232">
        <v>50</v>
      </c>
      <c r="C232">
        <v>30</v>
      </c>
      <c r="D232">
        <v>10</v>
      </c>
      <c r="E232">
        <v>5</v>
      </c>
      <c r="F232">
        <f t="shared" si="46"/>
        <v>95</v>
      </c>
      <c r="G232">
        <f t="shared" si="50"/>
        <v>50</v>
      </c>
      <c r="H232">
        <f t="shared" si="51"/>
        <v>150</v>
      </c>
      <c r="I232">
        <f t="shared" si="52"/>
        <v>90</v>
      </c>
      <c r="J232">
        <f t="shared" si="53"/>
        <v>80</v>
      </c>
      <c r="K232">
        <f t="shared" si="47"/>
        <v>370</v>
      </c>
      <c r="L232">
        <f>G232*Return!B232*100</f>
        <v>48.0000000000014</v>
      </c>
      <c r="M232">
        <f>H232*Return!C232*100</f>
        <v>33.000000000003</v>
      </c>
      <c r="N232">
        <f>I232*Return!D232*100</f>
        <v>57.6000000000016</v>
      </c>
      <c r="O232">
        <f>J232*Return!E232*100</f>
        <v>19.2000000000014</v>
      </c>
      <c r="P232">
        <f t="shared" si="54"/>
        <v>157.800000000007</v>
      </c>
      <c r="Q232">
        <f>SUM($P$148:P232)</f>
        <v>3118.7</v>
      </c>
      <c r="R232">
        <f>B232*中国_中债国债到期收益率_1年!B231/365*100</f>
        <v>29.4027397260274</v>
      </c>
      <c r="S232">
        <f>C232*中国_中债国债到期收益率_1年!C231/365*100</f>
        <v>21.4767123287671</v>
      </c>
      <c r="T232">
        <f>D232*中国_中债国债到期收益率_1年!D231/365*100</f>
        <v>7.61315068493151</v>
      </c>
      <c r="U232">
        <f>E232*中国_中债国债到期收益率_1年!E231/365*100</f>
        <v>4.29520547945206</v>
      </c>
      <c r="V232">
        <f t="shared" si="55"/>
        <v>62.7878082191781</v>
      </c>
      <c r="W232">
        <f>SUM($V$148:V232)</f>
        <v>4467.45767123288</v>
      </c>
      <c r="X232">
        <f>MAX(F232-50,0)*中国_中债国债到期收益率_1年!H232*100/365</f>
        <v>24.836301369863</v>
      </c>
      <c r="Y232">
        <f>SUM($X$148:X232)</f>
        <v>1634.44671232877</v>
      </c>
      <c r="AB232">
        <f>Z232*Return!F236*100</f>
        <v>0</v>
      </c>
      <c r="AC232">
        <f>AA232*Return!G236*100</f>
        <v>0</v>
      </c>
      <c r="AD232">
        <f>SUM($AB$148:AB232)+SUM($AC$148:AC232)</f>
        <v>980.699999999999</v>
      </c>
      <c r="AE232">
        <f t="shared" si="48"/>
        <v>6932.41095890411</v>
      </c>
      <c r="AF232">
        <f t="shared" si="49"/>
        <v>1.01386482191781</v>
      </c>
      <c r="AG232" s="5">
        <f>(AF232/AF231-1)-中国_中债国债到期收益率_1年!H232%/252</f>
        <v>0.000306357817406233</v>
      </c>
      <c r="AH232" s="5">
        <f>MIN((AF232-MAX($AF$151:AF232))/MAX($AF$151:AF232),0)</f>
        <v>0</v>
      </c>
    </row>
    <row r="233" spans="1:34">
      <c r="A233" s="7">
        <v>45051</v>
      </c>
      <c r="B233">
        <v>50</v>
      </c>
      <c r="C233">
        <v>30</v>
      </c>
      <c r="D233">
        <v>10</v>
      </c>
      <c r="E233">
        <v>5</v>
      </c>
      <c r="F233">
        <f t="shared" si="46"/>
        <v>95</v>
      </c>
      <c r="G233">
        <f t="shared" si="50"/>
        <v>50</v>
      </c>
      <c r="H233">
        <f t="shared" si="51"/>
        <v>150</v>
      </c>
      <c r="I233">
        <f t="shared" si="52"/>
        <v>90</v>
      </c>
      <c r="J233">
        <f t="shared" si="53"/>
        <v>80</v>
      </c>
      <c r="K233">
        <f t="shared" si="47"/>
        <v>370</v>
      </c>
      <c r="L233">
        <f>G233*Return!B233*100</f>
        <v>50.9999999999988</v>
      </c>
      <c r="M233">
        <f>H233*Return!C233*100</f>
        <v>243</v>
      </c>
      <c r="N233">
        <f>I233*Return!D233*100</f>
        <v>157.500000000001</v>
      </c>
      <c r="O233">
        <f>J233*Return!E233*100</f>
        <v>138.400000000001</v>
      </c>
      <c r="P233">
        <f t="shared" si="54"/>
        <v>589.9</v>
      </c>
      <c r="Q233">
        <f>SUM($P$148:P233)</f>
        <v>3708.6</v>
      </c>
      <c r="R233">
        <f>B233*中国_中债国债到期收益率_1年!B232/365*100</f>
        <v>29.2630136986301</v>
      </c>
      <c r="S233">
        <f>C233*中国_中债国债到期收益率_1年!C232/365*100</f>
        <v>21.3435616438356</v>
      </c>
      <c r="T233">
        <f>D233*中国_中债国债到期收益率_1年!D232/365*100</f>
        <v>7.56520547945205</v>
      </c>
      <c r="U233">
        <f>E233*中国_中债国债到期收益率_1年!E232/365*100</f>
        <v>4.27150684931507</v>
      </c>
      <c r="V233">
        <f t="shared" si="55"/>
        <v>62.4432876712329</v>
      </c>
      <c r="W233">
        <f>SUM($V$148:V233)</f>
        <v>4529.90095890411</v>
      </c>
      <c r="X233">
        <f>MAX(F233-50,0)*中国_中债国债到期收益率_1年!H233*100/365</f>
        <v>24.041095890411</v>
      </c>
      <c r="Y233">
        <f>SUM($X$148:X233)</f>
        <v>1658.48780821918</v>
      </c>
      <c r="AB233">
        <f>Z233*Return!F237*100</f>
        <v>0</v>
      </c>
      <c r="AC233">
        <f>AA233*Return!G237*100</f>
        <v>0</v>
      </c>
      <c r="AD233">
        <f>SUM($AB$148:AB233)+SUM($AC$148:AC233)</f>
        <v>980.699999999999</v>
      </c>
      <c r="AE233">
        <f t="shared" si="48"/>
        <v>7560.71315068493</v>
      </c>
      <c r="AF233">
        <f t="shared" si="49"/>
        <v>1.01512142630137</v>
      </c>
      <c r="AG233" s="5">
        <f>(AF233/AF232-1)-中国_中债国债到期收益率_1年!H233%/252</f>
        <v>0.00116203909297065</v>
      </c>
      <c r="AH233" s="5">
        <f>MIN((AF233-MAX($AF$151:AF233))/MAX($AF$151:AF233),0)</f>
        <v>0</v>
      </c>
    </row>
    <row r="234" spans="1:34">
      <c r="A234" s="7">
        <v>45052</v>
      </c>
      <c r="B234">
        <v>50</v>
      </c>
      <c r="C234">
        <v>30</v>
      </c>
      <c r="D234">
        <v>10</v>
      </c>
      <c r="E234">
        <v>5</v>
      </c>
      <c r="F234">
        <f t="shared" si="46"/>
        <v>95</v>
      </c>
      <c r="G234">
        <f t="shared" si="50"/>
        <v>50</v>
      </c>
      <c r="H234">
        <f t="shared" si="51"/>
        <v>150</v>
      </c>
      <c r="I234">
        <f t="shared" si="52"/>
        <v>90</v>
      </c>
      <c r="J234">
        <f t="shared" si="53"/>
        <v>80</v>
      </c>
      <c r="K234">
        <f t="shared" si="47"/>
        <v>370</v>
      </c>
      <c r="L234">
        <f>G234*Return!B234*100</f>
        <v>48.0000000000014</v>
      </c>
      <c r="M234">
        <f>H234*Return!C234*100</f>
        <v>484.500000000003</v>
      </c>
      <c r="N234">
        <f>I234*Return!D234*100</f>
        <v>247.499999999999</v>
      </c>
      <c r="O234">
        <f>J234*Return!E234*100</f>
        <v>280.799999999999</v>
      </c>
      <c r="P234">
        <f t="shared" si="54"/>
        <v>1060.8</v>
      </c>
      <c r="Q234">
        <f>SUM($P$148:P234)</f>
        <v>4769.40000000001</v>
      </c>
      <c r="R234">
        <f>B234*中国_中债国债到期收益率_1年!B233/365*100</f>
        <v>29.1315068493151</v>
      </c>
      <c r="S234">
        <f>C234*中国_中债国债到期收益率_1年!C233/365*100</f>
        <v>21.0780821917808</v>
      </c>
      <c r="T234">
        <f>D234*中国_中债国债到期收益率_1年!D233/365*100</f>
        <v>7.48986301369863</v>
      </c>
      <c r="U234">
        <f>E234*中国_中债国债到期收益率_1年!E233/365*100</f>
        <v>4.22342465753425</v>
      </c>
      <c r="V234">
        <f t="shared" si="55"/>
        <v>61.9228767123288</v>
      </c>
      <c r="W234">
        <f>SUM($V$148:V234)</f>
        <v>4591.82383561644</v>
      </c>
      <c r="X234">
        <f>MAX(F234-50,0)*中国_中债国债到期收益率_1年!H234*100/365</f>
        <v>21.5753424657534</v>
      </c>
      <c r="Y234">
        <f>SUM($X$148:X234)</f>
        <v>1680.06315068493</v>
      </c>
      <c r="AB234">
        <f>Z234*Return!F238*100</f>
        <v>0</v>
      </c>
      <c r="AC234">
        <f>AA234*Return!G238*100</f>
        <v>0</v>
      </c>
      <c r="AD234">
        <f>SUM($AB$148:AB234)+SUM($AC$148:AC234)</f>
        <v>980.699999999999</v>
      </c>
      <c r="AE234">
        <f t="shared" si="48"/>
        <v>8661.86068493151</v>
      </c>
      <c r="AF234">
        <f t="shared" si="49"/>
        <v>1.01732372136986</v>
      </c>
      <c r="AG234" s="5">
        <f>(AF234/AF233-1)-中国_中债国债到期收益率_1年!H234%/252</f>
        <v>0.00210004485154759</v>
      </c>
      <c r="AH234" s="5">
        <f>MIN((AF234-MAX($AF$151:AF234))/MAX($AF$151:AF234),0)</f>
        <v>0</v>
      </c>
    </row>
    <row r="235" spans="1:34">
      <c r="A235" s="7">
        <v>45054</v>
      </c>
      <c r="B235">
        <v>50</v>
      </c>
      <c r="C235">
        <v>30</v>
      </c>
      <c r="D235">
        <v>10</v>
      </c>
      <c r="E235">
        <v>5</v>
      </c>
      <c r="F235">
        <f t="shared" si="46"/>
        <v>95</v>
      </c>
      <c r="G235">
        <f t="shared" si="50"/>
        <v>50</v>
      </c>
      <c r="H235">
        <f t="shared" si="51"/>
        <v>150</v>
      </c>
      <c r="I235">
        <f t="shared" si="52"/>
        <v>90</v>
      </c>
      <c r="J235">
        <f t="shared" si="53"/>
        <v>80</v>
      </c>
      <c r="K235">
        <f t="shared" si="47"/>
        <v>370</v>
      </c>
      <c r="L235">
        <f>G235*Return!B235*100</f>
        <v>25.4999999999983</v>
      </c>
      <c r="M235">
        <f>H235*Return!C235*100</f>
        <v>14.9999999999983</v>
      </c>
      <c r="N235">
        <f>I235*Return!D235*100</f>
        <v>24.2999999999993</v>
      </c>
      <c r="O235">
        <f>J235*Return!E235*100</f>
        <v>-40.8000000000008</v>
      </c>
      <c r="P235">
        <f t="shared" si="54"/>
        <v>23.9999999999951</v>
      </c>
      <c r="Q235">
        <f>SUM($P$148:P235)</f>
        <v>4793.4</v>
      </c>
      <c r="R235">
        <f>B235*中国_中债国债到期收益率_1年!B234/365*100</f>
        <v>29.0616438356164</v>
      </c>
      <c r="S235">
        <f>C235*中国_中债国债到期收益率_1年!C234/365*100</f>
        <v>21.0698630136986</v>
      </c>
      <c r="T235">
        <f>D235*中国_中债国债到期收益率_1年!D234/365*100</f>
        <v>7.48246575342466</v>
      </c>
      <c r="U235">
        <f>E235*中国_中债国债到期收益率_1年!E234/365*100</f>
        <v>4.23041095890411</v>
      </c>
      <c r="V235">
        <f t="shared" si="55"/>
        <v>61.8443835616438</v>
      </c>
      <c r="W235">
        <f>SUM($V$148:V235)</f>
        <v>4653.66821917808</v>
      </c>
      <c r="X235">
        <f>MAX(F235-50,0)*中国_中债国债到期收益率_1年!H235*100/365</f>
        <v>24.6575342465753</v>
      </c>
      <c r="Y235">
        <f>SUM($X$148:X235)</f>
        <v>1704.72068493151</v>
      </c>
      <c r="AB235">
        <f>Z235*Return!F239*100</f>
        <v>0</v>
      </c>
      <c r="AC235">
        <f>AA235*Return!G239*100</f>
        <v>0</v>
      </c>
      <c r="AD235">
        <f>SUM($AB$148:AB235)+SUM($AC$148:AC235)</f>
        <v>980.699999999999</v>
      </c>
      <c r="AE235">
        <f t="shared" si="48"/>
        <v>8723.04753424658</v>
      </c>
      <c r="AF235">
        <f t="shared" si="49"/>
        <v>1.01744609506849</v>
      </c>
      <c r="AG235" s="5">
        <f>(AF235/AF234-1)-中国_中债国债到期收益率_1年!H235%/252</f>
        <v>4.09247517472619e-5</v>
      </c>
      <c r="AH235" s="5">
        <f>MIN((AF235-MAX($AF$151:AF235))/MAX($AF$151:AF235),0)</f>
        <v>0</v>
      </c>
    </row>
    <row r="236" spans="1:34">
      <c r="A236" s="7">
        <v>45055</v>
      </c>
      <c r="B236">
        <v>50</v>
      </c>
      <c r="C236">
        <v>30</v>
      </c>
      <c r="D236">
        <v>10</v>
      </c>
      <c r="E236">
        <v>5</v>
      </c>
      <c r="F236">
        <f t="shared" si="46"/>
        <v>95</v>
      </c>
      <c r="G236">
        <f t="shared" si="50"/>
        <v>50</v>
      </c>
      <c r="H236">
        <f t="shared" si="51"/>
        <v>150</v>
      </c>
      <c r="I236">
        <f t="shared" si="52"/>
        <v>90</v>
      </c>
      <c r="J236">
        <f t="shared" si="53"/>
        <v>80</v>
      </c>
      <c r="K236">
        <f t="shared" si="47"/>
        <v>370</v>
      </c>
      <c r="L236">
        <f>G236*Return!B236*100</f>
        <v>-53.9999999999985</v>
      </c>
      <c r="M236">
        <f>H236*Return!C236*100</f>
        <v>-328.5</v>
      </c>
      <c r="N236">
        <f>I236*Return!D236*100</f>
        <v>-155.700000000001</v>
      </c>
      <c r="O236">
        <f>J236*Return!E236*100</f>
        <v>-140.799999999999</v>
      </c>
      <c r="P236">
        <f t="shared" si="54"/>
        <v>-678.999999999999</v>
      </c>
      <c r="Q236">
        <f>SUM($P$148:P236)</f>
        <v>4114.4</v>
      </c>
      <c r="R236">
        <f>B236*中国_中债国债到期收益率_1年!B235/365*100</f>
        <v>29.2095890410959</v>
      </c>
      <c r="S236">
        <f>C236*中国_中债国债到期收益率_1年!C235/365*100</f>
        <v>21.2498630136986</v>
      </c>
      <c r="T236">
        <f>D236*中国_中债国债到期收益率_1年!D235/365*100</f>
        <v>7.52986301369863</v>
      </c>
      <c r="U236">
        <f>E236*中国_中债国债到期收益率_1年!E235/365*100</f>
        <v>4.25452054794521</v>
      </c>
      <c r="V236">
        <f t="shared" si="55"/>
        <v>62.2438356164384</v>
      </c>
      <c r="W236">
        <f>SUM($V$148:V236)</f>
        <v>4715.91205479452</v>
      </c>
      <c r="X236">
        <f>MAX(F236-50,0)*中国_中债国债到期收益率_1年!H236*100/365</f>
        <v>23.7945205479452</v>
      </c>
      <c r="Y236">
        <f>SUM($X$148:X236)</f>
        <v>1728.51520547945</v>
      </c>
      <c r="AB236">
        <f>Z236*Return!F240*100</f>
        <v>0</v>
      </c>
      <c r="AC236">
        <f>AA236*Return!G240*100</f>
        <v>0</v>
      </c>
      <c r="AD236">
        <f>SUM($AB$148:AB236)+SUM($AC$148:AC236)</f>
        <v>980.699999999999</v>
      </c>
      <c r="AE236">
        <f t="shared" si="48"/>
        <v>8082.49684931507</v>
      </c>
      <c r="AF236">
        <f t="shared" si="49"/>
        <v>1.01616499369863</v>
      </c>
      <c r="AG236" s="5">
        <f>(AF236/AF235-1)-中国_中债国债到期收益率_1年!H236%/252</f>
        <v>-0.00133572169315108</v>
      </c>
      <c r="AH236" s="5">
        <f>MIN((AF236-MAX($AF$151:AF236))/MAX($AF$151:AF236),0)</f>
        <v>-0.0012591343915638</v>
      </c>
    </row>
    <row r="237" spans="1:34">
      <c r="A237" s="7">
        <v>45056</v>
      </c>
      <c r="B237">
        <v>50</v>
      </c>
      <c r="C237">
        <v>30</v>
      </c>
      <c r="D237">
        <v>10</v>
      </c>
      <c r="E237">
        <v>5</v>
      </c>
      <c r="F237">
        <f t="shared" si="46"/>
        <v>95</v>
      </c>
      <c r="G237">
        <f t="shared" si="50"/>
        <v>50</v>
      </c>
      <c r="H237">
        <f t="shared" si="51"/>
        <v>150</v>
      </c>
      <c r="I237">
        <f t="shared" si="52"/>
        <v>90</v>
      </c>
      <c r="J237">
        <f t="shared" si="53"/>
        <v>80</v>
      </c>
      <c r="K237">
        <f t="shared" si="47"/>
        <v>370</v>
      </c>
      <c r="L237">
        <f>G237*Return!B237*100</f>
        <v>60.0000000000001</v>
      </c>
      <c r="M237">
        <f>H237*Return!C237*100</f>
        <v>111.000000000001</v>
      </c>
      <c r="N237">
        <f>I237*Return!D237*100</f>
        <v>90.9</v>
      </c>
      <c r="O237">
        <f>J237*Return!E237*100</f>
        <v>47.9999999999983</v>
      </c>
      <c r="P237">
        <f t="shared" si="54"/>
        <v>309.899999999999</v>
      </c>
      <c r="Q237">
        <f>SUM($P$148:P237)</f>
        <v>4424.3</v>
      </c>
      <c r="R237">
        <f>B237*中国_中债国债到期收益率_1年!B236/365*100</f>
        <v>29.0452054794521</v>
      </c>
      <c r="S237">
        <f>C237*中国_中债国债到期收益率_1年!C236/365*100</f>
        <v>21.1890410958904</v>
      </c>
      <c r="T237">
        <f>D237*中国_中债国债到期收益率_1年!D236/365*100</f>
        <v>7.50219178082192</v>
      </c>
      <c r="U237">
        <f>E237*中国_中债国债到期收益率_1年!E236/365*100</f>
        <v>4.24630136986301</v>
      </c>
      <c r="V237">
        <f t="shared" si="55"/>
        <v>61.9827397260274</v>
      </c>
      <c r="W237">
        <f>SUM($V$148:V237)</f>
        <v>4777.89479452055</v>
      </c>
      <c r="X237">
        <f>MAX(F237-50,0)*中国_中债国债到期收益率_1年!H237*100/365</f>
        <v>23.4246575342466</v>
      </c>
      <c r="Y237">
        <f>SUM($X$148:X237)</f>
        <v>1751.9398630137</v>
      </c>
      <c r="AB237">
        <f>Z237*Return!F241*100</f>
        <v>0</v>
      </c>
      <c r="AC237">
        <f>AA237*Return!G241*100</f>
        <v>0</v>
      </c>
      <c r="AD237">
        <f>SUM($AB$148:AB237)+SUM($AC$148:AC237)</f>
        <v>980.699999999999</v>
      </c>
      <c r="AE237">
        <f t="shared" si="48"/>
        <v>8430.95493150685</v>
      </c>
      <c r="AF237">
        <f t="shared" si="49"/>
        <v>1.01686190986301</v>
      </c>
      <c r="AG237" s="5">
        <f>(AF237/AF236-1)-中国_中债国债到期收益率_1年!H237%/252</f>
        <v>0.000610432905705047</v>
      </c>
      <c r="AH237" s="5">
        <f>MIN((AF237-MAX($AF$151:AF237))/MAX($AF$151:AF237),0)</f>
        <v>-0.000574168212263089</v>
      </c>
    </row>
    <row r="238" spans="1:34">
      <c r="A238" s="7">
        <v>45057</v>
      </c>
      <c r="B238">
        <v>50</v>
      </c>
      <c r="C238">
        <v>30</v>
      </c>
      <c r="D238">
        <v>10</v>
      </c>
      <c r="E238">
        <v>5</v>
      </c>
      <c r="F238">
        <f t="shared" si="46"/>
        <v>95</v>
      </c>
      <c r="G238">
        <f t="shared" si="50"/>
        <v>50</v>
      </c>
      <c r="H238">
        <f t="shared" si="51"/>
        <v>150</v>
      </c>
      <c r="I238">
        <f t="shared" si="52"/>
        <v>90</v>
      </c>
      <c r="J238">
        <f t="shared" si="53"/>
        <v>80</v>
      </c>
      <c r="K238">
        <f t="shared" si="47"/>
        <v>370</v>
      </c>
      <c r="L238">
        <f>G238*Return!B238*100</f>
        <v>160</v>
      </c>
      <c r="M238">
        <f>H238*Return!C238*100</f>
        <v>446.999999999997</v>
      </c>
      <c r="N238">
        <f>I238*Return!D238*100</f>
        <v>155.700000000001</v>
      </c>
      <c r="O238">
        <f>J238*Return!E238*100</f>
        <v>119.199999999999</v>
      </c>
      <c r="P238">
        <f t="shared" si="54"/>
        <v>881.899999999998</v>
      </c>
      <c r="Q238">
        <f>SUM($P$148:P238)</f>
        <v>5306.2</v>
      </c>
      <c r="R238">
        <f>B238*中国_中债国债到期收益率_1年!B237/365*100</f>
        <v>28.6068493150685</v>
      </c>
      <c r="S238">
        <f>C238*中国_中债国债到期收益率_1年!C237/365*100</f>
        <v>20.9441095890411</v>
      </c>
      <c r="T238">
        <f>D238*中国_中债国债到期收益率_1年!D237/365*100</f>
        <v>7.45479452054795</v>
      </c>
      <c r="U238">
        <f>E238*中国_中债国债到期收益率_1年!E237/365*100</f>
        <v>4.2258904109589</v>
      </c>
      <c r="V238">
        <f t="shared" si="55"/>
        <v>61.2316438356164</v>
      </c>
      <c r="W238">
        <f>SUM($V$148:V238)</f>
        <v>4839.12643835616</v>
      </c>
      <c r="X238">
        <f>MAX(F238-50,0)*中国_中债国债到期收益率_1年!H238*100/365</f>
        <v>22.8082191780822</v>
      </c>
      <c r="Y238">
        <f>SUM($X$148:X238)</f>
        <v>1774.74808219178</v>
      </c>
      <c r="AB238">
        <f>Z238*Return!F242*100</f>
        <v>0</v>
      </c>
      <c r="AC238">
        <f>AA238*Return!G242*100</f>
        <v>0</v>
      </c>
      <c r="AD238">
        <f>SUM($AB$148:AB238)+SUM($AC$148:AC238)</f>
        <v>980.699999999999</v>
      </c>
      <c r="AE238">
        <f t="shared" si="48"/>
        <v>9351.27835616438</v>
      </c>
      <c r="AF238">
        <f t="shared" si="49"/>
        <v>1.01870255671233</v>
      </c>
      <c r="AG238" s="5">
        <f>(AF238/AF237-1)-中国_中债国债到期收益率_1年!H238%/252</f>
        <v>0.00173671199153953</v>
      </c>
      <c r="AH238" s="5">
        <f>MIN((AF238-MAX($AF$151:AF238))/MAX($AF$151:AF238),0)</f>
        <v>0</v>
      </c>
    </row>
    <row r="239" spans="1:34">
      <c r="A239" s="7">
        <v>45058</v>
      </c>
      <c r="B239">
        <v>50</v>
      </c>
      <c r="C239">
        <v>30</v>
      </c>
      <c r="D239">
        <v>10</v>
      </c>
      <c r="E239">
        <v>5</v>
      </c>
      <c r="F239">
        <f t="shared" si="46"/>
        <v>95</v>
      </c>
      <c r="G239">
        <f t="shared" si="50"/>
        <v>50</v>
      </c>
      <c r="H239">
        <f t="shared" si="51"/>
        <v>150</v>
      </c>
      <c r="I239">
        <f t="shared" si="52"/>
        <v>90</v>
      </c>
      <c r="J239">
        <f t="shared" si="53"/>
        <v>80</v>
      </c>
      <c r="K239">
        <f t="shared" si="47"/>
        <v>370</v>
      </c>
      <c r="L239">
        <f>G239*Return!B239*100</f>
        <v>265</v>
      </c>
      <c r="M239">
        <f>H239*Return!C239*100</f>
        <v>406.499999999999</v>
      </c>
      <c r="N239">
        <f>I239*Return!D239*100</f>
        <v>180</v>
      </c>
      <c r="O239">
        <f>J239*Return!E239*100</f>
        <v>141.6</v>
      </c>
      <c r="P239">
        <f t="shared" si="54"/>
        <v>993.099999999999</v>
      </c>
      <c r="Q239">
        <f>SUM($P$148:P239)</f>
        <v>6299.3</v>
      </c>
      <c r="R239">
        <f>B239*中国_中债国债到期收益率_1年!B238/365*100</f>
        <v>27.8808219178082</v>
      </c>
      <c r="S239">
        <f>C239*中国_中债国债到期收益率_1年!C238/365*100</f>
        <v>20.7213698630137</v>
      </c>
      <c r="T239">
        <f>D239*中国_中债国债到期收益率_1年!D238/365*100</f>
        <v>7.4</v>
      </c>
      <c r="U239">
        <f>E239*中国_中债国债到期收益率_1年!E238/365*100</f>
        <v>4.20164383561644</v>
      </c>
      <c r="V239">
        <f t="shared" si="55"/>
        <v>60.2038356164384</v>
      </c>
      <c r="W239">
        <f>SUM($V$148:V239)</f>
        <v>4899.3302739726</v>
      </c>
      <c r="X239">
        <f>MAX(F239-50,0)*中国_中债国债到期收益率_1年!H239*100/365</f>
        <v>22.8082191780822</v>
      </c>
      <c r="Y239">
        <f>SUM($X$148:X239)</f>
        <v>1797.55630136986</v>
      </c>
      <c r="AB239">
        <f>Z239*Return!F243*100</f>
        <v>0</v>
      </c>
      <c r="AC239">
        <f>AA239*Return!G243*100</f>
        <v>0</v>
      </c>
      <c r="AD239">
        <f>SUM($AB$148:AB239)+SUM($AC$148:AC239)</f>
        <v>980.699999999999</v>
      </c>
      <c r="AE239">
        <f t="shared" si="48"/>
        <v>10381.7739726027</v>
      </c>
      <c r="AF239">
        <f t="shared" si="49"/>
        <v>1.02076354794521</v>
      </c>
      <c r="AG239" s="5">
        <f>(AF239/AF238-1)-中国_中债国债到期收益率_1年!H239%/252</f>
        <v>0.00194974039892355</v>
      </c>
      <c r="AH239" s="5">
        <f>MIN((AF239-MAX($AF$151:AF239))/MAX($AF$151:AF239),0)</f>
        <v>0</v>
      </c>
    </row>
    <row r="240" spans="1:34">
      <c r="A240" s="7">
        <v>45061</v>
      </c>
      <c r="B240">
        <v>50</v>
      </c>
      <c r="C240">
        <v>30</v>
      </c>
      <c r="D240">
        <v>10</v>
      </c>
      <c r="E240">
        <v>5</v>
      </c>
      <c r="F240">
        <f t="shared" si="46"/>
        <v>95</v>
      </c>
      <c r="G240">
        <f t="shared" si="50"/>
        <v>50</v>
      </c>
      <c r="H240">
        <f t="shared" si="51"/>
        <v>150</v>
      </c>
      <c r="I240">
        <f t="shared" si="52"/>
        <v>90</v>
      </c>
      <c r="J240">
        <f t="shared" si="53"/>
        <v>80</v>
      </c>
      <c r="K240">
        <f t="shared" si="47"/>
        <v>370</v>
      </c>
      <c r="L240">
        <f>G240*Return!B240*100</f>
        <v>-43.9999999999996</v>
      </c>
      <c r="M240">
        <f>H240*Return!C240*100</f>
        <v>70.5000000000022</v>
      </c>
      <c r="N240">
        <f>I240*Return!D240*100</f>
        <v>-43.1999999999992</v>
      </c>
      <c r="O240">
        <f>J240*Return!E240*100</f>
        <v>51.2000000000015</v>
      </c>
      <c r="P240">
        <f t="shared" si="54"/>
        <v>34.5000000000049</v>
      </c>
      <c r="Q240">
        <f>SUM($P$148:P240)</f>
        <v>6333.8</v>
      </c>
      <c r="R240">
        <f>B240*中国_中债国债到期收益率_1年!B239/365*100</f>
        <v>28.0013698630137</v>
      </c>
      <c r="S240">
        <f>C240*中国_中债国债到期收益率_1年!C239/365*100</f>
        <v>20.6827397260274</v>
      </c>
      <c r="T240">
        <f>D240*中国_中债国债到期收益率_1年!D239/365*100</f>
        <v>7.41315068493151</v>
      </c>
      <c r="U240">
        <f>E240*中国_中债国债到期收益率_1年!E239/365*100</f>
        <v>4.19287671232877</v>
      </c>
      <c r="V240">
        <f t="shared" si="55"/>
        <v>60.2901369863014</v>
      </c>
      <c r="W240">
        <f>SUM($V$148:V240)</f>
        <v>4959.6204109589</v>
      </c>
      <c r="X240">
        <f>MAX(F240-50,0)*中国_中债国债到期收益率_1年!H240*100/365</f>
        <v>23.4246575342466</v>
      </c>
      <c r="Y240">
        <f>SUM($X$148:X240)</f>
        <v>1820.98095890411</v>
      </c>
      <c r="AB240">
        <f>Z240*Return!F244*100</f>
        <v>0</v>
      </c>
      <c r="AC240">
        <f>AA240*Return!G244*100</f>
        <v>0</v>
      </c>
      <c r="AD240">
        <f>SUM($AB$148:AB240)+SUM($AC$148:AC240)</f>
        <v>980.699999999999</v>
      </c>
      <c r="AE240">
        <f t="shared" si="48"/>
        <v>10453.1394520548</v>
      </c>
      <c r="AF240">
        <f t="shared" si="49"/>
        <v>1.02090627890411</v>
      </c>
      <c r="AG240" s="5">
        <f>(AF240/AF239-1)-中国_中债国债到期收益率_1年!H240%/252</f>
        <v>6.44308155799275e-5</v>
      </c>
      <c r="AH240" s="5">
        <f>MIN((AF240-MAX($AF$151:AF240))/MAX($AF$151:AF240),0)</f>
        <v>0</v>
      </c>
    </row>
    <row r="241" spans="1:34">
      <c r="A241" s="7">
        <v>45062</v>
      </c>
      <c r="B241">
        <v>50</v>
      </c>
      <c r="C241">
        <v>30</v>
      </c>
      <c r="D241">
        <v>10</v>
      </c>
      <c r="E241">
        <v>5</v>
      </c>
      <c r="F241">
        <f t="shared" si="46"/>
        <v>95</v>
      </c>
      <c r="G241">
        <f t="shared" si="50"/>
        <v>50</v>
      </c>
      <c r="H241">
        <f t="shared" si="51"/>
        <v>150</v>
      </c>
      <c r="I241">
        <f t="shared" si="52"/>
        <v>90</v>
      </c>
      <c r="J241">
        <f t="shared" si="53"/>
        <v>80</v>
      </c>
      <c r="K241">
        <f t="shared" si="47"/>
        <v>370</v>
      </c>
      <c r="L241">
        <f>G241*Return!B241*100</f>
        <v>-80.5000000000011</v>
      </c>
      <c r="M241">
        <f>H241*Return!C241*100</f>
        <v>-346.499999999998</v>
      </c>
      <c r="N241">
        <f>I241*Return!D241*100</f>
        <v>-118.799999999999</v>
      </c>
      <c r="O241">
        <f>J241*Return!E241*100</f>
        <v>-32.8000000000017</v>
      </c>
      <c r="P241">
        <f t="shared" si="54"/>
        <v>-578.6</v>
      </c>
      <c r="Q241">
        <f>SUM($P$148:P241)</f>
        <v>5755.2</v>
      </c>
      <c r="R241">
        <f>B241*中国_中债国债到期收益率_1年!B240/365*100</f>
        <v>28.2219178082192</v>
      </c>
      <c r="S241">
        <f>C241*中国_中债国债到期收益率_1年!C240/365*100</f>
        <v>20.872602739726</v>
      </c>
      <c r="T241">
        <f>D241*中国_中债国债到期收益率_1年!D240/365*100</f>
        <v>7.44931506849315</v>
      </c>
      <c r="U241">
        <f>E241*中国_中债国债到期收益率_1年!E240/365*100</f>
        <v>4.19849315068493</v>
      </c>
      <c r="V241">
        <f t="shared" si="55"/>
        <v>60.7423287671233</v>
      </c>
      <c r="W241">
        <f>SUM($V$148:V241)</f>
        <v>5020.36273972603</v>
      </c>
      <c r="X241">
        <f>MAX(F241-50,0)*中国_中债国债到期收益率_1年!H241*100/365</f>
        <v>24.041095890411</v>
      </c>
      <c r="Y241">
        <f>SUM($X$148:X241)</f>
        <v>1845.02205479452</v>
      </c>
      <c r="AB241">
        <f>Z241*Return!F245*100</f>
        <v>0</v>
      </c>
      <c r="AC241">
        <f>AA241*Return!G245*100</f>
        <v>0</v>
      </c>
      <c r="AD241">
        <f>SUM($AB$148:AB241)+SUM($AC$148:AC241)</f>
        <v>980.699999999999</v>
      </c>
      <c r="AE241">
        <f t="shared" si="48"/>
        <v>9911.24068493151</v>
      </c>
      <c r="AF241">
        <f t="shared" si="49"/>
        <v>1.01982248136986</v>
      </c>
      <c r="AG241" s="5">
        <f>(AF241/AF240-1)-中国_中债国债到期收益率_1年!H241%/252</f>
        <v>-0.00113898431073232</v>
      </c>
      <c r="AH241" s="5">
        <f>MIN((AF241-MAX($AF$151:AF241))/MAX($AF$151:AF241),0)</f>
        <v>-0.00106160335835136</v>
      </c>
    </row>
    <row r="242" spans="1:34">
      <c r="A242" s="7">
        <v>45063</v>
      </c>
      <c r="B242">
        <v>50</v>
      </c>
      <c r="C242">
        <v>30</v>
      </c>
      <c r="D242">
        <v>10</v>
      </c>
      <c r="E242">
        <v>5</v>
      </c>
      <c r="F242">
        <f t="shared" si="46"/>
        <v>95</v>
      </c>
      <c r="G242">
        <f t="shared" si="50"/>
        <v>50</v>
      </c>
      <c r="H242">
        <f t="shared" si="51"/>
        <v>150</v>
      </c>
      <c r="I242">
        <f t="shared" si="52"/>
        <v>90</v>
      </c>
      <c r="J242">
        <f t="shared" si="53"/>
        <v>80</v>
      </c>
      <c r="K242">
        <f t="shared" si="47"/>
        <v>370</v>
      </c>
      <c r="L242">
        <f>G242*Return!B242*100</f>
        <v>-25.5000000000005</v>
      </c>
      <c r="M242">
        <f>H242*Return!C242*100</f>
        <v>35.999999999996</v>
      </c>
      <c r="N242">
        <f>I242*Return!D242*100</f>
        <v>54.8999999999999</v>
      </c>
      <c r="O242">
        <f>J242*Return!E242*100</f>
        <v>-8.79999999999725</v>
      </c>
      <c r="P242">
        <f t="shared" si="54"/>
        <v>56.5999999999982</v>
      </c>
      <c r="Q242">
        <f>SUM($P$148:P242)</f>
        <v>5811.8</v>
      </c>
      <c r="R242">
        <f>B242*中国_中债国债到期收益率_1年!B241/365*100</f>
        <v>28.2917808219178</v>
      </c>
      <c r="S242">
        <f>C242*中国_中债国债到期收益率_1年!C241/365*100</f>
        <v>20.8528767123288</v>
      </c>
      <c r="T242">
        <f>D242*中国_中债国债到期收益率_1年!D241/365*100</f>
        <v>7.43260273972603</v>
      </c>
      <c r="U242">
        <f>E242*中国_中债国债到期收益率_1年!E241/365*100</f>
        <v>4.2</v>
      </c>
      <c r="V242">
        <f t="shared" si="55"/>
        <v>60.7772602739726</v>
      </c>
      <c r="W242">
        <f>SUM($V$148:V242)</f>
        <v>5081.14</v>
      </c>
      <c r="X242">
        <f>MAX(F242-50,0)*中国_中债国债到期收益率_1年!H242*100/365</f>
        <v>24.6575342465753</v>
      </c>
      <c r="Y242">
        <f>SUM($X$148:X242)</f>
        <v>1869.6795890411</v>
      </c>
      <c r="AB242">
        <f>Z242*Return!F246*100</f>
        <v>0</v>
      </c>
      <c r="AC242">
        <f>AA242*Return!G246*100</f>
        <v>0</v>
      </c>
      <c r="AD242">
        <f>SUM($AB$148:AB242)+SUM($AC$148:AC242)</f>
        <v>980.699999999999</v>
      </c>
      <c r="AE242">
        <f t="shared" si="48"/>
        <v>10003.9604109589</v>
      </c>
      <c r="AF242">
        <f t="shared" si="49"/>
        <v>1.02000792082192</v>
      </c>
      <c r="AG242" s="5">
        <f>(AF242/AF241-1)-中国_中债国债到期收益率_1年!H242%/252</f>
        <v>0.000102469951184058</v>
      </c>
      <c r="AH242" s="5">
        <f>MIN((AF242-MAX($AF$151:AF242))/MAX($AF$151:AF242),0)</f>
        <v>-0.000879961364481277</v>
      </c>
    </row>
    <row r="243" spans="1:34">
      <c r="A243" s="7">
        <v>45064</v>
      </c>
      <c r="B243">
        <v>50</v>
      </c>
      <c r="C243">
        <v>30</v>
      </c>
      <c r="D243">
        <v>10</v>
      </c>
      <c r="E243">
        <v>5</v>
      </c>
      <c r="F243">
        <f t="shared" si="46"/>
        <v>95</v>
      </c>
      <c r="G243">
        <f t="shared" si="50"/>
        <v>50</v>
      </c>
      <c r="H243">
        <f t="shared" si="51"/>
        <v>150</v>
      </c>
      <c r="I243">
        <f t="shared" si="52"/>
        <v>90</v>
      </c>
      <c r="J243">
        <f t="shared" si="53"/>
        <v>80</v>
      </c>
      <c r="K243">
        <f t="shared" si="47"/>
        <v>370</v>
      </c>
      <c r="L243">
        <f>G243*Return!B243*100</f>
        <v>-63.4999999999986</v>
      </c>
      <c r="M243">
        <f>H243*Return!C243*100</f>
        <v>-243</v>
      </c>
      <c r="N243">
        <f>I243*Return!D243*100</f>
        <v>-72.900000000002</v>
      </c>
      <c r="O243">
        <f>J243*Return!E243*100</f>
        <v>-120.000000000001</v>
      </c>
      <c r="P243">
        <f t="shared" si="54"/>
        <v>-499.400000000001</v>
      </c>
      <c r="Q243">
        <f>SUM($P$148:P243)</f>
        <v>5312.4</v>
      </c>
      <c r="R243">
        <f>B243*中国_中债国债到期收益率_1年!B242/365*100</f>
        <v>28.4657534246575</v>
      </c>
      <c r="S243">
        <f>C243*中国_中债国债到期收益率_1年!C242/365*100</f>
        <v>20.9860273972603</v>
      </c>
      <c r="T243">
        <f>D243*中国_中债国债到期收益率_1年!D242/365*100</f>
        <v>7.45479452054795</v>
      </c>
      <c r="U243">
        <f>E243*中国_中债国债到期收益率_1年!E242/365*100</f>
        <v>4.22054794520548</v>
      </c>
      <c r="V243">
        <f t="shared" si="55"/>
        <v>61.1271232876712</v>
      </c>
      <c r="W243">
        <f>SUM($V$148:V243)</f>
        <v>5142.26712328767</v>
      </c>
      <c r="X243">
        <f>MAX(F243-50,0)*中国_中债国债到期收益率_1年!H243*100/365</f>
        <v>24.041095890411</v>
      </c>
      <c r="Y243">
        <f>SUM($X$148:X243)</f>
        <v>1893.72068493151</v>
      </c>
      <c r="AB243">
        <f>Z243*Return!F247*100</f>
        <v>0</v>
      </c>
      <c r="AC243">
        <f>AA243*Return!G247*100</f>
        <v>0</v>
      </c>
      <c r="AD243">
        <f>SUM($AB$148:AB243)+SUM($AC$148:AC243)</f>
        <v>980.699999999999</v>
      </c>
      <c r="AE243">
        <f t="shared" si="48"/>
        <v>9541.64643835616</v>
      </c>
      <c r="AF243">
        <f t="shared" si="49"/>
        <v>1.01908329287671</v>
      </c>
      <c r="AG243" s="5">
        <f>(AF243/AF242-1)-中国_中债国债到期收益率_1年!H243%/252</f>
        <v>-0.000983871898510332</v>
      </c>
      <c r="AH243" s="5">
        <f>MIN((AF243-MAX($AF$151:AF243))/MAX($AF$151:AF243),0)</f>
        <v>-0.0017856546336008</v>
      </c>
    </row>
    <row r="244" spans="1:34">
      <c r="A244" s="7">
        <v>45065</v>
      </c>
      <c r="B244">
        <v>50</v>
      </c>
      <c r="C244">
        <v>30</v>
      </c>
      <c r="D244">
        <v>10</v>
      </c>
      <c r="E244">
        <v>5</v>
      </c>
      <c r="F244">
        <f t="shared" si="46"/>
        <v>95</v>
      </c>
      <c r="G244">
        <f t="shared" si="50"/>
        <v>50</v>
      </c>
      <c r="H244">
        <f t="shared" si="51"/>
        <v>150</v>
      </c>
      <c r="I244">
        <f t="shared" si="52"/>
        <v>90</v>
      </c>
      <c r="J244">
        <f t="shared" si="53"/>
        <v>80</v>
      </c>
      <c r="K244">
        <f t="shared" si="47"/>
        <v>370</v>
      </c>
      <c r="L244">
        <f>G244*Return!B244*100</f>
        <v>25.4999999999983</v>
      </c>
      <c r="M244">
        <f>H244*Return!C244*100</f>
        <v>118.500000000004</v>
      </c>
      <c r="N244">
        <f>I244*Return!D244*100</f>
        <v>23.4000000000014</v>
      </c>
      <c r="O244">
        <f>J244*Return!E244*100</f>
        <v>0</v>
      </c>
      <c r="P244">
        <f t="shared" si="54"/>
        <v>167.400000000003</v>
      </c>
      <c r="Q244">
        <f>SUM($P$148:P244)</f>
        <v>5479.8</v>
      </c>
      <c r="R244">
        <f>B244*中国_中债国债到期收益率_1年!B243/365*100</f>
        <v>28.3958904109589</v>
      </c>
      <c r="S244">
        <f>C244*中国_中债国债到期收益率_1年!C243/365*100</f>
        <v>20.921095890411</v>
      </c>
      <c r="T244">
        <f>D244*中国_中债国债到期收益率_1年!D243/365*100</f>
        <v>7.44767123287671</v>
      </c>
      <c r="U244">
        <f>E244*中国_中债国债到期收益率_1年!E243/365*100</f>
        <v>4.22054794520548</v>
      </c>
      <c r="V244">
        <f t="shared" si="55"/>
        <v>60.9852054794521</v>
      </c>
      <c r="W244">
        <f>SUM($V$148:V244)</f>
        <v>5203.25232876712</v>
      </c>
      <c r="X244">
        <f>MAX(F244-50,0)*中国_中债国债到期收益率_1年!H244*100/365</f>
        <v>23.5479452054795</v>
      </c>
      <c r="Y244">
        <f>SUM($X$148:X244)</f>
        <v>1917.26863013699</v>
      </c>
      <c r="AB244">
        <f>Z244*Return!F248*100</f>
        <v>0</v>
      </c>
      <c r="AC244">
        <f>AA244*Return!G248*100</f>
        <v>0</v>
      </c>
      <c r="AD244">
        <f>SUM($AB$148:AB244)+SUM($AC$148:AC244)</f>
        <v>980.699999999999</v>
      </c>
      <c r="AE244">
        <f t="shared" si="48"/>
        <v>9746.48369863014</v>
      </c>
      <c r="AF244">
        <f t="shared" si="49"/>
        <v>1.01949296739726</v>
      </c>
      <c r="AG244" s="5">
        <f>(AF244/AF243-1)-中国_中债国债到期收益率_1年!H244%/252</f>
        <v>0.000326209329150654</v>
      </c>
      <c r="AH244" s="5">
        <f>MIN((AF244-MAX($AF$151:AF244))/MAX($AF$151:AF244),0)</f>
        <v>-0.00138436949214029</v>
      </c>
    </row>
    <row r="245" spans="1:34">
      <c r="A245" s="7">
        <v>45068</v>
      </c>
      <c r="B245">
        <v>50</v>
      </c>
      <c r="C245">
        <v>30</v>
      </c>
      <c r="D245">
        <v>10</v>
      </c>
      <c r="E245">
        <v>5</v>
      </c>
      <c r="F245">
        <f t="shared" si="46"/>
        <v>95</v>
      </c>
      <c r="G245">
        <f t="shared" si="50"/>
        <v>50</v>
      </c>
      <c r="H245">
        <f t="shared" si="51"/>
        <v>150</v>
      </c>
      <c r="I245">
        <f t="shared" si="52"/>
        <v>90</v>
      </c>
      <c r="J245">
        <f t="shared" si="53"/>
        <v>80</v>
      </c>
      <c r="K245">
        <f t="shared" si="47"/>
        <v>370</v>
      </c>
      <c r="L245">
        <f>G245*Return!B245*100</f>
        <v>87.5000000000004</v>
      </c>
      <c r="M245">
        <f>H245*Return!C245*100</f>
        <v>374.999999999999</v>
      </c>
      <c r="N245">
        <f>I245*Return!D245*100</f>
        <v>29.6999999999987</v>
      </c>
      <c r="O245">
        <f>J245*Return!E245*100</f>
        <v>29.5999999999985</v>
      </c>
      <c r="P245">
        <f t="shared" si="54"/>
        <v>521.799999999996</v>
      </c>
      <c r="Q245">
        <f>SUM($P$148:P245)</f>
        <v>6001.6</v>
      </c>
      <c r="R245">
        <f>B245*中国_中债国债到期收益率_1年!B244/365*100</f>
        <v>28.1561643835616</v>
      </c>
      <c r="S245">
        <f>C245*中国_中债国债到期收益率_1年!C244/365*100</f>
        <v>20.7156164383562</v>
      </c>
      <c r="T245">
        <f>D245*中国_中债国债到期收益率_1年!D244/365*100</f>
        <v>7.4386301369863</v>
      </c>
      <c r="U245">
        <f>E245*中国_中债国债到期收益率_1年!E244/365*100</f>
        <v>4.21547945205479</v>
      </c>
      <c r="V245">
        <f t="shared" si="55"/>
        <v>60.5258904109589</v>
      </c>
      <c r="W245">
        <f>SUM($V$148:V245)</f>
        <v>5263.77821917808</v>
      </c>
      <c r="X245">
        <f>MAX(F245-50,0)*中国_中债国债到期收益率_1年!H245*100/365</f>
        <v>23.4246575342466</v>
      </c>
      <c r="Y245">
        <f>SUM($X$148:X245)</f>
        <v>1940.69328767123</v>
      </c>
      <c r="AB245">
        <f>Z245*Return!F249*100</f>
        <v>0</v>
      </c>
      <c r="AC245">
        <f>AA245*Return!G249*100</f>
        <v>0</v>
      </c>
      <c r="AD245">
        <f>SUM($AB$148:AB245)+SUM($AC$148:AC245)</f>
        <v>980.699999999999</v>
      </c>
      <c r="AE245">
        <f t="shared" si="48"/>
        <v>10305.3849315068</v>
      </c>
      <c r="AF245">
        <f t="shared" si="49"/>
        <v>1.02061076986301</v>
      </c>
      <c r="AG245" s="5">
        <f>(AF245/AF244-1)-中国_中债国债到期收益率_1年!H245%/252</f>
        <v>0.00102103297009969</v>
      </c>
      <c r="AH245" s="5">
        <f>MIN((AF245-MAX($AF$151:AF245))/MAX($AF$151:AF245),0)</f>
        <v>-0.000289457560603006</v>
      </c>
    </row>
    <row r="246" spans="1:34">
      <c r="A246" s="7">
        <v>45069</v>
      </c>
      <c r="B246">
        <v>50</v>
      </c>
      <c r="C246">
        <v>30</v>
      </c>
      <c r="D246">
        <v>10</v>
      </c>
      <c r="E246">
        <v>5</v>
      </c>
      <c r="F246">
        <f t="shared" si="46"/>
        <v>95</v>
      </c>
      <c r="G246">
        <f t="shared" si="50"/>
        <v>50</v>
      </c>
      <c r="H246">
        <f t="shared" si="51"/>
        <v>150</v>
      </c>
      <c r="I246">
        <f t="shared" si="52"/>
        <v>90</v>
      </c>
      <c r="J246">
        <f t="shared" si="53"/>
        <v>80</v>
      </c>
      <c r="K246">
        <f t="shared" si="47"/>
        <v>370</v>
      </c>
      <c r="L246">
        <f>G246*Return!B246*100</f>
        <v>168.000000000001</v>
      </c>
      <c r="M246">
        <f>H246*Return!C246*100</f>
        <v>474.000000000001</v>
      </c>
      <c r="N246">
        <f>I246*Return!D246*100</f>
        <v>17.1000000000001</v>
      </c>
      <c r="O246">
        <f>J246*Return!E246*100</f>
        <v>8.80000000000081</v>
      </c>
      <c r="P246">
        <f t="shared" si="54"/>
        <v>667.900000000004</v>
      </c>
      <c r="Q246">
        <f>SUM($P$148:P246)</f>
        <v>6669.5</v>
      </c>
      <c r="R246">
        <f>B246*中国_中债国债到期收益率_1年!B245/365*100</f>
        <v>27.6958904109589</v>
      </c>
      <c r="S246">
        <f>C246*中国_中债国债到期收益率_1年!C245/365*100</f>
        <v>20.4558904109589</v>
      </c>
      <c r="T246">
        <f>D246*中国_中债国债到期收益率_1年!D245/365*100</f>
        <v>7.43342465753425</v>
      </c>
      <c r="U246">
        <f>E246*中国_中债国债到期收益率_1年!E245/365*100</f>
        <v>4.21397260273973</v>
      </c>
      <c r="V246">
        <f t="shared" si="55"/>
        <v>59.7991780821918</v>
      </c>
      <c r="W246">
        <f>SUM($V$148:V246)</f>
        <v>5323.57739726027</v>
      </c>
      <c r="X246">
        <f>MAX(F246-50,0)*中国_中债国债到期收益率_1年!H246*100/365</f>
        <v>22.8082191780822</v>
      </c>
      <c r="Y246">
        <f>SUM($X$148:X246)</f>
        <v>1963.50150684932</v>
      </c>
      <c r="AB246">
        <f>Z246*Return!F250*100</f>
        <v>0</v>
      </c>
      <c r="AC246">
        <f>AA246*Return!G250*100</f>
        <v>0</v>
      </c>
      <c r="AD246">
        <f>SUM($AB$148:AB246)+SUM($AC$148:AC246)</f>
        <v>980.699999999999</v>
      </c>
      <c r="AE246">
        <f t="shared" si="48"/>
        <v>11010.275890411</v>
      </c>
      <c r="AF246">
        <f t="shared" si="49"/>
        <v>1.02202055178082</v>
      </c>
      <c r="AG246" s="5">
        <f>(AF246/AF245-1)-中国_中债国债到期收益率_1年!H246%/252</f>
        <v>0.00130789931537019</v>
      </c>
      <c r="AH246" s="5">
        <f>MIN((AF246-MAX($AF$151:AF246))/MAX($AF$151:AF246),0)</f>
        <v>0</v>
      </c>
    </row>
    <row r="247" spans="1:34">
      <c r="A247" s="7">
        <v>45070</v>
      </c>
      <c r="B247">
        <v>50</v>
      </c>
      <c r="C247">
        <v>30</v>
      </c>
      <c r="D247">
        <v>10</v>
      </c>
      <c r="E247">
        <v>5</v>
      </c>
      <c r="F247">
        <f t="shared" si="46"/>
        <v>95</v>
      </c>
      <c r="G247">
        <f t="shared" si="50"/>
        <v>50</v>
      </c>
      <c r="H247">
        <f t="shared" si="51"/>
        <v>150</v>
      </c>
      <c r="I247">
        <f t="shared" si="52"/>
        <v>90</v>
      </c>
      <c r="J247">
        <f t="shared" si="53"/>
        <v>80</v>
      </c>
      <c r="K247">
        <f t="shared" si="47"/>
        <v>370</v>
      </c>
      <c r="L247">
        <f>G247*Return!B247*100</f>
        <v>154.5</v>
      </c>
      <c r="M247">
        <f>H247*Return!C247*100</f>
        <v>334.5</v>
      </c>
      <c r="N247">
        <f>I247*Return!D247*100</f>
        <v>152.999999999999</v>
      </c>
      <c r="O247">
        <f>J247*Return!E247*100</f>
        <v>59.9999999999987</v>
      </c>
      <c r="P247">
        <f t="shared" si="54"/>
        <v>701.999999999997</v>
      </c>
      <c r="Q247">
        <f>SUM($P$148:P247)</f>
        <v>7371.5</v>
      </c>
      <c r="R247">
        <f>B247*中国_中债国债到期收益率_1年!B246/365*100</f>
        <v>27.272602739726</v>
      </c>
      <c r="S247">
        <f>C247*中国_中债国债到期收益率_1年!C246/365*100</f>
        <v>20.272602739726</v>
      </c>
      <c r="T247">
        <f>D247*中国_中债国债到期收益率_1年!D246/365*100</f>
        <v>7.38684931506849</v>
      </c>
      <c r="U247">
        <f>E247*中国_中债国债到期收益率_1年!E246/365*100</f>
        <v>4.20369863013699</v>
      </c>
      <c r="V247">
        <f t="shared" si="55"/>
        <v>59.1357534246575</v>
      </c>
      <c r="W247">
        <f>SUM($V$148:V247)</f>
        <v>5382.71315068493</v>
      </c>
      <c r="X247">
        <f>MAX(F247-50,0)*中国_中债国债到期收益率_1年!H247*100/365</f>
        <v>22.1917808219178</v>
      </c>
      <c r="Y247">
        <f>SUM($X$148:X247)</f>
        <v>1985.69328767123</v>
      </c>
      <c r="AB247">
        <f>Z247*Return!F251*100</f>
        <v>0</v>
      </c>
      <c r="AC247">
        <f>AA247*Return!G251*100</f>
        <v>0</v>
      </c>
      <c r="AD247">
        <f>SUM($AB$148:AB247)+SUM($AC$148:AC247)</f>
        <v>980.699999999999</v>
      </c>
      <c r="AE247">
        <f t="shared" si="48"/>
        <v>11749.2198630137</v>
      </c>
      <c r="AF247">
        <f t="shared" si="49"/>
        <v>1.02349843972603</v>
      </c>
      <c r="AG247" s="5">
        <f>(AF247/AF246-1)-中国_中债国债到期收益率_1年!H247%/252</f>
        <v>0.00137461665988352</v>
      </c>
      <c r="AH247" s="5">
        <f>MIN((AF247-MAX($AF$151:AF247))/MAX($AF$151:AF247),0)</f>
        <v>0</v>
      </c>
    </row>
    <row r="248" spans="1:34">
      <c r="A248" s="7">
        <v>45071</v>
      </c>
      <c r="B248">
        <v>50</v>
      </c>
      <c r="C248">
        <v>30</v>
      </c>
      <c r="D248">
        <v>10</v>
      </c>
      <c r="E248">
        <v>5</v>
      </c>
      <c r="F248">
        <f t="shared" si="46"/>
        <v>95</v>
      </c>
      <c r="G248">
        <f t="shared" si="50"/>
        <v>50</v>
      </c>
      <c r="H248">
        <f t="shared" si="51"/>
        <v>150</v>
      </c>
      <c r="I248">
        <f t="shared" si="52"/>
        <v>90</v>
      </c>
      <c r="J248">
        <f t="shared" si="53"/>
        <v>80</v>
      </c>
      <c r="K248">
        <f t="shared" si="47"/>
        <v>370</v>
      </c>
      <c r="L248">
        <f>G248*Return!B248*100</f>
        <v>7.99999999999912</v>
      </c>
      <c r="M248">
        <f>H248*Return!C248*100</f>
        <v>-193.500000000002</v>
      </c>
      <c r="N248">
        <f>I248*Return!D248*100</f>
        <v>-67.4999999999986</v>
      </c>
      <c r="O248">
        <f>J248*Return!E248*100</f>
        <v>-28.7999999999968</v>
      </c>
      <c r="P248">
        <f t="shared" si="54"/>
        <v>-281.799999999998</v>
      </c>
      <c r="Q248">
        <f>SUM($P$148:P248)</f>
        <v>7089.7</v>
      </c>
      <c r="R248">
        <f>B248*中国_中债国债到期收益率_1年!B247/365*100</f>
        <v>27.2506849315069</v>
      </c>
      <c r="S248">
        <f>C248*中国_中债国债到期收益率_1年!C247/365*100</f>
        <v>20.3786301369863</v>
      </c>
      <c r="T248">
        <f>D248*中国_中债国债到期收益率_1年!D247/365*100</f>
        <v>7.40739726027397</v>
      </c>
      <c r="U248">
        <f>E248*中国_中债国债到期收益率_1年!E247/365*100</f>
        <v>4.2086301369863</v>
      </c>
      <c r="V248">
        <f t="shared" si="55"/>
        <v>59.2453424657534</v>
      </c>
      <c r="W248">
        <f>SUM($V$148:V248)</f>
        <v>5441.95849315068</v>
      </c>
      <c r="X248">
        <f>MAX(F248-50,0)*中国_中债国债到期收益率_1年!H248*100/365</f>
        <v>25.8904109589041</v>
      </c>
      <c r="Y248">
        <f>SUM($X$148:X248)</f>
        <v>2011.58369863014</v>
      </c>
      <c r="AB248">
        <f>Z248*Return!F252*100</f>
        <v>0</v>
      </c>
      <c r="AC248">
        <f>AA248*Return!G252*100</f>
        <v>0</v>
      </c>
      <c r="AD248">
        <f>SUM($AB$148:AB248)+SUM($AC$148:AC248)</f>
        <v>980.699999999999</v>
      </c>
      <c r="AE248">
        <f t="shared" si="48"/>
        <v>11500.7747945205</v>
      </c>
      <c r="AF248">
        <f t="shared" si="49"/>
        <v>1.02300154958904</v>
      </c>
      <c r="AG248" s="5">
        <f>(AF248/AF247-1)-中国_中债国债到期收益率_1年!H248%/252</f>
        <v>-0.000568815399255583</v>
      </c>
      <c r="AH248" s="5">
        <f>MIN((AF248-MAX($AF$151:AF248))/MAX($AF$151:AF248),0)</f>
        <v>-0.000485482065922253</v>
      </c>
    </row>
    <row r="249" spans="1:34">
      <c r="A249" s="7">
        <v>45072</v>
      </c>
      <c r="B249">
        <v>50</v>
      </c>
      <c r="C249">
        <v>30</v>
      </c>
      <c r="D249">
        <v>10</v>
      </c>
      <c r="E249">
        <v>5</v>
      </c>
      <c r="F249">
        <f t="shared" si="46"/>
        <v>95</v>
      </c>
      <c r="G249">
        <f t="shared" si="50"/>
        <v>50</v>
      </c>
      <c r="H249">
        <f t="shared" si="51"/>
        <v>150</v>
      </c>
      <c r="I249">
        <f t="shared" si="52"/>
        <v>90</v>
      </c>
      <c r="J249">
        <f t="shared" si="53"/>
        <v>80</v>
      </c>
      <c r="K249">
        <f t="shared" si="47"/>
        <v>370</v>
      </c>
      <c r="L249">
        <f>G249*Return!B249*100</f>
        <v>51.4999999999999</v>
      </c>
      <c r="M249">
        <f>H249*Return!C249*100</f>
        <v>-1.4999999999965</v>
      </c>
      <c r="N249">
        <f>I249*Return!D249*100</f>
        <v>-25.2000000000012</v>
      </c>
      <c r="O249">
        <f>J249*Return!E249*100</f>
        <v>-40.0000000000027</v>
      </c>
      <c r="P249">
        <f t="shared" si="54"/>
        <v>-15.2000000000005</v>
      </c>
      <c r="Q249">
        <f>SUM($P$148:P249)</f>
        <v>7074.5</v>
      </c>
      <c r="R249">
        <f>B249*中国_中债国债到期收益率_1年!B248/365*100</f>
        <v>27.1095890410959</v>
      </c>
      <c r="S249">
        <f>C249*中国_中债国债到期收益率_1年!C248/365*100</f>
        <v>20.3794520547945</v>
      </c>
      <c r="T249">
        <f>D249*中国_中债国债到期收益率_1年!D248/365*100</f>
        <v>7.41506849315069</v>
      </c>
      <c r="U249">
        <f>E249*中国_中债国债到期收益率_1年!E248/365*100</f>
        <v>4.21547945205479</v>
      </c>
      <c r="V249">
        <f t="shared" si="55"/>
        <v>59.1195890410959</v>
      </c>
      <c r="W249">
        <f>SUM($V$148:V249)</f>
        <v>5501.07808219178</v>
      </c>
      <c r="X249">
        <f>MAX(F249-50,0)*中国_中债国债到期收益率_1年!H249*100/365</f>
        <v>26.5068493150685</v>
      </c>
      <c r="Y249">
        <f>SUM($X$148:X249)</f>
        <v>2038.09054794521</v>
      </c>
      <c r="AB249">
        <f>Z249*Return!F253*100</f>
        <v>0</v>
      </c>
      <c r="AC249">
        <f>AA249*Return!G253*100</f>
        <v>0</v>
      </c>
      <c r="AD249">
        <f>SUM($AB$148:AB249)+SUM($AC$148:AC249)</f>
        <v>980.699999999999</v>
      </c>
      <c r="AE249">
        <f t="shared" si="48"/>
        <v>11518.1875342466</v>
      </c>
      <c r="AF249">
        <f t="shared" si="49"/>
        <v>1.02303637506849</v>
      </c>
      <c r="AG249" s="5">
        <f>(AF249/AF248-1)-中国_中债国债到期收益率_1年!H249%/252</f>
        <v>-5.12750099750184e-5</v>
      </c>
      <c r="AH249" s="5">
        <f>MIN((AF249-MAX($AF$151:AF249))/MAX($AF$151:AF249),0)</f>
        <v>-0.000451456142578844</v>
      </c>
    </row>
    <row r="250" spans="1:34">
      <c r="A250" s="7">
        <v>45075</v>
      </c>
      <c r="B250">
        <v>50</v>
      </c>
      <c r="C250">
        <v>30</v>
      </c>
      <c r="D250">
        <v>10</v>
      </c>
      <c r="E250">
        <v>5</v>
      </c>
      <c r="F250">
        <f t="shared" si="46"/>
        <v>95</v>
      </c>
      <c r="G250">
        <f t="shared" si="50"/>
        <v>50</v>
      </c>
      <c r="H250">
        <f t="shared" si="51"/>
        <v>150</v>
      </c>
      <c r="I250">
        <f t="shared" si="52"/>
        <v>90</v>
      </c>
      <c r="J250">
        <f t="shared" si="53"/>
        <v>80</v>
      </c>
      <c r="K250">
        <f t="shared" si="47"/>
        <v>370</v>
      </c>
      <c r="L250">
        <f>G250*Return!B250*100</f>
        <v>-199</v>
      </c>
      <c r="M250">
        <f>H250*Return!C250*100</f>
        <v>-318.000000000005</v>
      </c>
      <c r="N250">
        <f>I250*Return!D250*100</f>
        <v>-125.999999999998</v>
      </c>
      <c r="O250">
        <f>J250*Return!E250*100</f>
        <v>-111.999999999998</v>
      </c>
      <c r="P250">
        <f t="shared" si="54"/>
        <v>-755.000000000002</v>
      </c>
      <c r="Q250">
        <f>SUM($P$148:P250)</f>
        <v>6319.5</v>
      </c>
      <c r="R250">
        <f>B250*中国_中债国债到期收益率_1年!B249/365*100</f>
        <v>27.6547945205479</v>
      </c>
      <c r="S250">
        <f>C250*中国_中债国债到期收益率_1年!C249/365*100</f>
        <v>20.553698630137</v>
      </c>
      <c r="T250">
        <f>D250*中国_中债国债到期收益率_1年!D249/365*100</f>
        <v>7.45342465753425</v>
      </c>
      <c r="U250">
        <f>E250*中国_中债国债到期收益率_1年!E249/365*100</f>
        <v>4.23465753424658</v>
      </c>
      <c r="V250">
        <f t="shared" si="55"/>
        <v>59.8965753424658</v>
      </c>
      <c r="W250">
        <f>SUM($V$148:V250)</f>
        <v>5560.97465753425</v>
      </c>
      <c r="X250">
        <f>MAX(F250-50,0)*中国_中债国债到期收益率_1年!H250*100/365</f>
        <v>26.5068493150685</v>
      </c>
      <c r="Y250">
        <f>SUM($X$148:X250)</f>
        <v>2064.59739726027</v>
      </c>
      <c r="AB250">
        <f>Z250*Return!F254*100</f>
        <v>0</v>
      </c>
      <c r="AC250">
        <f>AA250*Return!G254*100</f>
        <v>0</v>
      </c>
      <c r="AD250">
        <f>SUM($AB$148:AB250)+SUM($AC$148:AC250)</f>
        <v>980.699999999999</v>
      </c>
      <c r="AE250">
        <f t="shared" si="48"/>
        <v>10796.577260274</v>
      </c>
      <c r="AF250">
        <f t="shared" si="49"/>
        <v>1.02159315452055</v>
      </c>
      <c r="AG250" s="5">
        <f>(AF250/AF249-1)-中国_中债国债到期收益率_1年!H250%/252</f>
        <v>-0.00149604007303859</v>
      </c>
      <c r="AH250" s="5">
        <f>MIN((AF250-MAX($AF$151:AF250))/MAX($AF$151:AF250),0)</f>
        <v>-0.00186154187591093</v>
      </c>
    </row>
    <row r="251" spans="1:34">
      <c r="A251" s="7">
        <v>45076</v>
      </c>
      <c r="B251">
        <v>50</v>
      </c>
      <c r="C251">
        <v>30</v>
      </c>
      <c r="D251">
        <v>10</v>
      </c>
      <c r="E251">
        <v>5</v>
      </c>
      <c r="F251">
        <f t="shared" si="46"/>
        <v>95</v>
      </c>
      <c r="G251">
        <f t="shared" si="50"/>
        <v>50</v>
      </c>
      <c r="H251">
        <f t="shared" si="51"/>
        <v>150</v>
      </c>
      <c r="I251">
        <f t="shared" si="52"/>
        <v>90</v>
      </c>
      <c r="J251">
        <f t="shared" si="53"/>
        <v>80</v>
      </c>
      <c r="K251">
        <f t="shared" si="47"/>
        <v>370</v>
      </c>
      <c r="L251">
        <f>G251*Return!B251*100</f>
        <v>104.500000000001</v>
      </c>
      <c r="M251">
        <f>H251*Return!C251*100</f>
        <v>204.000000000004</v>
      </c>
      <c r="N251">
        <f>I251*Return!D251*100</f>
        <v>229.500000000001</v>
      </c>
      <c r="O251">
        <f>J251*Return!E251*100</f>
        <v>59.2000000000006</v>
      </c>
      <c r="P251">
        <f t="shared" si="54"/>
        <v>597.200000000006</v>
      </c>
      <c r="Q251">
        <f>SUM($P$148:P251)</f>
        <v>6916.70000000001</v>
      </c>
      <c r="R251">
        <f>B251*中国_中债国债到期收益率_1年!B250/365*100</f>
        <v>27.3684931506849</v>
      </c>
      <c r="S251">
        <f>C251*中国_中债国债到期收益率_1年!C250/365*100</f>
        <v>20.4419178082192</v>
      </c>
      <c r="T251">
        <f>D251*中国_中债国债到期收益率_1年!D250/365*100</f>
        <v>7.38356164383562</v>
      </c>
      <c r="U251">
        <f>E251*中国_中债国债到期收益率_1年!E250/365*100</f>
        <v>4.22452054794521</v>
      </c>
      <c r="V251">
        <f t="shared" si="55"/>
        <v>59.4184931506849</v>
      </c>
      <c r="W251">
        <f>SUM($V$148:V251)</f>
        <v>5620.39315068493</v>
      </c>
      <c r="X251">
        <f>MAX(F251-50,0)*中国_中债国债到期收益率_1年!H251*100/365</f>
        <v>26.5068493150685</v>
      </c>
      <c r="Y251">
        <f>SUM($X$148:X251)</f>
        <v>2091.10424657534</v>
      </c>
      <c r="AB251">
        <f>Z251*Return!F255*100</f>
        <v>0</v>
      </c>
      <c r="AC251">
        <f>AA251*Return!G255*100</f>
        <v>0</v>
      </c>
      <c r="AD251">
        <f>SUM($AB$148:AB251)+SUM($AC$148:AC251)</f>
        <v>980.699999999999</v>
      </c>
      <c r="AE251">
        <f t="shared" si="48"/>
        <v>11426.6889041096</v>
      </c>
      <c r="AF251">
        <f t="shared" si="49"/>
        <v>1.02285337780822</v>
      </c>
      <c r="AG251" s="5">
        <f>(AF251/AF250-1)-中国_中债国债到期收益率_1年!H251%/252</f>
        <v>0.00114826880843812</v>
      </c>
      <c r="AH251" s="5">
        <f>MIN((AF251-MAX($AF$151:AF251))/MAX($AF$151:AF251),0)</f>
        <v>-0.000630251979652155</v>
      </c>
    </row>
    <row r="252" spans="1:34">
      <c r="A252" s="7">
        <v>45077</v>
      </c>
      <c r="B252">
        <v>50</v>
      </c>
      <c r="C252">
        <v>30</v>
      </c>
      <c r="D252">
        <v>10</v>
      </c>
      <c r="E252">
        <v>5</v>
      </c>
      <c r="F252">
        <f t="shared" si="46"/>
        <v>95</v>
      </c>
      <c r="G252">
        <f t="shared" si="50"/>
        <v>50</v>
      </c>
      <c r="H252">
        <f t="shared" si="51"/>
        <v>150</v>
      </c>
      <c r="I252">
        <f t="shared" si="52"/>
        <v>90</v>
      </c>
      <c r="J252">
        <f t="shared" si="53"/>
        <v>80</v>
      </c>
      <c r="K252">
        <f t="shared" si="47"/>
        <v>370</v>
      </c>
      <c r="L252">
        <f>G252*Return!B252*100</f>
        <v>71.9999999999998</v>
      </c>
      <c r="M252">
        <f>H252*Return!C252*100</f>
        <v>-13.5000000000018</v>
      </c>
      <c r="N252">
        <f>I252*Return!D252*100</f>
        <v>-45.000000000003</v>
      </c>
      <c r="O252">
        <f>J252*Return!E252*100</f>
        <v>0</v>
      </c>
      <c r="P252">
        <f t="shared" si="54"/>
        <v>13.499999999995</v>
      </c>
      <c r="Q252">
        <f>SUM($P$148:P252)</f>
        <v>6930.2</v>
      </c>
      <c r="R252">
        <f>B252*中国_中债国债到期收益率_1年!B251/365*100</f>
        <v>27.1712328767123</v>
      </c>
      <c r="S252">
        <f>C252*中国_中债国债到期收益率_1年!C251/365*100</f>
        <v>20.4493150684932</v>
      </c>
      <c r="T252">
        <f>D252*中国_中债国债到期收益率_1年!D251/365*100</f>
        <v>7.3972602739726</v>
      </c>
      <c r="U252">
        <f>E252*中国_中债国债到期收益率_1年!E251/365*100</f>
        <v>4.22452054794521</v>
      </c>
      <c r="V252">
        <f t="shared" si="55"/>
        <v>59.2423287671233</v>
      </c>
      <c r="W252">
        <f>SUM($V$148:V252)</f>
        <v>5679.63547945205</v>
      </c>
      <c r="X252">
        <f>MAX(F252-50,0)*中国_中债国债到期收益率_1年!H252*100/365</f>
        <v>25.8904109589041</v>
      </c>
      <c r="Y252">
        <f>SUM($X$148:X252)</f>
        <v>2116.99465753425</v>
      </c>
      <c r="AB252">
        <f>Z252*Return!F256*100</f>
        <v>0</v>
      </c>
      <c r="AC252">
        <f>AA252*Return!G256*100</f>
        <v>0</v>
      </c>
      <c r="AD252">
        <f>SUM($AB$148:AB252)+SUM($AC$148:AC252)</f>
        <v>980.699999999999</v>
      </c>
      <c r="AE252">
        <f t="shared" si="48"/>
        <v>11473.5408219178</v>
      </c>
      <c r="AF252">
        <f t="shared" si="49"/>
        <v>1.02294708164384</v>
      </c>
      <c r="AG252" s="5">
        <f>(AF252/AF251-1)-中国_中债国债到期收益率_1年!H252%/252</f>
        <v>8.27689903159148e-6</v>
      </c>
      <c r="AH252" s="5">
        <f>MIN((AF252-MAX($AF$151:AF252))/MAX($AF$151:AF252),0)</f>
        <v>-0.000538699484817442</v>
      </c>
    </row>
    <row r="253" spans="1:34">
      <c r="A253" s="7">
        <v>45078</v>
      </c>
      <c r="B253">
        <v>50</v>
      </c>
      <c r="C253">
        <v>30</v>
      </c>
      <c r="D253">
        <v>10</v>
      </c>
      <c r="E253">
        <v>5</v>
      </c>
      <c r="F253">
        <f t="shared" si="46"/>
        <v>95</v>
      </c>
      <c r="G253">
        <f t="shared" si="50"/>
        <v>50</v>
      </c>
      <c r="H253">
        <f t="shared" si="51"/>
        <v>150</v>
      </c>
      <c r="I253">
        <f t="shared" si="52"/>
        <v>90</v>
      </c>
      <c r="J253">
        <f t="shared" si="53"/>
        <v>80</v>
      </c>
      <c r="K253">
        <f t="shared" si="47"/>
        <v>370</v>
      </c>
      <c r="L253">
        <f>G253*Return!B253*100</f>
        <v>2.99999999999967</v>
      </c>
      <c r="M253">
        <f>H253*Return!C253*100</f>
        <v>483</v>
      </c>
      <c r="N253">
        <f>I253*Return!D253*100</f>
        <v>135.000000000001</v>
      </c>
      <c r="O253">
        <f>J253*Return!E253*100</f>
        <v>84.7999999999978</v>
      </c>
      <c r="P253">
        <f t="shared" si="54"/>
        <v>705.799999999999</v>
      </c>
      <c r="Q253">
        <f>SUM($P$148:P253)</f>
        <v>7636</v>
      </c>
      <c r="R253">
        <f>B253*中国_中债国债到期收益率_1年!B252/365*100</f>
        <v>27.1630136986301</v>
      </c>
      <c r="S253">
        <f>C253*中国_中债国债到期收益率_1年!C252/365*100</f>
        <v>20.1846575342466</v>
      </c>
      <c r="T253">
        <f>D253*中国_中债国债到期收益率_1年!D252/365*100</f>
        <v>7.35616438356164</v>
      </c>
      <c r="U253">
        <f>E253*中国_中债国债到期收益率_1年!E252/365*100</f>
        <v>4.21</v>
      </c>
      <c r="V253">
        <f t="shared" si="55"/>
        <v>58.9138356164384</v>
      </c>
      <c r="W253">
        <f>SUM($V$148:V253)</f>
        <v>5738.54931506849</v>
      </c>
      <c r="X253">
        <f>MAX(F253-50,0)*中国_中债国债到期收益率_1年!H253*100/365</f>
        <v>22.8082191780822</v>
      </c>
      <c r="Y253">
        <f>SUM($X$148:X253)</f>
        <v>2139.80287671233</v>
      </c>
      <c r="AB253">
        <f>Z253*Return!F257*100</f>
        <v>0</v>
      </c>
      <c r="AC253">
        <f>AA253*Return!G257*100</f>
        <v>0</v>
      </c>
      <c r="AD253">
        <f>SUM($AB$148:AB253)+SUM($AC$148:AC253)</f>
        <v>980.699999999999</v>
      </c>
      <c r="AE253">
        <f t="shared" si="48"/>
        <v>12215.4464383562</v>
      </c>
      <c r="AF253">
        <f t="shared" si="49"/>
        <v>1.02443089287671</v>
      </c>
      <c r="AG253" s="5">
        <f>(AF253/AF252-1)-中国_中债国债到期收益率_1年!H253%/252</f>
        <v>0.00137711319828611</v>
      </c>
      <c r="AH253" s="5">
        <f>MIN((AF253-MAX($AF$151:AF253))/MAX($AF$151:AF253),0)</f>
        <v>0</v>
      </c>
    </row>
    <row r="254" spans="1:34">
      <c r="A254" s="7">
        <v>45079</v>
      </c>
      <c r="B254">
        <v>30</v>
      </c>
      <c r="C254">
        <v>30</v>
      </c>
      <c r="D254">
        <v>10</v>
      </c>
      <c r="E254">
        <v>5</v>
      </c>
      <c r="F254">
        <f t="shared" si="46"/>
        <v>75</v>
      </c>
      <c r="G254">
        <f t="shared" si="50"/>
        <v>30</v>
      </c>
      <c r="H254">
        <f t="shared" si="51"/>
        <v>150</v>
      </c>
      <c r="I254">
        <f t="shared" si="52"/>
        <v>90</v>
      </c>
      <c r="J254">
        <f t="shared" si="53"/>
        <v>80</v>
      </c>
      <c r="K254">
        <f t="shared" si="47"/>
        <v>350</v>
      </c>
      <c r="L254">
        <f>G254*Return!B254*100</f>
        <v>32.4000000000004</v>
      </c>
      <c r="M254">
        <f>H254*Return!C254*100</f>
        <v>452.999999999997</v>
      </c>
      <c r="N254">
        <f>I254*Return!D254*100</f>
        <v>22.4999999999995</v>
      </c>
      <c r="O254">
        <f>J254*Return!E254*100</f>
        <v>31.2000000000019</v>
      </c>
      <c r="P254">
        <f t="shared" si="54"/>
        <v>539.099999999999</v>
      </c>
      <c r="Q254">
        <f>SUM($P$148:P254)</f>
        <v>8175.1</v>
      </c>
      <c r="R254">
        <f>B254*中国_中债国债到期收益率_1年!B253/365*100</f>
        <v>16.2090410958904</v>
      </c>
      <c r="S254">
        <f>C254*中国_中债国债到期收益率_1年!C253/365*100</f>
        <v>19.9364383561644</v>
      </c>
      <c r="T254">
        <f>D254*中国_中债国债到期收益率_1年!D253/365*100</f>
        <v>7.34931506849315</v>
      </c>
      <c r="U254">
        <f>E254*中国_中债国债到期收益率_1年!E253/365*100</f>
        <v>4.20465753424658</v>
      </c>
      <c r="V254">
        <f t="shared" si="55"/>
        <v>47.6994520547945</v>
      </c>
      <c r="W254">
        <f>SUM($V$148:V254)</f>
        <v>5786.24876712329</v>
      </c>
      <c r="X254">
        <f>MAX(F254-50,0)*中国_中债国债到期收益率_1年!H254*100/365</f>
        <v>13.013698630137</v>
      </c>
      <c r="Y254">
        <f>SUM($X$148:X254)</f>
        <v>2152.81657534247</v>
      </c>
      <c r="AB254">
        <f>Z254*Return!F258*100</f>
        <v>0</v>
      </c>
      <c r="AC254">
        <f>AA254*Return!G258*100</f>
        <v>0</v>
      </c>
      <c r="AD254">
        <f>SUM($AB$148:AB254)+SUM($AC$148:AC254)</f>
        <v>980.699999999999</v>
      </c>
      <c r="AE254">
        <f t="shared" si="48"/>
        <v>12789.2321917808</v>
      </c>
      <c r="AF254">
        <f t="shared" si="49"/>
        <v>1.02557846438356</v>
      </c>
      <c r="AG254" s="5">
        <f>(AF254/AF253-1)-中国_中债国债到期收益率_1年!H254%/252</f>
        <v>0.0010448070993667</v>
      </c>
      <c r="AH254" s="5">
        <f>MIN((AF254-MAX($AF$151:AF254))/MAX($AF$151:AF254),0)</f>
        <v>0</v>
      </c>
    </row>
    <row r="255" spans="1:34">
      <c r="A255" s="7">
        <v>45082</v>
      </c>
      <c r="B255">
        <v>30</v>
      </c>
      <c r="C255">
        <v>30</v>
      </c>
      <c r="D255">
        <v>10</v>
      </c>
      <c r="E255">
        <v>5</v>
      </c>
      <c r="F255">
        <f t="shared" si="46"/>
        <v>75</v>
      </c>
      <c r="G255">
        <f t="shared" si="50"/>
        <v>30</v>
      </c>
      <c r="H255">
        <f t="shared" si="51"/>
        <v>150</v>
      </c>
      <c r="I255">
        <f t="shared" si="52"/>
        <v>90</v>
      </c>
      <c r="J255">
        <f t="shared" si="53"/>
        <v>80</v>
      </c>
      <c r="K255">
        <f t="shared" si="47"/>
        <v>350</v>
      </c>
      <c r="L255">
        <f>G255*Return!B255*100</f>
        <v>-3.00000000000034</v>
      </c>
      <c r="M255">
        <f>H255*Return!C255*100</f>
        <v>-413.999999999994</v>
      </c>
      <c r="N255">
        <f>I255*Return!D255*100</f>
        <v>-113.399999999999</v>
      </c>
      <c r="O255">
        <f>J255*Return!E255*100</f>
        <v>-71.9999999999992</v>
      </c>
      <c r="P255">
        <f t="shared" si="54"/>
        <v>-602.399999999993</v>
      </c>
      <c r="Q255">
        <f>SUM($P$148:P255)</f>
        <v>7572.7</v>
      </c>
      <c r="R255">
        <f>B255*中国_中债国债到期收益率_1年!B254/365*100</f>
        <v>16.2172602739726</v>
      </c>
      <c r="S255">
        <f>C255*中国_中债国债到期收益率_1年!C254/365*100</f>
        <v>20.1632876712329</v>
      </c>
      <c r="T255">
        <f>D255*中国_中债国债到期收益率_1年!D254/365*100</f>
        <v>7.38383561643836</v>
      </c>
      <c r="U255">
        <f>E255*中国_中债国债到期收益率_1年!E254/365*100</f>
        <v>4.21698630136986</v>
      </c>
      <c r="V255">
        <f t="shared" si="55"/>
        <v>47.9813698630137</v>
      </c>
      <c r="W255">
        <f>SUM($V$148:V255)</f>
        <v>5834.2301369863</v>
      </c>
      <c r="X255">
        <f>MAX(F255-50,0)*中国_中债国债到期收益率_1年!H255*100/365</f>
        <v>12.6712328767123</v>
      </c>
      <c r="Y255">
        <f>SUM($X$148:X255)</f>
        <v>2165.48780821918</v>
      </c>
      <c r="AB255">
        <f>Z255*Return!F259*100</f>
        <v>0</v>
      </c>
      <c r="AC255">
        <f>AA255*Return!G259*100</f>
        <v>0</v>
      </c>
      <c r="AD255">
        <f>SUM($AB$148:AB255)+SUM($AC$148:AC255)</f>
        <v>980.699999999999</v>
      </c>
      <c r="AE255">
        <f t="shared" si="48"/>
        <v>12222.1423287671</v>
      </c>
      <c r="AF255">
        <f t="shared" si="49"/>
        <v>1.02444428465753</v>
      </c>
      <c r="AG255" s="5">
        <f>(AF255/AF254-1)-中国_中债国债到期收益率_1年!H255%/252</f>
        <v>-0.00117930538767568</v>
      </c>
      <c r="AH255" s="5">
        <f>MIN((AF255-MAX($AF$151:AF255))/MAX($AF$151:AF255),0)</f>
        <v>-0.00110589268926301</v>
      </c>
    </row>
    <row r="256" spans="1:34">
      <c r="A256" s="7">
        <v>45083</v>
      </c>
      <c r="B256">
        <v>30</v>
      </c>
      <c r="C256">
        <v>30</v>
      </c>
      <c r="D256">
        <v>10</v>
      </c>
      <c r="E256">
        <v>5</v>
      </c>
      <c r="F256">
        <f t="shared" si="46"/>
        <v>75</v>
      </c>
      <c r="G256">
        <f t="shared" si="50"/>
        <v>30</v>
      </c>
      <c r="H256">
        <f t="shared" si="51"/>
        <v>150</v>
      </c>
      <c r="I256">
        <f t="shared" si="52"/>
        <v>90</v>
      </c>
      <c r="J256">
        <f t="shared" si="53"/>
        <v>80</v>
      </c>
      <c r="K256">
        <f t="shared" si="47"/>
        <v>350</v>
      </c>
      <c r="L256">
        <f>G256*Return!B256*100</f>
        <v>102.3</v>
      </c>
      <c r="M256">
        <f>H256*Return!C256*100</f>
        <v>-25.5000000000005</v>
      </c>
      <c r="N256">
        <f>I256*Return!D256*100</f>
        <v>22.4999999999995</v>
      </c>
      <c r="O256">
        <f>J256*Return!E256*100</f>
        <v>-4.80000000000302</v>
      </c>
      <c r="P256">
        <f t="shared" si="54"/>
        <v>94.499999999996</v>
      </c>
      <c r="Q256">
        <f>SUM($P$148:P256)</f>
        <v>7667.2</v>
      </c>
      <c r="R256">
        <f>B256*中国_中债国债到期收益率_1年!B255/365*100</f>
        <v>15.9369863013699</v>
      </c>
      <c r="S256">
        <f>C256*中国_中债国债到期收益率_1年!C255/365*100</f>
        <v>20.1772602739726</v>
      </c>
      <c r="T256">
        <f>D256*中国_中债国债到期收益率_1年!D255/365*100</f>
        <v>7.37698630136986</v>
      </c>
      <c r="U256">
        <f>E256*中国_中债国债到期收益率_1年!E255/365*100</f>
        <v>4.21780821917808</v>
      </c>
      <c r="V256">
        <f t="shared" si="55"/>
        <v>47.7090410958904</v>
      </c>
      <c r="W256">
        <f>SUM($V$148:V256)</f>
        <v>5881.93917808219</v>
      </c>
      <c r="X256">
        <f>MAX(F256-50,0)*中国_中债国债到期收益率_1年!H256*100/365</f>
        <v>12.3287671232877</v>
      </c>
      <c r="Y256">
        <f>SUM($X$148:X256)</f>
        <v>2177.81657534247</v>
      </c>
      <c r="AB256">
        <f>Z256*Return!F260*100</f>
        <v>0</v>
      </c>
      <c r="AC256">
        <f>AA256*Return!G260*100</f>
        <v>0</v>
      </c>
      <c r="AD256">
        <f>SUM($AB$148:AB256)+SUM($AC$148:AC256)</f>
        <v>980.699999999999</v>
      </c>
      <c r="AE256">
        <f t="shared" si="48"/>
        <v>12352.0226027397</v>
      </c>
      <c r="AF256">
        <f t="shared" si="49"/>
        <v>1.02470404520548</v>
      </c>
      <c r="AG256" s="5">
        <f>(AF256/AF255-1)-中国_中债国债到期收益率_1年!H256%/252</f>
        <v>0.000182133825116821</v>
      </c>
      <c r="AH256" s="5">
        <f>MIN((AF256-MAX($AF$151:AF256))/MAX($AF$151:AF256),0)</f>
        <v>-0.000852610705518147</v>
      </c>
    </row>
    <row r="257" spans="1:34">
      <c r="A257" s="7">
        <v>45084</v>
      </c>
      <c r="B257">
        <v>30</v>
      </c>
      <c r="C257">
        <v>30</v>
      </c>
      <c r="D257">
        <v>10</v>
      </c>
      <c r="E257">
        <v>5</v>
      </c>
      <c r="F257">
        <f t="shared" si="46"/>
        <v>75</v>
      </c>
      <c r="G257">
        <f t="shared" si="50"/>
        <v>30</v>
      </c>
      <c r="H257">
        <f t="shared" si="51"/>
        <v>150</v>
      </c>
      <c r="I257">
        <f t="shared" si="52"/>
        <v>90</v>
      </c>
      <c r="J257">
        <f t="shared" si="53"/>
        <v>80</v>
      </c>
      <c r="K257">
        <f t="shared" si="47"/>
        <v>350</v>
      </c>
      <c r="L257">
        <f>G257*Return!B257*100</f>
        <v>63.9000000000003</v>
      </c>
      <c r="M257">
        <f>H257*Return!C257*100</f>
        <v>253.499999999995</v>
      </c>
      <c r="N257">
        <f>I257*Return!D257*100</f>
        <v>90.0000000000021</v>
      </c>
      <c r="O257">
        <f>J257*Return!E257*100</f>
        <v>59.2000000000006</v>
      </c>
      <c r="P257">
        <f t="shared" si="54"/>
        <v>466.599999999998</v>
      </c>
      <c r="Q257">
        <f>SUM($P$148:P257)</f>
        <v>8133.8</v>
      </c>
      <c r="R257">
        <f>B257*中国_中债国债到期收益率_1年!B256/365*100</f>
        <v>15.7619178082192</v>
      </c>
      <c r="S257">
        <f>C257*中国_中债国债到期收益率_1年!C256/365*100</f>
        <v>20.0383561643836</v>
      </c>
      <c r="T257">
        <f>D257*中国_中债国债到期收益率_1年!D256/365*100</f>
        <v>7.34958904109589</v>
      </c>
      <c r="U257">
        <f>E257*中国_中债国债到期收益率_1年!E256/365*100</f>
        <v>4.20767123287671</v>
      </c>
      <c r="V257">
        <f t="shared" si="55"/>
        <v>47.3575342465753</v>
      </c>
      <c r="W257">
        <f>SUM($V$148:V257)</f>
        <v>5929.29671232877</v>
      </c>
      <c r="X257">
        <f>MAX(F257-50,0)*中国_中债国债到期收益率_1年!H257*100/365</f>
        <v>12.6027397260274</v>
      </c>
      <c r="Y257">
        <f>SUM($X$148:X257)</f>
        <v>2190.41931506849</v>
      </c>
      <c r="AB257">
        <f>Z257*Return!F261*100</f>
        <v>0</v>
      </c>
      <c r="AC257">
        <f>AA257*Return!G261*100</f>
        <v>0</v>
      </c>
      <c r="AD257">
        <f>SUM($AB$148:AB257)+SUM($AC$148:AC257)</f>
        <v>980.699999999999</v>
      </c>
      <c r="AE257">
        <f t="shared" si="48"/>
        <v>12853.3773972603</v>
      </c>
      <c r="AF257">
        <f t="shared" si="49"/>
        <v>1.02570675479452</v>
      </c>
      <c r="AG257" s="5">
        <f>(AF257/AF256-1)-中国_中债国债到期收益率_1年!H257%/252</f>
        <v>0.000905519923473449</v>
      </c>
      <c r="AH257" s="5">
        <f>MIN((AF257-MAX($AF$151:AF257))/MAX($AF$151:AF257),0)</f>
        <v>0</v>
      </c>
    </row>
    <row r="258" spans="1:34">
      <c r="A258" s="7">
        <v>45085</v>
      </c>
      <c r="B258">
        <v>30</v>
      </c>
      <c r="C258">
        <v>30</v>
      </c>
      <c r="D258">
        <v>10</v>
      </c>
      <c r="E258">
        <v>5</v>
      </c>
      <c r="F258">
        <f t="shared" si="46"/>
        <v>75</v>
      </c>
      <c r="G258">
        <f t="shared" si="50"/>
        <v>30</v>
      </c>
      <c r="H258">
        <f t="shared" si="51"/>
        <v>150</v>
      </c>
      <c r="I258">
        <f t="shared" si="52"/>
        <v>90</v>
      </c>
      <c r="J258">
        <f t="shared" si="53"/>
        <v>80</v>
      </c>
      <c r="K258">
        <f t="shared" si="47"/>
        <v>350</v>
      </c>
      <c r="L258">
        <f>G258*Return!B258*100</f>
        <v>66.6</v>
      </c>
      <c r="M258">
        <f>H258*Return!C258*100</f>
        <v>-49.4999999999979</v>
      </c>
      <c r="N258">
        <f>I258*Return!D258*100</f>
        <v>-0.900000000001899</v>
      </c>
      <c r="O258">
        <f>J258*Return!E258*100</f>
        <v>56.8000000000026</v>
      </c>
      <c r="P258">
        <f t="shared" si="54"/>
        <v>73.0000000000028</v>
      </c>
      <c r="Q258">
        <f>SUM($P$148:P258)</f>
        <v>8206.8</v>
      </c>
      <c r="R258">
        <f>B258*中国_中债国债到期收益率_1年!B257/365*100</f>
        <v>15.5794520547945</v>
      </c>
      <c r="S258">
        <f>C258*中国_中债国债到期收益率_1年!C257/365*100</f>
        <v>20.0654794520548</v>
      </c>
      <c r="T258">
        <f>D258*中国_中债国债到期收益率_1年!D257/365*100</f>
        <v>7.34986301369863</v>
      </c>
      <c r="U258">
        <f>E258*中国_中债国债到期收益率_1年!E257/365*100</f>
        <v>4.19794520547945</v>
      </c>
      <c r="V258">
        <f t="shared" si="55"/>
        <v>47.1927397260274</v>
      </c>
      <c r="W258">
        <f>SUM($V$148:V258)</f>
        <v>5976.4894520548</v>
      </c>
      <c r="X258">
        <f>MAX(F258-50,0)*中国_中债国债到期收益率_1年!H258*100/365</f>
        <v>12.3287671232877</v>
      </c>
      <c r="Y258">
        <f>SUM($X$148:X258)</f>
        <v>2202.74808219178</v>
      </c>
      <c r="AB258">
        <f>Z258*Return!F262*100</f>
        <v>0</v>
      </c>
      <c r="AC258">
        <f>AA258*Return!G262*100</f>
        <v>0</v>
      </c>
      <c r="AD258">
        <f>SUM($AB$148:AB258)+SUM($AC$148:AC258)</f>
        <v>980.699999999999</v>
      </c>
      <c r="AE258">
        <f t="shared" si="48"/>
        <v>12961.241369863</v>
      </c>
      <c r="AF258">
        <f t="shared" si="49"/>
        <v>1.02592248273973</v>
      </c>
      <c r="AG258" s="5">
        <f>(AF258/AF257-1)-中国_中债国债到期收益率_1年!H258%/252</f>
        <v>0.000138892696513943</v>
      </c>
      <c r="AH258" s="5">
        <f>MIN((AF258-MAX($AF$151:AF258))/MAX($AF$151:AF258),0)</f>
        <v>0</v>
      </c>
    </row>
    <row r="259" spans="1:34">
      <c r="A259" s="7">
        <v>45086</v>
      </c>
      <c r="B259">
        <v>30</v>
      </c>
      <c r="C259">
        <v>30</v>
      </c>
      <c r="D259">
        <v>10</v>
      </c>
      <c r="E259">
        <v>5</v>
      </c>
      <c r="F259">
        <f t="shared" ref="F259:F322" si="56">SUM(B259:E259)</f>
        <v>75</v>
      </c>
      <c r="G259">
        <f t="shared" si="50"/>
        <v>30</v>
      </c>
      <c r="H259">
        <f t="shared" si="51"/>
        <v>150</v>
      </c>
      <c r="I259">
        <f t="shared" si="52"/>
        <v>90</v>
      </c>
      <c r="J259">
        <f t="shared" si="53"/>
        <v>80</v>
      </c>
      <c r="K259">
        <f t="shared" ref="K259:K322" si="57">SUM(G259:J259)</f>
        <v>350</v>
      </c>
      <c r="L259">
        <f>G259*Return!B259*100</f>
        <v>20.3999999999997</v>
      </c>
      <c r="M259">
        <f>H259*Return!C259*100</f>
        <v>-163.499999999999</v>
      </c>
      <c r="N259">
        <f>I259*Return!D259*100</f>
        <v>4.5000000000015</v>
      </c>
      <c r="O259">
        <f>J259*Return!E259*100</f>
        <v>-4.80000000000302</v>
      </c>
      <c r="P259">
        <f t="shared" si="54"/>
        <v>-143.4</v>
      </c>
      <c r="Q259">
        <f>SUM($P$148:P259)</f>
        <v>8063.4</v>
      </c>
      <c r="R259">
        <f>B259*中国_中债国债到期收益率_1年!B258/365*100</f>
        <v>15.5235616438356</v>
      </c>
      <c r="S259">
        <f>C259*中国_中债国债到期收益率_1年!C258/365*100</f>
        <v>20.1550684931507</v>
      </c>
      <c r="T259">
        <f>D259*中国_中债国债到期收益率_1年!D258/365*100</f>
        <v>7.34849315068493</v>
      </c>
      <c r="U259">
        <f>E259*中国_中债国债到期收益率_1年!E258/365*100</f>
        <v>4.19876712328767</v>
      </c>
      <c r="V259">
        <f t="shared" si="55"/>
        <v>47.2258904109589</v>
      </c>
      <c r="W259">
        <f>SUM($V$148:V259)</f>
        <v>6023.71534246575</v>
      </c>
      <c r="X259">
        <f>MAX(F259-50,0)*中国_中债国债到期收益率_1年!H259*100/365</f>
        <v>12.6712328767123</v>
      </c>
      <c r="Y259">
        <f>SUM($X$148:X259)</f>
        <v>2215.41931506849</v>
      </c>
      <c r="AB259">
        <f>Z259*Return!F263*100</f>
        <v>0</v>
      </c>
      <c r="AC259">
        <f>AA259*Return!G263*100</f>
        <v>0</v>
      </c>
      <c r="AD259">
        <f>SUM($AB$148:AB259)+SUM($AC$148:AC259)</f>
        <v>980.699999999999</v>
      </c>
      <c r="AE259">
        <f t="shared" si="48"/>
        <v>12852.3960273973</v>
      </c>
      <c r="AF259">
        <f t="shared" si="49"/>
        <v>1.02570479205479</v>
      </c>
      <c r="AG259" s="5">
        <f>(AF259/AF258-1)-中国_中债国债到期收益率_1年!H259%/252</f>
        <v>-0.000285602886846912</v>
      </c>
      <c r="AH259" s="5">
        <f>MIN((AF259-MAX($AF$151:AF259))/MAX($AF$151:AF259),0)</f>
        <v>-0.000212190188434158</v>
      </c>
    </row>
    <row r="260" spans="1:34">
      <c r="A260" s="7">
        <v>45089</v>
      </c>
      <c r="B260">
        <v>30</v>
      </c>
      <c r="C260">
        <v>30</v>
      </c>
      <c r="D260">
        <v>10</v>
      </c>
      <c r="E260">
        <v>5</v>
      </c>
      <c r="F260">
        <f t="shared" si="56"/>
        <v>75</v>
      </c>
      <c r="G260">
        <f t="shared" si="50"/>
        <v>30</v>
      </c>
      <c r="H260">
        <f t="shared" si="51"/>
        <v>150</v>
      </c>
      <c r="I260">
        <f t="shared" si="52"/>
        <v>90</v>
      </c>
      <c r="J260">
        <f t="shared" si="53"/>
        <v>80</v>
      </c>
      <c r="K260">
        <f t="shared" si="57"/>
        <v>350</v>
      </c>
      <c r="L260">
        <f>G260*Return!B260*100</f>
        <v>75.3000000000004</v>
      </c>
      <c r="M260">
        <f>H260*Return!C260*100</f>
        <v>272.999999999997</v>
      </c>
      <c r="N260">
        <f>I260*Return!D260*100</f>
        <v>107.099999999998</v>
      </c>
      <c r="O260">
        <f>J260*Return!E260*100</f>
        <v>168.800000000001</v>
      </c>
      <c r="P260">
        <f t="shared" si="54"/>
        <v>624.199999999996</v>
      </c>
      <c r="Q260">
        <f>SUM($P$148:P260)</f>
        <v>8687.6</v>
      </c>
      <c r="R260">
        <f>B260*中国_中债国债到期收益率_1年!B259/365*100</f>
        <v>15.3172602739726</v>
      </c>
      <c r="S260">
        <f>C260*中国_中债国债到期收益率_1年!C259/365*100</f>
        <v>20.0054794520548</v>
      </c>
      <c r="T260">
        <f>D260*中国_中债国债到期收益率_1年!D259/365*100</f>
        <v>7.3158904109589</v>
      </c>
      <c r="U260">
        <f>E260*中国_中债国债到期收益率_1年!E259/365*100</f>
        <v>4.16986301369863</v>
      </c>
      <c r="V260">
        <f t="shared" si="55"/>
        <v>46.8084931506849</v>
      </c>
      <c r="W260">
        <f>SUM($V$148:V260)</f>
        <v>6070.52383561644</v>
      </c>
      <c r="X260">
        <f>MAX(F260-50,0)*中国_中债国债到期收益率_1年!H260*100/365</f>
        <v>13.013698630137</v>
      </c>
      <c r="Y260">
        <f>SUM($X$148:X260)</f>
        <v>2228.43301369863</v>
      </c>
      <c r="AB260">
        <f>Z260*Return!F264*100</f>
        <v>0</v>
      </c>
      <c r="AC260">
        <f>AA260*Return!G264*100</f>
        <v>0</v>
      </c>
      <c r="AD260">
        <f>SUM($AB$148:AB260)+SUM($AC$148:AC260)</f>
        <v>980.699999999999</v>
      </c>
      <c r="AE260">
        <f t="shared" ref="AE260:AE323" si="58">Q260+W260+AD260-Y260</f>
        <v>13510.3908219178</v>
      </c>
      <c r="AF260">
        <f t="shared" ref="AF260:AF323" si="59">AE260/$AI$1+1</f>
        <v>1.02702078164384</v>
      </c>
      <c r="AG260" s="5">
        <f>(AF260/AF259-1)-中国_中债国债到期收益率_1年!H260%/252</f>
        <v>0.00120761325629036</v>
      </c>
      <c r="AH260" s="5">
        <f>MIN((AF260-MAX($AF$151:AF260))/MAX($AF$151:AF260),0)</f>
        <v>0</v>
      </c>
    </row>
    <row r="261" spans="1:34">
      <c r="A261" s="7">
        <v>45090</v>
      </c>
      <c r="B261">
        <v>30</v>
      </c>
      <c r="C261">
        <v>30</v>
      </c>
      <c r="D261">
        <v>10</v>
      </c>
      <c r="E261">
        <v>5</v>
      </c>
      <c r="F261">
        <f t="shared" si="56"/>
        <v>75</v>
      </c>
      <c r="G261">
        <f t="shared" si="50"/>
        <v>30</v>
      </c>
      <c r="H261">
        <f t="shared" si="51"/>
        <v>150</v>
      </c>
      <c r="I261">
        <f t="shared" si="52"/>
        <v>90</v>
      </c>
      <c r="J261">
        <f t="shared" si="53"/>
        <v>80</v>
      </c>
      <c r="K261">
        <f t="shared" si="57"/>
        <v>350</v>
      </c>
      <c r="L261">
        <f>G261*Return!B261*100</f>
        <v>-8.10000000000044</v>
      </c>
      <c r="M261">
        <f>H261*Return!C261*100</f>
        <v>-31.4999999999999</v>
      </c>
      <c r="N261">
        <f>I261*Return!D261*100</f>
        <v>-0.899999999997902</v>
      </c>
      <c r="O261">
        <f>J261*Return!E261*100</f>
        <v>39.200000000001</v>
      </c>
      <c r="P261">
        <f t="shared" si="54"/>
        <v>-1.29999999999719</v>
      </c>
      <c r="Q261">
        <f>SUM($P$148:P261)</f>
        <v>8686.3</v>
      </c>
      <c r="R261">
        <f>B261*中国_中债国债到期收益率_1年!B260/365*100</f>
        <v>15.3394520547945</v>
      </c>
      <c r="S261">
        <f>C261*中国_中债国债到期收益率_1年!C260/365*100</f>
        <v>20.0227397260274</v>
      </c>
      <c r="T261">
        <f>D261*中国_中债国债到期收益率_1年!D260/365*100</f>
        <v>7.31616438356164</v>
      </c>
      <c r="U261">
        <f>E261*中国_中债国债到期收益率_1年!E260/365*100</f>
        <v>4.16315068493151</v>
      </c>
      <c r="V261">
        <f t="shared" si="55"/>
        <v>46.8415068493151</v>
      </c>
      <c r="W261">
        <f>SUM($V$148:V261)</f>
        <v>6117.36534246575</v>
      </c>
      <c r="X261">
        <f>MAX(F261-50,0)*中国_中债国债到期收益率_1年!H261*100/365</f>
        <v>13.3561643835616</v>
      </c>
      <c r="Y261">
        <f>SUM($X$148:X261)</f>
        <v>2241.78917808219</v>
      </c>
      <c r="AB261">
        <f>Z261*Return!F265*100</f>
        <v>0</v>
      </c>
      <c r="AC261">
        <f>AA261*Return!G265*100</f>
        <v>0</v>
      </c>
      <c r="AD261">
        <f>SUM($AB$148:AB261)+SUM($AC$148:AC261)</f>
        <v>980.699999999999</v>
      </c>
      <c r="AE261">
        <f t="shared" si="58"/>
        <v>13542.5761643836</v>
      </c>
      <c r="AF261">
        <f t="shared" si="59"/>
        <v>1.02708515232877</v>
      </c>
      <c r="AG261" s="5">
        <f>(AF261/AF260-1)-中国_中债国债到期收益率_1年!H261%/252</f>
        <v>-1.4703851700977e-5</v>
      </c>
      <c r="AH261" s="5">
        <f>MIN((AF261-MAX($AF$151:AF261))/MAX($AF$151:AF261),0)</f>
        <v>0</v>
      </c>
    </row>
    <row r="262" spans="1:34">
      <c r="A262" s="7">
        <v>45091</v>
      </c>
      <c r="B262">
        <v>30</v>
      </c>
      <c r="C262">
        <v>30</v>
      </c>
      <c r="D262">
        <v>10</v>
      </c>
      <c r="E262">
        <v>5</v>
      </c>
      <c r="F262">
        <f t="shared" si="56"/>
        <v>75</v>
      </c>
      <c r="G262">
        <f t="shared" si="50"/>
        <v>30</v>
      </c>
      <c r="H262">
        <f t="shared" si="51"/>
        <v>150</v>
      </c>
      <c r="I262">
        <f t="shared" si="52"/>
        <v>90</v>
      </c>
      <c r="J262">
        <f t="shared" si="53"/>
        <v>80</v>
      </c>
      <c r="K262">
        <f t="shared" si="57"/>
        <v>350</v>
      </c>
      <c r="L262">
        <f>G262*Return!B262*100</f>
        <v>44.7000000000004</v>
      </c>
      <c r="M262">
        <f>H262*Return!C262*100</f>
        <v>495.000000000005</v>
      </c>
      <c r="N262">
        <f>I262*Return!D262*100</f>
        <v>429.299999999999</v>
      </c>
      <c r="O262">
        <f>J262*Return!E262*100</f>
        <v>261.599999999998</v>
      </c>
      <c r="P262">
        <f t="shared" si="54"/>
        <v>1230.6</v>
      </c>
      <c r="Q262">
        <f>SUM($P$148:P262)</f>
        <v>9916.9</v>
      </c>
      <c r="R262">
        <f>B262*中国_中债国债到期收益率_1年!B261/365*100</f>
        <v>15.2169863013699</v>
      </c>
      <c r="S262">
        <f>C262*中国_中债国债到期收益率_1年!C261/365*100</f>
        <v>19.7515068493151</v>
      </c>
      <c r="T262">
        <f>D262*中国_中债国债到期收益率_1年!D261/365*100</f>
        <v>7.1854794520548</v>
      </c>
      <c r="U262">
        <f>E262*中国_中债国债到期收益率_1年!E261/365*100</f>
        <v>4.11835616438356</v>
      </c>
      <c r="V262">
        <f t="shared" si="55"/>
        <v>46.2723287671233</v>
      </c>
      <c r="W262">
        <f>SUM($V$148:V262)</f>
        <v>6163.63767123288</v>
      </c>
      <c r="X262">
        <f>MAX(F262-50,0)*中国_中债国债到期收益率_1年!H262*100/365</f>
        <v>12.6712328767123</v>
      </c>
      <c r="Y262">
        <f>SUM($X$148:X262)</f>
        <v>2254.4604109589</v>
      </c>
      <c r="AB262">
        <f>Z262*Return!F266*100</f>
        <v>0</v>
      </c>
      <c r="AC262">
        <f>AA262*Return!G266*100</f>
        <v>0</v>
      </c>
      <c r="AD262">
        <f>SUM($AB$148:AB262)+SUM($AC$148:AC262)</f>
        <v>980.699999999999</v>
      </c>
      <c r="AE262">
        <f t="shared" si="58"/>
        <v>14806.777260274</v>
      </c>
      <c r="AF262">
        <f t="shared" si="59"/>
        <v>1.02961355452055</v>
      </c>
      <c r="AG262" s="5">
        <f>(AF262/AF261-1)-中国_中债国债到期收益率_1年!H262%/252</f>
        <v>0.00238831327050833</v>
      </c>
      <c r="AH262" s="5">
        <f>MIN((AF262-MAX($AF$151:AF262))/MAX($AF$151:AF262),0)</f>
        <v>0</v>
      </c>
    </row>
    <row r="263" spans="1:34">
      <c r="A263" s="7">
        <v>45092</v>
      </c>
      <c r="B263">
        <v>30</v>
      </c>
      <c r="C263">
        <v>30</v>
      </c>
      <c r="D263">
        <v>10</v>
      </c>
      <c r="E263">
        <v>5</v>
      </c>
      <c r="F263">
        <f t="shared" si="56"/>
        <v>75</v>
      </c>
      <c r="G263">
        <f t="shared" si="50"/>
        <v>30</v>
      </c>
      <c r="H263">
        <f t="shared" si="51"/>
        <v>150</v>
      </c>
      <c r="I263">
        <f t="shared" si="52"/>
        <v>90</v>
      </c>
      <c r="J263">
        <f t="shared" si="53"/>
        <v>80</v>
      </c>
      <c r="K263">
        <f t="shared" si="57"/>
        <v>350</v>
      </c>
      <c r="L263">
        <f>G263*Return!B263*100</f>
        <v>44.6999999999997</v>
      </c>
      <c r="M263">
        <f>H263*Return!C263*100</f>
        <v>76.4999999999949</v>
      </c>
      <c r="N263">
        <f>I263*Return!D263*100</f>
        <v>44.1000000000011</v>
      </c>
      <c r="O263">
        <f>J263*Return!E263*100</f>
        <v>80.8</v>
      </c>
      <c r="P263">
        <f t="shared" si="54"/>
        <v>246.099999999996</v>
      </c>
      <c r="Q263">
        <f>SUM($P$148:P263)</f>
        <v>10163</v>
      </c>
      <c r="R263">
        <f>B263*中国_中债国债到期收益率_1年!B262/365*100</f>
        <v>15.0945205479452</v>
      </c>
      <c r="S263">
        <f>C263*中国_中债国债到期收益率_1年!C262/365*100</f>
        <v>19.7095890410959</v>
      </c>
      <c r="T263">
        <f>D263*中国_中债国债到期收益率_1年!D262/365*100</f>
        <v>7.17205479452055</v>
      </c>
      <c r="U263">
        <f>E263*中国_中债国债到期收益率_1年!E262/365*100</f>
        <v>4.10452054794521</v>
      </c>
      <c r="V263">
        <f t="shared" si="55"/>
        <v>46.0806849315069</v>
      </c>
      <c r="W263">
        <f>SUM($V$148:V263)</f>
        <v>6209.71835616438</v>
      </c>
      <c r="X263">
        <f>MAX(F263-50,0)*中国_中债国债到期收益率_1年!H263*100/365</f>
        <v>12.6712328767123</v>
      </c>
      <c r="Y263">
        <f>SUM($X$148:X263)</f>
        <v>2267.13164383562</v>
      </c>
      <c r="AB263">
        <f>Z263*Return!F267*100</f>
        <v>0</v>
      </c>
      <c r="AC263">
        <f>AA263*Return!G267*100</f>
        <v>0</v>
      </c>
      <c r="AD263">
        <f>SUM($AB$148:AB263)+SUM($AC$148:AC263)</f>
        <v>980.699999999999</v>
      </c>
      <c r="AE263">
        <f t="shared" si="58"/>
        <v>15086.2867123288</v>
      </c>
      <c r="AF263">
        <f t="shared" si="59"/>
        <v>1.03017257342466</v>
      </c>
      <c r="AG263" s="5">
        <f>(AF263/AF262-1)-中国_中债国债到期收益率_1年!H263%/252</f>
        <v>0.000469527807425887</v>
      </c>
      <c r="AH263" s="5">
        <f>MIN((AF263-MAX($AF$151:AF263))/MAX($AF$151:AF263),0)</f>
        <v>0</v>
      </c>
    </row>
    <row r="264" spans="1:34">
      <c r="A264" s="7">
        <v>45093</v>
      </c>
      <c r="B264">
        <v>30</v>
      </c>
      <c r="C264">
        <v>30</v>
      </c>
      <c r="D264">
        <v>10</v>
      </c>
      <c r="E264">
        <v>5</v>
      </c>
      <c r="F264">
        <f t="shared" si="56"/>
        <v>75</v>
      </c>
      <c r="G264">
        <f t="shared" si="50"/>
        <v>30</v>
      </c>
      <c r="H264">
        <f t="shared" si="51"/>
        <v>150</v>
      </c>
      <c r="I264">
        <f t="shared" si="52"/>
        <v>90</v>
      </c>
      <c r="J264">
        <f t="shared" si="53"/>
        <v>80</v>
      </c>
      <c r="K264">
        <f t="shared" si="57"/>
        <v>350</v>
      </c>
      <c r="L264">
        <f>G264*Return!B264*100</f>
        <v>-75.2999999999997</v>
      </c>
      <c r="M264">
        <f>H264*Return!C264*100</f>
        <v>-578.999999999996</v>
      </c>
      <c r="N264">
        <f>I264*Return!D264*100</f>
        <v>-273.600000000002</v>
      </c>
      <c r="O264">
        <f>J264*Return!E264*100</f>
        <v>-243.199999999998</v>
      </c>
      <c r="P264">
        <f t="shared" si="54"/>
        <v>-1171.1</v>
      </c>
      <c r="Q264">
        <f>SUM($P$148:P264)</f>
        <v>8991.9</v>
      </c>
      <c r="R264">
        <f>B264*中国_中债国债到期收益率_1年!B263/365*100</f>
        <v>15.3008219178082</v>
      </c>
      <c r="S264">
        <f>C264*中国_中债国债到期收益率_1年!C263/365*100</f>
        <v>20.0268493150685</v>
      </c>
      <c r="T264">
        <f>D264*中国_中债国债到期收益率_1年!D263/365*100</f>
        <v>7.25534246575342</v>
      </c>
      <c r="U264">
        <f>E264*中国_中债国债到期收益率_1年!E263/365*100</f>
        <v>4.14616438356164</v>
      </c>
      <c r="V264">
        <f t="shared" si="55"/>
        <v>46.7291780821918</v>
      </c>
      <c r="W264">
        <f>SUM($V$148:V264)</f>
        <v>6256.44753424657</v>
      </c>
      <c r="X264">
        <f>MAX(F264-50,0)*中国_中债国债到期收益率_1年!H264*100/365</f>
        <v>13.3561643835616</v>
      </c>
      <c r="Y264">
        <f>SUM($X$148:X264)</f>
        <v>2280.48780821918</v>
      </c>
      <c r="AB264">
        <f>Z264*Return!F268*100</f>
        <v>0</v>
      </c>
      <c r="AC264">
        <f>AA264*Return!G268*100</f>
        <v>0</v>
      </c>
      <c r="AD264">
        <f>SUM($AB$148:AB264)+SUM($AC$148:AC264)</f>
        <v>980.699999999999</v>
      </c>
      <c r="AE264">
        <f t="shared" si="58"/>
        <v>13948.5597260274</v>
      </c>
      <c r="AF264">
        <f t="shared" si="59"/>
        <v>1.02789711945205</v>
      </c>
      <c r="AG264" s="5">
        <f>(AF264/AF263-1)-中国_中债国债到期收益率_1年!H264%/252</f>
        <v>-0.00228618948728341</v>
      </c>
      <c r="AH264" s="5">
        <f>MIN((AF264-MAX($AF$151:AF264))/MAX($AF$151:AF264),0)</f>
        <v>-0.00220880853490251</v>
      </c>
    </row>
    <row r="265" spans="1:34">
      <c r="A265" s="7">
        <v>45096</v>
      </c>
      <c r="B265">
        <v>30</v>
      </c>
      <c r="C265">
        <v>30</v>
      </c>
      <c r="D265">
        <v>10</v>
      </c>
      <c r="E265">
        <v>5</v>
      </c>
      <c r="F265">
        <f t="shared" si="56"/>
        <v>75</v>
      </c>
      <c r="G265">
        <f t="shared" si="50"/>
        <v>30</v>
      </c>
      <c r="H265">
        <f t="shared" si="51"/>
        <v>150</v>
      </c>
      <c r="I265">
        <f t="shared" si="52"/>
        <v>90</v>
      </c>
      <c r="J265">
        <f t="shared" si="53"/>
        <v>80</v>
      </c>
      <c r="K265">
        <f t="shared" si="57"/>
        <v>350</v>
      </c>
      <c r="L265">
        <f>G265*Return!B265*100</f>
        <v>-60.3</v>
      </c>
      <c r="M265">
        <f>H265*Return!C265*100</f>
        <v>-265.500000000001</v>
      </c>
      <c r="N265">
        <f>I265*Return!D265*100</f>
        <v>-129.599999999998</v>
      </c>
      <c r="O265">
        <f>J265*Return!E265*100</f>
        <v>-121.600000000001</v>
      </c>
      <c r="P265">
        <f t="shared" si="54"/>
        <v>-576.999999999999</v>
      </c>
      <c r="Q265">
        <f>SUM($P$148:P265)</f>
        <v>8414.9</v>
      </c>
      <c r="R265">
        <f>B265*中国_中债国债到期收益率_1年!B264/365*100</f>
        <v>15.4660273972603</v>
      </c>
      <c r="S265">
        <f>C265*中国_中债国债到期收益率_1年!C264/365*100</f>
        <v>20.1723287671233</v>
      </c>
      <c r="T265">
        <f>D265*中国_中债国债到期收益率_1年!D264/365*100</f>
        <v>7.29479452054794</v>
      </c>
      <c r="U265">
        <f>E265*中国_中债国债到期收益率_1年!E264/365*100</f>
        <v>4.16698630136986</v>
      </c>
      <c r="V265">
        <f t="shared" si="55"/>
        <v>47.1001369863014</v>
      </c>
      <c r="W265">
        <f>SUM($V$148:V265)</f>
        <v>6303.54767123288</v>
      </c>
      <c r="X265">
        <f>MAX(F265-50,0)*中国_中债国债到期收益率_1年!H265*100/365</f>
        <v>14.3150684931507</v>
      </c>
      <c r="Y265">
        <f>SUM($X$148:X265)</f>
        <v>2294.80287671233</v>
      </c>
      <c r="AB265">
        <f>Z265*Return!F269*100</f>
        <v>0</v>
      </c>
      <c r="AC265">
        <f>AA265*Return!G269*100</f>
        <v>0</v>
      </c>
      <c r="AD265">
        <f>SUM($AB$148:AB265)+SUM($AC$148:AC265)</f>
        <v>980.699999999999</v>
      </c>
      <c r="AE265">
        <f t="shared" si="58"/>
        <v>13404.3447945205</v>
      </c>
      <c r="AF265">
        <f t="shared" si="59"/>
        <v>1.02680868958904</v>
      </c>
      <c r="AG265" s="5">
        <f>(AF265/AF264-1)-中国_中债国债到期收益率_1年!H265%/252</f>
        <v>-0.00114182639333066</v>
      </c>
      <c r="AH265" s="5">
        <f>MIN((AF265-MAX($AF$151:AF265))/MAX($AF$151:AF265),0)</f>
        <v>-0.00326535953528033</v>
      </c>
    </row>
    <row r="266" spans="1:34">
      <c r="A266" s="7">
        <v>45097</v>
      </c>
      <c r="B266">
        <v>30</v>
      </c>
      <c r="C266">
        <v>30</v>
      </c>
      <c r="D266">
        <v>10</v>
      </c>
      <c r="E266">
        <v>5</v>
      </c>
      <c r="F266">
        <f t="shared" si="56"/>
        <v>75</v>
      </c>
      <c r="G266">
        <f t="shared" si="50"/>
        <v>30</v>
      </c>
      <c r="H266">
        <f t="shared" si="51"/>
        <v>150</v>
      </c>
      <c r="I266">
        <f t="shared" si="52"/>
        <v>90</v>
      </c>
      <c r="J266">
        <f t="shared" si="53"/>
        <v>80</v>
      </c>
      <c r="K266">
        <f t="shared" si="57"/>
        <v>350</v>
      </c>
      <c r="L266">
        <f>G266*Return!B266*100</f>
        <v>-60.3</v>
      </c>
      <c r="M266">
        <f>H266*Return!C266*100</f>
        <v>-726</v>
      </c>
      <c r="N266">
        <f>I266*Return!D266*100</f>
        <v>-225.000000000003</v>
      </c>
      <c r="O266">
        <f>J266*Return!E266*100</f>
        <v>-160</v>
      </c>
      <c r="P266">
        <f t="shared" si="54"/>
        <v>-1171.3</v>
      </c>
      <c r="Q266">
        <f>SUM($P$148:P266)</f>
        <v>7243.6</v>
      </c>
      <c r="R266">
        <f>B266*中国_中债国债到期收益率_1年!B265/365*100</f>
        <v>15.6312328767123</v>
      </c>
      <c r="S266">
        <f>C266*中国_中债国债到期收益率_1年!C265/365*100</f>
        <v>20.5701369863014</v>
      </c>
      <c r="T266">
        <f>D266*中国_中债国债到期收益率_1年!D265/365*100</f>
        <v>7.36328767123288</v>
      </c>
      <c r="U266">
        <f>E266*中国_中债国债到期收益率_1年!E265/365*100</f>
        <v>4.19438356164384</v>
      </c>
      <c r="V266">
        <f t="shared" si="55"/>
        <v>47.7590410958904</v>
      </c>
      <c r="W266">
        <f>SUM($V$148:V266)</f>
        <v>6351.30671232877</v>
      </c>
      <c r="X266">
        <f>MAX(F266-50,0)*中国_中债国债到期收益率_1年!H266*100/365</f>
        <v>14.3835616438356</v>
      </c>
      <c r="Y266">
        <f>SUM($X$148:X266)</f>
        <v>2309.18643835616</v>
      </c>
      <c r="AB266">
        <f>Z266*Return!F270*100</f>
        <v>0</v>
      </c>
      <c r="AC266">
        <f>AA266*Return!G270*100</f>
        <v>0</v>
      </c>
      <c r="AD266">
        <f>SUM($AB$148:AB266)+SUM($AC$148:AC266)</f>
        <v>980.699999999999</v>
      </c>
      <c r="AE266">
        <f t="shared" si="58"/>
        <v>12266.4202739726</v>
      </c>
      <c r="AF266">
        <f t="shared" si="59"/>
        <v>1.02453284054795</v>
      </c>
      <c r="AG266" s="5">
        <f>(AF266/AF265-1)-中国_中债国债到期收益率_1年!H266%/252</f>
        <v>-0.00229976280473444</v>
      </c>
      <c r="AH266" s="5">
        <f>MIN((AF266-MAX($AF$151:AF266))/MAX($AF$151:AF266),0)</f>
        <v>-0.00547455156757272</v>
      </c>
    </row>
    <row r="267" spans="1:34">
      <c r="A267" s="7">
        <v>45098</v>
      </c>
      <c r="B267">
        <v>30</v>
      </c>
      <c r="C267">
        <v>30</v>
      </c>
      <c r="D267">
        <v>10</v>
      </c>
      <c r="E267">
        <v>5</v>
      </c>
      <c r="F267">
        <f t="shared" si="56"/>
        <v>75</v>
      </c>
      <c r="G267">
        <f t="shared" si="50"/>
        <v>30</v>
      </c>
      <c r="H267">
        <f t="shared" si="51"/>
        <v>150</v>
      </c>
      <c r="I267">
        <f t="shared" si="52"/>
        <v>90</v>
      </c>
      <c r="J267">
        <f t="shared" si="53"/>
        <v>80</v>
      </c>
      <c r="K267">
        <f t="shared" si="57"/>
        <v>350</v>
      </c>
      <c r="L267">
        <f>G267*Return!B267*100</f>
        <v>-30</v>
      </c>
      <c r="M267">
        <f>H267*Return!C267*100</f>
        <v>323.999999999998</v>
      </c>
      <c r="N267">
        <f>I267*Return!D267*100</f>
        <v>112.500000000002</v>
      </c>
      <c r="O267">
        <f>J267*Return!E267*100</f>
        <v>140.000000000001</v>
      </c>
      <c r="P267">
        <f t="shared" si="54"/>
        <v>546.5</v>
      </c>
      <c r="Q267">
        <f>SUM($P$148:P267)</f>
        <v>7790.1</v>
      </c>
      <c r="R267">
        <f>B267*中国_中债国债到期收益率_1年!B266/365*100</f>
        <v>15.7134246575342</v>
      </c>
      <c r="S267">
        <f>C267*中国_中债国债到期收益率_1年!C266/365*100</f>
        <v>20.392602739726</v>
      </c>
      <c r="T267">
        <f>D267*中国_中债国债到期收益率_1年!D266/365*100</f>
        <v>7.32904109589041</v>
      </c>
      <c r="U267">
        <f>E267*中国_中债国债到期收益率_1年!E266/365*100</f>
        <v>4.17041095890411</v>
      </c>
      <c r="V267">
        <f t="shared" si="55"/>
        <v>47.6054794520548</v>
      </c>
      <c r="W267">
        <f>SUM($V$148:V267)</f>
        <v>6398.91219178082</v>
      </c>
      <c r="X267">
        <f>MAX(F267-50,0)*中国_中债国债到期收益率_1年!H267*100/365</f>
        <v>15.0684931506849</v>
      </c>
      <c r="Y267">
        <f>SUM($X$148:X267)</f>
        <v>2324.25493150685</v>
      </c>
      <c r="AB267">
        <f>Z267*Return!F271*100</f>
        <v>0</v>
      </c>
      <c r="AC267">
        <f>AA267*Return!G271*100</f>
        <v>0</v>
      </c>
      <c r="AD267">
        <f>SUM($AB$148:AB267)+SUM($AC$148:AC267)</f>
        <v>980.699999999999</v>
      </c>
      <c r="AE267">
        <f t="shared" si="58"/>
        <v>12845.457260274</v>
      </c>
      <c r="AF267">
        <f t="shared" si="59"/>
        <v>1.02569091452055</v>
      </c>
      <c r="AG267" s="5">
        <f>(AF267/AF266-1)-中国_中债国债到期收益率_1年!H267%/252</f>
        <v>0.00104304184998954</v>
      </c>
      <c r="AH267" s="5">
        <f>MIN((AF267-MAX($AF$151:AF267))/MAX($AF$151:AF267),0)</f>
        <v>-0.00435039625371801</v>
      </c>
    </row>
    <row r="268" spans="1:34">
      <c r="A268" s="7">
        <v>45102</v>
      </c>
      <c r="B268">
        <v>30</v>
      </c>
      <c r="C268">
        <v>30</v>
      </c>
      <c r="D268">
        <v>10</v>
      </c>
      <c r="E268">
        <v>5</v>
      </c>
      <c r="F268">
        <f t="shared" si="56"/>
        <v>75</v>
      </c>
      <c r="G268">
        <f t="shared" si="50"/>
        <v>30</v>
      </c>
      <c r="H268">
        <f t="shared" si="51"/>
        <v>150</v>
      </c>
      <c r="I268">
        <f t="shared" si="52"/>
        <v>90</v>
      </c>
      <c r="J268">
        <f t="shared" si="53"/>
        <v>80</v>
      </c>
      <c r="K268">
        <f t="shared" si="57"/>
        <v>350</v>
      </c>
      <c r="L268">
        <f>G268*Return!B268*100</f>
        <v>-12.8999999999999</v>
      </c>
      <c r="M268">
        <f>H268*Return!C268*100</f>
        <v>100.499999999999</v>
      </c>
      <c r="N268">
        <f>I268*Return!D268*100</f>
        <v>44.999999999999</v>
      </c>
      <c r="O268">
        <f>J268*Return!E268*100</f>
        <v>19.2000000000014</v>
      </c>
      <c r="P268">
        <f t="shared" si="54"/>
        <v>151.799999999999</v>
      </c>
      <c r="Q268">
        <f>SUM($P$148:P268)</f>
        <v>7941.9</v>
      </c>
      <c r="R268">
        <f>B268*中国_中债国债到期收益率_1年!B267/365*100</f>
        <v>15.7487671232877</v>
      </c>
      <c r="S268">
        <f>C268*中国_中债国债到期收益率_1年!C267/365*100</f>
        <v>20.3375342465753</v>
      </c>
      <c r="T268">
        <f>D268*中国_中债国债到期收益率_1年!D267/365*100</f>
        <v>7.31534246575342</v>
      </c>
      <c r="U268">
        <f>E268*中国_中债国债到期收益率_1年!E267/365*100</f>
        <v>4.16712328767123</v>
      </c>
      <c r="V268">
        <f t="shared" si="55"/>
        <v>47.5687671232877</v>
      </c>
      <c r="W268">
        <f>SUM($V$148:V268)</f>
        <v>6446.48095890411</v>
      </c>
      <c r="X268">
        <f>MAX(F268-50,0)*中国_中债国债到期收益率_1年!H268*100/365</f>
        <v>13.6986301369863</v>
      </c>
      <c r="Y268">
        <f>SUM($X$148:X268)</f>
        <v>2337.95356164383</v>
      </c>
      <c r="AB268">
        <f>Z268*Return!F272*100</f>
        <v>0</v>
      </c>
      <c r="AC268">
        <f>AA268*Return!G272*100</f>
        <v>0</v>
      </c>
      <c r="AD268">
        <f>SUM($AB$148:AB268)+SUM($AC$148:AC268)</f>
        <v>980.699999999999</v>
      </c>
      <c r="AE268">
        <f t="shared" si="58"/>
        <v>13031.1273972603</v>
      </c>
      <c r="AF268">
        <f t="shared" si="59"/>
        <v>1.02606225479452</v>
      </c>
      <c r="AG268" s="5">
        <f>(AF268/AF267-1)-中国_中债国债到期收益率_1年!H268%/252</f>
        <v>0.000282674077573697</v>
      </c>
      <c r="AH268" s="5">
        <f>MIN((AF268-MAX($AF$151:AF268))/MAX($AF$151:AF268),0)</f>
        <v>-0.00398993211057139</v>
      </c>
    </row>
    <row r="269" spans="1:34">
      <c r="A269" s="7">
        <v>45103</v>
      </c>
      <c r="B269">
        <v>30</v>
      </c>
      <c r="C269">
        <v>30</v>
      </c>
      <c r="D269">
        <v>10</v>
      </c>
      <c r="E269">
        <v>5</v>
      </c>
      <c r="F269">
        <f t="shared" si="56"/>
        <v>75</v>
      </c>
      <c r="G269">
        <f t="shared" si="50"/>
        <v>30</v>
      </c>
      <c r="H269">
        <f t="shared" si="51"/>
        <v>150</v>
      </c>
      <c r="I269">
        <f t="shared" si="52"/>
        <v>90</v>
      </c>
      <c r="J269">
        <f t="shared" si="53"/>
        <v>80</v>
      </c>
      <c r="K269">
        <f t="shared" si="57"/>
        <v>350</v>
      </c>
      <c r="L269">
        <f>G269*Return!B269*100</f>
        <v>12.3</v>
      </c>
      <c r="M269">
        <f>H269*Return!C269*100</f>
        <v>228.000000000002</v>
      </c>
      <c r="N269">
        <f>I269*Return!D269*100</f>
        <v>112.500000000002</v>
      </c>
      <c r="O269">
        <f>J269*Return!E269*100</f>
        <v>111.999999999998</v>
      </c>
      <c r="P269">
        <f t="shared" si="54"/>
        <v>464.800000000001</v>
      </c>
      <c r="Q269">
        <f>SUM($P$148:P269)</f>
        <v>8406.7</v>
      </c>
      <c r="R269">
        <f>B269*中国_中债国债到期收益率_1年!B268/365*100</f>
        <v>15.7150684931507</v>
      </c>
      <c r="S269">
        <f>C269*中国_中债国债到期收益率_1年!C268/365*100</f>
        <v>20.212602739726</v>
      </c>
      <c r="T269">
        <f>D269*中国_中债国债到期收益率_1年!D268/365*100</f>
        <v>7.28109589041096</v>
      </c>
      <c r="U269">
        <f>E269*中国_中债国债到期收益率_1年!E268/365*100</f>
        <v>4.14794520547945</v>
      </c>
      <c r="V269">
        <f t="shared" si="55"/>
        <v>47.3567123287671</v>
      </c>
      <c r="W269">
        <f>SUM($V$148:V269)</f>
        <v>6493.83767123288</v>
      </c>
      <c r="X269">
        <f>MAX(F269-50,0)*中国_中债国债到期收益率_1年!H269*100/365</f>
        <v>16.0958904109589</v>
      </c>
      <c r="Y269">
        <f>SUM($X$148:X269)</f>
        <v>2354.04945205479</v>
      </c>
      <c r="AB269">
        <f>Z269*Return!F273*100</f>
        <v>0</v>
      </c>
      <c r="AC269">
        <f>AA269*Return!G273*100</f>
        <v>0</v>
      </c>
      <c r="AD269">
        <f>SUM($AB$148:AB269)+SUM($AC$148:AC269)</f>
        <v>980.699999999999</v>
      </c>
      <c r="AE269">
        <f t="shared" si="58"/>
        <v>13527.1882191781</v>
      </c>
      <c r="AF269">
        <f t="shared" si="59"/>
        <v>1.02705437643836</v>
      </c>
      <c r="AG269" s="5">
        <f>(AF269/AF268-1)-中国_中债国债到期收益率_1年!H269%/252</f>
        <v>0.000873667521353118</v>
      </c>
      <c r="AH269" s="5">
        <f>MIN((AF269-MAX($AF$151:AF269))/MAX($AF$151:AF269),0)</f>
        <v>-0.00302686857206406</v>
      </c>
    </row>
    <row r="270" spans="1:34">
      <c r="A270" s="7">
        <v>45104</v>
      </c>
      <c r="B270">
        <v>30</v>
      </c>
      <c r="C270">
        <v>30</v>
      </c>
      <c r="D270">
        <v>10</v>
      </c>
      <c r="E270">
        <v>5</v>
      </c>
      <c r="F270">
        <f t="shared" si="56"/>
        <v>75</v>
      </c>
      <c r="G270">
        <f t="shared" si="50"/>
        <v>30</v>
      </c>
      <c r="H270">
        <f t="shared" si="51"/>
        <v>150</v>
      </c>
      <c r="I270">
        <f t="shared" si="52"/>
        <v>90</v>
      </c>
      <c r="J270">
        <f t="shared" si="53"/>
        <v>80</v>
      </c>
      <c r="K270">
        <f t="shared" si="57"/>
        <v>350</v>
      </c>
      <c r="L270">
        <f>G270*Return!B270*100</f>
        <v>0</v>
      </c>
      <c r="M270">
        <f>H270*Return!C270*100</f>
        <v>-196.500000000002</v>
      </c>
      <c r="N270">
        <f>I270*Return!D270*100</f>
        <v>-90.9</v>
      </c>
      <c r="O270">
        <f>J270*Return!E270*100</f>
        <v>-52.8000000000013</v>
      </c>
      <c r="P270">
        <f t="shared" si="54"/>
        <v>-340.200000000003</v>
      </c>
      <c r="Q270">
        <f>SUM($P$148:P270)</f>
        <v>8066.5</v>
      </c>
      <c r="R270">
        <f>B270*中国_中债国债到期收益率_1年!B269/365*100</f>
        <v>15.7150684931507</v>
      </c>
      <c r="S270">
        <f>C270*中国_中债国债到期收益率_1年!C269/365*100</f>
        <v>20.3202739726027</v>
      </c>
      <c r="T270">
        <f>D270*中国_中债国债到期收益率_1年!D269/365*100</f>
        <v>7.30876712328767</v>
      </c>
      <c r="U270">
        <f>E270*中国_中债国债到期收益率_1年!E269/365*100</f>
        <v>4.15698630136986</v>
      </c>
      <c r="V270">
        <f t="shared" si="55"/>
        <v>47.501095890411</v>
      </c>
      <c r="W270">
        <f>SUM($V$148:V270)</f>
        <v>6541.33876712329</v>
      </c>
      <c r="X270">
        <f>MAX(F270-50,0)*中国_中债国债到期收益率_1年!H270*100/365</f>
        <v>19.1780821917808</v>
      </c>
      <c r="Y270">
        <f>SUM($X$148:X270)</f>
        <v>2373.22753424657</v>
      </c>
      <c r="AB270">
        <f>Z270*Return!F274*100</f>
        <v>0</v>
      </c>
      <c r="AC270">
        <f>AA270*Return!G274*100</f>
        <v>0</v>
      </c>
      <c r="AD270">
        <f>SUM($AB$148:AB270)+SUM($AC$148:AC270)</f>
        <v>980.699999999999</v>
      </c>
      <c r="AE270">
        <f t="shared" si="58"/>
        <v>13215.3112328767</v>
      </c>
      <c r="AF270">
        <f t="shared" si="59"/>
        <v>1.02643062246575</v>
      </c>
      <c r="AG270" s="5">
        <f>(AF270/AF269-1)-中国_中债国债到期收益率_1年!H270%/252</f>
        <v>-0.00071843433265844</v>
      </c>
      <c r="AH270" s="5">
        <f>MIN((AF270-MAX($AF$151:AF270))/MAX($AF$151:AF270),0)</f>
        <v>-0.00363235350603901</v>
      </c>
    </row>
    <row r="271" spans="1:34">
      <c r="A271" s="7">
        <v>45105</v>
      </c>
      <c r="B271">
        <v>30</v>
      </c>
      <c r="C271">
        <v>30</v>
      </c>
      <c r="D271">
        <v>10</v>
      </c>
      <c r="E271">
        <v>5</v>
      </c>
      <c r="F271">
        <f t="shared" si="56"/>
        <v>75</v>
      </c>
      <c r="G271">
        <f t="shared" si="50"/>
        <v>30</v>
      </c>
      <c r="H271">
        <f t="shared" si="51"/>
        <v>150</v>
      </c>
      <c r="I271">
        <f t="shared" si="52"/>
        <v>90</v>
      </c>
      <c r="J271">
        <f t="shared" si="53"/>
        <v>80</v>
      </c>
      <c r="K271">
        <f t="shared" si="57"/>
        <v>350</v>
      </c>
      <c r="L271">
        <f>G271*Return!B271*100</f>
        <v>-120</v>
      </c>
      <c r="M271">
        <f>H271*Return!C271*100</f>
        <v>-74.9999999999984</v>
      </c>
      <c r="N271">
        <f>I271*Return!D271*100</f>
        <v>0.899999999997902</v>
      </c>
      <c r="O271">
        <f>J271*Return!E271*100</f>
        <v>40.8000000000008</v>
      </c>
      <c r="P271">
        <f t="shared" si="54"/>
        <v>-153.3</v>
      </c>
      <c r="Q271">
        <f>SUM($P$148:P271)</f>
        <v>7913.2</v>
      </c>
      <c r="R271">
        <f>B271*中国_中债国债到期收益率_1年!B270/365*100</f>
        <v>16.0438356164384</v>
      </c>
      <c r="S271">
        <f>C271*中国_中债国债到期收益率_1年!C270/365*100</f>
        <v>20.3613698630137</v>
      </c>
      <c r="T271">
        <f>D271*中国_中债国债到期收益率_1年!D270/365*100</f>
        <v>7.30849315068493</v>
      </c>
      <c r="U271">
        <f>E271*中国_中债国债到期收益率_1年!E270/365*100</f>
        <v>4.15</v>
      </c>
      <c r="V271">
        <f t="shared" si="55"/>
        <v>47.863698630137</v>
      </c>
      <c r="W271">
        <f>SUM($V$148:V271)</f>
        <v>6589.20246575342</v>
      </c>
      <c r="X271">
        <f>MAX(F271-50,0)*中国_中债国债到期收益率_1年!H271*100/365</f>
        <v>19.5205479452055</v>
      </c>
      <c r="Y271">
        <f>SUM($X$148:X271)</f>
        <v>2392.74808219178</v>
      </c>
      <c r="AB271">
        <f>Z271*Return!F275*100</f>
        <v>0</v>
      </c>
      <c r="AC271">
        <f>AA271*Return!G275*100</f>
        <v>0</v>
      </c>
      <c r="AD271">
        <f>SUM($AB$148:AB271)+SUM($AC$148:AC271)</f>
        <v>980.699999999999</v>
      </c>
      <c r="AE271">
        <f t="shared" si="58"/>
        <v>13090.3543835616</v>
      </c>
      <c r="AF271">
        <f t="shared" si="59"/>
        <v>1.02618070876712</v>
      </c>
      <c r="AG271" s="5">
        <f>(AF271/AF270-1)-中国_中债国债到期收益率_1年!H271%/252</f>
        <v>-0.000356573650722523</v>
      </c>
      <c r="AH271" s="5">
        <f>MIN((AF271-MAX($AF$151:AF271))/MAX($AF$151:AF271),0)</f>
        <v>-0.00387494751900058</v>
      </c>
    </row>
    <row r="272" spans="1:34">
      <c r="A272" s="7">
        <v>45106</v>
      </c>
      <c r="B272">
        <v>30</v>
      </c>
      <c r="C272">
        <v>30</v>
      </c>
      <c r="D272">
        <v>10</v>
      </c>
      <c r="E272">
        <v>5</v>
      </c>
      <c r="F272">
        <f t="shared" si="56"/>
        <v>75</v>
      </c>
      <c r="G272">
        <f t="shared" si="50"/>
        <v>30</v>
      </c>
      <c r="H272">
        <f t="shared" si="51"/>
        <v>150</v>
      </c>
      <c r="I272">
        <f t="shared" si="52"/>
        <v>90</v>
      </c>
      <c r="J272">
        <f t="shared" si="53"/>
        <v>80</v>
      </c>
      <c r="K272">
        <f t="shared" si="57"/>
        <v>350</v>
      </c>
      <c r="L272">
        <f>G272*Return!B272*100</f>
        <v>30</v>
      </c>
      <c r="M272">
        <f>H272*Return!C272*100</f>
        <v>169.499999999998</v>
      </c>
      <c r="N272">
        <f>I272*Return!D272*100</f>
        <v>22.5000000000035</v>
      </c>
      <c r="O272">
        <f>J272*Return!E272*100</f>
        <v>19.2000000000014</v>
      </c>
      <c r="P272">
        <f t="shared" si="54"/>
        <v>241.200000000003</v>
      </c>
      <c r="Q272">
        <f>SUM($P$148:P272)</f>
        <v>8154.4</v>
      </c>
      <c r="R272">
        <f>B272*中国_中债国债到期收益率_1年!B271/365*100</f>
        <v>15.9616438356164</v>
      </c>
      <c r="S272">
        <f>C272*中国_中债国债到期收益率_1年!C271/365*100</f>
        <v>20.2684931506849</v>
      </c>
      <c r="T272">
        <f>D272*中国_中债国债到期收益率_1年!D271/365*100</f>
        <v>7.30164383561644</v>
      </c>
      <c r="U272">
        <f>E272*中国_中债国债到期收益率_1年!E271/365*100</f>
        <v>4.14671232876712</v>
      </c>
      <c r="V272">
        <f t="shared" si="55"/>
        <v>47.6784931506849</v>
      </c>
      <c r="W272">
        <f>SUM($V$148:V272)</f>
        <v>6636.88095890411</v>
      </c>
      <c r="X272">
        <f>MAX(F272-50,0)*中国_中债国债到期收益率_1年!H272*100/365</f>
        <v>19.8630136986301</v>
      </c>
      <c r="Y272">
        <f>SUM($X$148:X272)</f>
        <v>2412.61109589041</v>
      </c>
      <c r="AB272">
        <f>Z272*Return!F276*100</f>
        <v>0</v>
      </c>
      <c r="AC272">
        <f>AA272*Return!G276*100</f>
        <v>0</v>
      </c>
      <c r="AD272">
        <f>SUM($AB$148:AB272)+SUM($AC$148:AC272)</f>
        <v>980.699999999999</v>
      </c>
      <c r="AE272">
        <f t="shared" si="58"/>
        <v>13359.3698630137</v>
      </c>
      <c r="AF272">
        <f t="shared" si="59"/>
        <v>1.02671873972603</v>
      </c>
      <c r="AG272" s="5">
        <f>(AF272/AF271-1)-中国_中债国债到期收益率_1年!H272%/252</f>
        <v>0.000409224935622574</v>
      </c>
      <c r="AH272" s="5">
        <f>MIN((AF272-MAX($AF$151:AF272))/MAX($AF$151:AF272),0)</f>
        <v>-0.00335267486994778</v>
      </c>
    </row>
    <row r="273" spans="1:34">
      <c r="A273" s="7">
        <v>45107</v>
      </c>
      <c r="B273">
        <v>30</v>
      </c>
      <c r="C273">
        <v>30</v>
      </c>
      <c r="D273">
        <v>10</v>
      </c>
      <c r="E273">
        <v>5</v>
      </c>
      <c r="F273">
        <f t="shared" si="56"/>
        <v>75</v>
      </c>
      <c r="G273">
        <f t="shared" si="50"/>
        <v>30</v>
      </c>
      <c r="H273">
        <f t="shared" si="51"/>
        <v>150</v>
      </c>
      <c r="I273">
        <f t="shared" si="52"/>
        <v>90</v>
      </c>
      <c r="J273">
        <f t="shared" si="53"/>
        <v>80</v>
      </c>
      <c r="K273">
        <f t="shared" si="57"/>
        <v>350</v>
      </c>
      <c r="L273">
        <f>G273*Return!B273*100</f>
        <v>30</v>
      </c>
      <c r="M273">
        <f>H273*Return!C273*100</f>
        <v>135.000000000005</v>
      </c>
      <c r="N273">
        <f>I273*Return!D273*100</f>
        <v>112.499999999998</v>
      </c>
      <c r="O273">
        <f>J273*Return!E273*100</f>
        <v>79.9999999999983</v>
      </c>
      <c r="P273">
        <f t="shared" si="54"/>
        <v>357.500000000001</v>
      </c>
      <c r="Q273">
        <f>SUM($P$148:P273)</f>
        <v>8511.9</v>
      </c>
      <c r="R273">
        <f>B273*中国_中债国债到期收益率_1年!B272/365*100</f>
        <v>15.8794520547945</v>
      </c>
      <c r="S273">
        <f>C273*中国_中债国债到期收益率_1年!C272/365*100</f>
        <v>20.1945205479452</v>
      </c>
      <c r="T273">
        <f>D273*中国_中债国债到期收益率_1年!D272/365*100</f>
        <v>7.26739726027397</v>
      </c>
      <c r="U273">
        <f>E273*中国_中债国债到期收益率_1年!E272/365*100</f>
        <v>4.13301369863014</v>
      </c>
      <c r="V273">
        <f t="shared" si="55"/>
        <v>47.4743835616438</v>
      </c>
      <c r="W273">
        <f>SUM($V$148:V273)</f>
        <v>6684.35534246575</v>
      </c>
      <c r="X273">
        <f>MAX(F273-50,0)*中国_中债国债到期收益率_1年!H273*100/365</f>
        <v>17.8082191780822</v>
      </c>
      <c r="Y273">
        <f>SUM($X$148:X273)</f>
        <v>2430.41931506849</v>
      </c>
      <c r="AB273">
        <f>Z273*Return!F277*100</f>
        <v>0</v>
      </c>
      <c r="AC273">
        <f>AA273*Return!G277*100</f>
        <v>0</v>
      </c>
      <c r="AD273">
        <f>SUM($AB$148:AB273)+SUM($AC$148:AC273)</f>
        <v>980.699999999999</v>
      </c>
      <c r="AE273">
        <f t="shared" si="58"/>
        <v>13746.5360273973</v>
      </c>
      <c r="AF273">
        <f t="shared" si="59"/>
        <v>1.02749307205479</v>
      </c>
      <c r="AG273" s="5">
        <f>(AF273/AF272-1)-中国_中债国债到期收益率_1年!H273%/252</f>
        <v>0.000651006945098178</v>
      </c>
      <c r="AH273" s="5">
        <f>MIN((AF273-MAX($AF$151:AF273))/MAX($AF$151:AF273),0)</f>
        <v>-0.0026010218471993</v>
      </c>
    </row>
    <row r="274" spans="1:34">
      <c r="A274" s="7">
        <v>45110</v>
      </c>
      <c r="B274">
        <v>30</v>
      </c>
      <c r="C274">
        <v>30</v>
      </c>
      <c r="D274">
        <v>10</v>
      </c>
      <c r="E274">
        <v>5</v>
      </c>
      <c r="F274">
        <f t="shared" si="56"/>
        <v>75</v>
      </c>
      <c r="G274">
        <f t="shared" si="50"/>
        <v>30</v>
      </c>
      <c r="H274">
        <f t="shared" si="51"/>
        <v>150</v>
      </c>
      <c r="I274">
        <f t="shared" si="52"/>
        <v>90</v>
      </c>
      <c r="J274">
        <f t="shared" si="53"/>
        <v>80</v>
      </c>
      <c r="K274">
        <f t="shared" si="57"/>
        <v>350</v>
      </c>
      <c r="L274">
        <f>G274*Return!B274*100</f>
        <v>179.1</v>
      </c>
      <c r="M274">
        <f>H274*Return!C274*100</f>
        <v>484.499999999997</v>
      </c>
      <c r="N274">
        <f>I274*Return!D274*100</f>
        <v>157.500000000001</v>
      </c>
      <c r="O274">
        <f>J274*Return!E274*100</f>
        <v>79.2000000000002</v>
      </c>
      <c r="P274">
        <f t="shared" si="54"/>
        <v>900.299999999997</v>
      </c>
      <c r="Q274">
        <f>SUM($P$148:P274)</f>
        <v>9412.2</v>
      </c>
      <c r="R274">
        <f>B274*中国_中债国债到期收益率_1年!B273/365*100</f>
        <v>15.3887671232877</v>
      </c>
      <c r="S274">
        <f>C274*中国_中债国债到期收益率_1年!C273/365*100</f>
        <v>19.9290410958904</v>
      </c>
      <c r="T274">
        <f>D274*中国_中债国债到期收益率_1年!D273/365*100</f>
        <v>7.21945205479452</v>
      </c>
      <c r="U274">
        <f>E274*中国_中债国债到期收益率_1年!E273/365*100</f>
        <v>4.11945205479452</v>
      </c>
      <c r="V274">
        <f t="shared" si="55"/>
        <v>46.6567123287671</v>
      </c>
      <c r="W274">
        <f>SUM($V$148:V274)</f>
        <v>6731.01205479452</v>
      </c>
      <c r="X274">
        <f>MAX(F274-50,0)*中国_中债国债到期收益率_1年!H274*100/365</f>
        <v>13.6986301369863</v>
      </c>
      <c r="Y274">
        <f>SUM($X$148:X274)</f>
        <v>2444.11794520548</v>
      </c>
      <c r="AB274">
        <f>Z274*Return!F278*100</f>
        <v>0</v>
      </c>
      <c r="AC274">
        <f>AA274*Return!G278*100</f>
        <v>0</v>
      </c>
      <c r="AD274">
        <f>SUM($AB$148:AB274)+SUM($AC$148:AC274)</f>
        <v>980.699999999999</v>
      </c>
      <c r="AE274">
        <f t="shared" si="58"/>
        <v>14679.794109589</v>
      </c>
      <c r="AF274">
        <f t="shared" si="59"/>
        <v>1.02935958821918</v>
      </c>
      <c r="AG274" s="5">
        <f>(AF274/AF273-1)-中国_中债国债到期收益率_1年!H274%/252</f>
        <v>0.00173720791285064</v>
      </c>
      <c r="AH274" s="5">
        <f>MIN((AF274-MAX($AF$151:AF274))/MAX($AF$151:AF274),0)</f>
        <v>-0.000789173801023264</v>
      </c>
    </row>
    <row r="275" spans="1:34">
      <c r="A275" s="7">
        <v>45111</v>
      </c>
      <c r="B275">
        <v>30</v>
      </c>
      <c r="C275">
        <v>30</v>
      </c>
      <c r="D275">
        <v>10</v>
      </c>
      <c r="E275">
        <v>5</v>
      </c>
      <c r="F275">
        <f t="shared" si="56"/>
        <v>75</v>
      </c>
      <c r="G275">
        <f t="shared" si="50"/>
        <v>30</v>
      </c>
      <c r="H275">
        <f t="shared" si="51"/>
        <v>150</v>
      </c>
      <c r="I275">
        <f t="shared" si="52"/>
        <v>90</v>
      </c>
      <c r="J275">
        <f t="shared" si="53"/>
        <v>80</v>
      </c>
      <c r="K275">
        <f t="shared" si="57"/>
        <v>350</v>
      </c>
      <c r="L275">
        <f>G275*Return!B275*100</f>
        <v>89.4000000000001</v>
      </c>
      <c r="M275">
        <f>H275*Return!C275*100</f>
        <v>-128.999999999999</v>
      </c>
      <c r="N275">
        <f>I275*Return!D275*100</f>
        <v>-45.9000000000009</v>
      </c>
      <c r="O275">
        <f>J275*Return!E275*100</f>
        <v>-48.8</v>
      </c>
      <c r="P275">
        <f t="shared" si="54"/>
        <v>-134.3</v>
      </c>
      <c r="Q275">
        <f>SUM($P$148:P275)</f>
        <v>9277.9</v>
      </c>
      <c r="R275">
        <f>B275*中国_中债国债到期收益率_1年!B274/365*100</f>
        <v>15.1438356164384</v>
      </c>
      <c r="S275">
        <f>C275*中国_中债国债到期收益率_1年!C274/365*100</f>
        <v>19.9997260273973</v>
      </c>
      <c r="T275">
        <f>D275*中国_中债国债到期收益率_1年!D274/365*100</f>
        <v>7.23342465753425</v>
      </c>
      <c r="U275">
        <f>E275*中国_中债国债到期收益率_1年!E274/365*100</f>
        <v>4.12780821917808</v>
      </c>
      <c r="V275">
        <f t="shared" si="55"/>
        <v>46.5047945205479</v>
      </c>
      <c r="W275">
        <f>SUM($V$148:V275)</f>
        <v>6777.51684931507</v>
      </c>
      <c r="X275">
        <f>MAX(F275-50,0)*中国_中债国债到期收益率_1年!H275*100/365</f>
        <v>13.6986301369863</v>
      </c>
      <c r="Y275">
        <f>SUM($X$148:X275)</f>
        <v>2457.81657534246</v>
      </c>
      <c r="AB275">
        <f>Z275*Return!F279*100</f>
        <v>0</v>
      </c>
      <c r="AC275">
        <f>AA275*Return!G279*100</f>
        <v>0</v>
      </c>
      <c r="AD275">
        <f>SUM($AB$148:AB275)+SUM($AC$148:AC275)</f>
        <v>980.699999999999</v>
      </c>
      <c r="AE275">
        <f t="shared" si="58"/>
        <v>14578.3002739726</v>
      </c>
      <c r="AF275">
        <f t="shared" si="59"/>
        <v>1.02915660054795</v>
      </c>
      <c r="AG275" s="5">
        <f>(AF275/AF274-1)-中国_中债国债到期收益率_1年!H275%/252</f>
        <v>-0.000276563097974148</v>
      </c>
      <c r="AH275" s="5">
        <f>MIN((AF275-MAX($AF$151:AF275))/MAX($AF$151:AF275),0)</f>
        <v>-0.000986216196122422</v>
      </c>
    </row>
    <row r="276" spans="1:34">
      <c r="A276" s="7">
        <v>45112</v>
      </c>
      <c r="B276">
        <v>30</v>
      </c>
      <c r="C276">
        <v>30</v>
      </c>
      <c r="D276">
        <v>10</v>
      </c>
      <c r="E276">
        <v>5</v>
      </c>
      <c r="F276">
        <f t="shared" si="56"/>
        <v>75</v>
      </c>
      <c r="G276">
        <f t="shared" ref="G276:G339" si="60">B276</f>
        <v>30</v>
      </c>
      <c r="H276">
        <f t="shared" ref="H276:H339" si="61">5*C276</f>
        <v>150</v>
      </c>
      <c r="I276">
        <f t="shared" ref="I276:I339" si="62">9*D276</f>
        <v>90</v>
      </c>
      <c r="J276">
        <f t="shared" ref="J276:J339" si="63">16*E276</f>
        <v>80</v>
      </c>
      <c r="K276">
        <f t="shared" si="57"/>
        <v>350</v>
      </c>
      <c r="L276">
        <f>G276*Return!B276*100</f>
        <v>29.7000000000001</v>
      </c>
      <c r="M276">
        <f>H276*Return!C276*100</f>
        <v>-154.5</v>
      </c>
      <c r="N276">
        <f>I276*Return!D276*100</f>
        <v>-67.4999999999986</v>
      </c>
      <c r="O276">
        <f>J276*Return!E276*100</f>
        <v>-73.599999999999</v>
      </c>
      <c r="P276">
        <f t="shared" ref="P276:P339" si="64">SUM(L276:O276)</f>
        <v>-265.899999999997</v>
      </c>
      <c r="Q276">
        <f>SUM($P$148:P276)</f>
        <v>9012</v>
      </c>
      <c r="R276">
        <f>B276*中国_中债国债到期收益率_1年!B275/365*100</f>
        <v>15.0624657534247</v>
      </c>
      <c r="S276">
        <f>C276*中国_中债国债到期收益率_1年!C275/365*100</f>
        <v>20.0843835616438</v>
      </c>
      <c r="T276">
        <f>D276*中国_中债国债到期收益率_1年!D275/365*100</f>
        <v>7.25397260273973</v>
      </c>
      <c r="U276">
        <f>E276*中国_中债国债到期收益率_1年!E275/365*100</f>
        <v>4.14041095890411</v>
      </c>
      <c r="V276">
        <f t="shared" ref="V276:V339" si="65">SUM(R276:U276)</f>
        <v>46.5412328767123</v>
      </c>
      <c r="W276">
        <f>SUM($V$148:V276)</f>
        <v>6824.05808219178</v>
      </c>
      <c r="X276">
        <f>MAX(F276-50,0)*中国_中债国债到期收益率_1年!H276*100/365</f>
        <v>13.3561643835616</v>
      </c>
      <c r="Y276">
        <f>SUM($X$148:X276)</f>
        <v>2471.17273972603</v>
      </c>
      <c r="AB276">
        <f>Z276*Return!F280*100</f>
        <v>0</v>
      </c>
      <c r="AC276">
        <f>AA276*Return!G280*100</f>
        <v>0</v>
      </c>
      <c r="AD276">
        <f>SUM($AB$148:AB276)+SUM($AC$148:AC276)</f>
        <v>980.699999999999</v>
      </c>
      <c r="AE276">
        <f t="shared" si="58"/>
        <v>14345.5853424658</v>
      </c>
      <c r="AF276">
        <f t="shared" si="59"/>
        <v>1.02869117068493</v>
      </c>
      <c r="AG276" s="5">
        <f>(AF276/AF275-1)-中国_中债国债到期收益率_1年!H276%/252</f>
        <v>-0.000529624918717871</v>
      </c>
      <c r="AH276" s="5">
        <f>MIN((AF276-MAX($AF$151:AF276))/MAX($AF$151:AF276),0)</f>
        <v>-0.00143801415213509</v>
      </c>
    </row>
    <row r="277" spans="1:34">
      <c r="A277" s="7">
        <v>45113</v>
      </c>
      <c r="B277">
        <v>30</v>
      </c>
      <c r="C277">
        <v>30</v>
      </c>
      <c r="D277">
        <v>10</v>
      </c>
      <c r="E277">
        <v>5</v>
      </c>
      <c r="F277">
        <f t="shared" si="56"/>
        <v>75</v>
      </c>
      <c r="G277">
        <f t="shared" si="60"/>
        <v>30</v>
      </c>
      <c r="H277">
        <f t="shared" si="61"/>
        <v>150</v>
      </c>
      <c r="I277">
        <f t="shared" si="62"/>
        <v>90</v>
      </c>
      <c r="J277">
        <f t="shared" si="63"/>
        <v>80</v>
      </c>
      <c r="K277">
        <f t="shared" si="57"/>
        <v>350</v>
      </c>
      <c r="L277">
        <f>G277*Return!B277*100</f>
        <v>29.7000000000001</v>
      </c>
      <c r="M277">
        <f>H277*Return!C277*100</f>
        <v>154.5</v>
      </c>
      <c r="N277">
        <f>I277*Return!D277*100</f>
        <v>67.4999999999986</v>
      </c>
      <c r="O277">
        <f>J277*Return!E277*100</f>
        <v>39.200000000001</v>
      </c>
      <c r="P277">
        <f t="shared" si="64"/>
        <v>290.899999999999</v>
      </c>
      <c r="Q277">
        <f>SUM($P$148:P277)</f>
        <v>9302.9</v>
      </c>
      <c r="R277">
        <f>B277*中国_中债国债到期收益率_1年!B276/365*100</f>
        <v>14.981095890411</v>
      </c>
      <c r="S277">
        <f>C277*中国_中债国债到期收益率_1年!C276/365*100</f>
        <v>19.9997260273973</v>
      </c>
      <c r="T277">
        <f>D277*中国_中债国债到期收益率_1年!D276/365*100</f>
        <v>7.23342465753425</v>
      </c>
      <c r="U277">
        <f>E277*中国_中债国债到期收益率_1年!E276/365*100</f>
        <v>4.13369863013699</v>
      </c>
      <c r="V277">
        <f t="shared" si="65"/>
        <v>46.3479452054794</v>
      </c>
      <c r="W277">
        <f>SUM($V$148:V277)</f>
        <v>6870.40602739726</v>
      </c>
      <c r="X277">
        <f>MAX(F277-50,0)*中国_中债国债到期收益率_1年!H277*100/365</f>
        <v>13.013698630137</v>
      </c>
      <c r="Y277">
        <f>SUM($X$148:X277)</f>
        <v>2484.18643835616</v>
      </c>
      <c r="AB277">
        <f>Z277*Return!F281*100</f>
        <v>0</v>
      </c>
      <c r="AC277">
        <f>AA277*Return!G281*100</f>
        <v>0</v>
      </c>
      <c r="AD277">
        <f>SUM($AB$148:AB277)+SUM($AC$148:AC277)</f>
        <v>980.699999999999</v>
      </c>
      <c r="AE277">
        <f t="shared" si="58"/>
        <v>14669.8195890411</v>
      </c>
      <c r="AF277">
        <f t="shared" si="59"/>
        <v>1.02933963917808</v>
      </c>
      <c r="AG277" s="5">
        <f>(AF277/AF276-1)-中国_中债国债到期收益率_1年!H277%/252</f>
        <v>0.000554985267529049</v>
      </c>
      <c r="AH277" s="5">
        <f>MIN((AF277-MAX($AF$151:AF277))/MAX($AF$151:AF277),0)</f>
        <v>-0.000808538557580126</v>
      </c>
    </row>
    <row r="278" spans="1:34">
      <c r="A278" s="7">
        <v>45114</v>
      </c>
      <c r="B278">
        <v>30</v>
      </c>
      <c r="C278">
        <v>30</v>
      </c>
      <c r="D278">
        <v>10</v>
      </c>
      <c r="E278">
        <v>5</v>
      </c>
      <c r="F278">
        <f t="shared" si="56"/>
        <v>75</v>
      </c>
      <c r="G278">
        <f t="shared" si="60"/>
        <v>30</v>
      </c>
      <c r="H278">
        <f t="shared" si="61"/>
        <v>150</v>
      </c>
      <c r="I278">
        <f t="shared" si="62"/>
        <v>90</v>
      </c>
      <c r="J278">
        <f t="shared" si="63"/>
        <v>80</v>
      </c>
      <c r="K278">
        <f t="shared" si="57"/>
        <v>350</v>
      </c>
      <c r="L278">
        <f>G278*Return!B278*100</f>
        <v>0</v>
      </c>
      <c r="M278">
        <f>H278*Return!C278*100</f>
        <v>-2.99999999999967</v>
      </c>
      <c r="N278">
        <f>I278*Return!D278*100</f>
        <v>8.99999999999901</v>
      </c>
      <c r="O278">
        <f>J278*Return!E278*100</f>
        <v>-3.19999999999965</v>
      </c>
      <c r="P278">
        <f t="shared" si="64"/>
        <v>2.79999999999969</v>
      </c>
      <c r="Q278">
        <f>SUM($P$148:P278)</f>
        <v>9305.7</v>
      </c>
      <c r="R278">
        <f>B278*中国_中债国债到期收益率_1年!B277/365*100</f>
        <v>14.981095890411</v>
      </c>
      <c r="S278">
        <f>C278*中国_中债国债到期收益率_1年!C277/365*100</f>
        <v>20.0013698630137</v>
      </c>
      <c r="T278">
        <f>D278*中国_中债国债到期收益率_1年!D277/365*100</f>
        <v>7.23068493150685</v>
      </c>
      <c r="U278">
        <f>E278*中国_中债国债到期收益率_1年!E277/365*100</f>
        <v>4.13424657534247</v>
      </c>
      <c r="V278">
        <f t="shared" si="65"/>
        <v>46.347397260274</v>
      </c>
      <c r="W278">
        <f>SUM($V$148:V278)</f>
        <v>6916.75342465753</v>
      </c>
      <c r="X278">
        <f>MAX(F278-50,0)*中国_中债国债到期收益率_1年!H278*100/365</f>
        <v>12.8767123287671</v>
      </c>
      <c r="Y278">
        <f>SUM($X$148:X278)</f>
        <v>2497.06315068493</v>
      </c>
      <c r="AB278">
        <f>Z278*Return!F282*100</f>
        <v>0</v>
      </c>
      <c r="AC278">
        <f>AA278*Return!G282*100</f>
        <v>0</v>
      </c>
      <c r="AD278">
        <f>SUM($AB$148:AB278)+SUM($AC$148:AC278)</f>
        <v>980.699999999999</v>
      </c>
      <c r="AE278">
        <f t="shared" si="58"/>
        <v>14706.0902739726</v>
      </c>
      <c r="AF278">
        <f t="shared" si="59"/>
        <v>1.02941218054795</v>
      </c>
      <c r="AG278" s="5">
        <f>(AF278/AF277-1)-中国_中债国债到期收益率_1年!H278%/252</f>
        <v>-4.12947758221829e-6</v>
      </c>
      <c r="AH278" s="5">
        <f>MIN((AF278-MAX($AF$151:AF278))/MAX($AF$151:AF278),0)</f>
        <v>-0.000738121841260589</v>
      </c>
    </row>
    <row r="279" spans="1:34">
      <c r="A279" s="7">
        <v>45117</v>
      </c>
      <c r="B279">
        <v>30</v>
      </c>
      <c r="C279">
        <v>30</v>
      </c>
      <c r="D279">
        <v>10</v>
      </c>
      <c r="E279">
        <v>5</v>
      </c>
      <c r="F279">
        <f t="shared" si="56"/>
        <v>75</v>
      </c>
      <c r="G279">
        <f t="shared" si="60"/>
        <v>30</v>
      </c>
      <c r="H279">
        <f t="shared" si="61"/>
        <v>150</v>
      </c>
      <c r="I279">
        <f t="shared" si="62"/>
        <v>90</v>
      </c>
      <c r="J279">
        <f t="shared" si="63"/>
        <v>80</v>
      </c>
      <c r="K279">
        <f t="shared" si="57"/>
        <v>350</v>
      </c>
      <c r="L279">
        <f>G279*Return!B279*100</f>
        <v>-15.6000000000003</v>
      </c>
      <c r="M279">
        <f>H279*Return!C279*100</f>
        <v>60.0000000000001</v>
      </c>
      <c r="N279">
        <f>I279*Return!D279*100</f>
        <v>-9.89999999999691</v>
      </c>
      <c r="O279">
        <f>J279*Return!E279*100</f>
        <v>39.9999999999991</v>
      </c>
      <c r="P279">
        <f t="shared" si="64"/>
        <v>74.500000000002</v>
      </c>
      <c r="Q279">
        <f>SUM($P$148:P279)</f>
        <v>9380.2</v>
      </c>
      <c r="R279">
        <f>B279*中国_中债国债到期收益率_1年!B278/365*100</f>
        <v>15.0238356164384</v>
      </c>
      <c r="S279">
        <f>C279*中国_中债国债到期收益率_1年!C278/365*100</f>
        <v>19.9684931506849</v>
      </c>
      <c r="T279">
        <f>D279*中国_中债国债到期收益率_1年!D278/365*100</f>
        <v>7.23369863013699</v>
      </c>
      <c r="U279">
        <f>E279*中国_中债国债到期收益率_1年!E278/365*100</f>
        <v>4.12739726027397</v>
      </c>
      <c r="V279">
        <f t="shared" si="65"/>
        <v>46.3534246575342</v>
      </c>
      <c r="W279">
        <f>SUM($V$148:V279)</f>
        <v>6963.10684931507</v>
      </c>
      <c r="X279">
        <f>MAX(F279-50,0)*中国_中债国债到期收益率_1年!H279*100/365</f>
        <v>12.7397260273973</v>
      </c>
      <c r="Y279">
        <f>SUM($X$148:X279)</f>
        <v>2509.80287671233</v>
      </c>
      <c r="AB279">
        <f>Z279*Return!F283*100</f>
        <v>0</v>
      </c>
      <c r="AC279">
        <f>AA279*Return!G283*100</f>
        <v>0</v>
      </c>
      <c r="AD279">
        <f>SUM($AB$148:AB279)+SUM($AC$148:AC279)</f>
        <v>980.699999999999</v>
      </c>
      <c r="AE279">
        <f t="shared" si="58"/>
        <v>14814.2039726027</v>
      </c>
      <c r="AF279">
        <f t="shared" si="59"/>
        <v>1.02962840794521</v>
      </c>
      <c r="AG279" s="5">
        <f>(AF279/AF278-1)-中国_中债国债到期收益率_1年!H279%/252</f>
        <v>0.000136239862962969</v>
      </c>
      <c r="AH279" s="5">
        <f>MIN((AF279-MAX($AF$151:AF279))/MAX($AF$151:AF279),0)</f>
        <v>-0.000528227496528317</v>
      </c>
    </row>
    <row r="280" spans="1:34">
      <c r="A280" s="7">
        <v>45118</v>
      </c>
      <c r="B280">
        <v>30</v>
      </c>
      <c r="C280">
        <v>30</v>
      </c>
      <c r="D280">
        <v>10</v>
      </c>
      <c r="E280">
        <v>5</v>
      </c>
      <c r="F280">
        <f t="shared" si="56"/>
        <v>75</v>
      </c>
      <c r="G280">
        <f t="shared" si="60"/>
        <v>30</v>
      </c>
      <c r="H280">
        <f t="shared" si="61"/>
        <v>150</v>
      </c>
      <c r="I280">
        <f t="shared" si="62"/>
        <v>90</v>
      </c>
      <c r="J280">
        <f t="shared" si="63"/>
        <v>80</v>
      </c>
      <c r="K280">
        <f t="shared" si="57"/>
        <v>350</v>
      </c>
      <c r="L280">
        <f>G280*Return!B280*100</f>
        <v>0</v>
      </c>
      <c r="M280">
        <f>H280*Return!C280*100</f>
        <v>-149.999999999997</v>
      </c>
      <c r="N280">
        <f>I280*Return!D280*100</f>
        <v>0</v>
      </c>
      <c r="O280">
        <f>J280*Return!E280*100</f>
        <v>31.1999999999983</v>
      </c>
      <c r="P280">
        <f t="shared" si="64"/>
        <v>-118.799999999998</v>
      </c>
      <c r="Q280">
        <f>SUM($P$148:P280)</f>
        <v>9261.4</v>
      </c>
      <c r="R280">
        <f>B280*中国_中债国债到期收益率_1年!B279/365*100</f>
        <v>15.0238356164384</v>
      </c>
      <c r="S280">
        <f>C280*中国_中债国债到期收益率_1年!C279/365*100</f>
        <v>20.0506849315068</v>
      </c>
      <c r="T280">
        <f>D280*中国_中债国债到期收益率_1年!D279/365*100</f>
        <v>7.23369863013699</v>
      </c>
      <c r="U280">
        <f>E280*中国_中债国债到期收益率_1年!E279/365*100</f>
        <v>4.12205479452055</v>
      </c>
      <c r="V280">
        <f t="shared" si="65"/>
        <v>46.4302739726027</v>
      </c>
      <c r="W280">
        <f>SUM($V$148:V280)</f>
        <v>7009.53712328767</v>
      </c>
      <c r="X280">
        <f>MAX(F280-50,0)*中国_中债国债到期收益率_1年!H280*100/365</f>
        <v>13.013698630137</v>
      </c>
      <c r="Y280">
        <f>SUM($X$148:X280)</f>
        <v>2522.81657534246</v>
      </c>
      <c r="AB280">
        <f>Z280*Return!F284*100</f>
        <v>0</v>
      </c>
      <c r="AC280">
        <f>AA280*Return!G284*100</f>
        <v>0</v>
      </c>
      <c r="AD280">
        <f>SUM($AB$148:AB280)+SUM($AC$148:AC280)</f>
        <v>980.699999999999</v>
      </c>
      <c r="AE280">
        <f t="shared" si="58"/>
        <v>14728.8205479452</v>
      </c>
      <c r="AF280">
        <f t="shared" si="59"/>
        <v>1.02945764109589</v>
      </c>
      <c r="AG280" s="5">
        <f>(AF280/AF279-1)-中国_中债国债到期收益率_1年!H280%/252</f>
        <v>-0.000241249717563799</v>
      </c>
      <c r="AH280" s="5">
        <f>MIN((AF280-MAX($AF$151:AF280))/MAX($AF$151:AF280),0)</f>
        <v>-0.000693992780637223</v>
      </c>
    </row>
    <row r="281" spans="1:34">
      <c r="A281" s="7">
        <v>45119</v>
      </c>
      <c r="B281">
        <v>30</v>
      </c>
      <c r="C281">
        <v>30</v>
      </c>
      <c r="D281">
        <v>10</v>
      </c>
      <c r="E281">
        <v>5</v>
      </c>
      <c r="F281">
        <f t="shared" si="56"/>
        <v>75</v>
      </c>
      <c r="G281">
        <f t="shared" si="60"/>
        <v>30</v>
      </c>
      <c r="H281">
        <f t="shared" si="61"/>
        <v>150</v>
      </c>
      <c r="I281">
        <f t="shared" si="62"/>
        <v>90</v>
      </c>
      <c r="J281">
        <f t="shared" si="63"/>
        <v>80</v>
      </c>
      <c r="K281">
        <f t="shared" si="57"/>
        <v>350</v>
      </c>
      <c r="L281">
        <f>G281*Return!B281*100</f>
        <v>14.4000000000004</v>
      </c>
      <c r="M281">
        <f>H281*Return!C281*100</f>
        <v>77.9999999999981</v>
      </c>
      <c r="N281">
        <f>I281*Return!D281*100</f>
        <v>44.999999999999</v>
      </c>
      <c r="O281">
        <f>J281*Return!E281*100</f>
        <v>64.0000000000001</v>
      </c>
      <c r="P281">
        <f t="shared" si="64"/>
        <v>201.399999999998</v>
      </c>
      <c r="Q281">
        <f>SUM($P$148:P281)</f>
        <v>9462.8</v>
      </c>
      <c r="R281">
        <f>B281*中国_中债国债到期收益率_1年!B280/365*100</f>
        <v>14.9843835616438</v>
      </c>
      <c r="S281">
        <f>C281*中国_中债国债到期收益率_1年!C280/365*100</f>
        <v>20.0079452054795</v>
      </c>
      <c r="T281">
        <f>D281*中国_中债国债到期收益率_1年!D280/365*100</f>
        <v>7.22</v>
      </c>
      <c r="U281">
        <f>E281*中国_中债国债到期收益率_1年!E280/365*100</f>
        <v>4.11109589041096</v>
      </c>
      <c r="V281">
        <f t="shared" si="65"/>
        <v>46.3234246575342</v>
      </c>
      <c r="W281">
        <f>SUM($V$148:V281)</f>
        <v>7055.86054794521</v>
      </c>
      <c r="X281">
        <f>MAX(F281-50,0)*中国_中债国债到期收益率_1年!H281*100/365</f>
        <v>12.6712328767123</v>
      </c>
      <c r="Y281">
        <f>SUM($X$148:X281)</f>
        <v>2535.48780821918</v>
      </c>
      <c r="AB281">
        <f>Z281*Return!F285*100</f>
        <v>0</v>
      </c>
      <c r="AC281">
        <f>AA281*Return!G285*100</f>
        <v>0</v>
      </c>
      <c r="AD281">
        <f>SUM($AB$148:AB281)+SUM($AC$148:AC281)</f>
        <v>980.699999999999</v>
      </c>
      <c r="AE281">
        <f t="shared" si="58"/>
        <v>14963.872739726</v>
      </c>
      <c r="AF281">
        <f t="shared" si="59"/>
        <v>1.02992774547945</v>
      </c>
      <c r="AG281" s="5">
        <f>(AF281/AF280-1)-中国_中债国债到期收益率_1年!H281%/252</f>
        <v>0.000383239780324575</v>
      </c>
      <c r="AH281" s="5">
        <f>MIN((AF281-MAX($AF$151:AF281))/MAX($AF$151:AF281),0)</f>
        <v>-0.000237657215423377</v>
      </c>
    </row>
    <row r="282" spans="1:34">
      <c r="A282" s="7">
        <v>45120</v>
      </c>
      <c r="B282">
        <v>30</v>
      </c>
      <c r="C282">
        <v>30</v>
      </c>
      <c r="D282">
        <v>10</v>
      </c>
      <c r="E282">
        <v>5</v>
      </c>
      <c r="F282">
        <f t="shared" si="56"/>
        <v>75</v>
      </c>
      <c r="G282">
        <f t="shared" si="60"/>
        <v>30</v>
      </c>
      <c r="H282">
        <f t="shared" si="61"/>
        <v>150</v>
      </c>
      <c r="I282">
        <f t="shared" si="62"/>
        <v>90</v>
      </c>
      <c r="J282">
        <f t="shared" si="63"/>
        <v>80</v>
      </c>
      <c r="K282">
        <f t="shared" si="57"/>
        <v>350</v>
      </c>
      <c r="L282">
        <f>G282*Return!B282*100</f>
        <v>14.3999999999997</v>
      </c>
      <c r="M282">
        <f>H282*Return!C282*100</f>
        <v>-39.0000000000024</v>
      </c>
      <c r="N282">
        <f>I282*Return!D282*100</f>
        <v>-22.4999999999995</v>
      </c>
      <c r="O282">
        <f>J282*Return!E282*100</f>
        <v>0</v>
      </c>
      <c r="P282">
        <f t="shared" si="64"/>
        <v>-47.1000000000021</v>
      </c>
      <c r="Q282">
        <f>SUM($P$148:P282)</f>
        <v>9415.7</v>
      </c>
      <c r="R282">
        <f>B282*中国_中债国债到期收益率_1年!B281/365*100</f>
        <v>14.9449315068493</v>
      </c>
      <c r="S282">
        <f>C282*中国_中债国债到期收益率_1年!C281/365*100</f>
        <v>20.0293150684932</v>
      </c>
      <c r="T282">
        <f>D282*中国_中债国债到期收益率_1年!D281/365*100</f>
        <v>7.22684931506849</v>
      </c>
      <c r="U282">
        <f>E282*中国_中债国债到期收益率_1年!E281/365*100</f>
        <v>4.11109589041096</v>
      </c>
      <c r="V282">
        <f t="shared" si="65"/>
        <v>46.3121917808219</v>
      </c>
      <c r="W282">
        <f>SUM($V$148:V282)</f>
        <v>7102.17273972603</v>
      </c>
      <c r="X282">
        <f>MAX(F282-50,0)*中国_中债国债到期收益率_1年!H282*100/365</f>
        <v>12.6712328767123</v>
      </c>
      <c r="Y282">
        <f>SUM($X$148:X282)</f>
        <v>2548.15904109589</v>
      </c>
      <c r="AB282">
        <f>Z282*Return!F286*100</f>
        <v>0</v>
      </c>
      <c r="AC282">
        <f>AA282*Return!G286*100</f>
        <v>0</v>
      </c>
      <c r="AD282">
        <f>SUM($AB$148:AB282)+SUM($AC$148:AC282)</f>
        <v>980.699999999999</v>
      </c>
      <c r="AE282">
        <f t="shared" si="58"/>
        <v>14950.4136986301</v>
      </c>
      <c r="AF282">
        <f t="shared" si="59"/>
        <v>1.02990082739726</v>
      </c>
      <c r="AG282" s="5">
        <f>(AF282/AF281-1)-中国_中债国债到期收益率_1年!H282%/252</f>
        <v>-9.95485922264264e-5</v>
      </c>
      <c r="AH282" s="5">
        <f>MIN((AF282-MAX($AF$151:AF282))/MAX($AF$151:AF282),0)</f>
        <v>-0.00026378689785338</v>
      </c>
    </row>
    <row r="283" spans="1:34">
      <c r="A283" s="7">
        <v>45121</v>
      </c>
      <c r="B283">
        <v>30</v>
      </c>
      <c r="C283">
        <v>30</v>
      </c>
      <c r="D283">
        <v>10</v>
      </c>
      <c r="E283">
        <v>5</v>
      </c>
      <c r="F283">
        <f t="shared" si="56"/>
        <v>75</v>
      </c>
      <c r="G283">
        <f t="shared" si="60"/>
        <v>30</v>
      </c>
      <c r="H283">
        <f t="shared" si="61"/>
        <v>150</v>
      </c>
      <c r="I283">
        <f t="shared" si="62"/>
        <v>90</v>
      </c>
      <c r="J283">
        <f t="shared" si="63"/>
        <v>80</v>
      </c>
      <c r="K283">
        <f t="shared" si="57"/>
        <v>350</v>
      </c>
      <c r="L283">
        <f>G283*Return!B283*100</f>
        <v>-60.3</v>
      </c>
      <c r="M283">
        <f>H283*Return!C283*100</f>
        <v>-199.500000000001</v>
      </c>
      <c r="N283">
        <f>I283*Return!D283*100</f>
        <v>-31.5000000000025</v>
      </c>
      <c r="O283">
        <f>J283*Return!E283*100</f>
        <v>-58.3999999999989</v>
      </c>
      <c r="P283">
        <f t="shared" si="64"/>
        <v>-349.700000000003</v>
      </c>
      <c r="Q283">
        <f>SUM($P$148:P283)</f>
        <v>9065.99999999999</v>
      </c>
      <c r="R283">
        <f>B283*中国_中债国债到期收益率_1年!B282/365*100</f>
        <v>15.1101369863014</v>
      </c>
      <c r="S283">
        <f>C283*中国_中债国债到期收益率_1年!C282/365*100</f>
        <v>20.1386301369863</v>
      </c>
      <c r="T283">
        <f>D283*中国_中债国债到期收益率_1年!D282/365*100</f>
        <v>7.23643835616438</v>
      </c>
      <c r="U283">
        <f>E283*中国_中债国债到期收益率_1年!E282/365*100</f>
        <v>4.12109589041096</v>
      </c>
      <c r="V283">
        <f t="shared" si="65"/>
        <v>46.606301369863</v>
      </c>
      <c r="W283">
        <f>SUM($V$148:V283)</f>
        <v>7148.77904109589</v>
      </c>
      <c r="X283">
        <f>MAX(F283-50,0)*中国_中债国债到期收益率_1年!H283*100/365</f>
        <v>13.013698630137</v>
      </c>
      <c r="Y283">
        <f>SUM($X$148:X283)</f>
        <v>2561.17273972602</v>
      </c>
      <c r="AB283">
        <f>Z283*Return!F287*100</f>
        <v>0</v>
      </c>
      <c r="AC283">
        <f>AA283*Return!G287*100</f>
        <v>0</v>
      </c>
      <c r="AD283">
        <f>SUM($AB$148:AB283)+SUM($AC$148:AC283)</f>
        <v>980.699999999999</v>
      </c>
      <c r="AE283">
        <f t="shared" si="58"/>
        <v>14634.3063013699</v>
      </c>
      <c r="AF283">
        <f t="shared" si="59"/>
        <v>1.02926861260274</v>
      </c>
      <c r="AG283" s="5">
        <f>(AF283/AF282-1)-中国_中债国债到期收益率_1年!H283%/252</f>
        <v>-0.00068925670170962</v>
      </c>
      <c r="AH283" s="5">
        <f>MIN((AF283-MAX($AF$151:AF283))/MAX($AF$151:AF283),0)</f>
        <v>-0.000877484845973737</v>
      </c>
    </row>
    <row r="284" spans="1:34">
      <c r="A284" s="7">
        <v>45124</v>
      </c>
      <c r="B284">
        <v>30</v>
      </c>
      <c r="C284">
        <v>30</v>
      </c>
      <c r="D284">
        <v>10</v>
      </c>
      <c r="E284">
        <v>5</v>
      </c>
      <c r="F284">
        <f t="shared" si="56"/>
        <v>75</v>
      </c>
      <c r="G284">
        <f t="shared" si="60"/>
        <v>30</v>
      </c>
      <c r="H284">
        <f t="shared" si="61"/>
        <v>150</v>
      </c>
      <c r="I284">
        <f t="shared" si="62"/>
        <v>90</v>
      </c>
      <c r="J284">
        <f t="shared" si="63"/>
        <v>80</v>
      </c>
      <c r="K284">
        <f t="shared" si="57"/>
        <v>350</v>
      </c>
      <c r="L284">
        <f>G284*Return!B284*100</f>
        <v>-0.299999999999967</v>
      </c>
      <c r="M284">
        <f>H284*Return!C284*100</f>
        <v>-14.9999999999983</v>
      </c>
      <c r="N284">
        <f>I284*Return!D284*100</f>
        <v>-27.8999999999989</v>
      </c>
      <c r="O284">
        <f>J284*Return!E284*100</f>
        <v>-48.0000000000018</v>
      </c>
      <c r="P284">
        <f t="shared" si="64"/>
        <v>-91.1999999999991</v>
      </c>
      <c r="Q284">
        <f>SUM($P$148:P284)</f>
        <v>8974.8</v>
      </c>
      <c r="R284">
        <f>B284*中国_中债国债到期收益率_1年!B283/365*100</f>
        <v>15.1109589041096</v>
      </c>
      <c r="S284">
        <f>C284*中国_中债国债到期收益率_1年!C283/365*100</f>
        <v>20.1468493150685</v>
      </c>
      <c r="T284">
        <f>D284*中国_中债国债到期收益率_1年!D283/365*100</f>
        <v>7.24493150684932</v>
      </c>
      <c r="U284">
        <f>E284*中国_中债国债到期收益率_1年!E283/365*100</f>
        <v>4.12931506849315</v>
      </c>
      <c r="V284">
        <f t="shared" si="65"/>
        <v>46.6320547945205</v>
      </c>
      <c r="W284">
        <f>SUM($V$148:V284)</f>
        <v>7195.41109589041</v>
      </c>
      <c r="X284">
        <f>MAX(F284-50,0)*中国_中债国债到期收益率_1年!H284*100/365</f>
        <v>13.3561643835616</v>
      </c>
      <c r="Y284">
        <f>SUM($X$148:X284)</f>
        <v>2574.52890410959</v>
      </c>
      <c r="AB284">
        <f>Z284*Return!F288*100</f>
        <v>0</v>
      </c>
      <c r="AC284">
        <f>AA284*Return!G288*100</f>
        <v>0</v>
      </c>
      <c r="AD284">
        <f>SUM($AB$148:AB284)+SUM($AC$148:AC284)</f>
        <v>980.699999999999</v>
      </c>
      <c r="AE284">
        <f t="shared" si="58"/>
        <v>14576.3821917808</v>
      </c>
      <c r="AF284">
        <f t="shared" si="59"/>
        <v>1.02915276438356</v>
      </c>
      <c r="AG284" s="5">
        <f>(AF284/AF283-1)-中国_中债国债到期收益率_1年!H284%/252</f>
        <v>-0.00018993487441797</v>
      </c>
      <c r="AH284" s="5">
        <f>MIN((AF284-MAX($AF$151:AF284))/MAX($AF$151:AF284),0)</f>
        <v>-0.000989940003649867</v>
      </c>
    </row>
    <row r="285" spans="1:34">
      <c r="A285" s="7">
        <v>45125</v>
      </c>
      <c r="B285">
        <v>30</v>
      </c>
      <c r="C285">
        <v>30</v>
      </c>
      <c r="D285">
        <v>10</v>
      </c>
      <c r="E285">
        <v>5</v>
      </c>
      <c r="F285">
        <f t="shared" si="56"/>
        <v>75</v>
      </c>
      <c r="G285">
        <f t="shared" si="60"/>
        <v>30</v>
      </c>
      <c r="H285">
        <f t="shared" si="61"/>
        <v>150</v>
      </c>
      <c r="I285">
        <f t="shared" si="62"/>
        <v>90</v>
      </c>
      <c r="J285">
        <f t="shared" si="63"/>
        <v>80</v>
      </c>
      <c r="K285">
        <f t="shared" si="57"/>
        <v>350</v>
      </c>
      <c r="L285">
        <f>G285*Return!B285*100</f>
        <v>225</v>
      </c>
      <c r="M285">
        <f>H285*Return!C285*100</f>
        <v>246</v>
      </c>
      <c r="N285">
        <f>I285*Return!D285*100</f>
        <v>72.0000000000001</v>
      </c>
      <c r="O285">
        <f>J285*Return!E285*100</f>
        <v>47.2000000000001</v>
      </c>
      <c r="P285">
        <f t="shared" si="64"/>
        <v>590.2</v>
      </c>
      <c r="Q285">
        <f>SUM($P$148:P285)</f>
        <v>9564.99999999999</v>
      </c>
      <c r="R285">
        <f>B285*中国_中债国债到期收益率_1年!B284/365*100</f>
        <v>14.4945205479452</v>
      </c>
      <c r="S285">
        <f>C285*中国_中债国债到期收益率_1年!C284/365*100</f>
        <v>20.0120547945205</v>
      </c>
      <c r="T285">
        <f>D285*中国_中债国债到期收益率_1年!D284/365*100</f>
        <v>7.22301369863014</v>
      </c>
      <c r="U285">
        <f>E285*中国_中债国债到期收益率_1年!E284/365*100</f>
        <v>4.12123287671233</v>
      </c>
      <c r="V285">
        <f t="shared" si="65"/>
        <v>45.8508219178082</v>
      </c>
      <c r="W285">
        <f>SUM($V$148:V285)</f>
        <v>7241.26191780822</v>
      </c>
      <c r="X285">
        <f>MAX(F285-50,0)*中国_中债国债到期收益率_1年!H285*100/365</f>
        <v>13.5616438356164</v>
      </c>
      <c r="Y285">
        <f>SUM($X$148:X285)</f>
        <v>2588.0905479452</v>
      </c>
      <c r="AB285">
        <f>Z285*Return!F289*100</f>
        <v>0</v>
      </c>
      <c r="AC285">
        <f>AA285*Return!G289*100</f>
        <v>0</v>
      </c>
      <c r="AD285">
        <f>SUM($AB$148:AB285)+SUM($AC$148:AC285)</f>
        <v>980.699999999999</v>
      </c>
      <c r="AE285">
        <f t="shared" si="58"/>
        <v>15198.871369863</v>
      </c>
      <c r="AF285">
        <f t="shared" si="59"/>
        <v>1.03039774273973</v>
      </c>
      <c r="AG285" s="5">
        <f>(AF285/AF284-1)-中国_中债国债到期收益率_1年!H285%/252</f>
        <v>0.00113114048131208</v>
      </c>
      <c r="AH285" s="5">
        <f>MIN((AF285-MAX($AF$151:AF285))/MAX($AF$151:AF285),0)</f>
        <v>0</v>
      </c>
    </row>
    <row r="286" spans="1:34">
      <c r="A286" s="7">
        <v>45126</v>
      </c>
      <c r="B286">
        <v>30</v>
      </c>
      <c r="C286">
        <v>30</v>
      </c>
      <c r="D286">
        <v>10</v>
      </c>
      <c r="E286">
        <v>5</v>
      </c>
      <c r="F286">
        <f t="shared" si="56"/>
        <v>75</v>
      </c>
      <c r="G286">
        <f t="shared" si="60"/>
        <v>30</v>
      </c>
      <c r="H286">
        <f t="shared" si="61"/>
        <v>150</v>
      </c>
      <c r="I286">
        <f t="shared" si="62"/>
        <v>90</v>
      </c>
      <c r="J286">
        <f t="shared" si="63"/>
        <v>80</v>
      </c>
      <c r="K286">
        <f t="shared" si="57"/>
        <v>350</v>
      </c>
      <c r="L286">
        <f>G286*Return!B286*100</f>
        <v>0</v>
      </c>
      <c r="M286">
        <f>H286*Return!C286*100</f>
        <v>150.000000000003</v>
      </c>
      <c r="N286">
        <f>I286*Return!D286*100</f>
        <v>116.999999999999</v>
      </c>
      <c r="O286">
        <f>J286*Return!E286*100</f>
        <v>96.0000000000001</v>
      </c>
      <c r="P286">
        <f t="shared" si="64"/>
        <v>363.000000000003</v>
      </c>
      <c r="Q286">
        <f>SUM($P$148:P286)</f>
        <v>9928</v>
      </c>
      <c r="R286">
        <f>B286*中国_中债国债到期收益率_1年!B285/365*100</f>
        <v>14.4945205479452</v>
      </c>
      <c r="S286">
        <f>C286*中国_中债国债到期收益率_1年!C285/365*100</f>
        <v>19.9298630136986</v>
      </c>
      <c r="T286">
        <f>D286*中国_中债国债到期收益率_1年!D285/365*100</f>
        <v>7.18739726027397</v>
      </c>
      <c r="U286">
        <f>E286*中国_中债国债到期收益率_1年!E285/365*100</f>
        <v>4.10479452054795</v>
      </c>
      <c r="V286">
        <f t="shared" si="65"/>
        <v>45.7165753424658</v>
      </c>
      <c r="W286">
        <f>SUM($V$148:V286)</f>
        <v>7286.97849315069</v>
      </c>
      <c r="X286">
        <f>MAX(F286-50,0)*中国_中债国债到期收益率_1年!H286*100/365</f>
        <v>13.3561643835616</v>
      </c>
      <c r="Y286">
        <f>SUM($X$148:X286)</f>
        <v>2601.44671232876</v>
      </c>
      <c r="AB286">
        <f>Z286*Return!F290*100</f>
        <v>0</v>
      </c>
      <c r="AC286">
        <f>AA286*Return!G290*100</f>
        <v>0</v>
      </c>
      <c r="AD286">
        <f>SUM($AB$148:AB286)+SUM($AC$148:AC286)</f>
        <v>980.699999999999</v>
      </c>
      <c r="AE286">
        <f t="shared" si="58"/>
        <v>15594.2317808219</v>
      </c>
      <c r="AF286">
        <f t="shared" si="59"/>
        <v>1.03118846356164</v>
      </c>
      <c r="AG286" s="5">
        <f>(AF286/AF285-1)-中国_中债国债到期收益率_1年!H286%/252</f>
        <v>0.000690012830737567</v>
      </c>
      <c r="AH286" s="5">
        <f>MIN((AF286-MAX($AF$151:AF286))/MAX($AF$151:AF286),0)</f>
        <v>0</v>
      </c>
    </row>
    <row r="287" spans="1:34">
      <c r="A287" s="7">
        <v>45127</v>
      </c>
      <c r="B287">
        <v>30</v>
      </c>
      <c r="C287">
        <v>30</v>
      </c>
      <c r="D287">
        <v>10</v>
      </c>
      <c r="E287">
        <v>5</v>
      </c>
      <c r="F287">
        <f t="shared" si="56"/>
        <v>75</v>
      </c>
      <c r="G287">
        <f t="shared" si="60"/>
        <v>30</v>
      </c>
      <c r="H287">
        <f t="shared" si="61"/>
        <v>150</v>
      </c>
      <c r="I287">
        <f t="shared" si="62"/>
        <v>90</v>
      </c>
      <c r="J287">
        <f t="shared" si="63"/>
        <v>80</v>
      </c>
      <c r="K287">
        <f t="shared" si="57"/>
        <v>350</v>
      </c>
      <c r="L287">
        <f>G287*Return!B287*100</f>
        <v>30</v>
      </c>
      <c r="M287">
        <f>H287*Return!C287*100</f>
        <v>237.000000000001</v>
      </c>
      <c r="N287">
        <f>I287*Return!D287*100</f>
        <v>0.900000000001899</v>
      </c>
      <c r="O287">
        <f>J287*Return!E287*100</f>
        <v>-17.5999999999981</v>
      </c>
      <c r="P287">
        <f t="shared" si="64"/>
        <v>250.300000000004</v>
      </c>
      <c r="Q287">
        <f>SUM($P$148:P287)</f>
        <v>10178.3</v>
      </c>
      <c r="R287">
        <f>B287*中国_中债国债到期收益率_1年!B286/365*100</f>
        <v>14.4123287671233</v>
      </c>
      <c r="S287">
        <f>C287*中国_中债国债到期收益率_1年!C286/365*100</f>
        <v>19.8</v>
      </c>
      <c r="T287">
        <f>D287*中国_中债国债到期收益率_1年!D286/365*100</f>
        <v>7.18712328767123</v>
      </c>
      <c r="U287">
        <f>E287*中国_中债国债到期收益率_1年!E286/365*100</f>
        <v>4.10780821917808</v>
      </c>
      <c r="V287">
        <f t="shared" si="65"/>
        <v>45.5072602739726</v>
      </c>
      <c r="W287">
        <f>SUM($V$148:V287)</f>
        <v>7332.48575342466</v>
      </c>
      <c r="X287">
        <f>MAX(F287-50,0)*中国_中债国债到期收益率_1年!H287*100/365</f>
        <v>13.013698630137</v>
      </c>
      <c r="Y287">
        <f>SUM($X$148:X287)</f>
        <v>2614.4604109589</v>
      </c>
      <c r="AB287">
        <f>Z287*Return!F291*100</f>
        <v>0</v>
      </c>
      <c r="AC287">
        <f>AA287*Return!G291*100</f>
        <v>0</v>
      </c>
      <c r="AD287">
        <f>SUM($AB$148:AB287)+SUM($AC$148:AC287)</f>
        <v>980.699999999999</v>
      </c>
      <c r="AE287">
        <f t="shared" si="58"/>
        <v>15877.0253424658</v>
      </c>
      <c r="AF287">
        <f t="shared" si="59"/>
        <v>1.03175405068493</v>
      </c>
      <c r="AG287" s="5">
        <f>(AF287/AF286-1)-中国_中债国债到期收益率_1年!H287%/252</f>
        <v>0.000473084022938317</v>
      </c>
      <c r="AH287" s="5">
        <f>MIN((AF287-MAX($AF$151:AF287))/MAX($AF$151:AF287),0)</f>
        <v>0</v>
      </c>
    </row>
    <row r="288" spans="1:34">
      <c r="A288" s="7">
        <v>45128</v>
      </c>
      <c r="B288">
        <v>30</v>
      </c>
      <c r="C288">
        <v>30</v>
      </c>
      <c r="D288">
        <v>10</v>
      </c>
      <c r="E288">
        <v>5</v>
      </c>
      <c r="F288">
        <f t="shared" si="56"/>
        <v>75</v>
      </c>
      <c r="G288">
        <f t="shared" si="60"/>
        <v>30</v>
      </c>
      <c r="H288">
        <f t="shared" si="61"/>
        <v>150</v>
      </c>
      <c r="I288">
        <f t="shared" si="62"/>
        <v>90</v>
      </c>
      <c r="J288">
        <f t="shared" si="63"/>
        <v>80</v>
      </c>
      <c r="K288">
        <f t="shared" si="57"/>
        <v>350</v>
      </c>
      <c r="L288">
        <f>G288*Return!B288*100</f>
        <v>15.0000000000003</v>
      </c>
      <c r="M288">
        <f>H288*Return!C288*100</f>
        <v>70.4999999999956</v>
      </c>
      <c r="N288">
        <f>I288*Return!D288*100</f>
        <v>17.1000000000001</v>
      </c>
      <c r="O288">
        <f>J288*Return!E288*100</f>
        <v>15.9999999999982</v>
      </c>
      <c r="P288">
        <f t="shared" si="64"/>
        <v>118.599999999994</v>
      </c>
      <c r="Q288">
        <f>SUM($P$148:P288)</f>
        <v>10296.9</v>
      </c>
      <c r="R288">
        <f>B288*中国_中债国债到期收益率_1年!B287/365*100</f>
        <v>14.3712328767123</v>
      </c>
      <c r="S288">
        <f>C288*中国_中债国债到期收益率_1年!C287/365*100</f>
        <v>19.7613698630137</v>
      </c>
      <c r="T288">
        <f>D288*中国_中债国债到期收益率_1年!D287/365*100</f>
        <v>7.18191780821918</v>
      </c>
      <c r="U288">
        <f>E288*中国_中债国债到期收益率_1年!E287/365*100</f>
        <v>4.10506849315069</v>
      </c>
      <c r="V288">
        <f t="shared" si="65"/>
        <v>45.4195890410959</v>
      </c>
      <c r="W288">
        <f>SUM($V$148:V288)</f>
        <v>7377.90534246575</v>
      </c>
      <c r="X288">
        <f>MAX(F288-50,0)*中国_中债国债到期收益率_1年!H288*100/365</f>
        <v>12.6712328767123</v>
      </c>
      <c r="Y288">
        <f>SUM($X$148:X288)</f>
        <v>2627.13164383561</v>
      </c>
      <c r="AB288">
        <f>Z288*Return!F292*100</f>
        <v>0</v>
      </c>
      <c r="AC288">
        <f>AA288*Return!G292*100</f>
        <v>0</v>
      </c>
      <c r="AD288">
        <f>SUM($AB$148:AB288)+SUM($AC$148:AC288)</f>
        <v>980.699999999999</v>
      </c>
      <c r="AE288">
        <f t="shared" si="58"/>
        <v>16028.3736986301</v>
      </c>
      <c r="AF288">
        <f t="shared" si="59"/>
        <v>1.03205674739726</v>
      </c>
      <c r="AG288" s="5">
        <f>(AF288/AF287-1)-中国_中债国债到期收益率_1年!H288%/252</f>
        <v>0.000219967988707228</v>
      </c>
      <c r="AH288" s="5">
        <f>MIN((AF288-MAX($AF$151:AF288))/MAX($AF$151:AF288),0)</f>
        <v>0</v>
      </c>
    </row>
    <row r="289" spans="1:34">
      <c r="A289" s="7">
        <v>45131</v>
      </c>
      <c r="B289">
        <v>30</v>
      </c>
      <c r="C289">
        <v>30</v>
      </c>
      <c r="D289">
        <v>10</v>
      </c>
      <c r="E289">
        <v>5</v>
      </c>
      <c r="F289">
        <f t="shared" si="56"/>
        <v>75</v>
      </c>
      <c r="G289">
        <f t="shared" si="60"/>
        <v>30</v>
      </c>
      <c r="H289">
        <f t="shared" si="61"/>
        <v>150</v>
      </c>
      <c r="I289">
        <f t="shared" si="62"/>
        <v>90</v>
      </c>
      <c r="J289">
        <f t="shared" si="63"/>
        <v>80</v>
      </c>
      <c r="K289">
        <f t="shared" si="57"/>
        <v>350</v>
      </c>
      <c r="L289">
        <f>G289*Return!B289*100</f>
        <v>30</v>
      </c>
      <c r="M289">
        <f>H289*Return!C289*100</f>
        <v>184.500000000003</v>
      </c>
      <c r="N289">
        <f>I289*Return!D289*100</f>
        <v>121.500000000001</v>
      </c>
      <c r="O289">
        <f>J289*Return!E289*100</f>
        <v>111.2</v>
      </c>
      <c r="P289">
        <f t="shared" si="64"/>
        <v>447.200000000004</v>
      </c>
      <c r="Q289">
        <f>SUM($P$148:P289)</f>
        <v>10744.1</v>
      </c>
      <c r="R289">
        <f>B289*中国_中债国债到期收益率_1年!B288/365*100</f>
        <v>14.2890410958904</v>
      </c>
      <c r="S289">
        <f>C289*中国_中债国债到期收益率_1年!C288/365*100</f>
        <v>19.6602739726027</v>
      </c>
      <c r="T289">
        <f>D289*中国_中债国债到期收益率_1年!D288/365*100</f>
        <v>7.14493150684932</v>
      </c>
      <c r="U289">
        <f>E289*中国_中债国债到期收益率_1年!E288/365*100</f>
        <v>4.08602739726027</v>
      </c>
      <c r="V289">
        <f t="shared" si="65"/>
        <v>45.1802739726027</v>
      </c>
      <c r="W289">
        <f>SUM($V$148:V289)</f>
        <v>7423.08561643836</v>
      </c>
      <c r="X289">
        <f>MAX(F289-50,0)*中国_中债国债到期收益率_1年!H289*100/365</f>
        <v>12.3972602739726</v>
      </c>
      <c r="Y289">
        <f>SUM($X$148:X289)</f>
        <v>2639.52890410959</v>
      </c>
      <c r="AB289">
        <f>Z289*Return!F293*100</f>
        <v>0</v>
      </c>
      <c r="AC289">
        <f>AA289*Return!G293*100</f>
        <v>0</v>
      </c>
      <c r="AD289">
        <f>SUM($AB$148:AB289)+SUM($AC$148:AC289)</f>
        <v>980.699999999999</v>
      </c>
      <c r="AE289">
        <f t="shared" si="58"/>
        <v>16508.3567123288</v>
      </c>
      <c r="AF289">
        <f t="shared" si="59"/>
        <v>1.03301671342466</v>
      </c>
      <c r="AG289" s="5">
        <f>(AF289/AF288-1)-中国_中债国债到期收益率_1年!H289%/252</f>
        <v>0.000858323095317283</v>
      </c>
      <c r="AH289" s="5">
        <f>MIN((AF289-MAX($AF$151:AF289))/MAX($AF$151:AF289),0)</f>
        <v>0</v>
      </c>
    </row>
    <row r="290" spans="1:34">
      <c r="A290" s="7">
        <v>45132</v>
      </c>
      <c r="B290">
        <v>30</v>
      </c>
      <c r="C290">
        <v>30</v>
      </c>
      <c r="D290">
        <v>10</v>
      </c>
      <c r="E290">
        <v>5</v>
      </c>
      <c r="F290">
        <f t="shared" si="56"/>
        <v>75</v>
      </c>
      <c r="G290">
        <f t="shared" si="60"/>
        <v>30</v>
      </c>
      <c r="H290">
        <f t="shared" si="61"/>
        <v>150</v>
      </c>
      <c r="I290">
        <f t="shared" si="62"/>
        <v>90</v>
      </c>
      <c r="J290">
        <f t="shared" si="63"/>
        <v>80</v>
      </c>
      <c r="K290">
        <f t="shared" si="57"/>
        <v>350</v>
      </c>
      <c r="L290">
        <f>G290*Return!B290*100</f>
        <v>14.9999999999997</v>
      </c>
      <c r="M290">
        <f>H290*Return!C290*100</f>
        <v>70.4999999999956</v>
      </c>
      <c r="N290">
        <f>I290*Return!D290*100</f>
        <v>130.5</v>
      </c>
      <c r="O290">
        <f>J290*Return!E290*100</f>
        <v>192</v>
      </c>
      <c r="P290">
        <f t="shared" si="64"/>
        <v>407.999999999995</v>
      </c>
      <c r="Q290">
        <f>SUM($P$148:P290)</f>
        <v>11152.1</v>
      </c>
      <c r="R290">
        <f>B290*中国_中债国债到期收益率_1年!B289/365*100</f>
        <v>14.2479452054795</v>
      </c>
      <c r="S290">
        <f>C290*中国_中债国债到期收益率_1年!C289/365*100</f>
        <v>19.6216438356164</v>
      </c>
      <c r="T290">
        <f>D290*中国_中债国债到期收益率_1年!D289/365*100</f>
        <v>7.10520547945205</v>
      </c>
      <c r="U290">
        <f>E290*中国_中债国债到期收益率_1年!E289/365*100</f>
        <v>4.05315068493151</v>
      </c>
      <c r="V290">
        <f t="shared" si="65"/>
        <v>45.0279452054795</v>
      </c>
      <c r="W290">
        <f>SUM($V$148:V290)</f>
        <v>7468.11356164384</v>
      </c>
      <c r="X290">
        <f>MAX(F290-50,0)*中国_中债国债到期收益率_1年!H290*100/365</f>
        <v>14.7260273972603</v>
      </c>
      <c r="Y290">
        <f>SUM($X$148:X290)</f>
        <v>2654.25493150685</v>
      </c>
      <c r="AB290">
        <f>Z290*Return!F294*100</f>
        <v>0</v>
      </c>
      <c r="AC290">
        <f>AA290*Return!G294*100</f>
        <v>0</v>
      </c>
      <c r="AD290">
        <f>SUM($AB$148:AB290)+SUM($AC$148:AC290)</f>
        <v>980.699999999999</v>
      </c>
      <c r="AE290">
        <f t="shared" si="58"/>
        <v>16946.658630137</v>
      </c>
      <c r="AF290">
        <f t="shared" si="59"/>
        <v>1.03389331726027</v>
      </c>
      <c r="AG290" s="5">
        <f>(AF290/AF289-1)-中国_中债国债到期收益率_1年!H290%/252</f>
        <v>0.000763268844458118</v>
      </c>
      <c r="AH290" s="5">
        <f>MIN((AF290-MAX($AF$151:AF290))/MAX($AF$151:AF290),0)</f>
        <v>0</v>
      </c>
    </row>
    <row r="291" spans="1:34">
      <c r="A291" s="7">
        <v>45133</v>
      </c>
      <c r="B291">
        <v>20</v>
      </c>
      <c r="C291">
        <v>40</v>
      </c>
      <c r="D291">
        <v>-10</v>
      </c>
      <c r="F291">
        <f t="shared" si="56"/>
        <v>50</v>
      </c>
      <c r="G291">
        <f t="shared" si="60"/>
        <v>20</v>
      </c>
      <c r="H291">
        <f t="shared" si="61"/>
        <v>200</v>
      </c>
      <c r="I291">
        <f t="shared" si="62"/>
        <v>-90</v>
      </c>
      <c r="J291">
        <f t="shared" si="63"/>
        <v>0</v>
      </c>
      <c r="K291">
        <f t="shared" si="57"/>
        <v>130</v>
      </c>
      <c r="L291">
        <f>G291*Return!B291*100</f>
        <v>-89.3999999999999</v>
      </c>
      <c r="M291">
        <f>H291*Return!C291*100</f>
        <v>-1507.99999999999</v>
      </c>
      <c r="N291">
        <f>I291*Return!D291*100</f>
        <v>626.399999999999</v>
      </c>
      <c r="O291">
        <f>J291*Return!E291*100</f>
        <v>0</v>
      </c>
      <c r="P291">
        <f t="shared" si="64"/>
        <v>-970.999999999995</v>
      </c>
      <c r="Q291">
        <f>SUM($P$148:P291)</f>
        <v>10181.1</v>
      </c>
      <c r="R291">
        <f>B291*中国_中债国债到期收益率_1年!B290/365*100</f>
        <v>9.74356164383562</v>
      </c>
      <c r="S291">
        <f>C291*中国_中债国债到期收益率_1年!C290/365*100</f>
        <v>26.9884931506849</v>
      </c>
      <c r="T291">
        <f>D291*中国_中债国债到期收益率_1年!D290/365*100</f>
        <v>-7.2958904109589</v>
      </c>
      <c r="U291">
        <f>E291*中国_中债国债到期收益率_1年!E290/365*100</f>
        <v>0</v>
      </c>
      <c r="V291">
        <f t="shared" si="65"/>
        <v>29.4361643835616</v>
      </c>
      <c r="W291">
        <f>SUM($V$148:V291)</f>
        <v>7497.5497260274</v>
      </c>
      <c r="X291">
        <f>MAX(F291-50,0)*中国_中债国债到期收益率_1年!H291*100/365</f>
        <v>0</v>
      </c>
      <c r="Y291">
        <f>SUM($X$148:X291)</f>
        <v>2654.25493150685</v>
      </c>
      <c r="AB291">
        <f>Z291*Return!F295*100</f>
        <v>0</v>
      </c>
      <c r="AC291">
        <f>AA291*Return!G295*100</f>
        <v>0</v>
      </c>
      <c r="AD291">
        <f>SUM($AB$148:AB291)+SUM($AC$148:AC291)</f>
        <v>980.699999999999</v>
      </c>
      <c r="AE291">
        <f t="shared" si="58"/>
        <v>16005.0947945206</v>
      </c>
      <c r="AF291">
        <f t="shared" si="59"/>
        <v>1.03201018958904</v>
      </c>
      <c r="AG291" s="5">
        <f>(AF291/AF290-1)-中国_中债国债到期收益率_1年!H291%/252</f>
        <v>-0.00190671202762458</v>
      </c>
      <c r="AH291" s="5">
        <f>MIN((AF291-MAX($AF$151:AF291))/MAX($AF$151:AF291),0)</f>
        <v>-0.00182139456730712</v>
      </c>
    </row>
    <row r="292" spans="1:34">
      <c r="A292" s="7">
        <v>45134</v>
      </c>
      <c r="B292">
        <v>20</v>
      </c>
      <c r="C292">
        <v>40</v>
      </c>
      <c r="D292">
        <v>-10</v>
      </c>
      <c r="F292">
        <f t="shared" si="56"/>
        <v>50</v>
      </c>
      <c r="G292">
        <f t="shared" si="60"/>
        <v>20</v>
      </c>
      <c r="H292">
        <f t="shared" si="61"/>
        <v>200</v>
      </c>
      <c r="I292">
        <f t="shared" si="62"/>
        <v>-90</v>
      </c>
      <c r="J292">
        <f t="shared" si="63"/>
        <v>0</v>
      </c>
      <c r="K292">
        <f t="shared" si="57"/>
        <v>130</v>
      </c>
      <c r="L292">
        <f>G292*Return!B292*100</f>
        <v>-20</v>
      </c>
      <c r="M292">
        <f>H292*Return!C292*100</f>
        <v>598.000000000001</v>
      </c>
      <c r="N292">
        <f>I292*Return!D292*100</f>
        <v>-180</v>
      </c>
      <c r="O292">
        <f>J292*Return!E292*100</f>
        <v>0</v>
      </c>
      <c r="P292">
        <f t="shared" si="64"/>
        <v>398.000000000001</v>
      </c>
      <c r="Q292">
        <f>SUM($P$148:P292)</f>
        <v>10579.1</v>
      </c>
      <c r="R292">
        <f>B292*中国_中债国债到期收益率_1年!B291/365*100</f>
        <v>9.79835616438356</v>
      </c>
      <c r="S292">
        <f>C292*中国_中债国债到期收益率_1年!C291/365*100</f>
        <v>26.6608219178082</v>
      </c>
      <c r="T292">
        <f>D292*中国_中债国债到期收益率_1年!D291/365*100</f>
        <v>-7.24109589041096</v>
      </c>
      <c r="U292">
        <f>E292*中国_中债国债到期收益率_1年!E291/365*100</f>
        <v>0</v>
      </c>
      <c r="V292">
        <f t="shared" si="65"/>
        <v>29.2180821917808</v>
      </c>
      <c r="W292">
        <f>SUM($V$148:V292)</f>
        <v>7526.76780821918</v>
      </c>
      <c r="X292">
        <f>MAX(F292-50,0)*中国_中债国债到期收益率_1年!H292*100/365</f>
        <v>0</v>
      </c>
      <c r="Y292">
        <f>SUM($X$148:X292)</f>
        <v>2654.25493150685</v>
      </c>
      <c r="AB292">
        <f>Z292*Return!F296*100</f>
        <v>0</v>
      </c>
      <c r="AC292">
        <f>AA292*Return!G296*100</f>
        <v>0</v>
      </c>
      <c r="AD292">
        <f>SUM($AB$148:AB292)+SUM($AC$148:AC292)</f>
        <v>980.699999999999</v>
      </c>
      <c r="AE292">
        <f t="shared" si="58"/>
        <v>16432.3128767123</v>
      </c>
      <c r="AF292">
        <f t="shared" si="59"/>
        <v>1.03286462575342</v>
      </c>
      <c r="AG292" s="5">
        <f>(AF292/AF291-1)-中国_中债国债到期收益率_1年!H292%/252</f>
        <v>0.000744600511703432</v>
      </c>
      <c r="AH292" s="5">
        <f>MIN((AF292-MAX($AF$151:AF292))/MAX($AF$151:AF292),0)</f>
        <v>-0.000994968716477739</v>
      </c>
    </row>
    <row r="293" spans="1:34">
      <c r="A293" s="7">
        <v>45135</v>
      </c>
      <c r="B293">
        <v>20</v>
      </c>
      <c r="C293">
        <v>40</v>
      </c>
      <c r="D293">
        <v>-10</v>
      </c>
      <c r="F293">
        <f t="shared" si="56"/>
        <v>50</v>
      </c>
      <c r="G293">
        <f t="shared" si="60"/>
        <v>20</v>
      </c>
      <c r="H293">
        <f t="shared" si="61"/>
        <v>200</v>
      </c>
      <c r="I293">
        <f t="shared" si="62"/>
        <v>-90</v>
      </c>
      <c r="J293">
        <f t="shared" si="63"/>
        <v>0</v>
      </c>
      <c r="K293">
        <f t="shared" si="57"/>
        <v>130</v>
      </c>
      <c r="L293">
        <f>G293*Return!B293*100</f>
        <v>-60.0000000000001</v>
      </c>
      <c r="M293">
        <f>H293*Return!C293*100</f>
        <v>191.999999999997</v>
      </c>
      <c r="N293">
        <f>I293*Return!D293*100</f>
        <v>-31.4999999999985</v>
      </c>
      <c r="O293">
        <f>J293*Return!E293*100</f>
        <v>0</v>
      </c>
      <c r="P293">
        <f t="shared" si="64"/>
        <v>100.499999999998</v>
      </c>
      <c r="Q293">
        <f>SUM($P$148:P293)</f>
        <v>10679.6</v>
      </c>
      <c r="R293">
        <f>B293*中国_中债国债到期收益率_1年!B292/365*100</f>
        <v>9.9627397260274</v>
      </c>
      <c r="S293">
        <f>C293*中国_中债国债到期收益率_1年!C292/365*100</f>
        <v>26.5556164383562</v>
      </c>
      <c r="T293">
        <f>D293*中国_中债国债到期收益率_1年!D292/365*100</f>
        <v>-7.23150684931507</v>
      </c>
      <c r="U293">
        <f>E293*中国_中债国债到期收益率_1年!E292/365*100</f>
        <v>0</v>
      </c>
      <c r="V293">
        <f t="shared" si="65"/>
        <v>29.2868493150685</v>
      </c>
      <c r="W293">
        <f>SUM($V$148:V293)</f>
        <v>7556.05465753425</v>
      </c>
      <c r="X293">
        <f>MAX(F293-50,0)*中国_中债国债到期收益率_1年!H293*100/365</f>
        <v>0</v>
      </c>
      <c r="Y293">
        <f>SUM($X$148:X293)</f>
        <v>2654.25493150685</v>
      </c>
      <c r="AB293">
        <f>Z293*Return!F297*100</f>
        <v>0</v>
      </c>
      <c r="AC293">
        <f>AA293*Return!G297*100</f>
        <v>0</v>
      </c>
      <c r="AD293">
        <f>SUM($AB$148:AB293)+SUM($AC$148:AC293)</f>
        <v>980.699999999999</v>
      </c>
      <c r="AE293">
        <f t="shared" si="58"/>
        <v>16562.0997260274</v>
      </c>
      <c r="AF293">
        <f t="shared" si="59"/>
        <v>1.03312419945205</v>
      </c>
      <c r="AG293" s="5">
        <f>(AF293/AF292-1)-中国_中债国债到期收益率_1年!H293%/252</f>
        <v>0.000171949267314941</v>
      </c>
      <c r="AH293" s="5">
        <f>MIN((AF293-MAX($AF$151:AF293))/MAX($AF$151:AF293),0)</f>
        <v>-0.000743904419710627</v>
      </c>
    </row>
    <row r="294" spans="1:34">
      <c r="A294" s="7">
        <v>45138</v>
      </c>
      <c r="B294">
        <v>20</v>
      </c>
      <c r="C294">
        <v>40</v>
      </c>
      <c r="D294">
        <v>-10</v>
      </c>
      <c r="F294">
        <f t="shared" si="56"/>
        <v>50</v>
      </c>
      <c r="G294">
        <f t="shared" si="60"/>
        <v>20</v>
      </c>
      <c r="H294">
        <f t="shared" si="61"/>
        <v>200</v>
      </c>
      <c r="I294">
        <f t="shared" si="62"/>
        <v>-90</v>
      </c>
      <c r="J294">
        <f t="shared" si="63"/>
        <v>0</v>
      </c>
      <c r="K294">
        <f t="shared" si="57"/>
        <v>130</v>
      </c>
      <c r="L294">
        <f>G294*Return!B294*100</f>
        <v>0.199999999999978</v>
      </c>
      <c r="M294">
        <f>H294*Return!C294*100</f>
        <v>-355.999999999996</v>
      </c>
      <c r="N294">
        <f>I294*Return!D294*100</f>
        <v>124.200000000002</v>
      </c>
      <c r="O294">
        <f>J294*Return!E294*100</f>
        <v>0</v>
      </c>
      <c r="P294">
        <f t="shared" si="64"/>
        <v>-231.599999999994</v>
      </c>
      <c r="Q294">
        <f>SUM($P$148:P294)</f>
        <v>10448</v>
      </c>
      <c r="R294">
        <f>B294*中国_中债国债到期收益率_1年!B293/365*100</f>
        <v>9.96219178082192</v>
      </c>
      <c r="S294">
        <f>C294*中国_中债国债到期收益率_1年!C293/365*100</f>
        <v>26.7506849315068</v>
      </c>
      <c r="T294">
        <f>D294*中国_中债国债到期收益率_1年!D293/365*100</f>
        <v>-7.26931506849315</v>
      </c>
      <c r="U294">
        <f>E294*中国_中债国债到期收益率_1年!E293/365*100</f>
        <v>0</v>
      </c>
      <c r="V294">
        <f t="shared" si="65"/>
        <v>29.4435616438356</v>
      </c>
      <c r="W294">
        <f>SUM($V$148:V294)</f>
        <v>7585.49821917808</v>
      </c>
      <c r="X294">
        <f>MAX(F294-50,0)*中国_中债国债到期收益率_1年!H294*100/365</f>
        <v>0</v>
      </c>
      <c r="Y294">
        <f>SUM($X$148:X294)</f>
        <v>2654.25493150685</v>
      </c>
      <c r="AB294">
        <f>Z294*Return!F298*100</f>
        <v>0</v>
      </c>
      <c r="AC294">
        <f>AA294*Return!G298*100</f>
        <v>0</v>
      </c>
      <c r="AD294">
        <f>SUM($AB$148:AB294)+SUM($AC$148:AC294)</f>
        <v>980.699999999999</v>
      </c>
      <c r="AE294">
        <f t="shared" si="58"/>
        <v>16359.9432876712</v>
      </c>
      <c r="AF294">
        <f t="shared" si="59"/>
        <v>1.03271988657534</v>
      </c>
      <c r="AG294" s="5">
        <f>(AF294/AF293-1)-中国_中债国债到期收益率_1年!H294%/252</f>
        <v>-0.000469524333368549</v>
      </c>
      <c r="AH294" s="5">
        <f>MIN((AF294-MAX($AF$151:AF294))/MAX($AF$151:AF294),0)</f>
        <v>-0.00113496302311062</v>
      </c>
    </row>
    <row r="295" spans="1:34">
      <c r="A295" s="7">
        <v>45139</v>
      </c>
      <c r="B295">
        <v>20</v>
      </c>
      <c r="C295">
        <v>40</v>
      </c>
      <c r="D295">
        <v>-10</v>
      </c>
      <c r="F295">
        <f t="shared" si="56"/>
        <v>50</v>
      </c>
      <c r="G295">
        <f t="shared" si="60"/>
        <v>20</v>
      </c>
      <c r="H295">
        <f t="shared" si="61"/>
        <v>200</v>
      </c>
      <c r="I295">
        <f t="shared" si="62"/>
        <v>-90</v>
      </c>
      <c r="J295">
        <f t="shared" si="63"/>
        <v>0</v>
      </c>
      <c r="K295">
        <f t="shared" si="57"/>
        <v>130</v>
      </c>
      <c r="L295">
        <f>G295*Return!B295*100</f>
        <v>15.8</v>
      </c>
      <c r="M295">
        <f>H295*Return!C295*100</f>
        <v>-268.000000000006</v>
      </c>
      <c r="N295">
        <f>I295*Return!D295*100</f>
        <v>57.5999999999976</v>
      </c>
      <c r="O295">
        <f>J295*Return!E295*100</f>
        <v>0</v>
      </c>
      <c r="P295">
        <f t="shared" si="64"/>
        <v>-194.600000000008</v>
      </c>
      <c r="Q295">
        <f>SUM($P$148:P295)</f>
        <v>10253.4</v>
      </c>
      <c r="R295">
        <f>B295*中国_中债国债到期收益率_1年!B294/365*100</f>
        <v>9.91890410958904</v>
      </c>
      <c r="S295">
        <f>C295*中国_中债国债到期收益率_1年!C294/365*100</f>
        <v>26.8975342465753</v>
      </c>
      <c r="T295">
        <f>D295*中国_中债国债到期收益率_1年!D294/365*100</f>
        <v>-7.28684931506849</v>
      </c>
      <c r="U295">
        <f>E295*中国_中债国债到期收益率_1年!E294/365*100</f>
        <v>0</v>
      </c>
      <c r="V295">
        <f t="shared" si="65"/>
        <v>29.5295890410959</v>
      </c>
      <c r="W295">
        <f>SUM($V$148:V295)</f>
        <v>7615.02780821918</v>
      </c>
      <c r="X295">
        <f>MAX(F295-50,0)*中国_中债国债到期收益率_1年!H295*100/365</f>
        <v>0</v>
      </c>
      <c r="Y295">
        <f>SUM($X$148:X295)</f>
        <v>2654.25493150685</v>
      </c>
      <c r="AB295">
        <f>Z295*Return!F299*100</f>
        <v>0</v>
      </c>
      <c r="AC295">
        <f>AA295*Return!G299*100</f>
        <v>0</v>
      </c>
      <c r="AD295">
        <f>SUM($AB$148:AB295)+SUM($AC$148:AC295)</f>
        <v>980.699999999999</v>
      </c>
      <c r="AE295">
        <f t="shared" si="58"/>
        <v>16194.8728767123</v>
      </c>
      <c r="AF295">
        <f t="shared" si="59"/>
        <v>1.03238974575342</v>
      </c>
      <c r="AG295" s="5">
        <f>(AF295/AF294-1)-中国_中债国债到期收益率_1年!H295%/252</f>
        <v>-0.000393093597569825</v>
      </c>
      <c r="AH295" s="5">
        <f>MIN((AF295-MAX($AF$151:AF295))/MAX($AF$151:AF295),0)</f>
        <v>-0.001454281096268</v>
      </c>
    </row>
    <row r="296" spans="1:34">
      <c r="A296" s="7">
        <v>45140</v>
      </c>
      <c r="B296">
        <v>20</v>
      </c>
      <c r="C296">
        <v>40</v>
      </c>
      <c r="D296">
        <v>-10</v>
      </c>
      <c r="F296">
        <f t="shared" si="56"/>
        <v>50</v>
      </c>
      <c r="G296">
        <f t="shared" si="60"/>
        <v>20</v>
      </c>
      <c r="H296">
        <f t="shared" si="61"/>
        <v>200</v>
      </c>
      <c r="I296">
        <f t="shared" si="62"/>
        <v>-90</v>
      </c>
      <c r="J296">
        <f t="shared" si="63"/>
        <v>0</v>
      </c>
      <c r="K296">
        <f t="shared" si="57"/>
        <v>130</v>
      </c>
      <c r="L296">
        <f>G296*Return!B296*100</f>
        <v>70.2000000000003</v>
      </c>
      <c r="M296">
        <f>H296*Return!C296*100</f>
        <v>-110.000000000001</v>
      </c>
      <c r="N296">
        <f>I296*Return!D296*100</f>
        <v>8.99999999999901</v>
      </c>
      <c r="O296">
        <f>J296*Return!E296*100</f>
        <v>0</v>
      </c>
      <c r="P296">
        <f t="shared" si="64"/>
        <v>-30.8000000000019</v>
      </c>
      <c r="Q296">
        <f>SUM($P$148:P296)</f>
        <v>10222.6</v>
      </c>
      <c r="R296">
        <f>B296*中国_中债国债到期收益率_1年!B295/365*100</f>
        <v>9.72657534246575</v>
      </c>
      <c r="S296">
        <f>C296*中国_中债国债到期收益率_1年!C295/365*100</f>
        <v>26.9578082191781</v>
      </c>
      <c r="T296">
        <f>D296*中国_中债国债到期收益率_1年!D295/365*100</f>
        <v>-7.28958904109589</v>
      </c>
      <c r="U296">
        <f>E296*中国_中债国债到期收益率_1年!E295/365*100</f>
        <v>0</v>
      </c>
      <c r="V296">
        <f t="shared" si="65"/>
        <v>29.394794520548</v>
      </c>
      <c r="W296">
        <f>SUM($V$148:V296)</f>
        <v>7644.42260273973</v>
      </c>
      <c r="X296">
        <f>MAX(F296-50,0)*中国_中债国债到期收益率_1年!H296*100/365</f>
        <v>0</v>
      </c>
      <c r="Y296">
        <f>SUM($X$148:X296)</f>
        <v>2654.25493150685</v>
      </c>
      <c r="AB296">
        <f>Z296*Return!F300*100</f>
        <v>0</v>
      </c>
      <c r="AC296">
        <f>AA296*Return!G300*100</f>
        <v>0</v>
      </c>
      <c r="AD296">
        <f>SUM($AB$148:AB296)+SUM($AC$148:AC296)</f>
        <v>980.699999999999</v>
      </c>
      <c r="AE296">
        <f t="shared" si="58"/>
        <v>16193.4676712329</v>
      </c>
      <c r="AF296">
        <f t="shared" si="59"/>
        <v>1.03238693534247</v>
      </c>
      <c r="AG296" s="5">
        <f>(AF296/AF295-1)-中国_中债国债到期收益率_1年!H296%/252</f>
        <v>-7.53412859697862e-5</v>
      </c>
      <c r="AH296" s="5">
        <f>MIN((AF296-MAX($AF$151:AF296))/MAX($AF$151:AF296),0)</f>
        <v>-0.00145699937571901</v>
      </c>
    </row>
    <row r="297" spans="1:34">
      <c r="A297" s="7">
        <v>45141</v>
      </c>
      <c r="B297">
        <v>20</v>
      </c>
      <c r="C297">
        <v>40</v>
      </c>
      <c r="D297">
        <v>-10</v>
      </c>
      <c r="F297">
        <f t="shared" si="56"/>
        <v>50</v>
      </c>
      <c r="G297">
        <f t="shared" si="60"/>
        <v>20</v>
      </c>
      <c r="H297">
        <f t="shared" si="61"/>
        <v>200</v>
      </c>
      <c r="I297">
        <f t="shared" si="62"/>
        <v>-90</v>
      </c>
      <c r="J297">
        <f t="shared" si="63"/>
        <v>0</v>
      </c>
      <c r="K297">
        <f t="shared" si="57"/>
        <v>130</v>
      </c>
      <c r="L297">
        <f>G297*Return!B297*100</f>
        <v>17.5999999999998</v>
      </c>
      <c r="M297">
        <f>H297*Return!C297*100</f>
        <v>146.000000000006</v>
      </c>
      <c r="N297">
        <f>I297*Return!D297*100</f>
        <v>-73.7999999999999</v>
      </c>
      <c r="O297">
        <f>J297*Return!E297*100</f>
        <v>0</v>
      </c>
      <c r="P297">
        <f t="shared" si="64"/>
        <v>89.8000000000061</v>
      </c>
      <c r="Q297">
        <f>SUM($P$148:P297)</f>
        <v>10312.4</v>
      </c>
      <c r="R297">
        <f>B297*中国_中债国债到期收益率_1年!B296/365*100</f>
        <v>9.67835616438356</v>
      </c>
      <c r="S297">
        <f>C297*中国_中债国债到期收益率_1年!C296/365*100</f>
        <v>26.8778082191781</v>
      </c>
      <c r="T297">
        <f>D297*中国_中债国债到期收益率_1年!D296/365*100</f>
        <v>-7.26712328767123</v>
      </c>
      <c r="U297">
        <f>E297*中国_中债国债到期收益率_1年!E296/365*100</f>
        <v>0</v>
      </c>
      <c r="V297">
        <f t="shared" si="65"/>
        <v>29.2890410958904</v>
      </c>
      <c r="W297">
        <f>SUM($V$148:V297)</f>
        <v>7673.71164383562</v>
      </c>
      <c r="X297">
        <f>MAX(F297-50,0)*中国_中债国债到期收益率_1年!H297*100/365</f>
        <v>0</v>
      </c>
      <c r="Y297">
        <f>SUM($X$148:X297)</f>
        <v>2654.25493150685</v>
      </c>
      <c r="AB297">
        <f>Z297*Return!F301*100</f>
        <v>0</v>
      </c>
      <c r="AC297">
        <f>AA297*Return!G301*100</f>
        <v>0</v>
      </c>
      <c r="AD297">
        <f>SUM($AB$148:AB297)+SUM($AC$148:AC297)</f>
        <v>980.699999999999</v>
      </c>
      <c r="AE297">
        <f t="shared" si="58"/>
        <v>16312.5567123288</v>
      </c>
      <c r="AF297">
        <f t="shared" si="59"/>
        <v>1.03262511342466</v>
      </c>
      <c r="AG297" s="5">
        <f>(AF297/AF296-1)-中国_中债国债到期收益率_1年!H297%/252</f>
        <v>0.00016126177048138</v>
      </c>
      <c r="AH297" s="5">
        <f>MIN((AF297-MAX($AF$151:AF297))/MAX($AF$151:AF297),0)</f>
        <v>-0.0012266292996042</v>
      </c>
    </row>
    <row r="298" spans="1:34">
      <c r="A298" s="7">
        <v>45142</v>
      </c>
      <c r="B298">
        <v>20</v>
      </c>
      <c r="C298">
        <v>40</v>
      </c>
      <c r="D298">
        <v>-10</v>
      </c>
      <c r="F298">
        <f t="shared" si="56"/>
        <v>50</v>
      </c>
      <c r="G298">
        <f t="shared" si="60"/>
        <v>20</v>
      </c>
      <c r="H298">
        <f t="shared" si="61"/>
        <v>200</v>
      </c>
      <c r="I298">
        <f t="shared" si="62"/>
        <v>-90</v>
      </c>
      <c r="J298">
        <f t="shared" si="63"/>
        <v>0</v>
      </c>
      <c r="K298">
        <f t="shared" si="57"/>
        <v>130</v>
      </c>
      <c r="L298">
        <f>G298*Return!B298*100</f>
        <v>48.4</v>
      </c>
      <c r="M298">
        <f>H298*Return!C298*100</f>
        <v>544.000000000002</v>
      </c>
      <c r="N298">
        <f>I298*Return!D298*100</f>
        <v>-80.9999999999991</v>
      </c>
      <c r="O298">
        <f>J298*Return!E298*100</f>
        <v>0</v>
      </c>
      <c r="P298">
        <f t="shared" si="64"/>
        <v>511.400000000003</v>
      </c>
      <c r="Q298">
        <f>SUM($P$148:P298)</f>
        <v>10823.8</v>
      </c>
      <c r="R298">
        <f>B298*中国_中债国债到期收益率_1年!B297/365*100</f>
        <v>9.54575342465753</v>
      </c>
      <c r="S298">
        <f>C298*中国_中债国债到期收益率_1年!C297/365*100</f>
        <v>26.5797260273973</v>
      </c>
      <c r="T298">
        <f>D298*中国_中债国债到期收益率_1年!D297/365*100</f>
        <v>-7.24246575342466</v>
      </c>
      <c r="U298">
        <f>E298*中国_中债国债到期收益率_1年!E297/365*100</f>
        <v>0</v>
      </c>
      <c r="V298">
        <f t="shared" si="65"/>
        <v>28.8830136986301</v>
      </c>
      <c r="W298">
        <f>SUM($V$148:V298)</f>
        <v>7702.59465753425</v>
      </c>
      <c r="X298">
        <f>MAX(F298-50,0)*中国_中债国债到期收益率_1年!H298*100/365</f>
        <v>0</v>
      </c>
      <c r="Y298">
        <f>SUM($X$148:X298)</f>
        <v>2654.25493150685</v>
      </c>
      <c r="AB298">
        <f>Z298*Return!F302*100</f>
        <v>0</v>
      </c>
      <c r="AC298">
        <f>AA298*Return!G302*100</f>
        <v>0</v>
      </c>
      <c r="AD298">
        <f>SUM($AB$148:AB298)+SUM($AC$148:AC298)</f>
        <v>980.699999999999</v>
      </c>
      <c r="AE298">
        <f t="shared" si="58"/>
        <v>16852.8397260274</v>
      </c>
      <c r="AF298">
        <f t="shared" si="59"/>
        <v>1.03370567945205</v>
      </c>
      <c r="AG298" s="5">
        <f>(AF298/AF297-1)-中国_中债国债到期收益率_1年!H298%/252</f>
        <v>0.000978965934767299</v>
      </c>
      <c r="AH298" s="5">
        <f>MIN((AF298-MAX($AF$151:AF298))/MAX($AF$151:AF298),0)</f>
        <v>-0.00018148662447738</v>
      </c>
    </row>
    <row r="299" spans="1:34">
      <c r="A299" s="7">
        <v>45145</v>
      </c>
      <c r="B299">
        <v>20</v>
      </c>
      <c r="C299">
        <v>40</v>
      </c>
      <c r="D299">
        <v>-10</v>
      </c>
      <c r="F299">
        <f t="shared" si="56"/>
        <v>50</v>
      </c>
      <c r="G299">
        <f t="shared" si="60"/>
        <v>20</v>
      </c>
      <c r="H299">
        <f t="shared" si="61"/>
        <v>200</v>
      </c>
      <c r="I299">
        <f t="shared" si="62"/>
        <v>-90</v>
      </c>
      <c r="J299">
        <f t="shared" si="63"/>
        <v>0</v>
      </c>
      <c r="K299">
        <f t="shared" si="57"/>
        <v>130</v>
      </c>
      <c r="L299">
        <f>G299*Return!B299*100</f>
        <v>-18.0000000000002</v>
      </c>
      <c r="M299">
        <f>H299*Return!C299*100</f>
        <v>-52.0000000000032</v>
      </c>
      <c r="N299">
        <f>I299*Return!D299*100</f>
        <v>30.6000000000006</v>
      </c>
      <c r="O299">
        <f>J299*Return!E299*100</f>
        <v>0</v>
      </c>
      <c r="P299">
        <f t="shared" si="64"/>
        <v>-39.4000000000028</v>
      </c>
      <c r="Q299">
        <f>SUM($P$148:P299)</f>
        <v>10784.4</v>
      </c>
      <c r="R299">
        <f>B299*中国_中债国债到期收益率_1年!B298/365*100</f>
        <v>9.59506849315069</v>
      </c>
      <c r="S299">
        <f>C299*中国_中债国债到期收益率_1年!C298/365*100</f>
        <v>26.6082191780822</v>
      </c>
      <c r="T299">
        <f>D299*中国_中债国债到期收益率_1年!D298/365*100</f>
        <v>-7.25178082191781</v>
      </c>
      <c r="U299">
        <f>E299*中国_中债国债到期收益率_1年!E298/365*100</f>
        <v>0</v>
      </c>
      <c r="V299">
        <f t="shared" si="65"/>
        <v>28.9515068493151</v>
      </c>
      <c r="W299">
        <f>SUM($V$148:V299)</f>
        <v>7731.54616438356</v>
      </c>
      <c r="X299">
        <f>MAX(F299-50,0)*中国_中债国债到期收益率_1年!H299*100/365</f>
        <v>0</v>
      </c>
      <c r="Y299">
        <f>SUM($X$148:X299)</f>
        <v>2654.25493150685</v>
      </c>
      <c r="AB299">
        <f>Z299*Return!F303*100</f>
        <v>0</v>
      </c>
      <c r="AC299">
        <f>AA299*Return!G303*100</f>
        <v>0</v>
      </c>
      <c r="AD299">
        <f>SUM($AB$148:AB299)+SUM($AC$148:AC299)</f>
        <v>980.699999999999</v>
      </c>
      <c r="AE299">
        <f t="shared" si="58"/>
        <v>16842.3912328767</v>
      </c>
      <c r="AF299">
        <f t="shared" si="59"/>
        <v>1.03368478246575</v>
      </c>
      <c r="AG299" s="5">
        <f>(AF299/AF298-1)-中国_中债国债到期收益率_1年!H299%/252</f>
        <v>-8.84695738337114e-5</v>
      </c>
      <c r="AH299" s="5">
        <f>MIN((AF299-MAX($AF$151:AF299))/MAX($AF$151:AF299),0)</f>
        <v>-0.000201698561195127</v>
      </c>
    </row>
    <row r="300" spans="1:34">
      <c r="A300" s="7">
        <v>45146</v>
      </c>
      <c r="B300">
        <v>20</v>
      </c>
      <c r="C300">
        <v>40</v>
      </c>
      <c r="D300">
        <v>-10</v>
      </c>
      <c r="F300">
        <f t="shared" si="56"/>
        <v>50</v>
      </c>
      <c r="G300">
        <f t="shared" si="60"/>
        <v>20</v>
      </c>
      <c r="H300">
        <f t="shared" si="61"/>
        <v>200</v>
      </c>
      <c r="I300">
        <f t="shared" si="62"/>
        <v>-90</v>
      </c>
      <c r="J300">
        <f t="shared" si="63"/>
        <v>0</v>
      </c>
      <c r="K300">
        <f t="shared" si="57"/>
        <v>130</v>
      </c>
      <c r="L300">
        <f>G300*Return!B300*100</f>
        <v>-17.5999999999998</v>
      </c>
      <c r="M300">
        <f>H300*Return!C300*100</f>
        <v>41.9999999999998</v>
      </c>
      <c r="N300">
        <f>I300*Return!D300*100</f>
        <v>-6.3000000000013</v>
      </c>
      <c r="O300">
        <f>J300*Return!E300*100</f>
        <v>0</v>
      </c>
      <c r="P300">
        <f t="shared" si="64"/>
        <v>18.0999999999987</v>
      </c>
      <c r="Q300">
        <f>SUM($P$148:P300)</f>
        <v>10802.5</v>
      </c>
      <c r="R300">
        <f>B300*中国_中债国债到期收益率_1年!B299/365*100</f>
        <v>9.64328767123288</v>
      </c>
      <c r="S300">
        <f>C300*中国_中债国债到期收益率_1年!C299/365*100</f>
        <v>26.5852054794521</v>
      </c>
      <c r="T300">
        <f>D300*中国_中债国债到期收益率_1年!D299/365*100</f>
        <v>-7.24986301369863</v>
      </c>
      <c r="U300">
        <f>E300*中国_中债国债到期收益率_1年!E299/365*100</f>
        <v>0</v>
      </c>
      <c r="V300">
        <f t="shared" si="65"/>
        <v>28.9786301369863</v>
      </c>
      <c r="W300">
        <f>SUM($V$148:V300)</f>
        <v>7760.52479452055</v>
      </c>
      <c r="X300">
        <f>MAX(F300-50,0)*中国_中债国债到期收益率_1年!H300*100/365</f>
        <v>0</v>
      </c>
      <c r="Y300">
        <f>SUM($X$148:X300)</f>
        <v>2654.25493150685</v>
      </c>
      <c r="AB300">
        <f>Z300*Return!F304*100</f>
        <v>0</v>
      </c>
      <c r="AC300">
        <f>AA300*Return!G304*100</f>
        <v>0</v>
      </c>
      <c r="AD300">
        <f>SUM($AB$148:AB300)+SUM($AC$148:AC300)</f>
        <v>980.699999999999</v>
      </c>
      <c r="AE300">
        <f t="shared" si="58"/>
        <v>16889.4698630137</v>
      </c>
      <c r="AF300">
        <f t="shared" si="59"/>
        <v>1.03377893972603</v>
      </c>
      <c r="AG300" s="5">
        <f>(AF300/AF299-1)-中国_中债国债到期收益率_1年!H300%/252</f>
        <v>1.96603774184465e-5</v>
      </c>
      <c r="AH300" s="5">
        <f>MIN((AF300-MAX($AF$151:AF300))/MAX($AF$151:AF300),0)</f>
        <v>-0.000110627984858043</v>
      </c>
    </row>
    <row r="301" spans="1:34">
      <c r="A301" s="7">
        <v>45147</v>
      </c>
      <c r="B301">
        <v>20</v>
      </c>
      <c r="C301">
        <v>40</v>
      </c>
      <c r="D301">
        <v>-10</v>
      </c>
      <c r="F301">
        <f t="shared" si="56"/>
        <v>50</v>
      </c>
      <c r="G301">
        <f t="shared" si="60"/>
        <v>20</v>
      </c>
      <c r="H301">
        <f t="shared" si="61"/>
        <v>200</v>
      </c>
      <c r="I301">
        <f t="shared" si="62"/>
        <v>-90</v>
      </c>
      <c r="J301">
        <f t="shared" si="63"/>
        <v>0</v>
      </c>
      <c r="K301">
        <f t="shared" si="57"/>
        <v>130</v>
      </c>
      <c r="L301">
        <f>G301*Return!B301*100</f>
        <v>-39.4000000000001</v>
      </c>
      <c r="M301">
        <f>H301*Return!C301*100</f>
        <v>95.9999999999983</v>
      </c>
      <c r="N301">
        <f>I301*Return!D301*100</f>
        <v>-7.19999999999921</v>
      </c>
      <c r="O301">
        <f>J301*Return!E301*100</f>
        <v>0</v>
      </c>
      <c r="P301">
        <f t="shared" si="64"/>
        <v>49.399999999999</v>
      </c>
      <c r="Q301">
        <f>SUM($P$148:P301)</f>
        <v>10851.9</v>
      </c>
      <c r="R301">
        <f>B301*中国_中债国债到期收益率_1年!B300/365*100</f>
        <v>9.75123287671233</v>
      </c>
      <c r="S301">
        <f>C301*中国_中债国债到期收益率_1年!C300/365*100</f>
        <v>26.532602739726</v>
      </c>
      <c r="T301">
        <f>D301*中国_中债国债到期收益率_1年!D300/365*100</f>
        <v>-7.24767123287671</v>
      </c>
      <c r="U301">
        <f>E301*中国_中债国债到期收益率_1年!E300/365*100</f>
        <v>0</v>
      </c>
      <c r="V301">
        <f t="shared" si="65"/>
        <v>29.0361643835616</v>
      </c>
      <c r="W301">
        <f>SUM($V$148:V301)</f>
        <v>7789.56095890411</v>
      </c>
      <c r="X301">
        <f>MAX(F301-50,0)*中国_中债国债到期收益率_1年!H301*100/365</f>
        <v>0</v>
      </c>
      <c r="Y301">
        <f>SUM($X$148:X301)</f>
        <v>2654.25493150685</v>
      </c>
      <c r="AB301">
        <f>Z301*Return!F305*100</f>
        <v>0</v>
      </c>
      <c r="AC301">
        <f>AA301*Return!G305*100</f>
        <v>0</v>
      </c>
      <c r="AD301">
        <f>SUM($AB$148:AB301)+SUM($AC$148:AC301)</f>
        <v>980.699999999999</v>
      </c>
      <c r="AE301">
        <f t="shared" si="58"/>
        <v>16967.9060273973</v>
      </c>
      <c r="AF301">
        <f t="shared" si="59"/>
        <v>1.03393581205479</v>
      </c>
      <c r="AG301" s="5">
        <f>(AF301/AF300-1)-中国_中债国债到期收益率_1年!H301%/252</f>
        <v>8.03179216938685e-5</v>
      </c>
      <c r="AH301" s="5">
        <f>MIN((AF301-MAX($AF$151:AF301))/MAX($AF$151:AF301),0)</f>
        <v>0</v>
      </c>
    </row>
    <row r="302" spans="1:34">
      <c r="A302" s="7">
        <v>45148</v>
      </c>
      <c r="B302">
        <v>20</v>
      </c>
      <c r="C302">
        <v>40</v>
      </c>
      <c r="D302">
        <v>-10</v>
      </c>
      <c r="F302">
        <f t="shared" si="56"/>
        <v>50</v>
      </c>
      <c r="G302">
        <f t="shared" si="60"/>
        <v>20</v>
      </c>
      <c r="H302">
        <f t="shared" si="61"/>
        <v>200</v>
      </c>
      <c r="I302">
        <f t="shared" si="62"/>
        <v>-90</v>
      </c>
      <c r="J302">
        <f t="shared" si="63"/>
        <v>0</v>
      </c>
      <c r="K302">
        <f t="shared" si="57"/>
        <v>130</v>
      </c>
      <c r="L302">
        <f>G302*Return!B302*100</f>
        <v>-59.3999999999997</v>
      </c>
      <c r="M302">
        <f>H302*Return!C302*100</f>
        <v>-52.0000000000032</v>
      </c>
      <c r="N302">
        <f>I302*Return!D302*100</f>
        <v>6.3000000000013</v>
      </c>
      <c r="O302">
        <f>J302*Return!E302*100</f>
        <v>0</v>
      </c>
      <c r="P302">
        <f t="shared" si="64"/>
        <v>-105.100000000002</v>
      </c>
      <c r="Q302">
        <f>SUM($P$148:P302)</f>
        <v>10746.8</v>
      </c>
      <c r="R302">
        <f>B302*中国_中债国债到期收益率_1年!B301/365*100</f>
        <v>9.91397260273973</v>
      </c>
      <c r="S302">
        <f>C302*中国_中债国债到期收益率_1年!C301/365*100</f>
        <v>26.561095890411</v>
      </c>
      <c r="T302">
        <f>D302*中国_中债国债到期收益率_1年!D301/365*100</f>
        <v>-7.24958904109589</v>
      </c>
      <c r="U302">
        <f>E302*中国_中债国债到期收益率_1年!E301/365*100</f>
        <v>0</v>
      </c>
      <c r="V302">
        <f t="shared" si="65"/>
        <v>29.2254794520548</v>
      </c>
      <c r="W302">
        <f>SUM($V$148:V302)</f>
        <v>7818.78643835616</v>
      </c>
      <c r="X302">
        <f>MAX(F302-50,0)*中国_中债国债到期收益率_1年!H302*100/365</f>
        <v>0</v>
      </c>
      <c r="Y302">
        <f>SUM($X$148:X302)</f>
        <v>2654.25493150685</v>
      </c>
      <c r="AB302">
        <f>Z302*Return!F306*100</f>
        <v>0</v>
      </c>
      <c r="AC302">
        <f>AA302*Return!G306*100</f>
        <v>0</v>
      </c>
      <c r="AD302">
        <f>SUM($AB$148:AB302)+SUM($AC$148:AC302)</f>
        <v>980.699999999999</v>
      </c>
      <c r="AE302">
        <f t="shared" si="58"/>
        <v>16892.0315068493</v>
      </c>
      <c r="AF302">
        <f t="shared" si="59"/>
        <v>1.0337840630137</v>
      </c>
      <c r="AG302" s="5">
        <f>(AF302/AF301-1)-中国_中债国债到期收益率_1年!H302%/252</f>
        <v>-0.000217403258984955</v>
      </c>
      <c r="AH302" s="5">
        <f>MIN((AF302-MAX($AF$151:AF302))/MAX($AF$151:AF302),0)</f>
        <v>-0.000146768338349988</v>
      </c>
    </row>
    <row r="303" spans="1:34">
      <c r="A303" s="7">
        <v>45149</v>
      </c>
      <c r="B303">
        <v>20</v>
      </c>
      <c r="C303">
        <v>40</v>
      </c>
      <c r="D303">
        <v>-10</v>
      </c>
      <c r="F303">
        <f t="shared" si="56"/>
        <v>50</v>
      </c>
      <c r="G303">
        <f t="shared" si="60"/>
        <v>20</v>
      </c>
      <c r="H303">
        <f t="shared" si="61"/>
        <v>200</v>
      </c>
      <c r="I303">
        <f t="shared" si="62"/>
        <v>-90</v>
      </c>
      <c r="J303">
        <f t="shared" si="63"/>
        <v>0</v>
      </c>
      <c r="K303">
        <f t="shared" si="57"/>
        <v>130</v>
      </c>
      <c r="L303">
        <f>G303*Return!B303*100</f>
        <v>-34.4000000000002</v>
      </c>
      <c r="M303">
        <f>H303*Return!C303*100</f>
        <v>-105.999999999993</v>
      </c>
      <c r="N303">
        <f>I303*Return!D303*100</f>
        <v>12.5999999999986</v>
      </c>
      <c r="O303">
        <f>J303*Return!E303*100</f>
        <v>0</v>
      </c>
      <c r="P303">
        <f t="shared" si="64"/>
        <v>-127.799999999994</v>
      </c>
      <c r="Q303">
        <f>SUM($P$148:P303)</f>
        <v>10619</v>
      </c>
      <c r="R303">
        <f>B303*中国_中债国债到期收益率_1年!B302/365*100</f>
        <v>10.0082191780822</v>
      </c>
      <c r="S303">
        <f>C303*中国_中债国债到期收益率_1年!C302/365*100</f>
        <v>26.6191780821918</v>
      </c>
      <c r="T303">
        <f>D303*中国_中债国债到期收益率_1年!D302/365*100</f>
        <v>-7.25342465753425</v>
      </c>
      <c r="U303">
        <f>E303*中国_中债国债到期收益率_1年!E302/365*100</f>
        <v>0</v>
      </c>
      <c r="V303">
        <f t="shared" si="65"/>
        <v>29.3739726027397</v>
      </c>
      <c r="W303">
        <f>SUM($V$148:V303)</f>
        <v>7848.1604109589</v>
      </c>
      <c r="X303">
        <f>MAX(F303-50,0)*中国_中债国债到期收益率_1年!H303*100/365</f>
        <v>0</v>
      </c>
      <c r="Y303">
        <f>SUM($X$148:X303)</f>
        <v>2654.25493150685</v>
      </c>
      <c r="AB303">
        <f>Z303*Return!F307*100</f>
        <v>0</v>
      </c>
      <c r="AC303">
        <f>AA303*Return!G307*100</f>
        <v>0</v>
      </c>
      <c r="AD303">
        <f>SUM($AB$148:AB303)+SUM($AC$148:AC303)</f>
        <v>980.699999999999</v>
      </c>
      <c r="AE303">
        <f t="shared" si="58"/>
        <v>16793.6054794521</v>
      </c>
      <c r="AF303">
        <f t="shared" si="59"/>
        <v>1.0335872109589</v>
      </c>
      <c r="AG303" s="5">
        <f>(AF303/AF302-1)-中国_中债国债到期收益率_1年!H303%/252</f>
        <v>-0.000261053850310338</v>
      </c>
      <c r="AH303" s="5">
        <f>MIN((AF303-MAX($AF$151:AF303))/MAX($AF$151:AF303),0)</f>
        <v>-0.000337159320555516</v>
      </c>
    </row>
    <row r="304" spans="1:34">
      <c r="A304" s="7">
        <v>45152</v>
      </c>
      <c r="B304">
        <v>20</v>
      </c>
      <c r="C304">
        <v>40</v>
      </c>
      <c r="D304">
        <v>-10</v>
      </c>
      <c r="F304">
        <f t="shared" si="56"/>
        <v>50</v>
      </c>
      <c r="G304">
        <f t="shared" si="60"/>
        <v>20</v>
      </c>
      <c r="H304">
        <f t="shared" si="61"/>
        <v>200</v>
      </c>
      <c r="I304">
        <f t="shared" si="62"/>
        <v>-90</v>
      </c>
      <c r="J304">
        <f t="shared" si="63"/>
        <v>0</v>
      </c>
      <c r="K304">
        <f t="shared" si="57"/>
        <v>130</v>
      </c>
      <c r="L304">
        <f>G304*Return!B304*100</f>
        <v>-8.00000000000001</v>
      </c>
      <c r="M304">
        <f>H304*Return!C304*100</f>
        <v>147.999999999993</v>
      </c>
      <c r="N304">
        <f>I304*Return!D304*100</f>
        <v>-84.5999999999987</v>
      </c>
      <c r="O304">
        <f>J304*Return!E304*100</f>
        <v>0</v>
      </c>
      <c r="P304">
        <f t="shared" si="64"/>
        <v>55.3999999999939</v>
      </c>
      <c r="Q304">
        <f>SUM($P$148:P304)</f>
        <v>10674.4</v>
      </c>
      <c r="R304">
        <f>B304*中国_中债国债到期收益率_1年!B303/365*100</f>
        <v>10.0301369863014</v>
      </c>
      <c r="S304">
        <f>C304*中国_中债国债到期收益率_1年!C303/365*100</f>
        <v>26.5380821917808</v>
      </c>
      <c r="T304">
        <f>D304*中国_中债国债到期收益率_1年!D303/365*100</f>
        <v>-7.22767123287671</v>
      </c>
      <c r="U304">
        <f>E304*中国_中债国债到期收益率_1年!E303/365*100</f>
        <v>0</v>
      </c>
      <c r="V304">
        <f t="shared" si="65"/>
        <v>29.3405479452055</v>
      </c>
      <c r="W304">
        <f>SUM($V$148:V304)</f>
        <v>7877.50095890411</v>
      </c>
      <c r="X304">
        <f>MAX(F304-50,0)*中国_中债国债到期收益率_1年!H304*100/365</f>
        <v>0</v>
      </c>
      <c r="Y304">
        <f>SUM($X$148:X304)</f>
        <v>2654.25493150685</v>
      </c>
      <c r="AB304">
        <f>Z304*Return!F308*100</f>
        <v>0</v>
      </c>
      <c r="AC304">
        <f>AA304*Return!G308*100</f>
        <v>0</v>
      </c>
      <c r="AD304">
        <f>SUM($AB$148:AB304)+SUM($AC$148:AC304)</f>
        <v>980.699999999999</v>
      </c>
      <c r="AE304">
        <f t="shared" si="58"/>
        <v>16878.3460273973</v>
      </c>
      <c r="AF304">
        <f t="shared" si="59"/>
        <v>1.03375669205479</v>
      </c>
      <c r="AG304" s="5">
        <f>(AF304/AF303-1)-中国_中债国债到期收益率_1年!H304%/252</f>
        <v>9.05609789832582e-5</v>
      </c>
      <c r="AH304" s="5">
        <f>MIN((AF304-MAX($AF$151:AF304))/MAX($AF$151:AF304),0)</f>
        <v>-0.000173240928413258</v>
      </c>
    </row>
    <row r="305" spans="1:34">
      <c r="A305" s="7">
        <v>45153</v>
      </c>
      <c r="B305">
        <v>20</v>
      </c>
      <c r="C305">
        <v>40</v>
      </c>
      <c r="D305">
        <v>-10</v>
      </c>
      <c r="F305">
        <f t="shared" si="56"/>
        <v>50</v>
      </c>
      <c r="G305">
        <f t="shared" si="60"/>
        <v>20</v>
      </c>
      <c r="H305">
        <f t="shared" si="61"/>
        <v>200</v>
      </c>
      <c r="I305">
        <f t="shared" si="62"/>
        <v>-90</v>
      </c>
      <c r="J305">
        <f t="shared" si="63"/>
        <v>0</v>
      </c>
      <c r="K305">
        <f t="shared" si="57"/>
        <v>130</v>
      </c>
      <c r="L305">
        <f>G305*Return!B305*100</f>
        <v>29.7999999999998</v>
      </c>
      <c r="M305">
        <f>H305*Return!C305*100</f>
        <v>336.000000000007</v>
      </c>
      <c r="N305">
        <f>I305*Return!D305*100</f>
        <v>-152.100000000001</v>
      </c>
      <c r="O305">
        <f>J305*Return!E305*100</f>
        <v>0</v>
      </c>
      <c r="P305">
        <f t="shared" si="64"/>
        <v>213.700000000006</v>
      </c>
      <c r="Q305">
        <f>SUM($P$148:P305)</f>
        <v>10888.1</v>
      </c>
      <c r="R305">
        <f>B305*中国_中债国债到期收益率_1年!B304/365*100</f>
        <v>9.94849315068493</v>
      </c>
      <c r="S305">
        <f>C305*中国_中债国债到期收益率_1年!C304/365*100</f>
        <v>26.3539726027397</v>
      </c>
      <c r="T305">
        <f>D305*中国_中债国债到期收益率_1年!D304/365*100</f>
        <v>-7.1813698630137</v>
      </c>
      <c r="U305">
        <f>E305*中国_中债国债到期收益率_1年!E304/365*100</f>
        <v>0</v>
      </c>
      <c r="V305">
        <f t="shared" si="65"/>
        <v>29.121095890411</v>
      </c>
      <c r="W305">
        <f>SUM($V$148:V305)</f>
        <v>7906.62205479452</v>
      </c>
      <c r="X305">
        <f>MAX(F305-50,0)*中国_中债国债到期收益率_1年!H305*100/365</f>
        <v>0</v>
      </c>
      <c r="Y305">
        <f>SUM($X$148:X305)</f>
        <v>2654.25493150685</v>
      </c>
      <c r="AB305">
        <f>Z305*Return!F309*100</f>
        <v>0</v>
      </c>
      <c r="AC305">
        <f>AA305*Return!G309*100</f>
        <v>0</v>
      </c>
      <c r="AD305">
        <f>SUM($AB$148:AB305)+SUM($AC$148:AC305)</f>
        <v>980.699999999999</v>
      </c>
      <c r="AE305">
        <f t="shared" si="58"/>
        <v>17121.1671232877</v>
      </c>
      <c r="AF305">
        <f t="shared" si="59"/>
        <v>1.03424233424658</v>
      </c>
      <c r="AG305" s="5">
        <f>(AF305/AF304-1)-中国_中债国债到期收益率_1年!H305%/252</f>
        <v>0.000393196541664613</v>
      </c>
      <c r="AH305" s="5">
        <f>MIN((AF305-MAX($AF$151:AF305))/MAX($AF$151:AF305),0)</f>
        <v>0</v>
      </c>
    </row>
    <row r="306" spans="1:34">
      <c r="A306" s="7">
        <v>45154</v>
      </c>
      <c r="B306">
        <v>20</v>
      </c>
      <c r="C306">
        <v>40</v>
      </c>
      <c r="D306">
        <v>-10</v>
      </c>
      <c r="F306">
        <f t="shared" si="56"/>
        <v>50</v>
      </c>
      <c r="G306">
        <f t="shared" si="60"/>
        <v>20</v>
      </c>
      <c r="H306">
        <f t="shared" si="61"/>
        <v>200</v>
      </c>
      <c r="I306">
        <f t="shared" si="62"/>
        <v>-90</v>
      </c>
      <c r="J306">
        <f t="shared" si="63"/>
        <v>0</v>
      </c>
      <c r="K306">
        <f t="shared" si="57"/>
        <v>130</v>
      </c>
      <c r="L306">
        <f>G306*Return!B306*100</f>
        <v>-17.7999999999998</v>
      </c>
      <c r="M306">
        <f>H306*Return!C306*100</f>
        <v>551.999999999992</v>
      </c>
      <c r="N306">
        <f>I306*Return!D306*100</f>
        <v>-407.700000000001</v>
      </c>
      <c r="O306">
        <f>J306*Return!E306*100</f>
        <v>0</v>
      </c>
      <c r="P306">
        <f t="shared" si="64"/>
        <v>126.499999999992</v>
      </c>
      <c r="Q306">
        <f>SUM($P$148:P306)</f>
        <v>11014.6</v>
      </c>
      <c r="R306">
        <f>B306*中国_中债国债到期收益率_1年!B305/365*100</f>
        <v>9.9972602739726</v>
      </c>
      <c r="S306">
        <f>C306*中国_中债国债到期收益率_1年!C305/365*100</f>
        <v>26.0515068493151</v>
      </c>
      <c r="T306">
        <f>D306*中国_中债国债到期收益率_1年!D305/365*100</f>
        <v>-7.0572602739726</v>
      </c>
      <c r="U306">
        <f>E306*中国_中债国债到期收益率_1年!E305/365*100</f>
        <v>0</v>
      </c>
      <c r="V306">
        <f t="shared" si="65"/>
        <v>28.9915068493151</v>
      </c>
      <c r="W306">
        <f>SUM($V$148:V306)</f>
        <v>7935.61356164384</v>
      </c>
      <c r="X306">
        <f>MAX(F306-50,0)*中国_中债国债到期收益率_1年!H306*100/365</f>
        <v>0</v>
      </c>
      <c r="Y306">
        <f>SUM($X$148:X306)</f>
        <v>2654.25493150685</v>
      </c>
      <c r="AB306">
        <f>Z306*Return!F310*100</f>
        <v>0</v>
      </c>
      <c r="AC306">
        <f>AA306*Return!G310*100</f>
        <v>0</v>
      </c>
      <c r="AD306">
        <f>SUM($AB$148:AB306)+SUM($AC$148:AC306)</f>
        <v>980.699999999999</v>
      </c>
      <c r="AE306">
        <f t="shared" si="58"/>
        <v>17276.658630137</v>
      </c>
      <c r="AF306">
        <f t="shared" si="59"/>
        <v>1.03455331726027</v>
      </c>
      <c r="AG306" s="5">
        <f>(AF306/AF305-1)-中国_中债国债到期收益率_1年!H306%/252</f>
        <v>0.000225289970531936</v>
      </c>
      <c r="AH306" s="5">
        <f>MIN((AF306-MAX($AF$151:AF306))/MAX($AF$151:AF306),0)</f>
        <v>0</v>
      </c>
    </row>
    <row r="307" spans="1:34">
      <c r="A307" s="7">
        <v>45155</v>
      </c>
      <c r="B307">
        <v>20</v>
      </c>
      <c r="C307">
        <v>40</v>
      </c>
      <c r="D307">
        <v>-10</v>
      </c>
      <c r="F307">
        <f t="shared" si="56"/>
        <v>50</v>
      </c>
      <c r="G307">
        <f t="shared" si="60"/>
        <v>20</v>
      </c>
      <c r="H307">
        <f t="shared" si="61"/>
        <v>200</v>
      </c>
      <c r="I307">
        <f t="shared" si="62"/>
        <v>-90</v>
      </c>
      <c r="J307">
        <f t="shared" si="63"/>
        <v>0</v>
      </c>
      <c r="K307">
        <f t="shared" si="57"/>
        <v>130</v>
      </c>
      <c r="L307">
        <f>G307*Return!B307*100</f>
        <v>-25.9999999999998</v>
      </c>
      <c r="M307">
        <f>H307*Return!C307*100</f>
        <v>244</v>
      </c>
      <c r="N307">
        <f>I307*Return!D307*100</f>
        <v>-98.9999999999971</v>
      </c>
      <c r="O307">
        <f>J307*Return!E307*100</f>
        <v>0</v>
      </c>
      <c r="P307">
        <f t="shared" si="64"/>
        <v>119.000000000003</v>
      </c>
      <c r="Q307">
        <f>SUM($P$148:P307)</f>
        <v>11133.6</v>
      </c>
      <c r="R307">
        <f>B307*中国_中债国债到期收益率_1年!B306/365*100</f>
        <v>10.0684931506849</v>
      </c>
      <c r="S307">
        <f>C307*中国_中债国债到期收益率_1年!C306/365*100</f>
        <v>25.9178082191781</v>
      </c>
      <c r="T307">
        <f>D307*中国_中债国债到期收益率_1年!D306/365*100</f>
        <v>-7.02712328767123</v>
      </c>
      <c r="U307">
        <f>E307*中国_中债国债到期收益率_1年!E306/365*100</f>
        <v>0</v>
      </c>
      <c r="V307">
        <f t="shared" si="65"/>
        <v>28.9591780821918</v>
      </c>
      <c r="W307">
        <f>SUM($V$148:V307)</f>
        <v>7964.57273972603</v>
      </c>
      <c r="X307">
        <f>MAX(F307-50,0)*中国_中债国债到期收益率_1年!H307*100/365</f>
        <v>0</v>
      </c>
      <c r="Y307">
        <f>SUM($X$148:X307)</f>
        <v>2654.25493150685</v>
      </c>
      <c r="AB307">
        <f>Z307*Return!F311*100</f>
        <v>0</v>
      </c>
      <c r="AC307">
        <f>AA307*Return!G311*100</f>
        <v>0</v>
      </c>
      <c r="AD307">
        <f>SUM($AB$148:AB307)+SUM($AC$148:AC307)</f>
        <v>980.699999999999</v>
      </c>
      <c r="AE307">
        <f t="shared" si="58"/>
        <v>17424.6178082192</v>
      </c>
      <c r="AF307">
        <f t="shared" si="59"/>
        <v>1.03484923561644</v>
      </c>
      <c r="AG307" s="5">
        <f>(AF307/AF306-1)-中国_中债国债到期收益率_1年!H307%/252</f>
        <v>0.00020865394908544</v>
      </c>
      <c r="AH307" s="5">
        <f>MIN((AF307-MAX($AF$151:AF307))/MAX($AF$151:AF307),0)</f>
        <v>0</v>
      </c>
    </row>
    <row r="308" spans="1:34">
      <c r="A308" s="7">
        <v>45156</v>
      </c>
      <c r="B308">
        <v>20</v>
      </c>
      <c r="C308">
        <v>40</v>
      </c>
      <c r="D308">
        <v>-10</v>
      </c>
      <c r="F308">
        <f t="shared" si="56"/>
        <v>50</v>
      </c>
      <c r="G308">
        <f t="shared" si="60"/>
        <v>20</v>
      </c>
      <c r="H308">
        <f t="shared" si="61"/>
        <v>200</v>
      </c>
      <c r="I308">
        <f t="shared" si="62"/>
        <v>-90</v>
      </c>
      <c r="J308">
        <f t="shared" si="63"/>
        <v>0</v>
      </c>
      <c r="K308">
        <f t="shared" si="57"/>
        <v>130</v>
      </c>
      <c r="L308">
        <f>G308*Return!B308*100</f>
        <v>-4.39999999999996</v>
      </c>
      <c r="M308">
        <f>H308*Return!C308*100</f>
        <v>-105.999999999993</v>
      </c>
      <c r="N308">
        <f>I308*Return!D308*100</f>
        <v>26.0999999999991</v>
      </c>
      <c r="O308">
        <f>J308*Return!E308*100</f>
        <v>0</v>
      </c>
      <c r="P308">
        <f t="shared" si="64"/>
        <v>-84.2999999999936</v>
      </c>
      <c r="Q308">
        <f>SUM($P$148:P308)</f>
        <v>11049.3</v>
      </c>
      <c r="R308">
        <f>B308*中国_中债国债到期收益率_1年!B307/365*100</f>
        <v>10.0805479452055</v>
      </c>
      <c r="S308">
        <f>C308*中国_中债国债到期收益率_1年!C307/365*100</f>
        <v>25.9758904109589</v>
      </c>
      <c r="T308">
        <f>D308*中国_中债国债到期收益率_1年!D307/365*100</f>
        <v>-7.03506849315069</v>
      </c>
      <c r="U308">
        <f>E308*中国_中债国债到期收益率_1年!E307/365*100</f>
        <v>0</v>
      </c>
      <c r="V308">
        <f t="shared" si="65"/>
        <v>29.0213698630137</v>
      </c>
      <c r="W308">
        <f>SUM($V$148:V308)</f>
        <v>7993.59410958904</v>
      </c>
      <c r="X308">
        <f>MAX(F308-50,0)*中国_中债国债到期收益率_1年!H308*100/365</f>
        <v>0</v>
      </c>
      <c r="Y308">
        <f>SUM($X$148:X308)</f>
        <v>2654.25493150685</v>
      </c>
      <c r="AB308">
        <f>Z308*Return!F312*100</f>
        <v>0</v>
      </c>
      <c r="AC308">
        <f>AA308*Return!G312*100</f>
        <v>0</v>
      </c>
      <c r="AD308">
        <f>SUM($AB$148:AB308)+SUM($AC$148:AC308)</f>
        <v>980.699999999999</v>
      </c>
      <c r="AE308">
        <f t="shared" si="58"/>
        <v>17369.3391780822</v>
      </c>
      <c r="AF308">
        <f t="shared" si="59"/>
        <v>1.03473867835616</v>
      </c>
      <c r="AG308" s="5">
        <f>(AF308/AF307-1)-中国_中债国债到期收益率_1年!H308%/252</f>
        <v>-0.000184215123455107</v>
      </c>
      <c r="AH308" s="5">
        <f>MIN((AF308-MAX($AF$151:AF308))/MAX($AF$151:AF308),0)</f>
        <v>-0.00010683417107411</v>
      </c>
    </row>
    <row r="309" spans="1:34">
      <c r="A309" s="7">
        <v>45159</v>
      </c>
      <c r="B309">
        <v>20</v>
      </c>
      <c r="C309">
        <v>40</v>
      </c>
      <c r="D309">
        <v>-10</v>
      </c>
      <c r="F309">
        <f t="shared" si="56"/>
        <v>50</v>
      </c>
      <c r="G309">
        <f t="shared" si="60"/>
        <v>20</v>
      </c>
      <c r="H309">
        <f t="shared" si="61"/>
        <v>200</v>
      </c>
      <c r="I309">
        <f t="shared" si="62"/>
        <v>-90</v>
      </c>
      <c r="J309">
        <f t="shared" si="63"/>
        <v>0</v>
      </c>
      <c r="K309">
        <f t="shared" si="57"/>
        <v>130</v>
      </c>
      <c r="L309">
        <f>G309*Return!B309*100</f>
        <v>14.7999999999997</v>
      </c>
      <c r="M309">
        <f>H309*Return!C309*100</f>
        <v>91.9999999999987</v>
      </c>
      <c r="N309">
        <f>I309*Return!D309*100</f>
        <v>-35.1000000000021</v>
      </c>
      <c r="O309">
        <f>J309*Return!E309*100</f>
        <v>0</v>
      </c>
      <c r="P309">
        <f t="shared" si="64"/>
        <v>71.6999999999963</v>
      </c>
      <c r="Q309">
        <f>SUM($P$148:P309)</f>
        <v>11121</v>
      </c>
      <c r="R309">
        <f>B309*中国_中债国债到期收益率_1年!B308/365*100</f>
        <v>10.04</v>
      </c>
      <c r="S309">
        <f>C309*中国_中债国债到期收益率_1年!C308/365*100</f>
        <v>25.9254794520548</v>
      </c>
      <c r="T309">
        <f>D309*中国_中债国债到期收益率_1年!D308/365*100</f>
        <v>-7.02438356164383</v>
      </c>
      <c r="U309">
        <f>E309*中国_中债国债到期收益率_1年!E308/365*100</f>
        <v>0</v>
      </c>
      <c r="V309">
        <f t="shared" si="65"/>
        <v>28.941095890411</v>
      </c>
      <c r="W309">
        <f>SUM($V$148:V309)</f>
        <v>8022.53520547945</v>
      </c>
      <c r="X309">
        <f>MAX(F309-50,0)*中国_中债国债到期收益率_1年!H309*100/365</f>
        <v>0</v>
      </c>
      <c r="Y309">
        <f>SUM($X$148:X309)</f>
        <v>2654.25493150685</v>
      </c>
      <c r="AB309">
        <f>Z309*Return!F313*100</f>
        <v>0</v>
      </c>
      <c r="AC309">
        <f>AA309*Return!G313*100</f>
        <v>0</v>
      </c>
      <c r="AD309">
        <f>SUM($AB$148:AB309)+SUM($AC$148:AC309)</f>
        <v>980.699999999999</v>
      </c>
      <c r="AE309">
        <f t="shared" si="58"/>
        <v>17469.9802739726</v>
      </c>
      <c r="AF309">
        <f t="shared" si="59"/>
        <v>1.03493996054795</v>
      </c>
      <c r="AG309" s="5">
        <f>(AF309/AF308-1)-中国_中债国债到期收益率_1年!H309%/252</f>
        <v>0.000117143709730387</v>
      </c>
      <c r="AH309" s="5">
        <f>MIN((AF309-MAX($AF$151:AF309))/MAX($AF$151:AF309),0)</f>
        <v>0</v>
      </c>
    </row>
    <row r="310" spans="1:34">
      <c r="A310" s="7">
        <v>45160</v>
      </c>
      <c r="B310">
        <v>20</v>
      </c>
      <c r="C310">
        <v>40</v>
      </c>
      <c r="D310">
        <v>-10</v>
      </c>
      <c r="F310">
        <f t="shared" si="56"/>
        <v>50</v>
      </c>
      <c r="G310">
        <f t="shared" si="60"/>
        <v>20</v>
      </c>
      <c r="H310">
        <f t="shared" si="61"/>
        <v>200</v>
      </c>
      <c r="I310">
        <f t="shared" si="62"/>
        <v>-90</v>
      </c>
      <c r="J310">
        <f t="shared" si="63"/>
        <v>0</v>
      </c>
      <c r="K310">
        <f t="shared" si="57"/>
        <v>130</v>
      </c>
      <c r="L310">
        <f>G310*Return!B310*100</f>
        <v>-76.4</v>
      </c>
      <c r="M310">
        <f>H310*Return!C310*100</f>
        <v>401.999999999996</v>
      </c>
      <c r="N310">
        <f>I310*Return!D310*100</f>
        <v>-212.400000000001</v>
      </c>
      <c r="O310">
        <f>J310*Return!E310*100</f>
        <v>0</v>
      </c>
      <c r="P310">
        <f t="shared" si="64"/>
        <v>113.199999999995</v>
      </c>
      <c r="Q310">
        <f>SUM($P$148:P310)</f>
        <v>11234.2</v>
      </c>
      <c r="R310">
        <f>B310*中国_中债国债到期收益率_1年!B309/365*100</f>
        <v>10.2493150684932</v>
      </c>
      <c r="S310">
        <f>C310*中国_中债国债到期收益率_1年!C309/365*100</f>
        <v>25.7052054794521</v>
      </c>
      <c r="T310">
        <f>D310*中国_中债国债到期收益率_1年!D309/365*100</f>
        <v>-6.95972602739726</v>
      </c>
      <c r="U310">
        <f>E310*中国_中债国债到期收益率_1年!E309/365*100</f>
        <v>0</v>
      </c>
      <c r="V310">
        <f t="shared" si="65"/>
        <v>28.9947945205479</v>
      </c>
      <c r="W310">
        <f>SUM($V$148:V310)</f>
        <v>8051.53</v>
      </c>
      <c r="X310">
        <f>MAX(F310-50,0)*中国_中债国债到期收益率_1年!H310*100/365</f>
        <v>0</v>
      </c>
      <c r="Y310">
        <f>SUM($X$148:X310)</f>
        <v>2654.25493150685</v>
      </c>
      <c r="AB310">
        <f>Z310*Return!F314*100</f>
        <v>0</v>
      </c>
      <c r="AC310">
        <f>AA310*Return!G314*100</f>
        <v>0</v>
      </c>
      <c r="AD310">
        <f>SUM($AB$148:AB310)+SUM($AC$148:AC310)</f>
        <v>980.699999999999</v>
      </c>
      <c r="AE310">
        <f t="shared" si="58"/>
        <v>17612.1750684932</v>
      </c>
      <c r="AF310">
        <f t="shared" si="59"/>
        <v>1.03522435013699</v>
      </c>
      <c r="AG310" s="5">
        <f>(AF310/AF309-1)-中国_中债国债到期收益率_1年!H310%/252</f>
        <v>0.000197407537659082</v>
      </c>
      <c r="AH310" s="5">
        <f>MIN((AF310-MAX($AF$151:AF310))/MAX($AF$151:AF310),0)</f>
        <v>0</v>
      </c>
    </row>
    <row r="311" spans="1:34">
      <c r="A311" s="7">
        <v>45161</v>
      </c>
      <c r="B311">
        <v>20</v>
      </c>
      <c r="C311">
        <v>40</v>
      </c>
      <c r="D311">
        <v>-10</v>
      </c>
      <c r="F311">
        <f t="shared" si="56"/>
        <v>50</v>
      </c>
      <c r="G311">
        <f t="shared" si="60"/>
        <v>20</v>
      </c>
      <c r="H311">
        <f t="shared" si="61"/>
        <v>200</v>
      </c>
      <c r="I311">
        <f t="shared" si="62"/>
        <v>-90</v>
      </c>
      <c r="J311">
        <f t="shared" si="63"/>
        <v>0</v>
      </c>
      <c r="K311">
        <f t="shared" si="57"/>
        <v>130</v>
      </c>
      <c r="L311">
        <f>G311*Return!B311*100</f>
        <v>-56.9999999999999</v>
      </c>
      <c r="M311">
        <f>H311*Return!C311*100</f>
        <v>-359.999999999996</v>
      </c>
      <c r="N311">
        <f>I311*Return!D311*100</f>
        <v>144.900000000002</v>
      </c>
      <c r="O311">
        <f>J311*Return!E311*100</f>
        <v>0</v>
      </c>
      <c r="P311">
        <f t="shared" si="64"/>
        <v>-272.099999999994</v>
      </c>
      <c r="Q311">
        <f>SUM($P$148:P311)</f>
        <v>10962.1</v>
      </c>
      <c r="R311">
        <f>B311*中国_中债国债到期收益率_1年!B310/365*100</f>
        <v>10.4054794520548</v>
      </c>
      <c r="S311">
        <f>C311*中国_中债国债到期收益率_1年!C310/365*100</f>
        <v>25.9024657534247</v>
      </c>
      <c r="T311">
        <f>D311*中国_中债国债到期收益率_1年!D310/365*100</f>
        <v>-7.00383561643836</v>
      </c>
      <c r="U311">
        <f>E311*中国_中债国债到期收益率_1年!E310/365*100</f>
        <v>0</v>
      </c>
      <c r="V311">
        <f t="shared" si="65"/>
        <v>29.3041095890411</v>
      </c>
      <c r="W311">
        <f>SUM($V$148:V311)</f>
        <v>8080.83410958904</v>
      </c>
      <c r="X311">
        <f>MAX(F311-50,0)*中国_中债国债到期收益率_1年!H311*100/365</f>
        <v>0</v>
      </c>
      <c r="Y311">
        <f>SUM($X$148:X311)</f>
        <v>2654.25493150685</v>
      </c>
      <c r="AB311">
        <f>Z311*Return!F315*100</f>
        <v>0</v>
      </c>
      <c r="AC311">
        <f>AA311*Return!G315*100</f>
        <v>0</v>
      </c>
      <c r="AD311">
        <f>SUM($AB$148:AB311)+SUM($AC$148:AC311)</f>
        <v>980.699999999999</v>
      </c>
      <c r="AE311">
        <f t="shared" si="58"/>
        <v>17369.3791780822</v>
      </c>
      <c r="AF311">
        <f t="shared" si="59"/>
        <v>1.03473875835616</v>
      </c>
      <c r="AG311" s="5">
        <f>(AF311/AF310-1)-中国_中债国债到期收益率_1年!H311%/252</f>
        <v>-0.000545656427286963</v>
      </c>
      <c r="AH311" s="5">
        <f>MIN((AF311-MAX($AF$151:AF311))/MAX($AF$151:AF311),0)</f>
        <v>-0.000469069125699653</v>
      </c>
    </row>
    <row r="312" spans="1:34">
      <c r="A312" s="7">
        <v>45162</v>
      </c>
      <c r="B312">
        <v>20</v>
      </c>
      <c r="C312">
        <v>40</v>
      </c>
      <c r="D312">
        <v>-10</v>
      </c>
      <c r="F312">
        <f t="shared" si="56"/>
        <v>50</v>
      </c>
      <c r="G312">
        <f t="shared" si="60"/>
        <v>20</v>
      </c>
      <c r="H312">
        <f t="shared" si="61"/>
        <v>200</v>
      </c>
      <c r="I312">
        <f t="shared" si="62"/>
        <v>-90</v>
      </c>
      <c r="J312">
        <f t="shared" si="63"/>
        <v>0</v>
      </c>
      <c r="K312">
        <f t="shared" si="57"/>
        <v>130</v>
      </c>
      <c r="L312">
        <f>G312*Return!B312*100</f>
        <v>5.19999999999987</v>
      </c>
      <c r="M312">
        <f>H312*Return!C312*100</f>
        <v>-57.9999999999981</v>
      </c>
      <c r="N312">
        <f>I312*Return!D312*100</f>
        <v>-26.0999999999991</v>
      </c>
      <c r="O312">
        <f>J312*Return!E312*100</f>
        <v>0</v>
      </c>
      <c r="P312">
        <f t="shared" si="64"/>
        <v>-78.8999999999973</v>
      </c>
      <c r="Q312">
        <f>SUM($P$148:P312)</f>
        <v>10883.2</v>
      </c>
      <c r="R312">
        <f>B312*中国_中债国债到期收益率_1年!B311/365*100</f>
        <v>10.3912328767123</v>
      </c>
      <c r="S312">
        <f>C312*中国_中债国债到期收益率_1年!C311/365*100</f>
        <v>25.9342465753425</v>
      </c>
      <c r="T312">
        <f>D312*中国_中债国债到期收益率_1年!D311/365*100</f>
        <v>-6.9958904109589</v>
      </c>
      <c r="U312">
        <f>E312*中国_中债国债到期收益率_1年!E311/365*100</f>
        <v>0</v>
      </c>
      <c r="V312">
        <f t="shared" si="65"/>
        <v>29.3295890410959</v>
      </c>
      <c r="W312">
        <f>SUM($V$148:V312)</f>
        <v>8110.16369863014</v>
      </c>
      <c r="X312">
        <f>MAX(F312-50,0)*中国_中债国债到期收益率_1年!H312*100/365</f>
        <v>0</v>
      </c>
      <c r="Y312">
        <f>SUM($X$148:X312)</f>
        <v>2654.25493150685</v>
      </c>
      <c r="AB312">
        <f>Z312*Return!F316*100</f>
        <v>0</v>
      </c>
      <c r="AC312">
        <f>AA312*Return!G316*100</f>
        <v>0</v>
      </c>
      <c r="AD312">
        <f>SUM($AB$148:AB312)+SUM($AC$148:AC312)</f>
        <v>980.699999999999</v>
      </c>
      <c r="AE312">
        <f t="shared" si="58"/>
        <v>17319.8087671233</v>
      </c>
      <c r="AF312">
        <f t="shared" si="59"/>
        <v>1.03463961753425</v>
      </c>
      <c r="AG312" s="5">
        <f>(AF312/AF311-1)-中国_中债国债到期收益率_1年!H312%/252</f>
        <v>-0.000169225115911707</v>
      </c>
      <c r="AH312" s="5">
        <f>MIN((AF312-MAX($AF$151:AF312))/MAX($AF$151:AF312),0)</f>
        <v>-0.000564836600551705</v>
      </c>
    </row>
    <row r="313" spans="1:34">
      <c r="A313" s="7">
        <v>45163</v>
      </c>
      <c r="B313">
        <v>20</v>
      </c>
      <c r="C313">
        <v>40</v>
      </c>
      <c r="D313">
        <v>-10</v>
      </c>
      <c r="F313">
        <f t="shared" si="56"/>
        <v>50</v>
      </c>
      <c r="G313">
        <f t="shared" si="60"/>
        <v>20</v>
      </c>
      <c r="H313">
        <f t="shared" si="61"/>
        <v>200</v>
      </c>
      <c r="I313">
        <f t="shared" si="62"/>
        <v>-90</v>
      </c>
      <c r="J313">
        <f t="shared" si="63"/>
        <v>0</v>
      </c>
      <c r="K313">
        <f t="shared" si="57"/>
        <v>130</v>
      </c>
      <c r="L313">
        <f>G313*Return!B313*100</f>
        <v>38.4000000000002</v>
      </c>
      <c r="M313">
        <f>H313*Return!C313*100</f>
        <v>23.9999999999974</v>
      </c>
      <c r="N313">
        <f>I313*Return!D313*100</f>
        <v>7.19999999999921</v>
      </c>
      <c r="O313">
        <f>J313*Return!E313*100</f>
        <v>0</v>
      </c>
      <c r="P313">
        <f t="shared" si="64"/>
        <v>69.5999999999968</v>
      </c>
      <c r="Q313">
        <f>SUM($P$148:P313)</f>
        <v>10952.8</v>
      </c>
      <c r="R313">
        <f>B313*中国_中债国债到期收益率_1年!B312/365*100</f>
        <v>10.2860273972603</v>
      </c>
      <c r="S313">
        <f>C313*中国_中债国债到期收益率_1年!C312/365*100</f>
        <v>25.921095890411</v>
      </c>
      <c r="T313">
        <f>D313*中国_中债国债到期收益率_1年!D312/365*100</f>
        <v>-6.99808219178082</v>
      </c>
      <c r="U313">
        <f>E313*中国_中债国债到期收益率_1年!E312/365*100</f>
        <v>0</v>
      </c>
      <c r="V313">
        <f t="shared" si="65"/>
        <v>29.2090410958904</v>
      </c>
      <c r="W313">
        <f>SUM($V$148:V313)</f>
        <v>8139.37273972603</v>
      </c>
      <c r="X313">
        <f>MAX(F313-50,0)*中国_中债国债到期收益率_1年!H313*100/365</f>
        <v>0</v>
      </c>
      <c r="Y313">
        <f>SUM($X$148:X313)</f>
        <v>2654.25493150685</v>
      </c>
      <c r="AB313">
        <f>Z313*Return!F317*100</f>
        <v>0</v>
      </c>
      <c r="AC313">
        <f>AA313*Return!G317*100</f>
        <v>0</v>
      </c>
      <c r="AD313">
        <f>SUM($AB$148:AB313)+SUM($AC$148:AC313)</f>
        <v>980.699999999999</v>
      </c>
      <c r="AE313">
        <f t="shared" si="58"/>
        <v>17418.6178082192</v>
      </c>
      <c r="AF313">
        <f t="shared" si="59"/>
        <v>1.03483723561644</v>
      </c>
      <c r="AG313" s="5">
        <f>(AF313/AF312-1)-中国_中债国债到期收益率_1年!H313%/252</f>
        <v>0.000105684390803182</v>
      </c>
      <c r="AH313" s="5">
        <f>MIN((AF313-MAX($AF$151:AF313))/MAX($AF$151:AF313),0)</f>
        <v>-0.000373942634267271</v>
      </c>
    </row>
    <row r="314" spans="1:34">
      <c r="A314" s="7">
        <v>45166</v>
      </c>
      <c r="B314">
        <v>20</v>
      </c>
      <c r="C314">
        <v>40</v>
      </c>
      <c r="D314">
        <v>-10</v>
      </c>
      <c r="F314">
        <f t="shared" si="56"/>
        <v>50</v>
      </c>
      <c r="G314">
        <f t="shared" si="60"/>
        <v>20</v>
      </c>
      <c r="H314">
        <f t="shared" si="61"/>
        <v>200</v>
      </c>
      <c r="I314">
        <f t="shared" si="62"/>
        <v>-90</v>
      </c>
      <c r="J314">
        <f t="shared" si="63"/>
        <v>0</v>
      </c>
      <c r="K314">
        <f t="shared" si="57"/>
        <v>130</v>
      </c>
      <c r="L314">
        <f>G314*Return!B314*100</f>
        <v>-35.8000000000001</v>
      </c>
      <c r="M314">
        <f>H314*Return!C314*100</f>
        <v>-448.000000000004</v>
      </c>
      <c r="N314">
        <f>I314*Return!D314*100</f>
        <v>143.099999999998</v>
      </c>
      <c r="O314">
        <f>J314*Return!E314*100</f>
        <v>0</v>
      </c>
      <c r="P314">
        <f t="shared" si="64"/>
        <v>-340.700000000006</v>
      </c>
      <c r="Q314">
        <f>SUM($P$148:P314)</f>
        <v>10612.1</v>
      </c>
      <c r="R314">
        <f>B314*中国_中债国债到期收益率_1年!B313/365*100</f>
        <v>10.3841095890411</v>
      </c>
      <c r="S314">
        <f>C314*中国_中债国债到期收益率_1年!C313/365*100</f>
        <v>26.1665753424658</v>
      </c>
      <c r="T314">
        <f>D314*中国_中债国债到期收益率_1年!D313/365*100</f>
        <v>-7.04164383561644</v>
      </c>
      <c r="U314">
        <f>E314*中国_中债国债到期收益率_1年!E313/365*100</f>
        <v>0</v>
      </c>
      <c r="V314">
        <f t="shared" si="65"/>
        <v>29.5090410958904</v>
      </c>
      <c r="W314">
        <f>SUM($V$148:V314)</f>
        <v>8168.88178082192</v>
      </c>
      <c r="X314">
        <f>MAX(F314-50,0)*中国_中债国债到期收益率_1年!H314*100/365</f>
        <v>0</v>
      </c>
      <c r="Y314">
        <f>SUM($X$148:X314)</f>
        <v>2654.25493150685</v>
      </c>
      <c r="AB314">
        <f>Z314*Return!F318*100</f>
        <v>0</v>
      </c>
      <c r="AC314">
        <f>AA314*Return!G318*100</f>
        <v>0</v>
      </c>
      <c r="AD314">
        <f>SUM($AB$148:AB314)+SUM($AC$148:AC314)</f>
        <v>980.699999999999</v>
      </c>
      <c r="AE314">
        <f t="shared" si="58"/>
        <v>17107.4268493151</v>
      </c>
      <c r="AF314">
        <f t="shared" si="59"/>
        <v>1.03421485369863</v>
      </c>
      <c r="AG314" s="5">
        <f>(AF314/AF313-1)-中国_中债国债到期收益率_1年!H314%/252</f>
        <v>-0.000688731354599632</v>
      </c>
      <c r="AH314" s="5">
        <f>MIN((AF314-MAX($AF$151:AF314))/MAX($AF$151:AF314),0)</f>
        <v>-0.000975147501333827</v>
      </c>
    </row>
    <row r="315" spans="1:34">
      <c r="A315" s="7">
        <v>45167</v>
      </c>
      <c r="B315">
        <v>20</v>
      </c>
      <c r="C315">
        <v>40</v>
      </c>
      <c r="D315">
        <v>-10</v>
      </c>
      <c r="F315">
        <f t="shared" si="56"/>
        <v>50</v>
      </c>
      <c r="G315">
        <f t="shared" si="60"/>
        <v>20</v>
      </c>
      <c r="H315">
        <f t="shared" si="61"/>
        <v>200</v>
      </c>
      <c r="I315">
        <f t="shared" si="62"/>
        <v>-90</v>
      </c>
      <c r="J315">
        <f t="shared" si="63"/>
        <v>0</v>
      </c>
      <c r="K315">
        <f t="shared" si="57"/>
        <v>130</v>
      </c>
      <c r="L315">
        <f>G315*Return!B315*100</f>
        <v>-58.8000000000002</v>
      </c>
      <c r="M315">
        <f>H315*Return!C315*100</f>
        <v>-396.000000000001</v>
      </c>
      <c r="N315">
        <f>I315*Return!D315*100</f>
        <v>121.500000000001</v>
      </c>
      <c r="O315">
        <f>J315*Return!E315*100</f>
        <v>0</v>
      </c>
      <c r="P315">
        <f t="shared" si="64"/>
        <v>-333.3</v>
      </c>
      <c r="Q315">
        <f>SUM($P$148:P315)</f>
        <v>10278.8</v>
      </c>
      <c r="R315">
        <f>B315*中国_中债国债到期收益率_1年!B314/365*100</f>
        <v>10.5452054794521</v>
      </c>
      <c r="S315">
        <f>C315*中国_中债国债到期收益率_1年!C314/365*100</f>
        <v>26.3835616438356</v>
      </c>
      <c r="T315">
        <f>D315*中国_中债国债到期收益率_1年!D314/365*100</f>
        <v>-7.0786301369863</v>
      </c>
      <c r="U315">
        <f>E315*中国_中债国债到期收益率_1年!E314/365*100</f>
        <v>0</v>
      </c>
      <c r="V315">
        <f t="shared" si="65"/>
        <v>29.8501369863014</v>
      </c>
      <c r="W315">
        <f>SUM($V$148:V315)</f>
        <v>8198.73191780822</v>
      </c>
      <c r="X315">
        <f>MAX(F315-50,0)*中国_中债国债到期收益率_1年!H315*100/365</f>
        <v>0</v>
      </c>
      <c r="Y315">
        <f>SUM($X$148:X315)</f>
        <v>2654.25493150685</v>
      </c>
      <c r="AB315">
        <f>Z315*Return!F319*100</f>
        <v>0</v>
      </c>
      <c r="AC315">
        <f>AA315*Return!G319*100</f>
        <v>0</v>
      </c>
      <c r="AD315">
        <f>SUM($AB$148:AB315)+SUM($AC$148:AC315)</f>
        <v>980.699999999999</v>
      </c>
      <c r="AE315">
        <f t="shared" si="58"/>
        <v>16803.9769863014</v>
      </c>
      <c r="AF315">
        <f t="shared" si="59"/>
        <v>1.0336079539726</v>
      </c>
      <c r="AG315" s="5">
        <f>(AF315/AF314-1)-中国_中债国债到期收益率_1年!H315%/252</f>
        <v>-0.00067610742145533</v>
      </c>
      <c r="AH315" s="5">
        <f>MIN((AF315-MAX($AF$151:AF315))/MAX($AF$151:AF315),0)</f>
        <v>-0.00156139697078193</v>
      </c>
    </row>
    <row r="316" spans="1:34">
      <c r="A316" s="7">
        <v>45168</v>
      </c>
      <c r="B316">
        <v>20</v>
      </c>
      <c r="C316">
        <v>40</v>
      </c>
      <c r="D316">
        <v>-10</v>
      </c>
      <c r="F316">
        <f t="shared" si="56"/>
        <v>50</v>
      </c>
      <c r="G316">
        <f t="shared" si="60"/>
        <v>20</v>
      </c>
      <c r="H316">
        <f t="shared" si="61"/>
        <v>200</v>
      </c>
      <c r="I316">
        <f t="shared" si="62"/>
        <v>-90</v>
      </c>
      <c r="J316">
        <f t="shared" si="63"/>
        <v>0</v>
      </c>
      <c r="K316">
        <f t="shared" si="57"/>
        <v>130</v>
      </c>
      <c r="L316">
        <f>G316*Return!B316*100</f>
        <v>-131.4</v>
      </c>
      <c r="M316">
        <f>H316*Return!C316*100</f>
        <v>-255.999999999998</v>
      </c>
      <c r="N316">
        <f>I316*Return!D316*100</f>
        <v>-123.3</v>
      </c>
      <c r="O316">
        <f>J316*Return!E316*100</f>
        <v>0</v>
      </c>
      <c r="P316">
        <f t="shared" si="64"/>
        <v>-510.699999999999</v>
      </c>
      <c r="Q316">
        <f>SUM($P$148:P316)</f>
        <v>9768.1</v>
      </c>
      <c r="R316">
        <f>B316*中国_中债国债到期收益率_1年!B315/365*100</f>
        <v>10.9052054794521</v>
      </c>
      <c r="S316">
        <f>C316*中国_中债国债到期收益率_1年!C315/365*100</f>
        <v>26.5238356164384</v>
      </c>
      <c r="T316">
        <f>D316*中国_中债国债到期收益率_1年!D315/365*100</f>
        <v>-7.04109589041096</v>
      </c>
      <c r="U316">
        <f>E316*中国_中债国债到期收益率_1年!E315/365*100</f>
        <v>0</v>
      </c>
      <c r="V316">
        <f t="shared" si="65"/>
        <v>30.3879452054795</v>
      </c>
      <c r="W316">
        <f>SUM($V$148:V316)</f>
        <v>8229.1198630137</v>
      </c>
      <c r="X316">
        <f>MAX(F316-50,0)*中国_中债国债到期收益率_1年!H316*100/365</f>
        <v>0</v>
      </c>
      <c r="Y316">
        <f>SUM($X$148:X316)</f>
        <v>2654.25493150685</v>
      </c>
      <c r="AB316">
        <f>Z316*Return!F320*100</f>
        <v>0</v>
      </c>
      <c r="AC316">
        <f>AA316*Return!G320*100</f>
        <v>0</v>
      </c>
      <c r="AD316">
        <f>SUM($AB$148:AB316)+SUM($AC$148:AC316)</f>
        <v>980.699999999999</v>
      </c>
      <c r="AE316">
        <f t="shared" si="58"/>
        <v>16323.6649315068</v>
      </c>
      <c r="AF316">
        <f t="shared" si="59"/>
        <v>1.03264732986301</v>
      </c>
      <c r="AG316" s="5">
        <f>(AF316/AF315-1)-中国_中债国债到期收益率_1年!H316%/252</f>
        <v>-0.00102462733406589</v>
      </c>
      <c r="AH316" s="5">
        <f>MIN((AF316-MAX($AF$151:AF316))/MAX($AF$151:AF316),0)</f>
        <v>-0.00248933506406756</v>
      </c>
    </row>
    <row r="317" spans="1:34">
      <c r="A317" s="7">
        <v>45169</v>
      </c>
      <c r="B317">
        <v>20</v>
      </c>
      <c r="C317">
        <v>40</v>
      </c>
      <c r="D317">
        <v>-10</v>
      </c>
      <c r="F317">
        <f t="shared" si="56"/>
        <v>50</v>
      </c>
      <c r="G317">
        <f t="shared" si="60"/>
        <v>20</v>
      </c>
      <c r="H317">
        <f t="shared" si="61"/>
        <v>200</v>
      </c>
      <c r="I317">
        <f t="shared" si="62"/>
        <v>-90</v>
      </c>
      <c r="J317">
        <f t="shared" si="63"/>
        <v>0</v>
      </c>
      <c r="K317">
        <f t="shared" si="57"/>
        <v>130</v>
      </c>
      <c r="L317">
        <f>G317*Return!B317*100</f>
        <v>102</v>
      </c>
      <c r="M317">
        <f>H317*Return!C317*100</f>
        <v>428.000000000006</v>
      </c>
      <c r="N317">
        <f>I317*Return!D317*100</f>
        <v>-89.9999999999981</v>
      </c>
      <c r="O317">
        <f>J317*Return!E317*100</f>
        <v>0</v>
      </c>
      <c r="P317">
        <f t="shared" si="64"/>
        <v>440.000000000008</v>
      </c>
      <c r="Q317">
        <f>SUM($P$148:P317)</f>
        <v>10208.1</v>
      </c>
      <c r="R317">
        <f>B317*中国_中债国债到期收益率_1年!B316/365*100</f>
        <v>10.6257534246575</v>
      </c>
      <c r="S317">
        <f>C317*中国_中债国债到期收益率_1年!C316/365*100</f>
        <v>26.2893150684931</v>
      </c>
      <c r="T317">
        <f>D317*中国_中债国债到期收益率_1年!D316/365*100</f>
        <v>-7.01369863013699</v>
      </c>
      <c r="U317">
        <f>E317*中国_中债国债到期收益率_1年!E316/365*100</f>
        <v>0</v>
      </c>
      <c r="V317">
        <f t="shared" si="65"/>
        <v>29.9013698630137</v>
      </c>
      <c r="W317">
        <f>SUM($V$148:V317)</f>
        <v>8259.02123287671</v>
      </c>
      <c r="X317">
        <f>MAX(F317-50,0)*中国_中债国债到期收益率_1年!H317*100/365</f>
        <v>0</v>
      </c>
      <c r="Y317">
        <f>SUM($X$148:X317)</f>
        <v>2654.25493150685</v>
      </c>
      <c r="AB317">
        <f>Z317*Return!F321*100</f>
        <v>0</v>
      </c>
      <c r="AC317">
        <f>AA317*Return!G321*100</f>
        <v>0</v>
      </c>
      <c r="AD317">
        <f>SUM($AB$148:AB317)+SUM($AC$148:AC317)</f>
        <v>980.699999999999</v>
      </c>
      <c r="AE317">
        <f t="shared" si="58"/>
        <v>16793.5663013699</v>
      </c>
      <c r="AF317">
        <f t="shared" si="59"/>
        <v>1.03358713260274</v>
      </c>
      <c r="AG317" s="5">
        <f>(AF317/AF316-1)-中国_中债国债到期收益率_1年!H317%/252</f>
        <v>0.000819614517694972</v>
      </c>
      <c r="AH317" s="5">
        <f>MIN((AF317-MAX($AF$151:AF317))/MAX($AF$151:AF317),0)</f>
        <v>-0.00158150987660777</v>
      </c>
    </row>
    <row r="318" spans="1:34">
      <c r="A318" s="7">
        <v>45170</v>
      </c>
      <c r="B318">
        <v>20</v>
      </c>
      <c r="C318">
        <v>40</v>
      </c>
      <c r="D318">
        <v>-10</v>
      </c>
      <c r="F318">
        <f t="shared" si="56"/>
        <v>50</v>
      </c>
      <c r="G318">
        <f t="shared" si="60"/>
        <v>20</v>
      </c>
      <c r="H318">
        <f t="shared" si="61"/>
        <v>200</v>
      </c>
      <c r="I318">
        <f t="shared" si="62"/>
        <v>-90</v>
      </c>
      <c r="J318">
        <f t="shared" si="63"/>
        <v>0</v>
      </c>
      <c r="K318">
        <f t="shared" si="57"/>
        <v>130</v>
      </c>
      <c r="L318">
        <f>G318*Return!B318*100</f>
        <v>68.2</v>
      </c>
      <c r="M318">
        <f>H318*Return!C318*100</f>
        <v>-14.0000000000029</v>
      </c>
      <c r="N318">
        <f>I318*Return!D318*100</f>
        <v>-22.4999999999995</v>
      </c>
      <c r="O318">
        <f>J318*Return!E318*100</f>
        <v>0</v>
      </c>
      <c r="P318">
        <f t="shared" si="64"/>
        <v>31.6999999999976</v>
      </c>
      <c r="Q318">
        <f>SUM($P$148:P318)</f>
        <v>10239.8</v>
      </c>
      <c r="R318">
        <f>B318*中国_中债国债到期收益率_1年!B317/365*100</f>
        <v>10.438904109589</v>
      </c>
      <c r="S318">
        <f>C318*中国_中债国债到期收益率_1年!C317/365*100</f>
        <v>26.2969863013699</v>
      </c>
      <c r="T318">
        <f>D318*中国_中债国债到期收益率_1年!D317/365*100</f>
        <v>-7.00684931506849</v>
      </c>
      <c r="U318">
        <f>E318*中国_中债国债到期收益率_1年!E317/365*100</f>
        <v>0</v>
      </c>
      <c r="V318">
        <f t="shared" si="65"/>
        <v>29.7290410958904</v>
      </c>
      <c r="W318">
        <f>SUM($V$148:V318)</f>
        <v>8288.7502739726</v>
      </c>
      <c r="X318">
        <f>MAX(F318-50,0)*中国_中债国债到期收益率_1年!H318*100/365</f>
        <v>0</v>
      </c>
      <c r="Y318">
        <f>SUM($X$148:X318)</f>
        <v>2654.25493150685</v>
      </c>
      <c r="AB318">
        <f>Z318*Return!F322*100</f>
        <v>0</v>
      </c>
      <c r="AC318">
        <f>AA318*Return!G322*100</f>
        <v>0</v>
      </c>
      <c r="AD318">
        <f>SUM($AB$148:AB318)+SUM($AC$148:AC318)</f>
        <v>980.699999999999</v>
      </c>
      <c r="AE318">
        <f t="shared" si="58"/>
        <v>16854.9953424658</v>
      </c>
      <c r="AF318">
        <f t="shared" si="59"/>
        <v>1.03370999068493</v>
      </c>
      <c r="AG318" s="5">
        <f>(AF318/AF317-1)-中国_中债国债到期收益率_1年!H318%/252</f>
        <v>4.14847709976504e-5</v>
      </c>
      <c r="AH318" s="5">
        <f>MIN((AF318-MAX($AF$151:AF318))/MAX($AF$151:AF318),0)</f>
        <v>-0.00146283214054462</v>
      </c>
    </row>
    <row r="319" spans="1:34">
      <c r="A319" s="7">
        <v>45173</v>
      </c>
      <c r="B319">
        <v>20</v>
      </c>
      <c r="C319">
        <v>40</v>
      </c>
      <c r="D319">
        <v>-10</v>
      </c>
      <c r="F319">
        <f t="shared" si="56"/>
        <v>50</v>
      </c>
      <c r="G319">
        <f t="shared" si="60"/>
        <v>20</v>
      </c>
      <c r="H319">
        <f t="shared" si="61"/>
        <v>200</v>
      </c>
      <c r="I319">
        <f t="shared" si="62"/>
        <v>-90</v>
      </c>
      <c r="J319">
        <f t="shared" si="63"/>
        <v>0</v>
      </c>
      <c r="K319">
        <f t="shared" si="57"/>
        <v>130</v>
      </c>
      <c r="L319">
        <f>G319*Return!B319*100</f>
        <v>-105.4</v>
      </c>
      <c r="M319">
        <f>H319*Return!C319*100</f>
        <v>-772.000000000004</v>
      </c>
      <c r="N319">
        <f>I319*Return!D319*100</f>
        <v>247.499999999999</v>
      </c>
      <c r="O319">
        <f>J319*Return!E319*100</f>
        <v>0</v>
      </c>
      <c r="P319">
        <f t="shared" si="64"/>
        <v>-629.900000000005</v>
      </c>
      <c r="Q319">
        <f>SUM($P$148:P319)</f>
        <v>9609.9</v>
      </c>
      <c r="R319">
        <f>B319*中国_中债国债到期收益率_1年!B318/365*100</f>
        <v>10.7276712328767</v>
      </c>
      <c r="S319">
        <f>C319*中国_中债国债到期收益率_1年!C318/365*100</f>
        <v>26.72</v>
      </c>
      <c r="T319">
        <f>D319*中国_中债国债到期收益率_1年!D318/365*100</f>
        <v>-7.08219178082192</v>
      </c>
      <c r="U319">
        <f>E319*中国_中债国债到期收益率_1年!E318/365*100</f>
        <v>0</v>
      </c>
      <c r="V319">
        <f t="shared" si="65"/>
        <v>30.3654794520548</v>
      </c>
      <c r="W319">
        <f>SUM($V$148:V319)</f>
        <v>8319.11575342466</v>
      </c>
      <c r="X319">
        <f>MAX(F319-50,0)*中国_中债国债到期收益率_1年!H319*100/365</f>
        <v>0</v>
      </c>
      <c r="Y319">
        <f>SUM($X$148:X319)</f>
        <v>2654.25493150685</v>
      </c>
      <c r="AB319">
        <f>Z319*Return!F323*100</f>
        <v>0</v>
      </c>
      <c r="AC319">
        <f>AA319*Return!G323*100</f>
        <v>0</v>
      </c>
      <c r="AD319">
        <f>SUM($AB$148:AB319)+SUM($AC$148:AC319)</f>
        <v>980.699999999999</v>
      </c>
      <c r="AE319">
        <f t="shared" si="58"/>
        <v>16255.4608219178</v>
      </c>
      <c r="AF319">
        <f t="shared" si="59"/>
        <v>1.03251092164384</v>
      </c>
      <c r="AG319" s="5">
        <f>(AF319/AF318-1)-中国_中债国债到期收益率_1年!H319%/252</f>
        <v>-0.00123377610234809</v>
      </c>
      <c r="AH319" s="5">
        <f>MIN((AF319-MAX($AF$151:AF319))/MAX($AF$151:AF319),0)</f>
        <v>-0.00262110188269011</v>
      </c>
    </row>
    <row r="320" spans="1:34">
      <c r="A320" s="7">
        <v>45174</v>
      </c>
      <c r="B320">
        <v>20</v>
      </c>
      <c r="C320">
        <v>40</v>
      </c>
      <c r="D320">
        <v>-10</v>
      </c>
      <c r="F320">
        <f t="shared" si="56"/>
        <v>50</v>
      </c>
      <c r="G320">
        <f t="shared" si="60"/>
        <v>20</v>
      </c>
      <c r="H320">
        <f t="shared" si="61"/>
        <v>200</v>
      </c>
      <c r="I320">
        <f t="shared" si="62"/>
        <v>-90</v>
      </c>
      <c r="J320">
        <f t="shared" si="63"/>
        <v>0</v>
      </c>
      <c r="K320">
        <f t="shared" si="57"/>
        <v>130</v>
      </c>
      <c r="L320">
        <f>G320*Return!B320*100</f>
        <v>-48.8</v>
      </c>
      <c r="M320">
        <f>H320*Return!C320*100</f>
        <v>-617.999999999999</v>
      </c>
      <c r="N320">
        <f>I320*Return!D320*100</f>
        <v>246.600000000001</v>
      </c>
      <c r="O320">
        <f>J320*Return!E320*100</f>
        <v>0</v>
      </c>
      <c r="P320">
        <f t="shared" si="64"/>
        <v>-420.199999999998</v>
      </c>
      <c r="Q320">
        <f>SUM($P$148:P320)</f>
        <v>9189.7</v>
      </c>
      <c r="R320">
        <f>B320*中国_中债国债到期收益率_1年!B319/365*100</f>
        <v>10.8613698630137</v>
      </c>
      <c r="S320">
        <f>C320*中国_中债国债到期收益率_1年!C319/365*100</f>
        <v>27.0586301369863</v>
      </c>
      <c r="T320">
        <f>D320*中国_中债国债到期收益率_1年!D319/365*100</f>
        <v>-7.1572602739726</v>
      </c>
      <c r="U320">
        <f>E320*中国_中债国债到期收益率_1年!E319/365*100</f>
        <v>0</v>
      </c>
      <c r="V320">
        <f t="shared" si="65"/>
        <v>30.7627397260274</v>
      </c>
      <c r="W320">
        <f>SUM($V$148:V320)</f>
        <v>8349.87849315069</v>
      </c>
      <c r="X320">
        <f>MAX(F320-50,0)*中国_中债国债到期收益率_1年!H320*100/365</f>
        <v>0</v>
      </c>
      <c r="Y320">
        <f>SUM($X$148:X320)</f>
        <v>2654.25493150685</v>
      </c>
      <c r="AB320">
        <f>Z320*Return!F324*100</f>
        <v>0</v>
      </c>
      <c r="AC320">
        <f>AA320*Return!G324*100</f>
        <v>0</v>
      </c>
      <c r="AD320">
        <f>SUM($AB$148:AB320)+SUM($AC$148:AC320)</f>
        <v>980.699999999999</v>
      </c>
      <c r="AE320">
        <f t="shared" si="58"/>
        <v>15866.0235616438</v>
      </c>
      <c r="AF320">
        <f t="shared" si="59"/>
        <v>1.03173204712329</v>
      </c>
      <c r="AG320" s="5">
        <f>(AF320/AF319-1)-中国_中债国债到期收益率_1年!H320%/252</f>
        <v>-0.000827762608153025</v>
      </c>
      <c r="AH320" s="5">
        <f>MIN((AF320-MAX($AF$151:AF320))/MAX($AF$151:AF320),0)</f>
        <v>-0.00337347456446181</v>
      </c>
    </row>
    <row r="321" spans="1:34">
      <c r="A321" s="7">
        <v>45175</v>
      </c>
      <c r="B321">
        <v>20</v>
      </c>
      <c r="C321">
        <v>40</v>
      </c>
      <c r="D321">
        <v>-10</v>
      </c>
      <c r="F321">
        <f t="shared" si="56"/>
        <v>50</v>
      </c>
      <c r="G321">
        <f t="shared" si="60"/>
        <v>20</v>
      </c>
      <c r="H321">
        <f t="shared" si="61"/>
        <v>200</v>
      </c>
      <c r="I321">
        <f t="shared" si="62"/>
        <v>-90</v>
      </c>
      <c r="J321">
        <f t="shared" si="63"/>
        <v>0</v>
      </c>
      <c r="K321">
        <f t="shared" si="57"/>
        <v>130</v>
      </c>
      <c r="L321">
        <f>G321*Return!B321*100</f>
        <v>-21.3999999999999</v>
      </c>
      <c r="M321">
        <f>H321*Return!C321*100</f>
        <v>-11.9999999999987</v>
      </c>
      <c r="N321">
        <f>I321*Return!D321*100</f>
        <v>23.4000000000014</v>
      </c>
      <c r="O321">
        <f>J321*Return!E321*100</f>
        <v>0</v>
      </c>
      <c r="P321">
        <f t="shared" si="64"/>
        <v>-9.99999999999712</v>
      </c>
      <c r="Q321">
        <f>SUM($P$148:P321)</f>
        <v>9179.7</v>
      </c>
      <c r="R321">
        <f>B321*中国_中债国债到期收益率_1年!B320/365*100</f>
        <v>10.92</v>
      </c>
      <c r="S321">
        <f>C321*中国_中债国债到期收益率_1年!C320/365*100</f>
        <v>27.0652054794521</v>
      </c>
      <c r="T321">
        <f>D321*中国_中债国债到期收益率_1年!D320/365*100</f>
        <v>-7.16438356164384</v>
      </c>
      <c r="U321">
        <f>E321*中国_中债国债到期收益率_1年!E320/365*100</f>
        <v>0</v>
      </c>
      <c r="V321">
        <f t="shared" si="65"/>
        <v>30.8208219178082</v>
      </c>
      <c r="W321">
        <f>SUM($V$148:V321)</f>
        <v>8380.69931506849</v>
      </c>
      <c r="X321">
        <f>MAX(F321-50,0)*中国_中债国债到期收益率_1年!H321*100/365</f>
        <v>0</v>
      </c>
      <c r="Y321">
        <f>SUM($X$148:X321)</f>
        <v>2654.25493150685</v>
      </c>
      <c r="AB321">
        <f>Z321*Return!F325*100</f>
        <v>0</v>
      </c>
      <c r="AC321">
        <f>AA321*Return!G325*100</f>
        <v>0</v>
      </c>
      <c r="AD321">
        <f>SUM($AB$148:AB321)+SUM($AC$148:AC321)</f>
        <v>980.699999999999</v>
      </c>
      <c r="AE321">
        <f t="shared" si="58"/>
        <v>15886.8443835617</v>
      </c>
      <c r="AF321">
        <f t="shared" si="59"/>
        <v>1.03177368876712</v>
      </c>
      <c r="AG321" s="5">
        <f>(AF321/AF320-1)-中国_中债国债到期收益率_1年!H321%/252</f>
        <v>-3.42422650511127e-5</v>
      </c>
      <c r="AH321" s="5">
        <f>MIN((AF321-MAX($AF$151:AF321))/MAX($AF$151:AF321),0)</f>
        <v>-0.00333324981141162</v>
      </c>
    </row>
    <row r="322" spans="1:34">
      <c r="A322" s="7">
        <v>45176</v>
      </c>
      <c r="B322">
        <v>20</v>
      </c>
      <c r="C322">
        <v>40</v>
      </c>
      <c r="D322">
        <v>-10</v>
      </c>
      <c r="F322">
        <f t="shared" si="56"/>
        <v>50</v>
      </c>
      <c r="G322">
        <f t="shared" si="60"/>
        <v>20</v>
      </c>
      <c r="H322">
        <f t="shared" si="61"/>
        <v>200</v>
      </c>
      <c r="I322">
        <f t="shared" si="62"/>
        <v>-90</v>
      </c>
      <c r="J322">
        <f t="shared" si="63"/>
        <v>0</v>
      </c>
      <c r="K322">
        <f t="shared" si="57"/>
        <v>130</v>
      </c>
      <c r="L322">
        <f>G322*Return!B322*100</f>
        <v>-174.4</v>
      </c>
      <c r="M322">
        <f>H322*Return!C322*100</f>
        <v>-683.999999999996</v>
      </c>
      <c r="N322">
        <f>I322*Return!D322*100</f>
        <v>202.5</v>
      </c>
      <c r="O322">
        <f>J322*Return!E322*100</f>
        <v>0</v>
      </c>
      <c r="P322">
        <f t="shared" si="64"/>
        <v>-655.899999999996</v>
      </c>
      <c r="Q322">
        <f>SUM($P$148:P322)</f>
        <v>8523.80000000001</v>
      </c>
      <c r="R322">
        <f>B322*中国_中债国债到期收益率_1年!B321/365*100</f>
        <v>11.3978082191781</v>
      </c>
      <c r="S322">
        <f>C322*中国_中债国债到期收益率_1年!C321/365*100</f>
        <v>27.44</v>
      </c>
      <c r="T322">
        <f>D322*中国_中债国债到期收益率_1年!D321/365*100</f>
        <v>-7.22602739726027</v>
      </c>
      <c r="U322">
        <f>E322*中国_中债国债到期收益率_1年!E321/365*100</f>
        <v>0</v>
      </c>
      <c r="V322">
        <f t="shared" si="65"/>
        <v>31.6117808219178</v>
      </c>
      <c r="W322">
        <f>SUM($V$148:V322)</f>
        <v>8412.31109589041</v>
      </c>
      <c r="X322">
        <f>MAX(F322-50,0)*中国_中债国债到期收益率_1年!H322*100/365</f>
        <v>0</v>
      </c>
      <c r="Y322">
        <f>SUM($X$148:X322)</f>
        <v>2654.25493150685</v>
      </c>
      <c r="AB322">
        <f>Z322*Return!F326*100</f>
        <v>0</v>
      </c>
      <c r="AC322">
        <f>AA322*Return!G326*100</f>
        <v>0</v>
      </c>
      <c r="AD322">
        <f>SUM($AB$148:AB322)+SUM($AC$148:AC322)</f>
        <v>980.699999999999</v>
      </c>
      <c r="AE322">
        <f t="shared" si="58"/>
        <v>15262.5561643836</v>
      </c>
      <c r="AF322">
        <f t="shared" si="59"/>
        <v>1.03052511232877</v>
      </c>
      <c r="AG322" s="5">
        <f>(AF322/AF321-1)-中国_中债国债到期收益率_1年!H322%/252</f>
        <v>-0.00128949134246865</v>
      </c>
      <c r="AH322" s="5">
        <f>MIN((AF322-MAX($AF$151:AF322))/MAX($AF$151:AF322),0)</f>
        <v>-0.00453934242137687</v>
      </c>
    </row>
    <row r="323" spans="1:34">
      <c r="A323" s="7">
        <v>45177</v>
      </c>
      <c r="B323">
        <v>20</v>
      </c>
      <c r="C323">
        <v>40</v>
      </c>
      <c r="D323">
        <v>-10</v>
      </c>
      <c r="F323">
        <f t="shared" ref="F323:F386" si="66">SUM(B323:E323)</f>
        <v>50</v>
      </c>
      <c r="G323">
        <f t="shared" si="60"/>
        <v>20</v>
      </c>
      <c r="H323">
        <f t="shared" si="61"/>
        <v>200</v>
      </c>
      <c r="I323">
        <f t="shared" si="62"/>
        <v>-90</v>
      </c>
      <c r="J323">
        <f t="shared" si="63"/>
        <v>0</v>
      </c>
      <c r="K323">
        <f t="shared" ref="K323:K386" si="67">SUM(G323:J323)</f>
        <v>130</v>
      </c>
      <c r="L323">
        <f>G323*Return!B323*100</f>
        <v>-14.6000000000006</v>
      </c>
      <c r="M323">
        <f>H323*Return!C323*100</f>
        <v>105.999999999993</v>
      </c>
      <c r="N323">
        <f>I323*Return!D323*100</f>
        <v>-22.5000000000035</v>
      </c>
      <c r="O323">
        <f>J323*Return!E323*100</f>
        <v>0</v>
      </c>
      <c r="P323">
        <f t="shared" si="64"/>
        <v>68.8999999999886</v>
      </c>
      <c r="Q323">
        <f>SUM($P$148:P323)</f>
        <v>8592.7</v>
      </c>
      <c r="R323">
        <f>B323*中国_中债国债到期收益率_1年!B322/365*100</f>
        <v>11.4378082191781</v>
      </c>
      <c r="S323">
        <f>C323*中国_中债国债到期收益率_1年!C322/365*100</f>
        <v>27.3819178082192</v>
      </c>
      <c r="T323">
        <f>D323*中国_中债国债到期收益率_1年!D322/365*100</f>
        <v>-7.21917808219178</v>
      </c>
      <c r="U323">
        <f>E323*中国_中债国债到期收益率_1年!E322/365*100</f>
        <v>0</v>
      </c>
      <c r="V323">
        <f t="shared" si="65"/>
        <v>31.6005479452055</v>
      </c>
      <c r="W323">
        <f>SUM($V$148:V323)</f>
        <v>8443.91164383562</v>
      </c>
      <c r="X323">
        <f>MAX(F323-50,0)*中国_中债国债到期收益率_1年!H323*100/365</f>
        <v>0</v>
      </c>
      <c r="Y323">
        <f>SUM($X$148:X323)</f>
        <v>2654.25493150685</v>
      </c>
      <c r="AB323">
        <f>Z323*Return!F327*100</f>
        <v>0</v>
      </c>
      <c r="AC323">
        <f>AA323*Return!G327*100</f>
        <v>0</v>
      </c>
      <c r="AD323">
        <f>SUM($AB$148:AB323)+SUM($AC$148:AC323)</f>
        <v>980.699999999999</v>
      </c>
      <c r="AE323">
        <f t="shared" si="58"/>
        <v>15363.0567123288</v>
      </c>
      <c r="AF323">
        <f t="shared" si="59"/>
        <v>1.03072611342466</v>
      </c>
      <c r="AG323" s="5">
        <f>(AF323/AF322-1)-中国_中债国债到期收益率_1年!H323%/252</f>
        <v>0.00011568217711182</v>
      </c>
      <c r="AH323" s="5">
        <f>MIN((AF323-MAX($AF$151:AF323))/MAX($AF$151:AF323),0)</f>
        <v>-0.00434518055118536</v>
      </c>
    </row>
    <row r="324" spans="1:34">
      <c r="A324" s="7">
        <v>45180</v>
      </c>
      <c r="B324">
        <v>20</v>
      </c>
      <c r="C324">
        <v>40</v>
      </c>
      <c r="D324">
        <v>-10</v>
      </c>
      <c r="F324">
        <f t="shared" si="66"/>
        <v>50</v>
      </c>
      <c r="G324">
        <f t="shared" si="60"/>
        <v>20</v>
      </c>
      <c r="H324">
        <f t="shared" si="61"/>
        <v>200</v>
      </c>
      <c r="I324">
        <f t="shared" si="62"/>
        <v>-90</v>
      </c>
      <c r="J324">
        <f t="shared" si="63"/>
        <v>0</v>
      </c>
      <c r="K324">
        <f t="shared" si="67"/>
        <v>130</v>
      </c>
      <c r="L324">
        <f>G324*Return!B324*100</f>
        <v>-15.6000000000001</v>
      </c>
      <c r="M324">
        <f>H324*Return!C324*100</f>
        <v>112.000000000005</v>
      </c>
      <c r="N324">
        <f>I324*Return!D324*100</f>
        <v>22.5000000000035</v>
      </c>
      <c r="O324">
        <f>J324*Return!E324*100</f>
        <v>0</v>
      </c>
      <c r="P324">
        <f t="shared" si="64"/>
        <v>118.900000000009</v>
      </c>
      <c r="Q324">
        <f>SUM($P$148:P324)</f>
        <v>8711.6</v>
      </c>
      <c r="R324">
        <f>B324*中国_中债国债到期收益率_1年!B323/365*100</f>
        <v>11.4805479452055</v>
      </c>
      <c r="S324">
        <f>C324*中国_中债国债到期收益率_1年!C323/365*100</f>
        <v>27.3205479452055</v>
      </c>
      <c r="T324">
        <f>D324*中国_中债国债到期收益率_1年!D323/365*100</f>
        <v>-7.22602739726027</v>
      </c>
      <c r="U324">
        <f>E324*中国_中债国债到期收益率_1年!E323/365*100</f>
        <v>0</v>
      </c>
      <c r="V324">
        <f t="shared" si="65"/>
        <v>31.5750684931507</v>
      </c>
      <c r="W324">
        <f>SUM($V$148:V324)</f>
        <v>8475.48671232877</v>
      </c>
      <c r="X324">
        <f>MAX(F324-50,0)*中国_中债国债到期收益率_1年!H324*100/365</f>
        <v>0</v>
      </c>
      <c r="Y324">
        <f>SUM($X$148:X324)</f>
        <v>2654.25493150685</v>
      </c>
      <c r="AB324">
        <f>Z324*Return!F328*100</f>
        <v>0</v>
      </c>
      <c r="AC324">
        <f>AA324*Return!G328*100</f>
        <v>0</v>
      </c>
      <c r="AD324">
        <f>SUM($AB$148:AB324)+SUM($AC$148:AC324)</f>
        <v>980.699999999999</v>
      </c>
      <c r="AE324">
        <f t="shared" ref="AE324:AE387" si="68">Q324+W324+AD324-Y324</f>
        <v>15513.5317808219</v>
      </c>
      <c r="AF324">
        <f t="shared" ref="AF324:AF387" si="69">AE324/$AI$1+1</f>
        <v>1.03102706356164</v>
      </c>
      <c r="AG324" s="5">
        <f>(AF324/AF323-1)-中国_中债国债到期收益率_1年!H324%/252</f>
        <v>0.000210629558005954</v>
      </c>
      <c r="AH324" s="5">
        <f>MIN((AF324-MAX($AF$151:AF324))/MAX($AF$151:AF324),0)</f>
        <v>-0.00405447048727838</v>
      </c>
    </row>
    <row r="325" spans="1:34">
      <c r="A325" s="7">
        <v>45181</v>
      </c>
      <c r="B325">
        <v>20</v>
      </c>
      <c r="C325">
        <v>40</v>
      </c>
      <c r="D325">
        <v>-10</v>
      </c>
      <c r="F325">
        <f t="shared" si="66"/>
        <v>50</v>
      </c>
      <c r="G325">
        <f t="shared" si="60"/>
        <v>20</v>
      </c>
      <c r="H325">
        <f t="shared" si="61"/>
        <v>200</v>
      </c>
      <c r="I325">
        <f t="shared" si="62"/>
        <v>-90</v>
      </c>
      <c r="J325">
        <f t="shared" si="63"/>
        <v>0</v>
      </c>
      <c r="K325">
        <f t="shared" si="67"/>
        <v>130</v>
      </c>
      <c r="L325">
        <f>G325*Return!B325*100</f>
        <v>-80.0000000000001</v>
      </c>
      <c r="M325">
        <f>H325*Return!C325*100</f>
        <v>0</v>
      </c>
      <c r="N325">
        <f>I325*Return!D325*100</f>
        <v>-67.5000000000026</v>
      </c>
      <c r="O325">
        <f>J325*Return!E325*100</f>
        <v>0</v>
      </c>
      <c r="P325">
        <f t="shared" si="64"/>
        <v>-147.500000000003</v>
      </c>
      <c r="Q325">
        <f>SUM($P$148:P325)</f>
        <v>8564.1</v>
      </c>
      <c r="R325">
        <f>B325*中国_中债国债到期收益率_1年!B324/365*100</f>
        <v>11.6997260273973</v>
      </c>
      <c r="S325">
        <f>C325*中国_中债国债到期收益率_1年!C324/365*100</f>
        <v>27.3205479452055</v>
      </c>
      <c r="T325">
        <f>D325*中国_中债国债到期收益率_1年!D324/365*100</f>
        <v>-7.20547945205479</v>
      </c>
      <c r="U325">
        <f>E325*中国_中债国债到期收益率_1年!E324/365*100</f>
        <v>0</v>
      </c>
      <c r="V325">
        <f t="shared" si="65"/>
        <v>31.8147945205479</v>
      </c>
      <c r="W325">
        <f>SUM($V$148:V325)</f>
        <v>8507.30150684931</v>
      </c>
      <c r="X325">
        <f>MAX(F325-50,0)*中国_中债国债到期收益率_1年!H325*100/365</f>
        <v>0</v>
      </c>
      <c r="Y325">
        <f>SUM($X$148:X325)</f>
        <v>2654.25493150685</v>
      </c>
      <c r="AB325">
        <f>Z325*Return!F329*100</f>
        <v>0</v>
      </c>
      <c r="AC325">
        <f>AA325*Return!G329*100</f>
        <v>0</v>
      </c>
      <c r="AD325">
        <f>SUM($AB$148:AB325)+SUM($AC$148:AC325)</f>
        <v>980.699999999999</v>
      </c>
      <c r="AE325">
        <f t="shared" si="68"/>
        <v>15397.8465753425</v>
      </c>
      <c r="AF325">
        <f t="shared" si="69"/>
        <v>1.03079569315068</v>
      </c>
      <c r="AG325" s="5">
        <f>(AF325/AF324-1)-中国_中债国债到期收益率_1年!H325%/252</f>
        <v>-0.000303772778382849</v>
      </c>
      <c r="AH325" s="5">
        <f>MIN((AF325-MAX($AF$151:AF325))/MAX($AF$151:AF325),0)</f>
        <v>-0.00427796833190334</v>
      </c>
    </row>
    <row r="326" spans="1:34">
      <c r="A326" s="7">
        <v>45182</v>
      </c>
      <c r="B326">
        <v>20</v>
      </c>
      <c r="C326">
        <v>40</v>
      </c>
      <c r="D326">
        <v>-10</v>
      </c>
      <c r="F326">
        <f t="shared" si="66"/>
        <v>50</v>
      </c>
      <c r="G326">
        <f t="shared" si="60"/>
        <v>20</v>
      </c>
      <c r="H326">
        <f t="shared" si="61"/>
        <v>200</v>
      </c>
      <c r="I326">
        <f t="shared" si="62"/>
        <v>-90</v>
      </c>
      <c r="J326">
        <f t="shared" si="63"/>
        <v>0</v>
      </c>
      <c r="K326">
        <f t="shared" si="67"/>
        <v>130</v>
      </c>
      <c r="L326">
        <f>G326*Return!B326*100</f>
        <v>20.0000000000005</v>
      </c>
      <c r="M326">
        <f>H326*Return!C326*100</f>
        <v>244</v>
      </c>
      <c r="N326">
        <f>I326*Return!D326*100</f>
        <v>-62.9999999999971</v>
      </c>
      <c r="O326">
        <f>J326*Return!E326*100</f>
        <v>0</v>
      </c>
      <c r="P326">
        <f t="shared" si="64"/>
        <v>201.000000000003</v>
      </c>
      <c r="Q326">
        <f>SUM($P$148:P326)</f>
        <v>8765.10000000001</v>
      </c>
      <c r="R326">
        <f>B326*中国_中债国债到期收益率_1年!B325/365*100</f>
        <v>11.6449315068493</v>
      </c>
      <c r="S326">
        <f>C326*中国_中债国债到期收益率_1年!C325/365*100</f>
        <v>27.1868493150685</v>
      </c>
      <c r="T326">
        <f>D326*中国_中债国债到期收益率_1年!D325/365*100</f>
        <v>-7.18630136986301</v>
      </c>
      <c r="U326">
        <f>E326*中国_中债国债到期收益率_1年!E325/365*100</f>
        <v>0</v>
      </c>
      <c r="V326">
        <f t="shared" si="65"/>
        <v>31.6454794520548</v>
      </c>
      <c r="W326">
        <f>SUM($V$148:V326)</f>
        <v>8538.94698630137</v>
      </c>
      <c r="X326">
        <f>MAX(F326-50,0)*中国_中债国债到期收益率_1年!H326*100/365</f>
        <v>0</v>
      </c>
      <c r="Y326">
        <f>SUM($X$148:X326)</f>
        <v>2654.25493150685</v>
      </c>
      <c r="AB326">
        <f>Z326*Return!F330*100</f>
        <v>0</v>
      </c>
      <c r="AC326">
        <f>AA326*Return!G330*100</f>
        <v>0</v>
      </c>
      <c r="AD326">
        <f>SUM($AB$148:AB326)+SUM($AC$148:AC326)</f>
        <v>980.699999999999</v>
      </c>
      <c r="AE326">
        <f t="shared" si="68"/>
        <v>15630.4920547945</v>
      </c>
      <c r="AF326">
        <f t="shared" si="69"/>
        <v>1.03126098410959</v>
      </c>
      <c r="AG326" s="5">
        <f>(AF326/AF325-1)-中国_中债国债到期收益率_1年!H326%/252</f>
        <v>0.00037281865968336</v>
      </c>
      <c r="AH326" s="5">
        <f>MIN((AF326-MAX($AF$151:AF326))/MAX($AF$151:AF326),0)</f>
        <v>-0.00382850927615136</v>
      </c>
    </row>
    <row r="327" spans="1:34">
      <c r="A327" s="7">
        <v>45183</v>
      </c>
      <c r="B327">
        <v>20</v>
      </c>
      <c r="C327">
        <v>40</v>
      </c>
      <c r="D327">
        <v>-10</v>
      </c>
      <c r="F327">
        <f t="shared" si="66"/>
        <v>50</v>
      </c>
      <c r="G327">
        <f t="shared" si="60"/>
        <v>20</v>
      </c>
      <c r="H327">
        <f t="shared" si="61"/>
        <v>200</v>
      </c>
      <c r="I327">
        <f t="shared" si="62"/>
        <v>-90</v>
      </c>
      <c r="J327">
        <f t="shared" si="63"/>
        <v>0</v>
      </c>
      <c r="K327">
        <f t="shared" si="67"/>
        <v>130</v>
      </c>
      <c r="L327">
        <f>G327*Return!B327*100</f>
        <v>44.9999999999999</v>
      </c>
      <c r="M327">
        <f>H327*Return!C327*100</f>
        <v>245.999999999995</v>
      </c>
      <c r="N327">
        <f>I327*Return!D327*100</f>
        <v>-72.0000000000001</v>
      </c>
      <c r="O327">
        <f>J327*Return!E327*100</f>
        <v>0</v>
      </c>
      <c r="P327">
        <f t="shared" si="64"/>
        <v>218.999999999995</v>
      </c>
      <c r="Q327">
        <f>SUM($P$148:P327)</f>
        <v>8984.1</v>
      </c>
      <c r="R327">
        <f>B327*中国_中债国债到期收益率_1年!B326/365*100</f>
        <v>11.5216438356164</v>
      </c>
      <c r="S327">
        <f>C327*中国_中债国债到期收益率_1年!C326/365*100</f>
        <v>27.0520547945206</v>
      </c>
      <c r="T327">
        <f>D327*中国_中债国债到期收益率_1年!D326/365*100</f>
        <v>-7.16438356164384</v>
      </c>
      <c r="U327">
        <f>E327*中国_中债国债到期收益率_1年!E326/365*100</f>
        <v>0</v>
      </c>
      <c r="V327">
        <f t="shared" si="65"/>
        <v>31.4093150684932</v>
      </c>
      <c r="W327">
        <f>SUM($V$148:V327)</f>
        <v>8570.35630136986</v>
      </c>
      <c r="X327">
        <f>MAX(F327-50,0)*中国_中债国债到期收益率_1年!H327*100/365</f>
        <v>0</v>
      </c>
      <c r="Y327">
        <f>SUM($X$148:X327)</f>
        <v>2654.25493150685</v>
      </c>
      <c r="AB327">
        <f>Z327*Return!F331*100</f>
        <v>0</v>
      </c>
      <c r="AC327">
        <f>AA327*Return!G331*100</f>
        <v>0</v>
      </c>
      <c r="AD327">
        <f>SUM($AB$148:AB327)+SUM($AC$148:AC327)</f>
        <v>980.699999999999</v>
      </c>
      <c r="AE327">
        <f t="shared" si="68"/>
        <v>15880.901369863</v>
      </c>
      <c r="AF327">
        <f t="shared" si="69"/>
        <v>1.03176180273973</v>
      </c>
      <c r="AG327" s="5">
        <f>(AF327/AF326-1)-中国_中债国债到期收益率_1年!H327%/252</f>
        <v>0.000404287929015996</v>
      </c>
      <c r="AH327" s="5">
        <f>MIN((AF327-MAX($AF$151:AF327))/MAX($AF$151:AF327),0)</f>
        <v>-0.00334473140706368</v>
      </c>
    </row>
    <row r="328" spans="1:34">
      <c r="A328" s="7">
        <v>45184</v>
      </c>
      <c r="B328">
        <v>20</v>
      </c>
      <c r="C328">
        <v>40</v>
      </c>
      <c r="D328">
        <v>-10</v>
      </c>
      <c r="F328">
        <f t="shared" si="66"/>
        <v>50</v>
      </c>
      <c r="G328">
        <f t="shared" si="60"/>
        <v>20</v>
      </c>
      <c r="H328">
        <f t="shared" si="61"/>
        <v>200</v>
      </c>
      <c r="I328">
        <f t="shared" si="62"/>
        <v>-90</v>
      </c>
      <c r="J328">
        <f t="shared" si="63"/>
        <v>0</v>
      </c>
      <c r="K328">
        <f t="shared" si="67"/>
        <v>130</v>
      </c>
      <c r="L328">
        <f>G328*Return!B328*100</f>
        <v>0</v>
      </c>
      <c r="M328">
        <f>H328*Return!C328*100</f>
        <v>129.999999999999</v>
      </c>
      <c r="N328">
        <f>I328*Return!D328*100</f>
        <v>-67.5000000000026</v>
      </c>
      <c r="O328">
        <f>J328*Return!E328*100</f>
        <v>0</v>
      </c>
      <c r="P328">
        <f t="shared" si="64"/>
        <v>62.4999999999964</v>
      </c>
      <c r="Q328">
        <f>SUM($P$148:P328)</f>
        <v>9046.6</v>
      </c>
      <c r="R328">
        <f>B328*中国_中债国债到期收益率_1年!B327/365*100</f>
        <v>11.5216438356164</v>
      </c>
      <c r="S328">
        <f>C328*中国_中债国债到期收益率_1年!C327/365*100</f>
        <v>26.9808219178082</v>
      </c>
      <c r="T328">
        <f>D328*中国_中债国债到期收益率_1年!D327/365*100</f>
        <v>-7.14383561643836</v>
      </c>
      <c r="U328">
        <f>E328*中国_中债国债到期收益率_1年!E327/365*100</f>
        <v>0</v>
      </c>
      <c r="V328">
        <f t="shared" si="65"/>
        <v>31.3586301369863</v>
      </c>
      <c r="W328">
        <f>SUM($V$148:V328)</f>
        <v>8601.71493150685</v>
      </c>
      <c r="X328">
        <f>MAX(F328-50,0)*中国_中债国债到期收益率_1年!H328*100/365</f>
        <v>0</v>
      </c>
      <c r="Y328">
        <f>SUM($X$148:X328)</f>
        <v>2654.25493150685</v>
      </c>
      <c r="AB328">
        <f>Z328*Return!F332*100</f>
        <v>0</v>
      </c>
      <c r="AC328">
        <f>AA328*Return!G332*100</f>
        <v>0</v>
      </c>
      <c r="AD328">
        <f>SUM($AB$148:AB328)+SUM($AC$148:AC328)</f>
        <v>980.699999999999</v>
      </c>
      <c r="AE328">
        <f t="shared" si="68"/>
        <v>15974.76</v>
      </c>
      <c r="AF328">
        <f t="shared" si="69"/>
        <v>1.03194952</v>
      </c>
      <c r="AG328" s="5">
        <f>(AF328/AF327-1)-中国_中债国债到期收益率_1年!H328%/252</f>
        <v>0.000102573484144041</v>
      </c>
      <c r="AH328" s="5">
        <f>MIN((AF328-MAX($AF$151:AF328))/MAX($AF$151:AF328),0)</f>
        <v>-0.00316340137918213</v>
      </c>
    </row>
    <row r="329" spans="1:34">
      <c r="A329" s="7">
        <v>45187</v>
      </c>
      <c r="B329">
        <v>20</v>
      </c>
      <c r="C329">
        <v>40</v>
      </c>
      <c r="D329">
        <v>-10</v>
      </c>
      <c r="F329">
        <f t="shared" si="66"/>
        <v>50</v>
      </c>
      <c r="G329">
        <f t="shared" si="60"/>
        <v>20</v>
      </c>
      <c r="H329">
        <f t="shared" si="61"/>
        <v>200</v>
      </c>
      <c r="I329">
        <f t="shared" si="62"/>
        <v>-90</v>
      </c>
      <c r="J329">
        <f t="shared" si="63"/>
        <v>0</v>
      </c>
      <c r="K329">
        <f t="shared" si="67"/>
        <v>130</v>
      </c>
      <c r="L329">
        <f>G329*Return!B329*100</f>
        <v>-59.9999999999996</v>
      </c>
      <c r="M329">
        <f>H329*Return!C329*100</f>
        <v>-637.999999999996</v>
      </c>
      <c r="N329">
        <f>I329*Return!D329*100</f>
        <v>292.500000000002</v>
      </c>
      <c r="O329">
        <f>J329*Return!E329*100</f>
        <v>0</v>
      </c>
      <c r="P329">
        <f t="shared" si="64"/>
        <v>-405.499999999994</v>
      </c>
      <c r="Q329">
        <f>SUM($P$148:P329)</f>
        <v>8641.1</v>
      </c>
      <c r="R329">
        <f>B329*中国_中债国债到期收益率_1年!B328/365*100</f>
        <v>11.6860273972603</v>
      </c>
      <c r="S329">
        <f>C329*中国_中债国债到期收益率_1年!C328/365*100</f>
        <v>27.3304109589041</v>
      </c>
      <c r="T329">
        <f>D329*中国_中债国债到期收益率_1年!D328/365*100</f>
        <v>-7.23287671232877</v>
      </c>
      <c r="U329">
        <f>E329*中国_中债国债到期收益率_1年!E328/365*100</f>
        <v>0</v>
      </c>
      <c r="V329">
        <f t="shared" si="65"/>
        <v>31.7835616438356</v>
      </c>
      <c r="W329">
        <f>SUM($V$148:V329)</f>
        <v>8633.49849315068</v>
      </c>
      <c r="X329">
        <f>MAX(F329-50,0)*中国_中债国债到期收益率_1年!H329*100/365</f>
        <v>0</v>
      </c>
      <c r="Y329">
        <f>SUM($X$148:X329)</f>
        <v>2654.25493150685</v>
      </c>
      <c r="AB329">
        <f>Z329*Return!F333*100</f>
        <v>0</v>
      </c>
      <c r="AC329">
        <f>AA329*Return!G333*100</f>
        <v>0</v>
      </c>
      <c r="AD329">
        <f>SUM($AB$148:AB329)+SUM($AC$148:AC329)</f>
        <v>980.699999999999</v>
      </c>
      <c r="AE329">
        <f t="shared" si="68"/>
        <v>15601.0435616438</v>
      </c>
      <c r="AF329">
        <f t="shared" si="69"/>
        <v>1.03120208712329</v>
      </c>
      <c r="AG329" s="5">
        <f>(AF329/AF328-1)-中国_中债国债到期收益率_1年!H329%/252</f>
        <v>-0.000806831774571746</v>
      </c>
      <c r="AH329" s="5">
        <f>MIN((AF329-MAX($AF$151:AF329))/MAX($AF$151:AF329),0)</f>
        <v>-0.00388540224461135</v>
      </c>
    </row>
    <row r="330" spans="1:34">
      <c r="A330" s="7">
        <v>45188</v>
      </c>
      <c r="B330">
        <v>20</v>
      </c>
      <c r="C330">
        <v>40</v>
      </c>
      <c r="D330">
        <v>-10</v>
      </c>
      <c r="F330">
        <f t="shared" si="66"/>
        <v>50</v>
      </c>
      <c r="G330">
        <f t="shared" si="60"/>
        <v>20</v>
      </c>
      <c r="H330">
        <f t="shared" si="61"/>
        <v>200</v>
      </c>
      <c r="I330">
        <f t="shared" si="62"/>
        <v>-90</v>
      </c>
      <c r="J330">
        <f t="shared" si="63"/>
        <v>0</v>
      </c>
      <c r="K330">
        <f t="shared" si="67"/>
        <v>130</v>
      </c>
      <c r="L330">
        <f>G330*Return!B330*100</f>
        <v>-80.0000000000001</v>
      </c>
      <c r="M330">
        <f>H330*Return!C330*100</f>
        <v>-373.999999999999</v>
      </c>
      <c r="N330">
        <f>I330*Return!D330*100</f>
        <v>89.9999999999981</v>
      </c>
      <c r="O330">
        <f>J330*Return!E330*100</f>
        <v>0</v>
      </c>
      <c r="P330">
        <f t="shared" si="64"/>
        <v>-364.000000000001</v>
      </c>
      <c r="Q330">
        <f>SUM($P$148:P330)</f>
        <v>8277.1</v>
      </c>
      <c r="R330">
        <f>B330*中国_中债国债到期收益率_1年!B329/365*100</f>
        <v>11.9052054794521</v>
      </c>
      <c r="S330">
        <f>C330*中国_中债国债到期收益率_1年!C329/365*100</f>
        <v>27.5353424657534</v>
      </c>
      <c r="T330">
        <f>D330*中国_中债国债到期收益率_1年!D329/365*100</f>
        <v>-7.26027397260274</v>
      </c>
      <c r="U330">
        <f>E330*中国_中债国债到期收益率_1年!E329/365*100</f>
        <v>0</v>
      </c>
      <c r="V330">
        <f t="shared" si="65"/>
        <v>32.1802739726027</v>
      </c>
      <c r="W330">
        <f>SUM($V$148:V330)</f>
        <v>8665.67876712329</v>
      </c>
      <c r="X330">
        <f>MAX(F330-50,0)*中国_中债国债到期收益率_1年!H330*100/365</f>
        <v>0</v>
      </c>
      <c r="Y330">
        <f>SUM($X$148:X330)</f>
        <v>2654.25493150685</v>
      </c>
      <c r="AB330">
        <f>Z330*Return!F334*100</f>
        <v>0</v>
      </c>
      <c r="AC330">
        <f>AA330*Return!G334*100</f>
        <v>0</v>
      </c>
      <c r="AD330">
        <f>SUM($AB$148:AB330)+SUM($AC$148:AC330)</f>
        <v>980.699999999999</v>
      </c>
      <c r="AE330">
        <f t="shared" si="68"/>
        <v>15269.2238356164</v>
      </c>
      <c r="AF330">
        <f t="shared" si="69"/>
        <v>1.03053844767123</v>
      </c>
      <c r="AG330" s="5">
        <f>(AF330/AF329-1)-中国_中债国债到期收益率_1年!H330%/252</f>
        <v>-0.000728876526325564</v>
      </c>
      <c r="AH330" s="5">
        <f>MIN((AF330-MAX($AF$151:AF330))/MAX($AF$151:AF330),0)</f>
        <v>-0.00452646082477989</v>
      </c>
    </row>
    <row r="331" spans="1:34">
      <c r="A331" s="7">
        <v>45189</v>
      </c>
      <c r="B331">
        <v>20</v>
      </c>
      <c r="C331">
        <v>40</v>
      </c>
      <c r="D331">
        <v>-10</v>
      </c>
      <c r="F331">
        <f t="shared" si="66"/>
        <v>50</v>
      </c>
      <c r="G331">
        <f t="shared" si="60"/>
        <v>20</v>
      </c>
      <c r="H331">
        <f t="shared" si="61"/>
        <v>200</v>
      </c>
      <c r="I331">
        <f t="shared" si="62"/>
        <v>-90</v>
      </c>
      <c r="J331">
        <f t="shared" si="63"/>
        <v>0</v>
      </c>
      <c r="K331">
        <f t="shared" si="67"/>
        <v>130</v>
      </c>
      <c r="L331">
        <f>G331*Return!B331*100</f>
        <v>-30.0000000000002</v>
      </c>
      <c r="M331">
        <f>H331*Return!C331*100</f>
        <v>-216.000000000003</v>
      </c>
      <c r="N331">
        <f>I331*Return!D331*100</f>
        <v>112.500000000002</v>
      </c>
      <c r="O331">
        <f>J331*Return!E331*100</f>
        <v>0</v>
      </c>
      <c r="P331">
        <f t="shared" si="64"/>
        <v>-133.500000000002</v>
      </c>
      <c r="Q331">
        <f>SUM($P$148:P331)</f>
        <v>8143.6</v>
      </c>
      <c r="R331">
        <f>B331*中国_中债国债到期收益率_1年!B330/365*100</f>
        <v>11.987397260274</v>
      </c>
      <c r="S331">
        <f>C331*中国_中债国债到期收益率_1年!C330/365*100</f>
        <v>27.653698630137</v>
      </c>
      <c r="T331">
        <f>D331*中国_中债国债到期收益率_1年!D330/365*100</f>
        <v>-7.29452054794521</v>
      </c>
      <c r="U331">
        <f>E331*中国_中债国债到期收益率_1年!E330/365*100</f>
        <v>0</v>
      </c>
      <c r="V331">
        <f t="shared" si="65"/>
        <v>32.3465753424658</v>
      </c>
      <c r="W331">
        <f>SUM($V$148:V331)</f>
        <v>8698.02534246575</v>
      </c>
      <c r="X331">
        <f>MAX(F331-50,0)*中国_中债国债到期收益率_1年!H331*100/365</f>
        <v>0</v>
      </c>
      <c r="Y331">
        <f>SUM($X$148:X331)</f>
        <v>2654.25493150685</v>
      </c>
      <c r="AB331">
        <f>Z331*Return!F335*100</f>
        <v>0</v>
      </c>
      <c r="AC331">
        <f>AA331*Return!G335*100</f>
        <v>0</v>
      </c>
      <c r="AD331">
        <f>SUM($AB$148:AB331)+SUM($AC$148:AC331)</f>
        <v>980.699999999999</v>
      </c>
      <c r="AE331">
        <f t="shared" si="68"/>
        <v>15168.0704109589</v>
      </c>
      <c r="AF331">
        <f t="shared" si="69"/>
        <v>1.03033614082192</v>
      </c>
      <c r="AG331" s="5">
        <f>(AF331/AF330-1)-中国_中债国债到期收益率_1年!H331%/252</f>
        <v>-0.000281629252247486</v>
      </c>
      <c r="AH331" s="5">
        <f>MIN((AF331-MAX($AF$151:AF331))/MAX($AF$151:AF331),0)</f>
        <v>-0.00472188401907428</v>
      </c>
    </row>
    <row r="332" spans="1:34">
      <c r="A332" s="7">
        <v>45190</v>
      </c>
      <c r="B332">
        <v>20</v>
      </c>
      <c r="C332">
        <v>40</v>
      </c>
      <c r="D332">
        <v>-10</v>
      </c>
      <c r="F332">
        <f t="shared" si="66"/>
        <v>50</v>
      </c>
      <c r="G332">
        <f t="shared" si="60"/>
        <v>20</v>
      </c>
      <c r="H332">
        <f t="shared" si="61"/>
        <v>200</v>
      </c>
      <c r="I332">
        <f t="shared" si="62"/>
        <v>-90</v>
      </c>
      <c r="J332">
        <f t="shared" si="63"/>
        <v>0</v>
      </c>
      <c r="K332">
        <f t="shared" si="67"/>
        <v>130</v>
      </c>
      <c r="L332">
        <f>G332*Return!B332*100</f>
        <v>-40</v>
      </c>
      <c r="M332">
        <f>H332*Return!C332*100</f>
        <v>45.9999999999994</v>
      </c>
      <c r="N332">
        <f>I332*Return!D332*100</f>
        <v>22.4999999999995</v>
      </c>
      <c r="O332">
        <f>J332*Return!E332*100</f>
        <v>0</v>
      </c>
      <c r="P332">
        <f t="shared" si="64"/>
        <v>28.4999999999989</v>
      </c>
      <c r="Q332">
        <f>SUM($P$148:P332)</f>
        <v>8172.1</v>
      </c>
      <c r="R332">
        <f>B332*中国_中债国债到期收益率_1年!B331/365*100</f>
        <v>12.0969863013699</v>
      </c>
      <c r="S332">
        <f>C332*中国_中债国债到期收益率_1年!C331/365*100</f>
        <v>27.6284931506849</v>
      </c>
      <c r="T332">
        <f>D332*中国_中债国债到期收益率_1年!D331/365*100</f>
        <v>-7.3013698630137</v>
      </c>
      <c r="U332">
        <f>E332*中国_中债国债到期收益率_1年!E331/365*100</f>
        <v>0</v>
      </c>
      <c r="V332">
        <f t="shared" si="65"/>
        <v>32.4241095890411</v>
      </c>
      <c r="W332">
        <f>SUM($V$148:V332)</f>
        <v>8730.44945205479</v>
      </c>
      <c r="X332">
        <f>MAX(F332-50,0)*中国_中债国债到期收益率_1年!H332*100/365</f>
        <v>0</v>
      </c>
      <c r="Y332">
        <f>SUM($X$148:X332)</f>
        <v>2654.25493150685</v>
      </c>
      <c r="AB332">
        <f>Z332*Return!F336*100</f>
        <v>0</v>
      </c>
      <c r="AC332">
        <f>AA332*Return!G336*100</f>
        <v>0</v>
      </c>
      <c r="AD332">
        <f>SUM($AB$148:AB332)+SUM($AC$148:AC332)</f>
        <v>980.699999999999</v>
      </c>
      <c r="AE332">
        <f t="shared" si="68"/>
        <v>15228.9945205479</v>
      </c>
      <c r="AF332">
        <f t="shared" si="69"/>
        <v>1.0304579890411</v>
      </c>
      <c r="AG332" s="5">
        <f>(AF332/AF331-1)-中国_中债国债到期收益率_1年!H332%/252</f>
        <v>3.29431872037242e-5</v>
      </c>
      <c r="AH332" s="5">
        <f>MIN((AF332-MAX($AF$151:AF332))/MAX($AF$151:AF332),0)</f>
        <v>-0.00460418178461474</v>
      </c>
    </row>
    <row r="333" spans="1:34">
      <c r="A333" s="7">
        <v>45191</v>
      </c>
      <c r="B333">
        <v>20</v>
      </c>
      <c r="C333">
        <v>40</v>
      </c>
      <c r="D333">
        <v>-10</v>
      </c>
      <c r="F333">
        <f t="shared" si="66"/>
        <v>50</v>
      </c>
      <c r="G333">
        <f t="shared" si="60"/>
        <v>20</v>
      </c>
      <c r="H333">
        <f t="shared" si="61"/>
        <v>200</v>
      </c>
      <c r="I333">
        <f t="shared" si="62"/>
        <v>-90</v>
      </c>
      <c r="J333">
        <f t="shared" si="63"/>
        <v>0</v>
      </c>
      <c r="K333">
        <f t="shared" si="67"/>
        <v>130</v>
      </c>
      <c r="L333">
        <f>G333*Return!B333*100</f>
        <v>40</v>
      </c>
      <c r="M333">
        <f>H333*Return!C333*100</f>
        <v>238.000000000005</v>
      </c>
      <c r="N333">
        <f>I333*Return!D333*100</f>
        <v>-66.6000000000007</v>
      </c>
      <c r="O333">
        <f>J333*Return!E333*100</f>
        <v>0</v>
      </c>
      <c r="P333">
        <f t="shared" si="64"/>
        <v>211.400000000004</v>
      </c>
      <c r="Q333">
        <f>SUM($P$148:P333)</f>
        <v>8383.5</v>
      </c>
      <c r="R333">
        <f>B333*中国_中债国债到期收益率_1年!B332/365*100</f>
        <v>11.987397260274</v>
      </c>
      <c r="S333">
        <f>C333*中国_中债国债到期收益率_1年!C332/365*100</f>
        <v>27.4980821917808</v>
      </c>
      <c r="T333">
        <f>D333*中国_中债国债到期收益率_1年!D332/365*100</f>
        <v>-7.28109589041096</v>
      </c>
      <c r="U333">
        <f>E333*中国_中债国债到期收益率_1年!E332/365*100</f>
        <v>0</v>
      </c>
      <c r="V333">
        <f t="shared" si="65"/>
        <v>32.2043835616438</v>
      </c>
      <c r="W333">
        <f>SUM($V$148:V333)</f>
        <v>8762.65383561644</v>
      </c>
      <c r="X333">
        <f>MAX(F333-50,0)*中国_中债国债到期收益率_1年!H333*100/365</f>
        <v>0</v>
      </c>
      <c r="Y333">
        <f>SUM($X$148:X333)</f>
        <v>2654.25493150685</v>
      </c>
      <c r="AB333">
        <f>Z333*Return!F337*100</f>
        <v>0</v>
      </c>
      <c r="AC333">
        <f>AA333*Return!G337*100</f>
        <v>0</v>
      </c>
      <c r="AD333">
        <f>SUM($AB$148:AB333)+SUM($AC$148:AC333)</f>
        <v>980.699999999999</v>
      </c>
      <c r="AE333">
        <f t="shared" si="68"/>
        <v>15472.5989041096</v>
      </c>
      <c r="AF333">
        <f t="shared" si="69"/>
        <v>1.03094519780822</v>
      </c>
      <c r="AG333" s="5">
        <f>(AF333/AF332-1)-中国_中债国债到期收益率_1年!H333%/252</f>
        <v>0.000393442907282315</v>
      </c>
      <c r="AH333" s="5">
        <f>MIN((AF333-MAX($AF$151:AF333))/MAX($AF$151:AF333),0)</f>
        <v>-0.00413355069188707</v>
      </c>
    </row>
    <row r="334" spans="1:34">
      <c r="A334" s="7">
        <v>45194</v>
      </c>
      <c r="B334">
        <v>20</v>
      </c>
      <c r="C334">
        <v>40</v>
      </c>
      <c r="D334">
        <v>-10</v>
      </c>
      <c r="F334">
        <f t="shared" si="66"/>
        <v>50</v>
      </c>
      <c r="G334">
        <f t="shared" si="60"/>
        <v>20</v>
      </c>
      <c r="H334">
        <f t="shared" si="61"/>
        <v>200</v>
      </c>
      <c r="I334">
        <f t="shared" si="62"/>
        <v>-90</v>
      </c>
      <c r="J334">
        <f t="shared" si="63"/>
        <v>0</v>
      </c>
      <c r="K334">
        <f t="shared" si="67"/>
        <v>130</v>
      </c>
      <c r="L334">
        <f>G334*Return!B334*100</f>
        <v>-20.0000000000005</v>
      </c>
      <c r="M334">
        <f>H334*Return!C334*100</f>
        <v>-407.999999999999</v>
      </c>
      <c r="N334">
        <f>I334*Return!D334*100</f>
        <v>180</v>
      </c>
      <c r="O334">
        <f>J334*Return!E334*100</f>
        <v>0</v>
      </c>
      <c r="P334">
        <f t="shared" si="64"/>
        <v>-248</v>
      </c>
      <c r="Q334">
        <f>SUM($P$148:P334)</f>
        <v>8135.5</v>
      </c>
      <c r="R334">
        <f>B334*中国_中债国债到期收益率_1年!B333/365*100</f>
        <v>12.0421917808219</v>
      </c>
      <c r="S334">
        <f>C334*中国_中债国债到期收益率_1年!C333/365*100</f>
        <v>27.7216438356164</v>
      </c>
      <c r="T334">
        <f>D334*中国_中债国债到期收益率_1年!D333/365*100</f>
        <v>-7.3358904109589</v>
      </c>
      <c r="U334">
        <f>E334*中国_中债国债到期收益率_1年!E333/365*100</f>
        <v>0</v>
      </c>
      <c r="V334">
        <f t="shared" si="65"/>
        <v>32.4279452054795</v>
      </c>
      <c r="W334">
        <f>SUM($V$148:V334)</f>
        <v>8795.08178082192</v>
      </c>
      <c r="X334">
        <f>MAX(F334-50,0)*中国_中债国债到期收益率_1年!H334*100/365</f>
        <v>0</v>
      </c>
      <c r="Y334">
        <f>SUM($X$148:X334)</f>
        <v>2654.25493150685</v>
      </c>
      <c r="AB334">
        <f>Z334*Return!F338*100</f>
        <v>0</v>
      </c>
      <c r="AC334">
        <f>AA334*Return!G338*100</f>
        <v>0</v>
      </c>
      <c r="AD334">
        <f>SUM($AB$148:AB334)+SUM($AC$148:AC334)</f>
        <v>980.699999999999</v>
      </c>
      <c r="AE334">
        <f t="shared" si="68"/>
        <v>15257.0268493151</v>
      </c>
      <c r="AF334">
        <f t="shared" si="69"/>
        <v>1.03051405369863</v>
      </c>
      <c r="AG334" s="5">
        <f>(AF334/AF333-1)-中国_中债国债到期收益率_1年!H334%/252</f>
        <v>-0.000496476552507241</v>
      </c>
      <c r="AH334" s="5">
        <f>MIN((AF334-MAX($AF$151:AF334))/MAX($AF$151:AF334),0)</f>
        <v>-0.00455002477263289</v>
      </c>
    </row>
    <row r="335" spans="1:34">
      <c r="A335" s="7">
        <v>45195</v>
      </c>
      <c r="B335">
        <v>20</v>
      </c>
      <c r="C335">
        <v>40</v>
      </c>
      <c r="D335">
        <v>-10</v>
      </c>
      <c r="F335">
        <f t="shared" si="66"/>
        <v>50</v>
      </c>
      <c r="G335">
        <f t="shared" si="60"/>
        <v>20</v>
      </c>
      <c r="H335">
        <f t="shared" si="61"/>
        <v>200</v>
      </c>
      <c r="I335">
        <f t="shared" si="62"/>
        <v>-90</v>
      </c>
      <c r="J335">
        <f t="shared" si="63"/>
        <v>0</v>
      </c>
      <c r="K335">
        <f t="shared" si="67"/>
        <v>130</v>
      </c>
      <c r="L335">
        <f>G335*Return!B335*100</f>
        <v>-29.9999999999994</v>
      </c>
      <c r="M335">
        <f>H335*Return!C335*100</f>
        <v>-430.000000000001</v>
      </c>
      <c r="N335">
        <f>I335*Return!D335*100</f>
        <v>180</v>
      </c>
      <c r="O335">
        <f>J335*Return!E335*100</f>
        <v>0</v>
      </c>
      <c r="P335">
        <f t="shared" si="64"/>
        <v>-280.000000000001</v>
      </c>
      <c r="Q335">
        <f>SUM($P$148:P335)</f>
        <v>7855.5</v>
      </c>
      <c r="R335">
        <f>B335*中国_中债国债到期收益率_1年!B334/365*100</f>
        <v>12.1243835616438</v>
      </c>
      <c r="S335">
        <f>C335*中国_中债国债到期收益率_1年!C334/365*100</f>
        <v>27.9572602739726</v>
      </c>
      <c r="T335">
        <f>D335*中国_中债国债到期收益率_1年!D334/365*100</f>
        <v>-7.39068493150685</v>
      </c>
      <c r="U335">
        <f>E335*中国_中债国债到期收益率_1年!E334/365*100</f>
        <v>0</v>
      </c>
      <c r="V335">
        <f t="shared" si="65"/>
        <v>32.6909589041096</v>
      </c>
      <c r="W335">
        <f>SUM($V$148:V335)</f>
        <v>8827.77273972603</v>
      </c>
      <c r="X335">
        <f>MAX(F335-50,0)*中国_中债国债到期收益率_1年!H335*100/365</f>
        <v>0</v>
      </c>
      <c r="Y335">
        <f>SUM($X$148:X335)</f>
        <v>2654.25493150685</v>
      </c>
      <c r="AB335">
        <f>Z335*Return!F339*100</f>
        <v>0</v>
      </c>
      <c r="AC335">
        <f>AA335*Return!G339*100</f>
        <v>0</v>
      </c>
      <c r="AD335">
        <f>SUM($AB$148:AB335)+SUM($AC$148:AC335)</f>
        <v>980.699999999999</v>
      </c>
      <c r="AE335">
        <f t="shared" si="68"/>
        <v>15009.7178082192</v>
      </c>
      <c r="AF335">
        <f t="shared" si="69"/>
        <v>1.03001943561644</v>
      </c>
      <c r="AG335" s="5">
        <f>(AF335/AF334-1)-中国_中债国债到期收益率_1年!H335%/252</f>
        <v>-0.000557353137541001</v>
      </c>
      <c r="AH335" s="5">
        <f>MIN((AF335-MAX($AF$151:AF335))/MAX($AF$151:AF335),0)</f>
        <v>-0.00502781307246029</v>
      </c>
    </row>
    <row r="336" spans="1:34">
      <c r="A336" s="7">
        <v>45196</v>
      </c>
      <c r="B336">
        <v>20</v>
      </c>
      <c r="C336">
        <v>40</v>
      </c>
      <c r="D336">
        <v>-10</v>
      </c>
      <c r="F336">
        <f t="shared" si="66"/>
        <v>50</v>
      </c>
      <c r="G336">
        <f t="shared" si="60"/>
        <v>20</v>
      </c>
      <c r="H336">
        <f t="shared" si="61"/>
        <v>200</v>
      </c>
      <c r="I336">
        <f t="shared" si="62"/>
        <v>-90</v>
      </c>
      <c r="J336">
        <f t="shared" si="63"/>
        <v>0</v>
      </c>
      <c r="K336">
        <f t="shared" si="67"/>
        <v>130</v>
      </c>
      <c r="L336">
        <f>G336*Return!B336*100</f>
        <v>-40</v>
      </c>
      <c r="M336">
        <f>H336*Return!C336*100</f>
        <v>39.9999999999956</v>
      </c>
      <c r="N336">
        <f>I336*Return!D336*100</f>
        <v>-22.4999999999995</v>
      </c>
      <c r="O336">
        <f>J336*Return!E336*100</f>
        <v>0</v>
      </c>
      <c r="P336">
        <f t="shared" si="64"/>
        <v>-22.500000000004</v>
      </c>
      <c r="Q336">
        <f>SUM($P$148:P336)</f>
        <v>7833</v>
      </c>
      <c r="R336">
        <f>B336*中国_中债国债到期收益率_1年!B335/365*100</f>
        <v>12.2339726027397</v>
      </c>
      <c r="S336">
        <f>C336*中国_中债国债到期收益率_1年!C335/365*100</f>
        <v>27.9353424657534</v>
      </c>
      <c r="T336">
        <f>D336*中国_中债国债到期收益率_1年!D335/365*100</f>
        <v>-7.38383561643836</v>
      </c>
      <c r="U336">
        <f>E336*中国_中债国债到期收益率_1年!E335/365*100</f>
        <v>0</v>
      </c>
      <c r="V336">
        <f t="shared" si="65"/>
        <v>32.7854794520548</v>
      </c>
      <c r="W336">
        <f>SUM($V$148:V336)</f>
        <v>8860.55821917808</v>
      </c>
      <c r="X336">
        <f>MAX(F336-50,0)*中国_中债国债到期收益率_1年!H336*100/365</f>
        <v>0</v>
      </c>
      <c r="Y336">
        <f>SUM($X$148:X336)</f>
        <v>2654.25493150685</v>
      </c>
      <c r="AB336">
        <f>Z336*Return!F340*100</f>
        <v>0</v>
      </c>
      <c r="AC336">
        <f>AA336*Return!G340*100</f>
        <v>0</v>
      </c>
      <c r="AD336">
        <f>SUM($AB$148:AB336)+SUM($AC$148:AC336)</f>
        <v>980.699999999999</v>
      </c>
      <c r="AE336">
        <f t="shared" si="68"/>
        <v>15020.0032876712</v>
      </c>
      <c r="AF336">
        <f t="shared" si="69"/>
        <v>1.03004000657534</v>
      </c>
      <c r="AG336" s="5">
        <f>(AF336/AF335-1)-中国_中债国债到期收益率_1年!H336%/252</f>
        <v>-5.26476197091659e-5</v>
      </c>
      <c r="AH336" s="5">
        <f>MIN((AF336-MAX($AF$151:AF336))/MAX($AF$151:AF336),0)</f>
        <v>-0.00500794205715663</v>
      </c>
    </row>
    <row r="337" spans="1:34">
      <c r="A337" s="7">
        <v>45197</v>
      </c>
      <c r="B337">
        <v>20</v>
      </c>
      <c r="C337">
        <v>40</v>
      </c>
      <c r="D337">
        <v>-10</v>
      </c>
      <c r="F337">
        <f t="shared" si="66"/>
        <v>50</v>
      </c>
      <c r="G337">
        <f t="shared" si="60"/>
        <v>20</v>
      </c>
      <c r="H337">
        <f t="shared" si="61"/>
        <v>200</v>
      </c>
      <c r="I337">
        <f t="shared" si="62"/>
        <v>-90</v>
      </c>
      <c r="J337">
        <f t="shared" si="63"/>
        <v>0</v>
      </c>
      <c r="K337">
        <f t="shared" si="67"/>
        <v>130</v>
      </c>
      <c r="L337">
        <f>G337*Return!B337*100</f>
        <v>49.9999999999998</v>
      </c>
      <c r="M337">
        <f>H337*Return!C337*100</f>
        <v>274.000000000001</v>
      </c>
      <c r="N337">
        <f>I337*Return!D337*100</f>
        <v>-66.6000000000007</v>
      </c>
      <c r="O337">
        <f>J337*Return!E337*100</f>
        <v>0</v>
      </c>
      <c r="P337">
        <f t="shared" si="64"/>
        <v>257.4</v>
      </c>
      <c r="Q337">
        <f>SUM($P$148:P337)</f>
        <v>8090.4</v>
      </c>
      <c r="R337">
        <f>B337*中国_中债国债到期收益率_1年!B336/365*100</f>
        <v>12.0969863013699</v>
      </c>
      <c r="S337">
        <f>C337*中国_中债国债到期收益率_1年!C336/365*100</f>
        <v>27.7852054794521</v>
      </c>
      <c r="T337">
        <f>D337*中国_中债国债到期收益率_1年!D336/365*100</f>
        <v>-7.36356164383562</v>
      </c>
      <c r="U337">
        <f>E337*中国_中债国债到期收益率_1年!E336/365*100</f>
        <v>0</v>
      </c>
      <c r="V337">
        <f t="shared" si="65"/>
        <v>32.5186301369863</v>
      </c>
      <c r="W337">
        <f>SUM($V$148:V337)</f>
        <v>8893.07684931507</v>
      </c>
      <c r="X337">
        <f>MAX(F337-50,0)*中国_中债国债到期收益率_1年!H337*100/365</f>
        <v>0</v>
      </c>
      <c r="Y337">
        <f>SUM($X$148:X337)</f>
        <v>2654.25493150685</v>
      </c>
      <c r="AB337">
        <f>Z337*Return!F341*100</f>
        <v>0</v>
      </c>
      <c r="AC337">
        <f>AA337*Return!G341*100</f>
        <v>0</v>
      </c>
      <c r="AD337">
        <f>SUM($AB$148:AB337)+SUM($AC$148:AC337)</f>
        <v>980.699999999999</v>
      </c>
      <c r="AE337">
        <f t="shared" si="68"/>
        <v>15309.9219178082</v>
      </c>
      <c r="AF337">
        <f t="shared" si="69"/>
        <v>1.03061984383562</v>
      </c>
      <c r="AG337" s="5">
        <f>(AF337/AF336-1)-中国_中债国债到期收益率_1年!H337%/252</f>
        <v>0.000475625344247214</v>
      </c>
      <c r="AH337" s="5">
        <f>MIN((AF337-MAX($AF$151:AF337))/MAX($AF$151:AF337),0)</f>
        <v>-0.00444783423106352</v>
      </c>
    </row>
    <row r="338" spans="1:34">
      <c r="A338" s="7">
        <v>45206</v>
      </c>
      <c r="B338">
        <v>20</v>
      </c>
      <c r="C338">
        <v>40</v>
      </c>
      <c r="D338">
        <v>-10</v>
      </c>
      <c r="F338">
        <f t="shared" si="66"/>
        <v>50</v>
      </c>
      <c r="G338">
        <f t="shared" si="60"/>
        <v>20</v>
      </c>
      <c r="H338">
        <f t="shared" si="61"/>
        <v>200</v>
      </c>
      <c r="I338">
        <f t="shared" si="62"/>
        <v>-90</v>
      </c>
      <c r="J338">
        <f t="shared" si="63"/>
        <v>0</v>
      </c>
      <c r="K338">
        <f t="shared" si="67"/>
        <v>130</v>
      </c>
      <c r="L338">
        <f>G338*Return!B338*100</f>
        <v>80.0000000000001</v>
      </c>
      <c r="M338">
        <f>H338*Return!C338*100</f>
        <v>196.000000000005</v>
      </c>
      <c r="N338">
        <f>I338*Return!D338*100</f>
        <v>-113.399999999999</v>
      </c>
      <c r="O338">
        <f>J338*Return!E338*100</f>
        <v>0</v>
      </c>
      <c r="P338">
        <f t="shared" si="64"/>
        <v>162.600000000006</v>
      </c>
      <c r="Q338">
        <f>SUM($P$148:P338)</f>
        <v>8253.00000000001</v>
      </c>
      <c r="R338">
        <f>B338*中国_中债国债到期收益率_1年!B337/365*100</f>
        <v>11.8778082191781</v>
      </c>
      <c r="S338">
        <f>C338*中国_中债国债到期收益率_1年!C337/365*100</f>
        <v>27.6778082191781</v>
      </c>
      <c r="T338">
        <f>D338*中国_中债国债到期收益率_1年!D337/365*100</f>
        <v>-7.32904109589041</v>
      </c>
      <c r="U338">
        <f>E338*中国_中债国债到期收益率_1年!E337/365*100</f>
        <v>0</v>
      </c>
      <c r="V338">
        <f t="shared" si="65"/>
        <v>32.2265753424658</v>
      </c>
      <c r="W338">
        <f>SUM($V$148:V338)</f>
        <v>8925.30342465753</v>
      </c>
      <c r="X338">
        <f>MAX(F338-50,0)*中国_中债国债到期收益率_1年!H338*100/365</f>
        <v>0</v>
      </c>
      <c r="Y338">
        <f>SUM($X$148:X338)</f>
        <v>2654.25493150685</v>
      </c>
      <c r="AB338">
        <f>Z338*Return!F342*100</f>
        <v>0</v>
      </c>
      <c r="AC338">
        <f>AA338*Return!G342*100</f>
        <v>0</v>
      </c>
      <c r="AD338">
        <f>SUM($AB$148:AB338)+SUM($AC$148:AC338)</f>
        <v>980.699999999999</v>
      </c>
      <c r="AE338">
        <f t="shared" si="68"/>
        <v>15504.7484931507</v>
      </c>
      <c r="AF338">
        <f t="shared" si="69"/>
        <v>1.0310094969863</v>
      </c>
      <c r="AG338" s="5">
        <f>(AF338/AF337-1)-中国_中债国债到期收益率_1年!H338%/252</f>
        <v>0.000304663808667518</v>
      </c>
      <c r="AH338" s="5">
        <f>MIN((AF338-MAX($AF$151:AF338))/MAX($AF$151:AF338),0)</f>
        <v>-0.00407143934561353</v>
      </c>
    </row>
    <row r="339" spans="1:34">
      <c r="A339" s="7">
        <v>45207</v>
      </c>
      <c r="B339">
        <v>20</v>
      </c>
      <c r="C339">
        <v>40</v>
      </c>
      <c r="D339">
        <v>-10</v>
      </c>
      <c r="F339">
        <f t="shared" si="66"/>
        <v>50</v>
      </c>
      <c r="G339">
        <f t="shared" si="60"/>
        <v>20</v>
      </c>
      <c r="H339">
        <f t="shared" si="61"/>
        <v>200</v>
      </c>
      <c r="I339">
        <f t="shared" si="62"/>
        <v>-90</v>
      </c>
      <c r="J339">
        <f t="shared" si="63"/>
        <v>0</v>
      </c>
      <c r="K339">
        <f t="shared" si="67"/>
        <v>130</v>
      </c>
      <c r="L339">
        <f>G339*Return!B339*100</f>
        <v>40</v>
      </c>
      <c r="M339">
        <f>H339*Return!C339*100</f>
        <v>161.999999999995</v>
      </c>
      <c r="N339">
        <f>I339*Return!D339*100</f>
        <v>-90.0000000000021</v>
      </c>
      <c r="O339">
        <f>J339*Return!E339*100</f>
        <v>0</v>
      </c>
      <c r="P339">
        <f t="shared" si="64"/>
        <v>111.999999999993</v>
      </c>
      <c r="Q339">
        <f>SUM($P$148:P339)</f>
        <v>8365</v>
      </c>
      <c r="R339">
        <f>B339*中国_中债国债到期收益率_1年!B338/365*100</f>
        <v>11.7682191780822</v>
      </c>
      <c r="S339">
        <f>C339*中国_中债国债到期收益率_1年!C338/365*100</f>
        <v>27.5890410958904</v>
      </c>
      <c r="T339">
        <f>D339*中国_中债国债到期收益率_1年!D338/365*100</f>
        <v>-7.30164383561644</v>
      </c>
      <c r="U339">
        <f>E339*中国_中债国债到期收益率_1年!E338/365*100</f>
        <v>0</v>
      </c>
      <c r="V339">
        <f t="shared" si="65"/>
        <v>32.0556164383562</v>
      </c>
      <c r="W339">
        <f>SUM($V$148:V339)</f>
        <v>8957.35904109589</v>
      </c>
      <c r="X339">
        <f>MAX(F339-50,0)*中国_中债国债到期收益率_1年!H339*100/365</f>
        <v>0</v>
      </c>
      <c r="Y339">
        <f>SUM($X$148:X339)</f>
        <v>2654.25493150685</v>
      </c>
      <c r="AB339">
        <f>Z339*Return!F343*100</f>
        <v>0</v>
      </c>
      <c r="AC339">
        <f>AA339*Return!G343*100</f>
        <v>0</v>
      </c>
      <c r="AD339">
        <f>SUM($AB$148:AB339)+SUM($AC$148:AC339)</f>
        <v>980.699999999999</v>
      </c>
      <c r="AE339">
        <f t="shared" si="68"/>
        <v>15648.804109589</v>
      </c>
      <c r="AF339">
        <f t="shared" si="69"/>
        <v>1.03129760821918</v>
      </c>
      <c r="AG339" s="5">
        <f>(AF339/AF338-1)-中国_中债国债到期收益率_1年!H339%/252</f>
        <v>0.000208017188982818</v>
      </c>
      <c r="AH339" s="5">
        <f>MIN((AF339-MAX($AF$151:AF339))/MAX($AF$151:AF339),0)</f>
        <v>-0.003793131331666</v>
      </c>
    </row>
    <row r="340" spans="1:34">
      <c r="A340" s="7">
        <v>45208</v>
      </c>
      <c r="B340">
        <v>20</v>
      </c>
      <c r="C340">
        <v>40</v>
      </c>
      <c r="D340">
        <v>-10</v>
      </c>
      <c r="F340">
        <f t="shared" si="66"/>
        <v>50</v>
      </c>
      <c r="G340">
        <f t="shared" ref="G340:G364" si="70">B340</f>
        <v>20</v>
      </c>
      <c r="H340">
        <f t="shared" ref="H340:H364" si="71">5*C340</f>
        <v>200</v>
      </c>
      <c r="I340">
        <f t="shared" ref="I340:I364" si="72">9*D340</f>
        <v>-90</v>
      </c>
      <c r="J340">
        <f t="shared" ref="J340:J364" si="73">16*E340</f>
        <v>0</v>
      </c>
      <c r="K340">
        <f t="shared" si="67"/>
        <v>130</v>
      </c>
      <c r="L340">
        <f>G340*Return!B340*100</f>
        <v>19.9999999999996</v>
      </c>
      <c r="M340">
        <f>H340*Return!C340*100</f>
        <v>-5.9999999999949</v>
      </c>
      <c r="N340">
        <f>I340*Return!D340*100</f>
        <v>-22.4999999999995</v>
      </c>
      <c r="O340">
        <f>J340*Return!E340*100</f>
        <v>0</v>
      </c>
      <c r="P340">
        <f t="shared" ref="P340:P364" si="74">SUM(L340:O340)</f>
        <v>-8.49999999999484</v>
      </c>
      <c r="Q340">
        <f>SUM($P$148:P340)</f>
        <v>8356.5</v>
      </c>
      <c r="R340">
        <f>B340*中国_中债国债到期收益率_1年!B339/365*100</f>
        <v>11.7134246575342</v>
      </c>
      <c r="S340">
        <f>C340*中国_中债国债到期收益率_1年!C339/365*100</f>
        <v>27.5923287671233</v>
      </c>
      <c r="T340">
        <f>D340*中国_中债国债到期收益率_1年!D339/365*100</f>
        <v>-7.29479452054794</v>
      </c>
      <c r="U340">
        <f>E340*中国_中债国债到期收益率_1年!E339/365*100</f>
        <v>0</v>
      </c>
      <c r="V340">
        <f t="shared" ref="V340:V364" si="75">SUM(R340:U340)</f>
        <v>32.0109589041096</v>
      </c>
      <c r="W340">
        <f>SUM($V$148:V340)</f>
        <v>8989.37</v>
      </c>
      <c r="X340">
        <f>MAX(F340-50,0)*中国_中债国债到期收益率_1年!H340*100/365</f>
        <v>0</v>
      </c>
      <c r="Y340">
        <f>SUM($X$148:X340)</f>
        <v>2654.25493150685</v>
      </c>
      <c r="AB340">
        <f>Z340*Return!F344*100</f>
        <v>0</v>
      </c>
      <c r="AC340">
        <f>AA340*Return!G344*100</f>
        <v>0</v>
      </c>
      <c r="AD340">
        <f>SUM($AB$148:AB340)+SUM($AC$148:AC340)</f>
        <v>980.699999999999</v>
      </c>
      <c r="AE340">
        <f t="shared" si="68"/>
        <v>15672.3150684932</v>
      </c>
      <c r="AF340">
        <f t="shared" si="69"/>
        <v>1.03134463013699</v>
      </c>
      <c r="AG340" s="5">
        <f>(AF340/AF339-1)-中国_中债国债到期收益率_1年!H340%/252</f>
        <v>-3.41669984676052e-5</v>
      </c>
      <c r="AH340" s="5">
        <f>MIN((AF340-MAX($AF$151:AF340))/MAX($AF$151:AF340),0)</f>
        <v>-0.00374770937283925</v>
      </c>
    </row>
    <row r="341" spans="1:34">
      <c r="A341" s="7">
        <v>45209</v>
      </c>
      <c r="B341">
        <v>20</v>
      </c>
      <c r="C341">
        <v>40</v>
      </c>
      <c r="D341">
        <v>-10</v>
      </c>
      <c r="F341">
        <f t="shared" si="66"/>
        <v>50</v>
      </c>
      <c r="G341">
        <f t="shared" si="70"/>
        <v>20</v>
      </c>
      <c r="H341">
        <f t="shared" si="71"/>
        <v>200</v>
      </c>
      <c r="I341">
        <f t="shared" si="72"/>
        <v>-90</v>
      </c>
      <c r="J341">
        <f t="shared" si="73"/>
        <v>0</v>
      </c>
      <c r="K341">
        <f t="shared" si="67"/>
        <v>130</v>
      </c>
      <c r="L341">
        <f>G341*Return!B341*100</f>
        <v>-40</v>
      </c>
      <c r="M341">
        <f>H341*Return!C341*100</f>
        <v>-348.000000000006</v>
      </c>
      <c r="N341">
        <f>I341*Return!D341*100</f>
        <v>68.4000000000005</v>
      </c>
      <c r="O341">
        <f>J341*Return!E341*100</f>
        <v>0</v>
      </c>
      <c r="P341">
        <f t="shared" si="74"/>
        <v>-319.600000000006</v>
      </c>
      <c r="Q341">
        <f>SUM($P$148:P341)</f>
        <v>8036.9</v>
      </c>
      <c r="R341">
        <f>B341*中国_中债国债到期收益率_1年!B340/365*100</f>
        <v>11.8230136986301</v>
      </c>
      <c r="S341">
        <f>C341*中国_中债国债到期收益率_1年!C340/365*100</f>
        <v>27.7830136986301</v>
      </c>
      <c r="T341">
        <f>D341*中国_中债国债到期收益率_1年!D340/365*100</f>
        <v>-7.31561643835616</v>
      </c>
      <c r="U341">
        <f>E341*中国_中债国债到期收益率_1年!E340/365*100</f>
        <v>0</v>
      </c>
      <c r="V341">
        <f t="shared" si="75"/>
        <v>32.2904109589041</v>
      </c>
      <c r="W341">
        <f>SUM($V$148:V341)</f>
        <v>9021.6604109589</v>
      </c>
      <c r="X341">
        <f>MAX(F341-50,0)*中国_中债国债到期收益率_1年!H341*100/365</f>
        <v>0</v>
      </c>
      <c r="Y341">
        <f>SUM($X$148:X341)</f>
        <v>2654.25493150685</v>
      </c>
      <c r="AB341">
        <f>Z341*Return!F345*100</f>
        <v>0</v>
      </c>
      <c r="AC341">
        <f>AA341*Return!G345*100</f>
        <v>0</v>
      </c>
      <c r="AD341">
        <f>SUM($AB$148:AB341)+SUM($AC$148:AC341)</f>
        <v>980.699999999999</v>
      </c>
      <c r="AE341">
        <f t="shared" si="68"/>
        <v>15385.0054794521</v>
      </c>
      <c r="AF341">
        <f t="shared" si="69"/>
        <v>1.0307700109589</v>
      </c>
      <c r="AG341" s="5">
        <f>(AF341/AF340-1)-中国_中债国债到期收益率_1年!H341%/252</f>
        <v>-0.00063850455606566</v>
      </c>
      <c r="AH341" s="5">
        <f>MIN((AF341-MAX($AF$151:AF341))/MAX($AF$151:AF341),0)</f>
        <v>-0.0043027766662295</v>
      </c>
    </row>
    <row r="342" spans="1:34">
      <c r="A342" s="7">
        <v>45210</v>
      </c>
      <c r="B342">
        <v>20</v>
      </c>
      <c r="C342">
        <v>40</v>
      </c>
      <c r="D342">
        <v>-10</v>
      </c>
      <c r="F342">
        <f t="shared" si="66"/>
        <v>50</v>
      </c>
      <c r="G342">
        <f t="shared" si="70"/>
        <v>20</v>
      </c>
      <c r="H342">
        <f t="shared" si="71"/>
        <v>200</v>
      </c>
      <c r="I342">
        <f t="shared" si="72"/>
        <v>-90</v>
      </c>
      <c r="J342">
        <f t="shared" si="73"/>
        <v>0</v>
      </c>
      <c r="K342">
        <f t="shared" si="67"/>
        <v>130</v>
      </c>
      <c r="L342">
        <f>G342*Return!B342*100</f>
        <v>-80.0000000000001</v>
      </c>
      <c r="M342">
        <f>H342*Return!C342*100</f>
        <v>-396.000000000001</v>
      </c>
      <c r="N342">
        <f>I342*Return!D342*100</f>
        <v>98.0999999999992</v>
      </c>
      <c r="O342">
        <f>J342*Return!E342*100</f>
        <v>0</v>
      </c>
      <c r="P342">
        <f t="shared" si="74"/>
        <v>-377.900000000002</v>
      </c>
      <c r="Q342">
        <f>SUM($P$148:P342)</f>
        <v>7659</v>
      </c>
      <c r="R342">
        <f>B342*中国_中债国债到期收益率_1年!B341/365*100</f>
        <v>12.0421917808219</v>
      </c>
      <c r="S342">
        <f>C342*中国_中债国债到期收益率_1年!C341/365*100</f>
        <v>28</v>
      </c>
      <c r="T342">
        <f>D342*中国_中债国债到期收益率_1年!D341/365*100</f>
        <v>-7.34547945205479</v>
      </c>
      <c r="U342">
        <f>E342*中国_中债国债到期收益率_1年!E341/365*100</f>
        <v>0</v>
      </c>
      <c r="V342">
        <f t="shared" si="75"/>
        <v>32.6967123287671</v>
      </c>
      <c r="W342">
        <f>SUM($V$148:V342)</f>
        <v>9054.35712328767</v>
      </c>
      <c r="X342">
        <f>MAX(F342-50,0)*中国_中债国债到期收益率_1年!H342*100/365</f>
        <v>0</v>
      </c>
      <c r="Y342">
        <f>SUM($X$148:X342)</f>
        <v>2654.25493150685</v>
      </c>
      <c r="AB342">
        <f>Z342*Return!F346*100</f>
        <v>0</v>
      </c>
      <c r="AC342">
        <f>AA342*Return!G346*100</f>
        <v>0</v>
      </c>
      <c r="AD342">
        <f>SUM($AB$148:AB342)+SUM($AC$148:AC342)</f>
        <v>980.699999999999</v>
      </c>
      <c r="AE342">
        <f t="shared" si="68"/>
        <v>15039.8021917808</v>
      </c>
      <c r="AF342">
        <f t="shared" si="69"/>
        <v>1.03007960438356</v>
      </c>
      <c r="AG342" s="5">
        <f>(AF342/AF341-1)-中国_中债国债到期收益率_1年!H342%/252</f>
        <v>-0.000754717551790826</v>
      </c>
      <c r="AH342" s="5">
        <f>MIN((AF342-MAX($AF$151:AF342))/MAX($AF$151:AF342),0)</f>
        <v>-0.00496969159655472</v>
      </c>
    </row>
    <row r="343" spans="1:34">
      <c r="A343" s="7">
        <v>45211</v>
      </c>
      <c r="B343">
        <v>20</v>
      </c>
      <c r="C343">
        <v>40</v>
      </c>
      <c r="D343">
        <v>-10</v>
      </c>
      <c r="F343">
        <f t="shared" si="66"/>
        <v>50</v>
      </c>
      <c r="G343">
        <f t="shared" si="70"/>
        <v>20</v>
      </c>
      <c r="H343">
        <f t="shared" si="71"/>
        <v>200</v>
      </c>
      <c r="I343">
        <f t="shared" si="72"/>
        <v>-90</v>
      </c>
      <c r="J343">
        <f t="shared" si="73"/>
        <v>0</v>
      </c>
      <c r="K343">
        <f t="shared" si="67"/>
        <v>130</v>
      </c>
      <c r="L343">
        <f>G343*Return!B343*100</f>
        <v>-79.9999999999992</v>
      </c>
      <c r="M343">
        <f>H343*Return!C343*100</f>
        <v>-697.999999999999</v>
      </c>
      <c r="N343">
        <f>I343*Return!D343*100</f>
        <v>148.500000000002</v>
      </c>
      <c r="O343">
        <f>J343*Return!E343*100</f>
        <v>0</v>
      </c>
      <c r="P343">
        <f t="shared" si="74"/>
        <v>-629.499999999996</v>
      </c>
      <c r="Q343">
        <f>SUM($P$148:P343)</f>
        <v>7029.5</v>
      </c>
      <c r="R343">
        <f>B343*中国_中债国债到期收益率_1年!B342/365*100</f>
        <v>12.2613698630137</v>
      </c>
      <c r="S343">
        <f>C343*中国_中债国债到期收益率_1年!C342/365*100</f>
        <v>28.3824657534247</v>
      </c>
      <c r="T343">
        <f>D343*中国_中债国债到期收益率_1年!D342/365*100</f>
        <v>-7.39068493150685</v>
      </c>
      <c r="U343">
        <f>E343*中国_中债国债到期收益率_1年!E342/365*100</f>
        <v>0</v>
      </c>
      <c r="V343">
        <f t="shared" si="75"/>
        <v>33.2531506849315</v>
      </c>
      <c r="W343">
        <f>SUM($V$148:V343)</f>
        <v>9087.6102739726</v>
      </c>
      <c r="X343">
        <f>MAX(F343-50,0)*中国_中债国债到期收益率_1年!H343*100/365</f>
        <v>0</v>
      </c>
      <c r="Y343">
        <f>SUM($X$148:X343)</f>
        <v>2654.25493150685</v>
      </c>
      <c r="AB343">
        <f>Z343*Return!F347*100</f>
        <v>0</v>
      </c>
      <c r="AC343">
        <f>AA343*Return!G347*100</f>
        <v>0</v>
      </c>
      <c r="AD343">
        <f>SUM($AB$148:AB343)+SUM($AC$148:AC343)</f>
        <v>980.699999999999</v>
      </c>
      <c r="AE343">
        <f t="shared" si="68"/>
        <v>14443.5553424658</v>
      </c>
      <c r="AF343">
        <f t="shared" si="69"/>
        <v>1.02888711068493</v>
      </c>
      <c r="AG343" s="5">
        <f>(AF343/AF342-1)-中国_中债国债到期收益率_1年!H343%/252</f>
        <v>-0.00124100473421863</v>
      </c>
      <c r="AH343" s="5">
        <f>MIN((AF343-MAX($AF$151:AF343))/MAX($AF$151:AF343),0)</f>
        <v>-0.00612160972760744</v>
      </c>
    </row>
    <row r="344" spans="1:34">
      <c r="A344" s="7">
        <v>45212</v>
      </c>
      <c r="B344">
        <v>20</v>
      </c>
      <c r="C344">
        <v>40</v>
      </c>
      <c r="D344">
        <v>-10</v>
      </c>
      <c r="F344">
        <f t="shared" si="66"/>
        <v>50</v>
      </c>
      <c r="G344">
        <f t="shared" si="70"/>
        <v>20</v>
      </c>
      <c r="H344">
        <f t="shared" si="71"/>
        <v>200</v>
      </c>
      <c r="I344">
        <f t="shared" si="72"/>
        <v>-90</v>
      </c>
      <c r="J344">
        <f t="shared" si="73"/>
        <v>0</v>
      </c>
      <c r="K344">
        <f t="shared" si="67"/>
        <v>130</v>
      </c>
      <c r="L344">
        <f>G344*Return!B344*100</f>
        <v>79.9999999999992</v>
      </c>
      <c r="M344">
        <f>H344*Return!C344*100</f>
        <v>192.000000000006</v>
      </c>
      <c r="N344">
        <f>I344*Return!D344*100</f>
        <v>-58.4999999999996</v>
      </c>
      <c r="O344">
        <f>J344*Return!E344*100</f>
        <v>0</v>
      </c>
      <c r="P344">
        <f t="shared" si="74"/>
        <v>213.500000000005</v>
      </c>
      <c r="Q344">
        <f>SUM($P$148:P344)</f>
        <v>7243.00000000001</v>
      </c>
      <c r="R344">
        <f>B344*中国_中债国债到期收益率_1年!B343/365*100</f>
        <v>12.0421917808219</v>
      </c>
      <c r="S344">
        <f>C344*中国_中债国债到期收益率_1年!C343/365*100</f>
        <v>28.2772602739726</v>
      </c>
      <c r="T344">
        <f>D344*中国_中债国债到期收益率_1年!D343/365*100</f>
        <v>-7.37287671232877</v>
      </c>
      <c r="U344">
        <f>E344*中国_中债国债到期收益率_1年!E343/365*100</f>
        <v>0</v>
      </c>
      <c r="V344">
        <f t="shared" si="75"/>
        <v>32.9465753424657</v>
      </c>
      <c r="W344">
        <f>SUM($V$148:V344)</f>
        <v>9120.55684931507</v>
      </c>
      <c r="X344">
        <f>MAX(F344-50,0)*中国_中债国债到期收益率_1年!H344*100/365</f>
        <v>0</v>
      </c>
      <c r="Y344">
        <f>SUM($X$148:X344)</f>
        <v>2654.25493150685</v>
      </c>
      <c r="AB344">
        <f>Z344*Return!F348*100</f>
        <v>0</v>
      </c>
      <c r="AC344">
        <f>AA344*Return!G348*100</f>
        <v>0</v>
      </c>
      <c r="AD344">
        <f>SUM($AB$148:AB344)+SUM($AC$148:AC344)</f>
        <v>980.699999999999</v>
      </c>
      <c r="AE344">
        <f t="shared" si="68"/>
        <v>14690.0019178082</v>
      </c>
      <c r="AF344">
        <f t="shared" si="69"/>
        <v>1.02938000383562</v>
      </c>
      <c r="AG344" s="5">
        <f>(AF344/AF343-1)-中国_中债国债到期收益率_1年!H344%/252</f>
        <v>0.000397705439749669</v>
      </c>
      <c r="AH344" s="5">
        <f>MIN((AF344-MAX($AF$151:AF344))/MAX($AF$151:AF344),0)</f>
        <v>-0.00564548766709014</v>
      </c>
    </row>
    <row r="345" spans="1:34">
      <c r="A345" s="7">
        <v>45215</v>
      </c>
      <c r="B345">
        <v>20</v>
      </c>
      <c r="C345">
        <v>40</v>
      </c>
      <c r="D345">
        <v>-10</v>
      </c>
      <c r="F345">
        <f t="shared" si="66"/>
        <v>50</v>
      </c>
      <c r="G345">
        <f t="shared" si="70"/>
        <v>20</v>
      </c>
      <c r="H345">
        <f t="shared" si="71"/>
        <v>200</v>
      </c>
      <c r="I345">
        <f t="shared" si="72"/>
        <v>-90</v>
      </c>
      <c r="J345">
        <f t="shared" si="73"/>
        <v>0</v>
      </c>
      <c r="K345">
        <f t="shared" si="67"/>
        <v>130</v>
      </c>
      <c r="L345">
        <f>G345*Return!B345*100</f>
        <v>40</v>
      </c>
      <c r="M345">
        <f>H345*Return!C345*100</f>
        <v>549.999999999997</v>
      </c>
      <c r="N345">
        <f>I345*Return!D345*100</f>
        <v>-188.100000000001</v>
      </c>
      <c r="O345">
        <f>J345*Return!E345*100</f>
        <v>0</v>
      </c>
      <c r="P345">
        <f t="shared" si="74"/>
        <v>401.899999999996</v>
      </c>
      <c r="Q345">
        <f>SUM($P$148:P345)</f>
        <v>7644.9</v>
      </c>
      <c r="R345">
        <f>B345*中国_中债国债到期收益率_1年!B344/365*100</f>
        <v>11.932602739726</v>
      </c>
      <c r="S345">
        <f>C345*中国_中债国债到期收益率_1年!C344/365*100</f>
        <v>27.9758904109589</v>
      </c>
      <c r="T345">
        <f>D345*中国_中债国债到期收益率_1年!D344/365*100</f>
        <v>-7.31561643835616</v>
      </c>
      <c r="U345">
        <f>E345*中国_中债国债到期收益率_1年!E344/365*100</f>
        <v>0</v>
      </c>
      <c r="V345">
        <f t="shared" si="75"/>
        <v>32.5928767123288</v>
      </c>
      <c r="W345">
        <f>SUM($V$148:V345)</f>
        <v>9153.1497260274</v>
      </c>
      <c r="X345">
        <f>MAX(F345-50,0)*中国_中债国债到期收益率_1年!H345*100/365</f>
        <v>0</v>
      </c>
      <c r="Y345">
        <f>SUM($X$148:X345)</f>
        <v>2654.25493150685</v>
      </c>
      <c r="AB345">
        <f>Z345*Return!F349*100</f>
        <v>0</v>
      </c>
      <c r="AC345">
        <f>AA345*Return!G349*100</f>
        <v>0</v>
      </c>
      <c r="AD345">
        <f>SUM($AB$148:AB345)+SUM($AC$148:AC345)</f>
        <v>980.699999999999</v>
      </c>
      <c r="AE345">
        <f t="shared" si="68"/>
        <v>15124.4947945206</v>
      </c>
      <c r="AF345">
        <f t="shared" si="69"/>
        <v>1.03024898958904</v>
      </c>
      <c r="AG345" s="5">
        <f>(AF345/AF344-1)-中国_中债国债到期收益率_1年!H345%/252</f>
        <v>0.00076283442864163</v>
      </c>
      <c r="AH345" s="5">
        <f>MIN((AF345-MAX($AF$151:AF345))/MAX($AF$151:AF345),0)</f>
        <v>-0.00480606986039948</v>
      </c>
    </row>
    <row r="346" spans="1:34">
      <c r="A346" s="7">
        <v>45216</v>
      </c>
      <c r="B346">
        <v>20</v>
      </c>
      <c r="C346">
        <v>40</v>
      </c>
      <c r="D346">
        <v>-10</v>
      </c>
      <c r="F346">
        <f t="shared" si="66"/>
        <v>50</v>
      </c>
      <c r="G346">
        <f t="shared" si="70"/>
        <v>20</v>
      </c>
      <c r="H346">
        <f t="shared" si="71"/>
        <v>200</v>
      </c>
      <c r="I346">
        <f t="shared" si="72"/>
        <v>-90</v>
      </c>
      <c r="J346">
        <f t="shared" si="73"/>
        <v>0</v>
      </c>
      <c r="K346">
        <f t="shared" si="67"/>
        <v>130</v>
      </c>
      <c r="L346">
        <f>G346*Return!B346*100</f>
        <v>-19.9999999999996</v>
      </c>
      <c r="M346">
        <f>H346*Return!C346*100</f>
        <v>-202</v>
      </c>
      <c r="N346">
        <f>I346*Return!D346*100</f>
        <v>67.5000000000026</v>
      </c>
      <c r="O346">
        <f>J346*Return!E346*100</f>
        <v>0</v>
      </c>
      <c r="P346">
        <f t="shared" si="74"/>
        <v>-154.499999999997</v>
      </c>
      <c r="Q346">
        <f>SUM($P$148:P346)</f>
        <v>7490.4</v>
      </c>
      <c r="R346">
        <f>B346*中国_中债国债到期收益率_1年!B345/365*100</f>
        <v>11.987397260274</v>
      </c>
      <c r="S346">
        <f>C346*中国_中债国债到期收益率_1年!C345/365*100</f>
        <v>28.0865753424658</v>
      </c>
      <c r="T346">
        <f>D346*中国_中债国债到期收益率_1年!D345/365*100</f>
        <v>-7.33616438356164</v>
      </c>
      <c r="U346">
        <f>E346*中国_中债国债到期收益率_1年!E345/365*100</f>
        <v>0</v>
      </c>
      <c r="V346">
        <f t="shared" si="75"/>
        <v>32.7378082191781</v>
      </c>
      <c r="W346">
        <f>SUM($V$148:V346)</f>
        <v>9185.88753424658</v>
      </c>
      <c r="X346">
        <f>MAX(F346-50,0)*中国_中债国债到期收益率_1年!H346*100/365</f>
        <v>0</v>
      </c>
      <c r="Y346">
        <f>SUM($X$148:X346)</f>
        <v>2654.25493150685</v>
      </c>
      <c r="AB346">
        <f>Z346*Return!F350*100</f>
        <v>0</v>
      </c>
      <c r="AC346">
        <f>AA346*Return!G350*100</f>
        <v>0</v>
      </c>
      <c r="AD346">
        <f>SUM($AB$148:AB346)+SUM($AC$148:AC346)</f>
        <v>980.699999999999</v>
      </c>
      <c r="AE346">
        <f t="shared" si="68"/>
        <v>15002.7326027397</v>
      </c>
      <c r="AF346">
        <f t="shared" si="69"/>
        <v>1.03000546520548</v>
      </c>
      <c r="AG346" s="5">
        <f>(AF346/AF345-1)-中国_中债国债到期收益率_1年!H346%/252</f>
        <v>-0.000315739379192115</v>
      </c>
      <c r="AH346" s="5">
        <f>MIN((AF346-MAX($AF$151:AF346))/MAX($AF$151:AF346),0)</f>
        <v>-0.0050413081288284</v>
      </c>
    </row>
    <row r="347" spans="1:34">
      <c r="A347" s="7">
        <v>45217</v>
      </c>
      <c r="B347">
        <v>20</v>
      </c>
      <c r="C347">
        <v>40</v>
      </c>
      <c r="D347">
        <v>-10</v>
      </c>
      <c r="F347">
        <f t="shared" si="66"/>
        <v>50</v>
      </c>
      <c r="G347">
        <f t="shared" si="70"/>
        <v>20</v>
      </c>
      <c r="H347">
        <f t="shared" si="71"/>
        <v>200</v>
      </c>
      <c r="I347">
        <f t="shared" si="72"/>
        <v>-90</v>
      </c>
      <c r="J347">
        <f t="shared" si="73"/>
        <v>0</v>
      </c>
      <c r="K347">
        <f t="shared" si="67"/>
        <v>130</v>
      </c>
      <c r="L347">
        <f>G347*Return!B347*100</f>
        <v>-70.0000000000003</v>
      </c>
      <c r="M347">
        <f>H347*Return!C347*100</f>
        <v>-202</v>
      </c>
      <c r="N347">
        <f>I347*Return!D347*100</f>
        <v>94.4999999999996</v>
      </c>
      <c r="O347">
        <f>J347*Return!E347*100</f>
        <v>0</v>
      </c>
      <c r="P347">
        <f t="shared" si="74"/>
        <v>-177.500000000001</v>
      </c>
      <c r="Q347">
        <f>SUM($P$148:P347)</f>
        <v>7312.9</v>
      </c>
      <c r="R347">
        <f>B347*中国_中债国债到期收益率_1年!B346/365*100</f>
        <v>12.1791780821918</v>
      </c>
      <c r="S347">
        <f>C347*中国_中债国债到期收益率_1年!C346/365*100</f>
        <v>28.1972602739726</v>
      </c>
      <c r="T347">
        <f>D347*中国_中债国债到期收益率_1年!D346/365*100</f>
        <v>-7.36493150684931</v>
      </c>
      <c r="U347">
        <f>E347*中国_中债国债到期收益率_1年!E346/365*100</f>
        <v>0</v>
      </c>
      <c r="V347">
        <f t="shared" si="75"/>
        <v>33.0115068493151</v>
      </c>
      <c r="W347">
        <f>SUM($V$148:V347)</f>
        <v>9218.89904109589</v>
      </c>
      <c r="X347">
        <f>MAX(F347-50,0)*中国_中债国债到期收益率_1年!H347*100/365</f>
        <v>0</v>
      </c>
      <c r="Y347">
        <f>SUM($X$148:X347)</f>
        <v>2654.25493150685</v>
      </c>
      <c r="AB347">
        <f>Z347*Return!F351*100</f>
        <v>0</v>
      </c>
      <c r="AC347">
        <f>AA347*Return!G351*100</f>
        <v>0</v>
      </c>
      <c r="AD347">
        <f>SUM($AB$148:AB347)+SUM($AC$148:AC347)</f>
        <v>980.699999999999</v>
      </c>
      <c r="AE347">
        <f t="shared" si="68"/>
        <v>14858.244109589</v>
      </c>
      <c r="AF347">
        <f t="shared" si="69"/>
        <v>1.02971648821918</v>
      </c>
      <c r="AG347" s="5">
        <f>(AF347/AF346-1)-中国_中债国债到期收益率_1年!H347%/252</f>
        <v>-0.000361907898573082</v>
      </c>
      <c r="AH347" s="5">
        <f>MIN((AF347-MAX($AF$151:AF347))/MAX($AF$151:AF347),0)</f>
        <v>-0.00532045243823654</v>
      </c>
    </row>
    <row r="348" spans="1:34">
      <c r="A348" s="7">
        <v>45218</v>
      </c>
      <c r="B348">
        <v>20</v>
      </c>
      <c r="C348">
        <v>40</v>
      </c>
      <c r="D348">
        <v>-10</v>
      </c>
      <c r="F348">
        <f t="shared" si="66"/>
        <v>50</v>
      </c>
      <c r="G348">
        <f t="shared" si="70"/>
        <v>20</v>
      </c>
      <c r="H348">
        <f t="shared" si="71"/>
        <v>200</v>
      </c>
      <c r="I348">
        <f t="shared" si="72"/>
        <v>-90</v>
      </c>
      <c r="J348">
        <f t="shared" si="73"/>
        <v>0</v>
      </c>
      <c r="K348">
        <f t="shared" si="67"/>
        <v>130</v>
      </c>
      <c r="L348">
        <f>G348*Return!B348*100</f>
        <v>-45.9999999999994</v>
      </c>
      <c r="M348">
        <f>H348*Return!C348*100</f>
        <v>-598.000000000001</v>
      </c>
      <c r="N348">
        <f>I348*Return!D348*100</f>
        <v>152.999999999999</v>
      </c>
      <c r="O348">
        <f>J348*Return!E348*100</f>
        <v>0</v>
      </c>
      <c r="P348">
        <f t="shared" si="74"/>
        <v>-491.000000000001</v>
      </c>
      <c r="Q348">
        <f>SUM($P$148:P348)</f>
        <v>6821.9</v>
      </c>
      <c r="R348">
        <f>B348*中国_中债国债到期收益率_1年!B347/365*100</f>
        <v>12.3052054794521</v>
      </c>
      <c r="S348">
        <f>C348*中国_中债国债到期收益率_1年!C347/365*100</f>
        <v>28.5249315068493</v>
      </c>
      <c r="T348">
        <f>D348*中国_中债国债到期收益率_1年!D347/365*100</f>
        <v>-7.41150684931507</v>
      </c>
      <c r="U348">
        <f>E348*中国_中债国债到期收益率_1年!E347/365*100</f>
        <v>0</v>
      </c>
      <c r="V348">
        <f t="shared" si="75"/>
        <v>33.4186301369863</v>
      </c>
      <c r="W348">
        <f>SUM($V$148:V348)</f>
        <v>9252.31767123288</v>
      </c>
      <c r="X348">
        <f>MAX(F348-50,0)*中国_中债国债到期收益率_1年!H348*100/365</f>
        <v>0</v>
      </c>
      <c r="Y348">
        <f>SUM($X$148:X348)</f>
        <v>2654.25493150685</v>
      </c>
      <c r="AB348">
        <f>Z348*Return!F352*100</f>
        <v>0</v>
      </c>
      <c r="AC348">
        <f>AA348*Return!G352*100</f>
        <v>0</v>
      </c>
      <c r="AD348">
        <f>SUM($AB$148:AB348)+SUM($AC$148:AC348)</f>
        <v>980.699999999999</v>
      </c>
      <c r="AE348">
        <f t="shared" si="68"/>
        <v>14400.662739726</v>
      </c>
      <c r="AF348">
        <f t="shared" si="69"/>
        <v>1.02880132547945</v>
      </c>
      <c r="AG348" s="5">
        <f>(AF348/AF347-1)-中国_中债国债到期收益率_1年!H348%/252</f>
        <v>-0.000980021988289064</v>
      </c>
      <c r="AH348" s="5">
        <f>MIN((AF348-MAX($AF$151:AF348))/MAX($AF$151:AF348),0)</f>
        <v>-0.00620447602172819</v>
      </c>
    </row>
    <row r="349" spans="1:34">
      <c r="A349" s="7">
        <v>45219</v>
      </c>
      <c r="B349">
        <v>20</v>
      </c>
      <c r="C349">
        <v>40</v>
      </c>
      <c r="D349">
        <v>-10</v>
      </c>
      <c r="F349">
        <f t="shared" si="66"/>
        <v>50</v>
      </c>
      <c r="G349">
        <f t="shared" si="70"/>
        <v>20</v>
      </c>
      <c r="H349">
        <f t="shared" si="71"/>
        <v>200</v>
      </c>
      <c r="I349">
        <f t="shared" si="72"/>
        <v>-90</v>
      </c>
      <c r="J349">
        <f t="shared" si="73"/>
        <v>0</v>
      </c>
      <c r="K349">
        <f t="shared" si="67"/>
        <v>130</v>
      </c>
      <c r="L349">
        <f>G349*Return!B349*100</f>
        <v>-90.0000000000007</v>
      </c>
      <c r="M349">
        <f>H349*Return!C349*100</f>
        <v>-351.999999999997</v>
      </c>
      <c r="N349">
        <f>I349*Return!D349*100</f>
        <v>112.499999999998</v>
      </c>
      <c r="O349">
        <f>J349*Return!E349*100</f>
        <v>0</v>
      </c>
      <c r="P349">
        <f t="shared" si="74"/>
        <v>-329.5</v>
      </c>
      <c r="Q349">
        <f>SUM($P$148:P349)</f>
        <v>6492.4</v>
      </c>
      <c r="R349">
        <f>B349*中国_中债国债到期收益率_1年!B348/365*100</f>
        <v>12.5517808219178</v>
      </c>
      <c r="S349">
        <f>C349*中国_中债国债到期收益率_1年!C348/365*100</f>
        <v>28.7178082191781</v>
      </c>
      <c r="T349">
        <f>D349*中国_中债国债到期收益率_1年!D348/365*100</f>
        <v>-7.44575342465753</v>
      </c>
      <c r="U349">
        <f>E349*中国_中债国债到期收益率_1年!E348/365*100</f>
        <v>0</v>
      </c>
      <c r="V349">
        <f t="shared" si="75"/>
        <v>33.8238356164384</v>
      </c>
      <c r="W349">
        <f>SUM($V$148:V349)</f>
        <v>9286.14150684932</v>
      </c>
      <c r="X349">
        <f>MAX(F349-50,0)*中国_中债国债到期收益率_1年!H349*100/365</f>
        <v>0</v>
      </c>
      <c r="Y349">
        <f>SUM($X$148:X349)</f>
        <v>2654.25493150685</v>
      </c>
      <c r="AB349">
        <f>Z349*Return!F353*100</f>
        <v>0</v>
      </c>
      <c r="AC349">
        <f>AA349*Return!G353*100</f>
        <v>0</v>
      </c>
      <c r="AD349">
        <f>SUM($AB$148:AB349)+SUM($AC$148:AC349)</f>
        <v>980.699999999999</v>
      </c>
      <c r="AE349">
        <f t="shared" si="68"/>
        <v>14104.9865753425</v>
      </c>
      <c r="AF349">
        <f t="shared" si="69"/>
        <v>1.02820997315068</v>
      </c>
      <c r="AG349" s="5">
        <f>(AF349/AF348-1)-中国_中债国债到期收益率_1年!H349%/252</f>
        <v>-0.000685908512826843</v>
      </c>
      <c r="AH349" s="5">
        <f>MIN((AF349-MAX($AF$151:AF349))/MAX($AF$151:AF349),0)</f>
        <v>-0.00677570710674762</v>
      </c>
    </row>
    <row r="350" spans="1:34">
      <c r="A350" s="7">
        <v>45222</v>
      </c>
      <c r="B350">
        <v>20</v>
      </c>
      <c r="C350">
        <v>40</v>
      </c>
      <c r="D350">
        <v>-10</v>
      </c>
      <c r="F350">
        <f t="shared" si="66"/>
        <v>50</v>
      </c>
      <c r="G350">
        <f t="shared" si="70"/>
        <v>20</v>
      </c>
      <c r="H350">
        <f t="shared" si="71"/>
        <v>200</v>
      </c>
      <c r="I350">
        <f t="shared" si="72"/>
        <v>-90</v>
      </c>
      <c r="J350">
        <f t="shared" si="73"/>
        <v>0</v>
      </c>
      <c r="K350">
        <f t="shared" si="67"/>
        <v>130</v>
      </c>
      <c r="L350">
        <f>G350*Return!B350*100</f>
        <v>-40</v>
      </c>
      <c r="M350">
        <f>H350*Return!C350*100</f>
        <v>446</v>
      </c>
      <c r="N350">
        <f>I350*Return!D350*100</f>
        <v>-112.499999999998</v>
      </c>
      <c r="O350">
        <f>J350*Return!E350*100</f>
        <v>0</v>
      </c>
      <c r="P350">
        <f t="shared" si="74"/>
        <v>293.500000000002</v>
      </c>
      <c r="Q350">
        <f>SUM($P$148:P350)</f>
        <v>6785.9</v>
      </c>
      <c r="R350">
        <f>B350*中国_中债国债到期收益率_1年!B349/365*100</f>
        <v>12.6613698630137</v>
      </c>
      <c r="S350">
        <f>C350*中国_中债国债到期收益率_1年!C349/365*100</f>
        <v>28.4734246575342</v>
      </c>
      <c r="T350">
        <f>D350*中国_中债国债到期收益率_1年!D349/365*100</f>
        <v>-7.41150684931507</v>
      </c>
      <c r="U350">
        <f>E350*中国_中债国债到期收益率_1年!E349/365*100</f>
        <v>0</v>
      </c>
      <c r="V350">
        <f t="shared" si="75"/>
        <v>33.7232876712329</v>
      </c>
      <c r="W350">
        <f>SUM($V$148:V350)</f>
        <v>9319.86479452055</v>
      </c>
      <c r="X350">
        <f>MAX(F350-50,0)*中国_中债国债到期收益率_1年!H350*100/365</f>
        <v>0</v>
      </c>
      <c r="Y350">
        <f>SUM($X$148:X350)</f>
        <v>2654.25493150685</v>
      </c>
      <c r="AB350">
        <f>Z350*Return!F354*100</f>
        <v>0</v>
      </c>
      <c r="AC350">
        <f>AA350*Return!G354*100</f>
        <v>0</v>
      </c>
      <c r="AD350">
        <f>SUM($AB$148:AB350)+SUM($AC$148:AC350)</f>
        <v>980.699999999999</v>
      </c>
      <c r="AE350">
        <f t="shared" si="68"/>
        <v>14432.2098630137</v>
      </c>
      <c r="AF350">
        <f t="shared" si="69"/>
        <v>1.02886441972603</v>
      </c>
      <c r="AG350" s="5">
        <f>(AF350/AF349-1)-中国_中债国债到期收益率_1年!H350%/252</f>
        <v>0.000533316573172628</v>
      </c>
      <c r="AH350" s="5">
        <f>MIN((AF350-MAX($AF$151:AF350))/MAX($AF$151:AF350),0)</f>
        <v>-0.00614352860818734</v>
      </c>
    </row>
    <row r="351" spans="1:34">
      <c r="A351" s="7">
        <v>45223</v>
      </c>
      <c r="B351">
        <v>20</v>
      </c>
      <c r="C351">
        <v>40</v>
      </c>
      <c r="D351">
        <v>-10</v>
      </c>
      <c r="F351">
        <f t="shared" si="66"/>
        <v>50</v>
      </c>
      <c r="G351">
        <f t="shared" si="70"/>
        <v>20</v>
      </c>
      <c r="H351">
        <f t="shared" si="71"/>
        <v>200</v>
      </c>
      <c r="I351">
        <f t="shared" si="72"/>
        <v>-90</v>
      </c>
      <c r="J351">
        <f t="shared" si="73"/>
        <v>0</v>
      </c>
      <c r="K351">
        <f t="shared" si="67"/>
        <v>130</v>
      </c>
      <c r="L351">
        <f>G351*Return!B351*100</f>
        <v>20.0000000000005</v>
      </c>
      <c r="M351">
        <f>H351*Return!C351*100</f>
        <v>190.000000000001</v>
      </c>
      <c r="N351">
        <f>I351*Return!D351*100</f>
        <v>-4.5000000000015</v>
      </c>
      <c r="O351">
        <f>J351*Return!E351*100</f>
        <v>0</v>
      </c>
      <c r="P351">
        <f t="shared" si="74"/>
        <v>205.5</v>
      </c>
      <c r="Q351">
        <f>SUM($P$148:P351)</f>
        <v>6991.4</v>
      </c>
      <c r="R351">
        <f>B351*中国_中债国债到期收益率_1年!B350/365*100</f>
        <v>12.6065753424658</v>
      </c>
      <c r="S351">
        <f>C351*中国_中债国债到期收益率_1年!C350/365*100</f>
        <v>28.3693150684931</v>
      </c>
      <c r="T351">
        <f>D351*中国_中债国债到期收益率_1年!D350/365*100</f>
        <v>-7.41013698630137</v>
      </c>
      <c r="U351">
        <f>E351*中国_中债国债到期收益率_1年!E350/365*100</f>
        <v>0</v>
      </c>
      <c r="V351">
        <f t="shared" si="75"/>
        <v>33.5657534246575</v>
      </c>
      <c r="W351">
        <f>SUM($V$148:V351)</f>
        <v>9353.43054794521</v>
      </c>
      <c r="X351">
        <f>MAX(F351-50,0)*中国_中债国债到期收益率_1年!H351*100/365</f>
        <v>0</v>
      </c>
      <c r="Y351">
        <f>SUM($X$148:X351)</f>
        <v>2654.25493150685</v>
      </c>
      <c r="AB351">
        <f>Z351*Return!F355*100</f>
        <v>0</v>
      </c>
      <c r="AC351">
        <f>AA351*Return!G355*100</f>
        <v>0</v>
      </c>
      <c r="AD351">
        <f>SUM($AB$148:AB351)+SUM($AC$148:AC351)</f>
        <v>980.699999999999</v>
      </c>
      <c r="AE351">
        <f t="shared" si="68"/>
        <v>14671.2756164384</v>
      </c>
      <c r="AF351">
        <f t="shared" si="69"/>
        <v>1.02934255123288</v>
      </c>
      <c r="AG351" s="5">
        <f>(AF351/AF350-1)-中国_中债国债到期收益率_1年!H351%/252</f>
        <v>0.000357574842956514</v>
      </c>
      <c r="AH351" s="5">
        <f>MIN((AF351-MAX($AF$151:AF351))/MAX($AF$151:AF351),0)</f>
        <v>-0.00568166591457325</v>
      </c>
    </row>
    <row r="352" spans="1:34">
      <c r="A352" s="7">
        <v>45224</v>
      </c>
      <c r="B352">
        <v>20</v>
      </c>
      <c r="C352">
        <v>40</v>
      </c>
      <c r="D352">
        <v>-10</v>
      </c>
      <c r="F352">
        <f t="shared" si="66"/>
        <v>50</v>
      </c>
      <c r="G352">
        <f t="shared" si="70"/>
        <v>20</v>
      </c>
      <c r="H352">
        <f t="shared" si="71"/>
        <v>200</v>
      </c>
      <c r="I352">
        <f t="shared" si="72"/>
        <v>-90</v>
      </c>
      <c r="J352">
        <f t="shared" si="73"/>
        <v>0</v>
      </c>
      <c r="K352">
        <f t="shared" si="67"/>
        <v>130</v>
      </c>
      <c r="L352">
        <f>G352*Return!B352*100</f>
        <v>-49.9999999999998</v>
      </c>
      <c r="M352">
        <f>H352*Return!C352*100</f>
        <v>49.9999999999989</v>
      </c>
      <c r="N352">
        <f>I352*Return!D352*100</f>
        <v>116.999999999999</v>
      </c>
      <c r="O352">
        <f>J352*Return!E352*100</f>
        <v>0</v>
      </c>
      <c r="P352">
        <f t="shared" si="74"/>
        <v>116.999999999998</v>
      </c>
      <c r="Q352">
        <f>SUM($P$148:P352)</f>
        <v>7108.4</v>
      </c>
      <c r="R352">
        <f>B352*中国_中债国债到期收益率_1年!B351/365*100</f>
        <v>12.7435616438356</v>
      </c>
      <c r="S352">
        <f>C352*中国_中债国债到期收益率_1年!C351/365*100</f>
        <v>28.3419178082192</v>
      </c>
      <c r="T352">
        <f>D352*中国_中债国债到期收益率_1年!D351/365*100</f>
        <v>-7.44575342465753</v>
      </c>
      <c r="U352">
        <f>E352*中国_中债国债到期收益率_1年!E351/365*100</f>
        <v>0</v>
      </c>
      <c r="V352">
        <f t="shared" si="75"/>
        <v>33.6397260273973</v>
      </c>
      <c r="W352">
        <f>SUM($V$148:V352)</f>
        <v>9387.0702739726</v>
      </c>
      <c r="X352">
        <f>MAX(F352-50,0)*中国_中债国债到期收益率_1年!H352*100/365</f>
        <v>0</v>
      </c>
      <c r="Y352">
        <f>SUM($X$148:X352)</f>
        <v>2654.25493150685</v>
      </c>
      <c r="AB352">
        <f>Z352*Return!F356*100</f>
        <v>0</v>
      </c>
      <c r="AC352">
        <f>AA352*Return!G356*100</f>
        <v>0</v>
      </c>
      <c r="AD352">
        <f>SUM($AB$148:AB352)+SUM($AC$148:AC352)</f>
        <v>980.699999999999</v>
      </c>
      <c r="AE352">
        <f t="shared" si="68"/>
        <v>14821.9153424658</v>
      </c>
      <c r="AF352">
        <f t="shared" si="69"/>
        <v>1.02964383068493</v>
      </c>
      <c r="AG352" s="5">
        <f>(AF352/AF351-1)-中国_中债国债到期收益率_1年!H352%/252</f>
        <v>0.000181580035965307</v>
      </c>
      <c r="AH352" s="5">
        <f>MIN((AF352-MAX($AF$151:AF352))/MAX($AF$151:AF352),0)</f>
        <v>-0.00539063774081066</v>
      </c>
    </row>
    <row r="353" spans="1:34">
      <c r="A353" s="7">
        <v>45225</v>
      </c>
      <c r="B353">
        <v>20</v>
      </c>
      <c r="C353">
        <v>20</v>
      </c>
      <c r="D353">
        <v>20</v>
      </c>
      <c r="E353">
        <v>10</v>
      </c>
      <c r="F353">
        <f t="shared" si="66"/>
        <v>70</v>
      </c>
      <c r="G353">
        <f t="shared" si="70"/>
        <v>20</v>
      </c>
      <c r="H353">
        <f t="shared" si="71"/>
        <v>100</v>
      </c>
      <c r="I353">
        <f t="shared" si="72"/>
        <v>180</v>
      </c>
      <c r="J353">
        <f t="shared" si="73"/>
        <v>160</v>
      </c>
      <c r="K353">
        <f t="shared" si="67"/>
        <v>460</v>
      </c>
      <c r="L353">
        <f>G353*Return!B353*100</f>
        <v>83.8000000000001</v>
      </c>
      <c r="M353">
        <f>H353*Return!C353*100</f>
        <v>347</v>
      </c>
      <c r="N353">
        <f>I353*Return!D353*100</f>
        <v>224.999999999995</v>
      </c>
      <c r="O353">
        <f>J353*Return!E353*100</f>
        <v>-41.6000000000025</v>
      </c>
      <c r="P353">
        <f t="shared" si="74"/>
        <v>614.199999999992</v>
      </c>
      <c r="Q353">
        <f>SUM($P$148:P353)</f>
        <v>7722.59999999999</v>
      </c>
      <c r="R353">
        <f>B353*中国_中债国债到期收益率_1年!B352/365*100</f>
        <v>12.5139726027397</v>
      </c>
      <c r="S353">
        <f>C353*中国_中债国债到期收益率_1年!C352/365*100</f>
        <v>13.9808219178082</v>
      </c>
      <c r="T353">
        <f>D353*中国_中债国债到期收益率_1年!D352/365*100</f>
        <v>14.8230136986301</v>
      </c>
      <c r="U353">
        <f>E353*中国_中债国债到期收益率_1年!E352/365*100</f>
        <v>8.22027397260274</v>
      </c>
      <c r="V353">
        <f t="shared" si="75"/>
        <v>49.5380821917808</v>
      </c>
      <c r="W353">
        <f>SUM($V$148:V353)</f>
        <v>9436.60835616438</v>
      </c>
      <c r="X353">
        <f>MAX(F353-50,0)*中国_中债国债到期收益率_1年!H353*100/365</f>
        <v>13.6986301369863</v>
      </c>
      <c r="Y353">
        <f>SUM($X$148:X353)</f>
        <v>2667.95356164383</v>
      </c>
      <c r="Z353">
        <v>-100</v>
      </c>
      <c r="AA353">
        <v>100</v>
      </c>
      <c r="AB353">
        <f>Z353*Return!F357*100</f>
        <v>-64.9999999999995</v>
      </c>
      <c r="AC353">
        <f>AA353*Return!G357*100</f>
        <v>177.999999999998</v>
      </c>
      <c r="AD353">
        <f>SUM($AB$148:AB353)+SUM($AC$148:AC353)</f>
        <v>1093.7</v>
      </c>
      <c r="AE353">
        <f t="shared" si="68"/>
        <v>15584.9547945205</v>
      </c>
      <c r="AF353">
        <f t="shared" si="69"/>
        <v>1.03116990958904</v>
      </c>
      <c r="AG353" s="5">
        <f>(AF353/AF352-1)-中国_中债国债到期收益率_1年!H353%/252</f>
        <v>0.00138293617292617</v>
      </c>
      <c r="AH353" s="5">
        <f>MIN((AF353-MAX($AF$151:AF353))/MAX($AF$151:AF353),0)</f>
        <v>-0.00391648491209515</v>
      </c>
    </row>
    <row r="354" spans="1:34">
      <c r="A354" s="7">
        <v>45226</v>
      </c>
      <c r="B354">
        <v>20</v>
      </c>
      <c r="C354">
        <v>20</v>
      </c>
      <c r="D354">
        <v>20</v>
      </c>
      <c r="E354">
        <v>10</v>
      </c>
      <c r="F354">
        <f t="shared" si="66"/>
        <v>70</v>
      </c>
      <c r="G354">
        <f t="shared" si="70"/>
        <v>20</v>
      </c>
      <c r="H354">
        <f t="shared" si="71"/>
        <v>100</v>
      </c>
      <c r="I354">
        <f t="shared" si="72"/>
        <v>180</v>
      </c>
      <c r="J354">
        <f t="shared" si="73"/>
        <v>160</v>
      </c>
      <c r="K354">
        <f t="shared" si="67"/>
        <v>460</v>
      </c>
      <c r="L354">
        <f>G354*Return!B354*100</f>
        <v>0</v>
      </c>
      <c r="M354">
        <f>H354*Return!C354*100</f>
        <v>-152.000000000001</v>
      </c>
      <c r="N354">
        <f>I354*Return!D354*100</f>
        <v>-179.999999999996</v>
      </c>
      <c r="O354">
        <f>J354*Return!E354*100</f>
        <v>-79.9999999999983</v>
      </c>
      <c r="P354">
        <f t="shared" si="74"/>
        <v>-411.999999999995</v>
      </c>
      <c r="Q354">
        <f>SUM($P$148:P354)</f>
        <v>7310.6</v>
      </c>
      <c r="R354">
        <f>B354*中国_中债国债到期收益率_1年!B353/365*100</f>
        <v>12.5139726027397</v>
      </c>
      <c r="S354">
        <f>C354*中国_中债国债到期收益率_1年!C353/365*100</f>
        <v>14.0641095890411</v>
      </c>
      <c r="T354">
        <f>D354*中国_中债国债到期收益率_1年!D353/365*100</f>
        <v>14.8778082191781</v>
      </c>
      <c r="U354">
        <f>E354*中国_中债国债到期收益率_1年!E353/365*100</f>
        <v>8.23397260273973</v>
      </c>
      <c r="V354">
        <f t="shared" si="75"/>
        <v>49.6898630136986</v>
      </c>
      <c r="W354">
        <f>SUM($V$148:V354)</f>
        <v>9486.29821917808</v>
      </c>
      <c r="X354">
        <f>MAX(F354-50,0)*中国_中债国债到期收益率_1年!H354*100/365</f>
        <v>13.6986301369863</v>
      </c>
      <c r="Y354">
        <f>SUM($X$148:X354)</f>
        <v>2681.65219178082</v>
      </c>
      <c r="Z354">
        <v>-100</v>
      </c>
      <c r="AA354">
        <v>100</v>
      </c>
      <c r="AB354">
        <f>Z354*Return!F358*100</f>
        <v>171.999999999999</v>
      </c>
      <c r="AC354">
        <f>AA354*Return!G358*100</f>
        <v>-30.9999999999988</v>
      </c>
      <c r="AD354">
        <f>SUM($AB$148:AB354)+SUM($AC$148:AC354)</f>
        <v>1234.7</v>
      </c>
      <c r="AE354">
        <f t="shared" si="68"/>
        <v>15349.9460273973</v>
      </c>
      <c r="AF354">
        <f t="shared" si="69"/>
        <v>1.03069989205479</v>
      </c>
      <c r="AG354" s="5">
        <f>(AF354/AF353-1)-中国_中债国债到期收益率_1年!H354%/252</f>
        <v>-0.00055501632763566</v>
      </c>
      <c r="AH354" s="5">
        <f>MIN((AF354-MAX($AF$151:AF354))/MAX($AF$151:AF354),0)</f>
        <v>-0.00437050971762112</v>
      </c>
    </row>
    <row r="355" spans="1:34">
      <c r="A355" s="7">
        <v>45229</v>
      </c>
      <c r="B355">
        <v>20</v>
      </c>
      <c r="C355">
        <v>20</v>
      </c>
      <c r="D355">
        <v>20</v>
      </c>
      <c r="E355">
        <v>10</v>
      </c>
      <c r="F355">
        <f t="shared" si="66"/>
        <v>70</v>
      </c>
      <c r="G355">
        <f t="shared" si="70"/>
        <v>20</v>
      </c>
      <c r="H355">
        <f t="shared" si="71"/>
        <v>100</v>
      </c>
      <c r="I355">
        <f t="shared" si="72"/>
        <v>180</v>
      </c>
      <c r="J355">
        <f t="shared" si="73"/>
        <v>160</v>
      </c>
      <c r="K355">
        <f t="shared" si="67"/>
        <v>460</v>
      </c>
      <c r="L355">
        <f>G355*Return!B355*100</f>
        <v>6.19999999999976</v>
      </c>
      <c r="M355">
        <f>H355*Return!C355*100</f>
        <v>148.999999999999</v>
      </c>
      <c r="N355">
        <f>I355*Return!D355*100</f>
        <v>34.2000000000002</v>
      </c>
      <c r="O355">
        <f>J355*Return!E355*100</f>
        <v>-80.0000000000054</v>
      </c>
      <c r="P355">
        <f t="shared" si="74"/>
        <v>109.399999999994</v>
      </c>
      <c r="Q355">
        <f>SUM($P$148:P355)</f>
        <v>7419.99999999999</v>
      </c>
      <c r="R355">
        <f>B355*中国_中债国债到期收益率_1年!B354/365*100</f>
        <v>12.4969863013699</v>
      </c>
      <c r="S355">
        <f>C355*中国_中债国债到期收益率_1年!C354/365*100</f>
        <v>13.9824657534247</v>
      </c>
      <c r="T355">
        <f>D355*中国_中债国债到期收益率_1年!D354/365*100</f>
        <v>14.867397260274</v>
      </c>
      <c r="U355">
        <f>E355*中国_中债国债到期收益率_1年!E354/365*100</f>
        <v>8.24767123287671</v>
      </c>
      <c r="V355">
        <f t="shared" si="75"/>
        <v>49.5945205479452</v>
      </c>
      <c r="W355">
        <f>SUM($V$148:V355)</f>
        <v>9535.89273972603</v>
      </c>
      <c r="X355">
        <f>MAX(F355-50,0)*中国_中债国债到期收益率_1年!H355*100/365</f>
        <v>13.6986301369863</v>
      </c>
      <c r="Y355">
        <f>SUM($X$148:X355)</f>
        <v>2695.3508219178</v>
      </c>
      <c r="Z355">
        <v>-100</v>
      </c>
      <c r="AA355">
        <v>100</v>
      </c>
      <c r="AB355">
        <f>Z355*Return!F359*100</f>
        <v>-343.999999999998</v>
      </c>
      <c r="AC355">
        <f>AA355*Return!G359*100</f>
        <v>264.000000000002</v>
      </c>
      <c r="AD355">
        <f>SUM($AB$148:AB355)+SUM($AC$148:AC355)</f>
        <v>1154.7</v>
      </c>
      <c r="AE355">
        <f t="shared" si="68"/>
        <v>15415.2419178082</v>
      </c>
      <c r="AF355">
        <f t="shared" si="69"/>
        <v>1.03083048383562</v>
      </c>
      <c r="AG355" s="5">
        <f>(AF355/AF354-1)-中国_中债国债到期收益率_1年!H355%/252</f>
        <v>2.74956926086253e-5</v>
      </c>
      <c r="AH355" s="5">
        <f>MIN((AF355-MAX($AF$151:AF355))/MAX($AF$151:AF355),0)</f>
        <v>-0.00424436142831109</v>
      </c>
    </row>
    <row r="356" spans="1:34">
      <c r="A356" s="7">
        <v>45230</v>
      </c>
      <c r="B356">
        <v>20</v>
      </c>
      <c r="C356">
        <v>20</v>
      </c>
      <c r="D356">
        <v>20</v>
      </c>
      <c r="E356">
        <v>10</v>
      </c>
      <c r="F356">
        <f t="shared" si="66"/>
        <v>70</v>
      </c>
      <c r="G356">
        <f t="shared" si="70"/>
        <v>20</v>
      </c>
      <c r="H356">
        <f t="shared" si="71"/>
        <v>100</v>
      </c>
      <c r="I356">
        <f t="shared" si="72"/>
        <v>180</v>
      </c>
      <c r="J356">
        <f t="shared" si="73"/>
        <v>160</v>
      </c>
      <c r="K356">
        <f t="shared" si="67"/>
        <v>460</v>
      </c>
      <c r="L356">
        <f>G356*Return!B356*100</f>
        <v>111.2</v>
      </c>
      <c r="M356">
        <f>H356*Return!C356*100</f>
        <v>-7.99999999999912</v>
      </c>
      <c r="N356">
        <f>I356*Return!D356*100</f>
        <v>-14.4000000000064</v>
      </c>
      <c r="O356">
        <f>J356*Return!E356*100</f>
        <v>-3.19999999999965</v>
      </c>
      <c r="P356">
        <f t="shared" si="74"/>
        <v>85.599999999995</v>
      </c>
      <c r="Q356">
        <f>SUM($P$148:P356)</f>
        <v>7505.59999999999</v>
      </c>
      <c r="R356">
        <f>B356*中国_中债国债到期收益率_1年!B355/365*100</f>
        <v>12.1923287671233</v>
      </c>
      <c r="S356">
        <f>C356*中国_中债国债到期收益率_1年!C355/365*100</f>
        <v>13.9868493150685</v>
      </c>
      <c r="T356">
        <f>D356*中国_中债国债到期收益率_1年!D355/365*100</f>
        <v>14.8717808219178</v>
      </c>
      <c r="U356">
        <f>E356*中国_中债国债到期收益率_1年!E355/365*100</f>
        <v>8.24821917808219</v>
      </c>
      <c r="V356">
        <f t="shared" si="75"/>
        <v>49.2991780821918</v>
      </c>
      <c r="W356">
        <f>SUM($V$148:V356)</f>
        <v>9585.19191780822</v>
      </c>
      <c r="X356">
        <f>MAX(F356-50,0)*中国_中债国债到期收益率_1年!H356*100/365</f>
        <v>13.6986301369863</v>
      </c>
      <c r="Y356">
        <f>SUM($X$148:X356)</f>
        <v>2709.04945205479</v>
      </c>
      <c r="Z356">
        <v>-100</v>
      </c>
      <c r="AA356">
        <v>100</v>
      </c>
      <c r="AB356">
        <f>Z356*Return!F360*100</f>
        <v>-32.0000000000009</v>
      </c>
      <c r="AC356">
        <f>AA356*Return!G360*100</f>
        <v>-24.0000000000018</v>
      </c>
      <c r="AD356">
        <f>SUM($AB$148:AB356)+SUM($AC$148:AC356)</f>
        <v>1098.7</v>
      </c>
      <c r="AE356">
        <f t="shared" si="68"/>
        <v>15480.4424657534</v>
      </c>
      <c r="AF356">
        <f t="shared" si="69"/>
        <v>1.03096088493151</v>
      </c>
      <c r="AG356" s="5">
        <f>(AF356/AF355-1)-中国_中债国债到期收益率_1年!H356%/252</f>
        <v>2.72946593836695e-5</v>
      </c>
      <c r="AH356" s="5">
        <f>MIN((AF356-MAX($AF$151:AF356))/MAX($AF$151:AF356),0)</f>
        <v>-0.00411839733572265</v>
      </c>
    </row>
    <row r="357" spans="1:34">
      <c r="A357" s="7">
        <v>45231</v>
      </c>
      <c r="B357">
        <v>20</v>
      </c>
      <c r="C357">
        <v>20</v>
      </c>
      <c r="D357">
        <v>20</v>
      </c>
      <c r="E357">
        <v>10</v>
      </c>
      <c r="F357">
        <f t="shared" si="66"/>
        <v>70</v>
      </c>
      <c r="G357">
        <f t="shared" si="70"/>
        <v>20</v>
      </c>
      <c r="H357">
        <f t="shared" si="71"/>
        <v>100</v>
      </c>
      <c r="I357">
        <f t="shared" si="72"/>
        <v>180</v>
      </c>
      <c r="J357">
        <f t="shared" si="73"/>
        <v>160</v>
      </c>
      <c r="K357">
        <f t="shared" si="67"/>
        <v>460</v>
      </c>
      <c r="L357">
        <f>G357*Return!B357*100</f>
        <v>40</v>
      </c>
      <c r="M357">
        <f>H357*Return!C357*100</f>
        <v>200.999999999998</v>
      </c>
      <c r="N357">
        <f>I357*Return!D357*100</f>
        <v>365.400000000004</v>
      </c>
      <c r="O357">
        <f>J357*Return!E357*100</f>
        <v>240.000000000002</v>
      </c>
      <c r="P357">
        <f t="shared" si="74"/>
        <v>846.400000000004</v>
      </c>
      <c r="Q357">
        <f>SUM($P$148:P357)</f>
        <v>8351.99999999999</v>
      </c>
      <c r="R357">
        <f>B357*中国_中债国债到期收益率_1年!B356/365*100</f>
        <v>12.0827397260274</v>
      </c>
      <c r="S357">
        <f>C357*中国_中债国债到期收益率_1年!C356/365*100</f>
        <v>13.8767123287671</v>
      </c>
      <c r="T357">
        <f>D357*中国_中债国债到期收益率_1年!D356/365*100</f>
        <v>14.7605479452055</v>
      </c>
      <c r="U357">
        <f>E357*中国_中债国债到期收益率_1年!E356/365*100</f>
        <v>8.20712328767123</v>
      </c>
      <c r="V357">
        <f t="shared" si="75"/>
        <v>48.9271232876712</v>
      </c>
      <c r="W357">
        <f>SUM($V$148:V357)</f>
        <v>9634.11904109589</v>
      </c>
      <c r="X357">
        <f>MAX(F357-50,0)*中国_中债国债到期收益率_1年!H357*100/365</f>
        <v>13.1506849315068</v>
      </c>
      <c r="Y357">
        <f>SUM($X$148:X357)</f>
        <v>2722.2001369863</v>
      </c>
      <c r="Z357">
        <v>-100</v>
      </c>
      <c r="AA357">
        <v>100</v>
      </c>
      <c r="AB357">
        <f>Z357*Return!F361*100</f>
        <v>60.9999999999999</v>
      </c>
      <c r="AC357">
        <f>AA357*Return!G361*100</f>
        <v>24.0000000000018</v>
      </c>
      <c r="AD357">
        <f>SUM($AB$148:AB357)+SUM($AC$148:AC357)</f>
        <v>1183.7</v>
      </c>
      <c r="AE357">
        <f t="shared" si="68"/>
        <v>16447.6189041096</v>
      </c>
      <c r="AF357">
        <f t="shared" si="69"/>
        <v>1.03289523780822</v>
      </c>
      <c r="AG357" s="5">
        <f>(AF357/AF356-1)-中国_中债国债到期收益率_1年!H357%/252</f>
        <v>0.00178102404524166</v>
      </c>
      <c r="AH357" s="5">
        <f>MIN((AF357-MAX($AF$151:AF357))/MAX($AF$151:AF357),0)</f>
        <v>-0.00224986238824346</v>
      </c>
    </row>
    <row r="358" spans="1:34">
      <c r="A358" s="7">
        <v>45232</v>
      </c>
      <c r="B358">
        <v>20</v>
      </c>
      <c r="C358">
        <v>20</v>
      </c>
      <c r="D358">
        <v>20</v>
      </c>
      <c r="E358">
        <v>10</v>
      </c>
      <c r="F358">
        <f t="shared" si="66"/>
        <v>70</v>
      </c>
      <c r="G358">
        <f t="shared" si="70"/>
        <v>20</v>
      </c>
      <c r="H358">
        <f t="shared" si="71"/>
        <v>100</v>
      </c>
      <c r="I358">
        <f t="shared" si="72"/>
        <v>180</v>
      </c>
      <c r="J358">
        <f t="shared" si="73"/>
        <v>160</v>
      </c>
      <c r="K358">
        <f t="shared" si="67"/>
        <v>460</v>
      </c>
      <c r="L358">
        <f>G358*Return!B358*100</f>
        <v>-90.0000000000007</v>
      </c>
      <c r="M358">
        <f>H358*Return!C358*100</f>
        <v>26.0000000000016</v>
      </c>
      <c r="N358">
        <f>I358*Return!D358*100</f>
        <v>153.000000000003</v>
      </c>
      <c r="O358">
        <f>J358*Return!E358*100</f>
        <v>72.0000000000027</v>
      </c>
      <c r="P358">
        <f t="shared" si="74"/>
        <v>161.000000000007</v>
      </c>
      <c r="Q358">
        <f>SUM($P$148:P358)</f>
        <v>8513</v>
      </c>
      <c r="R358">
        <f>B358*中国_中债国债到期收益率_1年!B357/365*100</f>
        <v>12.3293150684932</v>
      </c>
      <c r="S358">
        <f>C358*中国_中债国债到期收益率_1年!C357/365*100</f>
        <v>13.8624657534247</v>
      </c>
      <c r="T358">
        <f>D358*中国_中债国债到期收益率_1年!D357/365*100</f>
        <v>14.7139726027397</v>
      </c>
      <c r="U358">
        <f>E358*中国_中债国债到期收益率_1年!E357/365*100</f>
        <v>8.19479452054794</v>
      </c>
      <c r="V358">
        <f t="shared" si="75"/>
        <v>49.1005479452055</v>
      </c>
      <c r="W358">
        <f>SUM($V$148:V358)</f>
        <v>9683.2195890411</v>
      </c>
      <c r="X358">
        <f>MAX(F358-50,0)*中国_中债国债到期收益率_1年!H358*100/365</f>
        <v>10.958904109589</v>
      </c>
      <c r="Y358">
        <f>SUM($X$148:X358)</f>
        <v>2733.15904109589</v>
      </c>
      <c r="Z358">
        <v>-100</v>
      </c>
      <c r="AA358">
        <v>100</v>
      </c>
      <c r="AB358">
        <f>Z358*Return!F362*100</f>
        <v>146.999999999999</v>
      </c>
      <c r="AC358">
        <f>AA358*Return!G362*100</f>
        <v>-3.99999999999956</v>
      </c>
      <c r="AD358">
        <f>SUM($AB$148:AB358)+SUM($AC$148:AC358)</f>
        <v>1326.7</v>
      </c>
      <c r="AE358">
        <f t="shared" si="68"/>
        <v>16789.7605479452</v>
      </c>
      <c r="AF358">
        <f t="shared" si="69"/>
        <v>1.03357952109589</v>
      </c>
      <c r="AG358" s="5">
        <f>(AF358/AF357-1)-中国_中债国债到期收益率_1年!H358%/252</f>
        <v>0.000583125425599728</v>
      </c>
      <c r="AH358" s="5">
        <f>MIN((AF358-MAX($AF$151:AF358))/MAX($AF$151:AF358),0)</f>
        <v>-0.00158886239574842</v>
      </c>
    </row>
    <row r="359" spans="1:34">
      <c r="A359" s="7">
        <v>45233</v>
      </c>
      <c r="B359">
        <v>20</v>
      </c>
      <c r="C359">
        <v>20</v>
      </c>
      <c r="D359">
        <v>20</v>
      </c>
      <c r="E359">
        <v>10</v>
      </c>
      <c r="F359">
        <f t="shared" si="66"/>
        <v>70</v>
      </c>
      <c r="G359">
        <f t="shared" si="70"/>
        <v>20</v>
      </c>
      <c r="H359">
        <f t="shared" si="71"/>
        <v>100</v>
      </c>
      <c r="I359">
        <f t="shared" si="72"/>
        <v>180</v>
      </c>
      <c r="J359">
        <f t="shared" si="73"/>
        <v>160</v>
      </c>
      <c r="K359">
        <f t="shared" si="67"/>
        <v>460</v>
      </c>
      <c r="L359">
        <f>G359*Return!B359*100</f>
        <v>70.0000000000003</v>
      </c>
      <c r="M359">
        <f>H359*Return!C359*100</f>
        <v>324</v>
      </c>
      <c r="N359">
        <f>I359*Return!D359*100</f>
        <v>539.999999999996</v>
      </c>
      <c r="O359">
        <f>J359*Return!E359*100</f>
        <v>391.999999999996</v>
      </c>
      <c r="P359">
        <f t="shared" si="74"/>
        <v>1325.99999999999</v>
      </c>
      <c r="Q359">
        <f>SUM($P$148:P359)</f>
        <v>9838.99999999999</v>
      </c>
      <c r="R359">
        <f>B359*中国_中债国债到期收益率_1年!B358/365*100</f>
        <v>12.1375342465753</v>
      </c>
      <c r="S359">
        <f>C359*中国_中债国债到期收益率_1年!C358/365*100</f>
        <v>13.6849315068493</v>
      </c>
      <c r="T359">
        <f>D359*中国_中债国债到期收益率_1年!D358/365*100</f>
        <v>14.5495890410959</v>
      </c>
      <c r="U359">
        <f>E359*中国_中债国债到期收益率_1年!E358/365*100</f>
        <v>8.12767123287671</v>
      </c>
      <c r="V359">
        <f t="shared" si="75"/>
        <v>48.4997260273973</v>
      </c>
      <c r="W359">
        <f>SUM($V$148:V359)</f>
        <v>9731.71931506849</v>
      </c>
      <c r="X359">
        <f>MAX(F359-50,0)*中国_中债国债到期收益率_1年!H359*100/365</f>
        <v>9.97260273972603</v>
      </c>
      <c r="Y359">
        <f>SUM($X$148:X359)</f>
        <v>2743.13164383561</v>
      </c>
      <c r="Z359">
        <v>-100</v>
      </c>
      <c r="AA359">
        <v>100</v>
      </c>
      <c r="AB359">
        <f>Z359*Return!F363*100</f>
        <v>91.0000000000011</v>
      </c>
      <c r="AC359">
        <f>AA359*Return!G363*100</f>
        <v>-36.0000000000005</v>
      </c>
      <c r="AD359">
        <f>SUM($AB$148:AB359)+SUM($AC$148:AC359)</f>
        <v>1381.7</v>
      </c>
      <c r="AE359">
        <f t="shared" si="68"/>
        <v>18209.2876712329</v>
      </c>
      <c r="AF359">
        <f t="shared" si="69"/>
        <v>1.03641857534247</v>
      </c>
      <c r="AG359" s="5">
        <f>(AF359/AF358-1)-中国_中债国债到期收益率_1年!H359%/252</f>
        <v>0.00267459521042682</v>
      </c>
      <c r="AH359" s="5">
        <f>MIN((AF359-MAX($AF$151:AF359))/MAX($AF$151:AF359),0)</f>
        <v>0</v>
      </c>
    </row>
    <row r="360" spans="1:34">
      <c r="A360" s="7">
        <v>45236</v>
      </c>
      <c r="B360">
        <v>20</v>
      </c>
      <c r="C360">
        <v>20</v>
      </c>
      <c r="D360">
        <v>20</v>
      </c>
      <c r="E360">
        <v>10</v>
      </c>
      <c r="F360">
        <f t="shared" si="66"/>
        <v>70</v>
      </c>
      <c r="G360">
        <f t="shared" si="70"/>
        <v>20</v>
      </c>
      <c r="H360">
        <f t="shared" si="71"/>
        <v>100</v>
      </c>
      <c r="I360">
        <f t="shared" si="72"/>
        <v>180</v>
      </c>
      <c r="J360">
        <f t="shared" si="73"/>
        <v>160</v>
      </c>
      <c r="K360">
        <f t="shared" si="67"/>
        <v>460</v>
      </c>
      <c r="L360">
        <f>G360*Return!B360*100</f>
        <v>-10.2000000000002</v>
      </c>
      <c r="M360">
        <f>H360*Return!C360*100</f>
        <v>-202</v>
      </c>
      <c r="N360">
        <f>I360*Return!D360*100</f>
        <v>-108.000000000004</v>
      </c>
      <c r="O360">
        <f>J360*Return!E360*100</f>
        <v>-97.5999999999999</v>
      </c>
      <c r="P360">
        <f t="shared" si="74"/>
        <v>-417.800000000004</v>
      </c>
      <c r="Q360">
        <f>SUM($P$148:P360)</f>
        <v>9421.19999999999</v>
      </c>
      <c r="R360">
        <f>B360*中国_中债国债到期收益率_1年!B359/365*100</f>
        <v>12.1654794520548</v>
      </c>
      <c r="S360">
        <f>C360*中国_中债国债到期收益率_1年!C359/365*100</f>
        <v>13.7956164383562</v>
      </c>
      <c r="T360">
        <f>D360*中国_中债国债到期收益率_1年!D359/365*100</f>
        <v>14.5824657534247</v>
      </c>
      <c r="U360">
        <f>E360*中国_中债国债到期收益率_1年!E359/365*100</f>
        <v>8.14438356164383</v>
      </c>
      <c r="V360">
        <f t="shared" si="75"/>
        <v>48.6879452054795</v>
      </c>
      <c r="W360">
        <f>SUM($V$148:V360)</f>
        <v>9780.40726027397</v>
      </c>
      <c r="X360">
        <f>MAX(F360-50,0)*中国_中债国债到期收益率_1年!H360*100/365</f>
        <v>10.958904109589</v>
      </c>
      <c r="Y360">
        <f>SUM($X$148:X360)</f>
        <v>2754.0905479452</v>
      </c>
      <c r="Z360">
        <v>-100</v>
      </c>
      <c r="AA360">
        <v>100</v>
      </c>
      <c r="AB360">
        <f>Z360*Return!F364*100</f>
        <v>-72.9999999999986</v>
      </c>
      <c r="AC360">
        <f>AA360*Return!G364*100</f>
        <v>202.999999999998</v>
      </c>
      <c r="AD360">
        <f>SUM($AB$148:AB360)+SUM($AC$148:AC360)</f>
        <v>1511.7</v>
      </c>
      <c r="AE360">
        <f t="shared" si="68"/>
        <v>17959.2167123288</v>
      </c>
      <c r="AF360">
        <f t="shared" si="69"/>
        <v>1.03591843342466</v>
      </c>
      <c r="AG360" s="5">
        <f>(AF360/AF359-1)-中国_中债国债到期收益率_1年!H360%/252</f>
        <v>-0.000561932576423741</v>
      </c>
      <c r="AH360" s="5">
        <f>MIN((AF360-MAX($AF$151:AF360))/MAX($AF$151:AF360),0)</f>
        <v>-0.000482567497058661</v>
      </c>
    </row>
    <row r="361" spans="1:34">
      <c r="A361" s="7">
        <v>45237</v>
      </c>
      <c r="B361">
        <v>20</v>
      </c>
      <c r="C361">
        <v>20</v>
      </c>
      <c r="D361">
        <v>20</v>
      </c>
      <c r="E361">
        <v>10</v>
      </c>
      <c r="F361">
        <f t="shared" si="66"/>
        <v>70</v>
      </c>
      <c r="G361">
        <f t="shared" si="70"/>
        <v>20</v>
      </c>
      <c r="H361">
        <f t="shared" si="71"/>
        <v>100</v>
      </c>
      <c r="I361">
        <f t="shared" si="72"/>
        <v>180</v>
      </c>
      <c r="J361">
        <f t="shared" si="73"/>
        <v>160</v>
      </c>
      <c r="K361">
        <f t="shared" si="67"/>
        <v>460</v>
      </c>
      <c r="L361">
        <f>G361*Return!B361*100</f>
        <v>-20.2</v>
      </c>
      <c r="M361">
        <f>H361*Return!C361*100</f>
        <v>-3.99999999999956</v>
      </c>
      <c r="N361">
        <f>I361*Return!D361*100</f>
        <v>106.2</v>
      </c>
      <c r="O361">
        <f>J361*Return!E361*100</f>
        <v>70.3999999999994</v>
      </c>
      <c r="P361">
        <f t="shared" si="74"/>
        <v>152.4</v>
      </c>
      <c r="Q361">
        <f>SUM($P$148:P361)</f>
        <v>9573.59999999999</v>
      </c>
      <c r="R361">
        <f>B361*中国_中债国债到期收益率_1年!B360/365*100</f>
        <v>12.2208219178082</v>
      </c>
      <c r="S361">
        <f>C361*中国_中债国债到期收益率_1年!C360/365*100</f>
        <v>13.7978082191781</v>
      </c>
      <c r="T361">
        <f>D361*中国_中债国债到期收益率_1年!D360/365*100</f>
        <v>14.5501369863014</v>
      </c>
      <c r="U361">
        <f>E361*中国_中债国债到期收益率_1年!E360/365*100</f>
        <v>8.13232876712329</v>
      </c>
      <c r="V361">
        <f t="shared" si="75"/>
        <v>48.701095890411</v>
      </c>
      <c r="W361">
        <f>SUM($V$148:V361)</f>
        <v>9829.10835616438</v>
      </c>
      <c r="X361">
        <f>MAX(F361-50,0)*中国_中债国债到期收益率_1年!H361*100/365</f>
        <v>11.1232876712329</v>
      </c>
      <c r="Y361">
        <f>SUM($X$148:X361)</f>
        <v>2765.21383561643</v>
      </c>
      <c r="Z361">
        <v>-100</v>
      </c>
      <c r="AA361">
        <v>100</v>
      </c>
      <c r="AB361">
        <f>Z361*Return!F365*100</f>
        <v>-17.0000000000003</v>
      </c>
      <c r="AC361">
        <f>AA361*Return!G365*100</f>
        <v>5.00000000000167</v>
      </c>
      <c r="AD361">
        <f>SUM($AB$148:AB361)+SUM($AC$148:AC361)</f>
        <v>1499.7</v>
      </c>
      <c r="AE361">
        <f t="shared" si="68"/>
        <v>18137.1945205479</v>
      </c>
      <c r="AF361">
        <f t="shared" si="69"/>
        <v>1.0362743890411</v>
      </c>
      <c r="AG361" s="5">
        <f>(AF361/AF360-1)-中国_中债国债到期收益率_1年!H361%/252</f>
        <v>0.000263058000254585</v>
      </c>
      <c r="AH361" s="5">
        <f>MIN((AF361-MAX($AF$151:AF361))/MAX($AF$151:AF361),0)</f>
        <v>-0.000139119757982111</v>
      </c>
    </row>
    <row r="362" spans="1:34">
      <c r="A362" s="7">
        <v>45238</v>
      </c>
      <c r="B362">
        <v>20</v>
      </c>
      <c r="C362">
        <v>20</v>
      </c>
      <c r="D362">
        <v>20</v>
      </c>
      <c r="E362">
        <v>10</v>
      </c>
      <c r="F362">
        <f t="shared" si="66"/>
        <v>70</v>
      </c>
      <c r="G362">
        <f t="shared" si="70"/>
        <v>20</v>
      </c>
      <c r="H362">
        <f t="shared" si="71"/>
        <v>100</v>
      </c>
      <c r="I362">
        <f t="shared" si="72"/>
        <v>180</v>
      </c>
      <c r="J362">
        <f t="shared" si="73"/>
        <v>160</v>
      </c>
      <c r="K362">
        <f t="shared" si="67"/>
        <v>460</v>
      </c>
      <c r="L362">
        <f>G362*Return!B362*100</f>
        <v>-40.4</v>
      </c>
      <c r="M362">
        <f>H362*Return!C362*100</f>
        <v>-148.000000000001</v>
      </c>
      <c r="N362">
        <f>I362*Return!D362*100</f>
        <v>-140.399999999993</v>
      </c>
      <c r="O362">
        <f>J362*Return!E362*100</f>
        <v>-55.9999999999974</v>
      </c>
      <c r="P362">
        <f t="shared" si="74"/>
        <v>-384.799999999991</v>
      </c>
      <c r="Q362">
        <f>SUM($P$148:P362)</f>
        <v>9188.79999999999</v>
      </c>
      <c r="R362">
        <f>B362*中国_中债国债到期收益率_1年!B361/365*100</f>
        <v>12.3315068493151</v>
      </c>
      <c r="S362">
        <f>C362*中国_中债国债到期收益率_1年!C361/365*100</f>
        <v>13.878904109589</v>
      </c>
      <c r="T362">
        <f>D362*中国_中债国债到期收益率_1年!D361/365*100</f>
        <v>14.5928767123288</v>
      </c>
      <c r="U362">
        <f>E362*中国_中债国债到期收益率_1年!E361/365*100</f>
        <v>8.14191780821918</v>
      </c>
      <c r="V362">
        <f t="shared" si="75"/>
        <v>48.9452054794521</v>
      </c>
      <c r="W362">
        <f>SUM($V$148:V362)</f>
        <v>9878.05356164384</v>
      </c>
      <c r="X362">
        <f>MAX(F362-50,0)*中国_中债国债到期收益率_1年!H362*100/365</f>
        <v>11.2328767123288</v>
      </c>
      <c r="Y362">
        <f>SUM($X$148:X362)</f>
        <v>2776.44671232876</v>
      </c>
      <c r="Z362">
        <v>-100</v>
      </c>
      <c r="AA362">
        <v>100</v>
      </c>
      <c r="AB362">
        <f>Z362*Return!F366*100</f>
        <v>-159.000000000002</v>
      </c>
      <c r="AC362">
        <f>AA362*Return!G366*100</f>
        <v>186.999999999999</v>
      </c>
      <c r="AD362">
        <f>SUM($AB$148:AB362)+SUM($AC$148:AC362)</f>
        <v>1527.7</v>
      </c>
      <c r="AE362">
        <f t="shared" si="68"/>
        <v>17818.1068493151</v>
      </c>
      <c r="AF362">
        <f t="shared" si="69"/>
        <v>1.03563621369863</v>
      </c>
      <c r="AG362" s="5">
        <f>(AF362/AF361-1)-中国_中债国债到期收益率_1年!H362%/252</f>
        <v>-0.000697185464790733</v>
      </c>
      <c r="AH362" s="5">
        <f>MIN((AF362-MAX($AF$151:AF362))/MAX($AF$151:AF362),0)</f>
        <v>-0.000754870341432358</v>
      </c>
    </row>
    <row r="363" spans="1:34">
      <c r="A363" s="7">
        <v>45239</v>
      </c>
      <c r="B363">
        <v>20</v>
      </c>
      <c r="C363">
        <v>20</v>
      </c>
      <c r="D363">
        <v>20</v>
      </c>
      <c r="E363">
        <v>10</v>
      </c>
      <c r="F363">
        <f t="shared" si="66"/>
        <v>70</v>
      </c>
      <c r="G363">
        <f t="shared" si="70"/>
        <v>20</v>
      </c>
      <c r="H363">
        <f t="shared" si="71"/>
        <v>100</v>
      </c>
      <c r="I363">
        <f t="shared" si="72"/>
        <v>180</v>
      </c>
      <c r="J363">
        <f t="shared" si="73"/>
        <v>160</v>
      </c>
      <c r="K363">
        <f t="shared" si="67"/>
        <v>460</v>
      </c>
      <c r="L363">
        <f>G363*Return!B363*100</f>
        <v>5.20000000000032</v>
      </c>
      <c r="M363">
        <f>H363*Return!C363*100</f>
        <v>118</v>
      </c>
      <c r="N363">
        <f>I363*Return!D363*100</f>
        <v>302.399999999999</v>
      </c>
      <c r="O363">
        <f>J363*Return!E363*100</f>
        <v>216.000000000001</v>
      </c>
      <c r="P363">
        <f t="shared" si="74"/>
        <v>641.6</v>
      </c>
      <c r="Q363">
        <f>SUM($P$148:P363)</f>
        <v>9830.39999999999</v>
      </c>
      <c r="R363">
        <f>B363*中国_中债国债到期收益率_1年!B362/365*100</f>
        <v>12.3172602739726</v>
      </c>
      <c r="S363">
        <f>C363*中国_中债国债到期收益率_1年!C362/365*100</f>
        <v>13.8142465753425</v>
      </c>
      <c r="T363">
        <f>D363*中国_中债国债到期收益率_1年!D362/365*100</f>
        <v>14.5008219178082</v>
      </c>
      <c r="U363">
        <f>E363*中国_中债国债到期收益率_1年!E362/365*100</f>
        <v>8.10493150684932</v>
      </c>
      <c r="V363">
        <f t="shared" si="75"/>
        <v>48.7372602739726</v>
      </c>
      <c r="W363">
        <f>SUM($V$148:V363)</f>
        <v>9926.79082191781</v>
      </c>
      <c r="X363">
        <f>MAX(F363-50,0)*中国_中债国债到期收益率_1年!H363*100/365</f>
        <v>11.2328767123288</v>
      </c>
      <c r="Y363">
        <f>SUM($X$148:X363)</f>
        <v>2787.67958904109</v>
      </c>
      <c r="Z363">
        <v>-100</v>
      </c>
      <c r="AA363">
        <v>100</v>
      </c>
      <c r="AB363">
        <f>Z363*Return!F367*100</f>
        <v>105</v>
      </c>
      <c r="AC363">
        <f>AA363*Return!G367*100</f>
        <v>-89.0000000000013</v>
      </c>
      <c r="AD363">
        <f>SUM($AB$148:AB363)+SUM($AC$148:AC363)</f>
        <v>1543.7</v>
      </c>
      <c r="AE363">
        <f t="shared" si="68"/>
        <v>18513.2112328767</v>
      </c>
      <c r="AF363">
        <f t="shared" si="69"/>
        <v>1.03702642246575</v>
      </c>
      <c r="AG363" s="5">
        <f>(AF363/AF362-1)-中国_中债国债到期收益率_1年!H363%/252</f>
        <v>0.00126102251524048</v>
      </c>
      <c r="AH363" s="5">
        <f>MIN((AF363-MAX($AF$151:AF363))/MAX($AF$151:AF363),0)</f>
        <v>0</v>
      </c>
    </row>
    <row r="364" spans="1:34">
      <c r="A364" s="7">
        <v>45240</v>
      </c>
      <c r="B364">
        <v>20</v>
      </c>
      <c r="C364">
        <v>20</v>
      </c>
      <c r="D364">
        <v>20</v>
      </c>
      <c r="E364">
        <v>10</v>
      </c>
      <c r="F364">
        <f t="shared" si="66"/>
        <v>70</v>
      </c>
      <c r="G364">
        <f t="shared" si="70"/>
        <v>20</v>
      </c>
      <c r="H364">
        <f t="shared" si="71"/>
        <v>100</v>
      </c>
      <c r="I364">
        <f t="shared" si="72"/>
        <v>180</v>
      </c>
      <c r="J364">
        <f t="shared" si="73"/>
        <v>160</v>
      </c>
      <c r="K364">
        <f t="shared" si="67"/>
        <v>460</v>
      </c>
      <c r="L364">
        <f>G364*Return!B364*100</f>
        <v>14.5999999999997</v>
      </c>
      <c r="M364">
        <f>H364*Return!C364*100</f>
        <v>7.00000000000145</v>
      </c>
      <c r="N364">
        <f>I364*Return!D364*100</f>
        <v>-54.000000000002</v>
      </c>
      <c r="O364">
        <f>J364*Return!E364*100</f>
        <v>-1.60000000000338</v>
      </c>
      <c r="P364">
        <f t="shared" si="74"/>
        <v>-34.0000000000042</v>
      </c>
      <c r="Q364">
        <f>SUM($P$148:P364)</f>
        <v>9796.39999999999</v>
      </c>
      <c r="R364">
        <f>B364*中国_中债国债到期收益率_1年!B363/365*100</f>
        <v>12.2772602739726</v>
      </c>
      <c r="S364">
        <f>C364*中国_中债国债到期收益率_1年!C363/365*100</f>
        <v>13.8104109589041</v>
      </c>
      <c r="T364">
        <f>D364*中国_中债国债到期收益率_1年!D363/365*100</f>
        <v>14.5172602739726</v>
      </c>
      <c r="U364">
        <f>E364*中国_中债国债到期收益率_1年!E363/365*100</f>
        <v>8.10520547945206</v>
      </c>
      <c r="V364">
        <f t="shared" si="75"/>
        <v>48.7101369863014</v>
      </c>
      <c r="W364">
        <f>SUM($V$148:V364)</f>
        <v>9975.50095890411</v>
      </c>
      <c r="X364">
        <f>MAX(F364-50,0)*中国_中债国债到期收益率_1年!H364*100/365</f>
        <v>11.1232876712329</v>
      </c>
      <c r="Y364">
        <f>SUM($X$148:X364)</f>
        <v>2798.80287671232</v>
      </c>
      <c r="Z364">
        <v>-100</v>
      </c>
      <c r="AA364">
        <v>100</v>
      </c>
      <c r="AB364">
        <f>Z364*Return!F368*100</f>
        <v>5.99999999999934</v>
      </c>
      <c r="AC364">
        <f>AA364*Return!G368*100</f>
        <v>-89.0000000000013</v>
      </c>
      <c r="AD364">
        <f>SUM($AB$148:AB364)+SUM($AC$148:AC364)</f>
        <v>1460.7</v>
      </c>
      <c r="AE364">
        <f t="shared" si="68"/>
        <v>18433.7980821918</v>
      </c>
      <c r="AF364">
        <f t="shared" si="69"/>
        <v>1.03686759616438</v>
      </c>
      <c r="AG364" s="5">
        <f>(AF364/AF363-1)-中国_中债国债到期收益率_1年!H364%/252</f>
        <v>-0.000233711056639302</v>
      </c>
      <c r="AH364" s="5">
        <f>MIN((AF364-MAX($AF$151:AF364))/MAX($AF$151:AF364),0)</f>
        <v>-0.000153155501083792</v>
      </c>
    </row>
    <row r="365" spans="1:34">
      <c r="A365" s="7">
        <v>45243</v>
      </c>
      <c r="B365">
        <v>20</v>
      </c>
      <c r="C365">
        <v>20</v>
      </c>
      <c r="D365">
        <v>20</v>
      </c>
      <c r="E365">
        <v>10</v>
      </c>
      <c r="F365">
        <f t="shared" si="66"/>
        <v>70</v>
      </c>
      <c r="G365">
        <f t="shared" ref="G365:G396" si="76">B365</f>
        <v>20</v>
      </c>
      <c r="H365">
        <f t="shared" ref="H365:H396" si="77">5*C365</f>
        <v>100</v>
      </c>
      <c r="I365">
        <f t="shared" ref="I365:I396" si="78">9*D365</f>
        <v>180</v>
      </c>
      <c r="J365">
        <f t="shared" ref="J365:J396" si="79">16*E365</f>
        <v>160</v>
      </c>
      <c r="K365">
        <f t="shared" si="67"/>
        <v>460</v>
      </c>
      <c r="L365">
        <f>G365*Return!B365*100</f>
        <v>20.0000000000005</v>
      </c>
      <c r="M365">
        <f>H365*Return!C365*100</f>
        <v>175.000000000001</v>
      </c>
      <c r="N365">
        <f>I365*Return!D365*100</f>
        <v>89.9999999999981</v>
      </c>
      <c r="O365">
        <f>J365*Return!E365*100</f>
        <v>200.000000000003</v>
      </c>
      <c r="P365">
        <f t="shared" ref="P365:P396" si="80">SUM(L365:O365)</f>
        <v>485.000000000002</v>
      </c>
      <c r="Q365">
        <f>SUM($P$148:P365)</f>
        <v>10281.4</v>
      </c>
      <c r="R365">
        <f>B365*中国_中债国债到期收益率_1年!B364/365*100</f>
        <v>12.2224657534247</v>
      </c>
      <c r="S365">
        <f>C365*中国_中债国债到期收益率_1年!C364/365*100</f>
        <v>13.7145205479452</v>
      </c>
      <c r="T365">
        <f>D365*中国_中债国债到期收益率_1年!D364/365*100</f>
        <v>14.4898630136986</v>
      </c>
      <c r="U365">
        <f>E365*中国_中债国债到期收益率_1年!E364/365*100</f>
        <v>8.07095890410959</v>
      </c>
      <c r="V365">
        <f t="shared" ref="V365:V396" si="81">SUM(R365:U365)</f>
        <v>48.4978082191781</v>
      </c>
      <c r="W365">
        <f>SUM($V$148:V365)</f>
        <v>10023.9987671233</v>
      </c>
      <c r="X365">
        <f>MAX(F365-50,0)*中国_中债国债到期收益率_1年!H365*100/365</f>
        <v>11.2328767123288</v>
      </c>
      <c r="Y365">
        <f>SUM($X$148:X365)</f>
        <v>2810.03575342465</v>
      </c>
      <c r="Z365">
        <v>-100</v>
      </c>
      <c r="AA365">
        <v>100</v>
      </c>
      <c r="AB365">
        <f>Z365*Return!F369*100</f>
        <v>-7.99999999999912</v>
      </c>
      <c r="AC365">
        <f>AA365*Return!G369*100</f>
        <v>117.000000000003</v>
      </c>
      <c r="AD365">
        <f>SUM($AB$148:AB365)+SUM($AC$148:AC365)</f>
        <v>1569.7</v>
      </c>
      <c r="AE365">
        <f t="shared" si="68"/>
        <v>19065.0630136986</v>
      </c>
      <c r="AF365">
        <f t="shared" si="69"/>
        <v>1.0381301260274</v>
      </c>
      <c r="AG365" s="5">
        <f>(AF365/AF364-1)-中国_中债国债到期收益率_1年!H365%/252</f>
        <v>0.00113628925364702</v>
      </c>
      <c r="AH365" s="5">
        <f>MIN((AF365-MAX($AF$151:AF365))/MAX($AF$151:AF365),0)</f>
        <v>0</v>
      </c>
    </row>
    <row r="366" spans="1:34">
      <c r="A366" s="7">
        <v>45244</v>
      </c>
      <c r="B366">
        <v>20</v>
      </c>
      <c r="C366">
        <v>20</v>
      </c>
      <c r="D366">
        <v>20</v>
      </c>
      <c r="E366">
        <v>10</v>
      </c>
      <c r="F366">
        <f t="shared" si="66"/>
        <v>70</v>
      </c>
      <c r="G366">
        <f t="shared" si="76"/>
        <v>20</v>
      </c>
      <c r="H366">
        <f t="shared" si="77"/>
        <v>100</v>
      </c>
      <c r="I366">
        <f t="shared" si="78"/>
        <v>180</v>
      </c>
      <c r="J366">
        <f t="shared" si="79"/>
        <v>160</v>
      </c>
      <c r="K366">
        <f t="shared" si="67"/>
        <v>460</v>
      </c>
      <c r="L366">
        <f>G366*Return!B366*100</f>
        <v>49.3999999999994</v>
      </c>
      <c r="M366">
        <f>H366*Return!C366*100</f>
        <v>120</v>
      </c>
      <c r="N366">
        <f>I366*Return!D366*100</f>
        <v>-17.999999999998</v>
      </c>
      <c r="O366">
        <f>J366*Return!E366*100</f>
        <v>118.400000000001</v>
      </c>
      <c r="P366">
        <f t="shared" si="80"/>
        <v>269.800000000003</v>
      </c>
      <c r="Q366">
        <f>SUM($P$148:P366)</f>
        <v>10551.2</v>
      </c>
      <c r="R366">
        <f>B366*中国_中债国债到期收益率_1年!B365/365*100</f>
        <v>12.0871232876712</v>
      </c>
      <c r="S366">
        <f>C366*中国_中债国债到期收益率_1年!C365/365*100</f>
        <v>13.6487671232877</v>
      </c>
      <c r="T366">
        <f>D366*中国_中债国债到期收益率_1年!D365/365*100</f>
        <v>14.4953424657534</v>
      </c>
      <c r="U366">
        <f>E366*中国_中债国债到期收益率_1年!E365/365*100</f>
        <v>8.05068493150685</v>
      </c>
      <c r="V366">
        <f t="shared" si="81"/>
        <v>48.2819178082192</v>
      </c>
      <c r="W366">
        <f>SUM($V$148:V366)</f>
        <v>10072.2806849315</v>
      </c>
      <c r="X366">
        <f>MAX(F366-50,0)*中国_中债国债到期收益率_1年!H366*100/365</f>
        <v>12.0547945205479</v>
      </c>
      <c r="Y366">
        <f>SUM($X$148:X366)</f>
        <v>2822.0905479452</v>
      </c>
      <c r="Z366">
        <v>-100</v>
      </c>
      <c r="AA366">
        <v>100</v>
      </c>
      <c r="AB366">
        <f>Z366*Return!F370*100</f>
        <v>14.0000000000029</v>
      </c>
      <c r="AC366">
        <f>AA366*Return!G370*100</f>
        <v>9.9999999999989</v>
      </c>
      <c r="AD366">
        <f>SUM($AB$148:AB366)+SUM($AC$148:AC366)</f>
        <v>1593.7</v>
      </c>
      <c r="AE366">
        <f t="shared" si="68"/>
        <v>19395.0901369863</v>
      </c>
      <c r="AF366">
        <f t="shared" si="69"/>
        <v>1.03879018027397</v>
      </c>
      <c r="AG366" s="5">
        <f>(AF366/AF365-1)-中国_中债国债到期收益率_1年!H366%/252</f>
        <v>0.000548509116989608</v>
      </c>
      <c r="AH366" s="5">
        <f>MIN((AF366-MAX($AF$151:AF366))/MAX($AF$151:AF366),0)</f>
        <v>0</v>
      </c>
    </row>
    <row r="367" spans="1:34">
      <c r="A367" s="7">
        <v>45245</v>
      </c>
      <c r="B367">
        <v>20</v>
      </c>
      <c r="C367">
        <v>20</v>
      </c>
      <c r="D367">
        <v>20</v>
      </c>
      <c r="E367">
        <v>10</v>
      </c>
      <c r="F367">
        <f t="shared" si="66"/>
        <v>70</v>
      </c>
      <c r="G367">
        <f t="shared" si="76"/>
        <v>20</v>
      </c>
      <c r="H367">
        <f t="shared" si="77"/>
        <v>100</v>
      </c>
      <c r="I367">
        <f t="shared" si="78"/>
        <v>180</v>
      </c>
      <c r="J367">
        <f t="shared" si="79"/>
        <v>160</v>
      </c>
      <c r="K367">
        <f t="shared" si="67"/>
        <v>460</v>
      </c>
      <c r="L367">
        <f>G367*Return!B367*100</f>
        <v>69.2000000000004</v>
      </c>
      <c r="M367">
        <f>H367*Return!C367*100</f>
        <v>-129.999999999999</v>
      </c>
      <c r="N367">
        <f>I367*Return!D367*100</f>
        <v>-214.200000000004</v>
      </c>
      <c r="O367">
        <f>J367*Return!E367*100</f>
        <v>-86.4000000000047</v>
      </c>
      <c r="P367">
        <f t="shared" si="80"/>
        <v>-361.400000000008</v>
      </c>
      <c r="Q367">
        <f>SUM($P$148:P367)</f>
        <v>10189.8</v>
      </c>
      <c r="R367">
        <f>B367*中国_中债国债到期收益率_1年!B366/365*100</f>
        <v>11.8975342465753</v>
      </c>
      <c r="S367">
        <f>C367*中国_中债国债到期收益率_1年!C366/365*100</f>
        <v>13.72</v>
      </c>
      <c r="T367">
        <f>D367*中国_中债国债到期收益率_1年!D366/365*100</f>
        <v>14.5605479452055</v>
      </c>
      <c r="U367">
        <f>E367*中国_中债国债到期收益率_1年!E366/365*100</f>
        <v>8.06547945205479</v>
      </c>
      <c r="V367">
        <f t="shared" si="81"/>
        <v>48.2435616438356</v>
      </c>
      <c r="W367">
        <f>SUM($V$148:V367)</f>
        <v>10120.5242465753</v>
      </c>
      <c r="X367">
        <f>MAX(F367-50,0)*中国_中债国债到期收益率_1年!H367*100/365</f>
        <v>12.1643835616438</v>
      </c>
      <c r="Y367">
        <f>SUM($X$148:X367)</f>
        <v>2834.25493150684</v>
      </c>
      <c r="Z367">
        <v>-100</v>
      </c>
      <c r="AA367">
        <v>100</v>
      </c>
      <c r="AB367">
        <f>Z367*Return!F371*100</f>
        <v>129.999999999999</v>
      </c>
      <c r="AC367">
        <f>AA367*Return!G371*100</f>
        <v>-99.9999999999979</v>
      </c>
      <c r="AD367">
        <f>SUM($AB$148:AB367)+SUM($AC$148:AC367)</f>
        <v>1623.7</v>
      </c>
      <c r="AE367">
        <f t="shared" si="68"/>
        <v>19099.7693150685</v>
      </c>
      <c r="AF367">
        <f t="shared" si="69"/>
        <v>1.03819953863014</v>
      </c>
      <c r="AG367" s="5">
        <f>(AF367/AF366-1)-中国_中债国债到期收益率_1年!H367%/252</f>
        <v>-0.000656681325113946</v>
      </c>
      <c r="AH367" s="5">
        <f>MIN((AF367-MAX($AF$151:AF367))/MAX($AF$151:AF367),0)</f>
        <v>-0.000568586087018758</v>
      </c>
    </row>
    <row r="368" spans="1:34">
      <c r="A368" s="7">
        <v>45246</v>
      </c>
      <c r="B368">
        <v>20</v>
      </c>
      <c r="C368">
        <v>20</v>
      </c>
      <c r="D368">
        <v>20</v>
      </c>
      <c r="E368">
        <v>10</v>
      </c>
      <c r="F368">
        <f t="shared" si="66"/>
        <v>70</v>
      </c>
      <c r="G368">
        <f t="shared" si="76"/>
        <v>20</v>
      </c>
      <c r="H368">
        <f t="shared" si="77"/>
        <v>100</v>
      </c>
      <c r="I368">
        <f t="shared" si="78"/>
        <v>180</v>
      </c>
      <c r="J368">
        <f t="shared" si="79"/>
        <v>160</v>
      </c>
      <c r="K368">
        <f t="shared" si="67"/>
        <v>460</v>
      </c>
      <c r="L368">
        <f>G368*Return!B368*100</f>
        <v>19.9999999999996</v>
      </c>
      <c r="M368">
        <f>H368*Return!C368*100</f>
        <v>17.999999999998</v>
      </c>
      <c r="N368">
        <f>I368*Return!D368*100</f>
        <v>-107.999999999996</v>
      </c>
      <c r="O368">
        <f>J368*Return!E368*100</f>
        <v>-73.599999999999</v>
      </c>
      <c r="P368">
        <f t="shared" si="80"/>
        <v>-143.599999999998</v>
      </c>
      <c r="Q368">
        <f>SUM($P$148:P368)</f>
        <v>10046.2</v>
      </c>
      <c r="R368">
        <f>B368*中国_中债国债到期收益率_1年!B367/365*100</f>
        <v>11.8427397260274</v>
      </c>
      <c r="S368">
        <f>C368*中国_中债国债到期收益率_1年!C367/365*100</f>
        <v>13.7101369863014</v>
      </c>
      <c r="T368">
        <f>D368*中国_中债国债到期收益率_1年!D367/365*100</f>
        <v>14.5934246575342</v>
      </c>
      <c r="U368">
        <f>E368*中国_中债国债到期收益率_1年!E367/365*100</f>
        <v>8.07808219178082</v>
      </c>
      <c r="V368">
        <f t="shared" si="81"/>
        <v>48.2243835616438</v>
      </c>
      <c r="W368">
        <f>SUM($V$148:V368)</f>
        <v>10168.748630137</v>
      </c>
      <c r="X368">
        <f>MAX(F368-50,0)*中国_中债国债到期收益率_1年!H368*100/365</f>
        <v>12.0547945205479</v>
      </c>
      <c r="Y368">
        <f>SUM($X$148:X368)</f>
        <v>2846.30972602739</v>
      </c>
      <c r="Z368">
        <v>-100</v>
      </c>
      <c r="AA368">
        <v>100</v>
      </c>
      <c r="AB368">
        <f>Z368*Return!F372*100</f>
        <v>179</v>
      </c>
      <c r="AC368">
        <f>AA368*Return!G372*100</f>
        <v>-135.000000000001</v>
      </c>
      <c r="AD368">
        <f>SUM($AB$148:AB368)+SUM($AC$148:AC368)</f>
        <v>1667.7</v>
      </c>
      <c r="AE368">
        <f t="shared" si="68"/>
        <v>19036.3389041096</v>
      </c>
      <c r="AF368">
        <f t="shared" si="69"/>
        <v>1.03807267780822</v>
      </c>
      <c r="AG368" s="5">
        <f>(AF368/AF367-1)-中国_中债国债到期收益率_1年!H368%/252</f>
        <v>-0.000209494689106644</v>
      </c>
      <c r="AH368" s="5">
        <f>MIN((AF368-MAX($AF$151:AF368))/MAX($AF$151:AF368),0)</f>
        <v>-0.00069070971152622</v>
      </c>
    </row>
    <row r="369" spans="1:34">
      <c r="A369" s="7">
        <v>45247</v>
      </c>
      <c r="B369">
        <v>20</v>
      </c>
      <c r="C369">
        <v>20</v>
      </c>
      <c r="D369">
        <v>20</v>
      </c>
      <c r="E369">
        <v>10</v>
      </c>
      <c r="F369">
        <f t="shared" si="66"/>
        <v>70</v>
      </c>
      <c r="G369">
        <f t="shared" si="76"/>
        <v>20</v>
      </c>
      <c r="H369">
        <f t="shared" si="77"/>
        <v>100</v>
      </c>
      <c r="I369">
        <f t="shared" si="78"/>
        <v>180</v>
      </c>
      <c r="J369">
        <f t="shared" si="79"/>
        <v>160</v>
      </c>
      <c r="K369">
        <f t="shared" si="67"/>
        <v>460</v>
      </c>
      <c r="L369">
        <f>G369*Return!B369*100</f>
        <v>39.6000000000001</v>
      </c>
      <c r="M369">
        <f>H369*Return!C369*100</f>
        <v>-5.99999999999934</v>
      </c>
      <c r="N369">
        <f>I369*Return!D369*100</f>
        <v>134.999999999997</v>
      </c>
      <c r="O369">
        <f>J369*Return!E369*100</f>
        <v>72.0000000000027</v>
      </c>
      <c r="P369">
        <f t="shared" si="80"/>
        <v>240.600000000001</v>
      </c>
      <c r="Q369">
        <f>SUM($P$148:P369)</f>
        <v>10286.8</v>
      </c>
      <c r="R369">
        <f>B369*中国_中债国债到期收益率_1年!B368/365*100</f>
        <v>11.7342465753425</v>
      </c>
      <c r="S369">
        <f>C369*中国_中债国债到期收益率_1年!C368/365*100</f>
        <v>13.7134246575342</v>
      </c>
      <c r="T369">
        <f>D369*中国_中债国债到期收益率_1年!D368/365*100</f>
        <v>14.5523287671233</v>
      </c>
      <c r="U369">
        <f>E369*中国_中债国债到期收益率_1年!E368/365*100</f>
        <v>8.06575342465753</v>
      </c>
      <c r="V369">
        <f t="shared" si="81"/>
        <v>48.0657534246575</v>
      </c>
      <c r="W369">
        <f>SUM($V$148:V369)</f>
        <v>10216.8143835616</v>
      </c>
      <c r="X369">
        <f>MAX(F369-50,0)*中国_中债国债到期收益率_1年!H369*100/365</f>
        <v>12.3287671232877</v>
      </c>
      <c r="Y369">
        <f>SUM($X$148:X369)</f>
        <v>2858.63849315068</v>
      </c>
      <c r="Z369">
        <v>-100</v>
      </c>
      <c r="AA369">
        <v>100</v>
      </c>
      <c r="AB369">
        <f>Z369*Return!F373*100</f>
        <v>206.999999999997</v>
      </c>
      <c r="AC369">
        <f>AA369*Return!G373*100</f>
        <v>-101</v>
      </c>
      <c r="AD369">
        <f>SUM($AB$148:AB369)+SUM($AC$148:AC369)</f>
        <v>1773.7</v>
      </c>
      <c r="AE369">
        <f t="shared" si="68"/>
        <v>19418.675890411</v>
      </c>
      <c r="AF369">
        <f t="shared" si="69"/>
        <v>1.03883735178082</v>
      </c>
      <c r="AG369" s="5">
        <f>(AF369/AF368-1)-中国_中债国债到期收益率_1年!H369%/252</f>
        <v>0.000647342836826181</v>
      </c>
      <c r="AH369" s="5">
        <f>MIN((AF369-MAX($AF$151:AF369))/MAX($AF$151:AF369),0)</f>
        <v>0</v>
      </c>
    </row>
    <row r="370" spans="1:34">
      <c r="A370" s="7">
        <v>45250</v>
      </c>
      <c r="B370">
        <v>10</v>
      </c>
      <c r="C370">
        <v>20</v>
      </c>
      <c r="D370">
        <v>20</v>
      </c>
      <c r="E370">
        <v>10</v>
      </c>
      <c r="F370">
        <f t="shared" si="66"/>
        <v>60</v>
      </c>
      <c r="G370">
        <f t="shared" si="76"/>
        <v>10</v>
      </c>
      <c r="H370">
        <f t="shared" si="77"/>
        <v>100</v>
      </c>
      <c r="I370">
        <f t="shared" si="78"/>
        <v>180</v>
      </c>
      <c r="J370">
        <f t="shared" si="79"/>
        <v>160</v>
      </c>
      <c r="K370">
        <f t="shared" si="67"/>
        <v>450</v>
      </c>
      <c r="L370">
        <f>G370*Return!B370*100</f>
        <v>19.4000000000001</v>
      </c>
      <c r="M370">
        <f>H370*Return!C370*100</f>
        <v>-30.9999999999988</v>
      </c>
      <c r="N370">
        <f>I370*Return!D370*100</f>
        <v>61.2000000000013</v>
      </c>
      <c r="O370">
        <f>J370*Return!E370*100</f>
        <v>166.399999999996</v>
      </c>
      <c r="P370">
        <f t="shared" si="80"/>
        <v>215.999999999998</v>
      </c>
      <c r="Q370">
        <f>SUM($P$148:P370)</f>
        <v>10502.8</v>
      </c>
      <c r="R370">
        <f>B370*中国_中债国债到期收益率_1年!B369/365*100</f>
        <v>5.81397260273973</v>
      </c>
      <c r="S370">
        <f>C370*中国_中债国债到期收益率_1年!C369/365*100</f>
        <v>13.7304109589041</v>
      </c>
      <c r="T370">
        <f>D370*中国_中债国债到期收益率_1年!D369/365*100</f>
        <v>14.533698630137</v>
      </c>
      <c r="U370">
        <f>E370*中国_中债国债到期收益率_1年!E369/365*100</f>
        <v>8.0372602739726</v>
      </c>
      <c r="V370">
        <f t="shared" si="81"/>
        <v>42.1153424657534</v>
      </c>
      <c r="W370">
        <f>SUM($V$148:V370)</f>
        <v>10258.9297260274</v>
      </c>
      <c r="X370">
        <f>MAX(F370-50,0)*中国_中债国债到期收益率_1年!H370*100/365</f>
        <v>6.16438356164384</v>
      </c>
      <c r="Y370">
        <f>SUM($X$148:X370)</f>
        <v>2864.80287671232</v>
      </c>
      <c r="Z370">
        <v>-100</v>
      </c>
      <c r="AA370">
        <v>100</v>
      </c>
      <c r="AB370">
        <f>Z370*Return!F374*100</f>
        <v>176.000000000003</v>
      </c>
      <c r="AC370">
        <f>AA370*Return!G374*100</f>
        <v>-322</v>
      </c>
      <c r="AD370">
        <f>SUM($AB$148:AB370)+SUM($AC$148:AC370)</f>
        <v>1627.7</v>
      </c>
      <c r="AE370">
        <f t="shared" si="68"/>
        <v>19524.6268493151</v>
      </c>
      <c r="AF370">
        <f t="shared" si="69"/>
        <v>1.03904925369863</v>
      </c>
      <c r="AG370" s="5">
        <f>(AF370/AF369-1)-中国_中债国债到期收益率_1年!H370%/252</f>
        <v>0.000114694165187356</v>
      </c>
      <c r="AH370" s="5">
        <f>MIN((AF370-MAX($AF$151:AF370))/MAX($AF$151:AF370),0)</f>
        <v>0</v>
      </c>
    </row>
    <row r="371" spans="1:34">
      <c r="A371" s="7">
        <v>45251</v>
      </c>
      <c r="B371">
        <v>10</v>
      </c>
      <c r="C371">
        <v>20</v>
      </c>
      <c r="D371">
        <v>20</v>
      </c>
      <c r="E371">
        <v>10</v>
      </c>
      <c r="F371">
        <f t="shared" si="66"/>
        <v>60</v>
      </c>
      <c r="G371">
        <f t="shared" si="76"/>
        <v>10</v>
      </c>
      <c r="H371">
        <f t="shared" si="77"/>
        <v>100</v>
      </c>
      <c r="I371">
        <f t="shared" si="78"/>
        <v>180</v>
      </c>
      <c r="J371">
        <f t="shared" si="79"/>
        <v>160</v>
      </c>
      <c r="K371">
        <f t="shared" si="67"/>
        <v>450</v>
      </c>
      <c r="L371">
        <f>G371*Return!B371*100</f>
        <v>-25.5999999999998</v>
      </c>
      <c r="M371">
        <f>H371*Return!C371*100</f>
        <v>-185.000000000004</v>
      </c>
      <c r="N371">
        <f>I371*Return!D371*100</f>
        <v>-107.999999999996</v>
      </c>
      <c r="O371">
        <f>J371*Return!E371*100</f>
        <v>24.0000000000009</v>
      </c>
      <c r="P371">
        <f t="shared" si="80"/>
        <v>-294.599999999999</v>
      </c>
      <c r="Q371">
        <f>SUM($P$148:P371)</f>
        <v>10208.2</v>
      </c>
      <c r="R371">
        <f>B371*中国_中债国债到期收益率_1年!B370/365*100</f>
        <v>5.8841095890411</v>
      </c>
      <c r="S371">
        <f>C371*中国_中债国债到期收益率_1年!C370/365*100</f>
        <v>13.8317808219178</v>
      </c>
      <c r="T371">
        <f>D371*中国_中债国债到期收益率_1年!D370/365*100</f>
        <v>14.5665753424658</v>
      </c>
      <c r="U371">
        <f>E371*中国_中债国债到期收益率_1年!E370/365*100</f>
        <v>8.03315068493151</v>
      </c>
      <c r="V371">
        <f t="shared" si="81"/>
        <v>42.3156164383562</v>
      </c>
      <c r="W371">
        <f>SUM($V$148:V371)</f>
        <v>10301.2453424658</v>
      </c>
      <c r="X371">
        <f>MAX(F371-50,0)*中国_中债国债到期收益率_1年!H371*100/365</f>
        <v>6.02739726027397</v>
      </c>
      <c r="Y371">
        <f>SUM($X$148:X371)</f>
        <v>2870.8302739726</v>
      </c>
      <c r="Z371">
        <v>-100</v>
      </c>
      <c r="AA371">
        <v>100</v>
      </c>
      <c r="AB371">
        <f>Z371*Return!F375*100</f>
        <v>49.9999999999989</v>
      </c>
      <c r="AC371">
        <f>AA371*Return!G375*100</f>
        <v>-18.0000000000025</v>
      </c>
      <c r="AD371">
        <f>SUM($AB$148:AB371)+SUM($AC$148:AC371)</f>
        <v>1659.7</v>
      </c>
      <c r="AE371">
        <f t="shared" si="68"/>
        <v>19298.3150684931</v>
      </c>
      <c r="AF371">
        <f t="shared" si="69"/>
        <v>1.03859663013699</v>
      </c>
      <c r="AG371" s="5">
        <f>(AF371/AF370-1)-中国_中债国债到期收益率_1年!H371%/252</f>
        <v>-0.000522914778911927</v>
      </c>
      <c r="AH371" s="5">
        <f>MIN((AF371-MAX($AF$151:AF371))/MAX($AF$151:AF371),0)</f>
        <v>-0.000435613191610333</v>
      </c>
    </row>
    <row r="372" spans="1:34">
      <c r="A372" s="7">
        <v>45252</v>
      </c>
      <c r="B372">
        <v>10</v>
      </c>
      <c r="C372">
        <v>20</v>
      </c>
      <c r="D372">
        <v>20</v>
      </c>
      <c r="E372">
        <v>10</v>
      </c>
      <c r="F372">
        <f t="shared" si="66"/>
        <v>60</v>
      </c>
      <c r="G372">
        <f t="shared" si="76"/>
        <v>10</v>
      </c>
      <c r="H372">
        <f t="shared" si="77"/>
        <v>100</v>
      </c>
      <c r="I372">
        <f t="shared" si="78"/>
        <v>180</v>
      </c>
      <c r="J372">
        <f t="shared" si="79"/>
        <v>160</v>
      </c>
      <c r="K372">
        <f t="shared" si="67"/>
        <v>450</v>
      </c>
      <c r="L372">
        <f>G372*Return!B372*100</f>
        <v>-54.7</v>
      </c>
      <c r="M372">
        <f>H372*Return!C372*100</f>
        <v>-206.999999999997</v>
      </c>
      <c r="N372">
        <f>I372*Return!D372*100</f>
        <v>-180.000000000004</v>
      </c>
      <c r="O372">
        <f>J372*Return!E372*100</f>
        <v>-107.199999999999</v>
      </c>
      <c r="P372">
        <f t="shared" si="80"/>
        <v>-548.9</v>
      </c>
      <c r="Q372">
        <f>SUM($P$148:P372)</f>
        <v>9659.29999999999</v>
      </c>
      <c r="R372">
        <f>B372*中国_中债国债到期收益率_1年!B371/365*100</f>
        <v>6.03397260273973</v>
      </c>
      <c r="S372">
        <f>C372*中国_中债国债到期收益率_1年!C371/365*100</f>
        <v>13.9452054794521</v>
      </c>
      <c r="T372">
        <f>D372*中国_中债国债到期收益率_1年!D371/365*100</f>
        <v>14.6213698630137</v>
      </c>
      <c r="U372">
        <f>E372*中国_中债国债到期收益率_1年!E371/365*100</f>
        <v>8.05150684931507</v>
      </c>
      <c r="V372">
        <f t="shared" si="81"/>
        <v>42.6520547945205</v>
      </c>
      <c r="W372">
        <f>SUM($V$148:V372)</f>
        <v>10343.8973972603</v>
      </c>
      <c r="X372">
        <f>MAX(F372-50,0)*中国_中债国债到期收益率_1年!H372*100/365</f>
        <v>6.02739726027397</v>
      </c>
      <c r="Y372">
        <f>SUM($X$148:X372)</f>
        <v>2876.85767123287</v>
      </c>
      <c r="Z372">
        <v>-100</v>
      </c>
      <c r="AA372">
        <v>100</v>
      </c>
      <c r="AB372">
        <f>Z372*Return!F376*100</f>
        <v>396.999999999998</v>
      </c>
      <c r="AC372">
        <f>AA372*Return!G376*100</f>
        <v>-186.999999999999</v>
      </c>
      <c r="AD372">
        <f>SUM($AB$148:AB372)+SUM($AC$148:AC372)</f>
        <v>1869.7</v>
      </c>
      <c r="AE372">
        <f t="shared" si="68"/>
        <v>18996.0397260274</v>
      </c>
      <c r="AF372">
        <f t="shared" si="69"/>
        <v>1.03799207945205</v>
      </c>
      <c r="AG372" s="5">
        <f>(AF372/AF371-1)-中国_中债国债到期收益率_1年!H372%/252</f>
        <v>-0.00066938578379256</v>
      </c>
      <c r="AH372" s="5">
        <f>MIN((AF372-MAX($AF$151:AF372))/MAX($AF$151:AF372),0)</f>
        <v>-0.00101744382454665</v>
      </c>
    </row>
    <row r="373" spans="1:34">
      <c r="A373" s="7">
        <v>45253</v>
      </c>
      <c r="B373">
        <v>10</v>
      </c>
      <c r="C373">
        <v>20</v>
      </c>
      <c r="D373">
        <v>20</v>
      </c>
      <c r="E373">
        <v>10</v>
      </c>
      <c r="F373">
        <f t="shared" si="66"/>
        <v>60</v>
      </c>
      <c r="G373">
        <f t="shared" si="76"/>
        <v>10</v>
      </c>
      <c r="H373">
        <f t="shared" si="77"/>
        <v>100</v>
      </c>
      <c r="I373">
        <f t="shared" si="78"/>
        <v>180</v>
      </c>
      <c r="J373">
        <f t="shared" si="79"/>
        <v>160</v>
      </c>
      <c r="K373">
        <f t="shared" si="67"/>
        <v>450</v>
      </c>
      <c r="L373">
        <f>G373*Return!B373*100</f>
        <v>-108.8</v>
      </c>
      <c r="M373">
        <f>H373*Return!C373*100</f>
        <v>-211.000000000001</v>
      </c>
      <c r="N373">
        <f>I373*Return!D373*100</f>
        <v>-250.2</v>
      </c>
      <c r="O373">
        <f>J373*Return!E373*100</f>
        <v>-240.000000000002</v>
      </c>
      <c r="P373">
        <f t="shared" si="80"/>
        <v>-810.000000000004</v>
      </c>
      <c r="Q373">
        <f>SUM($P$148:P373)</f>
        <v>8849.29999999999</v>
      </c>
      <c r="R373">
        <f>B373*中国_中债国债到期收益率_1年!B372/365*100</f>
        <v>6.33205479452055</v>
      </c>
      <c r="S373">
        <f>C373*中国_中债国债到期收益率_1年!C372/365*100</f>
        <v>14.0608219178082</v>
      </c>
      <c r="T373">
        <f>D373*中国_中债国债到期收益率_1年!D372/365*100</f>
        <v>14.6975342465753</v>
      </c>
      <c r="U373">
        <f>E373*中国_中债国债到期收益率_1年!E372/365*100</f>
        <v>8.09260273972603</v>
      </c>
      <c r="V373">
        <f t="shared" si="81"/>
        <v>43.1830136986301</v>
      </c>
      <c r="W373">
        <f>SUM($V$148:V373)</f>
        <v>10387.0804109589</v>
      </c>
      <c r="X373">
        <f>MAX(F373-50,0)*中国_中债国债到期收益率_1年!H373*100/365</f>
        <v>6.16438356164384</v>
      </c>
      <c r="Y373">
        <f>SUM($X$148:X373)</f>
        <v>2883.02205479452</v>
      </c>
      <c r="Z373">
        <v>-100</v>
      </c>
      <c r="AA373">
        <v>100</v>
      </c>
      <c r="AB373">
        <f>Z373*Return!F377*100</f>
        <v>-152.999999999999</v>
      </c>
      <c r="AC373">
        <f>AA373*Return!G377*100</f>
        <v>199.000000000003</v>
      </c>
      <c r="AD373">
        <f>SUM($AB$148:AB373)+SUM($AC$148:AC373)</f>
        <v>1915.7</v>
      </c>
      <c r="AE373">
        <f t="shared" si="68"/>
        <v>18269.0583561644</v>
      </c>
      <c r="AF373">
        <f t="shared" si="69"/>
        <v>1.03653811671233</v>
      </c>
      <c r="AG373" s="5">
        <f>(AF373/AF372-1)-中国_中债国债到期收益率_1年!H373%/252</f>
        <v>-0.00149003121948591</v>
      </c>
      <c r="AH373" s="5">
        <f>MIN((AF373-MAX($AF$151:AF373))/MAX($AF$151:AF373),0)</f>
        <v>-0.00241676414988281</v>
      </c>
    </row>
    <row r="374" spans="1:34">
      <c r="A374" s="7">
        <v>45254</v>
      </c>
      <c r="B374">
        <v>10</v>
      </c>
      <c r="C374">
        <v>20</v>
      </c>
      <c r="D374">
        <v>20</v>
      </c>
      <c r="E374">
        <v>10</v>
      </c>
      <c r="F374">
        <f t="shared" si="66"/>
        <v>60</v>
      </c>
      <c r="G374">
        <f t="shared" si="76"/>
        <v>10</v>
      </c>
      <c r="H374">
        <f t="shared" si="77"/>
        <v>100</v>
      </c>
      <c r="I374">
        <f t="shared" si="78"/>
        <v>180</v>
      </c>
      <c r="J374">
        <f t="shared" si="79"/>
        <v>160</v>
      </c>
      <c r="K374">
        <f t="shared" si="67"/>
        <v>450</v>
      </c>
      <c r="L374">
        <f>G374*Return!B374*100</f>
        <v>-15.2000000000001</v>
      </c>
      <c r="M374">
        <f>H374*Return!C374*100</f>
        <v>-175.999999999998</v>
      </c>
      <c r="N374">
        <f>I374*Return!D374*100</f>
        <v>-360</v>
      </c>
      <c r="O374">
        <f>J374*Return!E374*100</f>
        <v>-265.599999999999</v>
      </c>
      <c r="P374">
        <f t="shared" si="80"/>
        <v>-816.799999999998</v>
      </c>
      <c r="Q374">
        <f>SUM($P$148:P374)</f>
        <v>8032.49999999999</v>
      </c>
      <c r="R374">
        <f>B374*中国_中债国债到期收益率_1年!B373/365*100</f>
        <v>6.37369863013699</v>
      </c>
      <c r="S374">
        <f>C374*中国_中债国债到期收益率_1年!C373/365*100</f>
        <v>14.1572602739726</v>
      </c>
      <c r="T374">
        <f>D374*中国_中债国债到期收益率_1年!D373/365*100</f>
        <v>14.8071232876712</v>
      </c>
      <c r="U374">
        <f>E374*中国_中债国债到期收益率_1年!E373/365*100</f>
        <v>8.13808219178082</v>
      </c>
      <c r="V374">
        <f t="shared" si="81"/>
        <v>43.4761643835616</v>
      </c>
      <c r="W374">
        <f>SUM($V$148:V374)</f>
        <v>10430.5565753425</v>
      </c>
      <c r="X374">
        <f>MAX(F374-50,0)*中国_中债国债到期收益率_1年!H374*100/365</f>
        <v>8.10958904109589</v>
      </c>
      <c r="Y374">
        <f>SUM($X$148:X374)</f>
        <v>2891.13164383561</v>
      </c>
      <c r="Z374">
        <v>-100</v>
      </c>
      <c r="AA374">
        <v>100</v>
      </c>
      <c r="AB374">
        <f>Z374*Return!F378*100</f>
        <v>-2.99999999999745</v>
      </c>
      <c r="AC374">
        <f>AA374*Return!G378*100</f>
        <v>126.999999999997</v>
      </c>
      <c r="AD374">
        <f>SUM($AB$148:AB374)+SUM($AC$148:AC374)</f>
        <v>2039.7</v>
      </c>
      <c r="AE374">
        <f t="shared" si="68"/>
        <v>17611.6249315068</v>
      </c>
      <c r="AF374">
        <f t="shared" si="69"/>
        <v>1.03522324986301</v>
      </c>
      <c r="AG374" s="5">
        <f>(AF374/AF373-1)-中国_中债国债到期收益率_1年!H374%/252</f>
        <v>-0.00138597792247199</v>
      </c>
      <c r="AH374" s="5">
        <f>MIN((AF374-MAX($AF$151:AF374))/MAX($AF$151:AF374),0)</f>
        <v>-0.00368221604702322</v>
      </c>
    </row>
    <row r="375" spans="1:34">
      <c r="A375" s="7">
        <v>45257</v>
      </c>
      <c r="B375">
        <v>10</v>
      </c>
      <c r="C375">
        <v>20</v>
      </c>
      <c r="D375">
        <v>20</v>
      </c>
      <c r="E375">
        <v>10</v>
      </c>
      <c r="F375">
        <f t="shared" si="66"/>
        <v>60</v>
      </c>
      <c r="G375">
        <f t="shared" si="76"/>
        <v>10</v>
      </c>
      <c r="H375">
        <f t="shared" si="77"/>
        <v>100</v>
      </c>
      <c r="I375">
        <f t="shared" si="78"/>
        <v>180</v>
      </c>
      <c r="J375">
        <f t="shared" si="79"/>
        <v>160</v>
      </c>
      <c r="K375">
        <f t="shared" si="67"/>
        <v>450</v>
      </c>
      <c r="L375">
        <f>G375*Return!B375*100</f>
        <v>-5.30000000000008</v>
      </c>
      <c r="M375">
        <f>H375*Return!C375*100</f>
        <v>-124</v>
      </c>
      <c r="N375">
        <f>I375*Return!D375*100</f>
        <v>-53.9999999999941</v>
      </c>
      <c r="O375">
        <f>J375*Return!E375*100</f>
        <v>32.0000000000036</v>
      </c>
      <c r="P375">
        <f t="shared" si="80"/>
        <v>-151.29999999999</v>
      </c>
      <c r="Q375">
        <f>SUM($P$148:P375)</f>
        <v>7881.2</v>
      </c>
      <c r="R375">
        <f>B375*中国_中债国债到期收益率_1年!B374/365*100</f>
        <v>6.38821917808219</v>
      </c>
      <c r="S375">
        <f>C375*中国_中债国债到期收益率_1年!C374/365*100</f>
        <v>14.2252054794521</v>
      </c>
      <c r="T375">
        <f>D375*中国_中债国债到期收益率_1年!D374/365*100</f>
        <v>14.8235616438356</v>
      </c>
      <c r="U375">
        <f>E375*中国_中债国债到期收益率_1年!E374/365*100</f>
        <v>8.13260273972603</v>
      </c>
      <c r="V375">
        <f t="shared" si="81"/>
        <v>43.5695890410959</v>
      </c>
      <c r="W375">
        <f>SUM($V$148:V375)</f>
        <v>10474.1261643836</v>
      </c>
      <c r="X375">
        <f>MAX(F375-50,0)*中国_中债国债到期收益率_1年!H375*100/365</f>
        <v>9.04109589041096</v>
      </c>
      <c r="Y375">
        <f>SUM($X$148:X375)</f>
        <v>2900.17273972602</v>
      </c>
      <c r="Z375">
        <v>-100</v>
      </c>
      <c r="AA375">
        <v>100</v>
      </c>
      <c r="AB375">
        <f>Z375*Return!F379*100</f>
        <v>-304.000000000002</v>
      </c>
      <c r="AC375">
        <f>AA375*Return!G379*100</f>
        <v>133.000000000001</v>
      </c>
      <c r="AD375">
        <f>SUM($AB$148:AB375)+SUM($AC$148:AC375)</f>
        <v>1868.7</v>
      </c>
      <c r="AE375">
        <f t="shared" si="68"/>
        <v>17323.8534246575</v>
      </c>
      <c r="AF375">
        <f t="shared" si="69"/>
        <v>1.03464770684932</v>
      </c>
      <c r="AG375" s="5">
        <f>(AF375/AF374-1)-中国_中债国债到期收益率_1年!H375%/252</f>
        <v>-0.00068691266659569</v>
      </c>
      <c r="AH375" s="5">
        <f>MIN((AF375-MAX($AF$151:AF375))/MAX($AF$151:AF375),0)</f>
        <v>-0.00423612916678123</v>
      </c>
    </row>
    <row r="376" spans="1:34">
      <c r="A376" s="7">
        <v>45258</v>
      </c>
      <c r="B376">
        <v>10</v>
      </c>
      <c r="C376">
        <v>20</v>
      </c>
      <c r="D376">
        <v>20</v>
      </c>
      <c r="E376">
        <v>10</v>
      </c>
      <c r="F376">
        <f t="shared" si="66"/>
        <v>60</v>
      </c>
      <c r="G376">
        <f t="shared" si="76"/>
        <v>10</v>
      </c>
      <c r="H376">
        <f t="shared" si="77"/>
        <v>100</v>
      </c>
      <c r="I376">
        <f t="shared" si="78"/>
        <v>180</v>
      </c>
      <c r="J376">
        <f t="shared" si="79"/>
        <v>160</v>
      </c>
      <c r="K376">
        <f t="shared" si="67"/>
        <v>450</v>
      </c>
      <c r="L376">
        <f>G376*Return!B376*100</f>
        <v>-57.1999999999999</v>
      </c>
      <c r="M376">
        <f>H376*Return!C376*100</f>
        <v>-51.000000000001</v>
      </c>
      <c r="N376">
        <f>I376*Return!D376*100</f>
        <v>-99.0000000000011</v>
      </c>
      <c r="O376">
        <f>J376*Return!E376*100</f>
        <v>-97.5999999999999</v>
      </c>
      <c r="P376">
        <f t="shared" si="80"/>
        <v>-304.800000000002</v>
      </c>
      <c r="Q376">
        <f>SUM($P$148:P376)</f>
        <v>7576.4</v>
      </c>
      <c r="R376">
        <f>B376*中国_中债国债到期收益率_1年!B375/365*100</f>
        <v>6.54493150684931</v>
      </c>
      <c r="S376">
        <f>C376*中国_中债国债到期收益率_1年!C375/365*100</f>
        <v>14.2531506849315</v>
      </c>
      <c r="T376">
        <f>D376*中国_中债国债到期收益率_1年!D375/365*100</f>
        <v>14.853698630137</v>
      </c>
      <c r="U376">
        <f>E376*中国_中债国债到期收益率_1年!E375/365*100</f>
        <v>8.14931506849315</v>
      </c>
      <c r="V376">
        <f t="shared" si="81"/>
        <v>43.801095890411</v>
      </c>
      <c r="W376">
        <f>SUM($V$148:V376)</f>
        <v>10517.927260274</v>
      </c>
      <c r="X376">
        <f>MAX(F376-50,0)*中国_中债国债到期收益率_1年!H376*100/365</f>
        <v>9.31506849315068</v>
      </c>
      <c r="Y376">
        <f>SUM($X$148:X376)</f>
        <v>2909.48780821917</v>
      </c>
      <c r="Z376">
        <v>-100</v>
      </c>
      <c r="AA376">
        <v>100</v>
      </c>
      <c r="AB376">
        <f>Z376*Return!F380*100</f>
        <v>-131.000000000001</v>
      </c>
      <c r="AC376">
        <f>AA376*Return!G380*100</f>
        <v>-24.9999999999995</v>
      </c>
      <c r="AD376">
        <f>SUM($AB$148:AB376)+SUM($AC$148:AC376)</f>
        <v>1712.7</v>
      </c>
      <c r="AE376">
        <f t="shared" si="68"/>
        <v>16897.5394520548</v>
      </c>
      <c r="AF376">
        <f t="shared" si="69"/>
        <v>1.03379507890411</v>
      </c>
      <c r="AG376" s="5">
        <f>(AF376/AF375-1)-中国_中债国债到期收益率_1年!H376%/252</f>
        <v>-0.000958996249800262</v>
      </c>
      <c r="AH376" s="5">
        <f>MIN((AF376-MAX($AF$151:AF376))/MAX($AF$151:AF376),0)</f>
        <v>-0.00505671389091308</v>
      </c>
    </row>
    <row r="377" spans="1:34">
      <c r="A377" s="7">
        <v>45259</v>
      </c>
      <c r="B377">
        <v>10</v>
      </c>
      <c r="C377">
        <v>20</v>
      </c>
      <c r="D377">
        <v>20</v>
      </c>
      <c r="E377">
        <v>10</v>
      </c>
      <c r="F377">
        <f t="shared" si="66"/>
        <v>60</v>
      </c>
      <c r="G377">
        <f t="shared" si="76"/>
        <v>10</v>
      </c>
      <c r="H377">
        <f t="shared" si="77"/>
        <v>100</v>
      </c>
      <c r="I377">
        <f t="shared" si="78"/>
        <v>180</v>
      </c>
      <c r="J377">
        <f t="shared" si="79"/>
        <v>160</v>
      </c>
      <c r="K377">
        <f t="shared" si="67"/>
        <v>450</v>
      </c>
      <c r="L377">
        <f>G377*Return!B377*100</f>
        <v>32.5000000000002</v>
      </c>
      <c r="M377">
        <f>H377*Return!C377*100</f>
        <v>249.999999999999</v>
      </c>
      <c r="N377">
        <f>I377*Return!D377*100</f>
        <v>377.999999999998</v>
      </c>
      <c r="O377">
        <f>J377*Return!E377*100</f>
        <v>327.999999999996</v>
      </c>
      <c r="P377">
        <f t="shared" si="80"/>
        <v>988.499999999994</v>
      </c>
      <c r="Q377">
        <f>SUM($P$148:P377)</f>
        <v>8564.89999999999</v>
      </c>
      <c r="R377">
        <f>B377*中国_中债国债到期收益率_1年!B376/365*100</f>
        <v>6.4558904109589</v>
      </c>
      <c r="S377">
        <f>C377*中国_中债国债到期收益率_1年!C376/365*100</f>
        <v>14.1161643835616</v>
      </c>
      <c r="T377">
        <f>D377*中国_中债国债到期收益率_1年!D376/365*100</f>
        <v>14.7386301369863</v>
      </c>
      <c r="U377">
        <f>E377*中国_中债国债到期收益率_1年!E376/365*100</f>
        <v>8.09315068493151</v>
      </c>
      <c r="V377">
        <f t="shared" si="81"/>
        <v>43.4038356164384</v>
      </c>
      <c r="W377">
        <f>SUM($V$148:V377)</f>
        <v>10561.3310958904</v>
      </c>
      <c r="X377">
        <f>MAX(F377-50,0)*中国_中债国债到期收益率_1年!H377*100/365</f>
        <v>9.86301369863014</v>
      </c>
      <c r="Y377">
        <f>SUM($X$148:X377)</f>
        <v>2919.3508219178</v>
      </c>
      <c r="Z377">
        <v>-100</v>
      </c>
      <c r="AA377">
        <v>100</v>
      </c>
      <c r="AB377">
        <f>Z377*Return!F381*100</f>
        <v>380.000000000003</v>
      </c>
      <c r="AC377">
        <f>AA377*Return!G381*100</f>
        <v>-85.9999999999994</v>
      </c>
      <c r="AD377">
        <f>SUM($AB$148:AB377)+SUM($AC$148:AC377)</f>
        <v>2006.7</v>
      </c>
      <c r="AE377">
        <f t="shared" si="68"/>
        <v>18213.5802739726</v>
      </c>
      <c r="AF377">
        <f t="shared" si="69"/>
        <v>1.03642716054795</v>
      </c>
      <c r="AG377" s="5">
        <f>(AF377/AF376-1)-中国_中债国债到期收益率_1年!H377%/252</f>
        <v>0.00240318094297506</v>
      </c>
      <c r="AH377" s="5">
        <f>MIN((AF377-MAX($AF$151:AF377))/MAX($AF$151:AF377),0)</f>
        <v>-0.0025235503912364</v>
      </c>
    </row>
    <row r="378" spans="1:34">
      <c r="A378" s="7">
        <v>45260</v>
      </c>
      <c r="B378">
        <v>10</v>
      </c>
      <c r="C378">
        <v>20</v>
      </c>
      <c r="D378">
        <v>20</v>
      </c>
      <c r="E378">
        <v>10</v>
      </c>
      <c r="F378">
        <f t="shared" si="66"/>
        <v>60</v>
      </c>
      <c r="G378">
        <f t="shared" si="76"/>
        <v>10</v>
      </c>
      <c r="H378">
        <f t="shared" si="77"/>
        <v>100</v>
      </c>
      <c r="I378">
        <f t="shared" si="78"/>
        <v>180</v>
      </c>
      <c r="J378">
        <f t="shared" si="79"/>
        <v>160</v>
      </c>
      <c r="K378">
        <f t="shared" si="67"/>
        <v>450</v>
      </c>
      <c r="L378">
        <f>G378*Return!B378*100</f>
        <v>-0.199999999999978</v>
      </c>
      <c r="M378">
        <f>H378*Return!C378*100</f>
        <v>-78.0000000000003</v>
      </c>
      <c r="N378">
        <f>I378*Return!D378*100</f>
        <v>129.600000000002</v>
      </c>
      <c r="O378">
        <f>J378*Return!E378*100</f>
        <v>24.0000000000009</v>
      </c>
      <c r="P378">
        <f t="shared" si="80"/>
        <v>75.4000000000024</v>
      </c>
      <c r="Q378">
        <f>SUM($P$148:P378)</f>
        <v>8640.3</v>
      </c>
      <c r="R378">
        <f>B378*中国_中债国债到期收益率_1年!B377/365*100</f>
        <v>6.45643835616438</v>
      </c>
      <c r="S378">
        <f>C378*中国_中债国债到期收益率_1年!C377/365*100</f>
        <v>14.158904109589</v>
      </c>
      <c r="T378">
        <f>D378*中国_中债国债到期收益率_1年!D377/365*100</f>
        <v>14.6991780821918</v>
      </c>
      <c r="U378">
        <f>E378*中国_中债国债到期收益率_1年!E377/365*100</f>
        <v>8.08904109589041</v>
      </c>
      <c r="V378">
        <f t="shared" si="81"/>
        <v>43.4035616438356</v>
      </c>
      <c r="W378">
        <f>SUM($V$148:V378)</f>
        <v>10604.7346575342</v>
      </c>
      <c r="X378">
        <f>MAX(F378-50,0)*中国_中债国债到期收益率_1年!H378*100/365</f>
        <v>7.53424657534247</v>
      </c>
      <c r="Y378">
        <f>SUM($X$148:X378)</f>
        <v>2926.88506849315</v>
      </c>
      <c r="Z378">
        <v>-100</v>
      </c>
      <c r="AA378">
        <v>100</v>
      </c>
      <c r="AB378">
        <f>Z378*Return!F382*100</f>
        <v>219</v>
      </c>
      <c r="AC378">
        <f>AA378*Return!G382*100</f>
        <v>-74.9999999999984</v>
      </c>
      <c r="AD378">
        <f>SUM($AB$148:AB378)+SUM($AC$148:AC378)</f>
        <v>2150.7</v>
      </c>
      <c r="AE378">
        <f t="shared" si="68"/>
        <v>18468.8495890411</v>
      </c>
      <c r="AF378">
        <f t="shared" si="69"/>
        <v>1.03693769917808</v>
      </c>
      <c r="AG378" s="5">
        <f>(AF378/AF377-1)-中国_中债国债到期收益率_1年!H378%/252</f>
        <v>0.000383467816135774</v>
      </c>
      <c r="AH378" s="5">
        <f>MIN((AF378-MAX($AF$151:AF378))/MAX($AF$151:AF378),0)</f>
        <v>-0.00203219867877463</v>
      </c>
    </row>
    <row r="379" spans="1:34">
      <c r="A379" s="7">
        <v>45261</v>
      </c>
      <c r="B379">
        <v>10</v>
      </c>
      <c r="C379">
        <v>20</v>
      </c>
      <c r="D379">
        <v>20</v>
      </c>
      <c r="E379">
        <v>10</v>
      </c>
      <c r="F379">
        <f t="shared" si="66"/>
        <v>60</v>
      </c>
      <c r="G379">
        <f t="shared" si="76"/>
        <v>10</v>
      </c>
      <c r="H379">
        <f t="shared" si="77"/>
        <v>100</v>
      </c>
      <c r="I379">
        <f t="shared" si="78"/>
        <v>180</v>
      </c>
      <c r="J379">
        <f t="shared" si="79"/>
        <v>160</v>
      </c>
      <c r="K379">
        <f t="shared" si="67"/>
        <v>450</v>
      </c>
      <c r="L379">
        <f>G379*Return!B379*100</f>
        <v>19.8999999999998</v>
      </c>
      <c r="M379">
        <f>H379*Return!C379*100</f>
        <v>148.999999999999</v>
      </c>
      <c r="N379">
        <f>I379*Return!D379*100</f>
        <v>262.799999999995</v>
      </c>
      <c r="O379">
        <f>J379*Return!E379*100</f>
        <v>192</v>
      </c>
      <c r="P379">
        <f t="shared" si="80"/>
        <v>623.699999999994</v>
      </c>
      <c r="Q379">
        <f>SUM($P$148:P379)</f>
        <v>9263.99999999999</v>
      </c>
      <c r="R379">
        <f>B379*中国_中债国债到期收益率_1年!B378/365*100</f>
        <v>6.40191780821918</v>
      </c>
      <c r="S379">
        <f>C379*中国_中债国债到期收益率_1年!C378/365*100</f>
        <v>14.0772602739726</v>
      </c>
      <c r="T379">
        <f>D379*中国_中债国债到期收益率_1年!D378/365*100</f>
        <v>14.6191780821918</v>
      </c>
      <c r="U379">
        <f>E379*中国_中债国债到期收益率_1年!E378/365*100</f>
        <v>8.05616438356164</v>
      </c>
      <c r="V379">
        <f t="shared" si="81"/>
        <v>43.1545205479452</v>
      </c>
      <c r="W379">
        <f>SUM($V$148:V379)</f>
        <v>10647.8891780822</v>
      </c>
      <c r="X379">
        <f>MAX(F379-50,0)*中国_中债国债到期收益率_1年!H379*100/365</f>
        <v>5.89041095890411</v>
      </c>
      <c r="Y379">
        <f>SUM($X$148:X379)</f>
        <v>2932.77547945205</v>
      </c>
      <c r="Z379">
        <v>-100</v>
      </c>
      <c r="AA379">
        <v>100</v>
      </c>
      <c r="AB379">
        <f>Z379*Return!F383*100</f>
        <v>160.999999999998</v>
      </c>
      <c r="AC379">
        <f>AA379*Return!G383*100</f>
        <v>-19.0000000000001</v>
      </c>
      <c r="AD379">
        <f>SUM($AB$148:AB379)+SUM($AC$148:AC379)</f>
        <v>2292.7</v>
      </c>
      <c r="AE379">
        <f t="shared" si="68"/>
        <v>19271.8136986301</v>
      </c>
      <c r="AF379">
        <f t="shared" si="69"/>
        <v>1.03854362739726</v>
      </c>
      <c r="AG379" s="5">
        <f>(AF379/AF378-1)-中国_中债国债到期收益率_1年!H379%/252</f>
        <v>0.0014634045318054</v>
      </c>
      <c r="AH379" s="5">
        <f>MIN((AF379-MAX($AF$151:AF379))/MAX($AF$151:AF379),0)</f>
        <v>-0.000486623997438055</v>
      </c>
    </row>
    <row r="380" spans="1:34">
      <c r="A380" s="7">
        <v>45264</v>
      </c>
      <c r="B380">
        <v>10</v>
      </c>
      <c r="C380">
        <v>20</v>
      </c>
      <c r="D380">
        <v>20</v>
      </c>
      <c r="E380">
        <v>10</v>
      </c>
      <c r="F380">
        <f t="shared" si="66"/>
        <v>60</v>
      </c>
      <c r="G380">
        <f t="shared" si="76"/>
        <v>10</v>
      </c>
      <c r="H380">
        <f t="shared" si="77"/>
        <v>100</v>
      </c>
      <c r="I380">
        <f t="shared" si="78"/>
        <v>180</v>
      </c>
      <c r="J380">
        <f t="shared" si="79"/>
        <v>160</v>
      </c>
      <c r="K380">
        <f t="shared" si="67"/>
        <v>450</v>
      </c>
      <c r="L380">
        <f>G380*Return!B380*100</f>
        <v>-7.2000000000001</v>
      </c>
      <c r="M380">
        <f>H380*Return!C380*100</f>
        <v>26.0000000000016</v>
      </c>
      <c r="N380">
        <f>I380*Return!D380*100</f>
        <v>99.0000000000011</v>
      </c>
      <c r="O380">
        <f>J380*Return!E380*100</f>
        <v>-64.0000000000001</v>
      </c>
      <c r="P380">
        <f t="shared" si="80"/>
        <v>53.8000000000025</v>
      </c>
      <c r="Q380">
        <f>SUM($P$148:P380)</f>
        <v>9317.79999999999</v>
      </c>
      <c r="R380">
        <f>B380*中国_中债国债到期收益率_1年!B379/365*100</f>
        <v>6.42164383561644</v>
      </c>
      <c r="S380">
        <f>C380*中国_中债国债到期收益率_1年!C379/365*100</f>
        <v>14.0630136986301</v>
      </c>
      <c r="T380">
        <f>D380*中国_中债国债到期收益率_1年!D379/365*100</f>
        <v>14.5890410958904</v>
      </c>
      <c r="U380">
        <f>E380*中国_中债国债到期收益率_1年!E379/365*100</f>
        <v>8.06712328767123</v>
      </c>
      <c r="V380">
        <f t="shared" si="81"/>
        <v>43.1408219178082</v>
      </c>
      <c r="W380">
        <f>SUM($V$148:V380)</f>
        <v>10691.03</v>
      </c>
      <c r="X380">
        <f>MAX(F380-50,0)*中国_中债国债到期收益率_1年!H380*100/365</f>
        <v>5.75342465753425</v>
      </c>
      <c r="Y380">
        <f>SUM($X$148:X380)</f>
        <v>2938.52890410958</v>
      </c>
      <c r="Z380">
        <v>-100</v>
      </c>
      <c r="AA380">
        <v>100</v>
      </c>
      <c r="AB380">
        <f>Z380*Return!F384*100</f>
        <v>-93.9999999999985</v>
      </c>
      <c r="AC380">
        <f>AA380*Return!G384*100</f>
        <v>22.9999999999997</v>
      </c>
      <c r="AD380">
        <f>SUM($AB$148:AB380)+SUM($AC$148:AC380)</f>
        <v>2221.7</v>
      </c>
      <c r="AE380">
        <f t="shared" si="68"/>
        <v>19292.0010958904</v>
      </c>
      <c r="AF380">
        <f t="shared" si="69"/>
        <v>1.03858400219178</v>
      </c>
      <c r="AG380" s="5">
        <f>(AF380/AF379-1)-中国_中债国债到期收益率_1年!H380%/252</f>
        <v>-4.44569746948046e-5</v>
      </c>
      <c r="AH380" s="5">
        <f>MIN((AF380-MAX($AF$151:AF380))/MAX($AF$151:AF380),0)</f>
        <v>-0.000447766556968675</v>
      </c>
    </row>
    <row r="381" spans="1:34">
      <c r="A381" s="7">
        <v>45265</v>
      </c>
      <c r="B381">
        <v>10</v>
      </c>
      <c r="C381">
        <v>20</v>
      </c>
      <c r="D381">
        <v>20</v>
      </c>
      <c r="E381">
        <v>10</v>
      </c>
      <c r="F381">
        <f t="shared" si="66"/>
        <v>60</v>
      </c>
      <c r="G381">
        <f t="shared" si="76"/>
        <v>10</v>
      </c>
      <c r="H381">
        <f t="shared" si="77"/>
        <v>100</v>
      </c>
      <c r="I381">
        <f t="shared" si="78"/>
        <v>180</v>
      </c>
      <c r="J381">
        <f t="shared" si="79"/>
        <v>160</v>
      </c>
      <c r="K381">
        <f t="shared" si="67"/>
        <v>450</v>
      </c>
      <c r="L381">
        <f>G381*Return!B381*100</f>
        <v>-32.9999999999999</v>
      </c>
      <c r="M381">
        <f>H381*Return!C381*100</f>
        <v>-255.000000000001</v>
      </c>
      <c r="N381">
        <f>I381*Return!D381*100</f>
        <v>-179.999999999996</v>
      </c>
      <c r="O381">
        <f>J381*Return!E381*100</f>
        <v>-147.199999999998</v>
      </c>
      <c r="P381">
        <f t="shared" si="80"/>
        <v>-615.199999999995</v>
      </c>
      <c r="Q381">
        <f>SUM($P$148:P381)</f>
        <v>8702.6</v>
      </c>
      <c r="R381">
        <f>B381*中国_中债国债到期收益率_1年!B380/365*100</f>
        <v>6.51205479452055</v>
      </c>
      <c r="S381">
        <f>C381*中国_中债国债到期收益率_1年!C380/365*100</f>
        <v>14.2027397260274</v>
      </c>
      <c r="T381">
        <f>D381*中国_中债国债到期收益率_1年!D380/365*100</f>
        <v>14.6438356164384</v>
      </c>
      <c r="U381">
        <f>E381*中国_中债国债到期收益率_1年!E380/365*100</f>
        <v>8.09232876712329</v>
      </c>
      <c r="V381">
        <f t="shared" si="81"/>
        <v>43.4509589041096</v>
      </c>
      <c r="W381">
        <f>SUM($V$148:V381)</f>
        <v>10734.4809589041</v>
      </c>
      <c r="X381">
        <f>MAX(F381-50,0)*中国_中债国债到期收益率_1年!H381*100/365</f>
        <v>6.16438356164384</v>
      </c>
      <c r="Y381">
        <f>SUM($X$148:X381)</f>
        <v>2944.69328767123</v>
      </c>
      <c r="Z381">
        <v>-100</v>
      </c>
      <c r="AA381">
        <v>100</v>
      </c>
      <c r="AB381">
        <f>Z381*Return!F385*100</f>
        <v>-154.000000000001</v>
      </c>
      <c r="AC381">
        <f>AA381*Return!G385*100</f>
        <v>141</v>
      </c>
      <c r="AD381">
        <f>SUM($AB$148:AB381)+SUM($AC$148:AC381)</f>
        <v>2208.7</v>
      </c>
      <c r="AE381">
        <f t="shared" si="68"/>
        <v>18701.0876712329</v>
      </c>
      <c r="AF381">
        <f t="shared" si="69"/>
        <v>1.03740217534247</v>
      </c>
      <c r="AG381" s="5">
        <f>(AF381/AF380-1)-中国_中债国债到期收益率_1年!H381%/252</f>
        <v>-0.00122720700598747</v>
      </c>
      <c r="AH381" s="5">
        <f>MIN((AF381-MAX($AF$151:AF381))/MAX($AF$151:AF381),0)</f>
        <v>-0.00158517832557159</v>
      </c>
    </row>
    <row r="382" spans="1:34">
      <c r="A382" s="7">
        <v>45266</v>
      </c>
      <c r="B382">
        <v>10</v>
      </c>
      <c r="C382">
        <v>20</v>
      </c>
      <c r="D382">
        <v>20</v>
      </c>
      <c r="E382">
        <v>10</v>
      </c>
      <c r="F382">
        <f t="shared" si="66"/>
        <v>60</v>
      </c>
      <c r="G382">
        <f t="shared" si="76"/>
        <v>10</v>
      </c>
      <c r="H382">
        <f t="shared" si="77"/>
        <v>100</v>
      </c>
      <c r="I382">
        <f t="shared" si="78"/>
        <v>180</v>
      </c>
      <c r="J382">
        <f t="shared" si="79"/>
        <v>160</v>
      </c>
      <c r="K382">
        <f t="shared" si="67"/>
        <v>450</v>
      </c>
      <c r="L382">
        <f>G382*Return!B382*100</f>
        <v>-4.79999999999992</v>
      </c>
      <c r="M382">
        <f>H382*Return!C382*100</f>
        <v>77.0000000000026</v>
      </c>
      <c r="N382">
        <f>I382*Return!D382*100</f>
        <v>134.999999999997</v>
      </c>
      <c r="O382">
        <f>J382*Return!E382*100</f>
        <v>79.9999999999983</v>
      </c>
      <c r="P382">
        <f t="shared" si="80"/>
        <v>287.199999999998</v>
      </c>
      <c r="Q382">
        <f>SUM($P$148:P382)</f>
        <v>8989.8</v>
      </c>
      <c r="R382">
        <f>B382*中国_中债国债到期收益率_1年!B381/365*100</f>
        <v>6.52520547945205</v>
      </c>
      <c r="S382">
        <f>C382*中国_中债国债到期收益率_1年!C381/365*100</f>
        <v>14.1605479452055</v>
      </c>
      <c r="T382">
        <f>D382*中国_中债国债到期收益率_1年!D381/365*100</f>
        <v>14.6027397260274</v>
      </c>
      <c r="U382">
        <f>E382*中国_中债国债到期收益率_1年!E381/365*100</f>
        <v>8.0786301369863</v>
      </c>
      <c r="V382">
        <f t="shared" si="81"/>
        <v>43.3671232876712</v>
      </c>
      <c r="W382">
        <f>SUM($V$148:V382)</f>
        <v>10777.8480821918</v>
      </c>
      <c r="X382">
        <f>MAX(F382-50,0)*中国_中债国债到期收益率_1年!H382*100/365</f>
        <v>6.16438356164384</v>
      </c>
      <c r="Y382">
        <f>SUM($X$148:X382)</f>
        <v>2950.85767123287</v>
      </c>
      <c r="Z382">
        <v>-100</v>
      </c>
      <c r="AA382">
        <v>100</v>
      </c>
      <c r="AB382">
        <f>Z382*Return!F386*100</f>
        <v>-17.0000000000003</v>
      </c>
      <c r="AC382">
        <f>AA382*Return!G386*100</f>
        <v>299</v>
      </c>
      <c r="AD382">
        <f>SUM($AB$148:AB382)+SUM($AC$148:AC382)</f>
        <v>2490.7</v>
      </c>
      <c r="AE382">
        <f t="shared" si="68"/>
        <v>19307.4904109589</v>
      </c>
      <c r="AF382">
        <f t="shared" si="69"/>
        <v>1.03861498082192</v>
      </c>
      <c r="AG382" s="5">
        <f>(AF382/AF381-1)-中国_中债国债到期收益率_1年!H382%/252</f>
        <v>0.00107979365365715</v>
      </c>
      <c r="AH382" s="5">
        <f>MIN((AF382-MAX($AF$151:AF382))/MAX($AF$151:AF382),0)</f>
        <v>-0.000417952156903566</v>
      </c>
    </row>
    <row r="383" spans="1:34">
      <c r="A383" s="7">
        <v>45267</v>
      </c>
      <c r="B383">
        <v>10</v>
      </c>
      <c r="C383">
        <v>20</v>
      </c>
      <c r="D383">
        <v>20</v>
      </c>
      <c r="E383">
        <v>10</v>
      </c>
      <c r="F383">
        <f t="shared" si="66"/>
        <v>60</v>
      </c>
      <c r="G383">
        <f t="shared" si="76"/>
        <v>10</v>
      </c>
      <c r="H383">
        <f t="shared" si="77"/>
        <v>100</v>
      </c>
      <c r="I383">
        <f t="shared" si="78"/>
        <v>180</v>
      </c>
      <c r="J383">
        <f t="shared" si="79"/>
        <v>160</v>
      </c>
      <c r="K383">
        <f t="shared" si="67"/>
        <v>450</v>
      </c>
      <c r="L383">
        <f>G383*Return!B383*100</f>
        <v>-15.4000000000001</v>
      </c>
      <c r="M383">
        <f>H383*Return!C383*100</f>
        <v>-109.000000000004</v>
      </c>
      <c r="N383">
        <f>I383*Return!D383*100</f>
        <v>-134.999999999997</v>
      </c>
      <c r="O383">
        <f>J383*Return!E383*100</f>
        <v>-48.0000000000018</v>
      </c>
      <c r="P383">
        <f t="shared" si="80"/>
        <v>-307.400000000003</v>
      </c>
      <c r="Q383">
        <f>SUM($P$148:P383)</f>
        <v>8682.39999999999</v>
      </c>
      <c r="R383">
        <f>B383*中国_中债国债到期收益率_1年!B382/365*100</f>
        <v>6.56739726027397</v>
      </c>
      <c r="S383">
        <f>C383*中国_中债国债到期收益率_1年!C382/365*100</f>
        <v>14.2202739726027</v>
      </c>
      <c r="T383">
        <f>D383*中国_中债国债到期收益率_1年!D382/365*100</f>
        <v>14.6438356164384</v>
      </c>
      <c r="U383">
        <f>E383*中国_中债国债到期收益率_1年!E382/365*100</f>
        <v>8.08684931506849</v>
      </c>
      <c r="V383">
        <f t="shared" si="81"/>
        <v>43.5183561643836</v>
      </c>
      <c r="W383">
        <f>SUM($V$148:V383)</f>
        <v>10821.3664383562</v>
      </c>
      <c r="X383">
        <f>MAX(F383-50,0)*中国_中债国债到期收益率_1年!H383*100/365</f>
        <v>6.16438356164384</v>
      </c>
      <c r="Y383">
        <f>SUM($X$148:X383)</f>
        <v>2957.02205479452</v>
      </c>
      <c r="Z383">
        <v>-100</v>
      </c>
      <c r="AA383">
        <v>100</v>
      </c>
      <c r="AB383">
        <f>Z383*Return!F387*100</f>
        <v>-36.9999999999981</v>
      </c>
      <c r="AC383">
        <f>AA383*Return!G387*100</f>
        <v>33.9999999999963</v>
      </c>
      <c r="AD383">
        <f>SUM($AB$148:AB383)+SUM($AC$148:AC383)</f>
        <v>2487.7</v>
      </c>
      <c r="AE383">
        <f t="shared" si="68"/>
        <v>19034.4443835616</v>
      </c>
      <c r="AF383">
        <f t="shared" si="69"/>
        <v>1.03806888876712</v>
      </c>
      <c r="AG383" s="5">
        <f>(AF383/AF382-1)-中国_中债国债到期收益率_1年!H383%/252</f>
        <v>-0.000615074447240882</v>
      </c>
      <c r="AH383" s="5">
        <f>MIN((AF383-MAX($AF$151:AF383))/MAX($AF$151:AF383),0)</f>
        <v>-0.000943521135323718</v>
      </c>
    </row>
    <row r="384" spans="1:34">
      <c r="A384" s="7">
        <v>45268</v>
      </c>
      <c r="B384">
        <v>10</v>
      </c>
      <c r="C384">
        <v>20</v>
      </c>
      <c r="D384">
        <v>20</v>
      </c>
      <c r="E384">
        <v>10</v>
      </c>
      <c r="F384">
        <f t="shared" si="66"/>
        <v>60</v>
      </c>
      <c r="G384">
        <f t="shared" si="76"/>
        <v>10</v>
      </c>
      <c r="H384">
        <f t="shared" si="77"/>
        <v>100</v>
      </c>
      <c r="I384">
        <f t="shared" si="78"/>
        <v>180</v>
      </c>
      <c r="J384">
        <f t="shared" si="79"/>
        <v>160</v>
      </c>
      <c r="K384">
        <f t="shared" si="67"/>
        <v>450</v>
      </c>
      <c r="L384">
        <f>G384*Return!B384*100</f>
        <v>15.4999999999998</v>
      </c>
      <c r="M384">
        <f>H384*Return!C384*100</f>
        <v>308.000000000002</v>
      </c>
      <c r="N384">
        <f>I384*Return!D384*100</f>
        <v>152.999999999995</v>
      </c>
      <c r="O384">
        <f>J384*Return!E384*100</f>
        <v>96.0000000000036</v>
      </c>
      <c r="P384">
        <f t="shared" si="80"/>
        <v>572.5</v>
      </c>
      <c r="Q384">
        <f>SUM($P$148:P384)</f>
        <v>9254.89999999999</v>
      </c>
      <c r="R384">
        <f>B384*中国_中债国债到期收益率_1年!B383/365*100</f>
        <v>6.52493150684932</v>
      </c>
      <c r="S384">
        <f>C384*中国_中债国债到期收益率_1年!C383/365*100</f>
        <v>14.0515068493151</v>
      </c>
      <c r="T384">
        <f>D384*中国_中债国债到期收益率_1年!D383/365*100</f>
        <v>14.5972602739726</v>
      </c>
      <c r="U384">
        <f>E384*中国_中债国债到期收益率_1年!E383/365*100</f>
        <v>8.07041095890411</v>
      </c>
      <c r="V384">
        <f t="shared" si="81"/>
        <v>43.2441095890411</v>
      </c>
      <c r="W384">
        <f>SUM($V$148:V384)</f>
        <v>10864.6105479452</v>
      </c>
      <c r="X384">
        <f>MAX(F384-50,0)*中国_中债国债到期收益率_1年!H384*100/365</f>
        <v>6.3013698630137</v>
      </c>
      <c r="Y384">
        <f>SUM($X$148:X384)</f>
        <v>2963.32342465753</v>
      </c>
      <c r="Z384">
        <v>-100</v>
      </c>
      <c r="AA384">
        <v>100</v>
      </c>
      <c r="AB384">
        <f>Z384*Return!F388*100</f>
        <v>-393.000000000003</v>
      </c>
      <c r="AC384">
        <f>AA384*Return!G388*100</f>
        <v>291.000000000001</v>
      </c>
      <c r="AD384">
        <f>SUM($AB$148:AB384)+SUM($AC$148:AC384)</f>
        <v>2385.7</v>
      </c>
      <c r="AE384">
        <f t="shared" si="68"/>
        <v>19541.8871232877</v>
      </c>
      <c r="AF384">
        <f t="shared" si="69"/>
        <v>1.03908377424658</v>
      </c>
      <c r="AG384" s="5">
        <f>(AF384/AF383-1)-中国_中债国债到期收益率_1年!H384%/252</f>
        <v>0.000886396949859365</v>
      </c>
      <c r="AH384" s="5">
        <f>MIN((AF384-MAX($AF$151:AF384))/MAX($AF$151:AF384),0)</f>
        <v>0</v>
      </c>
    </row>
    <row r="385" spans="1:34">
      <c r="A385" s="7">
        <v>45271</v>
      </c>
      <c r="C385">
        <v>20</v>
      </c>
      <c r="D385">
        <v>20</v>
      </c>
      <c r="E385">
        <v>10</v>
      </c>
      <c r="F385">
        <f t="shared" si="66"/>
        <v>50</v>
      </c>
      <c r="G385">
        <f t="shared" si="76"/>
        <v>0</v>
      </c>
      <c r="H385">
        <f t="shared" si="77"/>
        <v>100</v>
      </c>
      <c r="I385">
        <f t="shared" si="78"/>
        <v>180</v>
      </c>
      <c r="J385">
        <f t="shared" si="79"/>
        <v>160</v>
      </c>
      <c r="K385">
        <f t="shared" si="67"/>
        <v>440</v>
      </c>
      <c r="L385">
        <f>G385*Return!B385*100</f>
        <v>0</v>
      </c>
      <c r="M385">
        <f>H385*Return!C385*100</f>
        <v>74.0000000000007</v>
      </c>
      <c r="N385">
        <f>I385*Return!D385*100</f>
        <v>7.19999999999921</v>
      </c>
      <c r="O385">
        <f>J385*Return!E385*100</f>
        <v>46.3999999999984</v>
      </c>
      <c r="P385">
        <f t="shared" si="80"/>
        <v>127.599999999998</v>
      </c>
      <c r="Q385">
        <f>SUM($P$148:P385)</f>
        <v>9382.49999999999</v>
      </c>
      <c r="R385">
        <f>B385*中国_中债国债到期收益率_1年!B384/365*100</f>
        <v>0</v>
      </c>
      <c r="S385">
        <f>C385*中国_中债国债到期收益率_1年!C384/365*100</f>
        <v>14.0109589041096</v>
      </c>
      <c r="T385">
        <f>D385*中国_中债国债到期收益率_1年!D384/365*100</f>
        <v>14.5950684931507</v>
      </c>
      <c r="U385">
        <f>E385*中国_中债国债到期收益率_1年!E384/365*100</f>
        <v>8.06246575342466</v>
      </c>
      <c r="V385">
        <f t="shared" si="81"/>
        <v>36.6684931506849</v>
      </c>
      <c r="W385">
        <f>SUM($V$148:V385)</f>
        <v>10901.2790410959</v>
      </c>
      <c r="X385">
        <f>MAX(F385-50,0)*中国_中债国债到期收益率_1年!H385*100/365</f>
        <v>0</v>
      </c>
      <c r="Y385">
        <f>SUM($X$148:X385)</f>
        <v>2963.32342465753</v>
      </c>
      <c r="Z385">
        <v>-100</v>
      </c>
      <c r="AA385">
        <v>100</v>
      </c>
      <c r="AB385">
        <f>Z385*Return!F389*100</f>
        <v>-284.999999999997</v>
      </c>
      <c r="AC385">
        <f>AA385*Return!G389*100</f>
        <v>164</v>
      </c>
      <c r="AD385">
        <f>SUM($AB$148:AB385)+SUM($AC$148:AC385)</f>
        <v>2264.7</v>
      </c>
      <c r="AE385">
        <f t="shared" si="68"/>
        <v>19585.1556164384</v>
      </c>
      <c r="AF385">
        <f t="shared" si="69"/>
        <v>1.03917031123288</v>
      </c>
      <c r="AG385" s="5">
        <f>(AF385/AF384-1)-中国_中债国债到期收益率_1年!H385%/252</f>
        <v>-9.97195726868216e-6</v>
      </c>
      <c r="AH385" s="5">
        <f>MIN((AF385-MAX($AF$151:AF385))/MAX($AF$151:AF385),0)</f>
        <v>0</v>
      </c>
    </row>
    <row r="386" spans="1:34">
      <c r="A386" s="7">
        <v>45272</v>
      </c>
      <c r="C386">
        <v>20</v>
      </c>
      <c r="D386">
        <v>20</v>
      </c>
      <c r="E386">
        <v>10</v>
      </c>
      <c r="F386">
        <f t="shared" si="66"/>
        <v>50</v>
      </c>
      <c r="G386">
        <f t="shared" si="76"/>
        <v>0</v>
      </c>
      <c r="H386">
        <f t="shared" si="77"/>
        <v>100</v>
      </c>
      <c r="I386">
        <f t="shared" si="78"/>
        <v>180</v>
      </c>
      <c r="J386">
        <f t="shared" si="79"/>
        <v>160</v>
      </c>
      <c r="K386">
        <f t="shared" si="67"/>
        <v>440</v>
      </c>
      <c r="L386">
        <f>G386*Return!B386*100</f>
        <v>0</v>
      </c>
      <c r="M386">
        <f>H386*Return!C386*100</f>
        <v>143</v>
      </c>
      <c r="N386">
        <f>I386*Return!D386*100</f>
        <v>352.800000000001</v>
      </c>
      <c r="O386">
        <f>J386*Return!E386*100</f>
        <v>224.000000000004</v>
      </c>
      <c r="P386">
        <f t="shared" si="80"/>
        <v>719.800000000005</v>
      </c>
      <c r="Q386">
        <f>SUM($P$148:P386)</f>
        <v>10102.3</v>
      </c>
      <c r="R386">
        <f>B386*中国_中债国债到期收益率_1年!B385/365*100</f>
        <v>0</v>
      </c>
      <c r="S386">
        <f>C386*中国_中债国债到期收益率_1年!C385/365*100</f>
        <v>13.932602739726</v>
      </c>
      <c r="T386">
        <f>D386*中国_中债国债到期收益率_1年!D385/365*100</f>
        <v>14.4876712328767</v>
      </c>
      <c r="U386">
        <f>E386*中国_中债国债到期收益率_1年!E385/365*100</f>
        <v>8.0241095890411</v>
      </c>
      <c r="V386">
        <f t="shared" si="81"/>
        <v>36.4443835616438</v>
      </c>
      <c r="W386">
        <f>SUM($V$148:V386)</f>
        <v>10937.7234246575</v>
      </c>
      <c r="X386">
        <f>MAX(F386-50,0)*中国_中债国债到期收益率_1年!H386*100/365</f>
        <v>0</v>
      </c>
      <c r="Y386">
        <f>SUM($X$148:X386)</f>
        <v>2963.32342465753</v>
      </c>
      <c r="Z386">
        <v>-100</v>
      </c>
      <c r="AA386">
        <v>100</v>
      </c>
      <c r="AB386">
        <f>Z386*Return!F390*100</f>
        <v>-159.000000000002</v>
      </c>
      <c r="AC386">
        <f>AA386*Return!G390*100</f>
        <v>30.0000000000011</v>
      </c>
      <c r="AD386">
        <f>SUM($AB$148:AB386)+SUM($AC$148:AC386)</f>
        <v>2135.7</v>
      </c>
      <c r="AE386">
        <f t="shared" si="68"/>
        <v>20212.4</v>
      </c>
      <c r="AF386">
        <f t="shared" si="69"/>
        <v>1.0404248</v>
      </c>
      <c r="AG386" s="5">
        <f>(AF386/AF385-1)-中国_中债国债到期收益率_1年!H386%/252</f>
        <v>0.0011119641829283</v>
      </c>
      <c r="AH386" s="5">
        <f>MIN((AF386-MAX($AF$151:AF386))/MAX($AF$151:AF386),0)</f>
        <v>0</v>
      </c>
    </row>
    <row r="387" spans="1:34">
      <c r="A387" s="7">
        <v>45273</v>
      </c>
      <c r="C387">
        <v>20</v>
      </c>
      <c r="D387">
        <v>20</v>
      </c>
      <c r="E387">
        <v>10</v>
      </c>
      <c r="F387">
        <f t="shared" ref="F387:F450" si="82">SUM(B387:E387)</f>
        <v>50</v>
      </c>
      <c r="G387">
        <f t="shared" si="76"/>
        <v>0</v>
      </c>
      <c r="H387">
        <f t="shared" si="77"/>
        <v>100</v>
      </c>
      <c r="I387">
        <f t="shared" si="78"/>
        <v>180</v>
      </c>
      <c r="J387">
        <f t="shared" si="79"/>
        <v>160</v>
      </c>
      <c r="K387">
        <f t="shared" ref="K387:K413" si="83">SUM(G387:J387)</f>
        <v>440</v>
      </c>
      <c r="L387">
        <f>G387*Return!B387*100</f>
        <v>0</v>
      </c>
      <c r="M387">
        <f>H387*Return!C387*100</f>
        <v>85.0000000000017</v>
      </c>
      <c r="N387">
        <f>I387*Return!D387*100</f>
        <v>116.999999999999</v>
      </c>
      <c r="O387">
        <f>J387*Return!E387*100</f>
        <v>-8.00000000000267</v>
      </c>
      <c r="P387">
        <f t="shared" si="80"/>
        <v>193.999999999998</v>
      </c>
      <c r="Q387">
        <f>SUM($P$148:P387)</f>
        <v>10296.3</v>
      </c>
      <c r="R387">
        <f>B387*中国_中债国债到期收益率_1年!B386/365*100</f>
        <v>0</v>
      </c>
      <c r="S387">
        <f>C387*中国_中债国债到期收益率_1年!C386/365*100</f>
        <v>13.8860273972603</v>
      </c>
      <c r="T387">
        <f>D387*中国_中债国债到期收益率_1年!D386/365*100</f>
        <v>14.4520547945205</v>
      </c>
      <c r="U387">
        <f>E387*中国_中债国债到期收益率_1年!E386/365*100</f>
        <v>8.02547945205479</v>
      </c>
      <c r="V387">
        <f t="shared" si="81"/>
        <v>36.3635616438356</v>
      </c>
      <c r="W387">
        <f>SUM($V$148:V387)</f>
        <v>10974.0869863014</v>
      </c>
      <c r="X387">
        <f>MAX(F387-50,0)*中国_中债国债到期收益率_1年!H387*100/365</f>
        <v>0</v>
      </c>
      <c r="Y387">
        <f>SUM($X$148:X387)</f>
        <v>2963.32342465753</v>
      </c>
      <c r="Z387">
        <v>-100</v>
      </c>
      <c r="AA387">
        <v>100</v>
      </c>
      <c r="AB387">
        <f>Z387*Return!F391*100</f>
        <v>123.000000000002</v>
      </c>
      <c r="AC387">
        <f>AA387*Return!G391*100</f>
        <v>83.9999999999996</v>
      </c>
      <c r="AD387">
        <f>SUM($AB$148:AB387)+SUM($AC$148:AC387)</f>
        <v>2342.7</v>
      </c>
      <c r="AE387">
        <f t="shared" si="68"/>
        <v>20649.7635616438</v>
      </c>
      <c r="AF387">
        <f t="shared" si="69"/>
        <v>1.04129952712329</v>
      </c>
      <c r="AG387" s="5">
        <f>(AF387/AF386-1)-中国_中债国债到期收益率_1年!H387%/252</f>
        <v>0.000751454648004379</v>
      </c>
      <c r="AH387" s="5">
        <f>MIN((AF387-MAX($AF$151:AF387))/MAX($AF$151:AF387),0)</f>
        <v>0</v>
      </c>
    </row>
    <row r="388" spans="1:34">
      <c r="A388" s="7">
        <v>45274</v>
      </c>
      <c r="C388">
        <v>20</v>
      </c>
      <c r="D388">
        <v>20</v>
      </c>
      <c r="E388">
        <v>10</v>
      </c>
      <c r="F388">
        <f t="shared" si="82"/>
        <v>50</v>
      </c>
      <c r="G388">
        <f t="shared" si="76"/>
        <v>0</v>
      </c>
      <c r="H388">
        <f t="shared" si="77"/>
        <v>100</v>
      </c>
      <c r="I388">
        <f t="shared" si="78"/>
        <v>180</v>
      </c>
      <c r="J388">
        <f t="shared" si="79"/>
        <v>160</v>
      </c>
      <c r="K388">
        <f t="shared" si="83"/>
        <v>440</v>
      </c>
      <c r="L388">
        <f>G388*Return!B388*100</f>
        <v>0</v>
      </c>
      <c r="M388">
        <f>H388*Return!C388*100</f>
        <v>206</v>
      </c>
      <c r="N388">
        <f>I388*Return!D388*100</f>
        <v>268.200000000006</v>
      </c>
      <c r="O388">
        <f>J388*Return!E388*100</f>
        <v>231.999999999999</v>
      </c>
      <c r="P388">
        <f t="shared" si="80"/>
        <v>706.200000000005</v>
      </c>
      <c r="Q388">
        <f>SUM($P$148:P388)</f>
        <v>11002.5</v>
      </c>
      <c r="R388">
        <f>B388*中国_中债国债到期收益率_1年!B387/365*100</f>
        <v>0</v>
      </c>
      <c r="S388">
        <f>C388*中国_中债国债到期收益率_1年!C387/365*100</f>
        <v>13.7731506849315</v>
      </c>
      <c r="T388">
        <f>D388*中国_中债国债到期收益率_1年!D387/365*100</f>
        <v>14.3704109589041</v>
      </c>
      <c r="U388">
        <f>E388*中国_中债国债到期收益率_1年!E387/365*100</f>
        <v>7.98575342465753</v>
      </c>
      <c r="V388">
        <f t="shared" si="81"/>
        <v>36.1293150684931</v>
      </c>
      <c r="W388">
        <f>SUM($V$148:V388)</f>
        <v>11010.2163013699</v>
      </c>
      <c r="X388">
        <f>MAX(F388-50,0)*中国_中债国债到期收益率_1年!H388*100/365</f>
        <v>0</v>
      </c>
      <c r="Y388">
        <f>SUM($X$148:X388)</f>
        <v>2963.32342465753</v>
      </c>
      <c r="Z388">
        <v>-100</v>
      </c>
      <c r="AA388">
        <v>100</v>
      </c>
      <c r="AB388">
        <f>Z388*Return!F392*100</f>
        <v>103.999999999997</v>
      </c>
      <c r="AC388">
        <f>AA388*Return!G392*100</f>
        <v>-11.000000000001</v>
      </c>
      <c r="AD388">
        <f>SUM($AB$148:AB388)+SUM($AC$148:AC388)</f>
        <v>2435.7</v>
      </c>
      <c r="AE388">
        <f t="shared" ref="AE388:AE451" si="84">Q388+W388+AD388-Y388</f>
        <v>21485.0928767123</v>
      </c>
      <c r="AF388">
        <f t="shared" ref="AF388:AF451" si="85">AE388/$AI$1+1</f>
        <v>1.04297018575342</v>
      </c>
      <c r="AG388" s="5">
        <f>(AF388/AF387-1)-中国_中债国债到期收益率_1年!H388%/252</f>
        <v>0.00151511204699281</v>
      </c>
      <c r="AH388" s="5">
        <f>MIN((AF388-MAX($AF$151:AF388))/MAX($AF$151:AF388),0)</f>
        <v>0</v>
      </c>
    </row>
    <row r="389" spans="1:34">
      <c r="A389" s="7">
        <v>45275</v>
      </c>
      <c r="C389">
        <v>20</v>
      </c>
      <c r="D389">
        <v>20</v>
      </c>
      <c r="E389">
        <v>10</v>
      </c>
      <c r="F389">
        <f t="shared" si="82"/>
        <v>50</v>
      </c>
      <c r="G389">
        <f t="shared" si="76"/>
        <v>0</v>
      </c>
      <c r="H389">
        <f t="shared" si="77"/>
        <v>100</v>
      </c>
      <c r="I389">
        <f t="shared" si="78"/>
        <v>180</v>
      </c>
      <c r="J389">
        <f t="shared" si="79"/>
        <v>160</v>
      </c>
      <c r="K389">
        <f t="shared" si="83"/>
        <v>440</v>
      </c>
      <c r="L389">
        <f>G389*Return!B389*100</f>
        <v>0</v>
      </c>
      <c r="M389">
        <f>H389*Return!C389*100</f>
        <v>-52.0000000000032</v>
      </c>
      <c r="N389">
        <f>I389*Return!D389*100</f>
        <v>-270.000000000002</v>
      </c>
      <c r="O389">
        <f>J389*Return!E389*100</f>
        <v>-113.599999999998</v>
      </c>
      <c r="P389">
        <f t="shared" si="80"/>
        <v>-435.600000000003</v>
      </c>
      <c r="Q389">
        <f>SUM($P$148:P389)</f>
        <v>10566.9</v>
      </c>
      <c r="R389">
        <f>B389*中国_中债国债到期收益率_1年!B388/365*100</f>
        <v>0</v>
      </c>
      <c r="S389">
        <f>C389*中国_中债国债到期收益率_1年!C388/365*100</f>
        <v>13.8016438356164</v>
      </c>
      <c r="T389">
        <f>D389*中国_中债国债到期收益率_1年!D388/365*100</f>
        <v>14.452602739726</v>
      </c>
      <c r="U389">
        <f>E389*中国_中债国债到期收益率_1年!E388/365*100</f>
        <v>8.00520547945206</v>
      </c>
      <c r="V389">
        <f t="shared" si="81"/>
        <v>36.2594520547945</v>
      </c>
      <c r="W389">
        <f>SUM($V$148:V389)</f>
        <v>11046.4757534247</v>
      </c>
      <c r="X389">
        <f>MAX(F389-50,0)*中国_中债国债到期收益率_1年!H389*100/365</f>
        <v>0</v>
      </c>
      <c r="Y389">
        <f>SUM($X$148:X389)</f>
        <v>2963.32342465753</v>
      </c>
      <c r="Z389">
        <v>-100</v>
      </c>
      <c r="AA389">
        <v>100</v>
      </c>
      <c r="AB389">
        <f>Z389*Return!F393*100</f>
        <v>-1.99999999999978</v>
      </c>
      <c r="AC389">
        <f>AA389*Return!G393*100</f>
        <v>1.99999999999978</v>
      </c>
      <c r="AD389">
        <f>SUM($AB$148:AB389)+SUM($AC$148:AC389)</f>
        <v>2435.7</v>
      </c>
      <c r="AE389">
        <f t="shared" si="84"/>
        <v>21085.7523287671</v>
      </c>
      <c r="AF389">
        <f t="shared" si="85"/>
        <v>1.04217150465753</v>
      </c>
      <c r="AG389" s="5">
        <f>(AF389/AF388-1)-中国_中债国债到期收益率_1年!H389%/252</f>
        <v>-0.000853077164398704</v>
      </c>
      <c r="AH389" s="5">
        <f>MIN((AF389-MAX($AF$151:AF389))/MAX($AF$151:AF389),0)</f>
        <v>-0.00076577557709713</v>
      </c>
    </row>
    <row r="390" spans="1:34">
      <c r="A390" s="7">
        <v>45278</v>
      </c>
      <c r="C390">
        <v>20</v>
      </c>
      <c r="D390">
        <v>20</v>
      </c>
      <c r="E390">
        <v>10</v>
      </c>
      <c r="F390">
        <f t="shared" si="82"/>
        <v>50</v>
      </c>
      <c r="G390">
        <f t="shared" si="76"/>
        <v>0</v>
      </c>
      <c r="H390">
        <f t="shared" si="77"/>
        <v>100</v>
      </c>
      <c r="I390">
        <f t="shared" si="78"/>
        <v>180</v>
      </c>
      <c r="J390">
        <f t="shared" si="79"/>
        <v>160</v>
      </c>
      <c r="K390">
        <f t="shared" si="83"/>
        <v>440</v>
      </c>
      <c r="L390">
        <f>G390*Return!B390*100</f>
        <v>0</v>
      </c>
      <c r="M390">
        <f>H390*Return!C390*100</f>
        <v>272.000000000001</v>
      </c>
      <c r="N390">
        <f>I390*Return!D390*100</f>
        <v>268.199999999998</v>
      </c>
      <c r="O390">
        <f>J390*Return!E390*100</f>
        <v>287.999999999997</v>
      </c>
      <c r="P390">
        <f t="shared" si="80"/>
        <v>828.199999999996</v>
      </c>
      <c r="Q390">
        <f>SUM($P$148:P390)</f>
        <v>11395.1</v>
      </c>
      <c r="R390">
        <f>B390*中国_中债国债到期收益率_1年!B389/365*100</f>
        <v>0</v>
      </c>
      <c r="S390">
        <f>C390*中国_中债国债到期收益率_1年!C389/365*100</f>
        <v>13.652602739726</v>
      </c>
      <c r="T390">
        <f>D390*中国_中债国债到期收益率_1年!D389/365*100</f>
        <v>14.3709589041096</v>
      </c>
      <c r="U390">
        <f>E390*中国_中债国债到期收益率_1年!E389/365*100</f>
        <v>7.9558904109589</v>
      </c>
      <c r="V390">
        <f t="shared" si="81"/>
        <v>35.9794520547945</v>
      </c>
      <c r="W390">
        <f>SUM($V$148:V390)</f>
        <v>11082.4552054795</v>
      </c>
      <c r="X390">
        <f>MAX(F390-50,0)*中国_中债国债到期收益率_1年!H390*100/365</f>
        <v>0</v>
      </c>
      <c r="Y390">
        <f>SUM($X$148:X390)</f>
        <v>2963.32342465753</v>
      </c>
      <c r="Z390">
        <v>-100</v>
      </c>
      <c r="AA390">
        <v>100</v>
      </c>
      <c r="AB390">
        <f>Z390*Return!F394*100</f>
        <v>28.0000000000014</v>
      </c>
      <c r="AC390">
        <f>AA390*Return!G394*100</f>
        <v>17.0000000000003</v>
      </c>
      <c r="AD390">
        <f>SUM($AB$148:AB390)+SUM($AC$148:AC390)</f>
        <v>2480.7</v>
      </c>
      <c r="AE390">
        <f t="shared" si="84"/>
        <v>21994.9317808219</v>
      </c>
      <c r="AF390">
        <f t="shared" si="85"/>
        <v>1.04398986356164</v>
      </c>
      <c r="AG390" s="5">
        <f>(AF390/AF389-1)-中国_中债国债到期收益率_1年!H390%/252</f>
        <v>0.00165747736317184</v>
      </c>
      <c r="AH390" s="5">
        <f>MIN((AF390-MAX($AF$151:AF390))/MAX($AF$151:AF390),0)</f>
        <v>0</v>
      </c>
    </row>
    <row r="391" spans="1:34">
      <c r="A391" s="7">
        <v>45279</v>
      </c>
      <c r="C391">
        <v>20</v>
      </c>
      <c r="D391">
        <v>20</v>
      </c>
      <c r="E391">
        <v>10</v>
      </c>
      <c r="F391">
        <f t="shared" si="82"/>
        <v>50</v>
      </c>
      <c r="G391">
        <f t="shared" si="76"/>
        <v>0</v>
      </c>
      <c r="H391">
        <f t="shared" si="77"/>
        <v>100</v>
      </c>
      <c r="I391">
        <f t="shared" si="78"/>
        <v>180</v>
      </c>
      <c r="J391">
        <f t="shared" si="79"/>
        <v>160</v>
      </c>
      <c r="K391">
        <f t="shared" si="83"/>
        <v>440</v>
      </c>
      <c r="L391">
        <f>G391*Return!B391*100</f>
        <v>0</v>
      </c>
      <c r="M391">
        <f>H391*Return!C391*100</f>
        <v>49.0000000000013</v>
      </c>
      <c r="N391">
        <f>I391*Return!D391*100</f>
        <v>181.8</v>
      </c>
      <c r="O391">
        <f>J391*Return!E391*100</f>
        <v>272.000000000006</v>
      </c>
      <c r="P391">
        <f t="shared" si="80"/>
        <v>502.800000000007</v>
      </c>
      <c r="Q391">
        <f>SUM($P$148:P391)</f>
        <v>11897.9</v>
      </c>
      <c r="R391">
        <f>B391*中国_中债国债到期收益率_1年!B390/365*100</f>
        <v>0</v>
      </c>
      <c r="S391">
        <f>C391*中国_中债国债到期收益率_1年!C390/365*100</f>
        <v>13.6257534246575</v>
      </c>
      <c r="T391">
        <f>D391*中国_中债国债到期收益率_1年!D390/365*100</f>
        <v>14.3156164383562</v>
      </c>
      <c r="U391">
        <f>E391*中国_中债国债到期收益率_1年!E390/365*100</f>
        <v>7.90931506849315</v>
      </c>
      <c r="V391">
        <f t="shared" si="81"/>
        <v>35.8506849315068</v>
      </c>
      <c r="W391">
        <f>SUM($V$148:V391)</f>
        <v>11118.305890411</v>
      </c>
      <c r="X391">
        <f>MAX(F391-50,0)*中国_中债国债到期收益率_1年!H391*100/365</f>
        <v>0</v>
      </c>
      <c r="Y391">
        <f>SUM($X$148:X391)</f>
        <v>2963.32342465753</v>
      </c>
      <c r="Z391">
        <v>-100</v>
      </c>
      <c r="AA391">
        <v>100</v>
      </c>
      <c r="AB391">
        <f>Z391*Return!F395*100</f>
        <v>-461</v>
      </c>
      <c r="AC391">
        <f>AA391*Return!G395*100</f>
        <v>291.000000000001</v>
      </c>
      <c r="AD391">
        <f>SUM($AB$148:AB391)+SUM($AC$148:AC391)</f>
        <v>2310.7</v>
      </c>
      <c r="AE391">
        <f t="shared" si="84"/>
        <v>22363.5824657534</v>
      </c>
      <c r="AF391">
        <f t="shared" si="85"/>
        <v>1.04472716493151</v>
      </c>
      <c r="AG391" s="5">
        <f>(AF391/AF390-1)-中国_中债国债到期收益率_1年!H391%/252</f>
        <v>0.000618932635459694</v>
      </c>
      <c r="AH391" s="5">
        <f>MIN((AF391-MAX($AF$151:AF391))/MAX($AF$151:AF391),0)</f>
        <v>0</v>
      </c>
    </row>
    <row r="392" spans="1:34">
      <c r="A392" s="7">
        <v>45280</v>
      </c>
      <c r="C392">
        <v>20</v>
      </c>
      <c r="D392">
        <v>20</v>
      </c>
      <c r="E392">
        <v>10</v>
      </c>
      <c r="F392">
        <f t="shared" si="82"/>
        <v>50</v>
      </c>
      <c r="G392">
        <f t="shared" si="76"/>
        <v>0</v>
      </c>
      <c r="H392">
        <f t="shared" si="77"/>
        <v>100</v>
      </c>
      <c r="I392">
        <f t="shared" si="78"/>
        <v>180</v>
      </c>
      <c r="J392">
        <f t="shared" si="79"/>
        <v>160</v>
      </c>
      <c r="K392">
        <f t="shared" si="83"/>
        <v>440</v>
      </c>
      <c r="L392">
        <f>G392*Return!B392*100</f>
        <v>0</v>
      </c>
      <c r="M392">
        <f>H392*Return!C392*100</f>
        <v>-221</v>
      </c>
      <c r="N392">
        <f>I392*Return!D392*100</f>
        <v>-116.999999999999</v>
      </c>
      <c r="O392">
        <f>J392*Return!E392*100</f>
        <v>-81.6000000000017</v>
      </c>
      <c r="P392">
        <f t="shared" si="80"/>
        <v>-419.600000000001</v>
      </c>
      <c r="Q392">
        <f>SUM($P$148:P392)</f>
        <v>11478.3</v>
      </c>
      <c r="R392">
        <f>B392*中国_中债国债到期收益率_1年!B391/365*100</f>
        <v>0</v>
      </c>
      <c r="S392">
        <f>C392*中国_中债国债到期收益率_1年!C391/365*100</f>
        <v>13.7468493150685</v>
      </c>
      <c r="T392">
        <f>D392*中国_中债国债到期收益率_1年!D391/365*100</f>
        <v>14.3512328767123</v>
      </c>
      <c r="U392">
        <f>E392*中国_中债国债到期收益率_1年!E391/365*100</f>
        <v>7.92328767123288</v>
      </c>
      <c r="V392">
        <f t="shared" si="81"/>
        <v>36.0213698630137</v>
      </c>
      <c r="W392">
        <f>SUM($V$148:V392)</f>
        <v>11154.327260274</v>
      </c>
      <c r="X392">
        <f>MAX(F392-50,0)*中国_中债国债到期收益率_1年!H392*100/365</f>
        <v>0</v>
      </c>
      <c r="Y392">
        <f>SUM($X$148:X392)</f>
        <v>2963.32342465753</v>
      </c>
      <c r="Z392">
        <v>-100</v>
      </c>
      <c r="AA392">
        <v>100</v>
      </c>
      <c r="AB392">
        <f>Z392*Return!F396*100</f>
        <v>-169.000000000001</v>
      </c>
      <c r="AC392">
        <f>AA392*Return!G396*100</f>
        <v>169.000000000001</v>
      </c>
      <c r="AD392">
        <f>SUM($AB$148:AB392)+SUM($AC$148:AC392)</f>
        <v>2310.7</v>
      </c>
      <c r="AE392">
        <f t="shared" si="84"/>
        <v>21980.0038356164</v>
      </c>
      <c r="AF392">
        <f t="shared" si="85"/>
        <v>1.04396000767123</v>
      </c>
      <c r="AG392" s="5">
        <f>(AF392/AF391-1)-中国_中债国债到期收益率_1年!H392%/252</f>
        <v>-0.000821615086581913</v>
      </c>
      <c r="AH392" s="5">
        <f>MIN((AF392-MAX($AF$151:AF392))/MAX($AF$151:AF392),0)</f>
        <v>-0.000734313499280354</v>
      </c>
    </row>
    <row r="393" spans="1:34">
      <c r="A393" s="7">
        <v>45281</v>
      </c>
      <c r="C393">
        <v>20</v>
      </c>
      <c r="D393">
        <v>20</v>
      </c>
      <c r="E393">
        <v>10</v>
      </c>
      <c r="F393">
        <f t="shared" si="82"/>
        <v>50</v>
      </c>
      <c r="G393">
        <f t="shared" si="76"/>
        <v>0</v>
      </c>
      <c r="H393">
        <f t="shared" si="77"/>
        <v>100</v>
      </c>
      <c r="I393">
        <f t="shared" si="78"/>
        <v>180</v>
      </c>
      <c r="J393">
        <f t="shared" si="79"/>
        <v>160</v>
      </c>
      <c r="K393">
        <f t="shared" si="83"/>
        <v>440</v>
      </c>
      <c r="L393">
        <f>G393*Return!B393*100</f>
        <v>0</v>
      </c>
      <c r="M393">
        <f>H393*Return!C393*100</f>
        <v>-108.999999999999</v>
      </c>
      <c r="N393">
        <f>I393*Return!D393*100</f>
        <v>-55.7999999999979</v>
      </c>
      <c r="O393">
        <f>J393*Return!E393*100</f>
        <v>113.599999999998</v>
      </c>
      <c r="P393">
        <f t="shared" si="80"/>
        <v>-51.1999999999988</v>
      </c>
      <c r="Q393">
        <f>SUM($P$148:P393)</f>
        <v>11427.1</v>
      </c>
      <c r="R393">
        <f>B393*中国_中债国债到期收益率_1年!B392/365*100</f>
        <v>0</v>
      </c>
      <c r="S393">
        <f>C393*中国_中债国债到期收益率_1年!C392/365*100</f>
        <v>13.8065753424658</v>
      </c>
      <c r="T393">
        <f>D393*中国_中债国债到期收益率_1年!D392/365*100</f>
        <v>14.3682191780822</v>
      </c>
      <c r="U393">
        <f>E393*中国_中债国债到期收益率_1年!E392/365*100</f>
        <v>7.90383561643836</v>
      </c>
      <c r="V393">
        <f t="shared" si="81"/>
        <v>36.0786301369863</v>
      </c>
      <c r="W393">
        <f>SUM($V$148:V393)</f>
        <v>11190.405890411</v>
      </c>
      <c r="X393">
        <f>MAX(F393-50,0)*中国_中债国债到期收益率_1年!H393*100/365</f>
        <v>0</v>
      </c>
      <c r="Y393">
        <f>SUM($X$148:X393)</f>
        <v>2963.32342465753</v>
      </c>
      <c r="Z393">
        <v>-100</v>
      </c>
      <c r="AA393">
        <v>100</v>
      </c>
      <c r="AB393">
        <f>Z393*Return!F397*100</f>
        <v>-90.9999999999966</v>
      </c>
      <c r="AC393">
        <f>AA393*Return!G397*100</f>
        <v>57.9999999999981</v>
      </c>
      <c r="AD393">
        <f>SUM($AB$148:AB393)+SUM($AC$148:AC393)</f>
        <v>2277.7</v>
      </c>
      <c r="AE393">
        <f t="shared" si="84"/>
        <v>21931.8824657534</v>
      </c>
      <c r="AF393">
        <f t="shared" si="85"/>
        <v>1.04386376493151</v>
      </c>
      <c r="AG393" s="5">
        <f>(AF393/AF392-1)-中国_中债国债到期收益率_1年!H393%/252</f>
        <v>-0.000172348793972288</v>
      </c>
      <c r="AH393" s="5">
        <f>MIN((AF393-MAX($AF$151:AF393))/MAX($AF$151:AF393),0)</f>
        <v>-0.000826435866685514</v>
      </c>
    </row>
    <row r="394" spans="1:34">
      <c r="A394" s="7">
        <v>45282</v>
      </c>
      <c r="C394">
        <v>20</v>
      </c>
      <c r="D394">
        <v>20</v>
      </c>
      <c r="E394">
        <v>10</v>
      </c>
      <c r="F394">
        <f t="shared" si="82"/>
        <v>50</v>
      </c>
      <c r="G394">
        <f t="shared" si="76"/>
        <v>0</v>
      </c>
      <c r="H394">
        <f t="shared" si="77"/>
        <v>100</v>
      </c>
      <c r="I394">
        <f t="shared" si="78"/>
        <v>180</v>
      </c>
      <c r="J394">
        <f t="shared" si="79"/>
        <v>160</v>
      </c>
      <c r="K394">
        <f t="shared" si="83"/>
        <v>440</v>
      </c>
      <c r="L394">
        <f>G394*Return!B394*100</f>
        <v>0</v>
      </c>
      <c r="M394">
        <f>H394*Return!C394*100</f>
        <v>413.999999999999</v>
      </c>
      <c r="N394">
        <f>I394*Return!D394*100</f>
        <v>577.799999999996</v>
      </c>
      <c r="O394">
        <f>J394*Return!E394*100</f>
        <v>571.199999999998</v>
      </c>
      <c r="P394">
        <f t="shared" si="80"/>
        <v>1562.99999999999</v>
      </c>
      <c r="Q394">
        <f>SUM($P$148:P394)</f>
        <v>12990.1</v>
      </c>
      <c r="R394">
        <f>B394*中国_中债国债到期收益率_1年!B393/365*100</f>
        <v>0</v>
      </c>
      <c r="S394">
        <f>C394*中国_中债国债到期收益率_1年!C393/365*100</f>
        <v>13.5797260273973</v>
      </c>
      <c r="T394">
        <f>D394*中国_中债国债到期收益率_1年!D393/365*100</f>
        <v>14.1923287671233</v>
      </c>
      <c r="U394">
        <f>E394*中国_中债国债到期收益率_1年!E393/365*100</f>
        <v>7.80602739726027</v>
      </c>
      <c r="V394">
        <f t="shared" si="81"/>
        <v>35.5780821917808</v>
      </c>
      <c r="W394">
        <f>SUM($V$148:V394)</f>
        <v>11225.9839726027</v>
      </c>
      <c r="X394">
        <f>MAX(F394-50,0)*中国_中债国债到期收益率_1年!H394*100/365</f>
        <v>0</v>
      </c>
      <c r="Y394">
        <f>SUM($X$148:X394)</f>
        <v>2963.32342465753</v>
      </c>
      <c r="Z394">
        <v>-100</v>
      </c>
      <c r="AA394">
        <v>100</v>
      </c>
      <c r="AB394">
        <f>Z394*Return!F398*100</f>
        <v>-163.000000000002</v>
      </c>
      <c r="AC394">
        <f>AA394*Return!G398*100</f>
        <v>-80.0000000000001</v>
      </c>
      <c r="AD394">
        <f>SUM($AB$148:AB394)+SUM($AC$148:AC394)</f>
        <v>2034.7</v>
      </c>
      <c r="AE394">
        <f t="shared" si="84"/>
        <v>23287.4605479452</v>
      </c>
      <c r="AF394">
        <f t="shared" si="85"/>
        <v>1.04657492109589</v>
      </c>
      <c r="AG394" s="5">
        <f>(AF394/AF393-1)-中国_中债国债到期收益率_1年!H394%/252</f>
        <v>0.00251588259291853</v>
      </c>
      <c r="AH394" s="5">
        <f>MIN((AF394-MAX($AF$151:AF394))/MAX($AF$151:AF394),0)</f>
        <v>0</v>
      </c>
    </row>
    <row r="395" spans="1:34">
      <c r="A395" s="7">
        <v>45285</v>
      </c>
      <c r="C395">
        <v>20</v>
      </c>
      <c r="D395">
        <v>20</v>
      </c>
      <c r="E395">
        <v>10</v>
      </c>
      <c r="F395">
        <f t="shared" si="82"/>
        <v>50</v>
      </c>
      <c r="G395">
        <f t="shared" si="76"/>
        <v>0</v>
      </c>
      <c r="H395">
        <f t="shared" si="77"/>
        <v>100</v>
      </c>
      <c r="I395">
        <f t="shared" si="78"/>
        <v>180</v>
      </c>
      <c r="J395">
        <f t="shared" si="79"/>
        <v>160</v>
      </c>
      <c r="K395">
        <f t="shared" si="83"/>
        <v>440</v>
      </c>
      <c r="L395">
        <f>G395*Return!B395*100</f>
        <v>0</v>
      </c>
      <c r="M395">
        <f>H395*Return!C395*100</f>
        <v>221</v>
      </c>
      <c r="N395">
        <f>I395*Return!D395*100</f>
        <v>43.2000000000032</v>
      </c>
      <c r="O395">
        <f>J395*Return!E395*100</f>
        <v>241.600000000005</v>
      </c>
      <c r="P395">
        <f t="shared" si="80"/>
        <v>505.800000000009</v>
      </c>
      <c r="Q395">
        <f>SUM($P$148:P395)</f>
        <v>13495.9</v>
      </c>
      <c r="R395">
        <f>B395*中国_中债国债到期收益率_1年!B394/365*100</f>
        <v>0</v>
      </c>
      <c r="S395">
        <f>C395*中国_中债国债到期收益率_1年!C394/365*100</f>
        <v>13.4586301369863</v>
      </c>
      <c r="T395">
        <f>D395*中国_中债国债到期收益率_1年!D394/365*100</f>
        <v>14.1791780821918</v>
      </c>
      <c r="U395">
        <f>E395*中国_中债国债到期收益率_1年!E394/365*100</f>
        <v>7.76465753424657</v>
      </c>
      <c r="V395">
        <f t="shared" si="81"/>
        <v>35.4024657534247</v>
      </c>
      <c r="W395">
        <f>SUM($V$148:V395)</f>
        <v>11261.3864383562</v>
      </c>
      <c r="X395">
        <f>MAX(F395-50,0)*中国_中债国债到期收益率_1年!H395*100/365</f>
        <v>0</v>
      </c>
      <c r="Y395">
        <f>SUM($X$148:X395)</f>
        <v>2963.32342465753</v>
      </c>
      <c r="Z395">
        <v>-100</v>
      </c>
      <c r="AA395">
        <v>100</v>
      </c>
      <c r="AB395">
        <f>Z395*Return!F399*100</f>
        <v>-236.999999999998</v>
      </c>
      <c r="AC395">
        <f>AA395*Return!G399*100</f>
        <v>-38.9999999999979</v>
      </c>
      <c r="AD395">
        <f>SUM($AB$148:AB395)+SUM($AC$148:AC395)</f>
        <v>1758.7</v>
      </c>
      <c r="AE395">
        <f t="shared" si="84"/>
        <v>23552.6630136986</v>
      </c>
      <c r="AF395">
        <f t="shared" si="85"/>
        <v>1.0471053260274</v>
      </c>
      <c r="AG395" s="5">
        <f>(AF395/AF394-1)-中国_中债国债到期收益率_1年!H395%/252</f>
        <v>0.000434907870464369</v>
      </c>
      <c r="AH395" s="5">
        <f>MIN((AF395-MAX($AF$151:AF395))/MAX($AF$151:AF395),0)</f>
        <v>0</v>
      </c>
    </row>
    <row r="396" spans="1:34">
      <c r="A396" s="7">
        <v>45286</v>
      </c>
      <c r="C396">
        <v>20</v>
      </c>
      <c r="D396">
        <v>20</v>
      </c>
      <c r="E396">
        <v>10</v>
      </c>
      <c r="F396">
        <f t="shared" si="82"/>
        <v>50</v>
      </c>
      <c r="G396">
        <f t="shared" si="76"/>
        <v>0</v>
      </c>
      <c r="H396">
        <f t="shared" si="77"/>
        <v>100</v>
      </c>
      <c r="I396">
        <f t="shared" si="78"/>
        <v>180</v>
      </c>
      <c r="J396">
        <f t="shared" si="79"/>
        <v>160</v>
      </c>
      <c r="K396">
        <f t="shared" si="83"/>
        <v>440</v>
      </c>
      <c r="L396">
        <f>G396*Return!B396*100</f>
        <v>0</v>
      </c>
      <c r="M396">
        <f>H396*Return!C396*100</f>
        <v>390.000000000001</v>
      </c>
      <c r="N396">
        <f>I396*Return!D396*100</f>
        <v>358.199999999997</v>
      </c>
      <c r="O396">
        <f>J396*Return!E396*100</f>
        <v>422.399999999996</v>
      </c>
      <c r="P396">
        <f t="shared" si="80"/>
        <v>1170.59999999999</v>
      </c>
      <c r="Q396">
        <f>SUM($P$148:P396)</f>
        <v>14666.5</v>
      </c>
      <c r="R396">
        <f>B396*中国_中债国债到期收益率_1年!B395/365*100</f>
        <v>0</v>
      </c>
      <c r="S396">
        <f>C396*中国_中债国债到期收益率_1年!C395/365*100</f>
        <v>13.2449315068493</v>
      </c>
      <c r="T396">
        <f>D396*中国_中债国债到期收益率_1年!D395/365*100</f>
        <v>14.0701369863014</v>
      </c>
      <c r="U396">
        <f>E396*中国_中债国债到期收益率_1年!E395/365*100</f>
        <v>7.69232876712329</v>
      </c>
      <c r="V396">
        <f t="shared" si="81"/>
        <v>35.007397260274</v>
      </c>
      <c r="W396">
        <f>SUM($V$148:V396)</f>
        <v>11296.3938356164</v>
      </c>
      <c r="X396">
        <f>MAX(F396-50,0)*中国_中债国债到期收益率_1年!H396*100/365</f>
        <v>0</v>
      </c>
      <c r="Y396">
        <f>SUM($X$148:X396)</f>
        <v>2963.32342465753</v>
      </c>
      <c r="Z396">
        <v>-100</v>
      </c>
      <c r="AA396">
        <v>100</v>
      </c>
      <c r="AB396">
        <f>Z396*Return!F400*100</f>
        <v>-95.0000000000006</v>
      </c>
      <c r="AC396">
        <f>AA396*Return!G400*100</f>
        <v>-22.000000000002</v>
      </c>
      <c r="AD396">
        <f>SUM($AB$148:AB396)+SUM($AC$148:AC396)</f>
        <v>1641.7</v>
      </c>
      <c r="AE396">
        <f t="shared" si="84"/>
        <v>24641.2704109589</v>
      </c>
      <c r="AF396">
        <f t="shared" si="85"/>
        <v>1.04928254082192</v>
      </c>
      <c r="AG396" s="5">
        <f>(AF396/AF395-1)-中国_中债国债到期收益率_1年!H396%/252</f>
        <v>0.00190665105100658</v>
      </c>
      <c r="AH396" s="5">
        <f>MIN((AF396-MAX($AF$151:AF396))/MAX($AF$151:AF396),0)</f>
        <v>0</v>
      </c>
    </row>
    <row r="397" spans="1:34">
      <c r="A397" s="7">
        <v>45287</v>
      </c>
      <c r="C397">
        <v>20</v>
      </c>
      <c r="D397">
        <v>20</v>
      </c>
      <c r="E397">
        <v>10</v>
      </c>
      <c r="F397">
        <f t="shared" si="82"/>
        <v>50</v>
      </c>
      <c r="G397">
        <f t="shared" ref="G397:G427" si="86">B397</f>
        <v>0</v>
      </c>
      <c r="H397">
        <f t="shared" ref="H397:H413" si="87">5*C397</f>
        <v>100</v>
      </c>
      <c r="I397">
        <f t="shared" ref="I397:I413" si="88">9*D397</f>
        <v>180</v>
      </c>
      <c r="J397">
        <f t="shared" ref="J397:J413" si="89">16*E397</f>
        <v>160</v>
      </c>
      <c r="K397">
        <f t="shared" si="83"/>
        <v>440</v>
      </c>
      <c r="L397">
        <f>G397*Return!B397*100</f>
        <v>0</v>
      </c>
      <c r="M397">
        <f>H397*Return!C397*100</f>
        <v>48.9999999999968</v>
      </c>
      <c r="N397">
        <f>I397*Return!D397*100</f>
        <v>-226.799999999999</v>
      </c>
      <c r="O397">
        <f>J397*Return!E397*100</f>
        <v>-304.000000000002</v>
      </c>
      <c r="P397">
        <f t="shared" ref="P397:P413" si="90">SUM(L397:O397)</f>
        <v>-481.800000000004</v>
      </c>
      <c r="Q397">
        <f>SUM($P$148:P397)</f>
        <v>14184.7</v>
      </c>
      <c r="R397">
        <f>B397*中国_中债国债到期收益率_1年!B396/365*100</f>
        <v>0</v>
      </c>
      <c r="S397">
        <f>C397*中国_中债国债到期收益率_1年!C396/365*100</f>
        <v>13.2180821917808</v>
      </c>
      <c r="T397">
        <f>D397*中国_中债国债到期收益率_1年!D396/365*100</f>
        <v>14.1391780821918</v>
      </c>
      <c r="U397">
        <f>E397*中国_中债国债到期收益率_1年!E396/365*100</f>
        <v>7.74438356164384</v>
      </c>
      <c r="V397">
        <f t="shared" ref="V397:V413" si="91">SUM(R397:U397)</f>
        <v>35.1016438356164</v>
      </c>
      <c r="W397">
        <f>SUM($V$148:V397)</f>
        <v>11331.4954794521</v>
      </c>
      <c r="X397">
        <f>MAX(F397-50,0)*中国_中债国债到期收益率_1年!H397*100/365</f>
        <v>0</v>
      </c>
      <c r="Y397">
        <f>SUM($X$148:X397)</f>
        <v>2963.32342465753</v>
      </c>
      <c r="Z397">
        <v>-100</v>
      </c>
      <c r="AA397">
        <v>100</v>
      </c>
      <c r="AD397">
        <f>SUM($AB$148:AB397)+SUM($AC$148:AC397)</f>
        <v>1641.7</v>
      </c>
      <c r="AE397">
        <f t="shared" si="84"/>
        <v>24194.5720547945</v>
      </c>
      <c r="AF397">
        <f t="shared" si="85"/>
        <v>1.04838914410959</v>
      </c>
      <c r="AG397" s="5">
        <f>(AF397/AF396-1)-中国_中债国债到期收益率_1年!H397%/252</f>
        <v>-0.00101016595182837</v>
      </c>
      <c r="AH397" s="5">
        <f>MIN((AF397-MAX($AF$151:AF397))/MAX($AF$151:AF397),0)</f>
        <v>-0.000851435793098194</v>
      </c>
    </row>
    <row r="398" spans="1:34">
      <c r="A398" s="7">
        <v>45288</v>
      </c>
      <c r="C398">
        <v>20</v>
      </c>
      <c r="D398">
        <v>20</v>
      </c>
      <c r="E398">
        <v>10</v>
      </c>
      <c r="F398">
        <f t="shared" si="82"/>
        <v>50</v>
      </c>
      <c r="G398">
        <f t="shared" si="86"/>
        <v>0</v>
      </c>
      <c r="H398">
        <f t="shared" si="87"/>
        <v>100</v>
      </c>
      <c r="I398">
        <f t="shared" si="88"/>
        <v>180</v>
      </c>
      <c r="J398">
        <f t="shared" si="89"/>
        <v>160</v>
      </c>
      <c r="K398">
        <f t="shared" si="83"/>
        <v>440</v>
      </c>
      <c r="L398">
        <f>G398*Return!B398*100</f>
        <v>0</v>
      </c>
      <c r="M398">
        <f>H398*Return!C398*100</f>
        <v>287.000000000002</v>
      </c>
      <c r="N398">
        <f>I398*Return!D398*100</f>
        <v>408.599999999999</v>
      </c>
      <c r="O398">
        <f>J398*Return!E398*100</f>
        <v>160.000000000004</v>
      </c>
      <c r="P398">
        <f t="shared" si="90"/>
        <v>855.600000000004</v>
      </c>
      <c r="Q398">
        <f>SUM($P$148:P398)</f>
        <v>15040.3</v>
      </c>
      <c r="R398">
        <f>B398*中国_中债国债到期收益率_1年!B397/365*100</f>
        <v>0</v>
      </c>
      <c r="S398">
        <f>C398*中国_中债国债到期收益率_1年!C397/365*100</f>
        <v>13.0608219178082</v>
      </c>
      <c r="T398">
        <f>D398*中国_中债国债到期收益率_1年!D397/365*100</f>
        <v>14.0147945205479</v>
      </c>
      <c r="U398">
        <f>E398*中国_中债国债到期收益率_1年!E397/365*100</f>
        <v>7.71698630136986</v>
      </c>
      <c r="V398">
        <f t="shared" si="91"/>
        <v>34.792602739726</v>
      </c>
      <c r="W398">
        <f>SUM($V$148:V398)</f>
        <v>11366.2880821918</v>
      </c>
      <c r="X398">
        <f>MAX(F398-50,0)*中国_中债国债到期收益率_1年!H398*100/365</f>
        <v>0</v>
      </c>
      <c r="Y398">
        <f>SUM($X$148:X398)</f>
        <v>2963.32342465753</v>
      </c>
      <c r="Z398">
        <v>-100</v>
      </c>
      <c r="AA398">
        <v>100</v>
      </c>
      <c r="AD398">
        <f>SUM($AB$148:AB398)+SUM($AC$148:AC398)</f>
        <v>1641.7</v>
      </c>
      <c r="AE398">
        <f t="shared" si="84"/>
        <v>25084.9646575342</v>
      </c>
      <c r="AF398">
        <f t="shared" si="85"/>
        <v>1.05016992931507</v>
      </c>
      <c r="AG398" s="5">
        <f>(AF398/AF397-1)-中国_中债国债到期收益率_1年!H398%/252</f>
        <v>0.00157160767500571</v>
      </c>
      <c r="AH398" s="5">
        <f>MIN((AF398-MAX($AF$151:AF398))/MAX($AF$151:AF398),0)</f>
        <v>0</v>
      </c>
    </row>
    <row r="399" spans="1:34">
      <c r="A399" s="7">
        <v>45289</v>
      </c>
      <c r="C399">
        <v>20</v>
      </c>
      <c r="D399">
        <v>20</v>
      </c>
      <c r="E399">
        <v>10</v>
      </c>
      <c r="F399">
        <f t="shared" si="82"/>
        <v>50</v>
      </c>
      <c r="G399">
        <f t="shared" si="86"/>
        <v>0</v>
      </c>
      <c r="H399">
        <f t="shared" si="87"/>
        <v>100</v>
      </c>
      <c r="I399">
        <f t="shared" si="88"/>
        <v>180</v>
      </c>
      <c r="J399">
        <f t="shared" si="89"/>
        <v>160</v>
      </c>
      <c r="K399">
        <f t="shared" si="83"/>
        <v>440</v>
      </c>
      <c r="L399">
        <f>G399*Return!B399*100</f>
        <v>0</v>
      </c>
      <c r="M399">
        <f>H399*Return!C399*100</f>
        <v>-245.000000000002</v>
      </c>
      <c r="N399">
        <f>I399*Return!D399*100</f>
        <v>-210.599999999997</v>
      </c>
      <c r="O399">
        <f>J399*Return!E399*100</f>
        <v>-193.600000000004</v>
      </c>
      <c r="P399">
        <f t="shared" si="90"/>
        <v>-649.200000000002</v>
      </c>
      <c r="Q399">
        <f>SUM($P$148:P399)</f>
        <v>14391.1</v>
      </c>
      <c r="R399">
        <f>B399*中国_中债国债到期收益率_1年!B398/365*100</f>
        <v>0</v>
      </c>
      <c r="S399">
        <f>C399*中国_中债国债到期收益率_1年!C398/365*100</f>
        <v>13.1950684931507</v>
      </c>
      <c r="T399">
        <f>D399*中国_中债国债到期收益率_1年!D398/365*100</f>
        <v>14.078904109589</v>
      </c>
      <c r="U399">
        <f>E399*中国_中债国债到期收益率_1年!E398/365*100</f>
        <v>7.75013698630137</v>
      </c>
      <c r="V399">
        <f t="shared" si="91"/>
        <v>35.0241095890411</v>
      </c>
      <c r="W399">
        <f>SUM($V$148:V399)</f>
        <v>11401.3121917808</v>
      </c>
      <c r="X399">
        <f>MAX(F399-50,0)*中国_中债国债到期收益率_1年!H399*100/365</f>
        <v>0</v>
      </c>
      <c r="Y399">
        <f>SUM($X$148:X399)</f>
        <v>2963.32342465753</v>
      </c>
      <c r="Z399">
        <v>-100</v>
      </c>
      <c r="AA399">
        <v>100</v>
      </c>
      <c r="AB399">
        <f>Z399*Return!F403*100</f>
        <v>444</v>
      </c>
      <c r="AC399">
        <f>AA399*Return!G403*100</f>
        <v>-136.000000000003</v>
      </c>
      <c r="AD399">
        <f>SUM($AB$148:AB399)+SUM($AC$148:AC399)</f>
        <v>1949.7</v>
      </c>
      <c r="AE399">
        <f t="shared" si="84"/>
        <v>24778.7887671233</v>
      </c>
      <c r="AF399">
        <f t="shared" si="85"/>
        <v>1.04955757753425</v>
      </c>
      <c r="AG399" s="5">
        <f>(AF399/AF398-1)-中国_中债国债到期收益率_1年!H399%/252</f>
        <v>-0.000678335900391849</v>
      </c>
      <c r="AH399" s="5">
        <f>MIN((AF399-MAX($AF$151:AF399))/MAX($AF$151:AF399),0)</f>
        <v>-0.000583097805153749</v>
      </c>
    </row>
    <row r="400" spans="1:34">
      <c r="A400" s="7">
        <v>45291</v>
      </c>
      <c r="C400">
        <v>20</v>
      </c>
      <c r="D400">
        <v>20</v>
      </c>
      <c r="E400">
        <v>10</v>
      </c>
      <c r="F400">
        <f t="shared" si="82"/>
        <v>50</v>
      </c>
      <c r="G400">
        <f t="shared" si="86"/>
        <v>0</v>
      </c>
      <c r="H400">
        <f t="shared" si="87"/>
        <v>100</v>
      </c>
      <c r="I400">
        <f t="shared" si="88"/>
        <v>180</v>
      </c>
      <c r="J400">
        <f t="shared" si="89"/>
        <v>160</v>
      </c>
      <c r="K400">
        <f t="shared" si="83"/>
        <v>440</v>
      </c>
      <c r="L400">
        <f>G400*Return!B400*100</f>
        <v>0</v>
      </c>
      <c r="M400">
        <f>H400*Return!C400*100</f>
        <v>80.0000000000001</v>
      </c>
      <c r="N400">
        <f>I400*Return!D400*100</f>
        <v>253.8</v>
      </c>
      <c r="O400">
        <f>J400*Return!E400*100</f>
        <v>30.4000000000002</v>
      </c>
      <c r="P400">
        <f t="shared" si="90"/>
        <v>364.2</v>
      </c>
      <c r="Q400">
        <f>SUM($P$148:P400)</f>
        <v>14755.3</v>
      </c>
      <c r="R400">
        <f>B400*中国_中债国债到期收益率_1年!B399/365*100</f>
        <v>0</v>
      </c>
      <c r="S400">
        <f>C400*中国_中债国债到期收益率_1年!C399/365*100</f>
        <v>13.1512328767123</v>
      </c>
      <c r="T400">
        <f>D400*中国_中债国债到期收益率_1年!D399/365*100</f>
        <v>14.0016438356164</v>
      </c>
      <c r="U400">
        <f>E400*中国_中债国债到期收益率_1年!E399/365*100</f>
        <v>7.74493150684932</v>
      </c>
      <c r="V400">
        <f t="shared" si="91"/>
        <v>34.8978082191781</v>
      </c>
      <c r="W400">
        <f>SUM($V$148:V400)</f>
        <v>11436.21</v>
      </c>
      <c r="X400">
        <f>MAX(F400-50,0)*中国_中债国债到期收益率_1年!H400*100/365</f>
        <v>0</v>
      </c>
      <c r="Y400">
        <f>SUM($X$148:X400)</f>
        <v>2963.32342465753</v>
      </c>
      <c r="Z400">
        <v>-100</v>
      </c>
      <c r="AA400">
        <v>100</v>
      </c>
      <c r="AB400">
        <f>Z400*Return!F404*100</f>
        <v>20.0000000000022</v>
      </c>
      <c r="AC400">
        <f>AA400*Return!G404*100</f>
        <v>73.0000000000031</v>
      </c>
      <c r="AD400">
        <f>SUM($AB$148:AB400)+SUM($AC$148:AC400)</f>
        <v>2042.7</v>
      </c>
      <c r="AE400">
        <f t="shared" si="84"/>
        <v>25270.8865753425</v>
      </c>
      <c r="AF400">
        <f t="shared" si="85"/>
        <v>1.05054177315068</v>
      </c>
      <c r="AG400" s="5">
        <f>(AF400/AF399-1)-中国_中债国债到期收益率_1年!H400%/252</f>
        <v>0.000937724273070151</v>
      </c>
      <c r="AH400" s="5">
        <f>MIN((AF400-MAX($AF$151:AF400))/MAX($AF$151:AF400),0)</f>
        <v>0</v>
      </c>
    </row>
    <row r="401" spans="1:34">
      <c r="A401" s="7">
        <v>45293</v>
      </c>
      <c r="C401">
        <v>20</v>
      </c>
      <c r="D401">
        <v>20</v>
      </c>
      <c r="E401">
        <v>10</v>
      </c>
      <c r="F401">
        <f t="shared" si="82"/>
        <v>50</v>
      </c>
      <c r="G401">
        <f t="shared" si="86"/>
        <v>0</v>
      </c>
      <c r="H401">
        <f t="shared" si="87"/>
        <v>100</v>
      </c>
      <c r="I401">
        <f t="shared" si="88"/>
        <v>180</v>
      </c>
      <c r="J401">
        <f t="shared" si="89"/>
        <v>160</v>
      </c>
      <c r="K401">
        <f t="shared" si="83"/>
        <v>440</v>
      </c>
      <c r="L401">
        <f>G401*Return!B401*100</f>
        <v>0</v>
      </c>
      <c r="M401">
        <f>H401*Return!C401*100</f>
        <v>0</v>
      </c>
      <c r="N401">
        <f>I401*Return!D401*100</f>
        <v>0</v>
      </c>
      <c r="O401">
        <f>J401*Return!E401*100</f>
        <v>0</v>
      </c>
      <c r="P401">
        <f t="shared" si="90"/>
        <v>0</v>
      </c>
      <c r="Q401">
        <f>SUM($P$400:P401)</f>
        <v>364.2</v>
      </c>
      <c r="R401">
        <f>B401*中国_中债国债到期收益率_1年!B400/365*100</f>
        <v>0</v>
      </c>
      <c r="S401">
        <f>C401*中国_中债国债到期收益率_1年!C400/365*100</f>
        <v>13.1512328767123</v>
      </c>
      <c r="T401">
        <f>D401*中国_中债国债到期收益率_1年!D400/365*100</f>
        <v>14.0016438356164</v>
      </c>
      <c r="U401">
        <f>E401*中国_中债国债到期收益率_1年!E400/365*100</f>
        <v>7.74493150684932</v>
      </c>
      <c r="V401">
        <f t="shared" si="91"/>
        <v>34.8978082191781</v>
      </c>
      <c r="W401">
        <f>SUM($V$400:V401)</f>
        <v>69.7956164383562</v>
      </c>
      <c r="X401">
        <f>MAX(F401-50,0)*中国_中债国债到期收益率_1年!H401*100/365</f>
        <v>0</v>
      </c>
      <c r="Y401">
        <f>SUM($X$400:X401)</f>
        <v>0</v>
      </c>
      <c r="Z401">
        <v>-50</v>
      </c>
      <c r="AA401">
        <v>50</v>
      </c>
      <c r="AB401">
        <f>Z401*Return!F405*100</f>
        <v>-80.0000000000001</v>
      </c>
      <c r="AC401">
        <f>AA401*Return!G405*100</f>
        <v>132.999999999999</v>
      </c>
      <c r="AD401">
        <f>SUM($AB$400:AB401)+SUM($AC$400:AC401)</f>
        <v>146.000000000004</v>
      </c>
      <c r="AE401">
        <f t="shared" si="84"/>
        <v>579.99561643836</v>
      </c>
      <c r="AF401">
        <f t="shared" si="85"/>
        <v>1.00115999123288</v>
      </c>
      <c r="AH401" s="5"/>
    </row>
    <row r="402" spans="1:34">
      <c r="A402" s="7">
        <v>45294</v>
      </c>
      <c r="C402">
        <v>20</v>
      </c>
      <c r="D402">
        <v>20</v>
      </c>
      <c r="E402">
        <v>10</v>
      </c>
      <c r="F402">
        <f t="shared" si="82"/>
        <v>50</v>
      </c>
      <c r="G402">
        <f t="shared" si="86"/>
        <v>0</v>
      </c>
      <c r="H402">
        <f t="shared" si="87"/>
        <v>100</v>
      </c>
      <c r="I402">
        <f t="shared" si="88"/>
        <v>180</v>
      </c>
      <c r="J402">
        <f t="shared" si="89"/>
        <v>160</v>
      </c>
      <c r="K402">
        <f t="shared" si="83"/>
        <v>440</v>
      </c>
      <c r="L402">
        <f>G402*Return!B402*100</f>
        <v>0</v>
      </c>
      <c r="M402">
        <f>H402*Return!C402*100</f>
        <v>-372.999999999997</v>
      </c>
      <c r="N402">
        <f>I402*Return!D402*100</f>
        <v>-86.3999999999985</v>
      </c>
      <c r="O402">
        <f>J402*Return!E402*100</f>
        <v>-244.799999999998</v>
      </c>
      <c r="P402">
        <f t="shared" si="90"/>
        <v>-704.199999999993</v>
      </c>
      <c r="Q402">
        <f>SUM($P$400:P402)</f>
        <v>-339.999999999993</v>
      </c>
      <c r="R402">
        <f>B402*中国_中债国债到期收益率_1年!B401/365*100</f>
        <v>0</v>
      </c>
      <c r="S402">
        <f>C402*中国_中债国债到期收益率_1年!C401/365*100</f>
        <v>13.3556164383562</v>
      </c>
      <c r="T402">
        <f>D402*中国_中债国债到期收益率_1年!D401/365*100</f>
        <v>14.0279452054795</v>
      </c>
      <c r="U402">
        <f>E402*中国_中债国债到期收益率_1年!E401/365*100</f>
        <v>7.78684931506849</v>
      </c>
      <c r="V402">
        <f t="shared" si="91"/>
        <v>35.1704109589041</v>
      </c>
      <c r="W402">
        <f>SUM($V$400:V402)</f>
        <v>104.96602739726</v>
      </c>
      <c r="X402">
        <f>MAX(F402-50,0)*中国_中债国债到期收益率_1年!H402*100/365</f>
        <v>0</v>
      </c>
      <c r="Y402">
        <f>SUM($X$400:X402)</f>
        <v>0</v>
      </c>
      <c r="Z402">
        <v>-50</v>
      </c>
      <c r="AA402">
        <v>50</v>
      </c>
      <c r="AB402">
        <f>Z402*Return!F406*100</f>
        <v>46.9999999999993</v>
      </c>
      <c r="AC402">
        <f>AA402*Return!G406*100</f>
        <v>-9.9999999999989</v>
      </c>
      <c r="AD402">
        <f>SUM($AB$400:AB402)+SUM($AC$400:AC402)</f>
        <v>183.000000000004</v>
      </c>
      <c r="AE402">
        <f t="shared" si="84"/>
        <v>-52.0339726027282</v>
      </c>
      <c r="AF402">
        <f t="shared" si="85"/>
        <v>0.999895932054795</v>
      </c>
      <c r="AG402" s="5">
        <f>(AE402-AE401)/(500000+AE401)-中国_中债国债到期收益率_1年!H402%/252</f>
        <v>-0.00134791203975681</v>
      </c>
      <c r="AH402" s="5">
        <f>MIN((AF402-MAX($AF$401:AF402))/MAX($AF$401:AF402),0)</f>
        <v>-0.00126259457943943</v>
      </c>
    </row>
    <row r="403" spans="1:34">
      <c r="A403" s="7">
        <v>45295</v>
      </c>
      <c r="C403">
        <v>20</v>
      </c>
      <c r="D403">
        <v>20</v>
      </c>
      <c r="E403">
        <v>10</v>
      </c>
      <c r="F403">
        <f t="shared" si="82"/>
        <v>50</v>
      </c>
      <c r="G403">
        <f t="shared" si="86"/>
        <v>0</v>
      </c>
      <c r="H403">
        <f t="shared" si="87"/>
        <v>100</v>
      </c>
      <c r="I403">
        <f t="shared" si="88"/>
        <v>180</v>
      </c>
      <c r="J403">
        <f t="shared" si="89"/>
        <v>160</v>
      </c>
      <c r="K403">
        <f t="shared" si="83"/>
        <v>440</v>
      </c>
      <c r="L403">
        <f>G403*Return!B403*100</f>
        <v>0</v>
      </c>
      <c r="M403">
        <f>H403*Return!C403*100</f>
        <v>162</v>
      </c>
      <c r="N403">
        <f>I403*Return!D403*100</f>
        <v>125.999999999994</v>
      </c>
      <c r="O403">
        <f>J403*Return!E403*100</f>
        <v>32.0000000000036</v>
      </c>
      <c r="P403">
        <f t="shared" si="90"/>
        <v>319.999999999998</v>
      </c>
      <c r="Q403">
        <f>SUM($P$400:P403)</f>
        <v>-19.9999999999951</v>
      </c>
      <c r="R403">
        <f>B403*中国_中债国债到期收益率_1年!B402/365*100</f>
        <v>0</v>
      </c>
      <c r="S403">
        <f>C403*中国_中债国债到期收益率_1年!C402/365*100</f>
        <v>13.2668493150685</v>
      </c>
      <c r="T403">
        <f>D403*中国_中债国债到期收益率_1年!D402/365*100</f>
        <v>13.9895890410959</v>
      </c>
      <c r="U403">
        <f>E403*中国_中债国债到期收益率_1年!E402/365*100</f>
        <v>7.7813698630137</v>
      </c>
      <c r="V403">
        <f t="shared" si="91"/>
        <v>35.0378082191781</v>
      </c>
      <c r="W403">
        <f>SUM($V$400:V403)</f>
        <v>140.003835616438</v>
      </c>
      <c r="X403">
        <f>MAX(F403-50,0)*中国_中债国债到期收益率_1年!H403*100/365</f>
        <v>0</v>
      </c>
      <c r="Y403">
        <f>SUM($X$400:X403)</f>
        <v>0</v>
      </c>
      <c r="Z403">
        <v>-50</v>
      </c>
      <c r="AA403">
        <v>50</v>
      </c>
      <c r="AB403">
        <f>Z403*Return!F407*100</f>
        <v>-87.5000000000004</v>
      </c>
      <c r="AC403">
        <f>AA403*Return!G407*100</f>
        <v>119</v>
      </c>
      <c r="AD403">
        <f>SUM($AB$400:AB403)+SUM($AC$400:AC403)</f>
        <v>214.500000000004</v>
      </c>
      <c r="AE403">
        <f t="shared" si="84"/>
        <v>334.503835616447</v>
      </c>
      <c r="AF403">
        <f t="shared" si="85"/>
        <v>1.00066900767123</v>
      </c>
      <c r="AG403" s="5">
        <f>(AE403-AE402)/(500000+AE402)-中国_中债国债到期收益率_1年!H403%/252</f>
        <v>0.000683870362916915</v>
      </c>
      <c r="AH403" s="5">
        <f>MIN((AF403-MAX($AF$401:AF403))/MAX($AF$401:AF403),0)</f>
        <v>-0.000490414684909041</v>
      </c>
    </row>
    <row r="404" spans="1:34">
      <c r="A404" s="7">
        <v>45296</v>
      </c>
      <c r="C404">
        <v>20</v>
      </c>
      <c r="D404">
        <v>20</v>
      </c>
      <c r="E404">
        <v>10</v>
      </c>
      <c r="F404">
        <f t="shared" si="82"/>
        <v>50</v>
      </c>
      <c r="G404">
        <f t="shared" si="86"/>
        <v>0</v>
      </c>
      <c r="H404">
        <f t="shared" si="87"/>
        <v>100</v>
      </c>
      <c r="I404">
        <f t="shared" si="88"/>
        <v>180</v>
      </c>
      <c r="J404">
        <f t="shared" si="89"/>
        <v>160</v>
      </c>
      <c r="K404">
        <f t="shared" si="83"/>
        <v>440</v>
      </c>
      <c r="L404">
        <f>G404*Return!B404*100</f>
        <v>0</v>
      </c>
      <c r="M404">
        <f>H404*Return!C404*100</f>
        <v>122.999999999998</v>
      </c>
      <c r="N404">
        <f>I404*Return!D404*100</f>
        <v>293.400000000004</v>
      </c>
      <c r="O404">
        <f>J404*Return!E404*100</f>
        <v>371.199999999995</v>
      </c>
      <c r="P404">
        <f t="shared" si="90"/>
        <v>787.599999999996</v>
      </c>
      <c r="Q404">
        <f>SUM($P$400:P404)</f>
        <v>767.600000000001</v>
      </c>
      <c r="R404">
        <f>B404*中国_中债国债到期收益率_1年!B403/365*100</f>
        <v>0</v>
      </c>
      <c r="S404">
        <f>C404*中国_中债国债到期收益率_1年!C403/365*100</f>
        <v>13.1994520547945</v>
      </c>
      <c r="T404">
        <f>D404*中国_中债国债到期收益率_1年!D403/365*100</f>
        <v>13.9002739726027</v>
      </c>
      <c r="U404">
        <f>E404*中国_中债国债到期收益率_1年!E403/365*100</f>
        <v>7.71780821917808</v>
      </c>
      <c r="V404">
        <f t="shared" si="91"/>
        <v>34.8175342465753</v>
      </c>
      <c r="W404">
        <f>SUM($V$400:V404)</f>
        <v>174.821369863014</v>
      </c>
      <c r="X404">
        <f>MAX(F404-50,0)*中国_中债国债到期收益率_1年!H404*100/365</f>
        <v>0</v>
      </c>
      <c r="Y404">
        <f>SUM($X$400:X404)</f>
        <v>0</v>
      </c>
      <c r="Z404">
        <v>-50</v>
      </c>
      <c r="AA404">
        <v>50</v>
      </c>
      <c r="AB404">
        <f>Z404*Return!F408*100</f>
        <v>77.0000000000004</v>
      </c>
      <c r="AC404">
        <f>AA404*Return!G408*100</f>
        <v>-24.0000000000018</v>
      </c>
      <c r="AD404">
        <f>SUM($AB$400:AB404)+SUM($AC$400:AC404)</f>
        <v>267.500000000003</v>
      </c>
      <c r="AE404">
        <f t="shared" si="84"/>
        <v>1209.92136986302</v>
      </c>
      <c r="AF404">
        <f t="shared" si="85"/>
        <v>1.00241984273973</v>
      </c>
      <c r="AG404" s="5">
        <f>(AE404-AE403)/(500000+AE403)-中国_中债国债到期收益率_1年!H404%/252</f>
        <v>0.00166434706918336</v>
      </c>
      <c r="AH404" s="5">
        <f>MIN((AF404-MAX($AF$401:AF404))/MAX($AF$401:AF404),0)</f>
        <v>0</v>
      </c>
    </row>
    <row r="405" spans="1:34">
      <c r="A405" s="7">
        <v>45299</v>
      </c>
      <c r="C405">
        <v>20</v>
      </c>
      <c r="D405">
        <v>20</v>
      </c>
      <c r="E405">
        <v>10</v>
      </c>
      <c r="F405">
        <f t="shared" si="82"/>
        <v>50</v>
      </c>
      <c r="G405">
        <f t="shared" si="86"/>
        <v>0</v>
      </c>
      <c r="H405">
        <f t="shared" si="87"/>
        <v>100</v>
      </c>
      <c r="I405">
        <f t="shared" si="88"/>
        <v>180</v>
      </c>
      <c r="J405">
        <f t="shared" si="89"/>
        <v>160</v>
      </c>
      <c r="K405">
        <f t="shared" si="83"/>
        <v>440</v>
      </c>
      <c r="L405">
        <f>G405*Return!B405*100</f>
        <v>0</v>
      </c>
      <c r="M405">
        <f>H405*Return!C405*100</f>
        <v>186.000000000002</v>
      </c>
      <c r="N405">
        <f>I405*Return!D405*100</f>
        <v>347.399999999998</v>
      </c>
      <c r="O405">
        <f>J405*Return!E405*100</f>
        <v>203.200000000002</v>
      </c>
      <c r="P405">
        <f t="shared" si="90"/>
        <v>736.600000000002</v>
      </c>
      <c r="Q405">
        <f>SUM($P$400:P405)</f>
        <v>1504.2</v>
      </c>
      <c r="R405">
        <f>B405*中国_中债国债到期收益率_1年!B404/365*100</f>
        <v>0</v>
      </c>
      <c r="S405">
        <f>C405*中国_中债国债到期收益率_1年!C404/365*100</f>
        <v>13.0975342465753</v>
      </c>
      <c r="T405">
        <f>D405*中国_中债国债到期收益率_1年!D404/365*100</f>
        <v>13.7945205479452</v>
      </c>
      <c r="U405">
        <f>E405*中国_中债国债到期收益率_1年!E404/365*100</f>
        <v>7.68301369863014</v>
      </c>
      <c r="V405">
        <f t="shared" si="91"/>
        <v>34.5750684931507</v>
      </c>
      <c r="W405">
        <f>SUM($V$400:V405)</f>
        <v>209.396438356164</v>
      </c>
      <c r="X405">
        <f>MAX(F405-50,0)*中国_中债国债到期收益率_1年!H405*100/365</f>
        <v>0</v>
      </c>
      <c r="Y405">
        <f>SUM($X$400:X405)</f>
        <v>0</v>
      </c>
      <c r="Z405">
        <v>-50</v>
      </c>
      <c r="AA405">
        <v>50</v>
      </c>
      <c r="AB405">
        <f>Z405*Return!F409*100</f>
        <v>-25.5000000000005</v>
      </c>
      <c r="AC405">
        <f>AA405*Return!G409*100</f>
        <v>5.00000000000167</v>
      </c>
      <c r="AD405">
        <f>SUM($AB$400:AB405)+SUM($AC$400:AC405)</f>
        <v>247.000000000004</v>
      </c>
      <c r="AE405">
        <f t="shared" si="84"/>
        <v>1960.59643835617</v>
      </c>
      <c r="AF405">
        <f t="shared" si="85"/>
        <v>1.00392119287671</v>
      </c>
      <c r="AG405" s="5">
        <f>(AE405-AE404)/(500000+AE404)-中国_中债国债到期收益率_1年!H405%/252</f>
        <v>0.00141042428859782</v>
      </c>
      <c r="AH405" s="5">
        <f>MIN((AF405-MAX($AF$401:AF405))/MAX($AF$401:AF405),0)</f>
        <v>0</v>
      </c>
    </row>
    <row r="406" spans="1:34">
      <c r="A406" s="7">
        <v>45300</v>
      </c>
      <c r="C406">
        <v>20</v>
      </c>
      <c r="D406">
        <v>20</v>
      </c>
      <c r="E406">
        <v>10</v>
      </c>
      <c r="F406">
        <f t="shared" si="82"/>
        <v>50</v>
      </c>
      <c r="G406">
        <f t="shared" si="86"/>
        <v>0</v>
      </c>
      <c r="H406">
        <f t="shared" si="87"/>
        <v>100</v>
      </c>
      <c r="I406">
        <f t="shared" si="88"/>
        <v>180</v>
      </c>
      <c r="J406">
        <f t="shared" si="89"/>
        <v>160</v>
      </c>
      <c r="K406">
        <f t="shared" si="83"/>
        <v>440</v>
      </c>
      <c r="L406">
        <f>G406*Return!B406*100</f>
        <v>0</v>
      </c>
      <c r="M406">
        <f>H406*Return!C406*100</f>
        <v>-177</v>
      </c>
      <c r="N406">
        <f>I406*Return!D406*100</f>
        <v>70.2000000000043</v>
      </c>
      <c r="O406">
        <f>J406*Return!E406*100</f>
        <v>36.7999999999995</v>
      </c>
      <c r="P406">
        <f t="shared" si="90"/>
        <v>-69.9999999999967</v>
      </c>
      <c r="Q406">
        <f>SUM($P$400:P406)</f>
        <v>1434.20000000001</v>
      </c>
      <c r="R406">
        <f>B406*中国_中债国债到期收益率_1年!B405/365*100</f>
        <v>0</v>
      </c>
      <c r="S406">
        <f>C406*中国_中债国债到期收益率_1年!C405/365*100</f>
        <v>13.1945205479452</v>
      </c>
      <c r="T406">
        <f>D406*中国_中债国债到期收益率_1年!D405/365*100</f>
        <v>13.7731506849315</v>
      </c>
      <c r="U406">
        <f>E406*中国_中债国债到期收益率_1年!E405/365*100</f>
        <v>7.67671232876712</v>
      </c>
      <c r="V406">
        <f t="shared" si="91"/>
        <v>34.6443835616438</v>
      </c>
      <c r="W406">
        <f>SUM($V$400:V406)</f>
        <v>244.040821917808</v>
      </c>
      <c r="X406">
        <f>MAX(F406-50,0)*中国_中债国债到期收益率_1年!H406*100/365</f>
        <v>0</v>
      </c>
      <c r="Y406">
        <f>SUM($X$400:X406)</f>
        <v>0</v>
      </c>
      <c r="Z406">
        <v>-50</v>
      </c>
      <c r="AA406">
        <v>50</v>
      </c>
      <c r="AB406">
        <f>Z406*Return!F410*100</f>
        <v>-65.9999999999994</v>
      </c>
      <c r="AC406">
        <f>AA406*Return!G410*100</f>
        <v>-18.0000000000002</v>
      </c>
      <c r="AD406">
        <f>SUM($AB$400:AB406)+SUM($AC$400:AC406)</f>
        <v>163.000000000004</v>
      </c>
      <c r="AE406">
        <f t="shared" si="84"/>
        <v>1841.24082191782</v>
      </c>
      <c r="AF406">
        <f t="shared" si="85"/>
        <v>1.00368248164384</v>
      </c>
      <c r="AG406" s="5">
        <f>(AE406-AE405)/(500000+AE405)-中国_中债国债到期收益率_1年!H406%/252</f>
        <v>-0.000328651871992871</v>
      </c>
      <c r="AH406" s="5">
        <f>MIN((AF406-MAX($AF$401:AF406))/MAX($AF$401:AF406),0)</f>
        <v>-0.000237778856119926</v>
      </c>
    </row>
    <row r="407" spans="1:34">
      <c r="A407" s="7">
        <v>45301</v>
      </c>
      <c r="C407">
        <v>20</v>
      </c>
      <c r="D407">
        <v>20</v>
      </c>
      <c r="E407">
        <v>10</v>
      </c>
      <c r="F407">
        <f t="shared" si="82"/>
        <v>50</v>
      </c>
      <c r="G407">
        <f t="shared" si="86"/>
        <v>0</v>
      </c>
      <c r="H407">
        <f t="shared" si="87"/>
        <v>100</v>
      </c>
      <c r="I407">
        <f t="shared" si="88"/>
        <v>180</v>
      </c>
      <c r="J407">
        <f t="shared" si="89"/>
        <v>160</v>
      </c>
      <c r="K407">
        <f t="shared" si="83"/>
        <v>440</v>
      </c>
      <c r="L407">
        <f>G407*Return!B407*100</f>
        <v>0</v>
      </c>
      <c r="M407">
        <f>H407*Return!C407*100</f>
        <v>175.000000000001</v>
      </c>
      <c r="N407">
        <f>I407*Return!D407*100</f>
        <v>493.199999999994</v>
      </c>
      <c r="O407">
        <f>J407*Return!E407*100</f>
        <v>523.200000000003</v>
      </c>
      <c r="P407">
        <f t="shared" si="90"/>
        <v>1191.4</v>
      </c>
      <c r="Q407">
        <f>SUM($P$400:P407)</f>
        <v>2625.6</v>
      </c>
      <c r="R407">
        <f>B407*中国_中债国债到期收益率_1年!B406/365*100</f>
        <v>0</v>
      </c>
      <c r="S407">
        <f>C407*中国_中债国债到期收益率_1年!C406/365*100</f>
        <v>13.0986301369863</v>
      </c>
      <c r="T407">
        <f>D407*中国_中债国债到期收益率_1年!D406/365*100</f>
        <v>13.6230136986301</v>
      </c>
      <c r="U407">
        <f>E407*中国_中债国债到期收益率_1年!E406/365*100</f>
        <v>7.58712328767123</v>
      </c>
      <c r="V407">
        <f t="shared" si="91"/>
        <v>34.3087671232877</v>
      </c>
      <c r="W407">
        <f>SUM($V$400:V407)</f>
        <v>278.349589041096</v>
      </c>
      <c r="X407">
        <f>MAX(F407-50,0)*中国_中债国债到期收益率_1年!H407*100/365</f>
        <v>0</v>
      </c>
      <c r="Y407">
        <f>SUM($X$400:X407)</f>
        <v>0</v>
      </c>
      <c r="Z407">
        <v>-50</v>
      </c>
      <c r="AA407">
        <v>50</v>
      </c>
      <c r="AB407">
        <f>Z407*Return!F411*100</f>
        <v>150.999999999999</v>
      </c>
      <c r="AC407">
        <f>AA407*Return!G411*100</f>
        <v>-8.50000000000017</v>
      </c>
      <c r="AD407">
        <f>SUM($AB$400:AB407)+SUM($AC$400:AC407)</f>
        <v>305.500000000003</v>
      </c>
      <c r="AE407">
        <f t="shared" si="84"/>
        <v>3209.4495890411</v>
      </c>
      <c r="AF407">
        <f t="shared" si="85"/>
        <v>1.00641889917808</v>
      </c>
      <c r="AG407" s="5">
        <f>(AE407-AE406)/(500000+AE406)-中国_中债国债到期收益率_1年!H407%/252</f>
        <v>0.00263907611111639</v>
      </c>
      <c r="AH407" s="5">
        <f>MIN((AF407-MAX($AF$401:AF407))/MAX($AF$401:AF407),0)</f>
        <v>0</v>
      </c>
    </row>
    <row r="408" spans="1:34">
      <c r="A408" s="7">
        <v>45302</v>
      </c>
      <c r="C408">
        <v>20</v>
      </c>
      <c r="D408">
        <v>20</v>
      </c>
      <c r="E408">
        <v>10</v>
      </c>
      <c r="F408">
        <f t="shared" si="82"/>
        <v>50</v>
      </c>
      <c r="G408">
        <f t="shared" si="86"/>
        <v>0</v>
      </c>
      <c r="H408">
        <f t="shared" si="87"/>
        <v>100</v>
      </c>
      <c r="I408">
        <f t="shared" si="88"/>
        <v>180</v>
      </c>
      <c r="J408">
        <f t="shared" si="89"/>
        <v>160</v>
      </c>
      <c r="K408">
        <f t="shared" si="83"/>
        <v>440</v>
      </c>
      <c r="L408">
        <f>G408*Return!B408*100</f>
        <v>0</v>
      </c>
      <c r="M408">
        <f>H408*Return!C408*100</f>
        <v>-157.000000000003</v>
      </c>
      <c r="N408">
        <f>I408*Return!D408*100</f>
        <v>-216</v>
      </c>
      <c r="O408">
        <f>J408*Return!E408*100</f>
        <v>-103.999999999999</v>
      </c>
      <c r="P408">
        <f t="shared" si="90"/>
        <v>-477.000000000002</v>
      </c>
      <c r="Q408">
        <f>SUM($P$400:P408)</f>
        <v>2148.6</v>
      </c>
      <c r="R408">
        <f>B408*中国_中债国债到期收益率_1年!B407/365*100</f>
        <v>0</v>
      </c>
      <c r="S408">
        <f>C408*中国_中债国债到期收益率_1年!C407/365*100</f>
        <v>13.1846575342466</v>
      </c>
      <c r="T408">
        <f>D408*中国_中债国债到期收益率_1年!D407/365*100</f>
        <v>13.6887671232877</v>
      </c>
      <c r="U408">
        <f>E408*中国_中债国债到期收益率_1年!E407/365*100</f>
        <v>7.60493150684932</v>
      </c>
      <c r="V408">
        <f t="shared" si="91"/>
        <v>34.4783561643836</v>
      </c>
      <c r="W408">
        <f>SUM($V$400:V408)</f>
        <v>312.827945205479</v>
      </c>
      <c r="X408">
        <f>MAX(F408-50,0)*中国_中债国债到期收益率_1年!H408*100/365</f>
        <v>0</v>
      </c>
      <c r="Y408">
        <f>SUM($X$400:X408)</f>
        <v>0</v>
      </c>
      <c r="Z408">
        <v>-50</v>
      </c>
      <c r="AA408">
        <v>50</v>
      </c>
      <c r="AB408">
        <f>Z408*Return!F412*100</f>
        <v>172.000000000001</v>
      </c>
      <c r="AC408">
        <f>AA408*Return!G412*100</f>
        <v>-88.0000000000014</v>
      </c>
      <c r="AD408">
        <f>SUM($AB$400:AB408)+SUM($AC$400:AC408)</f>
        <v>389.500000000003</v>
      </c>
      <c r="AE408">
        <f t="shared" si="84"/>
        <v>2850.92794520548</v>
      </c>
      <c r="AF408">
        <f t="shared" si="85"/>
        <v>1.00570185589041</v>
      </c>
      <c r="AG408" s="5">
        <f>(AE408-AE407)/(500000+AE407)-中国_中债国债到期收益率_1年!H408%/252</f>
        <v>-0.000799771601782465</v>
      </c>
      <c r="AH408" s="5">
        <f>MIN((AF408-MAX($AF$401:AF408))/MAX($AF$401:AF408),0)</f>
        <v>-0.000712470014480944</v>
      </c>
    </row>
    <row r="409" spans="1:34">
      <c r="A409" s="7">
        <v>45303</v>
      </c>
      <c r="C409">
        <v>20</v>
      </c>
      <c r="D409">
        <v>20</v>
      </c>
      <c r="E409">
        <v>10</v>
      </c>
      <c r="F409">
        <f t="shared" si="82"/>
        <v>50</v>
      </c>
      <c r="G409">
        <f t="shared" si="86"/>
        <v>0</v>
      </c>
      <c r="H409">
        <f t="shared" si="87"/>
        <v>100</v>
      </c>
      <c r="I409">
        <f t="shared" si="88"/>
        <v>180</v>
      </c>
      <c r="J409">
        <f t="shared" si="89"/>
        <v>160</v>
      </c>
      <c r="K409">
        <f t="shared" si="83"/>
        <v>440</v>
      </c>
      <c r="L409">
        <f>G409*Return!B409*100</f>
        <v>0</v>
      </c>
      <c r="M409">
        <f>H409*Return!C409*100</f>
        <v>20.0000000000022</v>
      </c>
      <c r="N409">
        <f>I409*Return!D409*100</f>
        <v>-17.999999999998</v>
      </c>
      <c r="O409">
        <f>J409*Return!E409*100</f>
        <v>-17.6000000000016</v>
      </c>
      <c r="P409">
        <f t="shared" si="90"/>
        <v>-15.5999999999974</v>
      </c>
      <c r="Q409">
        <f>SUM($P$400:P409)</f>
        <v>2133</v>
      </c>
      <c r="R409">
        <f>B409*中国_中债国债到期收益率_1年!B408/365*100</f>
        <v>0</v>
      </c>
      <c r="S409">
        <f>C409*中国_中债国债到期收益率_1年!C408/365*100</f>
        <v>13.173698630137</v>
      </c>
      <c r="T409">
        <f>D409*中国_中债国债到期收益率_1年!D408/365*100</f>
        <v>13.6942465753425</v>
      </c>
      <c r="U409">
        <f>E409*中国_中债国债到期收益率_1年!E408/365*100</f>
        <v>7.60794520547945</v>
      </c>
      <c r="V409">
        <f t="shared" si="91"/>
        <v>34.4758904109589</v>
      </c>
      <c r="W409">
        <f>SUM($V$400:V409)</f>
        <v>347.303835616438</v>
      </c>
      <c r="X409">
        <f>MAX(F409-50,0)*中国_中债国债到期收益率_1年!H409*100/365</f>
        <v>0</v>
      </c>
      <c r="Y409">
        <f>SUM($X$400:X409)</f>
        <v>0</v>
      </c>
      <c r="Z409">
        <v>-50</v>
      </c>
      <c r="AA409">
        <v>50</v>
      </c>
      <c r="AB409">
        <f>Z409*Return!F413*100</f>
        <v>-8.99999999999901</v>
      </c>
      <c r="AC409">
        <f>AA409*Return!G413*100</f>
        <v>60.0000000000001</v>
      </c>
      <c r="AD409">
        <f>SUM($AB$400:AB409)+SUM($AC$400:AC409)</f>
        <v>440.500000000004</v>
      </c>
      <c r="AE409">
        <f t="shared" si="84"/>
        <v>2920.80383561645</v>
      </c>
      <c r="AF409">
        <f t="shared" si="85"/>
        <v>1.00584160767123</v>
      </c>
      <c r="AG409" s="5">
        <f>(AE409-AE408)/(500000+AE408)-中国_中债国债到期收益率_1年!H409%/252</f>
        <v>5.16578667387897e-5</v>
      </c>
      <c r="AH409" s="5">
        <f>MIN((AF409-MAX($AF$401:AF409))/MAX($AF$401:AF409),0)</f>
        <v>-0.000573609564884796</v>
      </c>
    </row>
    <row r="410" spans="1:34">
      <c r="A410" s="7">
        <v>45306</v>
      </c>
      <c r="C410">
        <v>20</v>
      </c>
      <c r="D410">
        <v>20</v>
      </c>
      <c r="E410">
        <v>10</v>
      </c>
      <c r="F410">
        <f t="shared" si="82"/>
        <v>50</v>
      </c>
      <c r="G410">
        <f t="shared" si="86"/>
        <v>0</v>
      </c>
      <c r="H410">
        <f t="shared" si="87"/>
        <v>100</v>
      </c>
      <c r="I410">
        <f t="shared" si="88"/>
        <v>180</v>
      </c>
      <c r="J410">
        <f t="shared" si="89"/>
        <v>160</v>
      </c>
      <c r="K410">
        <f t="shared" si="83"/>
        <v>440</v>
      </c>
      <c r="L410">
        <f>G410*Return!B410*100</f>
        <v>0</v>
      </c>
      <c r="M410">
        <f>H410*Return!C410*100</f>
        <v>-114.000000000001</v>
      </c>
      <c r="N410">
        <f>I410*Return!D410*100</f>
        <v>-323.999999999996</v>
      </c>
      <c r="O410">
        <f>J410*Return!E410*100</f>
        <v>-257.600000000004</v>
      </c>
      <c r="P410">
        <f t="shared" si="90"/>
        <v>-695.600000000001</v>
      </c>
      <c r="Q410">
        <f>SUM($P$400:P410)</f>
        <v>1437.4</v>
      </c>
      <c r="R410">
        <f>B410*中国_中债国债到期收益率_1年!B409/365*100</f>
        <v>0</v>
      </c>
      <c r="S410">
        <f>C410*中国_中债国债到期收益率_1年!C409/365*100</f>
        <v>13.2361643835616</v>
      </c>
      <c r="T410">
        <f>D410*中国_中债国债到期收益率_1年!D409/365*100</f>
        <v>13.7928767123288</v>
      </c>
      <c r="U410">
        <f>E410*中国_中债国债到期收益率_1年!E409/365*100</f>
        <v>7.65205479452055</v>
      </c>
      <c r="V410">
        <f t="shared" si="91"/>
        <v>34.681095890411</v>
      </c>
      <c r="W410">
        <f>SUM($V$400:V410)</f>
        <v>381.984931506849</v>
      </c>
      <c r="X410">
        <f>MAX(F410-50,0)*中国_中债国债到期收益率_1年!H410*100/365</f>
        <v>0</v>
      </c>
      <c r="Y410">
        <f>SUM($X$400:X410)</f>
        <v>0</v>
      </c>
      <c r="Z410">
        <v>-50</v>
      </c>
      <c r="AA410">
        <v>50</v>
      </c>
      <c r="AB410">
        <f>Z410*Return!F414*100</f>
        <v>-46.0000000000016</v>
      </c>
      <c r="AC410">
        <f>AA410*Return!G414*100</f>
        <v>31.4999999999999</v>
      </c>
      <c r="AD410">
        <f>SUM($AB$400:AB410)+SUM($AC$400:AC410)</f>
        <v>426.000000000002</v>
      </c>
      <c r="AE410">
        <f t="shared" si="84"/>
        <v>2245.38493150685</v>
      </c>
      <c r="AF410">
        <f t="shared" si="85"/>
        <v>1.00449076986301</v>
      </c>
      <c r="AG410" s="5">
        <f>(AE410-AE409)/(500000+AE409)-中国_中债国债到期收益率_1年!H410%/252</f>
        <v>-0.00143227828679094</v>
      </c>
      <c r="AH410" s="5">
        <f>MIN((AF410-MAX($AF$401:AF410))/MAX($AF$401:AF410),0)</f>
        <v>-0.00191583178400489</v>
      </c>
    </row>
    <row r="411" spans="1:34">
      <c r="A411" s="7">
        <v>45307</v>
      </c>
      <c r="C411">
        <v>20</v>
      </c>
      <c r="D411">
        <v>20</v>
      </c>
      <c r="E411">
        <v>10</v>
      </c>
      <c r="F411">
        <f t="shared" si="82"/>
        <v>50</v>
      </c>
      <c r="G411">
        <f t="shared" si="86"/>
        <v>0</v>
      </c>
      <c r="H411">
        <f t="shared" si="87"/>
        <v>100</v>
      </c>
      <c r="I411">
        <f t="shared" si="88"/>
        <v>180</v>
      </c>
      <c r="J411">
        <f t="shared" si="89"/>
        <v>160</v>
      </c>
      <c r="K411">
        <f t="shared" si="83"/>
        <v>440</v>
      </c>
      <c r="L411">
        <f>G411*Return!B411*100</f>
        <v>0</v>
      </c>
      <c r="M411">
        <f>H411*Return!C411*100</f>
        <v>-100.000000000002</v>
      </c>
      <c r="N411">
        <f>I411*Return!D411*100</f>
        <v>-72.0000000000001</v>
      </c>
      <c r="O411">
        <f>J411*Return!E411*100</f>
        <v>118.400000000001</v>
      </c>
      <c r="P411">
        <f t="shared" si="90"/>
        <v>-53.6000000000012</v>
      </c>
      <c r="Q411">
        <f>SUM($P$400:P411)</f>
        <v>1383.8</v>
      </c>
      <c r="R411">
        <f>B411*中国_中债国债到期收益率_1年!B410/365*100</f>
        <v>0</v>
      </c>
      <c r="S411">
        <f>C411*中国_中债国债到期收益率_1年!C410/365*100</f>
        <v>13.2909589041096</v>
      </c>
      <c r="T411">
        <f>D411*中国_中债国债到期收益率_1年!D410/365*100</f>
        <v>13.8147945205479</v>
      </c>
      <c r="U411">
        <f>E411*中国_中债国债到期收益率_1年!E410/365*100</f>
        <v>7.63178082191781</v>
      </c>
      <c r="V411">
        <f t="shared" si="91"/>
        <v>34.7375342465753</v>
      </c>
      <c r="W411">
        <f>SUM($V$400:V411)</f>
        <v>416.722465753425</v>
      </c>
      <c r="X411">
        <f>MAX(F411-50,0)*中国_中债国债到期收益率_1年!H411*100/365</f>
        <v>0</v>
      </c>
      <c r="Y411">
        <f>SUM($X$400:X411)</f>
        <v>0</v>
      </c>
      <c r="Z411">
        <v>-100</v>
      </c>
      <c r="AA411">
        <v>100</v>
      </c>
      <c r="AB411">
        <f>Z411*Return!F415*100</f>
        <v>-221</v>
      </c>
      <c r="AC411">
        <f>AA411*Return!G415*100</f>
        <v>22.000000000002</v>
      </c>
      <c r="AD411">
        <f>SUM($AB$400:AB411)+SUM($AC$400:AC411)</f>
        <v>227.000000000004</v>
      </c>
      <c r="AE411">
        <f t="shared" si="84"/>
        <v>2027.52246575343</v>
      </c>
      <c r="AF411">
        <f t="shared" si="85"/>
        <v>1.00405504493151</v>
      </c>
      <c r="AG411" s="5">
        <f>(AE411-AE410)/(500000+AE410)-中国_中债国债到期收益率_1年!H411%/252</f>
        <v>-0.000523062653387175</v>
      </c>
      <c r="AH411" s="5">
        <f>MIN((AF411-MAX($AF$401:AF411))/MAX($AF$401:AF411),0)</f>
        <v>-0.00234877767945919</v>
      </c>
    </row>
    <row r="412" spans="1:34">
      <c r="A412" s="7">
        <v>45308</v>
      </c>
      <c r="C412">
        <v>20</v>
      </c>
      <c r="D412">
        <v>20</v>
      </c>
      <c r="E412">
        <v>10</v>
      </c>
      <c r="F412">
        <f t="shared" si="82"/>
        <v>50</v>
      </c>
      <c r="G412">
        <f t="shared" si="86"/>
        <v>0</v>
      </c>
      <c r="H412">
        <f t="shared" si="87"/>
        <v>100</v>
      </c>
      <c r="I412">
        <f t="shared" si="88"/>
        <v>180</v>
      </c>
      <c r="J412">
        <f t="shared" si="89"/>
        <v>160</v>
      </c>
      <c r="K412">
        <f t="shared" si="83"/>
        <v>440</v>
      </c>
      <c r="L412">
        <f>G412*Return!B412*100</f>
        <v>0</v>
      </c>
      <c r="M412">
        <f>H412*Return!C412*100</f>
        <v>-149.999999999997</v>
      </c>
      <c r="N412">
        <f>I412*Return!D412*100</f>
        <v>-72.0000000000001</v>
      </c>
      <c r="O412">
        <f>J412*Return!E412*100</f>
        <v>-65.5999999999963</v>
      </c>
      <c r="P412">
        <f t="shared" si="90"/>
        <v>-287.599999999993</v>
      </c>
      <c r="Q412">
        <f>SUM($P$400:P412)</f>
        <v>1096.20000000001</v>
      </c>
      <c r="R412">
        <f>B412*中国_中债国债到期收益率_1年!B411/365*100</f>
        <v>0</v>
      </c>
      <c r="S412">
        <f>C412*中国_中债国债到期收益率_1年!C411/365*100</f>
        <v>13.3731506849315</v>
      </c>
      <c r="T412">
        <f>D412*中国_中债国债到期收益率_1年!D411/365*100</f>
        <v>13.8367123287671</v>
      </c>
      <c r="U412">
        <f>E412*中国_中债国债到期收益率_1年!E411/365*100</f>
        <v>7.64301369863014</v>
      </c>
      <c r="V412">
        <f t="shared" si="91"/>
        <v>34.8528767123288</v>
      </c>
      <c r="W412">
        <f>SUM($V$400:V412)</f>
        <v>451.575342465753</v>
      </c>
      <c r="X412">
        <f>MAX(F412-50,0)*中国_中债国债到期收益率_1年!H412*100/365</f>
        <v>0</v>
      </c>
      <c r="Y412">
        <f>SUM($X$400:X412)</f>
        <v>0</v>
      </c>
      <c r="Z412">
        <v>-100</v>
      </c>
      <c r="AA412">
        <v>100</v>
      </c>
      <c r="AB412">
        <f>Z412*Return!F416*100</f>
        <v>152.000000000001</v>
      </c>
      <c r="AC412">
        <f>AA412*Return!G416*100</f>
        <v>49.0000000000013</v>
      </c>
      <c r="AD412">
        <f>SUM($AB$400:AB412)+SUM($AC$400:AC412)</f>
        <v>428.000000000006</v>
      </c>
      <c r="AE412">
        <f t="shared" si="84"/>
        <v>1975.77534246577</v>
      </c>
      <c r="AF412">
        <f t="shared" si="85"/>
        <v>1.00395155068493</v>
      </c>
      <c r="AG412" s="5">
        <f>(AE412-AE411)/(500000+AE411)-中国_中债国债到期收益率_1年!H412%/252</f>
        <v>-0.000194346108948358</v>
      </c>
      <c r="AH412" s="5">
        <f>MIN((AF412-MAX($AF$401:AF412))/MAX($AF$401:AF412),0)</f>
        <v>-0.00245161184390099</v>
      </c>
    </row>
    <row r="413" spans="1:34">
      <c r="A413" s="7">
        <v>45309</v>
      </c>
      <c r="C413">
        <v>20</v>
      </c>
      <c r="D413">
        <v>20</v>
      </c>
      <c r="E413">
        <v>10</v>
      </c>
      <c r="F413">
        <f t="shared" si="82"/>
        <v>50</v>
      </c>
      <c r="G413">
        <f t="shared" si="86"/>
        <v>0</v>
      </c>
      <c r="H413">
        <f t="shared" si="87"/>
        <v>100</v>
      </c>
      <c r="I413">
        <f t="shared" si="88"/>
        <v>180</v>
      </c>
      <c r="J413">
        <f t="shared" si="89"/>
        <v>160</v>
      </c>
      <c r="K413">
        <f t="shared" si="83"/>
        <v>440</v>
      </c>
      <c r="L413">
        <f>G413*Return!B413*100</f>
        <v>0</v>
      </c>
      <c r="M413">
        <f>H413*Return!C413*100</f>
        <v>402.999999999998</v>
      </c>
      <c r="N413">
        <f>I413*Return!D413*100</f>
        <v>315.000000000001</v>
      </c>
      <c r="O413">
        <f>J413*Return!E413*100</f>
        <v>239.999999999995</v>
      </c>
      <c r="P413">
        <f t="shared" si="90"/>
        <v>957.999999999994</v>
      </c>
      <c r="Q413">
        <f>SUM($P$400:P413)</f>
        <v>2054.2</v>
      </c>
      <c r="R413">
        <f>B413*中国_中债国债到期收益率_1年!B412/365*100</f>
        <v>0</v>
      </c>
      <c r="S413">
        <f>C413*中国_中债国债到期收益率_1年!C412/365*100</f>
        <v>13.1523287671233</v>
      </c>
      <c r="T413">
        <f>D413*中国_中债国债到期收益率_1年!D412/365*100</f>
        <v>13.7408219178082</v>
      </c>
      <c r="U413">
        <f>E413*中国_中债国债到期收益率_1年!E412/365*100</f>
        <v>7.60191780821918</v>
      </c>
      <c r="V413">
        <f t="shared" si="91"/>
        <v>34.4950684931507</v>
      </c>
      <c r="W413">
        <f>SUM($V$400:V413)</f>
        <v>486.070410958904</v>
      </c>
      <c r="X413">
        <f>MAX(F413-50,0)*中国_中债国债到期收益率_1年!H413*100/365</f>
        <v>0</v>
      </c>
      <c r="Y413">
        <f>SUM($X$400:X413)</f>
        <v>0</v>
      </c>
      <c r="Z413">
        <v>-100</v>
      </c>
      <c r="AA413">
        <v>100</v>
      </c>
      <c r="AB413">
        <f>Z413*Return!F417*100</f>
        <v>-19.0000000000001</v>
      </c>
      <c r="AC413">
        <f>AA413*Return!G417*100</f>
        <v>-109.000000000004</v>
      </c>
      <c r="AD413">
        <f>SUM($AB$400:AB413)+SUM($AC$400:AC413)</f>
        <v>300.000000000003</v>
      </c>
      <c r="AE413">
        <f t="shared" si="84"/>
        <v>2840.27041095891</v>
      </c>
      <c r="AF413">
        <f t="shared" si="85"/>
        <v>1.00568054082192</v>
      </c>
      <c r="AG413" s="5">
        <f>(AE413-AE412)/(500000+AE412)-中国_中债国债到期收益率_1年!H413%/252</f>
        <v>0.00163488324901517</v>
      </c>
      <c r="AH413" s="5">
        <f>MIN((AF413-MAX($AF$401:AF413))/MAX($AF$401:AF413),0)</f>
        <v>-0.00073364913632626</v>
      </c>
    </row>
    <row r="414" spans="1:34">
      <c r="A414" s="7">
        <v>45310</v>
      </c>
      <c r="C414">
        <v>20</v>
      </c>
      <c r="D414">
        <v>20</v>
      </c>
      <c r="E414">
        <v>10</v>
      </c>
      <c r="F414">
        <f t="shared" si="82"/>
        <v>50</v>
      </c>
      <c r="G414">
        <f t="shared" si="86"/>
        <v>0</v>
      </c>
      <c r="H414">
        <f t="shared" ref="H414:H477" si="92">5*C414</f>
        <v>100</v>
      </c>
      <c r="I414">
        <f t="shared" ref="I414:I477" si="93">9*D414</f>
        <v>180</v>
      </c>
      <c r="J414">
        <f t="shared" ref="J414:J477" si="94">16*E414</f>
        <v>160</v>
      </c>
      <c r="K414">
        <f t="shared" ref="K414:K477" si="95">SUM(G414:J414)</f>
        <v>440</v>
      </c>
      <c r="L414">
        <f>G414*Return!B414*100</f>
        <v>0</v>
      </c>
      <c r="M414">
        <f>H414*Return!C414*100</f>
        <v>49.0000000000013</v>
      </c>
      <c r="N414">
        <f>I414*Return!D414*100</f>
        <v>-27.000000000001</v>
      </c>
      <c r="O414">
        <f>J414*Return!E414*100</f>
        <v>24.0000000000009</v>
      </c>
      <c r="P414">
        <f t="shared" ref="P414:P477" si="96">SUM(L414:O414)</f>
        <v>46.0000000000012</v>
      </c>
      <c r="Q414">
        <f>SUM($P$400:P414)</f>
        <v>2100.2</v>
      </c>
      <c r="R414">
        <f>B414*中国_中债国债到期收益率_1年!B413/365*100</f>
        <v>0</v>
      </c>
      <c r="S414">
        <f>C414*中国_中债国债到期收益率_1年!C413/365*100</f>
        <v>13.1254794520548</v>
      </c>
      <c r="T414">
        <f>D414*中国_中债国债到期收益率_1年!D413/365*100</f>
        <v>13.7490410958904</v>
      </c>
      <c r="U414">
        <f>E414*中国_中债国债到期收益率_1年!E413/365*100</f>
        <v>7.59780821917808</v>
      </c>
      <c r="V414">
        <f t="shared" ref="V414:V477" si="97">SUM(R414:U414)</f>
        <v>34.4723287671233</v>
      </c>
      <c r="W414">
        <f>SUM($V$400:V414)</f>
        <v>520.542739726027</v>
      </c>
      <c r="X414">
        <f>MAX(F414-50,0)*中国_中债国债到期收益率_1年!H414*100/365</f>
        <v>0</v>
      </c>
      <c r="Y414">
        <f>SUM($X$400:X414)</f>
        <v>0</v>
      </c>
      <c r="Z414">
        <v>-100</v>
      </c>
      <c r="AA414">
        <v>100</v>
      </c>
      <c r="AB414">
        <f>Z414*Return!F418*100</f>
        <v>-236.999999999998</v>
      </c>
      <c r="AC414">
        <f>AA414*Return!G418*100</f>
        <v>70.0000000000012</v>
      </c>
      <c r="AD414">
        <f>SUM($AB$400:AB414)+SUM($AC$400:AC414)</f>
        <v>133.000000000005</v>
      </c>
      <c r="AE414">
        <f t="shared" si="84"/>
        <v>2753.74273972604</v>
      </c>
      <c r="AF414">
        <f t="shared" si="85"/>
        <v>1.00550748547945</v>
      </c>
      <c r="AG414" s="5">
        <f>(AE414-AE413)/(500000+AE413)-中国_中债国债到期收益率_1年!H414%/252</f>
        <v>-0.000257395307547468</v>
      </c>
      <c r="AH414" s="5">
        <f>MIN((AF414-MAX($AF$401:AF414))/MAX($AF$401:AF414),0)</f>
        <v>-0.000905600738792222</v>
      </c>
    </row>
    <row r="415" spans="1:34">
      <c r="A415" s="7">
        <v>45313</v>
      </c>
      <c r="C415">
        <v>20</v>
      </c>
      <c r="D415">
        <v>20</v>
      </c>
      <c r="E415">
        <v>10</v>
      </c>
      <c r="F415">
        <f t="shared" si="82"/>
        <v>50</v>
      </c>
      <c r="G415">
        <f t="shared" si="86"/>
        <v>0</v>
      </c>
      <c r="H415">
        <f t="shared" si="92"/>
        <v>100</v>
      </c>
      <c r="I415">
        <f t="shared" si="93"/>
        <v>180</v>
      </c>
      <c r="J415">
        <f t="shared" si="94"/>
        <v>160</v>
      </c>
      <c r="K415">
        <f t="shared" si="95"/>
        <v>440</v>
      </c>
      <c r="L415">
        <f>G415*Return!B415*100</f>
        <v>0</v>
      </c>
      <c r="M415">
        <f>H415*Return!C415*100</f>
        <v>173.999999999999</v>
      </c>
      <c r="N415">
        <f>I415*Return!D415*100</f>
        <v>116.999999999999</v>
      </c>
      <c r="O415">
        <f>J415*Return!E415*100</f>
        <v>238.399999999999</v>
      </c>
      <c r="P415">
        <f t="shared" si="96"/>
        <v>529.399999999996</v>
      </c>
      <c r="Q415">
        <f>SUM($P$400:P415)</f>
        <v>2629.6</v>
      </c>
      <c r="R415">
        <f>B415*中国_中债国债到期收益率_1年!B414/365*100</f>
        <v>0</v>
      </c>
      <c r="S415">
        <f>C415*中国_中债国债到期收益率_1年!C414/365*100</f>
        <v>13.0301369863014</v>
      </c>
      <c r="T415">
        <f>D415*中国_中债国债到期收益率_1年!D414/365*100</f>
        <v>13.7134246575342</v>
      </c>
      <c r="U415">
        <f>E415*中国_中债国债到期收益率_1年!E414/365*100</f>
        <v>7.55698630136986</v>
      </c>
      <c r="V415">
        <f t="shared" si="97"/>
        <v>34.3005479452055</v>
      </c>
      <c r="W415">
        <f>SUM($V$400:V415)</f>
        <v>554.843287671233</v>
      </c>
      <c r="X415">
        <f>MAX(F415-50,0)*中国_中债国债到期收益率_1年!H415*100/365</f>
        <v>0</v>
      </c>
      <c r="Y415">
        <f>SUM($X$400:X415)</f>
        <v>0</v>
      </c>
      <c r="Z415">
        <v>-100</v>
      </c>
      <c r="AA415">
        <v>100</v>
      </c>
      <c r="AB415">
        <f>Z415*Return!F419*100</f>
        <v>-390.000000000001</v>
      </c>
      <c r="AC415">
        <f>AA415*Return!G419*100</f>
        <v>306.999999999999</v>
      </c>
      <c r="AD415">
        <f>SUM($AB$400:AB415)+SUM($AC$400:AC415)</f>
        <v>50.0000000000033</v>
      </c>
      <c r="AE415">
        <f t="shared" si="84"/>
        <v>3234.44328767124</v>
      </c>
      <c r="AF415">
        <f t="shared" si="85"/>
        <v>1.00646888657534</v>
      </c>
      <c r="AG415" s="5">
        <f>(AE415-AE414)/(500000+AE414)-中国_中债国债到期收益率_1年!H415%/252</f>
        <v>0.000872801861853184</v>
      </c>
      <c r="AH415" s="5">
        <f>MIN((AF415-MAX($AF$401:AF415))/MAX($AF$401:AF415),0)</f>
        <v>0</v>
      </c>
    </row>
    <row r="416" spans="1:34">
      <c r="A416" s="7">
        <v>45314</v>
      </c>
      <c r="C416">
        <v>20</v>
      </c>
      <c r="D416">
        <v>20</v>
      </c>
      <c r="E416">
        <v>10</v>
      </c>
      <c r="F416">
        <f t="shared" si="82"/>
        <v>50</v>
      </c>
      <c r="G416">
        <f t="shared" si="86"/>
        <v>0</v>
      </c>
      <c r="H416">
        <f t="shared" si="92"/>
        <v>100</v>
      </c>
      <c r="I416">
        <f t="shared" si="93"/>
        <v>180</v>
      </c>
      <c r="J416">
        <f t="shared" si="94"/>
        <v>160</v>
      </c>
      <c r="K416">
        <f t="shared" si="95"/>
        <v>440</v>
      </c>
      <c r="L416">
        <f>G416*Return!B416*100</f>
        <v>0</v>
      </c>
      <c r="M416">
        <f>H416*Return!C416*100</f>
        <v>71.0000000000033</v>
      </c>
      <c r="N416">
        <f>I416*Return!D416*100</f>
        <v>188.999999999999</v>
      </c>
      <c r="O416">
        <f>J416*Return!E416*100</f>
        <v>574.400000000004</v>
      </c>
      <c r="P416">
        <f t="shared" si="96"/>
        <v>834.400000000007</v>
      </c>
      <c r="Q416">
        <f>SUM($P$400:P416)</f>
        <v>3464.00000000001</v>
      </c>
      <c r="R416">
        <f>B416*中国_中债国债到期收益率_1年!B415/365*100</f>
        <v>0</v>
      </c>
      <c r="S416">
        <f>C416*中国_中债国债到期收益率_1年!C415/365*100</f>
        <v>12.9912328767123</v>
      </c>
      <c r="T416">
        <f>D416*中国_中债国债到期收益率_1年!D415/365*100</f>
        <v>13.6558904109589</v>
      </c>
      <c r="U416">
        <f>E416*中国_中债国债到期收益率_1年!E415/365*100</f>
        <v>7.4586301369863</v>
      </c>
      <c r="V416">
        <f t="shared" si="97"/>
        <v>34.1057534246575</v>
      </c>
      <c r="W416">
        <f>SUM($V$400:V416)</f>
        <v>588.94904109589</v>
      </c>
      <c r="X416">
        <f>MAX(F416-50,0)*中国_中债国债到期收益率_1年!H416*100/365</f>
        <v>0</v>
      </c>
      <c r="Y416">
        <f>SUM($X$400:X416)</f>
        <v>0</v>
      </c>
      <c r="Z416">
        <v>-100</v>
      </c>
      <c r="AA416">
        <v>100</v>
      </c>
      <c r="AB416">
        <f>Z416*Return!F420*100</f>
        <v>-194.999999999999</v>
      </c>
      <c r="AC416">
        <f>AA416*Return!G420*100</f>
        <v>62.9999999999997</v>
      </c>
      <c r="AD416">
        <f>SUM($AB$400:AB416)+SUM($AC$400:AC416)</f>
        <v>-81.9999999999955</v>
      </c>
      <c r="AE416">
        <f t="shared" si="84"/>
        <v>3970.9490410959</v>
      </c>
      <c r="AF416">
        <f t="shared" si="85"/>
        <v>1.00794189808219</v>
      </c>
      <c r="AG416" s="5">
        <f>(AE416-AE415)/(500000+AE415)-中国_中债国债到期收益率_1年!H416%/252</f>
        <v>0.00137822654635469</v>
      </c>
      <c r="AH416" s="5">
        <f>MIN((AF416-MAX($AF$401:AF416))/MAX($AF$401:AF416),0)</f>
        <v>0</v>
      </c>
    </row>
    <row r="417" spans="1:34">
      <c r="A417" s="7">
        <v>45315</v>
      </c>
      <c r="C417">
        <v>20</v>
      </c>
      <c r="D417">
        <v>20</v>
      </c>
      <c r="E417">
        <v>10</v>
      </c>
      <c r="F417">
        <f t="shared" si="82"/>
        <v>50</v>
      </c>
      <c r="G417">
        <f t="shared" si="86"/>
        <v>0</v>
      </c>
      <c r="H417">
        <f t="shared" si="92"/>
        <v>100</v>
      </c>
      <c r="I417">
        <f t="shared" si="93"/>
        <v>180</v>
      </c>
      <c r="J417">
        <f t="shared" si="94"/>
        <v>160</v>
      </c>
      <c r="K417">
        <f t="shared" si="95"/>
        <v>440</v>
      </c>
      <c r="L417">
        <f>G417*Return!B417*100</f>
        <v>0</v>
      </c>
      <c r="M417">
        <f>H417*Return!C417*100</f>
        <v>-126.000000000004</v>
      </c>
      <c r="N417">
        <f>I417*Return!D417*100</f>
        <v>-216</v>
      </c>
      <c r="O417">
        <f>J417*Return!E417*100</f>
        <v>-164.8</v>
      </c>
      <c r="P417">
        <f t="shared" si="96"/>
        <v>-506.800000000004</v>
      </c>
      <c r="Q417">
        <f>SUM($P$400:P417)</f>
        <v>2957.2</v>
      </c>
      <c r="R417">
        <f>B417*中国_中债国债到期收益率_1年!B416/365*100</f>
        <v>0</v>
      </c>
      <c r="S417">
        <f>C417*中国_中债国债到期收益率_1年!C416/365*100</f>
        <v>13.0602739726027</v>
      </c>
      <c r="T417">
        <f>D417*中国_中债国债到期收益率_1年!D416/365*100</f>
        <v>13.7216438356164</v>
      </c>
      <c r="U417">
        <f>E417*中国_中债国债到期收益率_1年!E416/365*100</f>
        <v>7.48684931506849</v>
      </c>
      <c r="V417">
        <f t="shared" si="97"/>
        <v>34.2687671232877</v>
      </c>
      <c r="W417">
        <f>SUM($V$400:V417)</f>
        <v>623.217808219178</v>
      </c>
      <c r="X417">
        <f>MAX(F417-50,0)*中国_中债国债到期收益率_1年!H417*100/365</f>
        <v>0</v>
      </c>
      <c r="Y417">
        <f>SUM($X$400:X417)</f>
        <v>0</v>
      </c>
      <c r="Z417">
        <v>-100</v>
      </c>
      <c r="AA417">
        <v>100</v>
      </c>
      <c r="AB417">
        <f>Z417*Return!F421*100</f>
        <v>-63.0000000000019</v>
      </c>
      <c r="AC417">
        <f>AA417*Return!G421*100</f>
        <v>196.000000000001</v>
      </c>
      <c r="AD417">
        <f>SUM($AB$400:AB417)+SUM($AC$400:AC417)</f>
        <v>51.0000000000033</v>
      </c>
      <c r="AE417">
        <f t="shared" si="84"/>
        <v>3631.41780821918</v>
      </c>
      <c r="AF417">
        <f t="shared" si="85"/>
        <v>1.00726283561644</v>
      </c>
      <c r="AG417" s="5">
        <f>(AE417-AE416)/(500000+AE416)-中国_中债国债到期收益率_1年!H417%/252</f>
        <v>-0.000757838898519555</v>
      </c>
      <c r="AH417" s="5">
        <f>MIN((AF417-MAX($AF$401:AF417))/MAX($AF$401:AF417),0)</f>
        <v>-0.00067371191439247</v>
      </c>
    </row>
    <row r="418" spans="1:34">
      <c r="A418" s="7">
        <v>45316</v>
      </c>
      <c r="C418">
        <v>20</v>
      </c>
      <c r="D418">
        <v>20</v>
      </c>
      <c r="E418">
        <v>10</v>
      </c>
      <c r="F418">
        <f t="shared" si="82"/>
        <v>50</v>
      </c>
      <c r="G418">
        <f t="shared" si="86"/>
        <v>0</v>
      </c>
      <c r="H418">
        <f t="shared" si="92"/>
        <v>100</v>
      </c>
      <c r="I418">
        <f t="shared" si="93"/>
        <v>180</v>
      </c>
      <c r="J418">
        <f t="shared" si="94"/>
        <v>160</v>
      </c>
      <c r="K418">
        <f t="shared" si="95"/>
        <v>440</v>
      </c>
      <c r="L418">
        <f>G418*Return!B418*100</f>
        <v>0</v>
      </c>
      <c r="M418">
        <f>H418*Return!C418*100</f>
        <v>122</v>
      </c>
      <c r="N418">
        <f>I418*Return!D418*100</f>
        <v>0</v>
      </c>
      <c r="O418">
        <f>J418*Return!E418*100</f>
        <v>-84.8000000000013</v>
      </c>
      <c r="P418">
        <f t="shared" si="96"/>
        <v>37.1999999999986</v>
      </c>
      <c r="Q418">
        <f>SUM($P$400:P418)</f>
        <v>2994.4</v>
      </c>
      <c r="R418">
        <f>B418*中国_中债国债到期收益率_1年!B417/365*100</f>
        <v>0</v>
      </c>
      <c r="S418">
        <f>C418*中国_中债国债到期收益率_1年!C417/365*100</f>
        <v>12.9934246575342</v>
      </c>
      <c r="T418">
        <f>D418*中国_中债国债到期收益率_1年!D417/365*100</f>
        <v>13.7216438356164</v>
      </c>
      <c r="U418">
        <f>E418*中国_中债国债到期收益率_1年!E417/365*100</f>
        <v>7.5013698630137</v>
      </c>
      <c r="V418">
        <f t="shared" si="97"/>
        <v>34.2164383561644</v>
      </c>
      <c r="W418">
        <f>SUM($V$400:V418)</f>
        <v>657.434246575343</v>
      </c>
      <c r="X418">
        <f>MAX(F418-50,0)*中国_中债国债到期收益率_1年!H418*100/365</f>
        <v>0</v>
      </c>
      <c r="Y418">
        <f>SUM($X$400:X418)</f>
        <v>0</v>
      </c>
      <c r="Z418">
        <v>-100</v>
      </c>
      <c r="AA418">
        <v>100</v>
      </c>
      <c r="AB418">
        <f>Z418*Return!F422*100</f>
        <v>-527</v>
      </c>
      <c r="AC418">
        <f>AA418*Return!G422*100</f>
        <v>573.999999999999</v>
      </c>
      <c r="AD418">
        <f>SUM($AB$400:AB418)+SUM($AC$400:AC418)</f>
        <v>98.0000000000027</v>
      </c>
      <c r="AE418">
        <f t="shared" si="84"/>
        <v>3749.83424657535</v>
      </c>
      <c r="AF418">
        <f t="shared" si="85"/>
        <v>1.00749966849315</v>
      </c>
      <c r="AG418" s="5">
        <f>(AE418-AE417)/(500000+AE417)-中国_中债国债到期收益率_1年!H418%/252</f>
        <v>0.000141871232774008</v>
      </c>
      <c r="AH418" s="5">
        <f>MIN((AF418-MAX($AF$401:AF418))/MAX($AF$401:AF418),0)</f>
        <v>-0.000438745120013735</v>
      </c>
    </row>
    <row r="419" spans="1:34">
      <c r="A419" s="7">
        <v>45317</v>
      </c>
      <c r="C419">
        <v>20</v>
      </c>
      <c r="D419">
        <v>20</v>
      </c>
      <c r="E419">
        <v>10</v>
      </c>
      <c r="F419">
        <f t="shared" si="82"/>
        <v>50</v>
      </c>
      <c r="G419">
        <f t="shared" si="86"/>
        <v>0</v>
      </c>
      <c r="H419">
        <f t="shared" si="92"/>
        <v>100</v>
      </c>
      <c r="I419">
        <f t="shared" si="93"/>
        <v>180</v>
      </c>
      <c r="J419">
        <f t="shared" si="94"/>
        <v>160</v>
      </c>
      <c r="K419">
        <f t="shared" si="95"/>
        <v>440</v>
      </c>
      <c r="L419">
        <f>G419*Return!B419*100</f>
        <v>0</v>
      </c>
      <c r="M419">
        <f>H419*Return!C419*100</f>
        <v>399.000000000003</v>
      </c>
      <c r="N419">
        <f>I419*Return!D419*100</f>
        <v>104.399999999996</v>
      </c>
      <c r="O419">
        <f>J419*Return!E419*100</f>
        <v>94.4000000000003</v>
      </c>
      <c r="P419">
        <f t="shared" si="96"/>
        <v>597.8</v>
      </c>
      <c r="Q419">
        <f>SUM($P$400:P419)</f>
        <v>3592.2</v>
      </c>
      <c r="R419">
        <f>B419*中国_中债国债到期收益率_1年!B418/365*100</f>
        <v>0</v>
      </c>
      <c r="S419">
        <f>C419*中国_中债国债到期收益率_1年!C418/365*100</f>
        <v>12.7747945205479</v>
      </c>
      <c r="T419">
        <f>D419*中国_中债国债到期收益率_1年!D418/365*100</f>
        <v>13.6898630136986</v>
      </c>
      <c r="U419">
        <f>E419*中国_中债国债到期收益率_1年!E418/365*100</f>
        <v>7.48520547945205</v>
      </c>
      <c r="V419">
        <f t="shared" si="97"/>
        <v>33.9498630136986</v>
      </c>
      <c r="W419">
        <f>SUM($V$400:V419)</f>
        <v>691.384109589041</v>
      </c>
      <c r="X419">
        <f>MAX(F419-50,0)*中国_中债国债到期收益率_1年!H419*100/365</f>
        <v>0</v>
      </c>
      <c r="Y419">
        <f>SUM($X$400:X419)</f>
        <v>0</v>
      </c>
      <c r="Z419">
        <v>-100</v>
      </c>
      <c r="AA419">
        <v>100</v>
      </c>
      <c r="AB419">
        <f>Z419*Return!F423*100</f>
        <v>276.000000000001</v>
      </c>
      <c r="AC419">
        <f>AA419*Return!G423*100</f>
        <v>51.000000000001</v>
      </c>
      <c r="AD419">
        <f>SUM($AB$400:AB419)+SUM($AC$400:AC419)</f>
        <v>425.000000000005</v>
      </c>
      <c r="AE419">
        <f t="shared" si="84"/>
        <v>4708.58410958905</v>
      </c>
      <c r="AF419">
        <f t="shared" si="85"/>
        <v>1.00941716821918</v>
      </c>
      <c r="AG419" s="5">
        <f>(AE419-AE418)/(500000+AE418)-中国_中债国债到期收益率_1年!H419%/252</f>
        <v>0.00180798806551616</v>
      </c>
      <c r="AH419" s="5">
        <f>MIN((AF419-MAX($AF$401:AF419))/MAX($AF$401:AF419),0)</f>
        <v>0</v>
      </c>
    </row>
    <row r="420" spans="1:34">
      <c r="A420" s="7">
        <v>45320</v>
      </c>
      <c r="C420">
        <v>20</v>
      </c>
      <c r="D420">
        <v>20</v>
      </c>
      <c r="E420">
        <v>10</v>
      </c>
      <c r="F420">
        <f t="shared" si="82"/>
        <v>50</v>
      </c>
      <c r="G420">
        <f t="shared" si="86"/>
        <v>0</v>
      </c>
      <c r="H420">
        <f t="shared" si="92"/>
        <v>100</v>
      </c>
      <c r="I420">
        <f t="shared" si="93"/>
        <v>180</v>
      </c>
      <c r="J420">
        <f t="shared" si="94"/>
        <v>160</v>
      </c>
      <c r="K420">
        <f t="shared" si="95"/>
        <v>440</v>
      </c>
      <c r="L420">
        <f>G420*Return!B420*100</f>
        <v>0</v>
      </c>
      <c r="M420">
        <f>H420*Return!C420*100</f>
        <v>-127.000000000002</v>
      </c>
      <c r="N420">
        <f>I420*Return!D420*100</f>
        <v>-17.999999999998</v>
      </c>
      <c r="O420">
        <f>J420*Return!E420*100</f>
        <v>-15.9999999999982</v>
      </c>
      <c r="P420">
        <f t="shared" si="96"/>
        <v>-160.999999999998</v>
      </c>
      <c r="Q420">
        <f>SUM($P$400:P420)</f>
        <v>3431.2</v>
      </c>
      <c r="R420">
        <f>B420*中国_中债国债到期收益率_1年!B419/365*100</f>
        <v>0</v>
      </c>
      <c r="S420">
        <f>C420*中国_中债国债到期收益率_1年!C419/365*100</f>
        <v>12.8443835616438</v>
      </c>
      <c r="T420">
        <f>D420*中国_中债国债到期收益率_1年!D419/365*100</f>
        <v>13.6953424657534</v>
      </c>
      <c r="U420">
        <f>E420*中国_中债国债到期收益率_1年!E419/365*100</f>
        <v>7.48794520547945</v>
      </c>
      <c r="V420">
        <f t="shared" si="97"/>
        <v>34.0276712328767</v>
      </c>
      <c r="W420">
        <f>SUM($V$400:V420)</f>
        <v>725.411780821918</v>
      </c>
      <c r="X420">
        <f>MAX(F420-50,0)*中国_中债国债到期收益率_1年!H420*100/365</f>
        <v>0</v>
      </c>
      <c r="Y420">
        <f>SUM($X$400:X420)</f>
        <v>0</v>
      </c>
      <c r="Z420">
        <v>-100</v>
      </c>
      <c r="AA420">
        <v>100</v>
      </c>
      <c r="AB420">
        <f>Z420*Return!F424*100</f>
        <v>35.0000000000006</v>
      </c>
      <c r="AC420">
        <f>AA420*Return!G424*100</f>
        <v>-101.999999999998</v>
      </c>
      <c r="AD420">
        <f>SUM($AB$400:AB420)+SUM($AC$400:AC420)</f>
        <v>358.000000000008</v>
      </c>
      <c r="AE420">
        <f t="shared" si="84"/>
        <v>4514.61178082193</v>
      </c>
      <c r="AF420">
        <f t="shared" si="85"/>
        <v>1.00902922356164</v>
      </c>
      <c r="AG420" s="5">
        <f>(AE420-AE419)/(500000+AE419)-中国_中债国债到期收益率_1年!H420%/252</f>
        <v>-0.000483531749792363</v>
      </c>
      <c r="AH420" s="5">
        <f>MIN((AF420-MAX($AF$401:AF420))/MAX($AF$401:AF420),0)</f>
        <v>-0.000384325400586111</v>
      </c>
    </row>
    <row r="421" spans="1:34">
      <c r="A421" s="7">
        <v>45321</v>
      </c>
      <c r="C421">
        <v>20</v>
      </c>
      <c r="D421">
        <v>20</v>
      </c>
      <c r="E421">
        <v>10</v>
      </c>
      <c r="F421">
        <f t="shared" si="82"/>
        <v>50</v>
      </c>
      <c r="G421">
        <f t="shared" si="86"/>
        <v>0</v>
      </c>
      <c r="H421">
        <f t="shared" si="92"/>
        <v>100</v>
      </c>
      <c r="I421">
        <f t="shared" si="93"/>
        <v>180</v>
      </c>
      <c r="J421">
        <f t="shared" si="94"/>
        <v>160</v>
      </c>
      <c r="K421">
        <f t="shared" si="95"/>
        <v>440</v>
      </c>
      <c r="L421">
        <f>G421*Return!B421*100</f>
        <v>0</v>
      </c>
      <c r="M421">
        <f>H421*Return!C421*100</f>
        <v>219</v>
      </c>
      <c r="N421">
        <f>I421*Return!D421*100</f>
        <v>97.1999999999973</v>
      </c>
      <c r="O421">
        <f>J421*Return!E421*100</f>
        <v>94.4000000000003</v>
      </c>
      <c r="P421">
        <f t="shared" si="96"/>
        <v>410.599999999998</v>
      </c>
      <c r="Q421">
        <f>SUM($P$400:P421)</f>
        <v>3841.8</v>
      </c>
      <c r="R421">
        <f>B421*中国_中债国债到期收益率_1年!B420/365*100</f>
        <v>0</v>
      </c>
      <c r="S421">
        <f>C421*中国_中债国债到期收益率_1年!C420/365*100</f>
        <v>12.7243835616438</v>
      </c>
      <c r="T421">
        <f>D421*中国_中债国债到期收益率_1年!D420/365*100</f>
        <v>13.6657534246575</v>
      </c>
      <c r="U421">
        <f>E421*中国_中债国债到期收益率_1年!E420/365*100</f>
        <v>7.47178082191781</v>
      </c>
      <c r="V421">
        <f t="shared" si="97"/>
        <v>33.8619178082192</v>
      </c>
      <c r="W421">
        <f>SUM($V$400:V421)</f>
        <v>759.273698630137</v>
      </c>
      <c r="X421">
        <f>MAX(F421-50,0)*中国_中债国债到期收益率_1年!H421*100/365</f>
        <v>0</v>
      </c>
      <c r="Y421">
        <f>SUM($X$400:X421)</f>
        <v>0</v>
      </c>
      <c r="Z421">
        <v>-30</v>
      </c>
      <c r="AA421">
        <v>30</v>
      </c>
      <c r="AB421">
        <f>Z421*Return!F425*100</f>
        <v>-9.30000000000031</v>
      </c>
      <c r="AC421">
        <f>AA421*Return!G425*100</f>
        <v>-10.5000000000008</v>
      </c>
      <c r="AD421">
        <f>SUM($AB$400:AB421)+SUM($AC$400:AC421)</f>
        <v>338.200000000006</v>
      </c>
      <c r="AE421">
        <f t="shared" si="84"/>
        <v>4939.27369863015</v>
      </c>
      <c r="AF421">
        <f t="shared" si="85"/>
        <v>1.00987854739726</v>
      </c>
      <c r="AG421" s="5">
        <f>(AE421-AE420)/(500000+AE420)-中国_中债国债到期收益率_1年!H421%/252</f>
        <v>0.000748469755681906</v>
      </c>
      <c r="AH421" s="5">
        <f>MIN((AF421-MAX($AF$401:AF421))/MAX($AF$401:AF421),0)</f>
        <v>0</v>
      </c>
    </row>
    <row r="422" spans="1:34">
      <c r="A422" s="7">
        <v>45322</v>
      </c>
      <c r="C422">
        <v>20</v>
      </c>
      <c r="D422">
        <v>20</v>
      </c>
      <c r="E422">
        <v>10</v>
      </c>
      <c r="F422">
        <f t="shared" si="82"/>
        <v>50</v>
      </c>
      <c r="G422">
        <f t="shared" si="86"/>
        <v>0</v>
      </c>
      <c r="H422">
        <f t="shared" si="92"/>
        <v>100</v>
      </c>
      <c r="I422">
        <f t="shared" si="93"/>
        <v>180</v>
      </c>
      <c r="J422">
        <f t="shared" si="94"/>
        <v>160</v>
      </c>
      <c r="K422">
        <f t="shared" si="95"/>
        <v>440</v>
      </c>
      <c r="L422">
        <f>G422*Return!B422*100</f>
        <v>0</v>
      </c>
      <c r="M422">
        <f>H422*Return!C422*100</f>
        <v>373.000000000001</v>
      </c>
      <c r="N422">
        <f>I422*Return!D422*100</f>
        <v>689.4</v>
      </c>
      <c r="O422">
        <f>J422*Return!E422*100</f>
        <v>705.599999999997</v>
      </c>
      <c r="P422">
        <f t="shared" si="96"/>
        <v>1768</v>
      </c>
      <c r="Q422">
        <f>SUM($P$400:P422)</f>
        <v>5609.8</v>
      </c>
      <c r="R422">
        <f>B422*中国_中债国债到期收益率_1年!B421/365*100</f>
        <v>0</v>
      </c>
      <c r="S422">
        <f>C422*中国_中债国债到期收益率_1年!C421/365*100</f>
        <v>12.52</v>
      </c>
      <c r="T422">
        <f>D422*中国_中债国债到期收益率_1年!D421/365*100</f>
        <v>13.4558904109589</v>
      </c>
      <c r="U422">
        <f>E422*中国_中债国债到期收益率_1年!E421/365*100</f>
        <v>7.35095890410959</v>
      </c>
      <c r="V422">
        <f t="shared" si="97"/>
        <v>33.3268493150685</v>
      </c>
      <c r="W422">
        <f>SUM($V$400:V422)</f>
        <v>792.600547945206</v>
      </c>
      <c r="X422">
        <f>MAX(F422-50,0)*中国_中债国债到期收益率_1年!H422*100/365</f>
        <v>0</v>
      </c>
      <c r="Y422">
        <f>SUM($X$400:X422)</f>
        <v>0</v>
      </c>
      <c r="Z422">
        <v>-30</v>
      </c>
      <c r="AA422">
        <v>30</v>
      </c>
      <c r="AB422">
        <f>Z422*Return!F426*100</f>
        <v>-43.7999999999998</v>
      </c>
      <c r="AC422">
        <f>AA422*Return!G426*100</f>
        <v>46.8000000000002</v>
      </c>
      <c r="AD422">
        <f>SUM($AB$400:AB422)+SUM($AC$400:AC422)</f>
        <v>341.200000000006</v>
      </c>
      <c r="AE422">
        <f t="shared" si="84"/>
        <v>6743.60054794521</v>
      </c>
      <c r="AF422">
        <f t="shared" si="85"/>
        <v>1.01348720109589</v>
      </c>
      <c r="AG422" s="5">
        <f>(AE422-AE421)/(500000+AE421)-中国_中债国债到期收益率_1年!H422%/252</f>
        <v>0.00348010018203534</v>
      </c>
      <c r="AH422" s="5">
        <f>MIN((AF422-MAX($AF$401:AF422))/MAX($AF$401:AF422),0)</f>
        <v>0</v>
      </c>
    </row>
    <row r="423" spans="1:34">
      <c r="A423" s="7">
        <v>45323</v>
      </c>
      <c r="C423">
        <v>20</v>
      </c>
      <c r="D423">
        <v>20</v>
      </c>
      <c r="E423">
        <v>10</v>
      </c>
      <c r="F423">
        <f t="shared" si="82"/>
        <v>50</v>
      </c>
      <c r="G423">
        <f t="shared" si="86"/>
        <v>0</v>
      </c>
      <c r="H423">
        <f t="shared" si="92"/>
        <v>100</v>
      </c>
      <c r="I423">
        <f t="shared" si="93"/>
        <v>180</v>
      </c>
      <c r="J423">
        <f t="shared" si="94"/>
        <v>160</v>
      </c>
      <c r="K423">
        <f t="shared" si="95"/>
        <v>440</v>
      </c>
      <c r="L423">
        <f>G423*Return!B423*100</f>
        <v>0</v>
      </c>
      <c r="M423">
        <f>H423*Return!C423*100</f>
        <v>-22.9999999999997</v>
      </c>
      <c r="N423">
        <f>I423*Return!D423*100</f>
        <v>408.600000000007</v>
      </c>
      <c r="O423">
        <f>J423*Return!E423*100</f>
        <v>558.399999999999</v>
      </c>
      <c r="P423">
        <f t="shared" si="96"/>
        <v>944.000000000006</v>
      </c>
      <c r="Q423">
        <f>SUM($P$400:P423)</f>
        <v>6553.80000000001</v>
      </c>
      <c r="R423">
        <f>B423*中国_中债国债到期收益率_1年!B422/365*100</f>
        <v>0</v>
      </c>
      <c r="S423">
        <f>C423*中国_中债国债到期收益率_1年!C422/365*100</f>
        <v>12.532602739726</v>
      </c>
      <c r="T423">
        <f>D423*中国_中债国债到期收益率_1年!D422/365*100</f>
        <v>13.3315068493151</v>
      </c>
      <c r="U423">
        <f>E423*中国_中债国债到期收益率_1年!E422/365*100</f>
        <v>7.25534246575342</v>
      </c>
      <c r="V423">
        <f t="shared" si="97"/>
        <v>33.1194520547945</v>
      </c>
      <c r="W423">
        <f>SUM($V$400:V423)</f>
        <v>825.72</v>
      </c>
      <c r="X423">
        <f>MAX(F423-50,0)*中国_中债国债到期收益率_1年!H423*100/365</f>
        <v>0</v>
      </c>
      <c r="Y423">
        <f>SUM($X$400:X423)</f>
        <v>0</v>
      </c>
      <c r="Z423">
        <v>-30</v>
      </c>
      <c r="AA423">
        <v>30</v>
      </c>
      <c r="AB423">
        <f>Z423*Return!F427*100</f>
        <v>31.1999999999999</v>
      </c>
      <c r="AC423">
        <f>AA423*Return!G427*100</f>
        <v>-6.89999999999991</v>
      </c>
      <c r="AD423">
        <f>SUM($AB$400:AB423)+SUM($AC$400:AC423)</f>
        <v>365.500000000006</v>
      </c>
      <c r="AE423">
        <f t="shared" si="84"/>
        <v>7745.02000000001</v>
      </c>
      <c r="AF423">
        <f t="shared" si="85"/>
        <v>1.01549004</v>
      </c>
      <c r="AG423" s="5">
        <f>(AE423-AE422)/(500000+AE422)-中国_中债国债到期收益率_1年!H423%/252</f>
        <v>0.00189880473792073</v>
      </c>
      <c r="AH423" s="5">
        <f>MIN((AF423-MAX($AF$401:AF423))/MAX($AF$401:AF423),0)</f>
        <v>0</v>
      </c>
    </row>
    <row r="424" spans="1:34">
      <c r="A424" s="7">
        <v>45324</v>
      </c>
      <c r="C424">
        <v>20</v>
      </c>
      <c r="D424">
        <v>20</v>
      </c>
      <c r="E424">
        <v>10</v>
      </c>
      <c r="F424">
        <f t="shared" si="82"/>
        <v>50</v>
      </c>
      <c r="G424">
        <f t="shared" si="86"/>
        <v>0</v>
      </c>
      <c r="H424">
        <f t="shared" si="92"/>
        <v>100</v>
      </c>
      <c r="I424">
        <f t="shared" si="93"/>
        <v>180</v>
      </c>
      <c r="J424">
        <f t="shared" si="94"/>
        <v>160</v>
      </c>
      <c r="K424">
        <f t="shared" si="95"/>
        <v>440</v>
      </c>
      <c r="L424">
        <f>G424*Return!B424*100</f>
        <v>0</v>
      </c>
      <c r="M424">
        <f>H424*Return!C424*100</f>
        <v>-176.000000000003</v>
      </c>
      <c r="N424">
        <f>I424*Return!D424*100</f>
        <v>-43.2000000000032</v>
      </c>
      <c r="O424">
        <f>J424*Return!E424*100</f>
        <v>15.9999999999982</v>
      </c>
      <c r="P424">
        <f t="shared" si="96"/>
        <v>-203.200000000008</v>
      </c>
      <c r="Q424">
        <f>SUM($P$400:P424)</f>
        <v>6350.6</v>
      </c>
      <c r="R424">
        <f>B424*中国_中债国债到期收益率_1年!B423/365*100</f>
        <v>0</v>
      </c>
      <c r="S424">
        <f>C424*中国_中债国债到期收益率_1年!C423/365*100</f>
        <v>12.6290410958904</v>
      </c>
      <c r="T424">
        <f>D424*中国_中债国债到期收益率_1年!D423/365*100</f>
        <v>13.3446575342466</v>
      </c>
      <c r="U424">
        <f>E424*中国_中债国债到期收益率_1年!E423/365*100</f>
        <v>7.25260273972603</v>
      </c>
      <c r="V424">
        <f t="shared" si="97"/>
        <v>33.226301369863</v>
      </c>
      <c r="W424">
        <f>SUM($V$400:V424)</f>
        <v>858.946301369863</v>
      </c>
      <c r="X424">
        <f>MAX(F424-50,0)*中国_中债国债到期收益率_1年!H424*100/365</f>
        <v>0</v>
      </c>
      <c r="Y424">
        <f>SUM($X$400:X424)</f>
        <v>0</v>
      </c>
      <c r="Z424">
        <v>-30</v>
      </c>
      <c r="AA424">
        <v>30</v>
      </c>
      <c r="AB424">
        <f>Z424*Return!F428*100</f>
        <v>41.4000000000001</v>
      </c>
      <c r="AC424">
        <f>AA424*Return!G428*100</f>
        <v>-92.6999999999998</v>
      </c>
      <c r="AD424">
        <f>SUM($AB$400:AB424)+SUM($AC$400:AC424)</f>
        <v>314.200000000007</v>
      </c>
      <c r="AE424">
        <f t="shared" si="84"/>
        <v>7523.74630136987</v>
      </c>
      <c r="AF424">
        <f t="shared" si="85"/>
        <v>1.01504749260274</v>
      </c>
      <c r="AG424" s="5">
        <f>(AE424-AE423)/(500000+AE423)-中国_中债国债到期收益率_1年!H424%/252</f>
        <v>-0.000523495298761705</v>
      </c>
      <c r="AH424" s="5">
        <f>MIN((AF424-MAX($AF$401:AF424))/MAX($AF$401:AF424),0)</f>
        <v>-0.000435796886063245</v>
      </c>
    </row>
    <row r="425" spans="1:34">
      <c r="A425" s="7">
        <v>45326</v>
      </c>
      <c r="C425">
        <v>20</v>
      </c>
      <c r="D425">
        <v>20</v>
      </c>
      <c r="E425">
        <v>10</v>
      </c>
      <c r="F425">
        <f t="shared" si="82"/>
        <v>50</v>
      </c>
      <c r="G425">
        <f t="shared" si="86"/>
        <v>0</v>
      </c>
      <c r="H425">
        <f t="shared" si="92"/>
        <v>100</v>
      </c>
      <c r="I425">
        <f t="shared" si="93"/>
        <v>180</v>
      </c>
      <c r="J425">
        <f t="shared" si="94"/>
        <v>160</v>
      </c>
      <c r="K425">
        <f t="shared" si="95"/>
        <v>440</v>
      </c>
      <c r="L425">
        <f>G425*Return!B425*100</f>
        <v>0</v>
      </c>
      <c r="M425">
        <f>H425*Return!C425*100</f>
        <v>249.000000000001</v>
      </c>
      <c r="N425">
        <f>I425*Return!D425*100</f>
        <v>198.000000000002</v>
      </c>
      <c r="O425">
        <f>J425*Return!E425*100</f>
        <v>190.400000000004</v>
      </c>
      <c r="P425">
        <f t="shared" si="96"/>
        <v>637.400000000008</v>
      </c>
      <c r="Q425">
        <f>SUM($P$400:P425)</f>
        <v>6988.00000000001</v>
      </c>
      <c r="R425">
        <f>B425*中国_中债国债到期收益率_1年!B424/365*100</f>
        <v>0</v>
      </c>
      <c r="S425">
        <f>C425*中国_中债国债到期收益率_1年!C424/365*100</f>
        <v>12.492602739726</v>
      </c>
      <c r="T425">
        <f>D425*中国_中债国债到期收益率_1年!D424/365*100</f>
        <v>13.2843835616438</v>
      </c>
      <c r="U425">
        <f>E425*中国_中债国债到期收益率_1年!E424/365*100</f>
        <v>7.22</v>
      </c>
      <c r="V425">
        <f t="shared" si="97"/>
        <v>32.9969863013699</v>
      </c>
      <c r="W425">
        <f>SUM($V$400:V425)</f>
        <v>891.943287671233</v>
      </c>
      <c r="X425">
        <f>MAX(F425-50,0)*中国_中债国债到期收益率_1年!H425*100/365</f>
        <v>0</v>
      </c>
      <c r="Y425">
        <f>SUM($X$400:X425)</f>
        <v>0</v>
      </c>
      <c r="Z425">
        <v>-30</v>
      </c>
      <c r="AA425">
        <v>30</v>
      </c>
      <c r="AB425">
        <f>Z425*Return!F429*100</f>
        <v>-27.9000000000003</v>
      </c>
      <c r="AC425">
        <f>AA425*Return!G429*100</f>
        <v>-2.10000000000043</v>
      </c>
      <c r="AD425">
        <f>SUM($AB$400:AB425)+SUM($AC$400:AC425)</f>
        <v>284.200000000006</v>
      </c>
      <c r="AE425">
        <f t="shared" si="84"/>
        <v>8164.14328767125</v>
      </c>
      <c r="AF425">
        <f t="shared" si="85"/>
        <v>1.01632828657534</v>
      </c>
      <c r="AG425" s="5">
        <f>(AE425-AE424)/(500000+AE424)-中国_中债国债到期收益率_1年!H425%/252</f>
        <v>0.00118425138642171</v>
      </c>
      <c r="AH425" s="5">
        <f>MIN((AF425-MAX($AF$401:AF425))/MAX($AF$401:AF425),0)</f>
        <v>0</v>
      </c>
    </row>
    <row r="426" spans="1:34">
      <c r="A426" s="7">
        <v>45327</v>
      </c>
      <c r="C426">
        <v>20</v>
      </c>
      <c r="D426">
        <v>20</v>
      </c>
      <c r="E426">
        <v>10</v>
      </c>
      <c r="F426">
        <f t="shared" si="82"/>
        <v>50</v>
      </c>
      <c r="G426">
        <f t="shared" si="86"/>
        <v>0</v>
      </c>
      <c r="H426">
        <f t="shared" si="92"/>
        <v>100</v>
      </c>
      <c r="I426">
        <f t="shared" si="93"/>
        <v>180</v>
      </c>
      <c r="J426">
        <f t="shared" si="94"/>
        <v>160</v>
      </c>
      <c r="K426">
        <f t="shared" si="95"/>
        <v>440</v>
      </c>
      <c r="L426">
        <f>G426*Return!B426*100</f>
        <v>0</v>
      </c>
      <c r="M426">
        <f>H426*Return!C426*100</f>
        <v>70.9999999999988</v>
      </c>
      <c r="N426">
        <f>I426*Return!D426*100</f>
        <v>343.799999999998</v>
      </c>
      <c r="O426">
        <f>J426*Return!E426*100</f>
        <v>443.199999999997</v>
      </c>
      <c r="P426">
        <f t="shared" si="96"/>
        <v>857.999999999994</v>
      </c>
      <c r="Q426">
        <f>SUM($P$400:P426)</f>
        <v>7846</v>
      </c>
      <c r="R426">
        <f>B426*中国_中债国债到期收益率_1年!B425/365*100</f>
        <v>0</v>
      </c>
      <c r="S426">
        <f>C426*中国_中债国债到期收益率_1年!C425/365*100</f>
        <v>12.453698630137</v>
      </c>
      <c r="T426">
        <f>D426*中国_中债国债到期收益率_1年!D425/365*100</f>
        <v>13.1797260273973</v>
      </c>
      <c r="U426">
        <f>E426*中国_中债国债到期收益率_1年!E425/365*100</f>
        <v>7.1441095890411</v>
      </c>
      <c r="V426">
        <f t="shared" si="97"/>
        <v>32.7775342465753</v>
      </c>
      <c r="W426">
        <f>SUM($V$400:V426)</f>
        <v>924.720821917808</v>
      </c>
      <c r="X426">
        <f>MAX(F426-50,0)*中国_中债国债到期收益率_1年!H426*100/365</f>
        <v>0</v>
      </c>
      <c r="Y426">
        <f>SUM($X$400:X426)</f>
        <v>0</v>
      </c>
      <c r="Z426">
        <v>-30</v>
      </c>
      <c r="AA426">
        <v>30</v>
      </c>
      <c r="AC426">
        <f>AA426*Return!G430*100</f>
        <v>48.9000000000006</v>
      </c>
      <c r="AD426">
        <f>SUM($AB$400:AB426)+SUM($AC$400:AC426)</f>
        <v>333.100000000007</v>
      </c>
      <c r="AE426">
        <f t="shared" si="84"/>
        <v>9103.82082191782</v>
      </c>
      <c r="AF426">
        <f t="shared" si="85"/>
        <v>1.01820764164384</v>
      </c>
      <c r="AG426" s="5">
        <f>(AE426-AE425)/(500000+AE425)-中国_中债国债到期收益率_1年!H426%/252</f>
        <v>0.00177253444660116</v>
      </c>
      <c r="AH426" s="5">
        <f>MIN((AF426-MAX($AF$401:AF426))/MAX($AF$401:AF426),0)</f>
        <v>0</v>
      </c>
    </row>
    <row r="427" spans="1:34">
      <c r="A427" s="7">
        <v>45328</v>
      </c>
      <c r="C427">
        <v>20</v>
      </c>
      <c r="D427">
        <v>20</v>
      </c>
      <c r="E427">
        <v>10</v>
      </c>
      <c r="F427">
        <f t="shared" si="82"/>
        <v>50</v>
      </c>
      <c r="G427">
        <f t="shared" si="86"/>
        <v>0</v>
      </c>
      <c r="H427">
        <f t="shared" si="92"/>
        <v>100</v>
      </c>
      <c r="I427">
        <f t="shared" si="93"/>
        <v>180</v>
      </c>
      <c r="J427">
        <f t="shared" si="94"/>
        <v>160</v>
      </c>
      <c r="K427">
        <f t="shared" si="95"/>
        <v>440</v>
      </c>
      <c r="L427">
        <f>G427*Return!B427*100</f>
        <v>0</v>
      </c>
      <c r="M427">
        <f>H427*Return!C427*100</f>
        <v>-22.9999999999997</v>
      </c>
      <c r="N427">
        <f>I427*Return!D427*100</f>
        <v>91.8000000000019</v>
      </c>
      <c r="O427">
        <f>J427*Return!E427*100</f>
        <v>163.200000000003</v>
      </c>
      <c r="P427">
        <f t="shared" si="96"/>
        <v>232.000000000006</v>
      </c>
      <c r="Q427">
        <f>SUM($P$400:P427)</f>
        <v>8078.00000000001</v>
      </c>
      <c r="R427">
        <f>B427*中国_中债国债到期收益率_1年!B426/365*100</f>
        <v>0</v>
      </c>
      <c r="S427">
        <f>C427*中国_中债国债到期收益率_1年!C426/365*100</f>
        <v>12.466301369863</v>
      </c>
      <c r="T427">
        <f>D427*中国_中债国债到期收益率_1年!D426/365*100</f>
        <v>13.1517808219178</v>
      </c>
      <c r="U427">
        <f>E427*中国_中债国债到期收益率_1年!E426/365*100</f>
        <v>7.11616438356164</v>
      </c>
      <c r="V427">
        <f t="shared" si="97"/>
        <v>32.7342465753425</v>
      </c>
      <c r="W427">
        <f>SUM($V$400:V427)</f>
        <v>957.455068493151</v>
      </c>
      <c r="X427">
        <f>MAX(F427-50,0)*中国_中债国债到期收益率_1年!H427*100/365</f>
        <v>0</v>
      </c>
      <c r="Y427">
        <f>SUM($X$400:X427)</f>
        <v>0</v>
      </c>
      <c r="Z427">
        <v>-100</v>
      </c>
      <c r="AA427">
        <v>100</v>
      </c>
      <c r="AD427">
        <f>SUM($AB$400:AB427)+SUM($AC$400:AC427)</f>
        <v>333.100000000007</v>
      </c>
      <c r="AE427">
        <f t="shared" si="84"/>
        <v>9368.55506849316</v>
      </c>
      <c r="AF427">
        <f t="shared" si="85"/>
        <v>1.01873711013699</v>
      </c>
      <c r="AG427" s="5">
        <f>(AE427-AE426)/(500000+AE426)-中国_中债国债到期收益率_1年!H427%/252</f>
        <v>0.000442619557825293</v>
      </c>
      <c r="AH427" s="5">
        <f>MIN((AF427-MAX($AF$401:AF427))/MAX($AF$401:AF427),0)</f>
        <v>0</v>
      </c>
    </row>
    <row r="428" spans="1:34">
      <c r="A428" s="7">
        <v>45329</v>
      </c>
      <c r="C428">
        <v>20</v>
      </c>
      <c r="D428">
        <v>20</v>
      </c>
      <c r="E428">
        <v>10</v>
      </c>
      <c r="F428">
        <f t="shared" si="82"/>
        <v>50</v>
      </c>
      <c r="G428">
        <f t="shared" ref="G428:G459" si="98">B428</f>
        <v>0</v>
      </c>
      <c r="H428">
        <f t="shared" si="92"/>
        <v>100</v>
      </c>
      <c r="I428">
        <f t="shared" si="93"/>
        <v>180</v>
      </c>
      <c r="J428">
        <f t="shared" si="94"/>
        <v>160</v>
      </c>
      <c r="K428">
        <f t="shared" si="95"/>
        <v>440</v>
      </c>
      <c r="L428">
        <f>G428*Return!B428*100</f>
        <v>0</v>
      </c>
      <c r="M428">
        <f>H428*Return!C428*100</f>
        <v>-577.999999999999</v>
      </c>
      <c r="N428">
        <f>I428*Return!D428*100</f>
        <v>-941.400000000004</v>
      </c>
      <c r="O428">
        <f>J428*Return!E428*100</f>
        <v>-968.000000000004</v>
      </c>
      <c r="P428">
        <f t="shared" si="96"/>
        <v>-2487.40000000001</v>
      </c>
      <c r="Q428">
        <f>SUM($P$400:P428)</f>
        <v>5590.6</v>
      </c>
      <c r="R428">
        <f>B428*中国_中债国债到期收益率_1年!B427/365*100</f>
        <v>0</v>
      </c>
      <c r="S428">
        <f>C428*中国_中债国债到期收益率_1年!C427/365*100</f>
        <v>12.7830136986301</v>
      </c>
      <c r="T428">
        <f>D428*中国_中债国债到期收益率_1年!D427/365*100</f>
        <v>13.4383561643836</v>
      </c>
      <c r="U428">
        <f>E428*中国_中债国债到期收益率_1年!E427/365*100</f>
        <v>7.28191780821918</v>
      </c>
      <c r="V428">
        <f t="shared" si="97"/>
        <v>33.5032876712329</v>
      </c>
      <c r="W428">
        <f>SUM($V$400:V428)</f>
        <v>990.958356164384</v>
      </c>
      <c r="X428">
        <f>MAX(F428-50,0)*中国_中债国债到期收益率_1年!H428*100/365</f>
        <v>0</v>
      </c>
      <c r="Y428">
        <f>SUM($X$400:X428)</f>
        <v>0</v>
      </c>
      <c r="Z428">
        <v>-100</v>
      </c>
      <c r="AA428">
        <v>100</v>
      </c>
      <c r="AD428">
        <f>SUM($AB$400:AB428)+SUM($AC$400:AC428)</f>
        <v>333.100000000007</v>
      </c>
      <c r="AE428">
        <f t="shared" si="84"/>
        <v>6914.65835616439</v>
      </c>
      <c r="AF428">
        <f t="shared" si="85"/>
        <v>1.01382931671233</v>
      </c>
      <c r="AG428" s="5">
        <f>(AE428-AE427)/(500000+AE427)-中国_中债国债到期收益率_1年!H428%/252</f>
        <v>-0.00489490784506243</v>
      </c>
      <c r="AH428" s="5">
        <f>MIN((AF428-MAX($AF$401:AF428))/MAX($AF$401:AF428),0)</f>
        <v>-0.00481752689268168</v>
      </c>
    </row>
    <row r="429" spans="1:34">
      <c r="A429" s="7">
        <v>45330</v>
      </c>
      <c r="C429">
        <v>20</v>
      </c>
      <c r="D429">
        <v>20</v>
      </c>
      <c r="E429">
        <v>10</v>
      </c>
      <c r="F429">
        <f t="shared" si="82"/>
        <v>50</v>
      </c>
      <c r="G429">
        <f t="shared" si="98"/>
        <v>0</v>
      </c>
      <c r="H429">
        <f t="shared" si="92"/>
        <v>100</v>
      </c>
      <c r="I429">
        <f t="shared" si="93"/>
        <v>180</v>
      </c>
      <c r="J429">
        <f t="shared" si="94"/>
        <v>160</v>
      </c>
      <c r="K429">
        <f t="shared" si="95"/>
        <v>440</v>
      </c>
      <c r="L429">
        <f>G429*Return!B429*100</f>
        <v>0</v>
      </c>
      <c r="M429">
        <f>H429*Return!C429*100</f>
        <v>343.999999999998</v>
      </c>
      <c r="N429">
        <f>I429*Return!D429*100</f>
        <v>669.600000000006</v>
      </c>
      <c r="O429">
        <f>J429*Return!E429*100</f>
        <v>584.000000000003</v>
      </c>
      <c r="P429">
        <f t="shared" si="96"/>
        <v>1597.60000000001</v>
      </c>
      <c r="Q429">
        <f>SUM($P$400:P429)</f>
        <v>7188.20000000001</v>
      </c>
      <c r="R429">
        <f>B429*中国_中债国债到期收益率_1年!B428/365*100</f>
        <v>0</v>
      </c>
      <c r="S429">
        <f>C429*中国_中债国债到期收益率_1年!C428/365*100</f>
        <v>12.5945205479452</v>
      </c>
      <c r="T429">
        <f>D429*中国_中债国债到期收益率_1年!D428/365*100</f>
        <v>13.2345205479452</v>
      </c>
      <c r="U429">
        <f>E429*中国_中债国债到期收益率_1年!E428/365*100</f>
        <v>7.18191780821918</v>
      </c>
      <c r="V429">
        <f t="shared" si="97"/>
        <v>33.0109589041096</v>
      </c>
      <c r="W429">
        <f>SUM($V$400:V429)</f>
        <v>1023.96931506849</v>
      </c>
      <c r="X429">
        <f>MAX(F429-50,0)*中国_中债国债到期收益率_1年!H429*100/365</f>
        <v>0</v>
      </c>
      <c r="Y429">
        <f>SUM($X$400:X429)</f>
        <v>0</v>
      </c>
      <c r="Z429">
        <v>-100</v>
      </c>
      <c r="AA429">
        <v>100</v>
      </c>
      <c r="AB429">
        <f>Z429*Return!F433*100</f>
        <v>135.999999999998</v>
      </c>
      <c r="AC429">
        <f>AA429*Return!G433*100</f>
        <v>-57.0000000000004</v>
      </c>
      <c r="AD429">
        <f>SUM($AB$400:AB429)+SUM($AC$400:AC429)</f>
        <v>412.100000000004</v>
      </c>
      <c r="AE429">
        <f t="shared" si="84"/>
        <v>8624.2693150685</v>
      </c>
      <c r="AF429">
        <f t="shared" si="85"/>
        <v>1.01724853863014</v>
      </c>
      <c r="AG429" s="5">
        <f>(AE429-AE428)/(500000+AE428)-中国_中债国债到期收益率_1年!H429%/252</f>
        <v>0.00330115284976781</v>
      </c>
      <c r="AH429" s="5">
        <f>MIN((AF429-MAX($AF$401:AF429))/MAX($AF$401:AF429),0)</f>
        <v>-0.00146119297317948</v>
      </c>
    </row>
    <row r="430" spans="1:34">
      <c r="A430" s="7">
        <v>45331</v>
      </c>
      <c r="C430">
        <v>20</v>
      </c>
      <c r="D430">
        <v>20</v>
      </c>
      <c r="E430">
        <v>10</v>
      </c>
      <c r="F430">
        <f t="shared" si="82"/>
        <v>50</v>
      </c>
      <c r="G430">
        <f t="shared" si="98"/>
        <v>0</v>
      </c>
      <c r="H430">
        <f t="shared" si="92"/>
        <v>100</v>
      </c>
      <c r="I430">
        <f t="shared" si="93"/>
        <v>180</v>
      </c>
      <c r="J430">
        <f t="shared" si="94"/>
        <v>160</v>
      </c>
      <c r="K430">
        <f t="shared" si="95"/>
        <v>440</v>
      </c>
      <c r="L430">
        <f>G430*Return!B430*100</f>
        <v>0</v>
      </c>
      <c r="M430">
        <f>H430*Return!C430*100</f>
        <v>100.000000000002</v>
      </c>
      <c r="N430">
        <f>I430*Return!D430*100</f>
        <v>-406.800000000003</v>
      </c>
      <c r="O430">
        <f>J430*Return!E430*100</f>
        <v>-465.600000000002</v>
      </c>
      <c r="P430">
        <f t="shared" si="96"/>
        <v>-772.400000000003</v>
      </c>
      <c r="Q430">
        <f>SUM($P$400:P430)</f>
        <v>6415.8</v>
      </c>
      <c r="R430">
        <f>B430*中国_中债国债到期收益率_1年!B429/365*100</f>
        <v>0</v>
      </c>
      <c r="S430">
        <f>C430*中国_中债国债到期收益率_1年!C429/365*100</f>
        <v>12.5397260273973</v>
      </c>
      <c r="T430">
        <f>D430*中国_中债国债到期收益率_1年!D429/365*100</f>
        <v>13.3583561643836</v>
      </c>
      <c r="U430">
        <f>E430*中国_中债国债到期收益率_1年!E429/365*100</f>
        <v>7.26164383561644</v>
      </c>
      <c r="V430">
        <f t="shared" si="97"/>
        <v>33.1597260273973</v>
      </c>
      <c r="W430">
        <f>SUM($V$400:V430)</f>
        <v>1057.12904109589</v>
      </c>
      <c r="X430">
        <f>MAX(F430-50,0)*中国_中债国债到期收益率_1年!H430*100/365</f>
        <v>0</v>
      </c>
      <c r="Y430">
        <f>SUM($X$400:X430)</f>
        <v>0</v>
      </c>
      <c r="Z430">
        <v>-100</v>
      </c>
      <c r="AA430">
        <v>100</v>
      </c>
      <c r="AB430">
        <f>Z430*Return!F434*100</f>
        <v>-150.999999999999</v>
      </c>
      <c r="AC430">
        <f>AA430*Return!G434*100</f>
        <v>205.000000000002</v>
      </c>
      <c r="AD430">
        <f>SUM($AB$400:AB430)+SUM($AC$400:AC430)</f>
        <v>466.100000000007</v>
      </c>
      <c r="AE430">
        <f t="shared" si="84"/>
        <v>7939.0290410959</v>
      </c>
      <c r="AF430">
        <f t="shared" si="85"/>
        <v>1.01587805808219</v>
      </c>
      <c r="AG430" s="5">
        <f>(AE430-AE429)/(500000+AE429)-中国_中债国债到期收益率_1年!H430%/252</f>
        <v>-0.00142065528063429</v>
      </c>
      <c r="AH430" s="5">
        <f>MIN((AF430-MAX($AF$401:AF430))/MAX($AF$401:AF430),0)</f>
        <v>-0.00280646697400686</v>
      </c>
    </row>
    <row r="431" spans="1:34">
      <c r="A431" s="7">
        <v>45340</v>
      </c>
      <c r="C431">
        <v>20</v>
      </c>
      <c r="D431">
        <v>20</v>
      </c>
      <c r="E431">
        <v>10</v>
      </c>
      <c r="F431">
        <f t="shared" si="82"/>
        <v>50</v>
      </c>
      <c r="G431">
        <f t="shared" si="98"/>
        <v>0</v>
      </c>
      <c r="H431">
        <f t="shared" si="92"/>
        <v>100</v>
      </c>
      <c r="I431">
        <f t="shared" si="93"/>
        <v>180</v>
      </c>
      <c r="J431">
        <f t="shared" si="94"/>
        <v>160</v>
      </c>
      <c r="K431">
        <f t="shared" si="95"/>
        <v>440</v>
      </c>
      <c r="L431">
        <f>G431*Return!B431*100</f>
        <v>0</v>
      </c>
      <c r="M431">
        <f>H431*Return!C431*100</f>
        <v>0</v>
      </c>
      <c r="N431">
        <f>I431*Return!D431*100</f>
        <v>138.599999999997</v>
      </c>
      <c r="O431">
        <f>J431*Return!E431*100</f>
        <v>0</v>
      </c>
      <c r="P431">
        <f t="shared" si="96"/>
        <v>138.599999999997</v>
      </c>
      <c r="Q431">
        <f>SUM($P$400:P431)</f>
        <v>6554.4</v>
      </c>
      <c r="R431">
        <f>B431*中国_中债国债到期收益率_1年!B430/365*100</f>
        <v>0</v>
      </c>
      <c r="S431">
        <f>C431*中国_中债国债到期收益率_1年!C430/365*100</f>
        <v>12.5397260273973</v>
      </c>
      <c r="T431">
        <f>D431*中国_中债国债到期收益率_1年!D430/365*100</f>
        <v>13.3161643835616</v>
      </c>
      <c r="U431">
        <f>E431*中国_中债国债到期收益率_1年!E430/365*100</f>
        <v>7.26164383561644</v>
      </c>
      <c r="V431">
        <f t="shared" si="97"/>
        <v>33.1175342465753</v>
      </c>
      <c r="W431">
        <f>SUM($V$400:V431)</f>
        <v>1090.24657534247</v>
      </c>
      <c r="X431">
        <f>MAX(F431-50,0)*中国_中债国债到期收益率_1年!H431*100/365</f>
        <v>0</v>
      </c>
      <c r="Y431">
        <f>SUM($X$400:X431)</f>
        <v>0</v>
      </c>
      <c r="Z431">
        <v>-100</v>
      </c>
      <c r="AA431">
        <v>100</v>
      </c>
      <c r="AB431">
        <f>Z431*Return!F435*100</f>
        <v>-87.0000000000015</v>
      </c>
      <c r="AC431">
        <f>AA431*Return!G435*100</f>
        <v>110.000000000001</v>
      </c>
      <c r="AD431">
        <f>SUM($AB$400:AB431)+SUM($AC$400:AC431)</f>
        <v>489.100000000007</v>
      </c>
      <c r="AE431">
        <f t="shared" si="84"/>
        <v>8133.74657534247</v>
      </c>
      <c r="AF431">
        <f t="shared" si="85"/>
        <v>1.01626749315068</v>
      </c>
      <c r="AG431" s="5">
        <f>(AE431-AE430)/(500000+AE430)-中国_中债国债到期收益率_1年!H431%/252</f>
        <v>0.000311522846002418</v>
      </c>
      <c r="AH431" s="5">
        <f>MIN((AF431-MAX($AF$401:AF431))/MAX($AF$401:AF431),0)</f>
        <v>-0.00242419458536202</v>
      </c>
    </row>
    <row r="432" spans="1:34">
      <c r="A432" s="7">
        <v>45341</v>
      </c>
      <c r="C432">
        <v>20</v>
      </c>
      <c r="D432">
        <v>20</v>
      </c>
      <c r="E432">
        <v>10</v>
      </c>
      <c r="F432">
        <f t="shared" si="82"/>
        <v>50</v>
      </c>
      <c r="G432">
        <f t="shared" si="98"/>
        <v>0</v>
      </c>
      <c r="H432">
        <f t="shared" si="92"/>
        <v>100</v>
      </c>
      <c r="I432">
        <f t="shared" si="93"/>
        <v>180</v>
      </c>
      <c r="J432">
        <f t="shared" si="94"/>
        <v>160</v>
      </c>
      <c r="K432">
        <f t="shared" si="95"/>
        <v>440</v>
      </c>
      <c r="L432">
        <f>G432*Return!B432*100</f>
        <v>0</v>
      </c>
      <c r="M432">
        <f>H432*Return!C432*100</f>
        <v>-87.0000000000015</v>
      </c>
      <c r="N432">
        <f>I432*Return!D432*100</f>
        <v>-163.799999999994</v>
      </c>
      <c r="O432">
        <f>J432*Return!E432*100</f>
        <v>120.000000000005</v>
      </c>
      <c r="P432">
        <f t="shared" si="96"/>
        <v>-130.799999999991</v>
      </c>
      <c r="Q432">
        <f>SUM($P$400:P432)</f>
        <v>6423.60000000001</v>
      </c>
      <c r="R432">
        <f>B432*中国_中债国债到期收益率_1年!B431/365*100</f>
        <v>0</v>
      </c>
      <c r="S432">
        <f>C432*中国_中债国债到期收益率_1年!C431/365*100</f>
        <v>12.587397260274</v>
      </c>
      <c r="T432">
        <f>D432*中国_中债国债到期收益率_1年!D431/365*100</f>
        <v>13.3660273972603</v>
      </c>
      <c r="U432">
        <f>E432*中国_中债国债到期收益率_1年!E431/365*100</f>
        <v>7.24109589041096</v>
      </c>
      <c r="V432">
        <f t="shared" si="97"/>
        <v>33.1945205479452</v>
      </c>
      <c r="W432">
        <f>SUM($V$400:V432)</f>
        <v>1123.44109589041</v>
      </c>
      <c r="X432">
        <f>MAX(F432-50,0)*中国_中债国债到期收益率_1年!H432*100/365</f>
        <v>0</v>
      </c>
      <c r="Y432">
        <f>SUM($X$400:X432)</f>
        <v>0</v>
      </c>
      <c r="Z432">
        <v>-100</v>
      </c>
      <c r="AA432">
        <v>100</v>
      </c>
      <c r="AB432">
        <f>Z432*Return!F436*100</f>
        <v>-95.9999999999983</v>
      </c>
      <c r="AC432">
        <f>AA432*Return!G436*100</f>
        <v>115.999999999996</v>
      </c>
      <c r="AD432">
        <f>SUM($AB$400:AB432)+SUM($AC$400:AC432)</f>
        <v>509.100000000005</v>
      </c>
      <c r="AE432">
        <f t="shared" si="84"/>
        <v>8056.14109589043</v>
      </c>
      <c r="AF432">
        <f t="shared" si="85"/>
        <v>1.01611228219178</v>
      </c>
      <c r="AG432" s="5">
        <f>(AE432-AE431)/(500000+AE431)-中国_中债国债到期收益率_1年!H432%/252</f>
        <v>-0.000234075688254972</v>
      </c>
      <c r="AH432" s="5">
        <f>MIN((AF432-MAX($AF$401:AF432))/MAX($AF$401:AF432),0)</f>
        <v>-0.00257655082855724</v>
      </c>
    </row>
    <row r="433" spans="1:34">
      <c r="A433" s="7">
        <v>45342</v>
      </c>
      <c r="C433">
        <v>20</v>
      </c>
      <c r="D433">
        <v>20</v>
      </c>
      <c r="E433">
        <v>10</v>
      </c>
      <c r="F433">
        <f t="shared" si="82"/>
        <v>50</v>
      </c>
      <c r="G433">
        <f t="shared" si="98"/>
        <v>0</v>
      </c>
      <c r="H433">
        <f t="shared" si="92"/>
        <v>100</v>
      </c>
      <c r="I433">
        <f t="shared" si="93"/>
        <v>180</v>
      </c>
      <c r="J433">
        <f t="shared" si="94"/>
        <v>160</v>
      </c>
      <c r="K433">
        <f t="shared" si="95"/>
        <v>440</v>
      </c>
      <c r="L433">
        <f>G433*Return!B433*100</f>
        <v>0</v>
      </c>
      <c r="M433">
        <f>H433*Return!C433*100</f>
        <v>-85.9999999999994</v>
      </c>
      <c r="N433">
        <f>I433*Return!D433*100</f>
        <v>88.1999999999943</v>
      </c>
      <c r="O433">
        <f>J433*Return!E433*100</f>
        <v>256</v>
      </c>
      <c r="P433">
        <f t="shared" si="96"/>
        <v>258.199999999995</v>
      </c>
      <c r="Q433">
        <f>SUM($P$400:P433)</f>
        <v>6681.80000000001</v>
      </c>
      <c r="R433">
        <f>B433*中国_中债国债到期收益率_1年!B432/365*100</f>
        <v>0</v>
      </c>
      <c r="S433">
        <f>C433*中国_中债国债到期收益率_1年!C432/365*100</f>
        <v>12.6345205479452</v>
      </c>
      <c r="T433">
        <f>D433*中国_中债国债到期收益率_1年!D432/365*100</f>
        <v>13.3391780821918</v>
      </c>
      <c r="U433">
        <f>E433*中国_中债国债到期收益率_1年!E432/365*100</f>
        <v>7.1972602739726</v>
      </c>
      <c r="V433">
        <f t="shared" si="97"/>
        <v>33.1709589041096</v>
      </c>
      <c r="W433">
        <f>SUM($V$400:V433)</f>
        <v>1156.61205479452</v>
      </c>
      <c r="X433">
        <f>MAX(F433-50,0)*中国_中债国债到期收益率_1年!H433*100/365</f>
        <v>0</v>
      </c>
      <c r="Y433">
        <f>SUM($X$400:X433)</f>
        <v>0</v>
      </c>
      <c r="Z433">
        <v>-100</v>
      </c>
      <c r="AA433">
        <v>100</v>
      </c>
      <c r="AB433">
        <f>Z433*Return!F437*100</f>
        <v>-191.000000000001</v>
      </c>
      <c r="AC433">
        <f>AA433*Return!G437*100</f>
        <v>295.000000000001</v>
      </c>
      <c r="AD433">
        <f>SUM($AB$400:AB433)+SUM($AC$400:AC433)</f>
        <v>613.100000000004</v>
      </c>
      <c r="AE433">
        <f t="shared" si="84"/>
        <v>8451.51205479453</v>
      </c>
      <c r="AF433">
        <f t="shared" si="85"/>
        <v>1.01690302410959</v>
      </c>
      <c r="AG433" s="5">
        <f>(AE433-AE432)/(500000+AE432)-中国_中债国债到期收益率_1年!H433%/252</f>
        <v>0.00070082233446699</v>
      </c>
      <c r="AH433" s="5">
        <f>MIN((AF433-MAX($AF$401:AF433))/MAX($AF$401:AF433),0)</f>
        <v>-0.00180035262203288</v>
      </c>
    </row>
    <row r="434" spans="1:34">
      <c r="A434" s="7">
        <v>45343</v>
      </c>
      <c r="C434">
        <v>20</v>
      </c>
      <c r="D434">
        <v>20</v>
      </c>
      <c r="E434">
        <v>10</v>
      </c>
      <c r="F434">
        <f t="shared" si="82"/>
        <v>50</v>
      </c>
      <c r="G434">
        <f t="shared" si="98"/>
        <v>0</v>
      </c>
      <c r="H434">
        <f t="shared" si="92"/>
        <v>100</v>
      </c>
      <c r="I434">
        <f t="shared" si="93"/>
        <v>180</v>
      </c>
      <c r="J434">
        <f t="shared" si="94"/>
        <v>160</v>
      </c>
      <c r="K434">
        <f t="shared" si="95"/>
        <v>440</v>
      </c>
      <c r="L434">
        <f>G434*Return!B434*100</f>
        <v>0</v>
      </c>
      <c r="M434">
        <f>H434*Return!C434*100</f>
        <v>299</v>
      </c>
      <c r="N434">
        <f>I434*Return!D434*100</f>
        <v>377.999999999998</v>
      </c>
      <c r="O434">
        <f>J434*Return!E434*100</f>
        <v>425.599999999996</v>
      </c>
      <c r="P434">
        <f t="shared" si="96"/>
        <v>1102.59999999999</v>
      </c>
      <c r="Q434">
        <f>SUM($P$400:P434)</f>
        <v>7784.4</v>
      </c>
      <c r="R434">
        <f>B434*中国_中债国债到期收益率_1年!B433/365*100</f>
        <v>0</v>
      </c>
      <c r="S434">
        <f>C434*中国_中债国债到期收益率_1年!C433/365*100</f>
        <v>12.4706849315068</v>
      </c>
      <c r="T434">
        <f>D434*中国_中债国债到期收益率_1年!D433/365*100</f>
        <v>13.2241095890411</v>
      </c>
      <c r="U434">
        <f>E434*中国_中债国债到期收益率_1年!E433/365*100</f>
        <v>7.12438356164384</v>
      </c>
      <c r="V434">
        <f t="shared" si="97"/>
        <v>32.8191780821918</v>
      </c>
      <c r="W434">
        <f>SUM($V$400:V434)</f>
        <v>1189.43123287671</v>
      </c>
      <c r="X434">
        <f>MAX(F434-50,0)*中国_中债国债到期收益率_1年!H434*100/365</f>
        <v>0</v>
      </c>
      <c r="Y434">
        <f>SUM($X$400:X434)</f>
        <v>0</v>
      </c>
      <c r="Z434">
        <v>-100</v>
      </c>
      <c r="AA434">
        <v>100</v>
      </c>
      <c r="AB434">
        <f>Z434*Return!F438*100</f>
        <v>172.000000000001</v>
      </c>
      <c r="AC434">
        <f>AA434*Return!G438*100</f>
        <v>-44.9999999999973</v>
      </c>
      <c r="AD434">
        <f>SUM($AB$400:AB434)+SUM($AC$400:AC434)</f>
        <v>740.100000000008</v>
      </c>
      <c r="AE434">
        <f t="shared" si="84"/>
        <v>9713.93123287672</v>
      </c>
      <c r="AF434">
        <f t="shared" si="85"/>
        <v>1.01942786246575</v>
      </c>
      <c r="AG434" s="5">
        <f>(AE434-AE433)/(500000+AE433)-中国_中债国债到期收益率_1年!H434%/252</f>
        <v>0.00240350525959881</v>
      </c>
      <c r="AH434" s="5">
        <f>MIN((AF434-MAX($AF$401:AF434))/MAX($AF$401:AF434),0)</f>
        <v>0</v>
      </c>
    </row>
    <row r="435" spans="1:34">
      <c r="A435" s="7">
        <v>45344</v>
      </c>
      <c r="C435">
        <v>20</v>
      </c>
      <c r="D435">
        <v>20</v>
      </c>
      <c r="E435">
        <v>10</v>
      </c>
      <c r="F435">
        <f t="shared" si="82"/>
        <v>50</v>
      </c>
      <c r="G435">
        <f t="shared" si="98"/>
        <v>0</v>
      </c>
      <c r="H435">
        <f t="shared" si="92"/>
        <v>100</v>
      </c>
      <c r="I435">
        <f t="shared" si="93"/>
        <v>180</v>
      </c>
      <c r="J435">
        <f t="shared" si="94"/>
        <v>160</v>
      </c>
      <c r="K435">
        <f t="shared" si="95"/>
        <v>440</v>
      </c>
      <c r="L435">
        <f>G435*Return!B435*100</f>
        <v>0</v>
      </c>
      <c r="M435">
        <f>H435*Return!C435*100</f>
        <v>76.0000000000005</v>
      </c>
      <c r="N435">
        <f>I435*Return!D435*100</f>
        <v>27.000000000001</v>
      </c>
      <c r="O435">
        <f>J435*Return!E435*100</f>
        <v>-9.59999999999894</v>
      </c>
      <c r="P435">
        <f t="shared" si="96"/>
        <v>93.4000000000026</v>
      </c>
      <c r="Q435">
        <f>SUM($P$400:P435)</f>
        <v>7877.8</v>
      </c>
      <c r="R435">
        <f>B435*中国_中债国债到期收益率_1年!B434/365*100</f>
        <v>0</v>
      </c>
      <c r="S435">
        <f>C435*中国_中债国债到期收益率_1年!C434/365*100</f>
        <v>12.4290410958904</v>
      </c>
      <c r="T435">
        <f>D435*中国_中债国债到期收益率_1年!D434/365*100</f>
        <v>13.2158904109589</v>
      </c>
      <c r="U435">
        <f>E435*中国_中债国债到期收益率_1年!E434/365*100</f>
        <v>7.12602739726027</v>
      </c>
      <c r="V435">
        <f t="shared" si="97"/>
        <v>32.7709589041096</v>
      </c>
      <c r="W435">
        <f>SUM($V$400:V435)</f>
        <v>1222.20219178082</v>
      </c>
      <c r="X435">
        <f>MAX(F435-50,0)*中国_中债国债到期收益率_1年!H435*100/365</f>
        <v>0</v>
      </c>
      <c r="Y435">
        <f>SUM($X$400:X435)</f>
        <v>0</v>
      </c>
      <c r="Z435">
        <v>-100</v>
      </c>
      <c r="AA435">
        <v>100</v>
      </c>
      <c r="AB435">
        <f>Z435*Return!F439*100</f>
        <v>56.0000000000005</v>
      </c>
      <c r="AC435">
        <f>AA435*Return!G439*100</f>
        <v>34.9999999999984</v>
      </c>
      <c r="AD435">
        <f>SUM($AB$400:AB435)+SUM($AC$400:AC435)</f>
        <v>831.100000000007</v>
      </c>
      <c r="AE435">
        <f t="shared" si="84"/>
        <v>9931.10219178083</v>
      </c>
      <c r="AF435">
        <f t="shared" si="85"/>
        <v>1.01986220438356</v>
      </c>
      <c r="AG435" s="5">
        <f>(AE435-AE434)/(500000+AE434)-中国_中债国债到期收益率_1年!H435%/252</f>
        <v>0.000346699317930926</v>
      </c>
      <c r="AH435" s="5">
        <f>MIN((AF435-MAX($AF$401:AF435))/MAX($AF$401:AF435),0)</f>
        <v>0</v>
      </c>
    </row>
    <row r="436" spans="1:34">
      <c r="A436" s="7">
        <v>45345</v>
      </c>
      <c r="C436">
        <v>20</v>
      </c>
      <c r="D436">
        <v>20</v>
      </c>
      <c r="E436">
        <v>10</v>
      </c>
      <c r="F436">
        <f t="shared" si="82"/>
        <v>50</v>
      </c>
      <c r="G436">
        <f t="shared" si="98"/>
        <v>0</v>
      </c>
      <c r="H436">
        <f t="shared" si="92"/>
        <v>100</v>
      </c>
      <c r="I436">
        <f t="shared" si="93"/>
        <v>180</v>
      </c>
      <c r="J436">
        <f t="shared" si="94"/>
        <v>160</v>
      </c>
      <c r="K436">
        <f t="shared" si="95"/>
        <v>440</v>
      </c>
      <c r="L436">
        <f>G436*Return!B436*100</f>
        <v>0</v>
      </c>
      <c r="M436">
        <f>H436*Return!C436*100</f>
        <v>244</v>
      </c>
      <c r="N436">
        <f>I436*Return!D436*100</f>
        <v>154.799999999999</v>
      </c>
      <c r="O436">
        <f>J436*Return!E436*100</f>
        <v>159.999999999997</v>
      </c>
      <c r="P436">
        <f t="shared" si="96"/>
        <v>558.799999999995</v>
      </c>
      <c r="Q436">
        <f>SUM($P$400:P436)</f>
        <v>8436.6</v>
      </c>
      <c r="R436">
        <f>B436*中国_中债国债到期收益率_1年!B435/365*100</f>
        <v>0</v>
      </c>
      <c r="S436">
        <f>C436*中国_中债国债到期收益率_1年!C435/365*100</f>
        <v>12.2953424657534</v>
      </c>
      <c r="T436">
        <f>D436*中国_中债国债到期收益率_1年!D435/365*100</f>
        <v>13.1687671232877</v>
      </c>
      <c r="U436">
        <f>E436*中国_中债国债到期收益率_1年!E435/365*100</f>
        <v>7.0986301369863</v>
      </c>
      <c r="V436">
        <f t="shared" si="97"/>
        <v>32.5627397260274</v>
      </c>
      <c r="W436">
        <f>SUM($V$400:V436)</f>
        <v>1254.76493150685</v>
      </c>
      <c r="X436">
        <f>MAX(F436-50,0)*中国_中债国债到期收益率_1年!H436*100/365</f>
        <v>0</v>
      </c>
      <c r="Y436">
        <f>SUM($X$400:X436)</f>
        <v>0</v>
      </c>
      <c r="Z436">
        <v>-100</v>
      </c>
      <c r="AA436">
        <v>100</v>
      </c>
      <c r="AB436">
        <f>Z436*Return!F440*100</f>
        <v>-7.00000000000145</v>
      </c>
      <c r="AC436">
        <f>AA436*Return!G440*100</f>
        <v>-41.0000000000021</v>
      </c>
      <c r="AD436">
        <f>SUM($AB$400:AB436)+SUM($AC$400:AC436)</f>
        <v>783.100000000004</v>
      </c>
      <c r="AE436">
        <f t="shared" si="84"/>
        <v>10474.4649315069</v>
      </c>
      <c r="AF436">
        <f t="shared" si="85"/>
        <v>1.02094892986301</v>
      </c>
      <c r="AG436" s="5">
        <f>(AE436-AE435)/(500000+AE435)-中国_中债国债到期收益率_1年!H436%/252</f>
        <v>0.000978259500050297</v>
      </c>
      <c r="AH436" s="5">
        <f>MIN((AF436-MAX($AF$401:AF436))/MAX($AF$401:AF436),0)</f>
        <v>0</v>
      </c>
    </row>
    <row r="437" spans="1:34">
      <c r="A437" s="7">
        <v>45348</v>
      </c>
      <c r="C437">
        <v>20</v>
      </c>
      <c r="D437">
        <v>20</v>
      </c>
      <c r="E437">
        <v>10</v>
      </c>
      <c r="F437">
        <f t="shared" si="82"/>
        <v>50</v>
      </c>
      <c r="G437">
        <f t="shared" si="98"/>
        <v>0</v>
      </c>
      <c r="H437">
        <f t="shared" si="92"/>
        <v>100</v>
      </c>
      <c r="I437">
        <f t="shared" si="93"/>
        <v>180</v>
      </c>
      <c r="J437">
        <f t="shared" si="94"/>
        <v>160</v>
      </c>
      <c r="K437">
        <f t="shared" si="95"/>
        <v>440</v>
      </c>
      <c r="L437">
        <f>G437*Return!B437*100</f>
        <v>0</v>
      </c>
      <c r="M437">
        <f>H437*Return!C437*100</f>
        <v>-55.9999999999983</v>
      </c>
      <c r="N437">
        <f>I437*Return!D437*100</f>
        <v>43.2000000000032</v>
      </c>
      <c r="O437">
        <f>J437*Return!E437*100</f>
        <v>161.6</v>
      </c>
      <c r="P437">
        <f t="shared" si="96"/>
        <v>148.800000000005</v>
      </c>
      <c r="Q437">
        <f>SUM($P$400:P437)</f>
        <v>8585.4</v>
      </c>
      <c r="R437">
        <f>B437*中国_中债国债到期收益率_1年!B436/365*100</f>
        <v>0</v>
      </c>
      <c r="S437">
        <f>C437*中国_中债国债到期收益率_1年!C436/365*100</f>
        <v>12.3260273972603</v>
      </c>
      <c r="T437">
        <f>D437*中国_中债国债到期收益率_1年!D436/365*100</f>
        <v>13.1556164383562</v>
      </c>
      <c r="U437">
        <f>E437*中国_中债国债到期收益率_1年!E436/365*100</f>
        <v>7.07095890410959</v>
      </c>
      <c r="V437">
        <f t="shared" si="97"/>
        <v>32.552602739726</v>
      </c>
      <c r="W437">
        <f>SUM($V$400:V437)</f>
        <v>1287.31753424658</v>
      </c>
      <c r="X437">
        <f>MAX(F437-50,0)*中国_中债国债到期收益率_1年!H437*100/365</f>
        <v>0</v>
      </c>
      <c r="Y437">
        <f>SUM($X$400:X437)</f>
        <v>0</v>
      </c>
      <c r="Z437">
        <v>-100</v>
      </c>
      <c r="AA437">
        <v>100</v>
      </c>
      <c r="AB437">
        <f>Z437*Return!F441*100</f>
        <v>-172.999999999999</v>
      </c>
      <c r="AC437">
        <f>AA437*Return!G441*100</f>
        <v>96.0000000000028</v>
      </c>
      <c r="AD437">
        <f>SUM($AB$400:AB437)+SUM($AC$400:AC437)</f>
        <v>706.100000000008</v>
      </c>
      <c r="AE437">
        <f t="shared" si="84"/>
        <v>10578.8175342466</v>
      </c>
      <c r="AF437">
        <f t="shared" si="85"/>
        <v>1.02115763506849</v>
      </c>
      <c r="AG437" s="5">
        <f>(AE437-AE436)/(500000+AE436)-中国_中债国债到期收益率_1年!H437%/252</f>
        <v>0.000119105306948155</v>
      </c>
      <c r="AH437" s="5">
        <f>MIN((AF437-MAX($AF$401:AF437))/MAX($AF$401:AF437),0)</f>
        <v>0</v>
      </c>
    </row>
    <row r="438" spans="1:34">
      <c r="A438" s="7">
        <v>45349</v>
      </c>
      <c r="C438">
        <v>20</v>
      </c>
      <c r="D438">
        <v>20</v>
      </c>
      <c r="E438">
        <v>10</v>
      </c>
      <c r="F438">
        <f t="shared" si="82"/>
        <v>50</v>
      </c>
      <c r="G438">
        <f t="shared" si="98"/>
        <v>0</v>
      </c>
      <c r="H438">
        <f t="shared" si="92"/>
        <v>100</v>
      </c>
      <c r="I438">
        <f t="shared" si="93"/>
        <v>180</v>
      </c>
      <c r="J438">
        <f t="shared" si="94"/>
        <v>160</v>
      </c>
      <c r="K438">
        <f t="shared" si="95"/>
        <v>440</v>
      </c>
      <c r="L438">
        <f>G438*Return!B438*100</f>
        <v>0</v>
      </c>
      <c r="M438">
        <f>H438*Return!C438*100</f>
        <v>250.999999999997</v>
      </c>
      <c r="N438">
        <f>I438*Return!D438*100</f>
        <v>396.000000000004</v>
      </c>
      <c r="O438">
        <f>J438*Return!E438*100</f>
        <v>654.400000000003</v>
      </c>
      <c r="P438">
        <f t="shared" si="96"/>
        <v>1301.4</v>
      </c>
      <c r="Q438">
        <f>SUM($P$400:P438)</f>
        <v>9886.8</v>
      </c>
      <c r="R438">
        <f>B438*中国_中债国债到期收益率_1年!B437/365*100</f>
        <v>0</v>
      </c>
      <c r="S438">
        <f>C438*中国_中债国债到期收益率_1年!C437/365*100</f>
        <v>12.1884931506849</v>
      </c>
      <c r="T438">
        <f>D438*中国_中债国债到期收益率_1年!D437/365*100</f>
        <v>13.0350684931507</v>
      </c>
      <c r="U438">
        <f>E438*中国_中债国债到期收益率_1年!E437/365*100</f>
        <v>6.95890410958904</v>
      </c>
      <c r="V438">
        <f t="shared" si="97"/>
        <v>32.1824657534247</v>
      </c>
      <c r="W438">
        <f>SUM($V$400:V438)</f>
        <v>1319.5</v>
      </c>
      <c r="X438">
        <f>MAX(F438-50,0)*中国_中债国债到期收益率_1年!H438*100/365</f>
        <v>0</v>
      </c>
      <c r="Y438">
        <f>SUM($X$400:X438)</f>
        <v>0</v>
      </c>
      <c r="Z438">
        <v>-100</v>
      </c>
      <c r="AA438">
        <v>100</v>
      </c>
      <c r="AB438">
        <f>Z438*Return!F442*100</f>
        <v>184</v>
      </c>
      <c r="AC438">
        <f>AA438*Return!G442*100</f>
        <v>-344.000000000002</v>
      </c>
      <c r="AD438">
        <f>SUM($AB$400:AB438)+SUM($AC$400:AC438)</f>
        <v>546.100000000006</v>
      </c>
      <c r="AE438">
        <f t="shared" si="84"/>
        <v>11752.4</v>
      </c>
      <c r="AF438">
        <f t="shared" si="85"/>
        <v>1.0235048</v>
      </c>
      <c r="AG438" s="5">
        <f>(AE438-AE437)/(500000+AE437)-中国_中债国债到期收益率_1年!H438%/252</f>
        <v>0.00221321594030625</v>
      </c>
      <c r="AH438" s="5">
        <f>MIN((AF438-MAX($AF$401:AF438))/MAX($AF$401:AF438),0)</f>
        <v>0</v>
      </c>
    </row>
    <row r="439" spans="1:34">
      <c r="A439" s="7">
        <v>45350</v>
      </c>
      <c r="C439">
        <v>20</v>
      </c>
      <c r="D439">
        <v>20</v>
      </c>
      <c r="E439">
        <v>10</v>
      </c>
      <c r="F439">
        <f t="shared" si="82"/>
        <v>50</v>
      </c>
      <c r="G439">
        <f t="shared" si="98"/>
        <v>0</v>
      </c>
      <c r="H439">
        <f t="shared" si="92"/>
        <v>100</v>
      </c>
      <c r="I439">
        <f t="shared" si="93"/>
        <v>180</v>
      </c>
      <c r="J439">
        <f t="shared" si="94"/>
        <v>160</v>
      </c>
      <c r="K439">
        <f t="shared" si="95"/>
        <v>440</v>
      </c>
      <c r="L439">
        <f>G439*Return!B439*100</f>
        <v>0</v>
      </c>
      <c r="M439">
        <f>H439*Return!C439*100</f>
        <v>-174.999999999996</v>
      </c>
      <c r="N439">
        <f>I439*Return!D439*100</f>
        <v>-36.000000000004</v>
      </c>
      <c r="O439">
        <f>J439*Return!E439*100</f>
        <v>281.599999999997</v>
      </c>
      <c r="P439">
        <f t="shared" si="96"/>
        <v>70.5999999999971</v>
      </c>
      <c r="Q439">
        <f>SUM($P$400:P439)</f>
        <v>9957.4</v>
      </c>
      <c r="R439">
        <f>B439*中国_中债国债到期收益率_1年!B438/365*100</f>
        <v>0</v>
      </c>
      <c r="S439">
        <f>C439*中国_中债国债到期收益率_1年!C438/365*100</f>
        <v>12.2843835616438</v>
      </c>
      <c r="T439">
        <f>D439*中国_中债国债到期收益率_1年!D438/365*100</f>
        <v>13.0460273972603</v>
      </c>
      <c r="U439">
        <f>E439*中国_中债国债到期收益率_1年!E438/365*100</f>
        <v>6.91068493150685</v>
      </c>
      <c r="V439">
        <f t="shared" si="97"/>
        <v>32.241095890411</v>
      </c>
      <c r="W439">
        <f>SUM($V$400:V439)</f>
        <v>1351.74109589041</v>
      </c>
      <c r="X439">
        <f>MAX(F439-50,0)*中国_中债国债到期收益率_1年!H439*100/365</f>
        <v>0</v>
      </c>
      <c r="Y439">
        <f>SUM($X$400:X439)</f>
        <v>0</v>
      </c>
      <c r="Z439">
        <v>-100</v>
      </c>
      <c r="AA439">
        <v>100</v>
      </c>
      <c r="AB439">
        <f>Z439*Return!F443*100</f>
        <v>24.9999999999995</v>
      </c>
      <c r="AC439">
        <f>AA439*Return!G443*100</f>
        <v>83.9999999999996</v>
      </c>
      <c r="AD439">
        <f>SUM($AB$400:AB439)+SUM($AC$400:AC439)</f>
        <v>655.100000000005</v>
      </c>
      <c r="AE439">
        <f t="shared" si="84"/>
        <v>11964.2410958904</v>
      </c>
      <c r="AF439">
        <f t="shared" si="85"/>
        <v>1.02392848219178</v>
      </c>
      <c r="AG439" s="5">
        <f>(AE439-AE438)/(500000+AE438)-中国_中债国债到期收益率_1年!H439%/252</f>
        <v>0.000330618991834865</v>
      </c>
      <c r="AH439" s="5">
        <f>MIN((AF439-MAX($AF$401:AF439))/MAX($AF$401:AF439),0)</f>
        <v>0</v>
      </c>
    </row>
    <row r="440" spans="1:34">
      <c r="A440" s="7">
        <v>45351</v>
      </c>
      <c r="C440">
        <v>20</v>
      </c>
      <c r="D440">
        <v>20</v>
      </c>
      <c r="E440">
        <v>10</v>
      </c>
      <c r="F440">
        <f t="shared" si="82"/>
        <v>50</v>
      </c>
      <c r="G440">
        <f t="shared" si="98"/>
        <v>0</v>
      </c>
      <c r="H440">
        <f t="shared" si="92"/>
        <v>100</v>
      </c>
      <c r="I440">
        <f t="shared" si="93"/>
        <v>180</v>
      </c>
      <c r="J440">
        <f t="shared" si="94"/>
        <v>160</v>
      </c>
      <c r="K440">
        <f t="shared" si="95"/>
        <v>440</v>
      </c>
      <c r="L440">
        <f>G440*Return!B440*100</f>
        <v>0</v>
      </c>
      <c r="M440">
        <f>H440*Return!C440*100</f>
        <v>195.999999999996</v>
      </c>
      <c r="N440">
        <f>I440*Return!D440*100</f>
        <v>779.399999999998</v>
      </c>
      <c r="O440">
        <f>J440*Return!E440*100</f>
        <v>569.600000000001</v>
      </c>
      <c r="P440">
        <f t="shared" si="96"/>
        <v>1545</v>
      </c>
      <c r="Q440">
        <f>SUM($P$400:P440)</f>
        <v>11502.4</v>
      </c>
      <c r="R440">
        <f>B440*中国_中债国债到期收益率_1年!B439/365*100</f>
        <v>0</v>
      </c>
      <c r="S440">
        <f>C440*中国_中债国债到期收益率_1年!C439/365*100</f>
        <v>12.1769863013699</v>
      </c>
      <c r="T440">
        <f>D440*中国_中债国债到期收益率_1年!D439/365*100</f>
        <v>12.8087671232877</v>
      </c>
      <c r="U440">
        <f>E440*中国_中债国债到期收益率_1年!E439/365*100</f>
        <v>6.81315068493151</v>
      </c>
      <c r="V440">
        <f t="shared" si="97"/>
        <v>31.798904109589</v>
      </c>
      <c r="W440">
        <f>SUM($V$400:V440)</f>
        <v>1383.54</v>
      </c>
      <c r="X440">
        <f>MAX(F440-50,0)*中国_中债国债到期收益率_1年!H440*100/365</f>
        <v>0</v>
      </c>
      <c r="Y440">
        <f>SUM($X$400:X440)</f>
        <v>0</v>
      </c>
      <c r="Z440">
        <v>-200</v>
      </c>
      <c r="AA440">
        <v>200</v>
      </c>
      <c r="AB440">
        <f>Z440*Return!F444*100</f>
        <v>162</v>
      </c>
      <c r="AC440">
        <f>AA440*Return!G444*100</f>
        <v>94.000000000003</v>
      </c>
      <c r="AD440">
        <f>SUM($AB$400:AB440)+SUM($AC$400:AC440)</f>
        <v>911.100000000008</v>
      </c>
      <c r="AE440">
        <f t="shared" si="84"/>
        <v>13797.04</v>
      </c>
      <c r="AF440">
        <f t="shared" si="85"/>
        <v>1.02759408</v>
      </c>
      <c r="AG440" s="5">
        <f>(AE440-AE439)/(500000+AE439)-中国_中债国债到期收益率_1年!H440%/252</f>
        <v>0.00349858618168956</v>
      </c>
      <c r="AH440" s="5">
        <f>MIN((AF440-MAX($AF$401:AF440))/MAX($AF$401:AF440),0)</f>
        <v>0</v>
      </c>
    </row>
    <row r="441" spans="1:34">
      <c r="A441" s="7">
        <v>45352</v>
      </c>
      <c r="C441">
        <v>20</v>
      </c>
      <c r="D441">
        <v>20</v>
      </c>
      <c r="E441">
        <v>10</v>
      </c>
      <c r="F441">
        <f t="shared" si="82"/>
        <v>50</v>
      </c>
      <c r="G441">
        <f t="shared" si="98"/>
        <v>0</v>
      </c>
      <c r="H441">
        <f t="shared" si="92"/>
        <v>100</v>
      </c>
      <c r="I441">
        <f t="shared" si="93"/>
        <v>180</v>
      </c>
      <c r="J441">
        <f t="shared" si="94"/>
        <v>160</v>
      </c>
      <c r="K441">
        <f t="shared" si="95"/>
        <v>440</v>
      </c>
      <c r="L441">
        <f>G441*Return!B441*100</f>
        <v>0</v>
      </c>
      <c r="M441">
        <f>H441*Return!C441*100</f>
        <v>45.0000000000017</v>
      </c>
      <c r="N441">
        <f>I441*Return!D441*100</f>
        <v>1.8000000000038</v>
      </c>
      <c r="O441">
        <f>J441*Return!E441*100</f>
        <v>403.200000000005</v>
      </c>
      <c r="P441">
        <f t="shared" si="96"/>
        <v>450.000000000011</v>
      </c>
      <c r="Q441">
        <f>SUM($P$400:P441)</f>
        <v>11952.4</v>
      </c>
      <c r="R441">
        <f>B441*中国_中债国债到期收益率_1年!B440/365*100</f>
        <v>0</v>
      </c>
      <c r="S441">
        <f>C441*中国_中债国债到期收益率_1年!C440/365*100</f>
        <v>12.1523287671233</v>
      </c>
      <c r="T441">
        <f>D441*中国_中债国债到期收益率_1年!D440/365*100</f>
        <v>12.8082191780822</v>
      </c>
      <c r="U441">
        <f>E441*中国_中债国债到期收益率_1年!E440/365*100</f>
        <v>6.7441095890411</v>
      </c>
      <c r="V441">
        <f t="shared" si="97"/>
        <v>31.7046575342466</v>
      </c>
      <c r="W441">
        <f>SUM($V$400:V441)</f>
        <v>1415.24465753425</v>
      </c>
      <c r="X441">
        <f>MAX(F441-50,0)*中国_中债国债到期收益率_1年!H441*100/365</f>
        <v>0</v>
      </c>
      <c r="Y441">
        <f>SUM($X$400:X441)</f>
        <v>0</v>
      </c>
      <c r="Z441">
        <v>-200</v>
      </c>
      <c r="AA441">
        <v>200</v>
      </c>
      <c r="AB441">
        <f>Z441*Return!F445*100</f>
        <v>-194.000000000001</v>
      </c>
      <c r="AC441">
        <f>AA441*Return!G445*100</f>
        <v>545.999999999998</v>
      </c>
      <c r="AD441">
        <f>SUM($AB$400:AB441)+SUM($AC$400:AC441)</f>
        <v>1263.1</v>
      </c>
      <c r="AE441">
        <f t="shared" si="84"/>
        <v>14630.7446575343</v>
      </c>
      <c r="AF441">
        <f t="shared" si="85"/>
        <v>1.02926148931507</v>
      </c>
      <c r="AG441" s="5">
        <f>(AE441-AE440)/(500000+AE440)-中国_中债国债到期收益率_1年!H441%/252</f>
        <v>0.00154326913731755</v>
      </c>
      <c r="AH441" s="5">
        <f>MIN((AF441-MAX($AF$401:AF441))/MAX($AF$401:AF441),0)</f>
        <v>0</v>
      </c>
    </row>
    <row r="442" spans="1:34">
      <c r="A442" s="7">
        <v>45355</v>
      </c>
      <c r="C442">
        <v>20</v>
      </c>
      <c r="D442">
        <v>20</v>
      </c>
      <c r="E442">
        <v>10</v>
      </c>
      <c r="F442">
        <f t="shared" si="82"/>
        <v>50</v>
      </c>
      <c r="G442">
        <f t="shared" si="98"/>
        <v>0</v>
      </c>
      <c r="H442">
        <f t="shared" si="92"/>
        <v>100</v>
      </c>
      <c r="I442">
        <f t="shared" si="93"/>
        <v>180</v>
      </c>
      <c r="J442">
        <f t="shared" si="94"/>
        <v>160</v>
      </c>
      <c r="K442">
        <f t="shared" si="95"/>
        <v>440</v>
      </c>
      <c r="L442">
        <f>G442*Return!B442*100</f>
        <v>0</v>
      </c>
      <c r="M442">
        <f>H442*Return!C442*100</f>
        <v>-453.999999999999</v>
      </c>
      <c r="N442">
        <f>I442*Return!D442*100</f>
        <v>-540.000000000004</v>
      </c>
      <c r="O442">
        <f>J442*Return!E442*100</f>
        <v>-478.400000000001</v>
      </c>
      <c r="P442">
        <f t="shared" si="96"/>
        <v>-1472.4</v>
      </c>
      <c r="Q442">
        <f>SUM($P$400:P442)</f>
        <v>10480</v>
      </c>
      <c r="R442">
        <f>B442*中国_中债国债到期收益率_1年!B441/365*100</f>
        <v>0</v>
      </c>
      <c r="S442">
        <f>C442*中国_中债国债到期收益率_1年!C441/365*100</f>
        <v>12.401095890411</v>
      </c>
      <c r="T442">
        <f>D442*中国_中债国债到期收益率_1年!D441/365*100</f>
        <v>12.972602739726</v>
      </c>
      <c r="U442">
        <f>E442*中国_中债国债到期收益率_1年!E441/365*100</f>
        <v>6.82602739726027</v>
      </c>
      <c r="V442">
        <f t="shared" si="97"/>
        <v>32.1997260273973</v>
      </c>
      <c r="W442">
        <f>SUM($V$400:V442)</f>
        <v>1447.44438356164</v>
      </c>
      <c r="X442">
        <f>MAX(F442-50,0)*中国_中债国债到期收益率_1年!H442*100/365</f>
        <v>0</v>
      </c>
      <c r="Y442">
        <f>SUM($X$400:X442)</f>
        <v>0</v>
      </c>
      <c r="Z442">
        <v>-200</v>
      </c>
      <c r="AA442">
        <v>200</v>
      </c>
      <c r="AB442">
        <f>Z442*Return!F446*100</f>
        <v>-295.999999999998</v>
      </c>
      <c r="AC442">
        <f>AA442*Return!G446*100</f>
        <v>358.000000000001</v>
      </c>
      <c r="AD442">
        <f>SUM($AB$400:AB442)+SUM($AC$400:AC442)</f>
        <v>1325.10000000001</v>
      </c>
      <c r="AE442">
        <f t="shared" si="84"/>
        <v>13252.5443835617</v>
      </c>
      <c r="AF442">
        <f t="shared" si="85"/>
        <v>1.02650508876712</v>
      </c>
      <c r="AG442" s="5">
        <f>(AE442-AE441)/(500000+AE441)-中国_中债国债到期收益率_1年!H442%/252</f>
        <v>-0.00275740227065209</v>
      </c>
      <c r="AH442" s="5">
        <f>MIN((AF442-MAX($AF$401:AF442))/MAX($AF$401:AF442),0)</f>
        <v>-0.00267803719128704</v>
      </c>
    </row>
    <row r="443" spans="1:34">
      <c r="A443" s="7">
        <v>45356</v>
      </c>
      <c r="C443">
        <v>20</v>
      </c>
      <c r="D443">
        <v>20</v>
      </c>
      <c r="E443">
        <v>10</v>
      </c>
      <c r="F443">
        <f t="shared" si="82"/>
        <v>50</v>
      </c>
      <c r="G443">
        <f t="shared" si="98"/>
        <v>0</v>
      </c>
      <c r="H443">
        <f t="shared" si="92"/>
        <v>100</v>
      </c>
      <c r="I443">
        <f t="shared" si="93"/>
        <v>180</v>
      </c>
      <c r="J443">
        <f t="shared" si="94"/>
        <v>160</v>
      </c>
      <c r="K443">
        <f t="shared" si="95"/>
        <v>440</v>
      </c>
      <c r="L443">
        <f>G443*Return!B443*100</f>
        <v>0</v>
      </c>
      <c r="M443">
        <f>H443*Return!C443*100</f>
        <v>143</v>
      </c>
      <c r="N443">
        <f>I443*Return!D443*100</f>
        <v>360</v>
      </c>
      <c r="O443">
        <f>J443*Return!E443*100</f>
        <v>283.199999999994</v>
      </c>
      <c r="P443">
        <f t="shared" si="96"/>
        <v>786.199999999994</v>
      </c>
      <c r="Q443">
        <f>SUM($P$400:P443)</f>
        <v>11266.2</v>
      </c>
      <c r="R443">
        <f>B443*中国_中债国债到期收益率_1年!B442/365*100</f>
        <v>0</v>
      </c>
      <c r="S443">
        <f>C443*中国_中债国债到期收益率_1年!C442/365*100</f>
        <v>12.3227397260274</v>
      </c>
      <c r="T443">
        <f>D443*中国_中债国债到期收益率_1年!D442/365*100</f>
        <v>12.8630136986301</v>
      </c>
      <c r="U443">
        <f>E443*中国_中债国债到期收益率_1年!E442/365*100</f>
        <v>6.77753424657534</v>
      </c>
      <c r="V443">
        <f t="shared" si="97"/>
        <v>31.9632876712329</v>
      </c>
      <c r="W443">
        <f>SUM($V$400:V443)</f>
        <v>1479.40767123288</v>
      </c>
      <c r="X443">
        <f>MAX(F443-50,0)*中国_中债国债到期收益率_1年!H443*100/365</f>
        <v>0</v>
      </c>
      <c r="Y443">
        <f>SUM($X$400:X443)</f>
        <v>0</v>
      </c>
      <c r="Z443">
        <v>-200</v>
      </c>
      <c r="AA443">
        <v>200</v>
      </c>
      <c r="AB443">
        <f>Z443*Return!F447*100</f>
        <v>124</v>
      </c>
      <c r="AC443">
        <f>AA443*Return!G447*100</f>
        <v>-339.999999999998</v>
      </c>
      <c r="AD443">
        <f>SUM($AB$400:AB443)+SUM($AC$400:AC443)</f>
        <v>1109.10000000001</v>
      </c>
      <c r="AE443">
        <f t="shared" si="84"/>
        <v>13854.7076712329</v>
      </c>
      <c r="AF443">
        <f t="shared" si="85"/>
        <v>1.02770941534247</v>
      </c>
      <c r="AG443" s="5">
        <f>(AE443-AE442)/(500000+AE442)-中国_中债国债到期收益率_1年!H443%/252</f>
        <v>0.00109227762883637</v>
      </c>
      <c r="AH443" s="5">
        <f>MIN((AF443-MAX($AF$401:AF443))/MAX($AF$401:AF443),0)</f>
        <v>-0.00150794913509836</v>
      </c>
    </row>
    <row r="444" spans="1:34">
      <c r="A444" s="7">
        <v>45357</v>
      </c>
      <c r="C444">
        <v>20</v>
      </c>
      <c r="D444">
        <v>20</v>
      </c>
      <c r="E444">
        <v>10</v>
      </c>
      <c r="F444">
        <f t="shared" si="82"/>
        <v>50</v>
      </c>
      <c r="G444">
        <f t="shared" si="98"/>
        <v>0</v>
      </c>
      <c r="H444">
        <f t="shared" si="92"/>
        <v>100</v>
      </c>
      <c r="I444">
        <f t="shared" si="93"/>
        <v>180</v>
      </c>
      <c r="J444">
        <f t="shared" si="94"/>
        <v>160</v>
      </c>
      <c r="K444">
        <f t="shared" si="95"/>
        <v>440</v>
      </c>
      <c r="L444">
        <f>G444*Return!B444*100</f>
        <v>0</v>
      </c>
      <c r="M444">
        <f>H444*Return!C444*100</f>
        <v>204</v>
      </c>
      <c r="N444">
        <f>I444*Return!D444*100</f>
        <v>550.800000000003</v>
      </c>
      <c r="O444">
        <f>J444*Return!E444*100</f>
        <v>-89.5999999999972</v>
      </c>
      <c r="P444">
        <f t="shared" si="96"/>
        <v>665.200000000006</v>
      </c>
      <c r="Q444">
        <f>SUM($P$400:P444)</f>
        <v>11931.4</v>
      </c>
      <c r="R444">
        <f>B444*中国_中债国债到期收益率_1年!B443/365*100</f>
        <v>0</v>
      </c>
      <c r="S444">
        <f>C444*中国_中债国债到期收益率_1年!C443/365*100</f>
        <v>12.2109589041096</v>
      </c>
      <c r="T444">
        <f>D444*中国_中债国债到期收益率_1年!D443/365*100</f>
        <v>12.6953424657534</v>
      </c>
      <c r="U444">
        <f>E444*中国_中债国债到期收益率_1年!E443/365*100</f>
        <v>6.79287671232877</v>
      </c>
      <c r="V444">
        <f t="shared" si="97"/>
        <v>31.6991780821918</v>
      </c>
      <c r="W444">
        <f>SUM($V$400:V444)</f>
        <v>1511.10684931507</v>
      </c>
      <c r="X444">
        <f>MAX(F444-50,0)*中国_中债国债到期收益率_1年!H444*100/365</f>
        <v>0</v>
      </c>
      <c r="Y444">
        <f>SUM($X$400:X444)</f>
        <v>0</v>
      </c>
      <c r="Z444">
        <v>-200</v>
      </c>
      <c r="AA444">
        <v>200</v>
      </c>
      <c r="AB444">
        <f>Z444*Return!F448*100</f>
        <v>261.999999999998</v>
      </c>
      <c r="AC444">
        <f>AA444*Return!G448*100</f>
        <v>-170.000000000003</v>
      </c>
      <c r="AD444">
        <f>SUM($AB$400:AB444)+SUM($AC$400:AC444)</f>
        <v>1201.1</v>
      </c>
      <c r="AE444">
        <f t="shared" si="84"/>
        <v>14643.6068493151</v>
      </c>
      <c r="AF444">
        <f t="shared" si="85"/>
        <v>1.02928721369863</v>
      </c>
      <c r="AG444" s="5">
        <f>(AE444-AE443)/(500000+AE443)-中国_中债国债到期收益率_1年!H444%/252</f>
        <v>0.00145390806833345</v>
      </c>
      <c r="AH444" s="5">
        <f>MIN((AF444-MAX($AF$401:AF444))/MAX($AF$401:AF444),0)</f>
        <v>0</v>
      </c>
    </row>
    <row r="445" spans="1:34">
      <c r="A445" s="7">
        <v>45358</v>
      </c>
      <c r="C445">
        <v>20</v>
      </c>
      <c r="D445">
        <v>20</v>
      </c>
      <c r="E445">
        <v>10</v>
      </c>
      <c r="F445">
        <f t="shared" si="82"/>
        <v>50</v>
      </c>
      <c r="G445">
        <f t="shared" si="98"/>
        <v>0</v>
      </c>
      <c r="H445">
        <f t="shared" si="92"/>
        <v>100</v>
      </c>
      <c r="I445">
        <f t="shared" si="93"/>
        <v>180</v>
      </c>
      <c r="J445">
        <f t="shared" si="94"/>
        <v>160</v>
      </c>
      <c r="K445">
        <f t="shared" si="95"/>
        <v>440</v>
      </c>
      <c r="L445">
        <f>G445*Return!B445*100</f>
        <v>0</v>
      </c>
      <c r="M445">
        <f>H445*Return!C445*100</f>
        <v>609.999999999999</v>
      </c>
      <c r="N445">
        <f>I445*Return!D445*100</f>
        <v>934.199999999997</v>
      </c>
      <c r="O445">
        <f>J445*Return!E445*100</f>
        <v>832.000000000001</v>
      </c>
      <c r="P445">
        <f t="shared" si="96"/>
        <v>2376.2</v>
      </c>
      <c r="Q445">
        <f>SUM($P$400:P445)</f>
        <v>14307.6</v>
      </c>
      <c r="R445">
        <f>B445*中国_中债国债到期收益率_1年!B444/365*100</f>
        <v>0</v>
      </c>
      <c r="S445">
        <f>C445*中国_中债国债到期收益率_1年!C444/365*100</f>
        <v>11.8767123287671</v>
      </c>
      <c r="T445">
        <f>D445*中国_中债国债到期收益率_1年!D444/365*100</f>
        <v>12.4109589041096</v>
      </c>
      <c r="U445">
        <f>E445*中国_中债国债到期收益率_1年!E444/365*100</f>
        <v>6.65041095890411</v>
      </c>
      <c r="V445">
        <f t="shared" si="97"/>
        <v>30.9380821917808</v>
      </c>
      <c r="W445">
        <f>SUM($V$400:V445)</f>
        <v>1542.04493150685</v>
      </c>
      <c r="X445">
        <f>MAX(F445-50,0)*中国_中债国债到期收益率_1年!H445*100/365</f>
        <v>0</v>
      </c>
      <c r="Y445">
        <f>SUM($X$400:X445)</f>
        <v>0</v>
      </c>
      <c r="Z445">
        <v>-200</v>
      </c>
      <c r="AA445">
        <v>200</v>
      </c>
      <c r="AB445">
        <f>Z445*Return!F449*100</f>
        <v>222.000000000002</v>
      </c>
      <c r="AC445">
        <f>AA445*Return!G449*100</f>
        <v>-495.999999999999</v>
      </c>
      <c r="AD445">
        <f>SUM($AB$400:AB445)+SUM($AC$400:AC445)</f>
        <v>927.100000000006</v>
      </c>
      <c r="AE445">
        <f t="shared" si="84"/>
        <v>16776.7449315069</v>
      </c>
      <c r="AF445">
        <f t="shared" si="85"/>
        <v>1.03355348986301</v>
      </c>
      <c r="AG445" s="5">
        <f>(AE445-AE444)/(500000+AE444)-中国_中债国债到期收益率_1年!H445%/252</f>
        <v>0.00406551897982105</v>
      </c>
      <c r="AH445" s="5">
        <f>MIN((AF445-MAX($AF$401:AF445))/MAX($AF$401:AF445),0)</f>
        <v>0</v>
      </c>
    </row>
    <row r="446" spans="1:34">
      <c r="A446" s="7">
        <v>45359</v>
      </c>
      <c r="C446">
        <v>20</v>
      </c>
      <c r="D446">
        <v>20</v>
      </c>
      <c r="E446">
        <v>10</v>
      </c>
      <c r="F446">
        <f t="shared" si="82"/>
        <v>50</v>
      </c>
      <c r="G446">
        <f t="shared" si="98"/>
        <v>0</v>
      </c>
      <c r="H446">
        <f t="shared" si="92"/>
        <v>100</v>
      </c>
      <c r="I446">
        <f t="shared" si="93"/>
        <v>180</v>
      </c>
      <c r="J446">
        <f t="shared" si="94"/>
        <v>160</v>
      </c>
      <c r="K446">
        <f t="shared" si="95"/>
        <v>440</v>
      </c>
      <c r="L446">
        <f>G446*Return!B446*100</f>
        <v>0</v>
      </c>
      <c r="M446">
        <f>H446*Return!C446*100</f>
        <v>-284</v>
      </c>
      <c r="N446">
        <f>I446*Return!D446*100</f>
        <v>-226.799999999999</v>
      </c>
      <c r="O446">
        <f>J446*Return!E446*100</f>
        <v>-57.6000000000008</v>
      </c>
      <c r="P446">
        <f t="shared" si="96"/>
        <v>-568.4</v>
      </c>
      <c r="Q446">
        <f>SUM($P$400:P446)</f>
        <v>13739.2</v>
      </c>
      <c r="R446">
        <f>B446*中国_中债国债到期收益率_1年!B445/365*100</f>
        <v>0</v>
      </c>
      <c r="S446">
        <f>C446*中国_中债国债到期收益率_1年!C445/365*100</f>
        <v>12.0323287671233</v>
      </c>
      <c r="T446">
        <f>D446*中国_中债国债到期收益率_1年!D445/365*100</f>
        <v>12.48</v>
      </c>
      <c r="U446">
        <f>E446*中国_中债国债到期收益率_1年!E445/365*100</f>
        <v>6.66027397260274</v>
      </c>
      <c r="V446">
        <f t="shared" si="97"/>
        <v>31.172602739726</v>
      </c>
      <c r="W446">
        <f>SUM($V$400:V446)</f>
        <v>1573.21753424658</v>
      </c>
      <c r="X446">
        <f>MAX(F446-50,0)*中国_中债国债到期收益率_1年!H446*100/365</f>
        <v>0</v>
      </c>
      <c r="Y446">
        <f>SUM($X$400:X446)</f>
        <v>0</v>
      </c>
      <c r="Z446">
        <v>-200</v>
      </c>
      <c r="AA446">
        <v>200</v>
      </c>
      <c r="AB446">
        <f>Z446*Return!F450*100</f>
        <v>158</v>
      </c>
      <c r="AC446">
        <f>AA446*Return!G450*100</f>
        <v>-135.999999999994</v>
      </c>
      <c r="AD446">
        <f>SUM($AB$400:AB446)+SUM($AC$400:AC446)</f>
        <v>949.100000000012</v>
      </c>
      <c r="AE446">
        <f t="shared" si="84"/>
        <v>16261.5175342466</v>
      </c>
      <c r="AF446">
        <f t="shared" si="85"/>
        <v>1.03252303506849</v>
      </c>
      <c r="AG446" s="5">
        <f>(AE446-AE445)/(500000+AE445)-中国_中债国债到期收益率_1年!H446%/252</f>
        <v>-0.0010763669806959</v>
      </c>
      <c r="AH446" s="5">
        <f>MIN((AF446-MAX($AF$401:AF446))/MAX($AF$401:AF446),0)</f>
        <v>-0.000997001901330864</v>
      </c>
    </row>
    <row r="447" spans="1:34">
      <c r="A447" s="7">
        <v>45362</v>
      </c>
      <c r="C447">
        <v>20</v>
      </c>
      <c r="D447">
        <v>20</v>
      </c>
      <c r="E447">
        <v>10</v>
      </c>
      <c r="F447">
        <f t="shared" si="82"/>
        <v>50</v>
      </c>
      <c r="G447">
        <f t="shared" si="98"/>
        <v>0</v>
      </c>
      <c r="H447">
        <f t="shared" si="92"/>
        <v>100</v>
      </c>
      <c r="I447">
        <f t="shared" si="93"/>
        <v>180</v>
      </c>
      <c r="J447">
        <f t="shared" si="94"/>
        <v>160</v>
      </c>
      <c r="K447">
        <f t="shared" si="95"/>
        <v>440</v>
      </c>
      <c r="L447">
        <f>G447*Return!B447*100</f>
        <v>0</v>
      </c>
      <c r="M447">
        <f>H447*Return!C447*100</f>
        <v>-129.999999999999</v>
      </c>
      <c r="N447">
        <f>I447*Return!D447*100</f>
        <v>-88.2000000000023</v>
      </c>
      <c r="O447">
        <f>J447*Return!E447*100</f>
        <v>-39.9999999999991</v>
      </c>
      <c r="P447">
        <f t="shared" si="96"/>
        <v>-258.2</v>
      </c>
      <c r="Q447">
        <f>SUM($P$400:P447)</f>
        <v>13481</v>
      </c>
      <c r="R447">
        <f>B447*中国_中债国债到期收益率_1年!B446/365*100</f>
        <v>0</v>
      </c>
      <c r="S447">
        <f>C447*中国_中债国债到期收益率_1年!C446/365*100</f>
        <v>12.1035616438356</v>
      </c>
      <c r="T447">
        <f>D447*中国_中债国债到期收益率_1年!D446/365*100</f>
        <v>12.5068493150685</v>
      </c>
      <c r="U447">
        <f>E447*中国_中债国债到期收益率_1年!E446/365*100</f>
        <v>6.66712328767123</v>
      </c>
      <c r="V447">
        <f t="shared" si="97"/>
        <v>31.2775342465753</v>
      </c>
      <c r="W447">
        <f>SUM($V$400:V447)</f>
        <v>1604.49506849315</v>
      </c>
      <c r="X447">
        <f>MAX(F447-50,0)*中国_中债国债到期收益率_1年!H447*100/365</f>
        <v>0</v>
      </c>
      <c r="Y447">
        <f>SUM($X$400:X447)</f>
        <v>0</v>
      </c>
      <c r="Z447">
        <v>-200</v>
      </c>
      <c r="AA447">
        <v>200</v>
      </c>
      <c r="AB447">
        <f>Z447*Return!F451*100</f>
        <v>80.0000000000001</v>
      </c>
      <c r="AC447">
        <f>AA447*Return!G451*100</f>
        <v>53.9999999999985</v>
      </c>
      <c r="AD447">
        <f>SUM($AB$400:AB447)+SUM($AC$400:AC447)</f>
        <v>1083.10000000001</v>
      </c>
      <c r="AE447">
        <f t="shared" si="84"/>
        <v>16168.5950684932</v>
      </c>
      <c r="AF447">
        <f t="shared" si="85"/>
        <v>1.03233719013699</v>
      </c>
      <c r="AG447" s="5">
        <f>(AE447-AE446)/(500000+AE446)-中国_中债国债到期收益率_1年!H447%/252</f>
        <v>-0.000259356154813117</v>
      </c>
      <c r="AH447" s="5">
        <f>MIN((AF447-MAX($AF$401:AF447))/MAX($AF$401:AF447),0)</f>
        <v>-0.00117681352533447</v>
      </c>
    </row>
    <row r="448" spans="1:34">
      <c r="A448" s="7">
        <v>45363</v>
      </c>
      <c r="C448">
        <v>20</v>
      </c>
      <c r="D448">
        <v>20</v>
      </c>
      <c r="E448">
        <v>10</v>
      </c>
      <c r="F448">
        <f t="shared" si="82"/>
        <v>50</v>
      </c>
      <c r="G448">
        <f t="shared" si="98"/>
        <v>0</v>
      </c>
      <c r="H448">
        <f t="shared" si="92"/>
        <v>100</v>
      </c>
      <c r="I448">
        <f t="shared" si="93"/>
        <v>180</v>
      </c>
      <c r="J448">
        <f t="shared" si="94"/>
        <v>160</v>
      </c>
      <c r="K448">
        <f t="shared" si="95"/>
        <v>440</v>
      </c>
      <c r="L448">
        <f>G448*Return!B448*100</f>
        <v>0</v>
      </c>
      <c r="M448">
        <f>H448*Return!C448*100</f>
        <v>-231.000000000003</v>
      </c>
      <c r="N448">
        <f>I448*Return!D448*100</f>
        <v>-404.999999999999</v>
      </c>
      <c r="O448">
        <f>J448*Return!E448*100</f>
        <v>-689.599999999999</v>
      </c>
      <c r="P448">
        <f t="shared" si="96"/>
        <v>-1325.6</v>
      </c>
      <c r="Q448">
        <f>SUM($P$400:P448)</f>
        <v>12155.4</v>
      </c>
      <c r="R448">
        <f>B448*中国_中债国债到期收益率_1年!B447/365*100</f>
        <v>0</v>
      </c>
      <c r="S448">
        <f>C448*中国_中债国债到期收益率_1年!C447/365*100</f>
        <v>12.2301369863014</v>
      </c>
      <c r="T448">
        <f>D448*中国_中债国债到期收益率_1年!D447/365*100</f>
        <v>12.6301369863014</v>
      </c>
      <c r="U448">
        <f>E448*中国_中债国债到期收益率_1年!E447/365*100</f>
        <v>6.78520547945205</v>
      </c>
      <c r="V448">
        <f t="shared" si="97"/>
        <v>31.6454794520548</v>
      </c>
      <c r="W448">
        <f>SUM($V$400:V448)</f>
        <v>1636.14054794521</v>
      </c>
      <c r="X448">
        <f>MAX(F448-50,0)*中国_中债国债到期收益率_1年!H448*100/365</f>
        <v>0</v>
      </c>
      <c r="Y448">
        <f>SUM($X$400:X448)</f>
        <v>0</v>
      </c>
      <c r="Z448">
        <v>-200</v>
      </c>
      <c r="AA448">
        <v>200</v>
      </c>
      <c r="AB448">
        <f>Z448*Return!F452*100</f>
        <v>-49.9999999999989</v>
      </c>
      <c r="AC448">
        <f>AA448*Return!G452*100</f>
        <v>102.000000000002</v>
      </c>
      <c r="AD448">
        <f>SUM($AB$400:AB448)+SUM($AC$400:AC448)</f>
        <v>1135.10000000001</v>
      </c>
      <c r="AE448">
        <f t="shared" si="84"/>
        <v>14926.6405479452</v>
      </c>
      <c r="AF448">
        <f t="shared" si="85"/>
        <v>1.02985328109589</v>
      </c>
      <c r="AG448" s="5">
        <f>(AE448-AE447)/(500000+AE447)-中国_中债国债到期收益率_1年!H448%/252</f>
        <v>-0.00248546752808756</v>
      </c>
      <c r="AH448" s="5">
        <f>MIN((AF448-MAX($AF$401:AF448))/MAX($AF$401:AF448),0)</f>
        <v>-0.00358008444015181</v>
      </c>
    </row>
    <row r="449" spans="1:34">
      <c r="A449" s="7">
        <v>45364</v>
      </c>
      <c r="C449">
        <v>20</v>
      </c>
      <c r="D449">
        <v>20</v>
      </c>
      <c r="E449">
        <v>10</v>
      </c>
      <c r="F449">
        <f t="shared" si="82"/>
        <v>50</v>
      </c>
      <c r="G449">
        <f t="shared" si="98"/>
        <v>0</v>
      </c>
      <c r="H449">
        <f t="shared" si="92"/>
        <v>100</v>
      </c>
      <c r="I449">
        <f t="shared" si="93"/>
        <v>180</v>
      </c>
      <c r="J449">
        <f t="shared" si="94"/>
        <v>160</v>
      </c>
      <c r="K449">
        <f t="shared" si="95"/>
        <v>440</v>
      </c>
      <c r="L449">
        <f>G449*Return!B449*100</f>
        <v>0</v>
      </c>
      <c r="M449">
        <f>H449*Return!C449*100</f>
        <v>-395.999999999996</v>
      </c>
      <c r="N449">
        <f>I449*Return!D449*100</f>
        <v>-766.799999999996</v>
      </c>
      <c r="O449">
        <f>J449*Return!E449*100</f>
        <v>-1038.4</v>
      </c>
      <c r="P449">
        <f t="shared" si="96"/>
        <v>-2201.19999999999</v>
      </c>
      <c r="Q449">
        <f>SUM($P$400:P449)</f>
        <v>9954.20000000001</v>
      </c>
      <c r="R449">
        <f>B449*中国_中债国债到期收益率_1年!B448/365*100</f>
        <v>0</v>
      </c>
      <c r="S449">
        <f>C449*中国_中债国债到期收益率_1年!C448/365*100</f>
        <v>12.4471232876712</v>
      </c>
      <c r="T449">
        <f>D449*中国_中债国债到期收益率_1年!D448/365*100</f>
        <v>12.8635616438356</v>
      </c>
      <c r="U449">
        <f>E449*中国_中债国债到期收益率_1年!E448/365*100</f>
        <v>6.96301369863014</v>
      </c>
      <c r="V449">
        <f t="shared" si="97"/>
        <v>32.273698630137</v>
      </c>
      <c r="W449">
        <f>SUM($V$400:V449)</f>
        <v>1668.41424657534</v>
      </c>
      <c r="X449">
        <f>MAX(F449-50,0)*中国_中债国债到期收益率_1年!H449*100/365</f>
        <v>0</v>
      </c>
      <c r="Y449">
        <f>SUM($X$400:X449)</f>
        <v>0</v>
      </c>
      <c r="Z449">
        <v>-200</v>
      </c>
      <c r="AA449">
        <v>200</v>
      </c>
      <c r="AB449">
        <f>Z449*Return!F453*100</f>
        <v>-94.000000000003</v>
      </c>
      <c r="AC449">
        <f>AA449*Return!G453*100</f>
        <v>177.999999999994</v>
      </c>
      <c r="AD449">
        <f>SUM($AB$400:AB449)+SUM($AC$400:AC449)</f>
        <v>1219.1</v>
      </c>
      <c r="AE449">
        <f t="shared" si="84"/>
        <v>12841.7142465754</v>
      </c>
      <c r="AF449">
        <f t="shared" si="85"/>
        <v>1.02568342849315</v>
      </c>
      <c r="AG449" s="5">
        <f>(AE449-AE448)/(500000+AE448)-中国_中债国债到期收益率_1年!H449%/252</f>
        <v>-0.00412834242330528</v>
      </c>
      <c r="AH449" s="5">
        <f>MIN((AF449-MAX($AF$401:AF449))/MAX($AF$401:AF449),0)</f>
        <v>-0.00761456610330454</v>
      </c>
    </row>
    <row r="450" spans="1:34">
      <c r="A450" s="7">
        <v>45365</v>
      </c>
      <c r="C450">
        <v>20</v>
      </c>
      <c r="D450">
        <v>20</v>
      </c>
      <c r="E450">
        <v>10</v>
      </c>
      <c r="F450">
        <f t="shared" si="82"/>
        <v>50</v>
      </c>
      <c r="G450">
        <f t="shared" si="98"/>
        <v>0</v>
      </c>
      <c r="H450">
        <f t="shared" si="92"/>
        <v>100</v>
      </c>
      <c r="I450">
        <f t="shared" si="93"/>
        <v>180</v>
      </c>
      <c r="J450">
        <f t="shared" si="94"/>
        <v>160</v>
      </c>
      <c r="K450">
        <f t="shared" si="95"/>
        <v>440</v>
      </c>
      <c r="L450">
        <f>G450*Return!B450*100</f>
        <v>0</v>
      </c>
      <c r="M450">
        <f>H450*Return!C450*100</f>
        <v>128.999999999997</v>
      </c>
      <c r="N450">
        <f>I450*Return!D450*100</f>
        <v>270.000000000002</v>
      </c>
      <c r="O450">
        <f>J450*Return!E450*100</f>
        <v>163.200000000003</v>
      </c>
      <c r="P450">
        <f t="shared" si="96"/>
        <v>562.200000000002</v>
      </c>
      <c r="Q450">
        <f>SUM($P$400:P450)</f>
        <v>10516.4</v>
      </c>
      <c r="R450">
        <f>B450*中国_中债国债到期收益率_1年!B449/365*100</f>
        <v>0</v>
      </c>
      <c r="S450">
        <f>C450*中国_中债国债到期收益率_1年!C449/365*100</f>
        <v>12.3764383561644</v>
      </c>
      <c r="T450">
        <f>D450*中国_中债国债到期收益率_1年!D449/365*100</f>
        <v>12.7813698630137</v>
      </c>
      <c r="U450">
        <f>E450*中国_中债国债到期收益率_1年!E449/365*100</f>
        <v>6.93506849315068</v>
      </c>
      <c r="V450">
        <f t="shared" si="97"/>
        <v>32.0928767123288</v>
      </c>
      <c r="W450">
        <f>SUM($V$400:V450)</f>
        <v>1700.50712328767</v>
      </c>
      <c r="X450">
        <f>MAX(F450-50,0)*中国_中债国债到期收益率_1年!H450*100/365</f>
        <v>0</v>
      </c>
      <c r="Y450">
        <f>SUM($X$400:X450)</f>
        <v>0</v>
      </c>
      <c r="Z450">
        <v>-200</v>
      </c>
      <c r="AA450">
        <v>200</v>
      </c>
      <c r="AB450">
        <f>Z450*Return!F454*100</f>
        <v>-29.9999999999967</v>
      </c>
      <c r="AC450">
        <f>AA450*Return!G454*100</f>
        <v>209.999999999999</v>
      </c>
      <c r="AD450">
        <f>SUM($AB$400:AB450)+SUM($AC$400:AC450)</f>
        <v>1399.10000000001</v>
      </c>
      <c r="AE450">
        <f t="shared" si="84"/>
        <v>13616.0071232877</v>
      </c>
      <c r="AF450">
        <f t="shared" si="85"/>
        <v>1.02723201424658</v>
      </c>
      <c r="AG450" s="5">
        <f>(AE450-AE449)/(500000+AE449)-中国_中债国债到期收益率_1年!H450%/252</f>
        <v>0.00143044361053422</v>
      </c>
      <c r="AH450" s="5">
        <f>MIN((AF450-MAX($AF$401:AF450))/MAX($AF$401:AF450),0)</f>
        <v>-0.00611625395147773</v>
      </c>
    </row>
    <row r="451" spans="1:34">
      <c r="A451" s="7">
        <v>45366</v>
      </c>
      <c r="B451">
        <v>10</v>
      </c>
      <c r="C451">
        <v>20</v>
      </c>
      <c r="D451">
        <v>20</v>
      </c>
      <c r="E451">
        <v>10</v>
      </c>
      <c r="F451">
        <f t="shared" ref="F451:F514" si="99">SUM(B451:E451)</f>
        <v>60</v>
      </c>
      <c r="G451">
        <f t="shared" si="98"/>
        <v>10</v>
      </c>
      <c r="H451">
        <f t="shared" si="92"/>
        <v>100</v>
      </c>
      <c r="I451">
        <f t="shared" si="93"/>
        <v>180</v>
      </c>
      <c r="J451">
        <f t="shared" si="94"/>
        <v>160</v>
      </c>
      <c r="K451">
        <f t="shared" si="95"/>
        <v>450</v>
      </c>
      <c r="L451">
        <f>G451*Return!B451*100</f>
        <v>-30</v>
      </c>
      <c r="M451">
        <f>H451*Return!C451*100</f>
        <v>-7.99999999999912</v>
      </c>
      <c r="N451">
        <f>I451*Return!D451*100</f>
        <v>-178.2</v>
      </c>
      <c r="O451">
        <f>J451*Return!E451*100</f>
        <v>-48.0000000000018</v>
      </c>
      <c r="P451">
        <f t="shared" si="96"/>
        <v>-264.200000000001</v>
      </c>
      <c r="Q451">
        <f>SUM($P$400:P451)</f>
        <v>10252.2</v>
      </c>
      <c r="R451">
        <f>B451*中国_中债国债到期收益率_1年!B450/365*100</f>
        <v>5.06164383561644</v>
      </c>
      <c r="S451">
        <f>C451*中国_中债国债到期收益率_1年!C450/365*100</f>
        <v>12.3808219178082</v>
      </c>
      <c r="T451">
        <f>D451*中国_中债国债到期收益率_1年!D450/365*100</f>
        <v>12.8356164383562</v>
      </c>
      <c r="U451">
        <f>E451*中国_中债国债到期收益率_1年!E450/365*100</f>
        <v>6.94328767123288</v>
      </c>
      <c r="V451">
        <f t="shared" si="97"/>
        <v>37.2213698630137</v>
      </c>
      <c r="W451">
        <f>SUM($V$400:V451)</f>
        <v>1737.72849315068</v>
      </c>
      <c r="X451">
        <f>MAX(F451-50,0)*中国_中债国债到期收益率_1年!H451*100/365</f>
        <v>5.47945205479452</v>
      </c>
      <c r="Y451">
        <f>SUM($X$400:X451)</f>
        <v>5.47945205479452</v>
      </c>
      <c r="Z451">
        <v>-200</v>
      </c>
      <c r="AA451">
        <v>200</v>
      </c>
      <c r="AB451">
        <f>Z451*Return!F455*100</f>
        <v>295.999999999998</v>
      </c>
      <c r="AC451">
        <f>AA451*Return!G455*100</f>
        <v>-409.999999999995</v>
      </c>
      <c r="AD451">
        <f>SUM($AB$400:AB451)+SUM($AC$400:AC451)</f>
        <v>1285.10000000001</v>
      </c>
      <c r="AE451">
        <f t="shared" si="84"/>
        <v>13269.5490410959</v>
      </c>
      <c r="AF451">
        <f t="shared" si="85"/>
        <v>1.02653909808219</v>
      </c>
      <c r="AG451" s="5">
        <f>(AE451-AE450)/(500000+AE450)-中国_中债国债到期收益率_1年!H451%/252</f>
        <v>-0.000753911973127714</v>
      </c>
      <c r="AH451" s="5">
        <f>MIN((AF451-MAX($AF$401:AF451))/MAX($AF$401:AF451),0)</f>
        <v>-0.00678667514513597</v>
      </c>
    </row>
    <row r="452" spans="1:34">
      <c r="A452" s="7">
        <v>45369</v>
      </c>
      <c r="B452">
        <v>10</v>
      </c>
      <c r="C452">
        <v>20</v>
      </c>
      <c r="D452">
        <v>20</v>
      </c>
      <c r="E452">
        <v>10</v>
      </c>
      <c r="F452">
        <f t="shared" si="99"/>
        <v>60</v>
      </c>
      <c r="G452">
        <f t="shared" si="98"/>
        <v>10</v>
      </c>
      <c r="H452">
        <f t="shared" si="92"/>
        <v>100</v>
      </c>
      <c r="I452">
        <f t="shared" si="93"/>
        <v>180</v>
      </c>
      <c r="J452">
        <f t="shared" si="94"/>
        <v>160</v>
      </c>
      <c r="K452">
        <f t="shared" si="95"/>
        <v>450</v>
      </c>
      <c r="L452">
        <f>G452*Return!B452*100</f>
        <v>14.9999999999999</v>
      </c>
      <c r="M452">
        <f>H452*Return!C452*100</f>
        <v>167.000000000002</v>
      </c>
      <c r="N452">
        <f>I452*Return!D452*100</f>
        <v>404.999999999999</v>
      </c>
      <c r="O452">
        <f>J452*Return!E452*100</f>
        <v>398.400000000002</v>
      </c>
      <c r="P452">
        <f t="shared" si="96"/>
        <v>985.400000000003</v>
      </c>
      <c r="Q452">
        <f>SUM($P$400:P452)</f>
        <v>11237.6</v>
      </c>
      <c r="R452">
        <f>B452*中国_中债国债到期收益率_1年!B451/365*100</f>
        <v>5.02054794520548</v>
      </c>
      <c r="S452">
        <f>C452*中国_中债国债到期收益率_1年!C451/365*100</f>
        <v>12.2893150684931</v>
      </c>
      <c r="T452">
        <f>D452*中国_中债国债到期收益率_1年!D451/365*100</f>
        <v>12.7123287671233</v>
      </c>
      <c r="U452">
        <f>E452*中国_中债国债到期收益率_1年!E451/365*100</f>
        <v>6.87506849315068</v>
      </c>
      <c r="V452">
        <f t="shared" si="97"/>
        <v>36.8972602739726</v>
      </c>
      <c r="W452">
        <f>SUM($V$400:V452)</f>
        <v>1774.62575342466</v>
      </c>
      <c r="X452">
        <f>MAX(F452-50,0)*中国_中债国债到期收益率_1年!H452*100/365</f>
        <v>5.47945205479452</v>
      </c>
      <c r="Y452">
        <f>SUM($X$400:X452)</f>
        <v>10.958904109589</v>
      </c>
      <c r="Z452">
        <v>-200</v>
      </c>
      <c r="AA452">
        <v>200</v>
      </c>
      <c r="AB452">
        <f>Z452*Return!F456*100</f>
        <v>-209.999999999999</v>
      </c>
      <c r="AC452">
        <f>AA452*Return!G456*100</f>
        <v>171.999999999999</v>
      </c>
      <c r="AD452">
        <f>SUM($AB$400:AB452)+SUM($AC$400:AC452)</f>
        <v>1247.10000000001</v>
      </c>
      <c r="AE452">
        <f t="shared" ref="AE452:AE515" si="100">Q452+W452+AD452-Y452</f>
        <v>14248.3668493151</v>
      </c>
      <c r="AF452">
        <f t="shared" ref="AF452:AF515" si="101">AE452/$AI$1+1</f>
        <v>1.02849673369863</v>
      </c>
      <c r="AG452" s="5">
        <f>(AE452-AE451)/(500000+AE451)-中国_中债国债到期收益率_1年!H452%/252</f>
        <v>0.00182765981632148</v>
      </c>
      <c r="AH452" s="5">
        <f>MIN((AF452-MAX($AF$401:AF452))/MAX($AF$401:AF452),0)</f>
        <v>-0.00489259260791013</v>
      </c>
    </row>
    <row r="453" spans="1:34">
      <c r="A453" s="7">
        <v>45370</v>
      </c>
      <c r="B453">
        <v>10</v>
      </c>
      <c r="C453">
        <v>20</v>
      </c>
      <c r="D453">
        <v>20</v>
      </c>
      <c r="E453">
        <v>10</v>
      </c>
      <c r="F453">
        <f t="shared" si="99"/>
        <v>60</v>
      </c>
      <c r="G453">
        <f t="shared" si="98"/>
        <v>10</v>
      </c>
      <c r="H453">
        <f t="shared" si="92"/>
        <v>100</v>
      </c>
      <c r="I453">
        <f t="shared" si="93"/>
        <v>180</v>
      </c>
      <c r="J453">
        <f t="shared" si="94"/>
        <v>160</v>
      </c>
      <c r="K453">
        <f t="shared" si="95"/>
        <v>450</v>
      </c>
      <c r="L453">
        <f>G453*Return!B453*100</f>
        <v>50</v>
      </c>
      <c r="M453">
        <f>H453*Return!C453*100</f>
        <v>259.999999999998</v>
      </c>
      <c r="N453">
        <f>I453*Return!D453*100</f>
        <v>493.199999999994</v>
      </c>
      <c r="O453">
        <f>J453*Return!E453*100</f>
        <v>379.199999999997</v>
      </c>
      <c r="P453">
        <f t="shared" si="96"/>
        <v>1182.39999999999</v>
      </c>
      <c r="Q453">
        <f>SUM($P$400:P453)</f>
        <v>12420</v>
      </c>
      <c r="R453">
        <f>B453*中国_中债国债到期收益率_1年!B452/365*100</f>
        <v>4.88356164383562</v>
      </c>
      <c r="S453">
        <f>C453*中国_中债国债到期收益率_1年!C452/365*100</f>
        <v>12.1468493150685</v>
      </c>
      <c r="T453">
        <f>D453*中国_中债国债到期收益率_1年!D452/365*100</f>
        <v>12.5621917808219</v>
      </c>
      <c r="U453">
        <f>E453*中国_中债国债到期收益率_1年!E452/365*100</f>
        <v>6.81013698630137</v>
      </c>
      <c r="V453">
        <f t="shared" si="97"/>
        <v>36.4027397260274</v>
      </c>
      <c r="W453">
        <f>SUM($V$400:V453)</f>
        <v>1811.02849315068</v>
      </c>
      <c r="X453">
        <f>MAX(F453-50,0)*中国_中债国债到期收益率_1年!H453*100/365</f>
        <v>5.47945205479452</v>
      </c>
      <c r="Y453">
        <f>SUM($X$400:X453)</f>
        <v>16.4383561643836</v>
      </c>
      <c r="Z453">
        <v>-200</v>
      </c>
      <c r="AA453">
        <v>200</v>
      </c>
      <c r="AB453">
        <f>Z453*Return!F457*100</f>
        <v>78.0000000000003</v>
      </c>
      <c r="AC453">
        <f>AA453*Return!G457*100</f>
        <v>-69.9999999999967</v>
      </c>
      <c r="AD453">
        <f>SUM($AB$400:AB453)+SUM($AC$400:AC453)</f>
        <v>1255.10000000001</v>
      </c>
      <c r="AE453">
        <f t="shared" si="100"/>
        <v>15469.6901369863</v>
      </c>
      <c r="AF453">
        <f t="shared" si="101"/>
        <v>1.03093938027397</v>
      </c>
      <c r="AG453" s="5">
        <f>(AE453-AE452)/(500000+AE452)-中国_中债国债到期收益率_1年!H453%/252</f>
        <v>0.00229560267241214</v>
      </c>
      <c r="AH453" s="5">
        <f>MIN((AF453-MAX($AF$401:AF453))/MAX($AF$401:AF453),0)</f>
        <v>-0.0025292446057993</v>
      </c>
    </row>
    <row r="454" spans="1:34">
      <c r="A454" s="7">
        <v>45371</v>
      </c>
      <c r="B454">
        <v>10</v>
      </c>
      <c r="C454">
        <v>20</v>
      </c>
      <c r="D454">
        <v>20</v>
      </c>
      <c r="E454">
        <v>10</v>
      </c>
      <c r="F454">
        <f t="shared" si="99"/>
        <v>60</v>
      </c>
      <c r="G454">
        <f t="shared" si="98"/>
        <v>10</v>
      </c>
      <c r="H454">
        <f t="shared" si="92"/>
        <v>100</v>
      </c>
      <c r="I454">
        <f t="shared" si="93"/>
        <v>180</v>
      </c>
      <c r="J454">
        <f t="shared" si="94"/>
        <v>160</v>
      </c>
      <c r="K454">
        <f t="shared" si="95"/>
        <v>450</v>
      </c>
      <c r="L454">
        <f>G454*Return!B454*100</f>
        <v>10</v>
      </c>
      <c r="M454">
        <f>H454*Return!C454*100</f>
        <v>94.000000000003</v>
      </c>
      <c r="N454">
        <f>I454*Return!D454*100</f>
        <v>225.000000000003</v>
      </c>
      <c r="O454">
        <f>J454*Return!E454*100</f>
        <v>595.199999999998</v>
      </c>
      <c r="P454">
        <f t="shared" si="96"/>
        <v>924.200000000005</v>
      </c>
      <c r="Q454">
        <f>SUM($P$400:P454)</f>
        <v>13344.2</v>
      </c>
      <c r="R454">
        <f>B454*中国_中债国债到期收益率_1年!B453/365*100</f>
        <v>4.85616438356164</v>
      </c>
      <c r="S454">
        <f>C454*中国_中债国债到期收益率_1年!C453/365*100</f>
        <v>12.0953424657534</v>
      </c>
      <c r="T454">
        <f>D454*中国_中债国债到期收益率_1年!D453/365*100</f>
        <v>12.493698630137</v>
      </c>
      <c r="U454">
        <f>E454*中国_中债国债到期收益率_1年!E453/365*100</f>
        <v>6.70821917808219</v>
      </c>
      <c r="V454">
        <f t="shared" si="97"/>
        <v>36.1534246575342</v>
      </c>
      <c r="W454">
        <f>SUM($V$400:V454)</f>
        <v>1847.18191780822</v>
      </c>
      <c r="X454">
        <f>MAX(F454-50,0)*中国_中债国债到期收益率_1年!H454*100/365</f>
        <v>5.47945205479452</v>
      </c>
      <c r="Y454">
        <f>SUM($X$400:X454)</f>
        <v>21.9178082191781</v>
      </c>
      <c r="Z454">
        <v>-200</v>
      </c>
      <c r="AA454">
        <v>200</v>
      </c>
      <c r="AB454">
        <f>Z454*Return!F458*100</f>
        <v>349.999999999997</v>
      </c>
      <c r="AC454">
        <f>AA454*Return!G458*100</f>
        <v>-248.000000000008</v>
      </c>
      <c r="AD454">
        <f>SUM($AB$400:AB454)+SUM($AC$400:AC454)</f>
        <v>1357.1</v>
      </c>
      <c r="AE454">
        <f t="shared" si="100"/>
        <v>16526.564109589</v>
      </c>
      <c r="AF454">
        <f t="shared" si="101"/>
        <v>1.03305312821918</v>
      </c>
      <c r="AG454" s="5">
        <f>(AE454-AE453)/(500000+AE453)-中国_中债国债到期收益率_1年!H454%/252</f>
        <v>0.00197094746630927</v>
      </c>
      <c r="AH454" s="5">
        <f>MIN((AF454-MAX($AF$401:AF454))/MAX($AF$401:AF454),0)</f>
        <v>-0.00048411780207119</v>
      </c>
    </row>
    <row r="455" spans="1:34">
      <c r="A455" s="7">
        <v>45372</v>
      </c>
      <c r="B455">
        <v>10</v>
      </c>
      <c r="C455">
        <v>20</v>
      </c>
      <c r="D455">
        <v>20</v>
      </c>
      <c r="E455">
        <v>10</v>
      </c>
      <c r="F455">
        <f t="shared" si="99"/>
        <v>60</v>
      </c>
      <c r="G455">
        <f t="shared" si="98"/>
        <v>10</v>
      </c>
      <c r="H455">
        <f t="shared" si="92"/>
        <v>100</v>
      </c>
      <c r="I455">
        <f t="shared" si="93"/>
        <v>180</v>
      </c>
      <c r="J455">
        <f t="shared" si="94"/>
        <v>160</v>
      </c>
      <c r="K455">
        <f t="shared" si="95"/>
        <v>450</v>
      </c>
      <c r="L455">
        <f>G455*Return!B455*100</f>
        <v>0</v>
      </c>
      <c r="M455">
        <f>H455*Return!C455*100</f>
        <v>-159.000000000002</v>
      </c>
      <c r="N455">
        <f>I455*Return!D455*100</f>
        <v>-270.000000000002</v>
      </c>
      <c r="O455">
        <f>J455*Return!E455*100</f>
        <v>-280.000000000001</v>
      </c>
      <c r="P455">
        <f t="shared" si="96"/>
        <v>-709.000000000006</v>
      </c>
      <c r="Q455">
        <f>SUM($P$400:P455)</f>
        <v>12635.2</v>
      </c>
      <c r="R455">
        <f>B455*中国_中债国债到期收益率_1年!B454/365*100</f>
        <v>4.85616438356164</v>
      </c>
      <c r="S455">
        <f>C455*中国_中债国债到期收益率_1年!C454/365*100</f>
        <v>12.1824657534247</v>
      </c>
      <c r="T455">
        <f>D455*中国_中债国债到期收益率_1年!D454/365*100</f>
        <v>12.5758904109589</v>
      </c>
      <c r="U455">
        <f>E455*中国_中债国债到期收益率_1年!E454/365*100</f>
        <v>6.75616438356164</v>
      </c>
      <c r="V455">
        <f t="shared" si="97"/>
        <v>36.3706849315069</v>
      </c>
      <c r="W455">
        <f>SUM($V$400:V455)</f>
        <v>1883.55260273973</v>
      </c>
      <c r="X455">
        <f>MAX(F455-50,0)*中国_中债国债到期收益率_1年!H455*100/365</f>
        <v>5.47945205479452</v>
      </c>
      <c r="Y455">
        <f>SUM($X$400:X455)</f>
        <v>27.3972602739726</v>
      </c>
      <c r="Z455">
        <v>-200</v>
      </c>
      <c r="AA455">
        <v>200</v>
      </c>
      <c r="AB455">
        <f>Z455*Return!F459*100</f>
        <v>228.000000000002</v>
      </c>
      <c r="AC455">
        <f>AA455*Return!G459*100</f>
        <v>-198</v>
      </c>
      <c r="AD455">
        <f>SUM($AB$400:AB455)+SUM($AC$400:AC455)</f>
        <v>1387.1</v>
      </c>
      <c r="AE455">
        <f t="shared" si="100"/>
        <v>15878.4553424658</v>
      </c>
      <c r="AF455">
        <f t="shared" si="101"/>
        <v>1.03175691068493</v>
      </c>
      <c r="AG455" s="5">
        <f>(AE455-AE454)/(500000+AE454)-中国_中债国债到期收益率_1年!H455%/252</f>
        <v>-0.00133410938906099</v>
      </c>
      <c r="AH455" s="5">
        <f>MIN((AF455-MAX($AF$401:AF455))/MAX($AF$401:AF455),0)</f>
        <v>-0.00173825466770973</v>
      </c>
    </row>
    <row r="456" spans="1:34">
      <c r="A456" s="7">
        <v>45373</v>
      </c>
      <c r="B456">
        <v>10</v>
      </c>
      <c r="C456">
        <v>20</v>
      </c>
      <c r="D456">
        <v>20</v>
      </c>
      <c r="E456">
        <v>10</v>
      </c>
      <c r="F456">
        <f t="shared" si="99"/>
        <v>60</v>
      </c>
      <c r="G456">
        <f t="shared" si="98"/>
        <v>10</v>
      </c>
      <c r="H456">
        <f t="shared" si="92"/>
        <v>100</v>
      </c>
      <c r="I456">
        <f t="shared" si="93"/>
        <v>180</v>
      </c>
      <c r="J456">
        <f t="shared" si="94"/>
        <v>160</v>
      </c>
      <c r="K456">
        <f t="shared" si="95"/>
        <v>450</v>
      </c>
      <c r="L456">
        <f>G456*Return!B456*100</f>
        <v>10</v>
      </c>
      <c r="M456">
        <f>H456*Return!C456*100</f>
        <v>197.000000000003</v>
      </c>
      <c r="N456">
        <f>I456*Return!D456*100</f>
        <v>180.000000000004</v>
      </c>
      <c r="O456">
        <f>J456*Return!E456*100</f>
        <v>72.0000000000027</v>
      </c>
      <c r="P456">
        <f t="shared" si="96"/>
        <v>459.00000000001</v>
      </c>
      <c r="Q456">
        <f>SUM($P$400:P456)</f>
        <v>13094.2</v>
      </c>
      <c r="R456">
        <f>B456*中国_中债国债到期收益率_1年!B455/365*100</f>
        <v>4.82876712328767</v>
      </c>
      <c r="S456">
        <f>C456*中国_中债国债到期收益率_1年!C455/365*100</f>
        <v>12.0745205479452</v>
      </c>
      <c r="T456">
        <f>D456*中国_中债国债到期收益率_1年!D455/365*100</f>
        <v>12.521095890411</v>
      </c>
      <c r="U456">
        <f>E456*中国_中债国债到期收益率_1年!E455/365*100</f>
        <v>6.74383561643836</v>
      </c>
      <c r="V456">
        <f t="shared" si="97"/>
        <v>36.1682191780822</v>
      </c>
      <c r="W456">
        <f>SUM($V$400:V456)</f>
        <v>1919.72082191781</v>
      </c>
      <c r="X456">
        <f>MAX(F456-50,0)*中国_中债国债到期收益率_1年!H456*100/365</f>
        <v>5.61643835616438</v>
      </c>
      <c r="Y456">
        <f>SUM($X$400:X456)</f>
        <v>33.013698630137</v>
      </c>
      <c r="Z456">
        <v>-200</v>
      </c>
      <c r="AA456">
        <v>200</v>
      </c>
      <c r="AB456">
        <f>Z456*Return!F460*100</f>
        <v>-186.000000000002</v>
      </c>
      <c r="AC456">
        <f>AA456*Return!G460*100</f>
        <v>168.000000000008</v>
      </c>
      <c r="AD456">
        <f>SUM($AB$400:AB456)+SUM($AC$400:AC456)</f>
        <v>1369.10000000001</v>
      </c>
      <c r="AE456">
        <f t="shared" si="100"/>
        <v>16350.0071232877</v>
      </c>
      <c r="AF456">
        <f t="shared" si="101"/>
        <v>1.03270001424658</v>
      </c>
      <c r="AG456" s="5">
        <f>(AE456-AE455)/(500000+AE455)-中国_中债国债到期收益率_1年!H456%/252</f>
        <v>0.000832726145971705</v>
      </c>
      <c r="AH456" s="5">
        <f>MIN((AF456-MAX($AF$401:AF456))/MAX($AF$401:AF456),0)</f>
        <v>-0.000825768211136654</v>
      </c>
    </row>
    <row r="457" spans="1:34">
      <c r="A457" s="7">
        <v>45376</v>
      </c>
      <c r="B457">
        <v>10</v>
      </c>
      <c r="C457">
        <v>10</v>
      </c>
      <c r="D457">
        <v>20</v>
      </c>
      <c r="E457">
        <v>10</v>
      </c>
      <c r="F457">
        <f t="shared" si="99"/>
        <v>50</v>
      </c>
      <c r="G457">
        <f t="shared" si="98"/>
        <v>10</v>
      </c>
      <c r="H457">
        <f t="shared" si="92"/>
        <v>50</v>
      </c>
      <c r="I457">
        <f t="shared" si="93"/>
        <v>180</v>
      </c>
      <c r="J457">
        <f t="shared" si="94"/>
        <v>160</v>
      </c>
      <c r="K457">
        <f t="shared" si="95"/>
        <v>400</v>
      </c>
      <c r="L457">
        <f>G457*Return!B457*100</f>
        <v>0</v>
      </c>
      <c r="M457">
        <f>H457*Return!C457*100</f>
        <v>-53.5000000000019</v>
      </c>
      <c r="N457">
        <f>I457*Return!D457*100</f>
        <v>-360</v>
      </c>
      <c r="O457">
        <f>J457*Return!E457*100</f>
        <v>-347.200000000001</v>
      </c>
      <c r="P457">
        <f t="shared" si="96"/>
        <v>-760.700000000003</v>
      </c>
      <c r="Q457">
        <f>SUM($P$400:P457)</f>
        <v>12333.5</v>
      </c>
      <c r="R457">
        <f>B457*中国_中债国债到期收益率_1年!B456/365*100</f>
        <v>4.82876712328767</v>
      </c>
      <c r="S457">
        <f>C457*中国_中债国债到期收益率_1年!C456/365*100</f>
        <v>6.06657534246575</v>
      </c>
      <c r="T457">
        <f>D457*中国_中债国债到期收益率_1年!D456/365*100</f>
        <v>12.6306849315068</v>
      </c>
      <c r="U457">
        <f>E457*中国_中债国债到期收益率_1年!E456/365*100</f>
        <v>6.80328767123288</v>
      </c>
      <c r="V457">
        <f t="shared" si="97"/>
        <v>30.3293150684932</v>
      </c>
      <c r="W457">
        <f>SUM($V$400:V457)</f>
        <v>1950.0501369863</v>
      </c>
      <c r="X457">
        <f>MAX(F457-50,0)*中国_中债国债到期收益率_1年!H457*100/365</f>
        <v>0</v>
      </c>
      <c r="Y457">
        <f>SUM($X$400:X457)</f>
        <v>33.013698630137</v>
      </c>
      <c r="Z457">
        <v>-200</v>
      </c>
      <c r="AA457">
        <v>200</v>
      </c>
      <c r="AB457">
        <f>Z457*Return!F461*100</f>
        <v>-236.000000000001</v>
      </c>
      <c r="AC457">
        <f>AA457*Return!G461*100</f>
        <v>233.999999999996</v>
      </c>
      <c r="AD457">
        <f>SUM($AB$400:AB457)+SUM($AC$400:AC457)</f>
        <v>1367.10000000001</v>
      </c>
      <c r="AE457">
        <f t="shared" si="100"/>
        <v>15617.6364383562</v>
      </c>
      <c r="AF457">
        <f t="shared" si="101"/>
        <v>1.03123527287671</v>
      </c>
      <c r="AG457" s="5">
        <f>(AE457-AE456)/(500000+AE456)-中国_中债国债到期收益率_1年!H457%/252</f>
        <v>-0.00151359904193727</v>
      </c>
      <c r="AH457" s="5">
        <f>MIN((AF457-MAX($AF$401:AF457))/MAX($AF$401:AF457),0)</f>
        <v>-0.00224295792045407</v>
      </c>
    </row>
    <row r="458" spans="1:34">
      <c r="A458" s="7">
        <v>45377</v>
      </c>
      <c r="B458">
        <v>10</v>
      </c>
      <c r="C458">
        <v>10</v>
      </c>
      <c r="D458">
        <v>20</v>
      </c>
      <c r="E458">
        <v>10</v>
      </c>
      <c r="F458">
        <f t="shared" si="99"/>
        <v>50</v>
      </c>
      <c r="G458">
        <f t="shared" si="98"/>
        <v>10</v>
      </c>
      <c r="H458">
        <f t="shared" si="92"/>
        <v>50</v>
      </c>
      <c r="I458">
        <f t="shared" si="93"/>
        <v>180</v>
      </c>
      <c r="J458">
        <f t="shared" si="94"/>
        <v>160</v>
      </c>
      <c r="K458">
        <f t="shared" si="95"/>
        <v>400</v>
      </c>
      <c r="L458">
        <f>G458*Return!B458*100</f>
        <v>-25.0000000000001</v>
      </c>
      <c r="M458">
        <f>H458*Return!C458*100</f>
        <v>-68.9999999999991</v>
      </c>
      <c r="N458">
        <f>I458*Return!D458*100</f>
        <v>-180.000000000004</v>
      </c>
      <c r="O458">
        <f>J458*Return!E458*100</f>
        <v>-207.999999999998</v>
      </c>
      <c r="P458">
        <f t="shared" si="96"/>
        <v>-482.000000000002</v>
      </c>
      <c r="Q458">
        <f>SUM($P$400:P458)</f>
        <v>11851.5</v>
      </c>
      <c r="R458">
        <f>B458*中国_中债国债到期收益率_1年!B457/365*100</f>
        <v>4.8972602739726</v>
      </c>
      <c r="S458">
        <f>C458*中国_中债国债到期收益率_1年!C457/365*100</f>
        <v>6.10438356164383</v>
      </c>
      <c r="T458">
        <f>D458*中国_中债国债到期收益率_1年!D457/365*100</f>
        <v>12.6854794520548</v>
      </c>
      <c r="U458">
        <f>E458*中国_中债国债到期收益率_1年!E457/365*100</f>
        <v>6.83890410958904</v>
      </c>
      <c r="V458">
        <f t="shared" si="97"/>
        <v>30.5260273972603</v>
      </c>
      <c r="W458">
        <f>SUM($V$400:V458)</f>
        <v>1980.57616438356</v>
      </c>
      <c r="X458">
        <f>MAX(F458-50,0)*中国_中债国债到期收益率_1年!H458*100/365</f>
        <v>0</v>
      </c>
      <c r="Y458">
        <f>SUM($X$400:X458)</f>
        <v>33.013698630137</v>
      </c>
      <c r="Z458">
        <v>-200</v>
      </c>
      <c r="AA458">
        <v>200</v>
      </c>
      <c r="AB458">
        <f>Z458*Return!F462*100</f>
        <v>-488</v>
      </c>
      <c r="AC458">
        <f>AA458*Return!G462*100</f>
        <v>317.999999999996</v>
      </c>
      <c r="AD458">
        <f>SUM($AB$400:AB458)+SUM($AC$400:AC458)</f>
        <v>1197.1</v>
      </c>
      <c r="AE458">
        <f t="shared" si="100"/>
        <v>14996.1624657534</v>
      </c>
      <c r="AF458">
        <f t="shared" si="101"/>
        <v>1.02999232493151</v>
      </c>
      <c r="AG458" s="5">
        <f>(AE458-AE457)/(500000+AE457)-中国_中债国债到期收益率_1年!H458%/252</f>
        <v>-0.00130053816390059</v>
      </c>
      <c r="AH458" s="5">
        <f>MIN((AF458-MAX($AF$401:AF458))/MAX($AF$401:AF458),0)</f>
        <v>-0.00344555455178117</v>
      </c>
    </row>
    <row r="459" spans="1:34">
      <c r="A459" s="7">
        <v>45378</v>
      </c>
      <c r="B459">
        <v>10</v>
      </c>
      <c r="C459">
        <v>20</v>
      </c>
      <c r="D459">
        <v>20</v>
      </c>
      <c r="E459">
        <v>10</v>
      </c>
      <c r="F459">
        <f t="shared" si="99"/>
        <v>60</v>
      </c>
      <c r="G459">
        <f t="shared" si="98"/>
        <v>10</v>
      </c>
      <c r="H459">
        <f t="shared" si="92"/>
        <v>100</v>
      </c>
      <c r="I459">
        <f t="shared" si="93"/>
        <v>180</v>
      </c>
      <c r="J459">
        <f t="shared" si="94"/>
        <v>160</v>
      </c>
      <c r="K459">
        <f t="shared" si="95"/>
        <v>450</v>
      </c>
      <c r="L459">
        <f>G459*Return!B459*100</f>
        <v>-2.49999999999995</v>
      </c>
      <c r="M459">
        <f>H459*Return!C459*100</f>
        <v>1.99999999999978</v>
      </c>
      <c r="N459">
        <f>I459*Return!D459*100</f>
        <v>-43.1999999999952</v>
      </c>
      <c r="O459">
        <f>J459*Return!E459*100</f>
        <v>-32.0000000000036</v>
      </c>
      <c r="P459">
        <f t="shared" si="96"/>
        <v>-75.699999999999</v>
      </c>
      <c r="Q459">
        <f>SUM($P$400:P459)</f>
        <v>11775.8</v>
      </c>
      <c r="R459">
        <f>B459*中国_中债国债到期收益率_1年!B458/365*100</f>
        <v>4.9041095890411</v>
      </c>
      <c r="S459">
        <f>C459*中国_中债国债到期收益率_1年!C458/365*100</f>
        <v>12.2076712328767</v>
      </c>
      <c r="T459">
        <f>D459*中国_中债国债到期收益率_1年!D458/365*100</f>
        <v>12.6986301369863</v>
      </c>
      <c r="U459">
        <f>E459*中国_中债国债到期收益率_1年!E458/365*100</f>
        <v>6.84438356164384</v>
      </c>
      <c r="V459">
        <f t="shared" si="97"/>
        <v>36.6547945205479</v>
      </c>
      <c r="W459">
        <f>SUM($V$400:V459)</f>
        <v>2017.23095890411</v>
      </c>
      <c r="X459">
        <f>MAX(F459-50,0)*中国_中债国债到期收益率_1年!H459*100/365</f>
        <v>6.71232876712329</v>
      </c>
      <c r="Y459">
        <f>SUM($X$400:X459)</f>
        <v>39.7260273972603</v>
      </c>
      <c r="Z459">
        <v>-200</v>
      </c>
      <c r="AA459">
        <v>200</v>
      </c>
      <c r="AB459">
        <f>Z459*Return!F463*100</f>
        <v>136.000000000003</v>
      </c>
      <c r="AC459">
        <f>AA459*Return!G463*100</f>
        <v>-157.999999999996</v>
      </c>
      <c r="AD459">
        <f>SUM($AB$400:AB459)+SUM($AC$400:AC459)</f>
        <v>1175.10000000001</v>
      </c>
      <c r="AE459">
        <f t="shared" si="100"/>
        <v>14928.4049315069</v>
      </c>
      <c r="AF459">
        <f t="shared" si="101"/>
        <v>1.02985680986301</v>
      </c>
      <c r="AG459" s="5">
        <f>(AE459-AE458)/(500000+AE458)-中国_中债国债到期收益率_1年!H459%/252</f>
        <v>-0.000228791230274925</v>
      </c>
      <c r="AH459" s="5">
        <f>MIN((AF459-MAX($AF$401:AF459))/MAX($AF$401:AF459),0)</f>
        <v>-0.00357667023163935</v>
      </c>
    </row>
    <row r="460" spans="1:34">
      <c r="A460" s="7">
        <v>45379</v>
      </c>
      <c r="B460">
        <v>10</v>
      </c>
      <c r="C460">
        <v>20</v>
      </c>
      <c r="D460">
        <v>20</v>
      </c>
      <c r="E460">
        <v>10</v>
      </c>
      <c r="F460">
        <f t="shared" si="99"/>
        <v>60</v>
      </c>
      <c r="G460">
        <f t="shared" ref="G460:G481" si="102">B460</f>
        <v>10</v>
      </c>
      <c r="H460">
        <f t="shared" si="92"/>
        <v>100</v>
      </c>
      <c r="I460">
        <f t="shared" si="93"/>
        <v>180</v>
      </c>
      <c r="J460">
        <f t="shared" si="94"/>
        <v>160</v>
      </c>
      <c r="K460">
        <f t="shared" si="95"/>
        <v>450</v>
      </c>
      <c r="L460">
        <f>G460*Return!B460*100</f>
        <v>37.5000000000001</v>
      </c>
      <c r="M460">
        <f>H460*Return!C460*100</f>
        <v>331.000000000001</v>
      </c>
      <c r="N460">
        <f>I460*Return!D460*100</f>
        <v>538.200000000001</v>
      </c>
      <c r="O460">
        <f>J460*Return!E460*100</f>
        <v>553.600000000003</v>
      </c>
      <c r="P460">
        <f t="shared" si="96"/>
        <v>1460.30000000001</v>
      </c>
      <c r="Q460">
        <f>SUM($P$400:P460)</f>
        <v>13236.1</v>
      </c>
      <c r="R460">
        <f>B460*中国_中债国债到期收益率_1年!B459/365*100</f>
        <v>4.8013698630137</v>
      </c>
      <c r="S460">
        <f>C460*中国_中债国债到期收益率_1年!C459/365*100</f>
        <v>12.026301369863</v>
      </c>
      <c r="T460">
        <f>D460*中国_中债国债到期收益率_1年!D459/365*100</f>
        <v>12.5347945205479</v>
      </c>
      <c r="U460">
        <f>E460*中国_中债国债到期收益率_1年!E459/365*100</f>
        <v>6.74958904109589</v>
      </c>
      <c r="V460">
        <f t="shared" si="97"/>
        <v>36.1120547945205</v>
      </c>
      <c r="W460">
        <f>SUM($V$400:V460)</f>
        <v>2053.34301369863</v>
      </c>
      <c r="X460">
        <f>MAX(F460-50,0)*中国_中债国债到期收益率_1年!H460*100/365</f>
        <v>6.43835616438356</v>
      </c>
      <c r="Y460">
        <f>SUM($X$400:X460)</f>
        <v>46.1643835616438</v>
      </c>
      <c r="Z460">
        <v>-200</v>
      </c>
      <c r="AA460">
        <v>200</v>
      </c>
      <c r="AB460">
        <f>Z460*Return!F464*100</f>
        <v>169.999999999999</v>
      </c>
      <c r="AC460">
        <f>AA460*Return!G464*100</f>
        <v>86.0000000000039</v>
      </c>
      <c r="AD460">
        <f>SUM($AB$400:AB460)+SUM($AC$400:AC460)</f>
        <v>1431.10000000001</v>
      </c>
      <c r="AE460">
        <f t="shared" si="100"/>
        <v>16674.378630137</v>
      </c>
      <c r="AF460">
        <f t="shared" si="101"/>
        <v>1.03334875726027</v>
      </c>
      <c r="AG460" s="5">
        <f>(AE460-AE459)/(500000+AE459)-中国_中债国债到期收益率_1年!H460%/252</f>
        <v>0.00329745759845866</v>
      </c>
      <c r="AH460" s="5">
        <f>MIN((AF460-MAX($AF$401:AF460))/MAX($AF$401:AF460),0)</f>
        <v>-0.000198086122051421</v>
      </c>
    </row>
    <row r="461" spans="1:34">
      <c r="A461" s="7">
        <v>45380</v>
      </c>
      <c r="B461">
        <v>10</v>
      </c>
      <c r="C461">
        <v>20</v>
      </c>
      <c r="D461">
        <v>20</v>
      </c>
      <c r="E461">
        <v>10</v>
      </c>
      <c r="F461">
        <f t="shared" si="99"/>
        <v>60</v>
      </c>
      <c r="G461">
        <f t="shared" si="102"/>
        <v>10</v>
      </c>
      <c r="H461">
        <f t="shared" si="92"/>
        <v>100</v>
      </c>
      <c r="I461">
        <f t="shared" si="93"/>
        <v>180</v>
      </c>
      <c r="J461">
        <f t="shared" si="94"/>
        <v>160</v>
      </c>
      <c r="K461">
        <f t="shared" si="95"/>
        <v>450</v>
      </c>
      <c r="L461">
        <f>G461*Return!B461*100</f>
        <v>0</v>
      </c>
      <c r="M461">
        <f>H461*Return!C461*100</f>
        <v>-164</v>
      </c>
      <c r="N461">
        <f>I461*Return!D461*100</f>
        <v>-270.000000000002</v>
      </c>
      <c r="O461">
        <f>J461*Return!E461*100</f>
        <v>-44.8000000000022</v>
      </c>
      <c r="P461">
        <f t="shared" si="96"/>
        <v>-478.800000000004</v>
      </c>
      <c r="Q461">
        <f>SUM($P$400:P461)</f>
        <v>12757.3</v>
      </c>
      <c r="R461">
        <f>B461*中国_中债国债到期收益率_1年!B460/365*100</f>
        <v>4.8013698630137</v>
      </c>
      <c r="S461">
        <f>C461*中国_中债国债到期收益率_1年!C460/365*100</f>
        <v>12.1161643835616</v>
      </c>
      <c r="T461">
        <f>D461*中国_中债国债到期收益率_1年!D460/365*100</f>
        <v>12.6169863013699</v>
      </c>
      <c r="U461">
        <f>E461*中国_中债国债到期收益率_1年!E460/365*100</f>
        <v>6.7572602739726</v>
      </c>
      <c r="V461">
        <f t="shared" si="97"/>
        <v>36.2917808219178</v>
      </c>
      <c r="W461">
        <f>SUM($V$400:V461)</f>
        <v>2089.63479452055</v>
      </c>
      <c r="X461">
        <f>MAX(F461-50,0)*中国_中债国债到期收益率_1年!H461*100/365</f>
        <v>6.3013698630137</v>
      </c>
      <c r="Y461">
        <f>SUM($X$400:X461)</f>
        <v>52.4657534246575</v>
      </c>
      <c r="Z461">
        <v>-200</v>
      </c>
      <c r="AA461">
        <v>200</v>
      </c>
      <c r="AD461">
        <f>SUM($AB$400:AB461)+SUM($AC$400:AC461)</f>
        <v>1431.10000000001</v>
      </c>
      <c r="AE461">
        <f t="shared" si="100"/>
        <v>16225.5690410959</v>
      </c>
      <c r="AF461">
        <f t="shared" si="101"/>
        <v>1.03245113808219</v>
      </c>
      <c r="AG461" s="5">
        <f>(AE461-AE460)/(500000+AE460)-中国_中债国债到期收益率_1年!H461%/252</f>
        <v>-0.000959920596182506</v>
      </c>
      <c r="AH461" s="5">
        <f>MIN((AF461-MAX($AF$401:AF461))/MAX($AF$401:AF461),0)</f>
        <v>-0.0010665648093045</v>
      </c>
    </row>
    <row r="462" spans="1:34">
      <c r="A462" s="7">
        <v>45383</v>
      </c>
      <c r="B462">
        <v>10</v>
      </c>
      <c r="C462">
        <v>20</v>
      </c>
      <c r="D462">
        <v>20</v>
      </c>
      <c r="E462">
        <v>10</v>
      </c>
      <c r="F462">
        <f t="shared" si="99"/>
        <v>60</v>
      </c>
      <c r="G462">
        <f t="shared" si="102"/>
        <v>10</v>
      </c>
      <c r="H462">
        <f t="shared" si="92"/>
        <v>100</v>
      </c>
      <c r="I462">
        <f t="shared" si="93"/>
        <v>180</v>
      </c>
      <c r="J462">
        <f t="shared" si="94"/>
        <v>160</v>
      </c>
      <c r="K462">
        <f t="shared" si="95"/>
        <v>450</v>
      </c>
      <c r="L462">
        <f>G462*Return!B462*100</f>
        <v>30</v>
      </c>
      <c r="M462">
        <f>H462*Return!C462*100</f>
        <v>137.999999999998</v>
      </c>
      <c r="N462">
        <f>I462*Return!D462*100</f>
        <v>225.000000000003</v>
      </c>
      <c r="O462">
        <f>J462*Return!E462*100</f>
        <v>112.000000000002</v>
      </c>
      <c r="P462">
        <f t="shared" si="96"/>
        <v>505.000000000003</v>
      </c>
      <c r="Q462">
        <f>SUM($P$400:P462)</f>
        <v>13262.3</v>
      </c>
      <c r="R462">
        <f>B462*中国_中债国债到期收益率_1年!B461/365*100</f>
        <v>4.71917808219178</v>
      </c>
      <c r="S462">
        <f>C462*中国_中债国债到期收益率_1年!C461/365*100</f>
        <v>12.0405479452055</v>
      </c>
      <c r="T462">
        <f>D462*中国_中债国债到期收益率_1年!D461/365*100</f>
        <v>12.5484931506849</v>
      </c>
      <c r="U462">
        <f>E462*中国_中债国债到期收益率_1年!E461/365*100</f>
        <v>6.73808219178082</v>
      </c>
      <c r="V462">
        <f t="shared" si="97"/>
        <v>36.046301369863</v>
      </c>
      <c r="W462">
        <f>SUM($V$400:V462)</f>
        <v>2125.68109589041</v>
      </c>
      <c r="X462">
        <f>MAX(F462-50,0)*中国_中债国债到期收益率_1年!H462*100/365</f>
        <v>5.61643835616438</v>
      </c>
      <c r="Y462">
        <f>SUM($X$400:X462)</f>
        <v>58.0821917808219</v>
      </c>
      <c r="Z462">
        <v>-100</v>
      </c>
      <c r="AA462">
        <v>100</v>
      </c>
      <c r="AD462">
        <f>SUM($AB$400:AB462)+SUM($AC$400:AC462)</f>
        <v>1431.10000000001</v>
      </c>
      <c r="AE462">
        <f t="shared" si="100"/>
        <v>16760.9989041096</v>
      </c>
      <c r="AF462">
        <f t="shared" si="101"/>
        <v>1.03352199780822</v>
      </c>
      <c r="AG462" s="5">
        <f>(AE462-AE461)/(500000+AE461)-中国_中债国债到期收益率_1年!H462%/252</f>
        <v>0.000955852155079449</v>
      </c>
      <c r="AH462" s="5">
        <f>MIN((AF462-MAX($AF$401:AF462))/MAX($AF$401:AF462),0)</f>
        <v>-3.04696903481323e-5</v>
      </c>
    </row>
    <row r="463" spans="1:34">
      <c r="A463" s="7">
        <v>45384</v>
      </c>
      <c r="B463">
        <v>10</v>
      </c>
      <c r="C463">
        <v>20</v>
      </c>
      <c r="D463">
        <v>20</v>
      </c>
      <c r="E463">
        <v>10</v>
      </c>
      <c r="F463">
        <f t="shared" si="99"/>
        <v>60</v>
      </c>
      <c r="G463">
        <f t="shared" si="102"/>
        <v>10</v>
      </c>
      <c r="H463">
        <f t="shared" si="92"/>
        <v>100</v>
      </c>
      <c r="I463">
        <f t="shared" si="93"/>
        <v>180</v>
      </c>
      <c r="J463">
        <f t="shared" si="94"/>
        <v>160</v>
      </c>
      <c r="K463">
        <f t="shared" si="95"/>
        <v>450</v>
      </c>
      <c r="L463">
        <f>G463*Return!B463*100</f>
        <v>-20</v>
      </c>
      <c r="M463">
        <f>H463*Return!C463*100</f>
        <v>-198</v>
      </c>
      <c r="N463">
        <f>I463*Return!D463*100</f>
        <v>-325.8</v>
      </c>
      <c r="O463">
        <f>J463*Return!E463*100</f>
        <v>-406.399999999998</v>
      </c>
      <c r="P463">
        <f t="shared" si="96"/>
        <v>-950.199999999998</v>
      </c>
      <c r="Q463">
        <f>SUM($P$400:P463)</f>
        <v>12312.1</v>
      </c>
      <c r="R463">
        <f>B463*中国_中债国债到期收益率_1年!B462/365*100</f>
        <v>4.77397260273973</v>
      </c>
      <c r="S463">
        <f>C463*中国_中债国债到期收益率_1年!C462/365*100</f>
        <v>12.1490410958904</v>
      </c>
      <c r="T463">
        <f>D463*中国_中债国债到期收益率_1年!D462/365*100</f>
        <v>12.6476712328767</v>
      </c>
      <c r="U463">
        <f>E463*中国_中债国债到期收益率_1年!E462/365*100</f>
        <v>6.80767123287671</v>
      </c>
      <c r="V463">
        <f t="shared" si="97"/>
        <v>36.3783561643836</v>
      </c>
      <c r="W463">
        <f>SUM($V$400:V463)</f>
        <v>2162.05945205479</v>
      </c>
      <c r="X463">
        <f>MAX(F463-50,0)*中国_中债国债到期收益率_1年!H463*100/365</f>
        <v>5.75342465753425</v>
      </c>
      <c r="Y463">
        <f>SUM($X$400:X463)</f>
        <v>63.8356164383562</v>
      </c>
      <c r="Z463">
        <v>-100</v>
      </c>
      <c r="AA463">
        <v>100</v>
      </c>
      <c r="AD463">
        <f>SUM($AB$400:AB463)+SUM($AC$400:AC463)</f>
        <v>1431.10000000001</v>
      </c>
      <c r="AE463">
        <f t="shared" si="100"/>
        <v>15841.4238356165</v>
      </c>
      <c r="AF463">
        <f t="shared" si="101"/>
        <v>1.03168284767123</v>
      </c>
      <c r="AG463" s="5">
        <f>(AE463-AE462)/(500000+AE462)-中国_中债国债到期收益率_1年!H463%/252</f>
        <v>-0.00186283114846119</v>
      </c>
      <c r="AH463" s="5">
        <f>MIN((AF463-MAX($AF$401:AF463))/MAX($AF$401:AF463),0)</f>
        <v>-0.00180991328472861</v>
      </c>
    </row>
    <row r="464" spans="1:34">
      <c r="A464" s="7">
        <v>45385</v>
      </c>
      <c r="B464">
        <v>10</v>
      </c>
      <c r="C464">
        <v>20</v>
      </c>
      <c r="D464">
        <v>20</v>
      </c>
      <c r="E464">
        <v>10</v>
      </c>
      <c r="F464">
        <f t="shared" si="99"/>
        <v>60</v>
      </c>
      <c r="G464">
        <f t="shared" si="102"/>
        <v>10</v>
      </c>
      <c r="H464">
        <f t="shared" si="92"/>
        <v>100</v>
      </c>
      <c r="I464">
        <f t="shared" si="93"/>
        <v>180</v>
      </c>
      <c r="J464">
        <f t="shared" si="94"/>
        <v>160</v>
      </c>
      <c r="K464">
        <f t="shared" si="95"/>
        <v>450</v>
      </c>
      <c r="L464">
        <f>G464*Return!B464*100</f>
        <v>14.9999999999999</v>
      </c>
      <c r="M464">
        <f>H464*Return!C464*100</f>
        <v>205.000000000002</v>
      </c>
      <c r="N464">
        <f>I464*Return!D464*100</f>
        <v>278.999999999997</v>
      </c>
      <c r="O464">
        <f>J464*Return!E464*100</f>
        <v>156.799999999997</v>
      </c>
      <c r="P464">
        <f t="shared" si="96"/>
        <v>655.799999999996</v>
      </c>
      <c r="Q464">
        <f>SUM($P$400:P464)</f>
        <v>12967.9</v>
      </c>
      <c r="R464">
        <f>B464*中国_中债国债到期收益率_1年!B463/365*100</f>
        <v>4.73287671232877</v>
      </c>
      <c r="S464">
        <f>C464*中国_中债国债到期收益率_1年!C463/365*100</f>
        <v>12.0367123287671</v>
      </c>
      <c r="T464">
        <f>D464*中国_中债国债到期收益率_1年!D463/365*100</f>
        <v>12.5627397260274</v>
      </c>
      <c r="U464">
        <f>E464*中国_中债国债到期收益率_1年!E463/365*100</f>
        <v>6.78082191780822</v>
      </c>
      <c r="V464">
        <f t="shared" si="97"/>
        <v>36.1131506849315</v>
      </c>
      <c r="W464">
        <f>SUM($V$400:V464)</f>
        <v>2198.17260273973</v>
      </c>
      <c r="X464">
        <f>MAX(F464-50,0)*中国_中债国债到期收益率_1年!H464*100/365</f>
        <v>5.47945205479452</v>
      </c>
      <c r="Y464">
        <f>SUM($X$400:X464)</f>
        <v>69.3150684931507</v>
      </c>
      <c r="Z464">
        <v>-100</v>
      </c>
      <c r="AA464">
        <v>100</v>
      </c>
      <c r="AB464">
        <f>Z464*Return!F468*100</f>
        <v>-32.9999999999986</v>
      </c>
      <c r="AC464">
        <f>AA464*Return!G468*100</f>
        <v>37.0000000000026</v>
      </c>
      <c r="AD464">
        <f>SUM($AB$400:AB464)+SUM($AC$400:AC464)</f>
        <v>1435.10000000002</v>
      </c>
      <c r="AE464">
        <f t="shared" si="100"/>
        <v>16531.8575342466</v>
      </c>
      <c r="AF464">
        <f t="shared" si="101"/>
        <v>1.03306371506849</v>
      </c>
      <c r="AG464" s="5">
        <f>(AE464-AE463)/(500000+AE463)-中国_中债国债到期收益率_1年!H464%/252</f>
        <v>0.00125909605757951</v>
      </c>
      <c r="AH464" s="5">
        <f>MIN((AF464-MAX($AF$401:AF464))/MAX($AF$401:AF464),0)</f>
        <v>-0.000473874646376955</v>
      </c>
    </row>
    <row r="465" spans="1:34">
      <c r="A465" s="7">
        <v>45389</v>
      </c>
      <c r="B465">
        <v>10</v>
      </c>
      <c r="C465">
        <v>20</v>
      </c>
      <c r="D465">
        <v>20</v>
      </c>
      <c r="E465">
        <v>10</v>
      </c>
      <c r="F465">
        <f t="shared" si="99"/>
        <v>60</v>
      </c>
      <c r="G465">
        <f t="shared" si="102"/>
        <v>10</v>
      </c>
      <c r="H465">
        <f t="shared" si="92"/>
        <v>100</v>
      </c>
      <c r="I465">
        <f t="shared" si="93"/>
        <v>180</v>
      </c>
      <c r="J465">
        <f t="shared" si="94"/>
        <v>160</v>
      </c>
      <c r="K465">
        <f t="shared" si="95"/>
        <v>450</v>
      </c>
      <c r="L465">
        <f>G465*Return!B465*100</f>
        <v>5.00000000000012</v>
      </c>
      <c r="M465">
        <f>H465*Return!C465*100</f>
        <v>69.9999999999967</v>
      </c>
      <c r="N465">
        <f>I465*Return!D465*100</f>
        <v>161.999999999998</v>
      </c>
      <c r="O465">
        <f>J465*Return!E465*100</f>
        <v>184.000000000005</v>
      </c>
      <c r="P465">
        <f t="shared" si="96"/>
        <v>421</v>
      </c>
      <c r="Q465">
        <f>SUM($P$400:P465)</f>
        <v>13388.9</v>
      </c>
      <c r="R465">
        <f>B465*中国_中债国债到期收益率_1年!B464/365*100</f>
        <v>4.71917808219178</v>
      </c>
      <c r="S465">
        <f>C465*中国_中债国债到期收益率_1年!C464/365*100</f>
        <v>11.9983561643836</v>
      </c>
      <c r="T465">
        <f>D465*中国_中债国债到期收益率_1年!D464/365*100</f>
        <v>12.5134246575342</v>
      </c>
      <c r="U465">
        <f>E465*中国_中债国债到期收益率_1年!E464/365*100</f>
        <v>6.74931506849315</v>
      </c>
      <c r="V465">
        <f t="shared" si="97"/>
        <v>35.9802739726027</v>
      </c>
      <c r="W465">
        <f>SUM($V$400:V465)</f>
        <v>2234.15287671233</v>
      </c>
      <c r="X465">
        <f>MAX(F465-50,0)*中国_中债国债到期收益率_1年!H465*100/365</f>
        <v>5.06849315068493</v>
      </c>
      <c r="Y465">
        <f>SUM($X$400:X465)</f>
        <v>74.3835616438356</v>
      </c>
      <c r="Z465">
        <v>-100</v>
      </c>
      <c r="AA465">
        <v>100</v>
      </c>
      <c r="AB465">
        <f>Z465*Return!F469*100</f>
        <v>-123</v>
      </c>
      <c r="AC465">
        <f>AA465*Return!G469*100</f>
        <v>-11.000000000001</v>
      </c>
      <c r="AD465">
        <f>SUM($AB$400:AB465)+SUM($AC$400:AC465)</f>
        <v>1301.10000000001</v>
      </c>
      <c r="AE465">
        <f t="shared" si="100"/>
        <v>16849.7693150685</v>
      </c>
      <c r="AF465">
        <f t="shared" si="101"/>
        <v>1.03369953863014</v>
      </c>
      <c r="AG465" s="5">
        <f>(AE465-AE464)/(500000+AE464)-中国_中债国债到期收益率_1年!H465%/252</f>
        <v>0.000542061015715066</v>
      </c>
      <c r="AH465" s="5">
        <f>MIN((AF465-MAX($AF$401:AF465))/MAX($AF$401:AF465),0)</f>
        <v>0</v>
      </c>
    </row>
    <row r="466" spans="1:34">
      <c r="A466" s="7">
        <v>45390</v>
      </c>
      <c r="B466">
        <v>10</v>
      </c>
      <c r="C466">
        <v>20</v>
      </c>
      <c r="D466">
        <v>20</v>
      </c>
      <c r="E466">
        <v>10</v>
      </c>
      <c r="F466">
        <f t="shared" si="99"/>
        <v>60</v>
      </c>
      <c r="G466">
        <f t="shared" si="102"/>
        <v>10</v>
      </c>
      <c r="H466">
        <f t="shared" si="92"/>
        <v>100</v>
      </c>
      <c r="I466">
        <f t="shared" si="93"/>
        <v>180</v>
      </c>
      <c r="J466">
        <f t="shared" si="94"/>
        <v>160</v>
      </c>
      <c r="K466">
        <f t="shared" si="95"/>
        <v>450</v>
      </c>
      <c r="L466">
        <f>G466*Return!B466*100</f>
        <v>0</v>
      </c>
      <c r="M466">
        <f>H466*Return!C466*100</f>
        <v>-48.9999999999968</v>
      </c>
      <c r="N466">
        <f>I466*Return!D466*100</f>
        <v>-179.999999999996</v>
      </c>
      <c r="O466">
        <f>J466*Return!E466*100</f>
        <v>-225.6</v>
      </c>
      <c r="P466">
        <f t="shared" si="96"/>
        <v>-454.599999999993</v>
      </c>
      <c r="Q466">
        <f>SUM($P$400:P466)</f>
        <v>12934.3</v>
      </c>
      <c r="R466">
        <f>B466*中国_中债国债到期收益率_1年!B465/365*100</f>
        <v>4.71917808219178</v>
      </c>
      <c r="S466">
        <f>C466*中国_中债国债到期收益率_1年!C465/365*100</f>
        <v>12.0252054794521</v>
      </c>
      <c r="T466">
        <f>D466*中国_中债国债到期收益率_1年!D465/365*100</f>
        <v>12.5682191780822</v>
      </c>
      <c r="U466">
        <f>E466*中国_中债国债到期收益率_1年!E465/365*100</f>
        <v>6.78794520547945</v>
      </c>
      <c r="V466">
        <f t="shared" si="97"/>
        <v>36.1005479452055</v>
      </c>
      <c r="W466">
        <f>SUM($V$400:V466)</f>
        <v>2270.25342465753</v>
      </c>
      <c r="X466">
        <f>MAX(F466-50,0)*中国_中债国债到期收益率_1年!H466*100/365</f>
        <v>5.47945205479452</v>
      </c>
      <c r="Y466">
        <f>SUM($X$400:X466)</f>
        <v>79.8630136986301</v>
      </c>
      <c r="Z466">
        <v>-100</v>
      </c>
      <c r="AA466">
        <v>100</v>
      </c>
      <c r="AB466">
        <f>Z466*Return!F470*100</f>
        <v>-101</v>
      </c>
      <c r="AC466">
        <f>AA466*Return!G470*100</f>
        <v>49.9999999999989</v>
      </c>
      <c r="AD466">
        <f>SUM($AB$400:AB466)+SUM($AC$400:AC466)</f>
        <v>1250.10000000001</v>
      </c>
      <c r="AE466">
        <f t="shared" si="100"/>
        <v>16374.7904109589</v>
      </c>
      <c r="AF466">
        <f t="shared" si="101"/>
        <v>1.03274958082192</v>
      </c>
      <c r="AG466" s="5">
        <f>(AE466-AE465)/(500000+AE465)-中国_中债国债到期收益率_1年!H466%/252</f>
        <v>-0.000998353405003736</v>
      </c>
      <c r="AH466" s="5">
        <f>MIN((AF466-MAX($AF$401:AF466))/MAX($AF$401:AF466),0)</f>
        <v>-0.000918988325638762</v>
      </c>
    </row>
    <row r="467" spans="1:34">
      <c r="A467" s="7">
        <v>45391</v>
      </c>
      <c r="B467">
        <v>10</v>
      </c>
      <c r="C467">
        <v>20</v>
      </c>
      <c r="D467">
        <v>20</v>
      </c>
      <c r="E467">
        <v>10</v>
      </c>
      <c r="F467">
        <f t="shared" si="99"/>
        <v>60</v>
      </c>
      <c r="G467">
        <f t="shared" si="102"/>
        <v>10</v>
      </c>
      <c r="H467">
        <f t="shared" si="92"/>
        <v>100</v>
      </c>
      <c r="I467">
        <f t="shared" si="93"/>
        <v>180</v>
      </c>
      <c r="J467">
        <f t="shared" si="94"/>
        <v>160</v>
      </c>
      <c r="K467">
        <f t="shared" si="95"/>
        <v>450</v>
      </c>
      <c r="L467">
        <f>G467*Return!B467*100</f>
        <v>20</v>
      </c>
      <c r="M467">
        <f>H467*Return!C467*100</f>
        <v>255.999999999998</v>
      </c>
      <c r="N467">
        <f>I467*Return!D467*100</f>
        <v>206.999999999997</v>
      </c>
      <c r="O467">
        <f>J467*Return!E467*100</f>
        <v>192</v>
      </c>
      <c r="P467">
        <f t="shared" si="96"/>
        <v>674.999999999996</v>
      </c>
      <c r="Q467">
        <f>SUM($P$400:P467)</f>
        <v>13609.3</v>
      </c>
      <c r="R467">
        <f>B467*中国_中债国债到期收益率_1年!B466/365*100</f>
        <v>4.66438356164384</v>
      </c>
      <c r="S467">
        <f>C467*中国_中债国债到期收益率_1年!C466/365*100</f>
        <v>11.8849315068493</v>
      </c>
      <c r="T467">
        <f>D467*中国_中债国债到期收益率_1年!D466/365*100</f>
        <v>12.5052054794521</v>
      </c>
      <c r="U467">
        <f>E467*中国_中债国债到期收益率_1年!E466/365*100</f>
        <v>6.75506849315068</v>
      </c>
      <c r="V467">
        <f t="shared" si="97"/>
        <v>35.8095890410959</v>
      </c>
      <c r="W467">
        <f>SUM($V$400:V467)</f>
        <v>2306.06301369863</v>
      </c>
      <c r="X467">
        <f>MAX(F467-50,0)*中国_中债国债到期收益率_1年!H467*100/365</f>
        <v>5.34246575342466</v>
      </c>
      <c r="Y467">
        <f>SUM($X$400:X467)</f>
        <v>85.2054794520548</v>
      </c>
      <c r="Z467">
        <v>-100</v>
      </c>
      <c r="AA467">
        <v>100</v>
      </c>
      <c r="AB467">
        <f>Z467*Return!F471*100</f>
        <v>-185.000000000002</v>
      </c>
      <c r="AC467">
        <f>AA467*Return!G471*100</f>
        <v>203.000000000002</v>
      </c>
      <c r="AD467">
        <f>SUM($AB$400:AB467)+SUM($AC$400:AC467)</f>
        <v>1268.10000000001</v>
      </c>
      <c r="AE467">
        <f t="shared" si="100"/>
        <v>17098.2575342466</v>
      </c>
      <c r="AF467">
        <f t="shared" si="101"/>
        <v>1.03419651506849</v>
      </c>
      <c r="AG467" s="5">
        <f>(AE467-AE466)/(500000+AE466)-中国_中债国债到期收益率_1年!H467%/252</f>
        <v>0.00132366947982913</v>
      </c>
      <c r="AH467" s="5">
        <f>MIN((AF467-MAX($AF$401:AF467))/MAX($AF$401:AF467),0)</f>
        <v>0</v>
      </c>
    </row>
    <row r="468" spans="1:34">
      <c r="A468" s="7">
        <v>45392</v>
      </c>
      <c r="B468">
        <v>10</v>
      </c>
      <c r="C468">
        <v>20</v>
      </c>
      <c r="D468">
        <v>20</v>
      </c>
      <c r="E468">
        <v>10</v>
      </c>
      <c r="F468">
        <f t="shared" si="99"/>
        <v>60</v>
      </c>
      <c r="G468">
        <f t="shared" si="102"/>
        <v>10</v>
      </c>
      <c r="H468">
        <f t="shared" si="92"/>
        <v>100</v>
      </c>
      <c r="I468">
        <f t="shared" si="93"/>
        <v>180</v>
      </c>
      <c r="J468">
        <f t="shared" si="94"/>
        <v>160</v>
      </c>
      <c r="K468">
        <f t="shared" si="95"/>
        <v>450</v>
      </c>
      <c r="L468">
        <f>G468*Return!B468*100</f>
        <v>10</v>
      </c>
      <c r="M468">
        <f>H468*Return!C468*100</f>
        <v>156.999999999998</v>
      </c>
      <c r="N468">
        <f>I468*Return!D468*100</f>
        <v>36.000000000004</v>
      </c>
      <c r="O468">
        <f>J468*Return!E468*100</f>
        <v>30.4000000000002</v>
      </c>
      <c r="P468">
        <f t="shared" si="96"/>
        <v>233.400000000002</v>
      </c>
      <c r="Q468">
        <f>SUM($P$400:P468)</f>
        <v>13842.7</v>
      </c>
      <c r="R468">
        <f>B468*中国_中债国债到期收益率_1年!B467/365*100</f>
        <v>4.63698630136986</v>
      </c>
      <c r="S468">
        <f>C468*中国_中债国债到期收益率_1年!C467/365*100</f>
        <v>11.798904109589</v>
      </c>
      <c r="T468">
        <f>D468*中国_中债国债到期收益率_1年!D467/365*100</f>
        <v>12.4942465753425</v>
      </c>
      <c r="U468">
        <f>E468*中国_中债国债到期收益率_1年!E467/365*100</f>
        <v>6.74986301369863</v>
      </c>
      <c r="V468">
        <f t="shared" si="97"/>
        <v>35.68</v>
      </c>
      <c r="W468">
        <f>SUM($V$400:V468)</f>
        <v>2341.74301369863</v>
      </c>
      <c r="X468">
        <f>MAX(F468-50,0)*中国_中债国债到期收益率_1年!H468*100/365</f>
        <v>5.20547945205479</v>
      </c>
      <c r="Y468">
        <f>SUM($X$400:X468)</f>
        <v>90.4109589041096</v>
      </c>
      <c r="Z468">
        <v>-100</v>
      </c>
      <c r="AA468">
        <v>100</v>
      </c>
      <c r="AB468">
        <f>Z468*Return!F472*100</f>
        <v>86.0000000000016</v>
      </c>
      <c r="AC468">
        <f>AA468*Return!G472*100</f>
        <v>-3.99999999999956</v>
      </c>
      <c r="AD468">
        <f>SUM($AB$400:AB468)+SUM($AC$400:AC468)</f>
        <v>1350.10000000002</v>
      </c>
      <c r="AE468">
        <f t="shared" si="100"/>
        <v>17444.1320547945</v>
      </c>
      <c r="AF468">
        <f t="shared" si="101"/>
        <v>1.03488826410959</v>
      </c>
      <c r="AG468" s="5">
        <f>(AE468-AE467)/(500000+AE467)-中国_中债国债到期收益率_1年!H468%/252</f>
        <v>0.000593478993673293</v>
      </c>
      <c r="AH468" s="5">
        <f>MIN((AF468-MAX($AF$401:AF468))/MAX($AF$401:AF468),0)</f>
        <v>0</v>
      </c>
    </row>
    <row r="469" spans="1:34">
      <c r="A469" s="7">
        <v>45393</v>
      </c>
      <c r="B469">
        <v>10</v>
      </c>
      <c r="C469">
        <v>20</v>
      </c>
      <c r="D469">
        <v>20</v>
      </c>
      <c r="E469">
        <v>10</v>
      </c>
      <c r="F469">
        <f t="shared" si="99"/>
        <v>60</v>
      </c>
      <c r="G469">
        <f t="shared" si="102"/>
        <v>10</v>
      </c>
      <c r="H469">
        <f t="shared" si="92"/>
        <v>100</v>
      </c>
      <c r="I469">
        <f t="shared" si="93"/>
        <v>180</v>
      </c>
      <c r="J469">
        <f t="shared" si="94"/>
        <v>160</v>
      </c>
      <c r="K469">
        <f t="shared" si="95"/>
        <v>450</v>
      </c>
      <c r="L469">
        <f>G469*Return!B469*100</f>
        <v>-10.8000000000001</v>
      </c>
      <c r="M469">
        <f>H469*Return!C469*100</f>
        <v>-57.9999999999981</v>
      </c>
      <c r="N469">
        <f>I469*Return!D469*100</f>
        <v>-306.000000000006</v>
      </c>
      <c r="O469">
        <f>J469*Return!E469*100</f>
        <v>-406.400000000005</v>
      </c>
      <c r="P469">
        <f t="shared" si="96"/>
        <v>-781.200000000009</v>
      </c>
      <c r="Q469">
        <f>SUM($P$400:P469)</f>
        <v>13061.5</v>
      </c>
      <c r="R469">
        <f>B469*中国_中债国债到期收益率_1年!B468/365*100</f>
        <v>4.66657534246575</v>
      </c>
      <c r="S469">
        <f>C469*中国_中债国债到期收益率_1年!C468/365*100</f>
        <v>11.8306849315069</v>
      </c>
      <c r="T469">
        <f>D469*中国_中债国债到期收益率_1年!D468/365*100</f>
        <v>12.587397260274</v>
      </c>
      <c r="U469">
        <f>E469*中国_中债国债到期收益率_1年!E468/365*100</f>
        <v>6.81945205479452</v>
      </c>
      <c r="V469">
        <f t="shared" si="97"/>
        <v>35.9041095890411</v>
      </c>
      <c r="W469">
        <f>SUM($V$400:V469)</f>
        <v>2377.64712328767</v>
      </c>
      <c r="X469">
        <f>MAX(F469-50,0)*中国_中债国债到期收益率_1年!H469*100/365</f>
        <v>5.26027397260274</v>
      </c>
      <c r="Y469">
        <f>SUM($X$400:X469)</f>
        <v>95.6712328767123</v>
      </c>
      <c r="Z469">
        <v>-100</v>
      </c>
      <c r="AA469">
        <v>100</v>
      </c>
      <c r="AB469">
        <f>Z469*Return!F473*100</f>
        <v>98.0000000000003</v>
      </c>
      <c r="AC469">
        <f>AA469*Return!G473*100</f>
        <v>-51.000000000001</v>
      </c>
      <c r="AD469">
        <f>SUM($AB$400:AB469)+SUM($AC$400:AC469)</f>
        <v>1397.10000000002</v>
      </c>
      <c r="AE469">
        <f t="shared" si="100"/>
        <v>16740.575890411</v>
      </c>
      <c r="AF469">
        <f t="shared" si="101"/>
        <v>1.03348115178082</v>
      </c>
      <c r="AG469" s="5">
        <f>(AE469-AE468)/(500000+AE468)-中国_中债国债到期收益率_1年!H469%/252</f>
        <v>-0.00143586608327431</v>
      </c>
      <c r="AH469" s="5">
        <f>MIN((AF469-MAX($AF$401:AF469))/MAX($AF$401:AF469),0)</f>
        <v>-0.00135967560708381</v>
      </c>
    </row>
    <row r="470" spans="1:34">
      <c r="A470" s="7">
        <v>45394</v>
      </c>
      <c r="B470">
        <v>10</v>
      </c>
      <c r="C470">
        <v>20</v>
      </c>
      <c r="D470">
        <v>20</v>
      </c>
      <c r="E470">
        <v>10</v>
      </c>
      <c r="F470">
        <f t="shared" si="99"/>
        <v>60</v>
      </c>
      <c r="G470">
        <f t="shared" si="102"/>
        <v>10</v>
      </c>
      <c r="H470">
        <f t="shared" si="92"/>
        <v>100</v>
      </c>
      <c r="I470">
        <f t="shared" si="93"/>
        <v>180</v>
      </c>
      <c r="J470">
        <f t="shared" si="94"/>
        <v>160</v>
      </c>
      <c r="K470">
        <f t="shared" si="95"/>
        <v>450</v>
      </c>
      <c r="L470">
        <f>G470*Return!B470*100</f>
        <v>0</v>
      </c>
      <c r="M470">
        <f>H470*Return!C470*100</f>
        <v>213.000000000001</v>
      </c>
      <c r="N470">
        <f>I470*Return!D470*100</f>
        <v>79.1999999999993</v>
      </c>
      <c r="O470">
        <f>J470*Return!E470*100</f>
        <v>-59.199999999997</v>
      </c>
      <c r="P470">
        <f t="shared" si="96"/>
        <v>233.000000000003</v>
      </c>
      <c r="Q470">
        <f>SUM($P$400:P470)</f>
        <v>13294.5</v>
      </c>
      <c r="R470">
        <f>B470*中国_中债国债到期收益率_1年!B469/365*100</f>
        <v>4.66657534246575</v>
      </c>
      <c r="S470">
        <f>C470*中国_中债国债到期收益率_1年!C469/365*100</f>
        <v>11.7139726027397</v>
      </c>
      <c r="T470">
        <f>D470*中国_中债国债到期收益率_1年!D469/365*100</f>
        <v>12.5632876712329</v>
      </c>
      <c r="U470">
        <f>E470*中国_中债国债到期收益率_1年!E469/365*100</f>
        <v>6.82958904109589</v>
      </c>
      <c r="V470">
        <f t="shared" si="97"/>
        <v>35.7734246575342</v>
      </c>
      <c r="W470">
        <f>SUM($V$400:V470)</f>
        <v>2413.42054794521</v>
      </c>
      <c r="X470">
        <f>MAX(F470-50,0)*中国_中债国债到期收益率_1年!H470*100/365</f>
        <v>5.20547945205479</v>
      </c>
      <c r="Y470">
        <f>SUM($X$400:X470)</f>
        <v>100.876712328767</v>
      </c>
      <c r="Z470">
        <v>-100</v>
      </c>
      <c r="AA470">
        <v>100</v>
      </c>
      <c r="AB470">
        <f>Z470*Return!F474*100</f>
        <v>67.9999999999992</v>
      </c>
      <c r="AC470">
        <f>AA470*Return!G474*100</f>
        <v>17.0000000000003</v>
      </c>
      <c r="AD470">
        <f>SUM($AB$400:AB470)+SUM($AC$400:AC470)</f>
        <v>1482.10000000002</v>
      </c>
      <c r="AE470">
        <f t="shared" si="100"/>
        <v>17089.1438356165</v>
      </c>
      <c r="AF470">
        <f t="shared" si="101"/>
        <v>1.03417828767123</v>
      </c>
      <c r="AG470" s="5">
        <f>(AE470-AE469)/(500000+AE469)-中国_中债国债到期收益率_1年!H470%/252</f>
        <v>0.000599154315869477</v>
      </c>
      <c r="AH470" s="5">
        <f>MIN((AF470-MAX($AF$401:AF470))/MAX($AF$401:AF470),0)</f>
        <v>-0.000686041636550106</v>
      </c>
    </row>
    <row r="471" spans="1:34">
      <c r="A471" s="7">
        <v>45397</v>
      </c>
      <c r="B471">
        <v>10</v>
      </c>
      <c r="C471">
        <v>20</v>
      </c>
      <c r="D471">
        <v>20</v>
      </c>
      <c r="E471">
        <v>10</v>
      </c>
      <c r="F471">
        <f t="shared" si="99"/>
        <v>60</v>
      </c>
      <c r="G471">
        <f t="shared" si="102"/>
        <v>10</v>
      </c>
      <c r="H471">
        <f t="shared" si="92"/>
        <v>100</v>
      </c>
      <c r="I471">
        <f t="shared" si="93"/>
        <v>180</v>
      </c>
      <c r="J471">
        <f t="shared" si="94"/>
        <v>160</v>
      </c>
      <c r="K471">
        <f t="shared" si="95"/>
        <v>450</v>
      </c>
      <c r="L471">
        <f>G471*Return!B471*100</f>
        <v>7.50000000000006</v>
      </c>
      <c r="M471">
        <f>H471*Return!C471*100</f>
        <v>259</v>
      </c>
      <c r="N471">
        <f>I471*Return!D471*100</f>
        <v>163.800000000002</v>
      </c>
      <c r="O471">
        <f>J471*Return!E471*100</f>
        <v>92.7999999999969</v>
      </c>
      <c r="P471">
        <f t="shared" si="96"/>
        <v>523.099999999999</v>
      </c>
      <c r="Q471">
        <f>SUM($P$400:P471)</f>
        <v>13817.6</v>
      </c>
      <c r="R471">
        <f>B471*中国_中债国债到期收益率_1年!B470/365*100</f>
        <v>4.64602739726027</v>
      </c>
      <c r="S471">
        <f>C471*中国_中债国债到期收益率_1年!C470/365*100</f>
        <v>11.5720547945205</v>
      </c>
      <c r="T471">
        <f>D471*中国_中债国债到期收益率_1年!D470/365*100</f>
        <v>12.5134246575342</v>
      </c>
      <c r="U471">
        <f>E471*中国_中债国债到期收益率_1年!E470/365*100</f>
        <v>6.81369863013699</v>
      </c>
      <c r="V471">
        <f t="shared" si="97"/>
        <v>35.5452054794521</v>
      </c>
      <c r="W471">
        <f>SUM($V$400:V471)</f>
        <v>2448.96575342466</v>
      </c>
      <c r="X471">
        <f>MAX(F471-50,0)*中国_中债国债到期收益率_1年!H471*100/365</f>
        <v>5.20547945205479</v>
      </c>
      <c r="Y471">
        <f>SUM($X$400:X471)</f>
        <v>106.082191780822</v>
      </c>
      <c r="Z471">
        <v>-100</v>
      </c>
      <c r="AA471">
        <v>100</v>
      </c>
      <c r="AB471">
        <f>Z471*Return!F475*100</f>
        <v>-64.9999999999995</v>
      </c>
      <c r="AC471">
        <f>AA471*Return!G475*100</f>
        <v>139</v>
      </c>
      <c r="AD471">
        <f>SUM($AB$400:AB471)+SUM($AC$400:AC471)</f>
        <v>1556.10000000002</v>
      </c>
      <c r="AE471">
        <f t="shared" si="100"/>
        <v>17716.5835616439</v>
      </c>
      <c r="AF471">
        <f t="shared" si="101"/>
        <v>1.03543316712329</v>
      </c>
      <c r="AG471" s="5">
        <f>(AE471-AE470)/(500000+AE470)-中国_中债国债到期收益率_1年!H471%/252</f>
        <v>0.00113801044394407</v>
      </c>
      <c r="AH471" s="5">
        <f>MIN((AF471-MAX($AF$401:AF471))/MAX($AF$401:AF471),0)</f>
        <v>0</v>
      </c>
    </row>
    <row r="472" spans="1:34">
      <c r="A472" s="7">
        <v>45398</v>
      </c>
      <c r="B472">
        <v>10</v>
      </c>
      <c r="C472">
        <v>20</v>
      </c>
      <c r="D472">
        <v>20</v>
      </c>
      <c r="E472">
        <v>10</v>
      </c>
      <c r="F472">
        <f t="shared" si="99"/>
        <v>60</v>
      </c>
      <c r="G472">
        <f t="shared" si="102"/>
        <v>10</v>
      </c>
      <c r="H472">
        <f t="shared" si="92"/>
        <v>100</v>
      </c>
      <c r="I472">
        <f t="shared" si="93"/>
        <v>180</v>
      </c>
      <c r="J472">
        <f t="shared" si="94"/>
        <v>160</v>
      </c>
      <c r="K472">
        <f t="shared" si="95"/>
        <v>450</v>
      </c>
      <c r="L472">
        <f>G472*Return!B472*100</f>
        <v>-7.50000000000006</v>
      </c>
      <c r="M472">
        <f>H472*Return!C472*100</f>
        <v>-144.000000000002</v>
      </c>
      <c r="N472">
        <f>I472*Return!D472*100</f>
        <v>70.2000000000043</v>
      </c>
      <c r="O472">
        <f>J472*Return!E472*100</f>
        <v>11.2000000000023</v>
      </c>
      <c r="P472">
        <f t="shared" si="96"/>
        <v>-70.0999999999954</v>
      </c>
      <c r="Q472">
        <f>SUM($P$400:P472)</f>
        <v>13747.5</v>
      </c>
      <c r="R472">
        <f>B472*中国_中债国债到期收益率_1年!B471/365*100</f>
        <v>4.66657534246575</v>
      </c>
      <c r="S472">
        <f>C472*中国_中债国债到期收益率_1年!C471/365*100</f>
        <v>11.6509589041096</v>
      </c>
      <c r="T472">
        <f>D472*中国_中债国债到期收益率_1年!D471/365*100</f>
        <v>12.4920547945205</v>
      </c>
      <c r="U472">
        <f>E472*中国_中债国债到期收益率_1年!E471/365*100</f>
        <v>6.81178082191781</v>
      </c>
      <c r="V472">
        <f t="shared" si="97"/>
        <v>35.6213698630137</v>
      </c>
      <c r="W472">
        <f>SUM($V$400:V472)</f>
        <v>2484.58712328767</v>
      </c>
      <c r="X472">
        <f>MAX(F472-50,0)*中国_中债国债到期收益率_1年!H472*100/365</f>
        <v>5.20547945205479</v>
      </c>
      <c r="Y472">
        <f>SUM($X$400:X472)</f>
        <v>111.287671232877</v>
      </c>
      <c r="Z472">
        <v>-100</v>
      </c>
      <c r="AA472">
        <v>100</v>
      </c>
      <c r="AB472">
        <f>Z472*Return!F476*100</f>
        <v>-31.000000000001</v>
      </c>
      <c r="AC472">
        <f>AA472*Return!G476*100</f>
        <v>68.9999999999991</v>
      </c>
      <c r="AD472">
        <f>SUM($AB$400:AB472)+SUM($AC$400:AC472)</f>
        <v>1594.10000000001</v>
      </c>
      <c r="AE472">
        <f t="shared" si="100"/>
        <v>17714.8994520548</v>
      </c>
      <c r="AF472">
        <f t="shared" si="101"/>
        <v>1.03542979890411</v>
      </c>
      <c r="AG472" s="5">
        <f>(AE472-AE471)/(500000+AE471)-中国_中债国债到期收益率_1年!H472%/252</f>
        <v>-7.86497820192535e-5</v>
      </c>
      <c r="AH472" s="5">
        <f>MIN((AF472-MAX($AF$401:AF472))/MAX($AF$401:AF472),0)</f>
        <v>-3.25295662236751e-6</v>
      </c>
    </row>
    <row r="473" spans="1:34">
      <c r="A473" s="7">
        <v>45399</v>
      </c>
      <c r="B473">
        <v>10</v>
      </c>
      <c r="C473">
        <v>20</v>
      </c>
      <c r="D473">
        <v>20</v>
      </c>
      <c r="E473">
        <v>10</v>
      </c>
      <c r="F473">
        <f t="shared" si="99"/>
        <v>60</v>
      </c>
      <c r="G473">
        <f t="shared" si="102"/>
        <v>10</v>
      </c>
      <c r="H473">
        <f t="shared" si="92"/>
        <v>100</v>
      </c>
      <c r="I473">
        <f t="shared" si="93"/>
        <v>180</v>
      </c>
      <c r="J473">
        <f t="shared" si="94"/>
        <v>160</v>
      </c>
      <c r="K473">
        <f t="shared" si="95"/>
        <v>450</v>
      </c>
      <c r="L473">
        <f>G473*Return!B473*100</f>
        <v>-20</v>
      </c>
      <c r="M473">
        <f>H473*Return!C473*100</f>
        <v>-24.9999999999995</v>
      </c>
      <c r="N473">
        <f>I473*Return!D473*100</f>
        <v>134.999999999997</v>
      </c>
      <c r="O473">
        <f>J473*Return!E473*100</f>
        <v>233.600000000003</v>
      </c>
      <c r="P473">
        <f t="shared" si="96"/>
        <v>323.6</v>
      </c>
      <c r="Q473">
        <f>SUM($P$400:P473)</f>
        <v>14071.1</v>
      </c>
      <c r="R473">
        <f>B473*中国_中债国债到期收益率_1年!B472/365*100</f>
        <v>4.7213698630137</v>
      </c>
      <c r="S473">
        <f>C473*中国_中债国债到期收益率_1年!C472/365*100</f>
        <v>11.6646575342466</v>
      </c>
      <c r="T473">
        <f>D473*中国_中债国债到期收益率_1年!D472/365*100</f>
        <v>12.4509589041096</v>
      </c>
      <c r="U473">
        <f>E473*中国_中债国债到期收益率_1年!E472/365*100</f>
        <v>6.77178082191781</v>
      </c>
      <c r="V473">
        <f t="shared" si="97"/>
        <v>35.6087671232877</v>
      </c>
      <c r="W473">
        <f>SUM($V$400:V473)</f>
        <v>2520.19589041096</v>
      </c>
      <c r="X473">
        <f>MAX(F473-50,0)*中国_中债国债到期收益率_1年!H473*100/365</f>
        <v>5.34246575342466</v>
      </c>
      <c r="Y473">
        <f>SUM($X$400:X473)</f>
        <v>116.630136986301</v>
      </c>
      <c r="Z473">
        <v>-100</v>
      </c>
      <c r="AA473">
        <v>100</v>
      </c>
      <c r="AB473">
        <f>Z473*Return!F477*100</f>
        <v>-10.9999999999988</v>
      </c>
      <c r="AC473">
        <f>AA473*Return!G477*100</f>
        <v>22.9999999999997</v>
      </c>
      <c r="AD473">
        <f>SUM($AB$400:AB473)+SUM($AC$400:AC473)</f>
        <v>1606.10000000001</v>
      </c>
      <c r="AE473">
        <f t="shared" si="100"/>
        <v>18080.7657534247</v>
      </c>
      <c r="AF473">
        <f t="shared" si="101"/>
        <v>1.03616153150685</v>
      </c>
      <c r="AG473" s="5">
        <f>(AE473-AE472)/(500000+AE472)-中国_中债国债到期收益率_1年!H473%/252</f>
        <v>0.000629313604327944</v>
      </c>
      <c r="AH473" s="5">
        <f>MIN((AF473-MAX($AF$401:AF473))/MAX($AF$401:AF473),0)</f>
        <v>0</v>
      </c>
    </row>
    <row r="474" spans="1:34">
      <c r="A474" s="7">
        <v>45400</v>
      </c>
      <c r="B474">
        <v>10</v>
      </c>
      <c r="C474">
        <v>30</v>
      </c>
      <c r="D474">
        <v>20</v>
      </c>
      <c r="E474">
        <v>10</v>
      </c>
      <c r="F474">
        <f t="shared" si="99"/>
        <v>70</v>
      </c>
      <c r="G474">
        <f t="shared" si="102"/>
        <v>10</v>
      </c>
      <c r="H474">
        <f t="shared" si="92"/>
        <v>150</v>
      </c>
      <c r="I474">
        <f t="shared" si="93"/>
        <v>180</v>
      </c>
      <c r="J474">
        <f t="shared" si="94"/>
        <v>160</v>
      </c>
      <c r="K474">
        <f t="shared" si="95"/>
        <v>500</v>
      </c>
      <c r="L474">
        <f>G474*Return!B474*100</f>
        <v>10</v>
      </c>
      <c r="M474">
        <f>H474*Return!C474*100</f>
        <v>352.499999999998</v>
      </c>
      <c r="N474">
        <f>I474*Return!D474*100</f>
        <v>206.999999999997</v>
      </c>
      <c r="O474">
        <f>J474*Return!E474*100</f>
        <v>257.599999999996</v>
      </c>
      <c r="P474">
        <f t="shared" si="96"/>
        <v>827.099999999991</v>
      </c>
      <c r="Q474">
        <f>SUM($P$400:P474)</f>
        <v>14898.2</v>
      </c>
      <c r="R474">
        <f>B474*中国_中债国债到期收益率_1年!B473/365*100</f>
        <v>4.69397260273973</v>
      </c>
      <c r="S474">
        <f>C474*中国_中债国债到期收益率_1年!C473/365*100</f>
        <v>17.3038356164384</v>
      </c>
      <c r="T474">
        <f>D474*中国_中债国债到期收益率_1年!D473/365*100</f>
        <v>12.3879452054795</v>
      </c>
      <c r="U474">
        <f>E474*中国_中债国债到期收益率_1年!E473/365*100</f>
        <v>6.72767123287671</v>
      </c>
      <c r="V474">
        <f t="shared" si="97"/>
        <v>41.1134246575343</v>
      </c>
      <c r="W474">
        <f>SUM($V$400:V474)</f>
        <v>2561.30931506849</v>
      </c>
      <c r="X474">
        <f>MAX(F474-50,0)*中国_中债国债到期收益率_1年!H474*100/365</f>
        <v>10.4109589041096</v>
      </c>
      <c r="Y474">
        <f>SUM($X$400:X474)</f>
        <v>127.041095890411</v>
      </c>
      <c r="Z474">
        <v>-100</v>
      </c>
      <c r="AA474">
        <v>100</v>
      </c>
      <c r="AB474">
        <f>Z474*Return!F478*100</f>
        <v>-65.0000000000017</v>
      </c>
      <c r="AC474">
        <f>AA474*Return!G478*100</f>
        <v>106.000000000002</v>
      </c>
      <c r="AD474">
        <f>SUM($AB$400:AB474)+SUM($AC$400:AC474)</f>
        <v>1647.10000000001</v>
      </c>
      <c r="AE474">
        <f t="shared" si="100"/>
        <v>18979.5682191781</v>
      </c>
      <c r="AF474">
        <f t="shared" si="101"/>
        <v>1.03795913643836</v>
      </c>
      <c r="AG474" s="5">
        <f>(AE474-AE473)/(500000+AE473)-中国_中债国债到期收益率_1年!H474%/252</f>
        <v>0.00165947257174499</v>
      </c>
      <c r="AH474" s="5">
        <f>MIN((AF474-MAX($AF$401:AF474))/MAX($AF$401:AF474),0)</f>
        <v>0</v>
      </c>
    </row>
    <row r="475" spans="1:34">
      <c r="A475" s="7">
        <v>45401</v>
      </c>
      <c r="B475">
        <v>10</v>
      </c>
      <c r="C475">
        <v>30</v>
      </c>
      <c r="D475">
        <v>20</v>
      </c>
      <c r="E475">
        <v>5</v>
      </c>
      <c r="F475">
        <f t="shared" si="99"/>
        <v>65</v>
      </c>
      <c r="G475">
        <f t="shared" si="102"/>
        <v>10</v>
      </c>
      <c r="H475">
        <f t="shared" si="92"/>
        <v>150</v>
      </c>
      <c r="I475">
        <f t="shared" si="93"/>
        <v>180</v>
      </c>
      <c r="J475">
        <f t="shared" si="94"/>
        <v>80</v>
      </c>
      <c r="K475">
        <f t="shared" si="95"/>
        <v>420</v>
      </c>
      <c r="L475">
        <f>G475*Return!B475*100</f>
        <v>15.0000000000001</v>
      </c>
      <c r="M475">
        <f>H475*Return!C475*100</f>
        <v>373.500000000002</v>
      </c>
      <c r="N475">
        <f>I475*Return!D475*100</f>
        <v>127.800000000006</v>
      </c>
      <c r="O475">
        <f>J475*Return!E475*100</f>
        <v>71.9999999999992</v>
      </c>
      <c r="P475">
        <f t="shared" si="96"/>
        <v>588.300000000007</v>
      </c>
      <c r="Q475">
        <f>SUM($P$400:P475)</f>
        <v>15486.5</v>
      </c>
      <c r="R475">
        <f>B475*中国_中债国债到期收益率_1年!B474/365*100</f>
        <v>4.65287671232877</v>
      </c>
      <c r="S475">
        <f>C475*中国_中债国债到期收益率_1年!C474/365*100</f>
        <v>17.0991780821918</v>
      </c>
      <c r="T475">
        <f>D475*中国_中债国债到期收益率_1年!D474/365*100</f>
        <v>12.3490410958904</v>
      </c>
      <c r="U475">
        <f>E475*中国_中债国债到期收益率_1年!E474/365*100</f>
        <v>3.35150684931507</v>
      </c>
      <c r="V475">
        <f t="shared" si="97"/>
        <v>37.452602739726</v>
      </c>
      <c r="W475">
        <f>SUM($V$400:V475)</f>
        <v>2598.76191780822</v>
      </c>
      <c r="X475">
        <f>MAX(F475-50,0)*中国_中债国债到期收益率_1年!H475*100/365</f>
        <v>7.80821917808219</v>
      </c>
      <c r="Y475">
        <f>SUM($X$400:X475)</f>
        <v>134.849315068493</v>
      </c>
      <c r="Z475">
        <v>-100</v>
      </c>
      <c r="AA475">
        <v>100</v>
      </c>
      <c r="AB475">
        <f>Z475*Return!F479*100</f>
        <v>70.0000000000012</v>
      </c>
      <c r="AC475">
        <f>AA475*Return!G479*100</f>
        <v>-165.999999999999</v>
      </c>
      <c r="AD475">
        <f>SUM($AB$400:AB475)+SUM($AC$400:AC475)</f>
        <v>1551.10000000002</v>
      </c>
      <c r="AE475">
        <f t="shared" si="100"/>
        <v>19501.5126027397</v>
      </c>
      <c r="AF475">
        <f t="shared" si="101"/>
        <v>1.03900302520548</v>
      </c>
      <c r="AG475" s="5">
        <f>(AE475-AE474)/(500000+AE474)-中国_中债国债到期收益率_1年!H475%/252</f>
        <v>0.000930315953147907</v>
      </c>
      <c r="AH475" s="5">
        <f>MIN((AF475-MAX($AF$401:AF475))/MAX($AF$401:AF475),0)</f>
        <v>0</v>
      </c>
    </row>
    <row r="476" spans="1:34">
      <c r="A476" s="7">
        <v>45404</v>
      </c>
      <c r="B476">
        <v>10</v>
      </c>
      <c r="C476">
        <v>30</v>
      </c>
      <c r="D476">
        <v>20</v>
      </c>
      <c r="E476">
        <v>5</v>
      </c>
      <c r="F476">
        <f t="shared" si="99"/>
        <v>65</v>
      </c>
      <c r="G476">
        <f t="shared" si="102"/>
        <v>10</v>
      </c>
      <c r="H476">
        <f t="shared" si="92"/>
        <v>150</v>
      </c>
      <c r="I476">
        <f t="shared" si="93"/>
        <v>180</v>
      </c>
      <c r="J476">
        <f t="shared" si="94"/>
        <v>80</v>
      </c>
      <c r="K476">
        <f t="shared" si="95"/>
        <v>420</v>
      </c>
      <c r="L476">
        <f>G476*Return!B476*100</f>
        <v>4.99999999999989</v>
      </c>
      <c r="M476">
        <f>H476*Return!C476*100</f>
        <v>73.5000000000019</v>
      </c>
      <c r="N476">
        <f>I476*Return!D476*100</f>
        <v>-5.4000000000034</v>
      </c>
      <c r="O476">
        <f>J476*Return!E476*100</f>
        <v>44.0000000000005</v>
      </c>
      <c r="P476">
        <f t="shared" si="96"/>
        <v>117.099999999999</v>
      </c>
      <c r="Q476">
        <f>SUM($P$400:P476)</f>
        <v>15603.6</v>
      </c>
      <c r="R476">
        <f>B476*中国_中债国债到期收益率_1年!B475/365*100</f>
        <v>4.63917808219178</v>
      </c>
      <c r="S476">
        <f>C476*中国_中债国债到期收益率_1年!C475/365*100</f>
        <v>17.058904109589</v>
      </c>
      <c r="T476">
        <f>D476*中国_中债国债到期收益率_1年!D475/365*100</f>
        <v>12.3506849315068</v>
      </c>
      <c r="U476">
        <f>E476*中国_中债国债到期收益率_1年!E475/365*100</f>
        <v>3.34397260273973</v>
      </c>
      <c r="V476">
        <f t="shared" si="97"/>
        <v>37.3927397260274</v>
      </c>
      <c r="W476">
        <f>SUM($V$400:V476)</f>
        <v>2636.15465753425</v>
      </c>
      <c r="X476">
        <f>MAX(F476-50,0)*中国_中债国债到期收益率_1年!H476*100/365</f>
        <v>7.80821917808219</v>
      </c>
      <c r="Y476">
        <f>SUM($X$400:X476)</f>
        <v>142.657534246575</v>
      </c>
      <c r="Z476">
        <v>-100</v>
      </c>
      <c r="AA476">
        <v>100</v>
      </c>
      <c r="AD476">
        <f>SUM($AB$400:AB476)+SUM($AC$400:AC476)</f>
        <v>1551.10000000002</v>
      </c>
      <c r="AE476">
        <f t="shared" si="100"/>
        <v>19648.1971232877</v>
      </c>
      <c r="AF476">
        <f t="shared" si="101"/>
        <v>1.03929639424658</v>
      </c>
      <c r="AG476" s="5">
        <f>(AE476-AE475)/(500000+AE475)-中国_中债国债到期收益率_1年!H476%/252</f>
        <v>0.000206959466143201</v>
      </c>
      <c r="AH476" s="5">
        <f>MIN((AF476-MAX($AF$401:AF476))/MAX($AF$401:AF476),0)</f>
        <v>0</v>
      </c>
    </row>
    <row r="477" spans="1:34">
      <c r="A477" s="7">
        <v>45405</v>
      </c>
      <c r="B477">
        <v>10</v>
      </c>
      <c r="C477">
        <v>30</v>
      </c>
      <c r="D477">
        <v>10</v>
      </c>
      <c r="E477">
        <v>5</v>
      </c>
      <c r="F477">
        <f t="shared" si="99"/>
        <v>55</v>
      </c>
      <c r="G477">
        <f t="shared" si="102"/>
        <v>10</v>
      </c>
      <c r="H477">
        <f t="shared" si="92"/>
        <v>150</v>
      </c>
      <c r="I477">
        <f t="shared" si="93"/>
        <v>90</v>
      </c>
      <c r="J477">
        <f t="shared" si="94"/>
        <v>80</v>
      </c>
      <c r="K477">
        <f t="shared" si="95"/>
        <v>330</v>
      </c>
      <c r="L477">
        <f>G477*Return!B477*100</f>
        <v>10</v>
      </c>
      <c r="M477">
        <f>H477*Return!C477*100</f>
        <v>29.9999999999967</v>
      </c>
      <c r="N477">
        <f>I477*Return!D477*100</f>
        <v>94.4999999999996</v>
      </c>
      <c r="O477">
        <f>J477*Return!E477*100</f>
        <v>56.0000000000009</v>
      </c>
      <c r="P477">
        <f t="shared" si="96"/>
        <v>190.499999999997</v>
      </c>
      <c r="Q477">
        <f>SUM($P$400:P477)</f>
        <v>15794.1</v>
      </c>
      <c r="R477">
        <f>B477*中国_中债国债到期收益率_1年!B476/365*100</f>
        <v>4.61178082191781</v>
      </c>
      <c r="S477">
        <f>C477*中国_中债国债到期收益率_1年!C476/365*100</f>
        <v>17.0424657534247</v>
      </c>
      <c r="T477">
        <f>D477*中国_中债国债到期收益率_1年!D476/365*100</f>
        <v>6.14657534246575</v>
      </c>
      <c r="U477">
        <f>E477*中国_中债国债到期收益率_1年!E476/365*100</f>
        <v>3.33438356164384</v>
      </c>
      <c r="V477">
        <f t="shared" si="97"/>
        <v>31.1352054794521</v>
      </c>
      <c r="W477">
        <f>SUM($V$400:V477)</f>
        <v>2667.2898630137</v>
      </c>
      <c r="X477">
        <f>MAX(F477-50,0)*中国_中债国债到期收益率_1年!H477*100/365</f>
        <v>2.6027397260274</v>
      </c>
      <c r="Y477">
        <f>SUM($X$400:X477)</f>
        <v>145.260273972603</v>
      </c>
      <c r="Z477">
        <v>-100</v>
      </c>
      <c r="AA477">
        <v>100</v>
      </c>
      <c r="AD477">
        <f>SUM($AB$400:AB477)+SUM($AC$400:AC477)</f>
        <v>1551.10000000002</v>
      </c>
      <c r="AE477">
        <f t="shared" si="100"/>
        <v>19867.2295890411</v>
      </c>
      <c r="AF477">
        <f t="shared" si="101"/>
        <v>1.03973445917808</v>
      </c>
      <c r="AG477" s="5">
        <f>(AE477-AE476)/(500000+AE476)-中国_中债国债到期收益率_1年!H477%/252</f>
        <v>0.000346104619168864</v>
      </c>
      <c r="AH477" s="5">
        <f>MIN((AF477-MAX($AF$401:AF477))/MAX($AF$401:AF477),0)</f>
        <v>0</v>
      </c>
    </row>
    <row r="478" spans="1:34">
      <c r="A478" s="7">
        <v>45406</v>
      </c>
      <c r="B478">
        <v>10</v>
      </c>
      <c r="C478">
        <v>30</v>
      </c>
      <c r="D478">
        <v>10</v>
      </c>
      <c r="E478">
        <v>5</v>
      </c>
      <c r="F478">
        <f t="shared" si="99"/>
        <v>55</v>
      </c>
      <c r="G478">
        <f t="shared" si="102"/>
        <v>10</v>
      </c>
      <c r="H478">
        <f t="shared" ref="H478:H541" si="103">5*C478</f>
        <v>150</v>
      </c>
      <c r="I478">
        <f t="shared" ref="I478:I541" si="104">9*D478</f>
        <v>90</v>
      </c>
      <c r="J478">
        <f t="shared" ref="J478:J541" si="105">16*E478</f>
        <v>80</v>
      </c>
      <c r="K478">
        <f t="shared" ref="K478:K541" si="106">SUM(G478:J478)</f>
        <v>330</v>
      </c>
      <c r="L478">
        <f>G478*Return!B478*100</f>
        <v>20</v>
      </c>
      <c r="M478">
        <f>H478*Return!C478*100</f>
        <v>258.000000000005</v>
      </c>
      <c r="N478">
        <f>I478*Return!D478*100</f>
        <v>157.500000000001</v>
      </c>
      <c r="O478">
        <f>J478*Return!E478*100</f>
        <v>103.999999999999</v>
      </c>
      <c r="P478">
        <f t="shared" ref="P478:P541" si="107">SUM(L478:O478)</f>
        <v>539.500000000005</v>
      </c>
      <c r="Q478">
        <f>SUM($P$400:P478)</f>
        <v>16333.6</v>
      </c>
      <c r="R478">
        <f>B478*中国_中债国债到期收益率_1年!B477/365*100</f>
        <v>4.55698630136986</v>
      </c>
      <c r="S478">
        <f>C478*中国_中债国债到期收益率_1年!C477/365*100</f>
        <v>16.901095890411</v>
      </c>
      <c r="T478">
        <f>D478*中国_中债国债到期收益率_1年!D477/365*100</f>
        <v>6.0986301369863</v>
      </c>
      <c r="U478">
        <f>E478*中国_中债国债到期收益率_1年!E477/365*100</f>
        <v>3.31657534246575</v>
      </c>
      <c r="V478">
        <f t="shared" ref="V478:V541" si="108">SUM(R478:U478)</f>
        <v>30.8732876712329</v>
      </c>
      <c r="W478">
        <f>SUM($V$400:V478)</f>
        <v>2698.16315068493</v>
      </c>
      <c r="X478">
        <f>MAX(F478-50,0)*中国_中债国债到期收益率_1年!H478*100/365</f>
        <v>2.6027397260274</v>
      </c>
      <c r="Y478">
        <f>SUM($X$400:X478)</f>
        <v>147.86301369863</v>
      </c>
      <c r="Z478">
        <v>-30</v>
      </c>
      <c r="AA478">
        <v>30</v>
      </c>
      <c r="AD478">
        <f>SUM($AB$400:AB478)+SUM($AC$400:AC478)</f>
        <v>1551.10000000002</v>
      </c>
      <c r="AE478">
        <f t="shared" si="100"/>
        <v>20435.0001369863</v>
      </c>
      <c r="AF478">
        <f t="shared" si="101"/>
        <v>1.04087000027397</v>
      </c>
      <c r="AG478" s="5">
        <f>(AE478-AE477)/(500000+AE477)-中国_中债国债到期收益率_1年!H478%/252</f>
        <v>0.00101674846791978</v>
      </c>
      <c r="AH478" s="5">
        <f>MIN((AF478-MAX($AF$401:AF478))/MAX($AF$401:AF478),0)</f>
        <v>0</v>
      </c>
    </row>
    <row r="479" spans="1:34">
      <c r="A479" s="7">
        <v>45407</v>
      </c>
      <c r="B479">
        <v>10</v>
      </c>
      <c r="C479">
        <v>30</v>
      </c>
      <c r="D479">
        <v>10</v>
      </c>
      <c r="E479">
        <v>0</v>
      </c>
      <c r="F479">
        <f t="shared" si="99"/>
        <v>50</v>
      </c>
      <c r="G479">
        <f t="shared" si="102"/>
        <v>10</v>
      </c>
      <c r="H479">
        <f t="shared" si="103"/>
        <v>150</v>
      </c>
      <c r="I479">
        <f t="shared" si="104"/>
        <v>90</v>
      </c>
      <c r="J479">
        <f t="shared" si="105"/>
        <v>0</v>
      </c>
      <c r="K479">
        <f t="shared" si="106"/>
        <v>250</v>
      </c>
      <c r="L479">
        <f>G479*Return!B479*100</f>
        <v>-6.29999999999997</v>
      </c>
      <c r="M479">
        <f>H479*Return!C479*100</f>
        <v>-603</v>
      </c>
      <c r="N479">
        <f>I479*Return!D479*100</f>
        <v>-420.3</v>
      </c>
      <c r="O479">
        <f>J479*Return!E479*100</f>
        <v>0</v>
      </c>
      <c r="P479">
        <f t="shared" si="107"/>
        <v>-1029.6</v>
      </c>
      <c r="Q479">
        <f>SUM($P$400:P479)</f>
        <v>15304</v>
      </c>
      <c r="R479">
        <f>B479*中国_中债国债到期收益率_1年!B478/365*100</f>
        <v>4.57424657534246</v>
      </c>
      <c r="S479">
        <f>C479*中国_中债国债到期收益率_1年!C478/365*100</f>
        <v>17.2315068493151</v>
      </c>
      <c r="T479">
        <f>D479*中国_中债国债到期收益率_1年!D478/365*100</f>
        <v>6.22657534246575</v>
      </c>
      <c r="U479">
        <f>E479*中国_中债国债到期收益率_1年!E478/365*100</f>
        <v>0</v>
      </c>
      <c r="V479">
        <f t="shared" si="108"/>
        <v>28.0323287671233</v>
      </c>
      <c r="W479">
        <f>SUM($V$400:V479)</f>
        <v>2726.19547945205</v>
      </c>
      <c r="X479">
        <f>MAX(F479-50,0)*中国_中债国债到期收益率_1年!H479*100/365</f>
        <v>0</v>
      </c>
      <c r="Y479">
        <f>SUM($X$400:X479)</f>
        <v>147.86301369863</v>
      </c>
      <c r="Z479">
        <v>-30</v>
      </c>
      <c r="AA479">
        <v>30</v>
      </c>
      <c r="AD479">
        <f>SUM($AB$400:AB479)+SUM($AC$400:AC479)</f>
        <v>1551.10000000002</v>
      </c>
      <c r="AE479">
        <f t="shared" si="100"/>
        <v>19433.4324657534</v>
      </c>
      <c r="AF479">
        <f t="shared" si="101"/>
        <v>1.03886686493151</v>
      </c>
      <c r="AG479" s="5">
        <f>(AE479-AE478)/(500000+AE478)-中国_中债国债到期收益率_1年!H479%/252</f>
        <v>-0.00200305320049156</v>
      </c>
      <c r="AH479" s="5">
        <f>MIN((AF479-MAX($AF$401:AF479))/MAX($AF$401:AF479),0)</f>
        <v>-0.00192448177192003</v>
      </c>
    </row>
    <row r="480" spans="1:34">
      <c r="A480" s="7">
        <v>45408</v>
      </c>
      <c r="B480">
        <v>10</v>
      </c>
      <c r="C480">
        <v>30</v>
      </c>
      <c r="D480">
        <v>10</v>
      </c>
      <c r="E480">
        <v>0</v>
      </c>
      <c r="F480">
        <f t="shared" si="99"/>
        <v>50</v>
      </c>
      <c r="G480">
        <f t="shared" si="102"/>
        <v>10</v>
      </c>
      <c r="H480">
        <f t="shared" si="103"/>
        <v>150</v>
      </c>
      <c r="I480">
        <f t="shared" si="104"/>
        <v>90</v>
      </c>
      <c r="J480">
        <f t="shared" si="105"/>
        <v>0</v>
      </c>
      <c r="K480">
        <f t="shared" si="106"/>
        <v>250</v>
      </c>
      <c r="L480">
        <f>G480*Return!B480*100</f>
        <v>64.9999999999999</v>
      </c>
      <c r="M480">
        <f>H480*Return!C480*100</f>
        <v>445.499999999994</v>
      </c>
      <c r="N480">
        <f>I480*Return!D480*100</f>
        <v>103.499999999999</v>
      </c>
      <c r="O480">
        <f>J480*Return!E480*100</f>
        <v>0</v>
      </c>
      <c r="P480">
        <f t="shared" si="107"/>
        <v>613.999999999993</v>
      </c>
      <c r="Q480">
        <f>SUM($P$400:P480)</f>
        <v>15918</v>
      </c>
      <c r="R480">
        <f>B480*中国_中债国债到期收益率_1年!B479/365*100</f>
        <v>4.39616438356164</v>
      </c>
      <c r="S480">
        <f>C480*中国_中债国债到期收益率_1年!C479/365*100</f>
        <v>16.987397260274</v>
      </c>
      <c r="T480">
        <f>D480*中国_中债国债到期收益率_1年!D479/365*100</f>
        <v>6.19506849315069</v>
      </c>
      <c r="U480">
        <f>E480*中国_中债国债到期收益率_1年!E479/365*100</f>
        <v>0</v>
      </c>
      <c r="V480">
        <f t="shared" si="108"/>
        <v>27.5786301369863</v>
      </c>
      <c r="W480">
        <f>SUM($V$400:V480)</f>
        <v>2753.77410958904</v>
      </c>
      <c r="X480">
        <f>MAX(F480-50,0)*中国_中债国债到期收益率_1年!H480*100/365</f>
        <v>0</v>
      </c>
      <c r="Y480">
        <f>SUM($X$400:X480)</f>
        <v>147.86301369863</v>
      </c>
      <c r="Z480">
        <v>-30</v>
      </c>
      <c r="AA480">
        <v>30</v>
      </c>
      <c r="AB480">
        <f>Z480*Return!F484*100</f>
        <v>-85.1999999999999</v>
      </c>
      <c r="AC480">
        <f>AA480*Return!G484*100</f>
        <v>82.4999999999996</v>
      </c>
      <c r="AD480">
        <f>SUM($AB$400:AB480)+SUM($AC$400:AC480)</f>
        <v>1548.40000000002</v>
      </c>
      <c r="AE480">
        <f t="shared" si="100"/>
        <v>20072.3110958904</v>
      </c>
      <c r="AF480">
        <f t="shared" si="101"/>
        <v>1.04014462219178</v>
      </c>
      <c r="AG480" s="5">
        <f>(AE480-AE479)/(500000+AE479)-中国_中债国债到期收益率_1年!H480%/252</f>
        <v>0.00115257189663806</v>
      </c>
      <c r="AH480" s="5">
        <f>MIN((AF480-MAX($AF$401:AF480))/MAX($AF$401:AF480),0)</f>
        <v>-0.000696895944739219</v>
      </c>
    </row>
    <row r="481" spans="1:34">
      <c r="A481" s="7">
        <v>45410</v>
      </c>
      <c r="B481">
        <v>10</v>
      </c>
      <c r="C481">
        <v>30</v>
      </c>
      <c r="D481">
        <v>10</v>
      </c>
      <c r="E481">
        <v>0</v>
      </c>
      <c r="F481">
        <f t="shared" si="99"/>
        <v>50</v>
      </c>
      <c r="G481">
        <f t="shared" si="102"/>
        <v>10</v>
      </c>
      <c r="H481">
        <f t="shared" si="103"/>
        <v>150</v>
      </c>
      <c r="I481">
        <f t="shared" si="104"/>
        <v>90</v>
      </c>
      <c r="J481">
        <f t="shared" si="105"/>
        <v>0</v>
      </c>
      <c r="K481">
        <f t="shared" si="106"/>
        <v>250</v>
      </c>
      <c r="L481">
        <f>G481*Return!B481*100</f>
        <v>-60.0000000000001</v>
      </c>
      <c r="M481">
        <f>H481*Return!C481*100</f>
        <v>-865.499999999995</v>
      </c>
      <c r="N481">
        <f>I481*Return!D481*100</f>
        <v>-424.799999999997</v>
      </c>
      <c r="O481">
        <f>J481*Return!E481*100</f>
        <v>0</v>
      </c>
      <c r="P481">
        <f t="shared" si="107"/>
        <v>-1350.29999999999</v>
      </c>
      <c r="Q481">
        <f>SUM($P$400:P481)</f>
        <v>14567.7</v>
      </c>
      <c r="R481">
        <f>B481*中国_中债国债到期收益率_1年!B480/365*100</f>
        <v>4.56054794520548</v>
      </c>
      <c r="S481">
        <f>C481*中国_中债国债到期收益率_1年!C480/365*100</f>
        <v>17.4616438356164</v>
      </c>
      <c r="T481">
        <f>D481*中国_中债国债到期收益率_1年!D480/365*100</f>
        <v>6.32438356164383</v>
      </c>
      <c r="U481">
        <f>E481*中国_中债国债到期收益率_1年!E480/365*100</f>
        <v>0</v>
      </c>
      <c r="V481">
        <f t="shared" si="108"/>
        <v>28.3465753424657</v>
      </c>
      <c r="W481">
        <f>SUM($V$400:V481)</f>
        <v>2782.12068493151</v>
      </c>
      <c r="X481">
        <f>MAX(F481-50,0)*中国_中债国债到期收益率_1年!H481*100/365</f>
        <v>0</v>
      </c>
      <c r="Y481">
        <f>SUM($X$400:X481)</f>
        <v>147.86301369863</v>
      </c>
      <c r="Z481">
        <v>-30</v>
      </c>
      <c r="AA481">
        <v>30</v>
      </c>
      <c r="AB481">
        <f>Z481*Return!F485*100</f>
        <v>-109.2</v>
      </c>
      <c r="AC481">
        <f>AA481*Return!G485*100</f>
        <v>54.3</v>
      </c>
      <c r="AD481">
        <f>SUM($AB$400:AB481)+SUM($AC$400:AC481)</f>
        <v>1493.50000000002</v>
      </c>
      <c r="AE481">
        <f t="shared" si="100"/>
        <v>18695.4576712329</v>
      </c>
      <c r="AF481">
        <f t="shared" si="101"/>
        <v>1.03739091534247</v>
      </c>
      <c r="AG481" s="5">
        <f>(AE481-AE480)/(500000+AE480)-中国_中债国债到期收益率_1年!H481%/252</f>
        <v>-0.00272599832533553</v>
      </c>
      <c r="AH481" s="5">
        <f>MIN((AF481-MAX($AF$401:AF481))/MAX($AF$401:AF481),0)</f>
        <v>-0.003342477860435</v>
      </c>
    </row>
    <row r="482" spans="1:34">
      <c r="A482" s="7">
        <v>45411</v>
      </c>
      <c r="B482">
        <v>10</v>
      </c>
      <c r="C482">
        <v>30</v>
      </c>
      <c r="D482">
        <v>10</v>
      </c>
      <c r="E482">
        <v>5</v>
      </c>
      <c r="F482">
        <f t="shared" si="99"/>
        <v>55</v>
      </c>
      <c r="G482">
        <f t="shared" ref="G482:G508" si="109">B482</f>
        <v>10</v>
      </c>
      <c r="H482">
        <f t="shared" si="103"/>
        <v>150</v>
      </c>
      <c r="I482">
        <f t="shared" si="104"/>
        <v>90</v>
      </c>
      <c r="J482">
        <f t="shared" si="105"/>
        <v>80</v>
      </c>
      <c r="K482">
        <f t="shared" si="106"/>
        <v>330</v>
      </c>
      <c r="L482">
        <f>G482*Return!B482*100</f>
        <v>-28.6</v>
      </c>
      <c r="M482">
        <f>H482*Return!C482*100</f>
        <v>-495.000000000005</v>
      </c>
      <c r="N482">
        <f>I482*Return!D482*100</f>
        <v>-144</v>
      </c>
      <c r="O482">
        <f>J482*Return!E482*100</f>
        <v>-188.800000000001</v>
      </c>
      <c r="P482">
        <f t="shared" si="107"/>
        <v>-856.400000000006</v>
      </c>
      <c r="Q482">
        <f>SUM($P$400:P482)</f>
        <v>13711.3</v>
      </c>
      <c r="R482">
        <f>B482*中国_中债国债到期收益率_1年!B481/365*100</f>
        <v>4.63890410958904</v>
      </c>
      <c r="S482">
        <f>C482*中国_中债国债到期收益率_1年!C481/365*100</f>
        <v>17.7328767123288</v>
      </c>
      <c r="T482">
        <f>D482*中国_中债国债到期收益率_1年!D481/365*100</f>
        <v>6.36821917808219</v>
      </c>
      <c r="U482">
        <f>E482*中国_中债国债到期收益率_1年!E481/365*100</f>
        <v>3.49219178082192</v>
      </c>
      <c r="V482">
        <f t="shared" si="108"/>
        <v>32.2321917808219</v>
      </c>
      <c r="W482">
        <f>SUM($V$400:V482)</f>
        <v>2814.35287671233</v>
      </c>
      <c r="X482">
        <f>MAX(F482-50,0)*中国_中债国债到期收益率_1年!H482*100/365</f>
        <v>2.84931506849315</v>
      </c>
      <c r="Y482">
        <f>SUM($X$400:X482)</f>
        <v>150.712328767123</v>
      </c>
      <c r="Z482">
        <v>-30</v>
      </c>
      <c r="AA482">
        <v>30</v>
      </c>
      <c r="AB482">
        <f>Z482*Return!F486*100</f>
        <v>-95.3999999999995</v>
      </c>
      <c r="AC482">
        <f>AA482*Return!G486*100</f>
        <v>86.3999999999998</v>
      </c>
      <c r="AD482">
        <f>SUM($AB$400:AB482)+SUM($AC$400:AC482)</f>
        <v>1484.50000000002</v>
      </c>
      <c r="AE482">
        <f t="shared" si="100"/>
        <v>17859.4405479452</v>
      </c>
      <c r="AF482">
        <f t="shared" si="101"/>
        <v>1.03571888109589</v>
      </c>
      <c r="AG482" s="5">
        <f>(AE482-AE481)/(500000+AE481)-中国_中债国债到期收益率_1年!H482%/252</f>
        <v>-0.00169430842067576</v>
      </c>
      <c r="AH482" s="5">
        <f>MIN((AF482-MAX($AF$401:AF482))/MAX($AF$401:AF482),0)</f>
        <v>-0.00494885929724783</v>
      </c>
    </row>
    <row r="483" spans="1:34">
      <c r="A483" s="7">
        <v>45412</v>
      </c>
      <c r="B483">
        <v>10</v>
      </c>
      <c r="C483">
        <v>30</v>
      </c>
      <c r="D483">
        <v>10</v>
      </c>
      <c r="E483">
        <v>5</v>
      </c>
      <c r="F483">
        <f t="shared" si="99"/>
        <v>55</v>
      </c>
      <c r="G483">
        <f t="shared" si="109"/>
        <v>10</v>
      </c>
      <c r="H483">
        <f t="shared" si="103"/>
        <v>150</v>
      </c>
      <c r="I483">
        <f t="shared" si="104"/>
        <v>90</v>
      </c>
      <c r="J483">
        <f t="shared" si="105"/>
        <v>80</v>
      </c>
      <c r="K483">
        <f t="shared" si="106"/>
        <v>330</v>
      </c>
      <c r="L483">
        <f>G483*Return!B483*100</f>
        <v>-89.8999999999999</v>
      </c>
      <c r="M483">
        <f>H483*Return!C483*100</f>
        <v>-451.5</v>
      </c>
      <c r="N483">
        <f>I483*Return!D483*100</f>
        <v>-257.400000000004</v>
      </c>
      <c r="O483">
        <f>J483*Return!E483*100</f>
        <v>-271.999999999998</v>
      </c>
      <c r="P483">
        <f t="shared" si="107"/>
        <v>-1070.8</v>
      </c>
      <c r="Q483">
        <f>SUM($P$400:P483)</f>
        <v>12640.5</v>
      </c>
      <c r="R483">
        <f>B483*中国_中债国债到期收益率_1年!B482/365*100</f>
        <v>4.88520547945205</v>
      </c>
      <c r="S483">
        <f>C483*中国_中债国债到期收益率_1年!C482/365*100</f>
        <v>17.9802739726027</v>
      </c>
      <c r="T483">
        <f>D483*中国_中债国债到期收益率_1年!D482/365*100</f>
        <v>6.44657534246575</v>
      </c>
      <c r="U483">
        <f>E483*中国_中债国债到期收益率_1年!E482/365*100</f>
        <v>3.53876712328767</v>
      </c>
      <c r="V483">
        <f t="shared" si="108"/>
        <v>32.8508219178082</v>
      </c>
      <c r="W483">
        <f>SUM($V$400:V483)</f>
        <v>2847.20369863014</v>
      </c>
      <c r="X483">
        <f>MAX(F483-50,0)*中国_中债国债到期收益率_1年!H483*100/365</f>
        <v>2.87671232876712</v>
      </c>
      <c r="Y483">
        <f>SUM($X$400:X483)</f>
        <v>153.58904109589</v>
      </c>
      <c r="Z483">
        <v>-30</v>
      </c>
      <c r="AA483">
        <v>30</v>
      </c>
      <c r="AB483">
        <f>Z483*Return!F487*100</f>
        <v>-22.5000000000002</v>
      </c>
      <c r="AC483">
        <f>AA483*Return!G487*100</f>
        <v>29.7000000000001</v>
      </c>
      <c r="AD483">
        <f>SUM($AB$400:AB483)+SUM($AC$400:AC483)</f>
        <v>1491.70000000002</v>
      </c>
      <c r="AE483">
        <f t="shared" si="100"/>
        <v>16825.8146575343</v>
      </c>
      <c r="AF483">
        <f t="shared" si="101"/>
        <v>1.03365162931507</v>
      </c>
      <c r="AG483" s="5">
        <f>(AE483-AE482)/(500000+AE482)-中国_中债国债到期收益率_1年!H483%/252</f>
        <v>-0.00207929171408098</v>
      </c>
      <c r="AH483" s="5">
        <f>MIN((AF483-MAX($AF$401:AF483))/MAX($AF$401:AF483),0)</f>
        <v>-0.00693493996080587</v>
      </c>
    </row>
    <row r="484" spans="1:34">
      <c r="A484" s="7">
        <v>45418</v>
      </c>
      <c r="B484">
        <v>10</v>
      </c>
      <c r="C484">
        <v>30</v>
      </c>
      <c r="D484">
        <v>20</v>
      </c>
      <c r="E484">
        <v>5</v>
      </c>
      <c r="F484">
        <f t="shared" si="99"/>
        <v>65</v>
      </c>
      <c r="G484">
        <f t="shared" si="109"/>
        <v>10</v>
      </c>
      <c r="H484">
        <f t="shared" si="103"/>
        <v>150</v>
      </c>
      <c r="I484">
        <f t="shared" si="104"/>
        <v>180</v>
      </c>
      <c r="J484">
        <f t="shared" si="105"/>
        <v>80</v>
      </c>
      <c r="K484">
        <f t="shared" si="106"/>
        <v>420</v>
      </c>
      <c r="L484">
        <f>G484*Return!B484*100</f>
        <v>90.2999999999998</v>
      </c>
      <c r="M484">
        <f>H484*Return!C484*100</f>
        <v>588.000000000002</v>
      </c>
      <c r="N484">
        <f>I484*Return!D484*100</f>
        <v>903.600000000004</v>
      </c>
      <c r="O484">
        <f>J484*Return!E484*100</f>
        <v>360.800000000001</v>
      </c>
      <c r="P484">
        <f t="shared" si="107"/>
        <v>1942.70000000001</v>
      </c>
      <c r="Q484">
        <f>SUM($P$400:P484)</f>
        <v>14583.2</v>
      </c>
      <c r="R484">
        <f>B484*中国_中债国债到期收益率_1年!B483/365*100</f>
        <v>4.63780821917808</v>
      </c>
      <c r="S484">
        <f>C484*中国_中债国债到期收益率_1年!C483/365*100</f>
        <v>17.6580821917808</v>
      </c>
      <c r="T484">
        <f>D484*中国_中债国债到期收益率_1年!D483/365*100</f>
        <v>12.6180821917808</v>
      </c>
      <c r="U484">
        <f>E484*中国_中债国债到期收益率_1年!E483/365*100</f>
        <v>3.47698630136986</v>
      </c>
      <c r="V484">
        <f t="shared" si="108"/>
        <v>38.3909589041096</v>
      </c>
      <c r="W484">
        <f>SUM($V$400:V484)</f>
        <v>2885.59465753425</v>
      </c>
      <c r="X484">
        <f>MAX(F484-50,0)*中国_中债国债到期收益率_1年!H484*100/365</f>
        <v>8.01369863013699</v>
      </c>
      <c r="Y484">
        <f>SUM($X$400:X484)</f>
        <v>161.602739726027</v>
      </c>
      <c r="Z484">
        <v>-30</v>
      </c>
      <c r="AA484">
        <v>30</v>
      </c>
      <c r="AB484">
        <f>Z484*Return!F488*100</f>
        <v>33.5999999999996</v>
      </c>
      <c r="AC484">
        <f>AA484*Return!G488*100</f>
        <v>-50.9999999999997</v>
      </c>
      <c r="AD484">
        <f>SUM($AB$400:AB484)+SUM($AC$400:AC484)</f>
        <v>1474.30000000002</v>
      </c>
      <c r="AE484">
        <f t="shared" si="100"/>
        <v>18781.4919178082</v>
      </c>
      <c r="AF484">
        <f t="shared" si="101"/>
        <v>1.03756298383562</v>
      </c>
      <c r="AG484" s="5">
        <f>(AE484-AE483)/(500000+AE483)-中国_中债国债到期收益率_1年!H484%/252</f>
        <v>0.00370663525735478</v>
      </c>
      <c r="AH484" s="5">
        <f>MIN((AF484-MAX($AF$401:AF484))/MAX($AF$401:AF484),0)</f>
        <v>-0.00317716567629553</v>
      </c>
    </row>
    <row r="485" spans="1:34">
      <c r="A485" s="7">
        <v>45419</v>
      </c>
      <c r="B485">
        <v>10</v>
      </c>
      <c r="C485">
        <v>30</v>
      </c>
      <c r="D485">
        <v>20</v>
      </c>
      <c r="E485">
        <v>5</v>
      </c>
      <c r="F485">
        <f t="shared" si="99"/>
        <v>65</v>
      </c>
      <c r="G485">
        <f t="shared" si="109"/>
        <v>10</v>
      </c>
      <c r="H485">
        <f t="shared" si="103"/>
        <v>150</v>
      </c>
      <c r="I485">
        <f t="shared" si="104"/>
        <v>180</v>
      </c>
      <c r="J485">
        <f t="shared" si="105"/>
        <v>80</v>
      </c>
      <c r="K485">
        <f t="shared" si="106"/>
        <v>420</v>
      </c>
      <c r="L485">
        <f>G485*Return!B485*100</f>
        <v>-9.39999999999985</v>
      </c>
      <c r="M485">
        <f>H485*Return!C485*100</f>
        <v>324.000000000004</v>
      </c>
      <c r="N485">
        <f>I485*Return!D485*100</f>
        <v>-95.4000000000015</v>
      </c>
      <c r="O485">
        <f>J485*Return!E485*100</f>
        <v>-164.000000000001</v>
      </c>
      <c r="P485">
        <f t="shared" si="107"/>
        <v>55.2000000000014</v>
      </c>
      <c r="Q485">
        <f>SUM($P$400:P485)</f>
        <v>14638.4</v>
      </c>
      <c r="R485">
        <f>B485*中国_中债国债到期收益率_1年!B484/365*100</f>
        <v>4.66356164383562</v>
      </c>
      <c r="S485">
        <f>C485*中国_中债国债到期收益率_1年!C484/365*100</f>
        <v>17.4805479452055</v>
      </c>
      <c r="T485">
        <f>D485*中国_中债国债到期收益率_1年!D484/365*100</f>
        <v>12.6471232876712</v>
      </c>
      <c r="U485">
        <f>E485*中国_中债国债到期收益率_1年!E484/365*100</f>
        <v>3.50506849315068</v>
      </c>
      <c r="V485">
        <f t="shared" si="108"/>
        <v>38.296301369863</v>
      </c>
      <c r="W485">
        <f>SUM($V$400:V485)</f>
        <v>2923.89095890411</v>
      </c>
      <c r="X485">
        <f>MAX(F485-50,0)*中国_中债国债到期收益率_1年!H485*100/365</f>
        <v>7.80821917808219</v>
      </c>
      <c r="Y485">
        <f>SUM($X$400:X485)</f>
        <v>169.41095890411</v>
      </c>
      <c r="Z485">
        <v>-30</v>
      </c>
      <c r="AA485">
        <v>30</v>
      </c>
      <c r="AB485">
        <f>Z485*Return!F489*100</f>
        <v>-21.5999999999996</v>
      </c>
      <c r="AC485">
        <f>AA485*Return!G489*100</f>
        <v>-21.6000000000003</v>
      </c>
      <c r="AD485">
        <f>SUM($AB$400:AB485)+SUM($AC$400:AC485)</f>
        <v>1431.10000000002</v>
      </c>
      <c r="AE485">
        <f t="shared" si="100"/>
        <v>18823.98</v>
      </c>
      <c r="AF485">
        <f t="shared" si="101"/>
        <v>1.03764796</v>
      </c>
      <c r="AG485" s="5">
        <f>(AE485-AE484)/(500000+AE484)-中国_中债国债到期收益率_1年!H485%/252</f>
        <v>6.5029394438744e-6</v>
      </c>
      <c r="AH485" s="5">
        <f>MIN((AF485-MAX($AF$401:AF485))/MAX($AF$401:AF485),0)</f>
        <v>-0.00309552612057639</v>
      </c>
    </row>
    <row r="486" spans="1:34">
      <c r="A486" s="7">
        <v>45420</v>
      </c>
      <c r="B486">
        <v>10</v>
      </c>
      <c r="C486">
        <v>30</v>
      </c>
      <c r="D486">
        <v>20</v>
      </c>
      <c r="E486">
        <v>5</v>
      </c>
      <c r="F486">
        <f t="shared" si="99"/>
        <v>65</v>
      </c>
      <c r="G486">
        <f t="shared" si="109"/>
        <v>10</v>
      </c>
      <c r="H486">
        <f t="shared" si="103"/>
        <v>150</v>
      </c>
      <c r="I486">
        <f t="shared" si="104"/>
        <v>180</v>
      </c>
      <c r="J486">
        <f t="shared" si="105"/>
        <v>80</v>
      </c>
      <c r="K486">
        <f t="shared" si="106"/>
        <v>420</v>
      </c>
      <c r="L486">
        <f>G486*Return!B486*100</f>
        <v>-0.600000000000156</v>
      </c>
      <c r="M486">
        <f>H486*Return!C486*100</f>
        <v>410.999999999995</v>
      </c>
      <c r="N486">
        <f>I486*Return!D486*100</f>
        <v>332.999999999999</v>
      </c>
      <c r="O486">
        <f>J486*Return!E486*100</f>
        <v>139.199999999999</v>
      </c>
      <c r="P486">
        <f t="shared" si="107"/>
        <v>882.599999999993</v>
      </c>
      <c r="Q486">
        <f>SUM($P$400:P486)</f>
        <v>15521</v>
      </c>
      <c r="R486">
        <f>B486*中国_中债国债到期收益率_1年!B485/365*100</f>
        <v>4.66520547945206</v>
      </c>
      <c r="S486">
        <f>C486*中国_中债国债到期收益率_1年!C485/365*100</f>
        <v>17.2553424657534</v>
      </c>
      <c r="T486">
        <f>D486*中国_中债国债到期收益率_1年!D485/365*100</f>
        <v>12.5457534246575</v>
      </c>
      <c r="U486">
        <f>E486*中国_中债国债到期收益率_1年!E485/365*100</f>
        <v>3.48123287671233</v>
      </c>
      <c r="V486">
        <f t="shared" si="108"/>
        <v>37.9475342465753</v>
      </c>
      <c r="W486">
        <f>SUM($V$400:V486)</f>
        <v>2961.83849315068</v>
      </c>
      <c r="X486">
        <f>MAX(F486-50,0)*中国_中债国债到期收益率_1年!H486*100/365</f>
        <v>7.80821917808219</v>
      </c>
      <c r="Y486">
        <f>SUM($X$400:X486)</f>
        <v>177.219178082192</v>
      </c>
      <c r="Z486">
        <v>-30</v>
      </c>
      <c r="AA486">
        <v>30</v>
      </c>
      <c r="AB486">
        <f>Z486*Return!F490*100</f>
        <v>26.3999999999998</v>
      </c>
      <c r="AC486">
        <f>AA486*Return!G490*100</f>
        <v>-69.2999999999997</v>
      </c>
      <c r="AD486">
        <f>SUM($AB$400:AB486)+SUM($AC$400:AC486)</f>
        <v>1388.20000000002</v>
      </c>
      <c r="AE486">
        <f t="shared" si="100"/>
        <v>19693.8193150685</v>
      </c>
      <c r="AF486">
        <f t="shared" si="101"/>
        <v>1.03938763863014</v>
      </c>
      <c r="AG486" s="5">
        <f>(AE486-AE485)/(500000+AE485)-中国_中债国债到期收益率_1年!H486%/252</f>
        <v>0.00160116275665735</v>
      </c>
      <c r="AH486" s="5">
        <f>MIN((AF486-MAX($AF$401:AF486))/MAX($AF$401:AF486),0)</f>
        <v>-0.00142415637250122</v>
      </c>
    </row>
    <row r="487" spans="1:34">
      <c r="A487" s="7">
        <v>45421</v>
      </c>
      <c r="B487">
        <v>10</v>
      </c>
      <c r="C487">
        <v>30</v>
      </c>
      <c r="D487">
        <v>20</v>
      </c>
      <c r="E487">
        <v>5</v>
      </c>
      <c r="F487">
        <f t="shared" si="99"/>
        <v>65</v>
      </c>
      <c r="G487">
        <f t="shared" si="109"/>
        <v>10</v>
      </c>
      <c r="H487">
        <f t="shared" si="103"/>
        <v>150</v>
      </c>
      <c r="I487">
        <f t="shared" si="104"/>
        <v>180</v>
      </c>
      <c r="J487">
        <f t="shared" si="105"/>
        <v>80</v>
      </c>
      <c r="K487">
        <f t="shared" si="106"/>
        <v>420</v>
      </c>
      <c r="L487">
        <f>G487*Return!B487*100</f>
        <v>-4.29999999999997</v>
      </c>
      <c r="M487">
        <f>H487*Return!C487*100</f>
        <v>-110.999999999994</v>
      </c>
      <c r="N487">
        <f>I487*Return!D487*100</f>
        <v>-106.2</v>
      </c>
      <c r="O487">
        <f>J487*Return!E487*100</f>
        <v>-69.5999999999977</v>
      </c>
      <c r="P487">
        <f t="shared" si="107"/>
        <v>-291.099999999992</v>
      </c>
      <c r="Q487">
        <f>SUM($P$400:P487)</f>
        <v>15229.9</v>
      </c>
      <c r="R487">
        <f>B487*中国_中债国债到期收益率_1年!B486/365*100</f>
        <v>4.67698630136986</v>
      </c>
      <c r="S487">
        <f>C487*中国_中债国债到期收益率_1年!C486/365*100</f>
        <v>17.3161643835616</v>
      </c>
      <c r="T487">
        <f>D487*中国_中债国债到期收益率_1年!D486/365*100</f>
        <v>12.5780821917808</v>
      </c>
      <c r="U487">
        <f>E487*中国_中债国债到期收益率_1年!E486/365*100</f>
        <v>3.49315068493151</v>
      </c>
      <c r="V487">
        <f t="shared" si="108"/>
        <v>38.0643835616438</v>
      </c>
      <c r="W487">
        <f>SUM($V$400:V487)</f>
        <v>2999.90287671233</v>
      </c>
      <c r="X487">
        <f>MAX(F487-50,0)*中国_中债国债到期收益率_1年!H487*100/365</f>
        <v>7.80821917808219</v>
      </c>
      <c r="Y487">
        <f>SUM($X$400:X487)</f>
        <v>185.027397260274</v>
      </c>
      <c r="Z487">
        <v>-30</v>
      </c>
      <c r="AA487">
        <v>30</v>
      </c>
      <c r="AB487">
        <f>Z487*Return!F491*100</f>
        <v>-162</v>
      </c>
      <c r="AC487">
        <f>AA487*Return!G491*100</f>
        <v>177.6</v>
      </c>
      <c r="AD487">
        <f>SUM($AB$400:AB487)+SUM($AC$400:AC487)</f>
        <v>1403.80000000002</v>
      </c>
      <c r="AE487">
        <f t="shared" si="100"/>
        <v>19448.5754794521</v>
      </c>
      <c r="AF487">
        <f t="shared" si="101"/>
        <v>1.0388971509589</v>
      </c>
      <c r="AG487" s="5">
        <f>(AE487-AE486)/(500000+AE486)-中国_中债国债到期收益率_1年!H487%/252</f>
        <v>-0.000547297445534365</v>
      </c>
      <c r="AH487" s="5">
        <f>MIN((AF487-MAX($AF$401:AF487))/MAX($AF$401:AF487),0)</f>
        <v>-0.00189538493236338</v>
      </c>
    </row>
    <row r="488" spans="1:34">
      <c r="A488" s="7">
        <v>45422</v>
      </c>
      <c r="B488">
        <v>10</v>
      </c>
      <c r="C488">
        <v>30</v>
      </c>
      <c r="D488">
        <v>20</v>
      </c>
      <c r="E488">
        <v>5</v>
      </c>
      <c r="F488">
        <f t="shared" si="99"/>
        <v>65</v>
      </c>
      <c r="G488">
        <f t="shared" si="109"/>
        <v>10</v>
      </c>
      <c r="H488">
        <f t="shared" si="103"/>
        <v>150</v>
      </c>
      <c r="I488">
        <f t="shared" si="104"/>
        <v>180</v>
      </c>
      <c r="J488">
        <f t="shared" si="105"/>
        <v>80</v>
      </c>
      <c r="K488">
        <f t="shared" si="106"/>
        <v>420</v>
      </c>
      <c r="L488">
        <f>G488*Return!B488*100</f>
        <v>-13.3999999999999</v>
      </c>
      <c r="M488">
        <f>H488*Return!C488*100</f>
        <v>-340.500000000006</v>
      </c>
      <c r="N488">
        <f>I488*Return!D488*100</f>
        <v>-415.799999999998</v>
      </c>
      <c r="O488">
        <f>J488*Return!E488*100</f>
        <v>-180.800000000001</v>
      </c>
      <c r="P488">
        <f t="shared" si="107"/>
        <v>-950.500000000005</v>
      </c>
      <c r="Q488">
        <f>SUM($P$400:P488)</f>
        <v>14279.4</v>
      </c>
      <c r="R488">
        <f>B488*中国_中债国债到期收益率_1年!B487/365*100</f>
        <v>4.71369863013699</v>
      </c>
      <c r="S488">
        <f>C488*中国_中债国债到期收益率_1年!C487/365*100</f>
        <v>17.5027397260274</v>
      </c>
      <c r="T488">
        <f>D488*中国_中债国债到期收益率_1年!D487/365*100</f>
        <v>12.7046575342466</v>
      </c>
      <c r="U488">
        <f>E488*中国_中债国债到期收益率_1年!E487/365*100</f>
        <v>3.5241095890411</v>
      </c>
      <c r="V488">
        <f t="shared" si="108"/>
        <v>38.4452054794521</v>
      </c>
      <c r="W488">
        <f>SUM($V$400:V488)</f>
        <v>3038.34808219178</v>
      </c>
      <c r="X488">
        <f>MAX(F488-50,0)*中国_中债国债到期收益率_1年!H488*100/365</f>
        <v>7.68493150684932</v>
      </c>
      <c r="Y488">
        <f>SUM($X$400:X488)</f>
        <v>192.712328767123</v>
      </c>
      <c r="Z488">
        <v>-30</v>
      </c>
      <c r="AA488">
        <v>30</v>
      </c>
      <c r="AB488">
        <f>Z488*Return!F492*100</f>
        <v>-56.0999999999998</v>
      </c>
      <c r="AC488">
        <f>AA488*Return!G492*100</f>
        <v>119.1</v>
      </c>
      <c r="AD488">
        <f>SUM($AB$400:AB488)+SUM($AC$400:AC488)</f>
        <v>1466.80000000002</v>
      </c>
      <c r="AE488">
        <f t="shared" si="100"/>
        <v>18591.8357534247</v>
      </c>
      <c r="AF488">
        <f t="shared" si="101"/>
        <v>1.03718367150685</v>
      </c>
      <c r="AG488" s="5">
        <f>(AE488-AE487)/(500000+AE487)-中国_中债国债到期收益率_1年!H488%/252</f>
        <v>-0.00172353174245944</v>
      </c>
      <c r="AH488" s="5">
        <f>MIN((AF488-MAX($AF$401:AF488))/MAX($AF$401:AF488),0)</f>
        <v>-0.00354158421911753</v>
      </c>
    </row>
    <row r="489" spans="1:34">
      <c r="A489" s="7">
        <v>45423</v>
      </c>
      <c r="B489">
        <v>10</v>
      </c>
      <c r="C489">
        <v>30</v>
      </c>
      <c r="D489">
        <v>20</v>
      </c>
      <c r="E489">
        <v>5</v>
      </c>
      <c r="F489">
        <f t="shared" si="99"/>
        <v>65</v>
      </c>
      <c r="G489">
        <f t="shared" si="109"/>
        <v>10</v>
      </c>
      <c r="H489">
        <f t="shared" si="103"/>
        <v>150</v>
      </c>
      <c r="I489">
        <f t="shared" si="104"/>
        <v>180</v>
      </c>
      <c r="J489">
        <f t="shared" si="105"/>
        <v>80</v>
      </c>
      <c r="K489">
        <f t="shared" si="106"/>
        <v>420</v>
      </c>
      <c r="L489">
        <f>G489*Return!B489*100</f>
        <v>16.1</v>
      </c>
      <c r="M489">
        <f>H489*Return!C489*100</f>
        <v>-8.99999999999901</v>
      </c>
      <c r="N489">
        <f>I489*Return!D489*100</f>
        <v>115.200000000003</v>
      </c>
      <c r="O489">
        <f>J489*Return!E489*100</f>
        <v>-79.9999999999983</v>
      </c>
      <c r="P489">
        <f t="shared" si="107"/>
        <v>42.300000000006</v>
      </c>
      <c r="Q489">
        <f>SUM($P$400:P489)</f>
        <v>14321.7</v>
      </c>
      <c r="R489">
        <f>B489*中国_中债国债到期收益率_1年!B488/365*100</f>
        <v>4.66958904109589</v>
      </c>
      <c r="S489">
        <f>C489*中国_中债国债到期收益率_1年!C488/365*100</f>
        <v>17.5076712328767</v>
      </c>
      <c r="T489">
        <f>D489*中国_中债国债到期收益率_1年!D488/365*100</f>
        <v>12.6695890410959</v>
      </c>
      <c r="U489">
        <f>E489*中国_中债国债到期收益率_1年!E488/365*100</f>
        <v>3.53780821917808</v>
      </c>
      <c r="V489">
        <f t="shared" si="108"/>
        <v>38.3846575342466</v>
      </c>
      <c r="W489">
        <f>SUM($V$400:V489)</f>
        <v>3076.73273972603</v>
      </c>
      <c r="X489">
        <f>MAX(F489-50,0)*中国_中债国债到期收益率_1年!H489*100/365</f>
        <v>7.6027397260274</v>
      </c>
      <c r="Y489">
        <f>SUM($X$400:X489)</f>
        <v>200.315068493151</v>
      </c>
      <c r="Z489">
        <v>-30</v>
      </c>
      <c r="AA489">
        <v>30</v>
      </c>
      <c r="AB489">
        <f>Z489*Return!F493*100</f>
        <v>42</v>
      </c>
      <c r="AC489">
        <f>AA489*Return!G493*100</f>
        <v>-41.9999999999994</v>
      </c>
      <c r="AD489">
        <f>SUM($AB$400:AB489)+SUM($AC$400:AC489)</f>
        <v>1466.80000000002</v>
      </c>
      <c r="AE489">
        <f t="shared" si="100"/>
        <v>18664.9176712329</v>
      </c>
      <c r="AF489">
        <f t="shared" si="101"/>
        <v>1.03732983534247</v>
      </c>
      <c r="AG489" s="5">
        <f>(AE489-AE488)/(500000+AE488)-中国_中债国债到期收益率_1年!H489%/252</f>
        <v>6.75110739449053e-5</v>
      </c>
      <c r="AH489" s="5">
        <f>MIN((AF489-MAX($AF$401:AF489))/MAX($AF$401:AF489),0)</f>
        <v>-0.00340115954016827</v>
      </c>
    </row>
    <row r="490" spans="1:34">
      <c r="A490" s="7">
        <v>45425</v>
      </c>
      <c r="B490">
        <v>10</v>
      </c>
      <c r="C490">
        <v>30</v>
      </c>
      <c r="D490">
        <v>20</v>
      </c>
      <c r="E490">
        <v>5</v>
      </c>
      <c r="F490">
        <f t="shared" si="99"/>
        <v>65</v>
      </c>
      <c r="G490">
        <f t="shared" si="109"/>
        <v>10</v>
      </c>
      <c r="H490">
        <f t="shared" si="103"/>
        <v>150</v>
      </c>
      <c r="I490">
        <f t="shared" si="104"/>
        <v>180</v>
      </c>
      <c r="J490">
        <f t="shared" si="105"/>
        <v>80</v>
      </c>
      <c r="K490">
        <f t="shared" si="106"/>
        <v>420</v>
      </c>
      <c r="L490">
        <f>G490*Return!B490*100</f>
        <v>-4.80000000000014</v>
      </c>
      <c r="M490">
        <f>H490*Return!C490*100</f>
        <v>-382.500000000001</v>
      </c>
      <c r="N490">
        <f>I490*Return!D490*100</f>
        <v>-430.200000000005</v>
      </c>
      <c r="O490">
        <f>J490*Return!E490*100</f>
        <v>-240.000000000002</v>
      </c>
      <c r="P490">
        <f t="shared" si="107"/>
        <v>-1057.50000000001</v>
      </c>
      <c r="Q490">
        <f>SUM($P$400:P490)</f>
        <v>13264.2</v>
      </c>
      <c r="R490">
        <f>B490*中国_中债国债到期收益率_1年!B489/365*100</f>
        <v>4.6827397260274</v>
      </c>
      <c r="S490">
        <f>C490*中国_中债国债到期收益率_1年!C489/365*100</f>
        <v>17.7172602739726</v>
      </c>
      <c r="T490">
        <f>D490*中国_中债国债到期收益率_1年!D489/365*100</f>
        <v>12.8005479452055</v>
      </c>
      <c r="U490">
        <f>E490*中国_中债国债到期收益率_1年!E489/365*100</f>
        <v>3.57890410958904</v>
      </c>
      <c r="V490">
        <f t="shared" si="108"/>
        <v>38.7794520547945</v>
      </c>
      <c r="W490">
        <f>SUM($V$400:V490)</f>
        <v>3115.51219178082</v>
      </c>
      <c r="X490">
        <f>MAX(F490-50,0)*中国_中债国债到期收益率_1年!H490*100/365</f>
        <v>7.72602739726027</v>
      </c>
      <c r="Y490">
        <f>SUM($X$400:X490)</f>
        <v>208.041095890411</v>
      </c>
      <c r="Z490">
        <v>-30</v>
      </c>
      <c r="AA490">
        <v>30</v>
      </c>
      <c r="AB490">
        <f>Z490*Return!F494*100</f>
        <v>8.40000000000041</v>
      </c>
      <c r="AC490">
        <f>AA490*Return!G494*100</f>
        <v>-60.3000000000007</v>
      </c>
      <c r="AD490">
        <f>SUM($AB$400:AB490)+SUM($AC$400:AC490)</f>
        <v>1414.90000000002</v>
      </c>
      <c r="AE490">
        <f t="shared" si="100"/>
        <v>17586.5710958904</v>
      </c>
      <c r="AF490">
        <f t="shared" si="101"/>
        <v>1.03517314219178</v>
      </c>
      <c r="AG490" s="5">
        <f>(AE490-AE489)/(500000+AE489)-中国_中债国债到期收益率_1年!H490%/252</f>
        <v>-0.00215368455952539</v>
      </c>
      <c r="AH490" s="5">
        <f>MIN((AF490-MAX($AF$401:AF490))/MAX($AF$401:AF490),0)</f>
        <v>-0.00547316963760332</v>
      </c>
    </row>
    <row r="491" spans="1:34">
      <c r="A491" s="7">
        <v>45426</v>
      </c>
      <c r="B491">
        <v>10</v>
      </c>
      <c r="C491">
        <v>30</v>
      </c>
      <c r="D491">
        <v>20</v>
      </c>
      <c r="E491">
        <v>5</v>
      </c>
      <c r="F491">
        <f t="shared" si="99"/>
        <v>65</v>
      </c>
      <c r="G491">
        <f t="shared" si="109"/>
        <v>10</v>
      </c>
      <c r="H491">
        <f t="shared" si="103"/>
        <v>150</v>
      </c>
      <c r="I491">
        <f t="shared" si="104"/>
        <v>180</v>
      </c>
      <c r="J491">
        <f t="shared" si="105"/>
        <v>80</v>
      </c>
      <c r="K491">
        <f t="shared" si="106"/>
        <v>420</v>
      </c>
      <c r="L491">
        <f>G491*Return!B491*100</f>
        <v>67.5000000000001</v>
      </c>
      <c r="M491">
        <f>H491*Return!C491*100</f>
        <v>894.000000000002</v>
      </c>
      <c r="N491">
        <f>I491*Return!D491*100</f>
        <v>829.800000000001</v>
      </c>
      <c r="O491">
        <f>J491*Return!E491*100</f>
        <v>372</v>
      </c>
      <c r="P491">
        <f t="shared" si="107"/>
        <v>2163.3</v>
      </c>
      <c r="Q491">
        <f>SUM($P$400:P491)</f>
        <v>15427.5</v>
      </c>
      <c r="R491">
        <f>B491*中国_中债国债到期收益率_1年!B490/365*100</f>
        <v>4.49780821917808</v>
      </c>
      <c r="S491">
        <f>C491*中国_中债国债到期收益率_1年!C490/365*100</f>
        <v>17.227397260274</v>
      </c>
      <c r="T491">
        <f>D491*中国_中债国债到期收益率_1年!D490/365*100</f>
        <v>12.5479452054795</v>
      </c>
      <c r="U491">
        <f>E491*中国_中债国债到期收益率_1年!E490/365*100</f>
        <v>3.51520547945205</v>
      </c>
      <c r="V491">
        <f t="shared" si="108"/>
        <v>37.7883561643836</v>
      </c>
      <c r="W491">
        <f>SUM($V$400:V491)</f>
        <v>3153.3005479452</v>
      </c>
      <c r="X491">
        <f>MAX(F491-50,0)*中国_中债国债到期收益率_1年!H491*100/365</f>
        <v>7.6027397260274</v>
      </c>
      <c r="Y491">
        <f>SUM($X$400:X491)</f>
        <v>215.643835616438</v>
      </c>
      <c r="Z491">
        <v>-30</v>
      </c>
      <c r="AA491">
        <v>30</v>
      </c>
      <c r="AB491">
        <f>Z491*Return!F495*100</f>
        <v>-44.4000000000004</v>
      </c>
      <c r="AC491">
        <f>AA491*Return!G495*100</f>
        <v>-12</v>
      </c>
      <c r="AD491">
        <f>SUM($AB$400:AB491)+SUM($AC$400:AC491)</f>
        <v>1358.50000000002</v>
      </c>
      <c r="AE491">
        <f t="shared" si="100"/>
        <v>19723.6567123288</v>
      </c>
      <c r="AF491">
        <f t="shared" si="101"/>
        <v>1.03944731342466</v>
      </c>
      <c r="AG491" s="5">
        <f>(AE491-AE490)/(500000+AE490)-中国_中债国债到期收益率_1年!H491%/252</f>
        <v>0.00405553062388695</v>
      </c>
      <c r="AH491" s="5">
        <f>MIN((AF491-MAX($AF$401:AF491))/MAX($AF$401:AF491),0)</f>
        <v>-0.00136682472253071</v>
      </c>
    </row>
    <row r="492" spans="1:34">
      <c r="A492" s="7">
        <v>45427</v>
      </c>
      <c r="B492">
        <v>10</v>
      </c>
      <c r="C492">
        <v>30</v>
      </c>
      <c r="D492">
        <v>20</v>
      </c>
      <c r="E492">
        <v>5</v>
      </c>
      <c r="F492">
        <f t="shared" si="99"/>
        <v>65</v>
      </c>
      <c r="G492">
        <f t="shared" si="109"/>
        <v>10</v>
      </c>
      <c r="H492">
        <f t="shared" si="103"/>
        <v>150</v>
      </c>
      <c r="I492">
        <f t="shared" si="104"/>
        <v>180</v>
      </c>
      <c r="J492">
        <f t="shared" si="105"/>
        <v>80</v>
      </c>
      <c r="K492">
        <f t="shared" si="106"/>
        <v>420</v>
      </c>
      <c r="L492">
        <f>G492*Return!B492*100</f>
        <v>28.5</v>
      </c>
      <c r="M492">
        <f>H492*Return!C492*100</f>
        <v>150.000000000003</v>
      </c>
      <c r="N492">
        <f>I492*Return!D492*100</f>
        <v>-68.4000000000005</v>
      </c>
      <c r="O492">
        <f>J492*Return!E492*100</f>
        <v>24.0000000000009</v>
      </c>
      <c r="P492">
        <f t="shared" si="107"/>
        <v>134.100000000004</v>
      </c>
      <c r="Q492">
        <f>SUM($P$400:P492)</f>
        <v>15561.6</v>
      </c>
      <c r="R492">
        <f>B492*中国_中债国债到期收益率_1年!B491/365*100</f>
        <v>4.41972602739726</v>
      </c>
      <c r="S492">
        <f>C492*中国_中债国债到期收益率_1年!C491/365*100</f>
        <v>17.1452054794521</v>
      </c>
      <c r="T492">
        <f>D492*中国_中债国债到期收益率_1年!D491/365*100</f>
        <v>12.5687671232877</v>
      </c>
      <c r="U492">
        <f>E492*中国_中债国债到期收益率_1年!E491/365*100</f>
        <v>3.51109589041096</v>
      </c>
      <c r="V492">
        <f t="shared" si="108"/>
        <v>37.6447945205479</v>
      </c>
      <c r="W492">
        <f>SUM($V$400:V492)</f>
        <v>3190.94534246575</v>
      </c>
      <c r="X492">
        <f>MAX(F492-50,0)*中国_中债国债到期收益率_1年!H492*100/365</f>
        <v>7.47945205479452</v>
      </c>
      <c r="Y492">
        <f>SUM($X$400:X492)</f>
        <v>223.123287671233</v>
      </c>
      <c r="Z492">
        <v>-30</v>
      </c>
      <c r="AA492">
        <v>30</v>
      </c>
      <c r="AB492">
        <f>Z492*Return!F496*100</f>
        <v>-51.8999999999996</v>
      </c>
      <c r="AC492">
        <f>AA492*Return!G496*100</f>
        <v>94.8000000000002</v>
      </c>
      <c r="AD492">
        <f>SUM($AB$400:AB492)+SUM($AC$400:AC492)</f>
        <v>1401.40000000002</v>
      </c>
      <c r="AE492">
        <f t="shared" si="100"/>
        <v>19930.8220547945</v>
      </c>
      <c r="AF492">
        <f t="shared" si="101"/>
        <v>1.03986164410959</v>
      </c>
      <c r="AG492" s="5">
        <f>(AE492-AE491)/(500000+AE491)-中国_中债国债到期收益率_1年!H492%/252</f>
        <v>0.000326384498465167</v>
      </c>
      <c r="AH492" s="5">
        <f>MIN((AF492-MAX($AF$401:AF492))/MAX($AF$401:AF492),0)</f>
        <v>-0.000968762827363672</v>
      </c>
    </row>
    <row r="493" spans="1:34">
      <c r="A493" s="7">
        <v>45428</v>
      </c>
      <c r="B493">
        <v>10</v>
      </c>
      <c r="C493">
        <v>30</v>
      </c>
      <c r="D493">
        <v>20</v>
      </c>
      <c r="E493">
        <v>5</v>
      </c>
      <c r="F493">
        <f t="shared" si="99"/>
        <v>65</v>
      </c>
      <c r="G493">
        <f t="shared" si="109"/>
        <v>10</v>
      </c>
      <c r="H493">
        <f t="shared" si="103"/>
        <v>150</v>
      </c>
      <c r="I493">
        <f t="shared" si="104"/>
        <v>180</v>
      </c>
      <c r="J493">
        <f t="shared" si="105"/>
        <v>80</v>
      </c>
      <c r="K493">
        <f t="shared" si="106"/>
        <v>420</v>
      </c>
      <c r="L493">
        <f>G493*Return!B493*100</f>
        <v>-0.199999999999978</v>
      </c>
      <c r="M493">
        <f>H493*Return!C493*100</f>
        <v>-84.0000000000041</v>
      </c>
      <c r="N493">
        <f>I493*Return!D493*100</f>
        <v>-147.6</v>
      </c>
      <c r="O493">
        <f>J493*Return!E493*100</f>
        <v>-39.9999999999991</v>
      </c>
      <c r="P493">
        <f t="shared" si="107"/>
        <v>-271.800000000003</v>
      </c>
      <c r="Q493">
        <f>SUM($P$400:P493)</f>
        <v>15289.8</v>
      </c>
      <c r="R493">
        <f>B493*中国_中债国债到期收益率_1年!B492/365*100</f>
        <v>4.42027397260274</v>
      </c>
      <c r="S493">
        <f>C493*中国_中债国债到期收益率_1年!C492/365*100</f>
        <v>17.1912328767123</v>
      </c>
      <c r="T493">
        <f>D493*中国_中债国债到期收益率_1年!D492/365*100</f>
        <v>12.613698630137</v>
      </c>
      <c r="U493">
        <f>E493*中国_中债国债到期收益率_1年!E492/365*100</f>
        <v>3.51794520547945</v>
      </c>
      <c r="V493">
        <f t="shared" si="108"/>
        <v>37.7431506849315</v>
      </c>
      <c r="W493">
        <f>SUM($V$400:V493)</f>
        <v>3228.68849315068</v>
      </c>
      <c r="X493">
        <f>MAX(F493-50,0)*中国_中债国债到期收益率_1年!H493*100/365</f>
        <v>7.47945205479452</v>
      </c>
      <c r="Y493">
        <f>SUM($X$400:X493)</f>
        <v>230.602739726027</v>
      </c>
      <c r="Z493">
        <v>-30</v>
      </c>
      <c r="AA493">
        <v>30</v>
      </c>
      <c r="AB493">
        <f>Z493*Return!F497*100</f>
        <v>50.0999999999998</v>
      </c>
      <c r="AC493">
        <f>AA493*Return!G497*100</f>
        <v>-25.1999999999999</v>
      </c>
      <c r="AD493">
        <f>SUM($AB$400:AB493)+SUM($AC$400:AC493)</f>
        <v>1426.30000000002</v>
      </c>
      <c r="AE493">
        <f t="shared" si="100"/>
        <v>19714.1857534247</v>
      </c>
      <c r="AF493">
        <f t="shared" si="101"/>
        <v>1.03942837150685</v>
      </c>
      <c r="AG493" s="5">
        <f>(AE493-AE492)/(500000+AE492)-中国_中债国债到期收益率_1年!H493%/252</f>
        <v>-0.000488885924738843</v>
      </c>
      <c r="AH493" s="5">
        <f>MIN((AF493-MAX($AF$401:AF493))/MAX($AF$401:AF493),0)</f>
        <v>-0.0013850228815739</v>
      </c>
    </row>
    <row r="494" spans="1:34">
      <c r="A494" s="7">
        <v>45429</v>
      </c>
      <c r="B494">
        <v>10</v>
      </c>
      <c r="C494">
        <v>30</v>
      </c>
      <c r="D494">
        <v>20</v>
      </c>
      <c r="E494">
        <v>5</v>
      </c>
      <c r="F494">
        <f t="shared" si="99"/>
        <v>65</v>
      </c>
      <c r="G494">
        <f t="shared" si="109"/>
        <v>10</v>
      </c>
      <c r="H494">
        <f t="shared" si="103"/>
        <v>150</v>
      </c>
      <c r="I494">
        <f t="shared" si="104"/>
        <v>180</v>
      </c>
      <c r="J494">
        <f t="shared" si="105"/>
        <v>80</v>
      </c>
      <c r="K494">
        <f t="shared" si="106"/>
        <v>420</v>
      </c>
      <c r="L494">
        <f>G494*Return!B494*100</f>
        <v>-14.5999999999999</v>
      </c>
      <c r="M494">
        <f>H494*Return!C494*100</f>
        <v>-178.499999999997</v>
      </c>
      <c r="N494">
        <f>I494*Return!D494*100</f>
        <v>-228.600000000003</v>
      </c>
      <c r="O494">
        <f>J494*Return!E494*100</f>
        <v>-104.000000000003</v>
      </c>
      <c r="P494">
        <f t="shared" si="107"/>
        <v>-525.700000000002</v>
      </c>
      <c r="Q494">
        <f>SUM($P$400:P494)</f>
        <v>14764.1</v>
      </c>
      <c r="R494">
        <f>B494*中国_中债国债到期收益率_1年!B493/365*100</f>
        <v>4.46027397260274</v>
      </c>
      <c r="S494">
        <f>C494*中国_中债国债到期收益率_1年!C493/365*100</f>
        <v>17.2890410958904</v>
      </c>
      <c r="T494">
        <f>D494*中国_中债国债到期收益率_1年!D493/365*100</f>
        <v>12.6832876712329</v>
      </c>
      <c r="U494">
        <f>E494*中国_中债国债到期收益率_1年!E493/365*100</f>
        <v>3.53575342465753</v>
      </c>
      <c r="V494">
        <f t="shared" si="108"/>
        <v>37.9683561643836</v>
      </c>
      <c r="W494">
        <f>SUM($V$400:V494)</f>
        <v>3266.65684931507</v>
      </c>
      <c r="X494">
        <f>MAX(F494-50,0)*中国_中债国债到期收益率_1年!H494*100/365</f>
        <v>7.3972602739726</v>
      </c>
      <c r="Y494">
        <f>SUM($X$400:X494)</f>
        <v>238</v>
      </c>
      <c r="Z494">
        <v>-30</v>
      </c>
      <c r="AA494">
        <v>30</v>
      </c>
      <c r="AB494">
        <f>Z494*Return!F498*100</f>
        <v>-18.8999999999999</v>
      </c>
      <c r="AC494">
        <f>AA494*Return!G498*100</f>
        <v>46.2000000000002</v>
      </c>
      <c r="AD494">
        <f>SUM($AB$400:AB494)+SUM($AC$400:AC494)</f>
        <v>1453.60000000002</v>
      </c>
      <c r="AE494">
        <f t="shared" si="100"/>
        <v>19246.3568493151</v>
      </c>
      <c r="AF494">
        <f t="shared" si="101"/>
        <v>1.03849271369863</v>
      </c>
      <c r="AG494" s="5">
        <f>(AE494-AE493)/(500000+AE493)-中国_中债国债到期收益率_1年!H494%/252</f>
        <v>-0.000971594310471058</v>
      </c>
      <c r="AH494" s="5">
        <f>MIN((AF494-MAX($AF$401:AF494))/MAX($AF$401:AF494),0)</f>
        <v>-0.00228394187047055</v>
      </c>
    </row>
    <row r="495" spans="1:34">
      <c r="A495" s="7">
        <v>45432</v>
      </c>
      <c r="B495">
        <v>10</v>
      </c>
      <c r="C495">
        <v>30</v>
      </c>
      <c r="D495">
        <v>20</v>
      </c>
      <c r="E495">
        <v>5</v>
      </c>
      <c r="F495">
        <f t="shared" si="99"/>
        <v>65</v>
      </c>
      <c r="G495">
        <f t="shared" si="109"/>
        <v>10</v>
      </c>
      <c r="H495">
        <f t="shared" si="103"/>
        <v>150</v>
      </c>
      <c r="I495">
        <f t="shared" si="104"/>
        <v>180</v>
      </c>
      <c r="J495">
        <f t="shared" si="105"/>
        <v>80</v>
      </c>
      <c r="K495">
        <f t="shared" si="106"/>
        <v>420</v>
      </c>
      <c r="L495">
        <f>G495*Return!B495*100</f>
        <v>20.6999999999999</v>
      </c>
      <c r="M495">
        <f>H495*Return!C495*100</f>
        <v>160.499999999999</v>
      </c>
      <c r="N495">
        <f>I495*Return!D495*100</f>
        <v>126.000000000002</v>
      </c>
      <c r="O495">
        <f>J495*Return!E495*100</f>
        <v>-44.7999999999986</v>
      </c>
      <c r="P495">
        <f t="shared" si="107"/>
        <v>262.400000000002</v>
      </c>
      <c r="Q495">
        <f>SUM($P$400:P495)</f>
        <v>15026.5</v>
      </c>
      <c r="R495">
        <f>B495*中国_中债国债到期收益率_1年!B494/365*100</f>
        <v>4.40356164383562</v>
      </c>
      <c r="S495">
        <f>C495*中国_中债国债到期收益率_1年!C494/365*100</f>
        <v>17.201095890411</v>
      </c>
      <c r="T495">
        <f>D495*中国_中债国债到期收益率_1年!D494/365*100</f>
        <v>12.6449315068493</v>
      </c>
      <c r="U495">
        <f>E495*中国_中债国债到期收益率_1年!E494/365*100</f>
        <v>3.54342465753425</v>
      </c>
      <c r="V495">
        <f t="shared" si="108"/>
        <v>37.7930136986301</v>
      </c>
      <c r="W495">
        <f>SUM($V$400:V495)</f>
        <v>3304.4498630137</v>
      </c>
      <c r="X495">
        <f>MAX(F495-50,0)*中国_中债国债到期收益率_1年!H495*100/365</f>
        <v>7.43835616438356</v>
      </c>
      <c r="Y495">
        <f>SUM($X$400:X495)</f>
        <v>245.438356164384</v>
      </c>
      <c r="Z495">
        <v>-30</v>
      </c>
      <c r="AA495">
        <v>30</v>
      </c>
      <c r="AB495">
        <f>Z495*Return!F499*100</f>
        <v>-12.3</v>
      </c>
      <c r="AC495">
        <f>AA495*Return!G499*100</f>
        <v>22.2000000000002</v>
      </c>
      <c r="AD495">
        <f>SUM($AB$400:AB495)+SUM($AC$400:AC495)</f>
        <v>1463.50000000002</v>
      </c>
      <c r="AE495">
        <f t="shared" si="100"/>
        <v>19549.0115068493</v>
      </c>
      <c r="AF495">
        <f t="shared" si="101"/>
        <v>1.0390980230137</v>
      </c>
      <c r="AG495" s="5">
        <f>(AE495-AE494)/(500000+AE494)-中国_中债国债到期收益率_1年!H495%/252</f>
        <v>0.000511047556527035</v>
      </c>
      <c r="AH495" s="5">
        <f>MIN((AF495-MAX($AF$401:AF495))/MAX($AF$401:AF495),0)</f>
        <v>-0.00170240016506153</v>
      </c>
    </row>
    <row r="496" spans="1:34">
      <c r="A496" s="7">
        <v>45433</v>
      </c>
      <c r="B496">
        <v>10</v>
      </c>
      <c r="C496">
        <v>30</v>
      </c>
      <c r="D496">
        <v>20</v>
      </c>
      <c r="E496">
        <v>5</v>
      </c>
      <c r="F496">
        <f t="shared" si="99"/>
        <v>65</v>
      </c>
      <c r="G496">
        <f t="shared" si="109"/>
        <v>10</v>
      </c>
      <c r="H496">
        <f t="shared" si="103"/>
        <v>150</v>
      </c>
      <c r="I496">
        <f t="shared" si="104"/>
        <v>180</v>
      </c>
      <c r="J496">
        <f t="shared" si="105"/>
        <v>80</v>
      </c>
      <c r="K496">
        <f t="shared" si="106"/>
        <v>420</v>
      </c>
      <c r="L496">
        <f>G496*Return!B496*100</f>
        <v>-6.29999999999997</v>
      </c>
      <c r="M496">
        <f>H496*Return!C496*100</f>
        <v>-82.5000000000009</v>
      </c>
      <c r="N496">
        <f>I496*Return!D496*100</f>
        <v>-50.4000000000024</v>
      </c>
      <c r="O496">
        <f>J496*Return!E496*100</f>
        <v>-39.9999999999991</v>
      </c>
      <c r="P496">
        <f t="shared" si="107"/>
        <v>-179.200000000002</v>
      </c>
      <c r="Q496">
        <f>SUM($P$400:P496)</f>
        <v>14847.3</v>
      </c>
      <c r="R496">
        <f>B496*中国_中债国债到期收益率_1年!B495/365*100</f>
        <v>4.42082191780822</v>
      </c>
      <c r="S496">
        <f>C496*中国_中债国债到期收益率_1年!C495/365*100</f>
        <v>17.246301369863</v>
      </c>
      <c r="T496">
        <f>D496*中国_中债国债到期收益率_1年!D495/365*100</f>
        <v>12.6602739726027</v>
      </c>
      <c r="U496">
        <f>E496*中国_中债国债到期收益率_1年!E495/365*100</f>
        <v>3.55027397260274</v>
      </c>
      <c r="V496">
        <f t="shared" si="108"/>
        <v>37.8776712328767</v>
      </c>
      <c r="W496">
        <f>SUM($V$400:V496)</f>
        <v>3342.32753424657</v>
      </c>
      <c r="X496">
        <f>MAX(F496-50,0)*中国_中债国债到期收益率_1年!H496*100/365</f>
        <v>7.6027397260274</v>
      </c>
      <c r="Y496">
        <f>SUM($X$400:X496)</f>
        <v>253.041095890411</v>
      </c>
      <c r="Z496">
        <v>-30</v>
      </c>
      <c r="AA496">
        <v>30</v>
      </c>
      <c r="AB496">
        <f>Z496*Return!F500*100</f>
        <v>6.59999999999994</v>
      </c>
      <c r="AC496">
        <f>AA496*Return!G500*100</f>
        <v>-16.8000000000008</v>
      </c>
      <c r="AD496">
        <f>SUM($AB$400:AB496)+SUM($AC$400:AC496)</f>
        <v>1453.30000000002</v>
      </c>
      <c r="AE496">
        <f t="shared" si="100"/>
        <v>19389.8864383562</v>
      </c>
      <c r="AF496">
        <f t="shared" si="101"/>
        <v>1.03877977287671</v>
      </c>
      <c r="AG496" s="5">
        <f>(AE496-AE495)/(500000+AE495)-中国_中债国债到期收益率_1年!H496%/252</f>
        <v>-0.000379688073726461</v>
      </c>
      <c r="AH496" s="5">
        <f>MIN((AF496-MAX($AF$401:AF496))/MAX($AF$401:AF496),0)</f>
        <v>-0.00200815413712577</v>
      </c>
    </row>
    <row r="497" spans="1:34">
      <c r="A497" s="7">
        <v>45434</v>
      </c>
      <c r="B497">
        <v>10</v>
      </c>
      <c r="C497">
        <v>30</v>
      </c>
      <c r="D497">
        <v>20</v>
      </c>
      <c r="E497">
        <v>5</v>
      </c>
      <c r="F497">
        <f t="shared" si="99"/>
        <v>65</v>
      </c>
      <c r="G497">
        <f t="shared" si="109"/>
        <v>10</v>
      </c>
      <c r="H497">
        <f t="shared" si="103"/>
        <v>150</v>
      </c>
      <c r="I497">
        <f t="shared" si="104"/>
        <v>180</v>
      </c>
      <c r="J497">
        <f t="shared" si="105"/>
        <v>80</v>
      </c>
      <c r="K497">
        <f t="shared" si="106"/>
        <v>420</v>
      </c>
      <c r="L497">
        <f>G497*Return!B497*100</f>
        <v>0.699999999999923</v>
      </c>
      <c r="M497">
        <f>H497*Return!C497*100</f>
        <v>-67.4999999999959</v>
      </c>
      <c r="N497">
        <f>I497*Return!D497*100</f>
        <v>-64.7999999999929</v>
      </c>
      <c r="O497">
        <f>J497*Return!E497*100</f>
        <v>-7.99999999999912</v>
      </c>
      <c r="P497">
        <f t="shared" si="107"/>
        <v>-139.599999999988</v>
      </c>
      <c r="Q497">
        <f>SUM($P$400:P497)</f>
        <v>14707.7</v>
      </c>
      <c r="R497">
        <f>B497*中国_中债国债到期收益率_1年!B496/365*100</f>
        <v>4.41890410958904</v>
      </c>
      <c r="S497">
        <f>C497*中国_中债国债到期收益率_1年!C496/365*100</f>
        <v>17.2832876712329</v>
      </c>
      <c r="T497">
        <f>D497*中国_中债国债到期收益率_1年!D496/365*100</f>
        <v>12.68</v>
      </c>
      <c r="U497">
        <f>E497*中国_中债国债到期收益率_1年!E496/365*100</f>
        <v>3.55164383561644</v>
      </c>
      <c r="V497">
        <f t="shared" si="108"/>
        <v>37.9338356164384</v>
      </c>
      <c r="W497">
        <f>SUM($V$400:V497)</f>
        <v>3380.26136986301</v>
      </c>
      <c r="X497">
        <f>MAX(F497-50,0)*中国_中债国债到期收益率_1年!H497*100/365</f>
        <v>7.6027397260274</v>
      </c>
      <c r="Y497">
        <f>SUM($X$400:X497)</f>
        <v>260.643835616438</v>
      </c>
      <c r="Z497">
        <v>-100</v>
      </c>
      <c r="AA497">
        <v>100</v>
      </c>
      <c r="AB497">
        <f>Z497*Return!F501*100</f>
        <v>154.999999999998</v>
      </c>
      <c r="AC497">
        <f>AA497*Return!G501*100</f>
        <v>-69.9999999999967</v>
      </c>
      <c r="AD497">
        <f>SUM($AB$400:AB497)+SUM($AC$400:AC497)</f>
        <v>1538.30000000002</v>
      </c>
      <c r="AE497">
        <f t="shared" si="100"/>
        <v>19365.6175342466</v>
      </c>
      <c r="AF497">
        <f t="shared" si="101"/>
        <v>1.03873123506849</v>
      </c>
      <c r="AG497" s="5">
        <f>(AE497-AE496)/(500000+AE496)-中国_中债国债到期收益率_1年!H497%/252</f>
        <v>-0.000120138491007539</v>
      </c>
      <c r="AH497" s="5">
        <f>MIN((AF497-MAX($AF$401:AF497))/MAX($AF$401:AF497),0)</f>
        <v>-0.00205478609712687</v>
      </c>
    </row>
    <row r="498" spans="1:34">
      <c r="A498" s="7">
        <v>45435</v>
      </c>
      <c r="B498">
        <v>10</v>
      </c>
      <c r="C498">
        <v>30</v>
      </c>
      <c r="D498">
        <v>20</v>
      </c>
      <c r="E498">
        <v>5</v>
      </c>
      <c r="F498">
        <f t="shared" si="99"/>
        <v>65</v>
      </c>
      <c r="G498">
        <f t="shared" si="109"/>
        <v>10</v>
      </c>
      <c r="H498">
        <f t="shared" si="103"/>
        <v>150</v>
      </c>
      <c r="I498">
        <f t="shared" si="104"/>
        <v>180</v>
      </c>
      <c r="J498">
        <f t="shared" si="105"/>
        <v>80</v>
      </c>
      <c r="K498">
        <f t="shared" si="106"/>
        <v>420</v>
      </c>
      <c r="L498">
        <f>G498*Return!B498*100</f>
        <v>7.70000000000004</v>
      </c>
      <c r="M498">
        <f>H498*Return!C498*100</f>
        <v>103.499999999999</v>
      </c>
      <c r="N498">
        <f>I498*Return!D498*100</f>
        <v>32.3999999999964</v>
      </c>
      <c r="O498">
        <f>J498*Return!E498*100</f>
        <v>181.6</v>
      </c>
      <c r="P498">
        <f t="shared" si="107"/>
        <v>325.199999999995</v>
      </c>
      <c r="Q498">
        <f>SUM($P$400:P498)</f>
        <v>15032.9</v>
      </c>
      <c r="R498">
        <f>B498*中国_中债国债到期收益率_1年!B497/365*100</f>
        <v>4.39780821917808</v>
      </c>
      <c r="S498">
        <f>C498*中国_中债国债到期收益率_1年!C497/365*100</f>
        <v>17.2265753424658</v>
      </c>
      <c r="T498">
        <f>D498*中国_中债国债到期收益率_1年!D497/365*100</f>
        <v>12.6701369863014</v>
      </c>
      <c r="U498">
        <f>E498*中国_中债国债到期收益率_1年!E497/365*100</f>
        <v>3.52054794520548</v>
      </c>
      <c r="V498">
        <f t="shared" si="108"/>
        <v>37.8150684931507</v>
      </c>
      <c r="W498">
        <f>SUM($V$400:V498)</f>
        <v>3418.07643835616</v>
      </c>
      <c r="X498">
        <f>MAX(F498-50,0)*中国_中债国债到期收益率_1年!H498*100/365</f>
        <v>7.52054794520548</v>
      </c>
      <c r="Y498">
        <f>SUM($X$400:X498)</f>
        <v>268.164383561644</v>
      </c>
      <c r="Z498">
        <v>-100</v>
      </c>
      <c r="AA498">
        <v>100</v>
      </c>
      <c r="AB498">
        <f>Z498*Return!F502*100</f>
        <v>-128.999999999999</v>
      </c>
      <c r="AC498">
        <f>AA498*Return!G502*100</f>
        <v>177.999999999998</v>
      </c>
      <c r="AD498">
        <f>SUM($AB$400:AB498)+SUM($AC$400:AC498)</f>
        <v>1587.30000000002</v>
      </c>
      <c r="AE498">
        <f t="shared" si="100"/>
        <v>19770.1120547945</v>
      </c>
      <c r="AF498">
        <f t="shared" si="101"/>
        <v>1.03954022410959</v>
      </c>
      <c r="AG498" s="5">
        <f>(AE498-AE497)/(500000+AE497)-中国_中债国债到期收益率_1年!H498%/252</f>
        <v>0.000706205169641091</v>
      </c>
      <c r="AH498" s="5">
        <f>MIN((AF498-MAX($AF$401:AF498))/MAX($AF$401:AF498),0)</f>
        <v>-0.0012775621970405</v>
      </c>
    </row>
    <row r="499" spans="1:34">
      <c r="A499" s="7">
        <v>45436</v>
      </c>
      <c r="B499">
        <v>10</v>
      </c>
      <c r="C499">
        <v>30</v>
      </c>
      <c r="D499">
        <v>20</v>
      </c>
      <c r="E499">
        <v>5</v>
      </c>
      <c r="F499">
        <f t="shared" si="99"/>
        <v>65</v>
      </c>
      <c r="G499">
        <f t="shared" si="109"/>
        <v>10</v>
      </c>
      <c r="H499">
        <f t="shared" si="103"/>
        <v>150</v>
      </c>
      <c r="I499">
        <f t="shared" si="104"/>
        <v>180</v>
      </c>
      <c r="J499">
        <f t="shared" si="105"/>
        <v>80</v>
      </c>
      <c r="K499">
        <f t="shared" si="106"/>
        <v>420</v>
      </c>
      <c r="L499">
        <f>G499*Return!B499*100</f>
        <v>-3.30000000000008</v>
      </c>
      <c r="M499">
        <f>H499*Return!C499*100</f>
        <v>112.499999999998</v>
      </c>
      <c r="N499">
        <f>I499*Return!D499*100</f>
        <v>108.000000000004</v>
      </c>
      <c r="O499">
        <f>J499*Return!E499*100</f>
        <v>199.199999999998</v>
      </c>
      <c r="P499">
        <f t="shared" si="107"/>
        <v>416.399999999999</v>
      </c>
      <c r="Q499">
        <f>SUM($P$400:P499)</f>
        <v>15449.3</v>
      </c>
      <c r="R499">
        <f>B499*中国_中债国债到期收益率_1年!B498/365*100</f>
        <v>4.40684931506849</v>
      </c>
      <c r="S499">
        <f>C499*中国_中债国债到期收益率_1年!C498/365*100</f>
        <v>17.1649315068493</v>
      </c>
      <c r="T499">
        <f>D499*中国_中债国债到期收益率_1年!D498/365*100</f>
        <v>12.6372602739726</v>
      </c>
      <c r="U499">
        <f>E499*中国_中债国债到期收益率_1年!E498/365*100</f>
        <v>3.48643835616438</v>
      </c>
      <c r="V499">
        <f t="shared" si="108"/>
        <v>37.6954794520548</v>
      </c>
      <c r="W499">
        <f>SUM($V$400:V499)</f>
        <v>3455.77191780822</v>
      </c>
      <c r="X499">
        <f>MAX(F499-50,0)*中国_中债国债到期收益率_1年!H499*100/365</f>
        <v>7.47945205479452</v>
      </c>
      <c r="Y499">
        <f>SUM($X$400:X499)</f>
        <v>275.643835616438</v>
      </c>
      <c r="Z499">
        <v>-100</v>
      </c>
      <c r="AA499">
        <v>100</v>
      </c>
      <c r="AB499">
        <f>Z499*Return!F503*100</f>
        <v>-88.9999999999991</v>
      </c>
      <c r="AC499">
        <f>AA499*Return!G503*100</f>
        <v>184.000000000002</v>
      </c>
      <c r="AD499">
        <f>SUM($AB$400:AB499)+SUM($AC$400:AC499)</f>
        <v>1682.30000000002</v>
      </c>
      <c r="AE499">
        <f t="shared" si="100"/>
        <v>20311.7280821918</v>
      </c>
      <c r="AF499">
        <f t="shared" si="101"/>
        <v>1.04062345616438</v>
      </c>
      <c r="AG499" s="5">
        <f>(AE499-AE498)/(500000+AE498)-中国_中债国债到期收益率_1年!H499%/252</f>
        <v>0.000969807734552526</v>
      </c>
      <c r="AH499" s="5">
        <f>MIN((AF499-MAX($AF$401:AF499))/MAX($AF$401:AF499),0)</f>
        <v>-0.000236863498346589</v>
      </c>
    </row>
    <row r="500" spans="1:34">
      <c r="A500" s="7">
        <v>45439</v>
      </c>
      <c r="B500">
        <v>10</v>
      </c>
      <c r="C500">
        <v>30</v>
      </c>
      <c r="D500">
        <v>20</v>
      </c>
      <c r="E500">
        <v>5</v>
      </c>
      <c r="F500">
        <f t="shared" si="99"/>
        <v>65</v>
      </c>
      <c r="G500">
        <f t="shared" si="109"/>
        <v>10</v>
      </c>
      <c r="H500">
        <f t="shared" si="103"/>
        <v>150</v>
      </c>
      <c r="I500">
        <f t="shared" si="104"/>
        <v>180</v>
      </c>
      <c r="J500">
        <f t="shared" si="105"/>
        <v>80</v>
      </c>
      <c r="K500">
        <f t="shared" si="106"/>
        <v>420</v>
      </c>
      <c r="L500">
        <f>G500*Return!B500*100</f>
        <v>-28.9999999999999</v>
      </c>
      <c r="M500">
        <f>H500*Return!C500*100</f>
        <v>-114.000000000001</v>
      </c>
      <c r="N500">
        <f>I500*Return!D500*100</f>
        <v>-127.800000000006</v>
      </c>
      <c r="O500">
        <f>J500*Return!E500*100</f>
        <v>-51.1999999999979</v>
      </c>
      <c r="P500">
        <f t="shared" si="107"/>
        <v>-322.000000000005</v>
      </c>
      <c r="Q500">
        <f>SUM($P$400:P500)</f>
        <v>15127.3</v>
      </c>
      <c r="R500">
        <f>B500*中国_中债国债到期收益率_1年!B499/365*100</f>
        <v>4.48630136986301</v>
      </c>
      <c r="S500">
        <f>C500*中国_中债国债到期收益率_1年!C499/365*100</f>
        <v>17.227397260274</v>
      </c>
      <c r="T500">
        <f>D500*中国_中债国债到期收益率_1年!D499/365*100</f>
        <v>12.6761643835616</v>
      </c>
      <c r="U500">
        <f>E500*中国_中债国债到期收益率_1年!E499/365*100</f>
        <v>3.49520547945205</v>
      </c>
      <c r="V500">
        <f t="shared" si="108"/>
        <v>37.8850684931507</v>
      </c>
      <c r="W500">
        <f>SUM($V$400:V500)</f>
        <v>3493.65698630137</v>
      </c>
      <c r="X500">
        <f>MAX(F500-50,0)*中国_中债国债到期收益率_1年!H500*100/365</f>
        <v>8.01369863013699</v>
      </c>
      <c r="Y500">
        <f>SUM($X$400:X500)</f>
        <v>283.657534246575</v>
      </c>
      <c r="Z500">
        <v>-100</v>
      </c>
      <c r="AA500">
        <v>100</v>
      </c>
      <c r="AB500">
        <f>Z500*Return!F504*100</f>
        <v>-60.0000000000001</v>
      </c>
      <c r="AC500">
        <f>AA500*Return!G504*100</f>
        <v>-69.0000000000035</v>
      </c>
      <c r="AD500">
        <f>SUM($AB$400:AB500)+SUM($AC$400:AC500)</f>
        <v>1553.30000000002</v>
      </c>
      <c r="AE500">
        <f t="shared" si="100"/>
        <v>19890.5994520548</v>
      </c>
      <c r="AF500">
        <f t="shared" si="101"/>
        <v>1.03978119890411</v>
      </c>
      <c r="AG500" s="5">
        <f>(AE500-AE499)/(500000+AE499)-中国_中债国债到期收益率_1年!H500%/252</f>
        <v>-0.000886758499355005</v>
      </c>
      <c r="AH500" s="5">
        <f>MIN((AF500-MAX($AF$401:AF500))/MAX($AF$401:AF500),0)</f>
        <v>-0.00104604933332338</v>
      </c>
    </row>
    <row r="501" spans="1:34">
      <c r="A501" s="7">
        <v>45440</v>
      </c>
      <c r="B501">
        <v>10</v>
      </c>
      <c r="C501">
        <v>30</v>
      </c>
      <c r="D501">
        <v>20</v>
      </c>
      <c r="E501">
        <v>5</v>
      </c>
      <c r="F501">
        <f t="shared" si="99"/>
        <v>65</v>
      </c>
      <c r="G501">
        <f t="shared" si="109"/>
        <v>10</v>
      </c>
      <c r="H501">
        <f t="shared" si="103"/>
        <v>150</v>
      </c>
      <c r="I501">
        <f t="shared" si="104"/>
        <v>180</v>
      </c>
      <c r="J501">
        <f t="shared" si="105"/>
        <v>80</v>
      </c>
      <c r="K501">
        <f t="shared" si="106"/>
        <v>420</v>
      </c>
      <c r="L501">
        <f>G501*Return!B501*100</f>
        <v>-23.7000000000001</v>
      </c>
      <c r="M501">
        <f>H501*Return!C501*100</f>
        <v>-1.4999999999965</v>
      </c>
      <c r="N501">
        <f>I501*Return!D501*100</f>
        <v>90.0000000000061</v>
      </c>
      <c r="O501">
        <f>J501*Return!E501*100</f>
        <v>50.3999999999998</v>
      </c>
      <c r="P501">
        <f t="shared" si="107"/>
        <v>115.200000000009</v>
      </c>
      <c r="Q501">
        <f>SUM($P$400:P501)</f>
        <v>15242.5</v>
      </c>
      <c r="R501">
        <f>B501*中国_中债国债到期收益率_1年!B500/365*100</f>
        <v>4.55123287671233</v>
      </c>
      <c r="S501">
        <f>C501*中国_中债国债到期收益率_1年!C500/365*100</f>
        <v>17.2282191780822</v>
      </c>
      <c r="T501">
        <f>D501*中国_中债国债到期收益率_1年!D500/365*100</f>
        <v>12.6487671232877</v>
      </c>
      <c r="U501">
        <f>E501*中国_中债国债到期收益率_1年!E500/365*100</f>
        <v>3.48657534246575</v>
      </c>
      <c r="V501">
        <f t="shared" si="108"/>
        <v>37.9147945205479</v>
      </c>
      <c r="W501">
        <f>SUM($V$400:V501)</f>
        <v>3531.57178082192</v>
      </c>
      <c r="X501">
        <f>MAX(F501-50,0)*中国_中债国债到期收益率_1年!H501*100/365</f>
        <v>8.01369863013699</v>
      </c>
      <c r="Y501">
        <f>SUM($X$400:X501)</f>
        <v>291.671232876712</v>
      </c>
      <c r="Z501">
        <v>-100</v>
      </c>
      <c r="AA501">
        <v>100</v>
      </c>
      <c r="AB501">
        <f>Z501*Return!F505*100</f>
        <v>-45.0000000000017</v>
      </c>
      <c r="AC501">
        <f>AA501*Return!G505*100</f>
        <v>-59.0000000000002</v>
      </c>
      <c r="AD501">
        <f>SUM($AB$400:AB501)+SUM($AC$400:AC501)</f>
        <v>1449.30000000001</v>
      </c>
      <c r="AE501">
        <f t="shared" si="100"/>
        <v>19931.7005479452</v>
      </c>
      <c r="AF501">
        <f t="shared" si="101"/>
        <v>1.03986340109589</v>
      </c>
      <c r="AG501" s="5">
        <f>(AE501-AE500)/(500000+AE500)-中国_中债国债到期收益率_1年!H501%/252</f>
        <v>1.67624914132551e-6</v>
      </c>
      <c r="AH501" s="5">
        <f>MIN((AF501-MAX($AF$401:AF501))/MAX($AF$401:AF501),0)</f>
        <v>-0.000967074829534091</v>
      </c>
    </row>
    <row r="502" spans="1:34">
      <c r="A502" s="7">
        <v>45441</v>
      </c>
      <c r="B502">
        <v>10</v>
      </c>
      <c r="C502">
        <v>30</v>
      </c>
      <c r="D502">
        <v>20</v>
      </c>
      <c r="E502">
        <v>5</v>
      </c>
      <c r="F502">
        <f t="shared" si="99"/>
        <v>65</v>
      </c>
      <c r="G502">
        <f t="shared" si="109"/>
        <v>10</v>
      </c>
      <c r="H502">
        <f t="shared" si="103"/>
        <v>150</v>
      </c>
      <c r="I502">
        <f t="shared" si="104"/>
        <v>180</v>
      </c>
      <c r="J502">
        <f t="shared" si="105"/>
        <v>80</v>
      </c>
      <c r="K502">
        <f t="shared" si="106"/>
        <v>420</v>
      </c>
      <c r="L502">
        <f>G502*Return!B502*100</f>
        <v>6.00000000000001</v>
      </c>
      <c r="M502">
        <f>H502*Return!C502*100</f>
        <v>134.999999999998</v>
      </c>
      <c r="N502">
        <f>I502*Return!D502*100</f>
        <v>161.999999999998</v>
      </c>
      <c r="O502">
        <f>J502*Return!E502*100</f>
        <v>120.000000000001</v>
      </c>
      <c r="P502">
        <f t="shared" si="107"/>
        <v>422.999999999998</v>
      </c>
      <c r="Q502">
        <f>SUM($P$400:P502)</f>
        <v>15665.5</v>
      </c>
      <c r="R502">
        <f>B502*中国_中债国债到期收益率_1年!B501/365*100</f>
        <v>4.53479452054794</v>
      </c>
      <c r="S502">
        <f>C502*中国_中债国债到期收益率_1年!C501/365*100</f>
        <v>17.1542465753425</v>
      </c>
      <c r="T502">
        <f>D502*中国_中债国债到期收益率_1年!D501/365*100</f>
        <v>12.5994520547945</v>
      </c>
      <c r="U502">
        <f>E502*中国_中债国债到期收益率_1年!E501/365*100</f>
        <v>3.46602739726027</v>
      </c>
      <c r="V502">
        <f t="shared" si="108"/>
        <v>37.7545205479452</v>
      </c>
      <c r="W502">
        <f>SUM($V$400:V502)</f>
        <v>3569.32630136986</v>
      </c>
      <c r="X502">
        <f>MAX(F502-50,0)*中国_中债国债到期收益率_1年!H502*100/365</f>
        <v>8.13698630136986</v>
      </c>
      <c r="Y502">
        <f>SUM($X$400:X502)</f>
        <v>299.808219178082</v>
      </c>
      <c r="Z502">
        <v>-100</v>
      </c>
      <c r="AA502">
        <v>100</v>
      </c>
      <c r="AB502">
        <f>Z502*Return!F506*100</f>
        <v>-78.999999999998</v>
      </c>
      <c r="AC502">
        <f>AA502*Return!G506*100</f>
        <v>55.0000000000006</v>
      </c>
      <c r="AD502">
        <f>SUM($AB$400:AB502)+SUM($AC$400:AC502)</f>
        <v>1425.30000000002</v>
      </c>
      <c r="AE502">
        <f t="shared" si="100"/>
        <v>20360.3180821918</v>
      </c>
      <c r="AF502">
        <f t="shared" si="101"/>
        <v>1.04072063616438</v>
      </c>
      <c r="AG502" s="5">
        <f>(AE502-AE501)/(500000+AE501)-中国_中债国债到期收益率_1年!H502%/252</f>
        <v>0.000745801337687809</v>
      </c>
      <c r="AH502" s="5">
        <f>MIN((AF502-MAX($AF$401:AF502))/MAX($AF$401:AF502),0)</f>
        <v>-0.000143499293427194</v>
      </c>
    </row>
    <row r="503" spans="1:34">
      <c r="A503" s="7">
        <v>45442</v>
      </c>
      <c r="B503">
        <v>10</v>
      </c>
      <c r="C503">
        <v>30</v>
      </c>
      <c r="D503">
        <v>15</v>
      </c>
      <c r="E503">
        <v>5</v>
      </c>
      <c r="F503">
        <f t="shared" si="99"/>
        <v>60</v>
      </c>
      <c r="G503">
        <f t="shared" si="109"/>
        <v>10</v>
      </c>
      <c r="H503">
        <f t="shared" si="103"/>
        <v>150</v>
      </c>
      <c r="I503">
        <f t="shared" si="104"/>
        <v>135</v>
      </c>
      <c r="J503">
        <f t="shared" si="105"/>
        <v>80</v>
      </c>
      <c r="K503">
        <f t="shared" si="106"/>
        <v>375</v>
      </c>
      <c r="L503">
        <f>G503*Return!B503*100</f>
        <v>-1.50000000000006</v>
      </c>
      <c r="M503">
        <f>H503*Return!C503*100</f>
        <v>34.4999999999995</v>
      </c>
      <c r="N503">
        <f>I503*Return!D503*100</f>
        <v>294.299999999998</v>
      </c>
      <c r="O503">
        <f>J503*Return!E503*100</f>
        <v>47.9999999999983</v>
      </c>
      <c r="P503">
        <f t="shared" si="107"/>
        <v>375.299999999995</v>
      </c>
      <c r="Q503">
        <f>SUM($P$400:P503)</f>
        <v>16040.8</v>
      </c>
      <c r="R503">
        <f>B503*中国_中债国债到期收益率_1年!B502/365*100</f>
        <v>4.53890410958904</v>
      </c>
      <c r="S503">
        <f>C503*中国_中债国债到期收益率_1年!C502/365*100</f>
        <v>17.1353424657534</v>
      </c>
      <c r="T503">
        <f>D503*中国_中债国债到期收益率_1年!D502/365*100</f>
        <v>9.36</v>
      </c>
      <c r="U503">
        <f>E503*中国_中债国债到期收益率_1年!E502/365*100</f>
        <v>3.45780821917808</v>
      </c>
      <c r="V503">
        <f t="shared" si="108"/>
        <v>34.4920547945205</v>
      </c>
      <c r="W503">
        <f>SUM($V$400:V503)</f>
        <v>3603.81835616438</v>
      </c>
      <c r="X503">
        <f>MAX(F503-50,0)*中国_中债国债到期收益率_1年!H503*100/365</f>
        <v>5.34246575342466</v>
      </c>
      <c r="Y503">
        <f>SUM($X$400:X503)</f>
        <v>305.150684931507</v>
      </c>
      <c r="Z503">
        <v>-100</v>
      </c>
      <c r="AA503">
        <v>100</v>
      </c>
      <c r="AB503">
        <f>Z503*Return!F507*100</f>
        <v>17.999999999998</v>
      </c>
      <c r="AC503">
        <f>AA503*Return!G507*100</f>
        <v>58.0000000000025</v>
      </c>
      <c r="AD503">
        <f>SUM($AB$400:AB503)+SUM($AC$400:AC503)</f>
        <v>1501.30000000002</v>
      </c>
      <c r="AE503">
        <f t="shared" si="100"/>
        <v>20840.7676712329</v>
      </c>
      <c r="AF503">
        <f t="shared" si="101"/>
        <v>1.04168153534247</v>
      </c>
      <c r="AG503" s="5">
        <f>(AE503-AE502)/(500000+AE502)-中国_中债国债到期收益率_1年!H503%/252</f>
        <v>0.000845920791325798</v>
      </c>
      <c r="AH503" s="5">
        <f>MIN((AF503-MAX($AF$401:AF503))/MAX($AF$401:AF503),0)</f>
        <v>0</v>
      </c>
    </row>
    <row r="504" spans="1:34">
      <c r="A504" s="7">
        <v>45443</v>
      </c>
      <c r="B504">
        <v>10</v>
      </c>
      <c r="C504">
        <v>30</v>
      </c>
      <c r="D504">
        <v>15</v>
      </c>
      <c r="E504">
        <v>5</v>
      </c>
      <c r="F504">
        <f t="shared" si="99"/>
        <v>60</v>
      </c>
      <c r="G504">
        <f t="shared" si="109"/>
        <v>10</v>
      </c>
      <c r="H504">
        <f t="shared" si="103"/>
        <v>150</v>
      </c>
      <c r="I504">
        <f t="shared" si="104"/>
        <v>135</v>
      </c>
      <c r="J504">
        <f t="shared" si="105"/>
        <v>80</v>
      </c>
      <c r="K504">
        <f t="shared" si="106"/>
        <v>375</v>
      </c>
      <c r="L504">
        <f>G504*Return!B504*100</f>
        <v>3.60000000000005</v>
      </c>
      <c r="M504">
        <f>H504*Return!C504*100</f>
        <v>-20.9999999999977</v>
      </c>
      <c r="N504">
        <f>I504*Return!D504*100</f>
        <v>-67.4999999999986</v>
      </c>
      <c r="O504">
        <f>J504*Return!E504*100</f>
        <v>-68.0000000000014</v>
      </c>
      <c r="P504">
        <f t="shared" si="107"/>
        <v>-152.899999999998</v>
      </c>
      <c r="Q504">
        <f>SUM($P$400:P504)</f>
        <v>15887.9</v>
      </c>
      <c r="R504">
        <f>B504*中国_中债国债到期收益率_1年!B503/365*100</f>
        <v>4.52904109589041</v>
      </c>
      <c r="S504">
        <f>C504*中国_中债国债到期收益率_1年!C503/365*100</f>
        <v>17.1468493150685</v>
      </c>
      <c r="T504">
        <f>D504*中国_中债国债到期收益率_1年!D503/365*100</f>
        <v>9.38054794520548</v>
      </c>
      <c r="U504">
        <f>E504*中国_中债国债到期收益率_1年!E503/365*100</f>
        <v>3.46945205479452</v>
      </c>
      <c r="V504">
        <f t="shared" si="108"/>
        <v>34.5258904109589</v>
      </c>
      <c r="W504">
        <f>SUM($V$400:V504)</f>
        <v>3638.34424657534</v>
      </c>
      <c r="X504">
        <f>MAX(F504-50,0)*中国_中债国债到期收益率_1年!H504*100/365</f>
        <v>5.15068493150685</v>
      </c>
      <c r="Y504">
        <f>SUM($X$400:X504)</f>
        <v>310.301369863014</v>
      </c>
      <c r="Z504">
        <v>-100</v>
      </c>
      <c r="AA504">
        <v>100</v>
      </c>
      <c r="AB504">
        <f>Z504*Return!F508*100</f>
        <v>-76.9999999999982</v>
      </c>
      <c r="AC504">
        <f>AA504*Return!G508*100</f>
        <v>143</v>
      </c>
      <c r="AD504">
        <f>SUM($AB$400:AB504)+SUM($AC$400:AC504)</f>
        <v>1567.30000000002</v>
      </c>
      <c r="AE504">
        <f t="shared" si="100"/>
        <v>20783.2428767124</v>
      </c>
      <c r="AF504">
        <f t="shared" si="101"/>
        <v>1.04156648575342</v>
      </c>
      <c r="AG504" s="5">
        <f>(AE504-AE503)/(500000+AE503)-中国_中债国债到期收益率_1年!H504%/252</f>
        <v>-0.00018504920358387</v>
      </c>
      <c r="AH504" s="5">
        <f>MIN((AF504-MAX($AF$401:AF504))/MAX($AF$401:AF504),0)</f>
        <v>-0.000110446028980572</v>
      </c>
    </row>
    <row r="505" spans="1:34">
      <c r="A505" s="7">
        <v>45446</v>
      </c>
      <c r="B505">
        <v>10</v>
      </c>
      <c r="C505">
        <v>30</v>
      </c>
      <c r="D505">
        <v>15</v>
      </c>
      <c r="E505">
        <v>5</v>
      </c>
      <c r="F505">
        <f t="shared" si="99"/>
        <v>60</v>
      </c>
      <c r="G505">
        <f t="shared" si="109"/>
        <v>10</v>
      </c>
      <c r="H505">
        <f t="shared" si="103"/>
        <v>150</v>
      </c>
      <c r="I505">
        <f t="shared" si="104"/>
        <v>135</v>
      </c>
      <c r="J505">
        <f t="shared" si="105"/>
        <v>80</v>
      </c>
      <c r="K505">
        <f t="shared" si="106"/>
        <v>375</v>
      </c>
      <c r="L505">
        <f>G505*Return!B505*100</f>
        <v>8.69999999999993</v>
      </c>
      <c r="M505">
        <f>H505*Return!C505*100</f>
        <v>17.999999999998</v>
      </c>
      <c r="N505">
        <f>I505*Return!D505*100</f>
        <v>-135.000000000003</v>
      </c>
      <c r="O505">
        <f>J505*Return!E505*100</f>
        <v>-180</v>
      </c>
      <c r="P505">
        <f t="shared" si="107"/>
        <v>-288.300000000005</v>
      </c>
      <c r="Q505">
        <f>SUM($P$400:P505)</f>
        <v>15599.6</v>
      </c>
      <c r="R505">
        <f>B505*中国_中债国债到期收益率_1年!B504/365*100</f>
        <v>4.50520547945206</v>
      </c>
      <c r="S505">
        <f>C505*中国_中债国债到期收益率_1年!C504/365*100</f>
        <v>17.1369863013699</v>
      </c>
      <c r="T505">
        <f>D505*中国_中债国债到期收益率_1年!D504/365*100</f>
        <v>9.42164383561644</v>
      </c>
      <c r="U505">
        <f>E505*中国_中债国债到期收益率_1年!E504/365*100</f>
        <v>3.50027397260274</v>
      </c>
      <c r="V505">
        <f t="shared" si="108"/>
        <v>34.5641095890411</v>
      </c>
      <c r="W505">
        <f>SUM($V$400:V505)</f>
        <v>3672.90835616438</v>
      </c>
      <c r="X505">
        <f>MAX(F505-50,0)*中国_中债国债到期收益率_1年!H505*100/365</f>
        <v>5.04109589041096</v>
      </c>
      <c r="Y505">
        <f>SUM($X$400:X505)</f>
        <v>315.342465753425</v>
      </c>
      <c r="Z505">
        <v>-100</v>
      </c>
      <c r="AA505">
        <v>100</v>
      </c>
      <c r="AB505">
        <f>Z505*Return!F509*100</f>
        <v>-19.0000000000001</v>
      </c>
      <c r="AC505">
        <f>AA505*Return!G509*100</f>
        <v>38.0000000000003</v>
      </c>
      <c r="AD505">
        <f>SUM($AB$400:AB505)+SUM($AC$400:AC505)</f>
        <v>1586.30000000002</v>
      </c>
      <c r="AE505">
        <f t="shared" si="100"/>
        <v>20543.465890411</v>
      </c>
      <c r="AF505">
        <f t="shared" si="101"/>
        <v>1.04108693178082</v>
      </c>
      <c r="AG505" s="5">
        <f>(AE505-AE504)/(500000+AE504)-中国_中债国债到期收益率_1年!H505%/252</f>
        <v>-0.000533431966623038</v>
      </c>
      <c r="AH505" s="5">
        <f>MIN((AF505-MAX($AF$401:AF505))/MAX($AF$401:AF505),0)</f>
        <v>-0.00057081127145858</v>
      </c>
    </row>
    <row r="506" spans="1:34">
      <c r="A506" s="7">
        <v>45447</v>
      </c>
      <c r="B506">
        <v>10</v>
      </c>
      <c r="C506">
        <v>30</v>
      </c>
      <c r="D506">
        <v>15</v>
      </c>
      <c r="E506">
        <v>5</v>
      </c>
      <c r="F506">
        <f t="shared" si="99"/>
        <v>60</v>
      </c>
      <c r="G506">
        <f t="shared" si="109"/>
        <v>10</v>
      </c>
      <c r="H506">
        <f t="shared" si="103"/>
        <v>150</v>
      </c>
      <c r="I506">
        <f t="shared" si="104"/>
        <v>135</v>
      </c>
      <c r="J506">
        <f t="shared" si="105"/>
        <v>80</v>
      </c>
      <c r="K506">
        <f t="shared" si="106"/>
        <v>375</v>
      </c>
      <c r="L506">
        <f>G506*Return!B506*100</f>
        <v>-1.29999999999986</v>
      </c>
      <c r="M506">
        <f>H506*Return!C506*100</f>
        <v>226.499999999998</v>
      </c>
      <c r="N506">
        <f>I506*Return!D506*100</f>
        <v>98.5500000000041</v>
      </c>
      <c r="O506">
        <f>J506*Return!E506*100</f>
        <v>63.2000000000019</v>
      </c>
      <c r="P506">
        <f t="shared" si="107"/>
        <v>386.950000000005</v>
      </c>
      <c r="Q506">
        <f>SUM($P$400:P506)</f>
        <v>15986.55</v>
      </c>
      <c r="R506">
        <f>B506*中国_中债国债到期收益率_1年!B505/365*100</f>
        <v>4.50876712328767</v>
      </c>
      <c r="S506">
        <f>C506*中国_中债国债到期收益率_1年!C505/365*100</f>
        <v>17.0128767123288</v>
      </c>
      <c r="T506">
        <f>D506*中国_中债国债到期收益率_1年!D505/365*100</f>
        <v>9.39164383561644</v>
      </c>
      <c r="U506">
        <f>E506*中国_中债国债到期收益率_1年!E505/365*100</f>
        <v>3.48945205479452</v>
      </c>
      <c r="V506">
        <f t="shared" si="108"/>
        <v>34.4027397260274</v>
      </c>
      <c r="W506">
        <f>SUM($V$400:V506)</f>
        <v>3707.31109589041</v>
      </c>
      <c r="X506">
        <f>MAX(F506-50,0)*中国_中债国债到期收益率_1年!H506*100/365</f>
        <v>5.01369863013699</v>
      </c>
      <c r="Y506">
        <f>SUM($X$400:X506)</f>
        <v>320.356164383562</v>
      </c>
      <c r="Z506">
        <v>-100</v>
      </c>
      <c r="AA506">
        <v>100</v>
      </c>
      <c r="AB506">
        <f>Z506*Return!F510*100</f>
        <v>-13.0000000000008</v>
      </c>
      <c r="AC506">
        <f>AA506*Return!G510*100</f>
        <v>51.9999999999987</v>
      </c>
      <c r="AD506">
        <f>SUM($AB$400:AB506)+SUM($AC$400:AC506)</f>
        <v>1625.30000000002</v>
      </c>
      <c r="AE506">
        <f t="shared" si="100"/>
        <v>20998.8049315069</v>
      </c>
      <c r="AF506">
        <f t="shared" si="101"/>
        <v>1.04199760986301</v>
      </c>
      <c r="AG506" s="5">
        <f>(AE506-AE505)/(500000+AE505)-中国_中债国债到期收益率_1年!H506%/252</f>
        <v>0.00080211874265753</v>
      </c>
      <c r="AH506" s="5">
        <f>MIN((AF506-MAX($AF$401:AF506))/MAX($AF$401:AF506),0)</f>
        <v>0</v>
      </c>
    </row>
    <row r="507" spans="1:34">
      <c r="A507" s="7">
        <v>45448</v>
      </c>
      <c r="B507">
        <v>10</v>
      </c>
      <c r="C507">
        <v>30</v>
      </c>
      <c r="D507">
        <v>15</v>
      </c>
      <c r="E507">
        <v>5</v>
      </c>
      <c r="F507">
        <f t="shared" si="99"/>
        <v>60</v>
      </c>
      <c r="G507">
        <f t="shared" si="109"/>
        <v>10</v>
      </c>
      <c r="H507">
        <f t="shared" si="103"/>
        <v>150</v>
      </c>
      <c r="I507">
        <f t="shared" si="104"/>
        <v>135</v>
      </c>
      <c r="J507">
        <f t="shared" si="105"/>
        <v>80</v>
      </c>
      <c r="K507">
        <f t="shared" si="106"/>
        <v>375</v>
      </c>
      <c r="L507">
        <f>G507*Return!B507*100</f>
        <v>-0.399999999999956</v>
      </c>
      <c r="M507">
        <f>H507*Return!C507*100</f>
        <v>-13.5000000000018</v>
      </c>
      <c r="N507">
        <f>I507*Return!D507*100</f>
        <v>-1.35000000000285</v>
      </c>
      <c r="O507">
        <f>J507*Return!E507*100</f>
        <v>15.9999999999982</v>
      </c>
      <c r="P507">
        <f t="shared" si="107"/>
        <v>0.749999999993589</v>
      </c>
      <c r="Q507">
        <f>SUM($P$400:P507)</f>
        <v>15987.3</v>
      </c>
      <c r="R507">
        <f>B507*中国_中债国债到期收益率_1年!B506/365*100</f>
        <v>4.50986301369863</v>
      </c>
      <c r="S507">
        <f>C507*中国_中债国债到期收益率_1年!C506/365*100</f>
        <v>17.0202739726027</v>
      </c>
      <c r="T507">
        <f>D507*中国_中债国债到期收益率_1年!D506/365*100</f>
        <v>9.39205479452055</v>
      </c>
      <c r="U507">
        <f>E507*中国_中债国债到期收益率_1年!E506/365*100</f>
        <v>3.48671232876712</v>
      </c>
      <c r="V507">
        <f t="shared" si="108"/>
        <v>34.408904109589</v>
      </c>
      <c r="W507">
        <f>SUM($V$400:V507)</f>
        <v>3741.72</v>
      </c>
      <c r="X507">
        <f>MAX(F507-50,0)*中国_中债国债到期收益率_1年!H507*100/365</f>
        <v>5.04109589041096</v>
      </c>
      <c r="Y507">
        <f>SUM($X$400:X507)</f>
        <v>325.397260273973</v>
      </c>
      <c r="Z507">
        <v>-100</v>
      </c>
      <c r="AA507">
        <v>100</v>
      </c>
      <c r="AB507">
        <f>Z507*Return!F511*100</f>
        <v>-12.0000000000009</v>
      </c>
      <c r="AC507">
        <f>AA507*Return!G511*100</f>
        <v>114.999999999998</v>
      </c>
      <c r="AD507">
        <f>SUM($AB$400:AB507)+SUM($AC$400:AC507)</f>
        <v>1728.30000000002</v>
      </c>
      <c r="AE507">
        <f t="shared" si="100"/>
        <v>21131.922739726</v>
      </c>
      <c r="AF507">
        <f t="shared" si="101"/>
        <v>1.04226384547945</v>
      </c>
      <c r="AG507" s="5">
        <f>(AE507-AE506)/(500000+AE506)-中国_中债国债到期收益率_1年!H507%/252</f>
        <v>0.000182489143423974</v>
      </c>
      <c r="AH507" s="5">
        <f>MIN((AF507-MAX($AF$401:AF507))/MAX($AF$401:AF507),0)</f>
        <v>0</v>
      </c>
    </row>
    <row r="508" spans="1:34">
      <c r="A508" s="7">
        <v>45449</v>
      </c>
      <c r="B508">
        <v>10</v>
      </c>
      <c r="C508">
        <v>30</v>
      </c>
      <c r="D508">
        <v>15</v>
      </c>
      <c r="E508">
        <v>5</v>
      </c>
      <c r="F508">
        <f t="shared" si="99"/>
        <v>60</v>
      </c>
      <c r="G508">
        <f t="shared" si="109"/>
        <v>10</v>
      </c>
      <c r="H508">
        <f t="shared" si="103"/>
        <v>150</v>
      </c>
      <c r="I508">
        <f t="shared" si="104"/>
        <v>135</v>
      </c>
      <c r="J508">
        <f t="shared" si="105"/>
        <v>80</v>
      </c>
      <c r="K508">
        <f t="shared" si="106"/>
        <v>375</v>
      </c>
      <c r="L508">
        <f>G508*Return!B508*100</f>
        <v>14.2</v>
      </c>
      <c r="M508">
        <f>H508*Return!C508*100</f>
        <v>202.500000000001</v>
      </c>
      <c r="N508">
        <f>I508*Return!D508*100</f>
        <v>62.0999999999992</v>
      </c>
      <c r="O508">
        <f>J508*Return!E508*100</f>
        <v>60.0000000000023</v>
      </c>
      <c r="P508">
        <f t="shared" si="107"/>
        <v>338.800000000002</v>
      </c>
      <c r="Q508">
        <f>SUM($P$400:P508)</f>
        <v>16326.1</v>
      </c>
      <c r="R508">
        <f>B508*中国_中债国债到期收益率_1年!B507/365*100</f>
        <v>4.47095890410959</v>
      </c>
      <c r="S508">
        <f>C508*中国_中债国债到期收益率_1年!C507/365*100</f>
        <v>16.9093150684932</v>
      </c>
      <c r="T508">
        <f>D508*中国_中债国债到期收益率_1年!D507/365*100</f>
        <v>9.37315068493151</v>
      </c>
      <c r="U508">
        <f>E508*中国_中债国债到期收益率_1年!E507/365*100</f>
        <v>3.47643835616438</v>
      </c>
      <c r="V508">
        <f t="shared" si="108"/>
        <v>34.2298630136986</v>
      </c>
      <c r="W508">
        <f>SUM($V$400:V508)</f>
        <v>3775.9498630137</v>
      </c>
      <c r="X508">
        <f>MAX(F508-50,0)*中国_中债国债到期收益率_1年!H508*100/365</f>
        <v>5.04109589041096</v>
      </c>
      <c r="Y508">
        <f>SUM($X$400:X508)</f>
        <v>330.438356164384</v>
      </c>
      <c r="Z508">
        <v>-100</v>
      </c>
      <c r="AA508">
        <v>100</v>
      </c>
      <c r="AB508">
        <f>Z508*Return!F512*100</f>
        <v>58.0000000000003</v>
      </c>
      <c r="AC508">
        <f>AA508*Return!G512*100</f>
        <v>-65.9999999999972</v>
      </c>
      <c r="AD508">
        <f>SUM($AB$400:AB508)+SUM($AC$400:AC508)</f>
        <v>1720.30000000002</v>
      </c>
      <c r="AE508">
        <f t="shared" si="100"/>
        <v>21491.9115068493</v>
      </c>
      <c r="AF508">
        <f t="shared" si="101"/>
        <v>1.0429838230137</v>
      </c>
      <c r="AG508" s="5">
        <f>(AE508-AE507)/(500000+AE507)-中国_中债国债到期收益率_1年!H508%/252</f>
        <v>0.000617766540064368</v>
      </c>
      <c r="AH508" s="5">
        <f>MIN((AF508-MAX($AF$401:AF508))/MAX($AF$401:AF508),0)</f>
        <v>0</v>
      </c>
    </row>
    <row r="509" spans="1:34">
      <c r="A509" s="7">
        <v>45450</v>
      </c>
      <c r="B509">
        <v>0</v>
      </c>
      <c r="C509">
        <v>30</v>
      </c>
      <c r="D509">
        <v>15</v>
      </c>
      <c r="E509">
        <v>5</v>
      </c>
      <c r="F509">
        <f t="shared" si="99"/>
        <v>50</v>
      </c>
      <c r="G509">
        <f t="shared" ref="G509:G572" si="110">B509</f>
        <v>0</v>
      </c>
      <c r="H509">
        <f t="shared" si="103"/>
        <v>150</v>
      </c>
      <c r="I509">
        <f t="shared" si="104"/>
        <v>135</v>
      </c>
      <c r="J509">
        <f t="shared" si="105"/>
        <v>80</v>
      </c>
      <c r="K509">
        <f t="shared" si="106"/>
        <v>365</v>
      </c>
      <c r="L509">
        <f>G509*Return!B509*100</f>
        <v>0</v>
      </c>
      <c r="M509">
        <f>H509*Return!C509*100</f>
        <v>-32.9999999999964</v>
      </c>
      <c r="N509">
        <f>I509*Return!D509*100</f>
        <v>-26.999999999997</v>
      </c>
      <c r="O509">
        <f>J509*Return!E509*100</f>
        <v>0</v>
      </c>
      <c r="P509">
        <f t="shared" si="107"/>
        <v>-59.9999999999934</v>
      </c>
      <c r="Q509">
        <f>SUM($P$400:P509)</f>
        <v>16266.1</v>
      </c>
      <c r="R509">
        <f>B509*中国_中债国债到期收益率_1年!B508/365*100</f>
        <v>0</v>
      </c>
      <c r="S509">
        <f>C509*中国_中债国债到期收益率_1年!C508/365*100</f>
        <v>16.927397260274</v>
      </c>
      <c r="T509">
        <f>D509*中国_中债国债到期收益率_1年!D508/365*100</f>
        <v>9.3813698630137</v>
      </c>
      <c r="U509">
        <f>E509*中国_中债国债到期收益率_1年!E508/365*100</f>
        <v>3.47643835616438</v>
      </c>
      <c r="V509">
        <f t="shared" si="108"/>
        <v>29.7852054794521</v>
      </c>
      <c r="W509">
        <f>SUM($V$400:V509)</f>
        <v>3805.73506849315</v>
      </c>
      <c r="X509">
        <f>MAX(F509-50,0)*中国_中债国债到期收益率_1年!H509*100/365</f>
        <v>0</v>
      </c>
      <c r="Y509">
        <f>SUM($X$400:X509)</f>
        <v>330.438356164384</v>
      </c>
      <c r="Z509">
        <v>-100</v>
      </c>
      <c r="AA509">
        <v>100</v>
      </c>
      <c r="AB509">
        <f>Z509*Return!F513*100</f>
        <v>126.000000000002</v>
      </c>
      <c r="AC509">
        <f>AA509*Return!G513*100</f>
        <v>-83.9999999999996</v>
      </c>
      <c r="AD509">
        <f>SUM($AB$400:AB509)+SUM($AC$400:AC509)</f>
        <v>1762.30000000002</v>
      </c>
      <c r="AE509">
        <f t="shared" si="100"/>
        <v>21503.6967123288</v>
      </c>
      <c r="AF509">
        <f t="shared" si="101"/>
        <v>1.04300739342466</v>
      </c>
      <c r="AG509" s="5">
        <f>(AE509-AE508)/(500000+AE508)-中国_中债国债到期收益率_1年!H509%/252</f>
        <v>-5.08136796754555e-5</v>
      </c>
      <c r="AH509" s="5">
        <f>MIN((AF509-MAX($AF$401:AF509))/MAX($AF$401:AF509),0)</f>
        <v>0</v>
      </c>
    </row>
    <row r="510" spans="1:34">
      <c r="A510" s="7">
        <v>45454</v>
      </c>
      <c r="B510">
        <v>0</v>
      </c>
      <c r="C510">
        <v>30</v>
      </c>
      <c r="D510">
        <v>15</v>
      </c>
      <c r="E510">
        <v>5</v>
      </c>
      <c r="F510">
        <f t="shared" si="99"/>
        <v>50</v>
      </c>
      <c r="G510">
        <f t="shared" si="110"/>
        <v>0</v>
      </c>
      <c r="H510">
        <f t="shared" si="103"/>
        <v>150</v>
      </c>
      <c r="I510">
        <f t="shared" si="104"/>
        <v>135</v>
      </c>
      <c r="J510">
        <f t="shared" si="105"/>
        <v>80</v>
      </c>
      <c r="K510">
        <f t="shared" si="106"/>
        <v>365</v>
      </c>
      <c r="L510">
        <f>G510*Return!B510*100</f>
        <v>0</v>
      </c>
      <c r="M510">
        <f>H510*Return!C510*100</f>
        <v>-4.50000000000284</v>
      </c>
      <c r="N510">
        <f>I510*Return!D510*100</f>
        <v>-6.75000000000225</v>
      </c>
      <c r="O510">
        <f>J510*Return!E510*100</f>
        <v>59.9999999999987</v>
      </c>
      <c r="P510">
        <f t="shared" si="107"/>
        <v>48.7499999999936</v>
      </c>
      <c r="Q510">
        <f>SUM($P$400:P510)</f>
        <v>16314.85</v>
      </c>
      <c r="R510">
        <f>B510*中国_中债国债到期收益率_1年!B509/365*100</f>
        <v>0</v>
      </c>
      <c r="S510">
        <f>C510*中国_中债国债到期收益率_1年!C509/365*100</f>
        <v>16.9298630136986</v>
      </c>
      <c r="T510">
        <f>D510*中国_中债国债到期收益率_1年!D509/365*100</f>
        <v>9.38342465753425</v>
      </c>
      <c r="U510">
        <f>E510*中国_中债国债到期收益率_1年!E509/365*100</f>
        <v>3.46616438356164</v>
      </c>
      <c r="V510">
        <f t="shared" si="108"/>
        <v>29.7794520547945</v>
      </c>
      <c r="W510">
        <f>SUM($V$400:V510)</f>
        <v>3835.51452054794</v>
      </c>
      <c r="X510">
        <f>MAX(F510-50,0)*中国_中债国债到期收益率_1年!H510*100/365</f>
        <v>0</v>
      </c>
      <c r="Y510">
        <f>SUM($X$400:X510)</f>
        <v>330.438356164384</v>
      </c>
      <c r="Z510">
        <v>-100</v>
      </c>
      <c r="AA510">
        <v>100</v>
      </c>
      <c r="AB510">
        <f>Z510*Return!F514*100</f>
        <v>-16.0000000000005</v>
      </c>
      <c r="AC510">
        <f>AA510*Return!G514*100</f>
        <v>10.9999999999966</v>
      </c>
      <c r="AD510">
        <f>SUM($AB$400:AB510)+SUM($AC$400:AC510)</f>
        <v>1757.30000000002</v>
      </c>
      <c r="AE510">
        <f t="shared" si="100"/>
        <v>21577.2261643836</v>
      </c>
      <c r="AF510">
        <f t="shared" si="101"/>
        <v>1.04315445232877</v>
      </c>
      <c r="AG510" s="5">
        <f>(AE510-AE509)/(500000+AE509)-中国_中债国债到期收益率_1年!H510%/252</f>
        <v>6.83760258930526e-5</v>
      </c>
      <c r="AH510" s="5">
        <f>MIN((AF510-MAX($AF$401:AF510))/MAX($AF$401:AF510),0)</f>
        <v>0</v>
      </c>
    </row>
    <row r="511" spans="1:34">
      <c r="A511" s="7">
        <v>45455</v>
      </c>
      <c r="B511">
        <v>0</v>
      </c>
      <c r="C511">
        <v>30</v>
      </c>
      <c r="D511">
        <v>15</v>
      </c>
      <c r="E511">
        <v>5</v>
      </c>
      <c r="F511">
        <f t="shared" si="99"/>
        <v>50</v>
      </c>
      <c r="G511">
        <f t="shared" si="110"/>
        <v>0</v>
      </c>
      <c r="H511">
        <f t="shared" si="103"/>
        <v>150</v>
      </c>
      <c r="I511">
        <f t="shared" si="104"/>
        <v>135</v>
      </c>
      <c r="J511">
        <f t="shared" si="105"/>
        <v>80</v>
      </c>
      <c r="K511">
        <f t="shared" si="106"/>
        <v>365</v>
      </c>
      <c r="L511">
        <f>G511*Return!B511*100</f>
        <v>0</v>
      </c>
      <c r="M511">
        <f>H511*Return!C511*100</f>
        <v>64.5000000000029</v>
      </c>
      <c r="N511">
        <f>I511*Return!D511*100</f>
        <v>56.6999999999997</v>
      </c>
      <c r="O511">
        <f>J511*Return!E511*100</f>
        <v>86.4000000000011</v>
      </c>
      <c r="P511">
        <f t="shared" si="107"/>
        <v>207.600000000004</v>
      </c>
      <c r="Q511">
        <f>SUM($P$400:P511)</f>
        <v>16522.45</v>
      </c>
      <c r="R511">
        <f>B511*中国_中债国债到期收益率_1年!B510/365*100</f>
        <v>0</v>
      </c>
      <c r="S511">
        <f>C511*中国_中债国债到期收益率_1年!C510/365*100</f>
        <v>16.8945205479452</v>
      </c>
      <c r="T511">
        <f>D511*中国_中债国债到期收益率_1年!D510/365*100</f>
        <v>9.36616438356164</v>
      </c>
      <c r="U511">
        <f>E511*中国_中债国债到期收益率_1年!E510/365*100</f>
        <v>3.4513698630137</v>
      </c>
      <c r="V511">
        <f t="shared" si="108"/>
        <v>29.7120547945206</v>
      </c>
      <c r="W511">
        <f>SUM($V$400:V511)</f>
        <v>3865.22657534246</v>
      </c>
      <c r="X511">
        <f>MAX(F511-50,0)*中国_中债国债到期收益率_1年!H511*100/365</f>
        <v>0</v>
      </c>
      <c r="Y511">
        <f>SUM($X$400:X511)</f>
        <v>330.438356164384</v>
      </c>
      <c r="Z511">
        <v>-100</v>
      </c>
      <c r="AA511">
        <v>100</v>
      </c>
      <c r="AB511">
        <f>Z511*Return!F515*100</f>
        <v>106.999999999999</v>
      </c>
      <c r="AC511">
        <f>AA511*Return!G515*100</f>
        <v>-63.9999999999974</v>
      </c>
      <c r="AD511">
        <f>SUM($AB$400:AB511)+SUM($AC$400:AC511)</f>
        <v>1800.30000000002</v>
      </c>
      <c r="AE511">
        <f t="shared" si="100"/>
        <v>21857.5382191781</v>
      </c>
      <c r="AF511">
        <f t="shared" si="101"/>
        <v>1.04371507643836</v>
      </c>
      <c r="AG511" s="5">
        <f>(AE511-AE510)/(500000+AE510)-中国_中债国债到期收益率_1年!H511%/252</f>
        <v>0.000464812497956481</v>
      </c>
      <c r="AH511" s="5">
        <f>MIN((AF511-MAX($AF$401:AF511))/MAX($AF$401:AF511),0)</f>
        <v>0</v>
      </c>
    </row>
    <row r="512" spans="1:34">
      <c r="A512" s="9">
        <v>45456</v>
      </c>
      <c r="B512">
        <v>0</v>
      </c>
      <c r="C512">
        <v>30</v>
      </c>
      <c r="D512">
        <v>15</v>
      </c>
      <c r="E512">
        <v>5</v>
      </c>
      <c r="F512">
        <f t="shared" si="99"/>
        <v>50</v>
      </c>
      <c r="G512">
        <f t="shared" si="110"/>
        <v>0</v>
      </c>
      <c r="H512">
        <f t="shared" si="103"/>
        <v>150</v>
      </c>
      <c r="I512">
        <f t="shared" si="104"/>
        <v>135</v>
      </c>
      <c r="J512">
        <f t="shared" si="105"/>
        <v>80</v>
      </c>
      <c r="K512">
        <f t="shared" si="106"/>
        <v>365</v>
      </c>
      <c r="L512">
        <f>G512*Return!B512*100</f>
        <v>0</v>
      </c>
      <c r="M512">
        <f>H512*Return!C512*100</f>
        <v>-118.500000000004</v>
      </c>
      <c r="N512">
        <f>I512*Return!D512*100</f>
        <v>41.8500000000044</v>
      </c>
      <c r="O512">
        <f>J512*Return!E512*100</f>
        <v>-32</v>
      </c>
      <c r="P512">
        <f t="shared" si="107"/>
        <v>-108.649999999999</v>
      </c>
      <c r="Q512">
        <f>SUM($P$400:P512)</f>
        <v>16413.8</v>
      </c>
      <c r="R512">
        <f>B512*中国_中债国债到期收益率_1年!B511/365*100</f>
        <v>0</v>
      </c>
      <c r="S512">
        <f>C512*中国_中债国债到期收益率_1年!C511/365*100</f>
        <v>16.9594520547945</v>
      </c>
      <c r="T512">
        <f>D512*中国_中债国债到期收益率_1年!D511/365*100</f>
        <v>9.35342465753425</v>
      </c>
      <c r="U512">
        <f>E512*中国_中债国债到期收益率_1年!E511/365*100</f>
        <v>3.45684931506849</v>
      </c>
      <c r="V512">
        <f t="shared" si="108"/>
        <v>29.7697260273973</v>
      </c>
      <c r="W512">
        <f>SUM($V$400:V512)</f>
        <v>3894.99630136986</v>
      </c>
      <c r="X512">
        <f>MAX(F512-50,0)*中国_中债国债到期收益率_1年!H512*100/365</f>
        <v>0</v>
      </c>
      <c r="Y512">
        <f>SUM($X$400:X512)</f>
        <v>330.438356164384</v>
      </c>
      <c r="Z512">
        <v>-100</v>
      </c>
      <c r="AA512">
        <v>100</v>
      </c>
      <c r="AB512">
        <f>Z512*Return!F516*100</f>
        <v>14.0000000000007</v>
      </c>
      <c r="AC512">
        <f>AA512*Return!G516*100</f>
        <v>45.9999999999994</v>
      </c>
      <c r="AD512">
        <f>SUM($AB$400:AB512)+SUM($AC$400:AC512)</f>
        <v>1860.30000000002</v>
      </c>
      <c r="AE512">
        <f t="shared" si="100"/>
        <v>21838.6579452055</v>
      </c>
      <c r="AF512">
        <f t="shared" si="101"/>
        <v>1.04367731589041</v>
      </c>
      <c r="AG512" s="5">
        <f>(AE512-AE511)/(500000+AE511)-中国_中债国债到期收益率_1年!H512%/252</f>
        <v>-0.000108798028643313</v>
      </c>
      <c r="AH512" s="5">
        <f>MIN((AF512-MAX($AF$401:AF512))/MAX($AF$401:AF512),0)</f>
        <v>-3.61789810244096e-5</v>
      </c>
    </row>
    <row r="513" ht="14.5" spans="1:34">
      <c r="A513" s="10">
        <v>45457</v>
      </c>
      <c r="B513">
        <v>0</v>
      </c>
      <c r="C513">
        <v>30</v>
      </c>
      <c r="D513">
        <v>15</v>
      </c>
      <c r="E513">
        <v>5</v>
      </c>
      <c r="F513">
        <f t="shared" si="99"/>
        <v>50</v>
      </c>
      <c r="G513">
        <f t="shared" si="110"/>
        <v>0</v>
      </c>
      <c r="H513">
        <f t="shared" si="103"/>
        <v>150</v>
      </c>
      <c r="I513">
        <f t="shared" si="104"/>
        <v>135</v>
      </c>
      <c r="J513">
        <f t="shared" si="105"/>
        <v>80</v>
      </c>
      <c r="K513">
        <f t="shared" si="106"/>
        <v>365</v>
      </c>
      <c r="L513">
        <f>G513*Return!B513*100</f>
        <v>0</v>
      </c>
      <c r="M513">
        <f>H513*Return!C513*100</f>
        <v>-31.4999999999999</v>
      </c>
      <c r="N513">
        <f>I513*Return!D513*100</f>
        <v>110.7</v>
      </c>
      <c r="O513">
        <f>J513*Return!E513*100</f>
        <v>47.9999999999983</v>
      </c>
      <c r="P513">
        <f t="shared" si="107"/>
        <v>127.199999999998</v>
      </c>
      <c r="Q513">
        <f>SUM($P$400:P513)</f>
        <v>16541</v>
      </c>
      <c r="R513">
        <f>B513*中国_中债国债到期收益率_1年!B512/365*100</f>
        <v>0</v>
      </c>
      <c r="S513">
        <f>C513*中国_中债国债到期收益率_1年!C512/365*100</f>
        <v>16.9767123287671</v>
      </c>
      <c r="T513">
        <f>D513*中国_中债国债到期收益率_1年!D512/365*100</f>
        <v>9.31972602739726</v>
      </c>
      <c r="U513">
        <f>E513*中国_中债国债到期收益率_1年!E512/365*100</f>
        <v>3.4486301369863</v>
      </c>
      <c r="V513">
        <f t="shared" si="108"/>
        <v>29.7450684931507</v>
      </c>
      <c r="W513">
        <f>SUM($V$400:V513)</f>
        <v>3924.74136986301</v>
      </c>
      <c r="X513">
        <f>MAX(F513-50,0)*中国_中债国债到期收益率_1年!H513*100/365</f>
        <v>0</v>
      </c>
      <c r="Y513">
        <f>SUM($X$400:X513)</f>
        <v>330.438356164384</v>
      </c>
      <c r="Z513">
        <v>-100</v>
      </c>
      <c r="AA513">
        <v>100</v>
      </c>
      <c r="AB513">
        <f>Z513*Return!F517*100</f>
        <v>-44.9999999999995</v>
      </c>
      <c r="AC513">
        <f>AA513*Return!G517*100</f>
        <v>97.0000000000004</v>
      </c>
      <c r="AD513">
        <f>SUM($AB$400:AB513)+SUM($AC$400:AC513)</f>
        <v>1912.30000000002</v>
      </c>
      <c r="AE513">
        <f t="shared" si="100"/>
        <v>22047.6030136987</v>
      </c>
      <c r="AF513">
        <f t="shared" si="101"/>
        <v>1.0440952060274</v>
      </c>
      <c r="AG513" s="5">
        <f>(AE513-AE512)/(500000+AE512)-中国_中债国债到期收益率_1年!H513%/252</f>
        <v>0.00032778261927909</v>
      </c>
      <c r="AH513" s="5">
        <f>MIN((AF513-MAX($AF$401:AF513))/MAX($AF$401:AF513),0)</f>
        <v>0</v>
      </c>
    </row>
    <row r="514" spans="1:34">
      <c r="A514" s="9">
        <v>45460</v>
      </c>
      <c r="B514">
        <v>0</v>
      </c>
      <c r="C514">
        <v>30</v>
      </c>
      <c r="D514">
        <v>15</v>
      </c>
      <c r="E514">
        <v>5</v>
      </c>
      <c r="F514">
        <f t="shared" si="99"/>
        <v>50</v>
      </c>
      <c r="G514">
        <f t="shared" si="110"/>
        <v>0</v>
      </c>
      <c r="H514">
        <f t="shared" si="103"/>
        <v>150</v>
      </c>
      <c r="I514">
        <f t="shared" si="104"/>
        <v>135</v>
      </c>
      <c r="J514">
        <f t="shared" si="105"/>
        <v>80</v>
      </c>
      <c r="K514">
        <f t="shared" si="106"/>
        <v>365</v>
      </c>
      <c r="L514">
        <f>G514*Return!B514*100</f>
        <v>0</v>
      </c>
      <c r="M514">
        <f>H514*Return!C514*100</f>
        <v>100.499999999999</v>
      </c>
      <c r="N514">
        <f>I514*Return!D514*100</f>
        <v>162</v>
      </c>
      <c r="O514">
        <f>J514*Return!E514*100</f>
        <v>148</v>
      </c>
      <c r="P514">
        <f t="shared" si="107"/>
        <v>410.499999999999</v>
      </c>
      <c r="Q514">
        <f>SUM($P$400:P514)</f>
        <v>16951.5</v>
      </c>
      <c r="R514">
        <f>B514*中国_中债国债到期收益率_1年!B513/365*100</f>
        <v>0</v>
      </c>
      <c r="S514">
        <f>C514*中国_中债国债到期收益率_1年!C513/365*100</f>
        <v>16.9216438356164</v>
      </c>
      <c r="T514">
        <f>D514*中国_中债国债到期收益率_1年!D513/365*100</f>
        <v>9.27041095890411</v>
      </c>
      <c r="U514">
        <f>E514*中国_中债国债到期收益率_1年!E513/365*100</f>
        <v>3.42328767123288</v>
      </c>
      <c r="V514">
        <f t="shared" si="108"/>
        <v>29.6153424657534</v>
      </c>
      <c r="W514">
        <f>SUM($V$400:V514)</f>
        <v>3954.35671232877</v>
      </c>
      <c r="X514">
        <f>MAX(F514-50,0)*中国_中债国债到期收益率_1年!H514*100/365</f>
        <v>0</v>
      </c>
      <c r="Y514">
        <f>SUM($X$400:X514)</f>
        <v>330.438356164384</v>
      </c>
      <c r="Z514">
        <v>-100</v>
      </c>
      <c r="AA514">
        <v>100</v>
      </c>
      <c r="AB514">
        <f>Z514*Return!F518*100</f>
        <v>-104.000000000002</v>
      </c>
      <c r="AC514">
        <f>AA514*Return!G518*100</f>
        <v>99.9999999999979</v>
      </c>
      <c r="AD514">
        <f>SUM($AB$400:AB514)+SUM($AC$400:AC514)</f>
        <v>1908.30000000002</v>
      </c>
      <c r="AE514">
        <f t="shared" si="100"/>
        <v>22483.7183561644</v>
      </c>
      <c r="AF514">
        <f t="shared" si="101"/>
        <v>1.04496743671233</v>
      </c>
      <c r="AG514" s="5">
        <f>(AE514-AE513)/(500000+AE513)-中国_中债国债到期收益率_1年!H514%/252</f>
        <v>0.000761981123813712</v>
      </c>
      <c r="AH514" s="5">
        <f>MIN((AF514-MAX($AF$401:AF514))/MAX($AF$401:AF514),0)</f>
        <v>0</v>
      </c>
    </row>
    <row r="515" spans="1:34">
      <c r="A515" s="9">
        <v>45461</v>
      </c>
      <c r="B515">
        <v>0</v>
      </c>
      <c r="C515">
        <v>30</v>
      </c>
      <c r="D515">
        <v>15</v>
      </c>
      <c r="E515">
        <v>5</v>
      </c>
      <c r="F515">
        <f t="shared" ref="F515:F578" si="111">SUM(B515:E515)</f>
        <v>50</v>
      </c>
      <c r="G515">
        <f t="shared" si="110"/>
        <v>0</v>
      </c>
      <c r="H515">
        <f t="shared" si="103"/>
        <v>150</v>
      </c>
      <c r="I515">
        <f t="shared" si="104"/>
        <v>135</v>
      </c>
      <c r="J515">
        <f t="shared" si="105"/>
        <v>80</v>
      </c>
      <c r="K515">
        <f t="shared" si="106"/>
        <v>365</v>
      </c>
      <c r="L515">
        <f>G515*Return!B515*100</f>
        <v>0</v>
      </c>
      <c r="M515">
        <f>H515*Return!C515*100</f>
        <v>-106.499999999998</v>
      </c>
      <c r="N515">
        <f>I515*Return!D515*100</f>
        <v>-68.8500000000014</v>
      </c>
      <c r="O515">
        <f>J515*Return!E515*100</f>
        <v>-53.5999999999994</v>
      </c>
      <c r="P515">
        <f t="shared" si="107"/>
        <v>-228.949999999999</v>
      </c>
      <c r="Q515">
        <f>SUM($P$400:P515)</f>
        <v>16722.55</v>
      </c>
      <c r="R515">
        <f>B515*中国_中债国债到期收益率_1年!B514/365*100</f>
        <v>0</v>
      </c>
      <c r="S515">
        <f>C515*中国_中债国债到期收益率_1年!C514/365*100</f>
        <v>16.98</v>
      </c>
      <c r="T515">
        <f>D515*中国_中债国债到期收益率_1年!D514/365*100</f>
        <v>9.2913698630137</v>
      </c>
      <c r="U515">
        <f>E515*中国_中债国债到期收益率_1年!E514/365*100</f>
        <v>3.43246575342466</v>
      </c>
      <c r="V515">
        <f t="shared" si="108"/>
        <v>29.7038356164384</v>
      </c>
      <c r="W515">
        <f>SUM($V$400:V515)</f>
        <v>3984.0605479452</v>
      </c>
      <c r="X515">
        <f>MAX(F515-50,0)*中国_中债国债到期收益率_1年!H515*100/365</f>
        <v>0</v>
      </c>
      <c r="Y515">
        <f>SUM($X$400:X515)</f>
        <v>330.438356164384</v>
      </c>
      <c r="Z515">
        <v>-100</v>
      </c>
      <c r="AA515">
        <v>100</v>
      </c>
      <c r="AB515">
        <f>Z515*Return!F519*100</f>
        <v>184.000000000002</v>
      </c>
      <c r="AC515">
        <f>AA515*Return!G519*100</f>
        <v>-109.999999999997</v>
      </c>
      <c r="AD515">
        <f>SUM($AB$400:AB515)+SUM($AC$400:AC515)</f>
        <v>1982.30000000002</v>
      </c>
      <c r="AE515">
        <f t="shared" si="100"/>
        <v>22358.4721917808</v>
      </c>
      <c r="AF515">
        <f t="shared" si="101"/>
        <v>1.04471694438356</v>
      </c>
      <c r="AG515" s="5">
        <f>(AE515-AE514)/(500000+AE514)-中国_中债国债到期收益率_1年!H515%/252</f>
        <v>-0.000314713047475632</v>
      </c>
      <c r="AH515" s="5">
        <f>MIN((AF515-MAX($AF$401:AF515))/MAX($AF$401:AF515),0)</f>
        <v>-0.000239713047475476</v>
      </c>
    </row>
    <row r="516" spans="1:34">
      <c r="A516" s="9">
        <v>45462</v>
      </c>
      <c r="B516">
        <v>0</v>
      </c>
      <c r="C516">
        <v>30</v>
      </c>
      <c r="D516">
        <v>15</v>
      </c>
      <c r="E516">
        <v>5</v>
      </c>
      <c r="F516">
        <f t="shared" si="111"/>
        <v>50</v>
      </c>
      <c r="G516">
        <f t="shared" si="110"/>
        <v>0</v>
      </c>
      <c r="H516">
        <f t="shared" si="103"/>
        <v>150</v>
      </c>
      <c r="I516">
        <f t="shared" si="104"/>
        <v>135</v>
      </c>
      <c r="J516">
        <f t="shared" si="105"/>
        <v>80</v>
      </c>
      <c r="K516">
        <f t="shared" si="106"/>
        <v>365</v>
      </c>
      <c r="L516">
        <f>G516*Return!B516*100</f>
        <v>0</v>
      </c>
      <c r="M516">
        <f>H516*Return!C516*100</f>
        <v>136.500000000002</v>
      </c>
      <c r="N516">
        <f>I516*Return!D516*100</f>
        <v>97.2000000000013</v>
      </c>
      <c r="O516">
        <f>J516*Return!E516*100</f>
        <v>135.999999999999</v>
      </c>
      <c r="P516">
        <f t="shared" si="107"/>
        <v>369.700000000002</v>
      </c>
      <c r="Q516">
        <f>SUM($P$400:P516)</f>
        <v>17092.25</v>
      </c>
      <c r="R516">
        <f>B516*中国_中债国债到期收益率_1年!B515/365*100</f>
        <v>0</v>
      </c>
      <c r="S516">
        <f>C516*中国_中债国债到期收益率_1年!C515/365*100</f>
        <v>16.9052054794521</v>
      </c>
      <c r="T516">
        <f>D516*中国_中债国债到期收益率_1年!D515/365*100</f>
        <v>9.26178082191781</v>
      </c>
      <c r="U516">
        <f>E516*中国_中债国债到期收益率_1年!E515/365*100</f>
        <v>3.40917808219178</v>
      </c>
      <c r="V516">
        <f t="shared" si="108"/>
        <v>29.5761643835616</v>
      </c>
      <c r="W516">
        <f>SUM($V$400:V516)</f>
        <v>4013.63671232877</v>
      </c>
      <c r="X516">
        <f>MAX(F516-50,0)*中国_中债国债到期收益率_1年!H516*100/365</f>
        <v>0</v>
      </c>
      <c r="Y516">
        <f>SUM($X$400:X516)</f>
        <v>330.438356164384</v>
      </c>
      <c r="Z516">
        <v>-100</v>
      </c>
      <c r="AA516">
        <v>100</v>
      </c>
      <c r="AB516">
        <f>Z516*Return!F520*100</f>
        <v>30.9999999999988</v>
      </c>
      <c r="AC516">
        <f>AA516*Return!G520*100</f>
        <v>59.9999999999978</v>
      </c>
      <c r="AD516">
        <f>SUM($AB$400:AB516)+SUM($AC$400:AC516)</f>
        <v>2073.30000000002</v>
      </c>
      <c r="AE516">
        <f t="shared" ref="AE516:AE579" si="112">Q516+W516+AD516-Y516</f>
        <v>22848.7483561644</v>
      </c>
      <c r="AF516">
        <f t="shared" ref="AF516:AF579" si="113">AE516/$AI$1+1</f>
        <v>1.04569749671233</v>
      </c>
      <c r="AG516" s="5">
        <f>(AE516-AE515)/(500000+AE515)-中国_中债国债到期收益率_1年!H516%/252</f>
        <v>0.000862788167026583</v>
      </c>
      <c r="AH516" s="5">
        <f>MIN((AF516-MAX($AF$401:AF516))/MAX($AF$401:AF516),0)</f>
        <v>0</v>
      </c>
    </row>
    <row r="517" spans="1:34">
      <c r="A517" s="9">
        <v>45463</v>
      </c>
      <c r="B517">
        <v>0</v>
      </c>
      <c r="C517">
        <v>30</v>
      </c>
      <c r="D517">
        <v>15</v>
      </c>
      <c r="E517">
        <v>5</v>
      </c>
      <c r="F517">
        <f t="shared" si="111"/>
        <v>50</v>
      </c>
      <c r="G517">
        <f t="shared" si="110"/>
        <v>0</v>
      </c>
      <c r="H517">
        <f t="shared" si="103"/>
        <v>150</v>
      </c>
      <c r="I517">
        <f t="shared" si="104"/>
        <v>135</v>
      </c>
      <c r="J517">
        <f t="shared" si="105"/>
        <v>80</v>
      </c>
      <c r="K517">
        <f t="shared" si="106"/>
        <v>365</v>
      </c>
      <c r="L517">
        <f>G517*Return!B517*100</f>
        <v>0</v>
      </c>
      <c r="M517">
        <f>H517*Return!C517*100</f>
        <v>497.999999999998</v>
      </c>
      <c r="N517">
        <f>I517*Return!D517*100</f>
        <v>145.799999999996</v>
      </c>
      <c r="O517">
        <f>J517*Return!E517*100</f>
        <v>72.0000000000027</v>
      </c>
      <c r="P517">
        <f t="shared" si="107"/>
        <v>715.799999999997</v>
      </c>
      <c r="Q517">
        <f>SUM($P$400:P517)</f>
        <v>17808.05</v>
      </c>
      <c r="R517">
        <f>B517*中国_中债国债到期收益率_1年!B516/365*100</f>
        <v>0</v>
      </c>
      <c r="S517">
        <f>C517*中国_中债国债到期收益率_1年!C516/365*100</f>
        <v>16.6323287671233</v>
      </c>
      <c r="T517">
        <f>D517*中国_中债国债到期收益率_1年!D516/365*100</f>
        <v>9.21739726027397</v>
      </c>
      <c r="U517">
        <f>E517*中国_中债国债到期收益率_1年!E516/365*100</f>
        <v>3.39684931506849</v>
      </c>
      <c r="V517">
        <f t="shared" si="108"/>
        <v>29.2465753424658</v>
      </c>
      <c r="W517">
        <f>SUM($V$400:V517)</f>
        <v>4042.88328767123</v>
      </c>
      <c r="X517">
        <f>MAX(F517-50,0)*中国_中债国债到期收益率_1年!H517*100/365</f>
        <v>0</v>
      </c>
      <c r="Y517">
        <f>SUM($X$400:X517)</f>
        <v>330.438356164384</v>
      </c>
      <c r="Z517">
        <v>-100</v>
      </c>
      <c r="AA517">
        <v>100</v>
      </c>
      <c r="AB517">
        <f>Z517*Return!F521*100</f>
        <v>-177</v>
      </c>
      <c r="AC517">
        <f>AA517*Return!G521*100</f>
        <v>235.000000000001</v>
      </c>
      <c r="AD517">
        <f>SUM($AB$400:AB517)+SUM($AC$400:AC517)</f>
        <v>2131.30000000002</v>
      </c>
      <c r="AE517">
        <f t="shared" si="112"/>
        <v>23651.7949315069</v>
      </c>
      <c r="AF517">
        <f t="shared" si="113"/>
        <v>1.04730358986301</v>
      </c>
      <c r="AG517" s="5">
        <f>(AE517-AE516)/(500000+AE516)-中国_中债国债到期收益率_1年!H517%/252</f>
        <v>0.00146050926191282</v>
      </c>
      <c r="AH517" s="5">
        <f>MIN((AF517-MAX($AF$401:AF517))/MAX($AF$401:AF517),0)</f>
        <v>0</v>
      </c>
    </row>
    <row r="518" spans="1:34">
      <c r="A518" s="9">
        <v>45464</v>
      </c>
      <c r="B518">
        <v>0</v>
      </c>
      <c r="C518">
        <v>30</v>
      </c>
      <c r="D518">
        <v>15</v>
      </c>
      <c r="E518">
        <v>5</v>
      </c>
      <c r="F518">
        <f t="shared" si="111"/>
        <v>50</v>
      </c>
      <c r="G518">
        <f t="shared" si="110"/>
        <v>0</v>
      </c>
      <c r="H518">
        <f t="shared" si="103"/>
        <v>150</v>
      </c>
      <c r="I518">
        <f t="shared" si="104"/>
        <v>135</v>
      </c>
      <c r="J518">
        <f t="shared" si="105"/>
        <v>80</v>
      </c>
      <c r="K518">
        <f t="shared" si="106"/>
        <v>365</v>
      </c>
      <c r="L518">
        <f>G518*Return!B518*100</f>
        <v>0</v>
      </c>
      <c r="M518">
        <f>H518*Return!C518*100</f>
        <v>-79.5000000000012</v>
      </c>
      <c r="N518">
        <f>I518*Return!D518*100</f>
        <v>-21.5999999999976</v>
      </c>
      <c r="O518">
        <f>J518*Return!E518*100</f>
        <v>71.1999999999975</v>
      </c>
      <c r="P518">
        <f t="shared" si="107"/>
        <v>-29.9000000000014</v>
      </c>
      <c r="Q518">
        <f>SUM($P$400:P518)</f>
        <v>17778.15</v>
      </c>
      <c r="R518">
        <f>B518*中国_中债国债到期收益率_1年!B517/365*100</f>
        <v>0</v>
      </c>
      <c r="S518">
        <f>C518*中国_中债国债到期收益率_1年!C517/365*100</f>
        <v>16.6758904109589</v>
      </c>
      <c r="T518">
        <f>D518*中国_中债国债到期收益率_1年!D517/365*100</f>
        <v>9.22397260273972</v>
      </c>
      <c r="U518">
        <f>E518*中国_中债国债到期收益率_1年!E517/365*100</f>
        <v>3.38465753424658</v>
      </c>
      <c r="V518">
        <f t="shared" si="108"/>
        <v>29.2845205479452</v>
      </c>
      <c r="W518">
        <f>SUM($V$400:V518)</f>
        <v>4072.16780821918</v>
      </c>
      <c r="X518">
        <f>MAX(F518-50,0)*中国_中债国债到期收益率_1年!H518*100/365</f>
        <v>0</v>
      </c>
      <c r="Y518">
        <f>SUM($X$400:X518)</f>
        <v>330.438356164384</v>
      </c>
      <c r="Z518">
        <v>-100</v>
      </c>
      <c r="AA518">
        <v>100</v>
      </c>
      <c r="AB518">
        <f>Z518*Return!F522*100</f>
        <v>40.9999999999999</v>
      </c>
      <c r="AC518">
        <f>AA518*Return!G522*100</f>
        <v>8.99999999999901</v>
      </c>
      <c r="AD518">
        <f>SUM($AB$400:AB518)+SUM($AC$400:AC518)</f>
        <v>2181.30000000002</v>
      </c>
      <c r="AE518">
        <f t="shared" si="112"/>
        <v>23701.1794520548</v>
      </c>
      <c r="AF518">
        <f t="shared" si="113"/>
        <v>1.04740235890411</v>
      </c>
      <c r="AG518" s="5">
        <f>(AE518-AE517)/(500000+AE517)-中国_中债国债到期收益率_1年!H518%/252</f>
        <v>1.37523815620867e-5</v>
      </c>
      <c r="AH518" s="5">
        <f>MIN((AF518-MAX($AF$401:AF518))/MAX($AF$401:AF518),0)</f>
        <v>0</v>
      </c>
    </row>
    <row r="519" spans="1:34">
      <c r="A519" s="9">
        <v>45467</v>
      </c>
      <c r="B519">
        <v>0</v>
      </c>
      <c r="C519">
        <v>30</v>
      </c>
      <c r="D519">
        <v>15</v>
      </c>
      <c r="E519">
        <v>5</v>
      </c>
      <c r="F519">
        <f t="shared" si="111"/>
        <v>50</v>
      </c>
      <c r="G519">
        <f t="shared" si="110"/>
        <v>0</v>
      </c>
      <c r="H519">
        <f t="shared" si="103"/>
        <v>150</v>
      </c>
      <c r="I519">
        <f t="shared" si="104"/>
        <v>135</v>
      </c>
      <c r="J519">
        <f t="shared" si="105"/>
        <v>80</v>
      </c>
      <c r="K519">
        <f t="shared" si="106"/>
        <v>365</v>
      </c>
      <c r="L519">
        <f>G519*Return!B519*100</f>
        <v>0</v>
      </c>
      <c r="M519">
        <f>H519*Return!C519*100</f>
        <v>-151.5</v>
      </c>
      <c r="N519">
        <f>I519*Return!D519*100</f>
        <v>-170.099999999999</v>
      </c>
      <c r="O519">
        <f>J519*Return!E519*100</f>
        <v>-71.1999999999975</v>
      </c>
      <c r="P519">
        <f t="shared" si="107"/>
        <v>-392.799999999997</v>
      </c>
      <c r="Q519">
        <f>SUM($P$400:P519)</f>
        <v>17385.35</v>
      </c>
      <c r="R519">
        <f>B519*中国_中债国债到期收益率_1年!B518/365*100</f>
        <v>0</v>
      </c>
      <c r="S519">
        <f>C519*中国_中债国债到期收益率_1年!C518/365*100</f>
        <v>16.758904109589</v>
      </c>
      <c r="T519">
        <f>D519*中国_中债国债到期收益率_1年!D518/365*100</f>
        <v>9.27575342465753</v>
      </c>
      <c r="U519">
        <f>E519*中国_中债国债到期收益率_1年!E518/365*100</f>
        <v>3.39684931506849</v>
      </c>
      <c r="V519">
        <f t="shared" si="108"/>
        <v>29.4315068493151</v>
      </c>
      <c r="W519">
        <f>SUM($V$400:V519)</f>
        <v>4101.59931506849</v>
      </c>
      <c r="X519">
        <f>MAX(F519-50,0)*中国_中债国债到期收益率_1年!H519*100/365</f>
        <v>0</v>
      </c>
      <c r="Y519">
        <f>SUM($X$400:X519)</f>
        <v>330.438356164384</v>
      </c>
      <c r="Z519">
        <v>-100</v>
      </c>
      <c r="AA519">
        <v>100</v>
      </c>
      <c r="AB519">
        <f>Z519*Return!F523*100</f>
        <v>-167.999999999999</v>
      </c>
      <c r="AC519">
        <f>AA519*Return!G523*100</f>
        <v>181</v>
      </c>
      <c r="AD519">
        <f>SUM($AB$400:AB519)+SUM($AC$400:AC519)</f>
        <v>2194.30000000002</v>
      </c>
      <c r="AE519">
        <f t="shared" si="112"/>
        <v>23350.8109589041</v>
      </c>
      <c r="AF519">
        <f t="shared" si="113"/>
        <v>1.04670162191781</v>
      </c>
      <c r="AG519" s="5">
        <f>(AE519-AE518)/(500000+AE518)-中国_中债国债到期收益率_1年!H519%/252</f>
        <v>-0.000762277653702353</v>
      </c>
      <c r="AH519" s="5">
        <f>MIN((AF519-MAX($AF$401:AF519))/MAX($AF$401:AF519),0)</f>
        <v>-0.000669023685448485</v>
      </c>
    </row>
    <row r="520" spans="1:34">
      <c r="A520" s="9">
        <v>45468</v>
      </c>
      <c r="B520">
        <v>0</v>
      </c>
      <c r="C520">
        <v>30</v>
      </c>
      <c r="D520">
        <v>15</v>
      </c>
      <c r="E520">
        <v>5</v>
      </c>
      <c r="F520">
        <f t="shared" si="111"/>
        <v>50</v>
      </c>
      <c r="G520">
        <f t="shared" si="110"/>
        <v>0</v>
      </c>
      <c r="H520">
        <f t="shared" si="103"/>
        <v>150</v>
      </c>
      <c r="I520">
        <f t="shared" si="104"/>
        <v>135</v>
      </c>
      <c r="J520">
        <f t="shared" si="105"/>
        <v>80</v>
      </c>
      <c r="K520">
        <f t="shared" si="106"/>
        <v>365</v>
      </c>
      <c r="L520">
        <f>G520*Return!B520*100</f>
        <v>0</v>
      </c>
      <c r="M520">
        <f>H520*Return!C520*100</f>
        <v>202.500000000001</v>
      </c>
      <c r="N520">
        <f>I520*Return!D520*100</f>
        <v>162</v>
      </c>
      <c r="O520">
        <f>J520*Return!E520*100</f>
        <v>151.999999999997</v>
      </c>
      <c r="P520">
        <f t="shared" si="107"/>
        <v>516.499999999999</v>
      </c>
      <c r="Q520">
        <f>SUM($P$400:P520)</f>
        <v>17901.85</v>
      </c>
      <c r="R520">
        <f>B520*中国_中债国债到期收益率_1年!B519/365*100</f>
        <v>0</v>
      </c>
      <c r="S520">
        <f>C520*中国_中债国债到期收益率_1年!C519/365*100</f>
        <v>16.6479452054795</v>
      </c>
      <c r="T520">
        <f>D520*中国_中债国债到期收益率_1年!D519/365*100</f>
        <v>9.22643835616438</v>
      </c>
      <c r="U520">
        <f>E520*中国_中债国债到期收益率_1年!E519/365*100</f>
        <v>3.37082191780822</v>
      </c>
      <c r="V520">
        <f t="shared" si="108"/>
        <v>29.2452054794521</v>
      </c>
      <c r="W520">
        <f>SUM($V$400:V520)</f>
        <v>4130.84452054794</v>
      </c>
      <c r="X520">
        <f>MAX(F520-50,0)*中国_中债国债到期收益率_1年!H520*100/365</f>
        <v>0</v>
      </c>
      <c r="Y520">
        <f>SUM($X$400:X520)</f>
        <v>330.438356164384</v>
      </c>
      <c r="Z520">
        <v>-100</v>
      </c>
      <c r="AA520">
        <v>100</v>
      </c>
      <c r="AB520">
        <f>Z520*Return!F524*100</f>
        <v>34.0000000000007</v>
      </c>
      <c r="AC520">
        <f>AA520*Return!G524*100</f>
        <v>-16.0000000000005</v>
      </c>
      <c r="AD520">
        <f>SUM($AB$400:AB520)+SUM($AC$400:AC520)</f>
        <v>2212.30000000002</v>
      </c>
      <c r="AE520">
        <f t="shared" si="112"/>
        <v>23914.5561643836</v>
      </c>
      <c r="AF520">
        <f t="shared" si="113"/>
        <v>1.04782911232877</v>
      </c>
      <c r="AG520" s="5">
        <f>(AE520-AE519)/(500000+AE519)-中国_中债国债到期收益率_1年!H520%/252</f>
        <v>0.000985914322153037</v>
      </c>
      <c r="AH520" s="5">
        <f>MIN((AF520-MAX($AF$401:AF520))/MAX($AF$401:AF520),0)</f>
        <v>0</v>
      </c>
    </row>
    <row r="521" spans="1:34">
      <c r="A521" s="9">
        <v>45469</v>
      </c>
      <c r="B521">
        <v>0</v>
      </c>
      <c r="C521">
        <v>30</v>
      </c>
      <c r="D521">
        <v>15</v>
      </c>
      <c r="E521">
        <v>5</v>
      </c>
      <c r="F521">
        <f t="shared" si="111"/>
        <v>50</v>
      </c>
      <c r="G521">
        <f t="shared" si="110"/>
        <v>0</v>
      </c>
      <c r="H521">
        <f t="shared" si="103"/>
        <v>150</v>
      </c>
      <c r="I521">
        <f t="shared" si="104"/>
        <v>135</v>
      </c>
      <c r="J521">
        <f t="shared" si="105"/>
        <v>80</v>
      </c>
      <c r="K521">
        <f t="shared" si="106"/>
        <v>365</v>
      </c>
      <c r="L521">
        <f>G521*Return!B521*100</f>
        <v>0</v>
      </c>
      <c r="M521">
        <f>H521*Return!C521*100</f>
        <v>144.000000000004</v>
      </c>
      <c r="N521">
        <f>I521*Return!D521*100</f>
        <v>136.35</v>
      </c>
      <c r="O521">
        <f>J521*Return!E521*100</f>
        <v>103.999999999999</v>
      </c>
      <c r="P521">
        <f t="shared" si="107"/>
        <v>384.350000000003</v>
      </c>
      <c r="Q521">
        <f>SUM($P$400:P521)</f>
        <v>18286.2</v>
      </c>
      <c r="R521">
        <f>B521*中国_中债国债到期收益率_1年!B520/365*100</f>
        <v>0</v>
      </c>
      <c r="S521">
        <f>C521*中国_中债国债到期收益率_1年!C520/365*100</f>
        <v>16.5690410958904</v>
      </c>
      <c r="T521">
        <f>D521*中国_中债国债到期收益率_1年!D520/365*100</f>
        <v>9.18493150684931</v>
      </c>
      <c r="U521">
        <f>E521*中国_中债国债到期收益率_1年!E520/365*100</f>
        <v>3.35301369863014</v>
      </c>
      <c r="V521">
        <f t="shared" si="108"/>
        <v>29.1069863013699</v>
      </c>
      <c r="W521">
        <f>SUM($V$400:V521)</f>
        <v>4159.95150684931</v>
      </c>
      <c r="X521">
        <f>MAX(F521-50,0)*中国_中债国债到期收益率_1年!H521*100/365</f>
        <v>0</v>
      </c>
      <c r="Y521">
        <f>SUM($X$400:X521)</f>
        <v>330.438356164384</v>
      </c>
      <c r="Z521">
        <v>-100</v>
      </c>
      <c r="AA521">
        <v>100</v>
      </c>
      <c r="AB521">
        <f>Z521*Return!F525*100</f>
        <v>107.999999999999</v>
      </c>
      <c r="AC521">
        <f>AA521*Return!G525*100</f>
        <v>-260</v>
      </c>
      <c r="AD521">
        <f>SUM($AB$400:AB521)+SUM($AC$400:AC521)</f>
        <v>2060.30000000002</v>
      </c>
      <c r="AE521">
        <f t="shared" si="112"/>
        <v>24176.013150685</v>
      </c>
      <c r="AF521">
        <f t="shared" si="113"/>
        <v>1.04835202630137</v>
      </c>
      <c r="AG521" s="5">
        <f>(AE521-AE520)/(500000+AE520)-中国_中债国债到期收益率_1年!H521%/252</f>
        <v>0.000407775247714738</v>
      </c>
      <c r="AH521" s="5">
        <f>MIN((AF521-MAX($AF$401:AF521))/MAX($AF$401:AF521),0)</f>
        <v>0</v>
      </c>
    </row>
    <row r="522" spans="1:34">
      <c r="A522" s="9">
        <v>45470</v>
      </c>
      <c r="B522">
        <v>0</v>
      </c>
      <c r="C522">
        <v>30</v>
      </c>
      <c r="D522">
        <v>15</v>
      </c>
      <c r="E522">
        <v>5</v>
      </c>
      <c r="F522">
        <f t="shared" si="111"/>
        <v>50</v>
      </c>
      <c r="G522">
        <f t="shared" si="110"/>
        <v>0</v>
      </c>
      <c r="H522">
        <f t="shared" si="103"/>
        <v>150</v>
      </c>
      <c r="I522">
        <f t="shared" si="104"/>
        <v>135</v>
      </c>
      <c r="J522">
        <f t="shared" si="105"/>
        <v>80</v>
      </c>
      <c r="K522">
        <f t="shared" si="106"/>
        <v>365</v>
      </c>
      <c r="L522">
        <f>G522*Return!B522*100</f>
        <v>0</v>
      </c>
      <c r="M522">
        <f>H522*Return!C522*100</f>
        <v>257.999999999998</v>
      </c>
      <c r="N522">
        <f>I522*Return!D522*100</f>
        <v>168.749999999996</v>
      </c>
      <c r="O522">
        <f>J522*Return!E522*100</f>
        <v>28.0000000000022</v>
      </c>
      <c r="P522">
        <f t="shared" si="107"/>
        <v>454.749999999997</v>
      </c>
      <c r="Q522">
        <f>SUM($P$400:P522)</f>
        <v>18740.95</v>
      </c>
      <c r="R522">
        <f>B522*中国_中债国债到期收益率_1年!B521/365*100</f>
        <v>0</v>
      </c>
      <c r="S522">
        <f>C522*中国_中债国债到期收益率_1年!C521/365*100</f>
        <v>16.4276712328767</v>
      </c>
      <c r="T522">
        <f>D522*中国_中债国债到期收益率_1年!D521/365*100</f>
        <v>9.13356164383562</v>
      </c>
      <c r="U522">
        <f>E522*中国_中债国债到期收益率_1年!E521/365*100</f>
        <v>3.34821917808219</v>
      </c>
      <c r="V522">
        <f t="shared" si="108"/>
        <v>28.9094520547945</v>
      </c>
      <c r="W522">
        <f>SUM($V$400:V522)</f>
        <v>4188.86095890411</v>
      </c>
      <c r="X522">
        <f>MAX(F522-50,0)*中国_中债国债到期收益率_1年!H522*100/365</f>
        <v>0</v>
      </c>
      <c r="Y522">
        <f>SUM($X$400:X522)</f>
        <v>330.438356164384</v>
      </c>
      <c r="Z522">
        <v>-100</v>
      </c>
      <c r="AA522">
        <v>100</v>
      </c>
      <c r="AB522">
        <f>Z522*Return!F526*100</f>
        <v>55.0000000000006</v>
      </c>
      <c r="AC522">
        <f>AA522*Return!G526*100</f>
        <v>-23.9999999999996</v>
      </c>
      <c r="AD522">
        <f>SUM($AB$400:AB522)+SUM($AC$400:AC522)</f>
        <v>2091.30000000002</v>
      </c>
      <c r="AE522">
        <f t="shared" si="112"/>
        <v>24690.6726027397</v>
      </c>
      <c r="AF522">
        <f t="shared" si="113"/>
        <v>1.04938134520548</v>
      </c>
      <c r="AG522" s="5">
        <f>(AE522-AE521)/(500000+AE521)-中国_中债国债到期收益率_1年!H522%/252</f>
        <v>0.000888590754020346</v>
      </c>
      <c r="AH522" s="5">
        <f>MIN((AF522-MAX($AF$401:AF522))/MAX($AF$401:AF522),0)</f>
        <v>0</v>
      </c>
    </row>
    <row r="523" spans="1:34">
      <c r="A523" s="9">
        <v>45471</v>
      </c>
      <c r="B523">
        <v>0</v>
      </c>
      <c r="C523">
        <v>30</v>
      </c>
      <c r="D523">
        <v>15</v>
      </c>
      <c r="E523">
        <v>5</v>
      </c>
      <c r="F523">
        <f t="shared" si="111"/>
        <v>50</v>
      </c>
      <c r="G523">
        <f t="shared" si="110"/>
        <v>0</v>
      </c>
      <c r="H523">
        <f t="shared" si="103"/>
        <v>150</v>
      </c>
      <c r="I523">
        <f t="shared" si="104"/>
        <v>135</v>
      </c>
      <c r="J523">
        <f t="shared" si="105"/>
        <v>80</v>
      </c>
      <c r="K523">
        <f t="shared" si="106"/>
        <v>365</v>
      </c>
      <c r="L523">
        <f>G523*Return!B523*100</f>
        <v>0</v>
      </c>
      <c r="M523">
        <f>H523*Return!C523*100</f>
        <v>326.999999999997</v>
      </c>
      <c r="N523">
        <f>I523*Return!D523*100</f>
        <v>194.400000000003</v>
      </c>
      <c r="O523">
        <f>J523*Return!E523*100</f>
        <v>128</v>
      </c>
      <c r="P523">
        <f t="shared" si="107"/>
        <v>649.4</v>
      </c>
      <c r="Q523">
        <f>SUM($P$400:P523)</f>
        <v>19390.35</v>
      </c>
      <c r="R523">
        <f>B523*中国_中债国债到期收益率_1年!B522/365*100</f>
        <v>0</v>
      </c>
      <c r="S523">
        <f>C523*中国_中债国债到期收益率_1年!C522/365*100</f>
        <v>16.2484931506849</v>
      </c>
      <c r="T523">
        <f>D523*中国_中债国债到期收益率_1年!D522/365*100</f>
        <v>9.07438356164383</v>
      </c>
      <c r="U523">
        <f>E523*中国_中债国债到期收益率_1年!E522/365*100</f>
        <v>3.32630136986301</v>
      </c>
      <c r="V523">
        <f t="shared" si="108"/>
        <v>28.6491780821918</v>
      </c>
      <c r="W523">
        <f>SUM($V$400:V523)</f>
        <v>4217.5101369863</v>
      </c>
      <c r="X523">
        <f>MAX(F523-50,0)*中国_中债国债到期收益率_1年!H523*100/365</f>
        <v>0</v>
      </c>
      <c r="Y523">
        <f>SUM($X$400:X523)</f>
        <v>330.438356164384</v>
      </c>
      <c r="Z523">
        <v>-100</v>
      </c>
      <c r="AA523">
        <v>100</v>
      </c>
      <c r="AB523">
        <f>Z523*Return!F527*100</f>
        <v>8.99999999999901</v>
      </c>
      <c r="AC523">
        <f>AA523*Return!G527*100</f>
        <v>150.000000000001</v>
      </c>
      <c r="AD523">
        <f>SUM($AB$400:AB523)+SUM($AC$400:AC523)</f>
        <v>2250.30000000002</v>
      </c>
      <c r="AE523">
        <f t="shared" si="112"/>
        <v>25527.7217808219</v>
      </c>
      <c r="AF523">
        <f t="shared" si="113"/>
        <v>1.05105544356164</v>
      </c>
      <c r="AG523" s="5">
        <f>(AE523-AE522)/(500000+AE522)-中国_中债国债到期收益率_1年!H523%/252</f>
        <v>0.00150404949980019</v>
      </c>
      <c r="AH523" s="5">
        <f>MIN((AF523-MAX($AF$401:AF523))/MAX($AF$401:AF523),0)</f>
        <v>0</v>
      </c>
    </row>
    <row r="524" spans="1:34">
      <c r="A524" s="9">
        <v>45474</v>
      </c>
      <c r="B524">
        <v>0</v>
      </c>
      <c r="C524">
        <v>30</v>
      </c>
      <c r="D524">
        <v>15</v>
      </c>
      <c r="E524">
        <v>5</v>
      </c>
      <c r="F524">
        <f t="shared" si="111"/>
        <v>50</v>
      </c>
      <c r="G524">
        <f t="shared" si="110"/>
        <v>0</v>
      </c>
      <c r="H524">
        <f t="shared" si="103"/>
        <v>150</v>
      </c>
      <c r="I524">
        <f t="shared" si="104"/>
        <v>135</v>
      </c>
      <c r="J524">
        <f t="shared" si="105"/>
        <v>80</v>
      </c>
      <c r="K524">
        <f t="shared" si="106"/>
        <v>365</v>
      </c>
      <c r="L524">
        <f>G524*Return!B524*100</f>
        <v>0</v>
      </c>
      <c r="M524">
        <f>H524*Return!C524*100</f>
        <v>-19.4999999999979</v>
      </c>
      <c r="N524">
        <f>I524*Return!D524*100</f>
        <v>31.0499999999996</v>
      </c>
      <c r="O524">
        <f>J524*Return!E524*100</f>
        <v>0</v>
      </c>
      <c r="P524">
        <f t="shared" si="107"/>
        <v>11.5500000000017</v>
      </c>
      <c r="Q524">
        <f>SUM($P$400:P524)</f>
        <v>19401.9</v>
      </c>
      <c r="R524">
        <f>B524*中国_中债国债到期收益率_1年!B523/365*100</f>
        <v>0</v>
      </c>
      <c r="S524">
        <f>C524*中国_中债国债到期收益率_1年!C523/365*100</f>
        <v>16.2591780821918</v>
      </c>
      <c r="T524">
        <f>D524*中国_中债国债到期收益率_1年!D523/365*100</f>
        <v>9.06493150684932</v>
      </c>
      <c r="U524">
        <f>E524*中国_中债国债到期收益率_1年!E523/365*100</f>
        <v>3.32630136986301</v>
      </c>
      <c r="V524">
        <f t="shared" si="108"/>
        <v>28.6504109589041</v>
      </c>
      <c r="W524">
        <f>SUM($V$400:V524)</f>
        <v>4246.1605479452</v>
      </c>
      <c r="X524">
        <f>MAX(F524-50,0)*中国_中债国债到期收益率_1年!H524*100/365</f>
        <v>0</v>
      </c>
      <c r="Y524">
        <f>SUM($X$400:X524)</f>
        <v>330.438356164384</v>
      </c>
      <c r="Z524">
        <v>-100</v>
      </c>
      <c r="AA524">
        <v>100</v>
      </c>
      <c r="AB524">
        <f>Z524*Return!F528*100</f>
        <v>5.99999999999934</v>
      </c>
      <c r="AC524">
        <f>AA524*Return!G528*100</f>
        <v>-103</v>
      </c>
      <c r="AD524">
        <f>SUM($AB$400:AB524)+SUM($AC$400:AC524)</f>
        <v>2153.30000000002</v>
      </c>
      <c r="AE524">
        <f t="shared" si="112"/>
        <v>25470.9221917808</v>
      </c>
      <c r="AF524">
        <f t="shared" si="113"/>
        <v>1.05094184438356</v>
      </c>
      <c r="AG524" s="5">
        <f>(AE524-AE523)/(500000+AE523)-中国_中债国债到期收益率_1年!H524%/252</f>
        <v>-0.000185462004411129</v>
      </c>
      <c r="AH524" s="5">
        <f>MIN((AF524-MAX($AF$401:AF524))/MAX($AF$401:AF524),0)</f>
        <v>-0.000108081052030276</v>
      </c>
    </row>
    <row r="525" spans="1:34">
      <c r="A525" s="9">
        <v>45475</v>
      </c>
      <c r="B525">
        <v>0</v>
      </c>
      <c r="C525">
        <v>30</v>
      </c>
      <c r="D525">
        <v>15</v>
      </c>
      <c r="E525">
        <v>5</v>
      </c>
      <c r="F525">
        <f t="shared" si="111"/>
        <v>50</v>
      </c>
      <c r="G525">
        <f t="shared" si="110"/>
        <v>0</v>
      </c>
      <c r="H525">
        <f t="shared" si="103"/>
        <v>150</v>
      </c>
      <c r="I525">
        <f t="shared" si="104"/>
        <v>135</v>
      </c>
      <c r="J525">
        <f t="shared" si="105"/>
        <v>80</v>
      </c>
      <c r="K525">
        <f t="shared" si="106"/>
        <v>365</v>
      </c>
      <c r="L525">
        <f>G525*Return!B525*100</f>
        <v>0</v>
      </c>
      <c r="M525">
        <f>H525*Return!C525*100</f>
        <v>-627.000000000001</v>
      </c>
      <c r="N525">
        <f>I525*Return!D525*100</f>
        <v>-577.800000000002</v>
      </c>
      <c r="O525">
        <f>J525*Return!E525*100</f>
        <v>-400.000000000002</v>
      </c>
      <c r="P525">
        <f t="shared" si="107"/>
        <v>-1604.80000000001</v>
      </c>
      <c r="Q525">
        <f>SUM($P$400:P525)</f>
        <v>17797.1</v>
      </c>
      <c r="R525">
        <f>B525*中国_中债国债到期收益率_1年!B524/365*100</f>
        <v>0</v>
      </c>
      <c r="S525">
        <f>C525*中国_中债国债到期收益率_1年!C524/365*100</f>
        <v>16.6027397260274</v>
      </c>
      <c r="T525">
        <f>D525*中国_中债国债到期收益率_1年!D524/365*100</f>
        <v>9.24082191780822</v>
      </c>
      <c r="U525">
        <f>E525*中国_中债国债到期收益率_1年!E524/365*100</f>
        <v>3.39479452054795</v>
      </c>
      <c r="V525">
        <f t="shared" si="108"/>
        <v>29.2383561643836</v>
      </c>
      <c r="W525">
        <f>SUM($V$400:V525)</f>
        <v>4275.39890410959</v>
      </c>
      <c r="X525">
        <f>MAX(F525-50,0)*中国_中债国债到期收益率_1年!H525*100/365</f>
        <v>0</v>
      </c>
      <c r="Y525">
        <f>SUM($X$400:X525)</f>
        <v>330.438356164384</v>
      </c>
      <c r="Z525">
        <v>-100</v>
      </c>
      <c r="AA525">
        <v>100</v>
      </c>
      <c r="AB525">
        <f>Z525*Return!F529*100</f>
        <v>145.000000000002</v>
      </c>
      <c r="AC525">
        <f>AA525*Return!G529*100</f>
        <v>-205</v>
      </c>
      <c r="AD525">
        <f>SUM($AB$400:AB525)+SUM($AC$400:AC525)</f>
        <v>2093.30000000002</v>
      </c>
      <c r="AE525">
        <f t="shared" si="112"/>
        <v>23835.3605479452</v>
      </c>
      <c r="AF525">
        <f t="shared" si="113"/>
        <v>1.04767072109589</v>
      </c>
      <c r="AG525" s="5">
        <f>(AE525-AE524)/(500000+AE524)-中国_中债国债到期收益率_1年!H525%/252</f>
        <v>-0.00318597625761701</v>
      </c>
      <c r="AH525" s="5">
        <f>MIN((AF525-MAX($AF$401:AF525))/MAX($AF$401:AF525),0)</f>
        <v>-0.00322030820209056</v>
      </c>
    </row>
    <row r="526" spans="1:34">
      <c r="A526" s="9">
        <v>45476</v>
      </c>
      <c r="B526">
        <v>0</v>
      </c>
      <c r="C526">
        <v>30</v>
      </c>
      <c r="D526">
        <v>15</v>
      </c>
      <c r="E526">
        <v>5</v>
      </c>
      <c r="F526">
        <f t="shared" si="111"/>
        <v>50</v>
      </c>
      <c r="G526">
        <f t="shared" si="110"/>
        <v>0</v>
      </c>
      <c r="H526">
        <f t="shared" si="103"/>
        <v>150</v>
      </c>
      <c r="I526">
        <f t="shared" si="104"/>
        <v>135</v>
      </c>
      <c r="J526">
        <f t="shared" si="105"/>
        <v>80</v>
      </c>
      <c r="K526">
        <f t="shared" si="106"/>
        <v>365</v>
      </c>
      <c r="L526">
        <f>G526*Return!B526*100</f>
        <v>0</v>
      </c>
      <c r="M526">
        <f>H526*Return!C526*100</f>
        <v>487.5</v>
      </c>
      <c r="N526">
        <f>I526*Return!D526*100</f>
        <v>157.950000000004</v>
      </c>
      <c r="O526">
        <f>J526*Return!E526*100</f>
        <v>72.0000000000027</v>
      </c>
      <c r="P526">
        <f t="shared" si="107"/>
        <v>717.450000000006</v>
      </c>
      <c r="Q526">
        <f>SUM($P$400:P526)</f>
        <v>18514.55</v>
      </c>
      <c r="R526">
        <f>B526*中国_中债国债到期收益率_1年!B525/365*100</f>
        <v>0</v>
      </c>
      <c r="S526">
        <f>C526*中国_中债国债到期收益率_1年!C525/365*100</f>
        <v>16.3356164383562</v>
      </c>
      <c r="T526">
        <f>D526*中国_中债国债到期收益率_1年!D525/365*100</f>
        <v>9.1927397260274</v>
      </c>
      <c r="U526">
        <f>E526*中国_中债国债到期收益率_1年!E525/365*100</f>
        <v>3.38246575342466</v>
      </c>
      <c r="V526">
        <f t="shared" si="108"/>
        <v>28.9108219178082</v>
      </c>
      <c r="W526">
        <f>SUM($V$400:V526)</f>
        <v>4304.3097260274</v>
      </c>
      <c r="X526">
        <f>MAX(F526-50,0)*中国_中债国债到期收益率_1年!H526*100/365</f>
        <v>0</v>
      </c>
      <c r="Y526">
        <f>SUM($X$400:X526)</f>
        <v>330.438356164384</v>
      </c>
      <c r="Z526">
        <v>-100</v>
      </c>
      <c r="AA526">
        <v>100</v>
      </c>
      <c r="AB526">
        <f>Z526*Return!F530*100</f>
        <v>252.999999999999</v>
      </c>
      <c r="AC526">
        <f>AA526*Return!G530*100</f>
        <v>-388.000000000002</v>
      </c>
      <c r="AD526">
        <f>SUM($AB$400:AB526)+SUM($AC$400:AC526)</f>
        <v>1958.30000000002</v>
      </c>
      <c r="AE526">
        <f t="shared" si="112"/>
        <v>24446.721369863</v>
      </c>
      <c r="AF526">
        <f t="shared" si="113"/>
        <v>1.04889344273973</v>
      </c>
      <c r="AG526" s="5">
        <f>(AE526-AE525)/(500000+AE525)-中国_中债国债到期收益率_1年!H526%/252</f>
        <v>0.00109367312274743</v>
      </c>
      <c r="AH526" s="5">
        <f>MIN((AF526-MAX($AF$401:AF526))/MAX($AF$401:AF526),0)</f>
        <v>-0.00205698075697285</v>
      </c>
    </row>
    <row r="527" spans="1:34">
      <c r="A527" s="9">
        <v>45477</v>
      </c>
      <c r="B527">
        <v>0</v>
      </c>
      <c r="C527">
        <v>30</v>
      </c>
      <c r="D527">
        <v>15</v>
      </c>
      <c r="E527">
        <v>5</v>
      </c>
      <c r="F527">
        <f t="shared" si="111"/>
        <v>50</v>
      </c>
      <c r="G527">
        <f t="shared" si="110"/>
        <v>0</v>
      </c>
      <c r="H527">
        <f t="shared" si="103"/>
        <v>150</v>
      </c>
      <c r="I527">
        <f t="shared" si="104"/>
        <v>135</v>
      </c>
      <c r="J527">
        <f t="shared" si="105"/>
        <v>80</v>
      </c>
      <c r="K527">
        <f t="shared" si="106"/>
        <v>365</v>
      </c>
      <c r="L527">
        <f>G527*Return!B527*100</f>
        <v>0</v>
      </c>
      <c r="M527">
        <f>H527*Return!C527*100</f>
        <v>428.999999999999</v>
      </c>
      <c r="N527">
        <f>I527*Return!D527*100</f>
        <v>-76.9500000000005</v>
      </c>
      <c r="O527">
        <f>J527*Return!E527*100</f>
        <v>-36.8000000000031</v>
      </c>
      <c r="P527">
        <f t="shared" si="107"/>
        <v>315.249999999996</v>
      </c>
      <c r="Q527">
        <f>SUM($P$400:P527)</f>
        <v>18829.8</v>
      </c>
      <c r="R527">
        <f>B527*中国_中债国债到期收益率_1年!B526/365*100</f>
        <v>0</v>
      </c>
      <c r="S527">
        <f>C527*中国_中债国债到期收益率_1年!C526/365*100</f>
        <v>16.1005479452055</v>
      </c>
      <c r="T527">
        <f>D527*中国_中债国债到期收益率_1年!D526/365*100</f>
        <v>9.21616438356164</v>
      </c>
      <c r="U527">
        <f>E527*中国_中债国债到期收益率_1年!E526/365*100</f>
        <v>3.38876712328767</v>
      </c>
      <c r="V527">
        <f t="shared" si="108"/>
        <v>28.7054794520548</v>
      </c>
      <c r="W527">
        <f>SUM($V$400:V527)</f>
        <v>4333.01520547945</v>
      </c>
      <c r="X527">
        <f>MAX(F527-50,0)*中国_中债国债到期收益率_1年!H527*100/365</f>
        <v>0</v>
      </c>
      <c r="Y527">
        <f>SUM($X$400:X527)</f>
        <v>330.438356164384</v>
      </c>
      <c r="Z527">
        <v>-100</v>
      </c>
      <c r="AA527">
        <v>100</v>
      </c>
      <c r="AB527">
        <f>Z527*Return!F531*100</f>
        <v>-189.999999999999</v>
      </c>
      <c r="AC527">
        <f>AA527*Return!G531*100</f>
        <v>312.999999999999</v>
      </c>
      <c r="AD527">
        <f>SUM($AB$400:AB527)+SUM($AC$400:AC527)</f>
        <v>2081.30000000002</v>
      </c>
      <c r="AE527">
        <f t="shared" si="112"/>
        <v>24913.6768493151</v>
      </c>
      <c r="AF527">
        <f t="shared" si="113"/>
        <v>1.04982735369863</v>
      </c>
      <c r="AG527" s="5">
        <f>(AE527-AE526)/(500000+AE526)-中国_中债国债到期收益率_1年!H527%/252</f>
        <v>0.000817758297542637</v>
      </c>
      <c r="AH527" s="5">
        <f>MIN((AF527-MAX($AF$401:AF527))/MAX($AF$401:AF527),0)</f>
        <v>-0.00116843490087655</v>
      </c>
    </row>
    <row r="528" spans="1:34">
      <c r="A528" s="9">
        <v>45478</v>
      </c>
      <c r="B528">
        <v>0</v>
      </c>
      <c r="C528">
        <v>30</v>
      </c>
      <c r="D528">
        <v>15</v>
      </c>
      <c r="E528">
        <v>5</v>
      </c>
      <c r="F528">
        <f t="shared" si="111"/>
        <v>50</v>
      </c>
      <c r="G528">
        <f t="shared" si="110"/>
        <v>0</v>
      </c>
      <c r="H528">
        <f t="shared" si="103"/>
        <v>150</v>
      </c>
      <c r="I528">
        <f t="shared" si="104"/>
        <v>135</v>
      </c>
      <c r="J528">
        <f t="shared" si="105"/>
        <v>80</v>
      </c>
      <c r="K528">
        <f t="shared" si="106"/>
        <v>365</v>
      </c>
      <c r="L528">
        <f>G528*Return!B528*100</f>
        <v>0</v>
      </c>
      <c r="M528">
        <f>H528*Return!C528*100</f>
        <v>-183</v>
      </c>
      <c r="N528">
        <f>I528*Return!D528*100</f>
        <v>-102.600000000001</v>
      </c>
      <c r="O528">
        <f>J528*Return!E528*100</f>
        <v>-47.9999999999983</v>
      </c>
      <c r="P528">
        <f t="shared" si="107"/>
        <v>-333.599999999999</v>
      </c>
      <c r="Q528">
        <f>SUM($P$400:P528)</f>
        <v>18496.2</v>
      </c>
      <c r="R528">
        <f>B528*中国_中债国债到期收益率_1年!B527/365*100</f>
        <v>0</v>
      </c>
      <c r="S528">
        <f>C528*中国_中债国债到期收益率_1年!C527/365*100</f>
        <v>16.2008219178082</v>
      </c>
      <c r="T528">
        <f>D528*中国_中债国债到期收益率_1年!D527/365*100</f>
        <v>9.24739726027397</v>
      </c>
      <c r="U528">
        <f>E528*中国_中债国债到期收益率_1年!E527/365*100</f>
        <v>3.39698630136986</v>
      </c>
      <c r="V528">
        <f t="shared" si="108"/>
        <v>28.8452054794521</v>
      </c>
      <c r="W528">
        <f>SUM($V$400:V528)</f>
        <v>4361.8604109589</v>
      </c>
      <c r="X528">
        <f>MAX(F528-50,0)*中国_中债国债到期收益率_1年!H528*100/365</f>
        <v>0</v>
      </c>
      <c r="Y528">
        <f>SUM($X$400:X528)</f>
        <v>330.438356164384</v>
      </c>
      <c r="Z528">
        <v>-100</v>
      </c>
      <c r="AA528">
        <v>100</v>
      </c>
      <c r="AB528">
        <f>Z528*Return!F532*100</f>
        <v>-90.0000000000012</v>
      </c>
      <c r="AC528">
        <f>AA528*Return!G532*100</f>
        <v>100.000000000002</v>
      </c>
      <c r="AD528">
        <f>SUM($AB$400:AB528)+SUM($AC$400:AC528)</f>
        <v>2091.30000000002</v>
      </c>
      <c r="AE528">
        <f t="shared" si="112"/>
        <v>24618.9220547945</v>
      </c>
      <c r="AF528">
        <f t="shared" si="113"/>
        <v>1.04923784410959</v>
      </c>
      <c r="AG528" s="5">
        <f>(AE528-AE527)/(500000+AE527)-中国_中债国债到期收益率_1年!H528%/252</f>
        <v>-0.000634942731864577</v>
      </c>
      <c r="AH528" s="5">
        <f>MIN((AF528-MAX($AF$401:AF528))/MAX($AF$401:AF528),0)</f>
        <v>-0.0017293088230395</v>
      </c>
    </row>
    <row r="529" spans="1:34">
      <c r="A529" s="9">
        <v>45481</v>
      </c>
      <c r="B529">
        <v>0</v>
      </c>
      <c r="C529">
        <v>30</v>
      </c>
      <c r="D529">
        <v>15</v>
      </c>
      <c r="E529">
        <v>5</v>
      </c>
      <c r="F529">
        <f t="shared" si="111"/>
        <v>50</v>
      </c>
      <c r="G529">
        <f t="shared" si="110"/>
        <v>0</v>
      </c>
      <c r="H529">
        <f t="shared" si="103"/>
        <v>150</v>
      </c>
      <c r="I529">
        <f t="shared" si="104"/>
        <v>135</v>
      </c>
      <c r="J529">
        <f t="shared" si="105"/>
        <v>80</v>
      </c>
      <c r="K529">
        <f t="shared" si="106"/>
        <v>365</v>
      </c>
      <c r="L529">
        <f>G529*Return!B529*100</f>
        <v>0</v>
      </c>
      <c r="M529">
        <f>H529*Return!C529*100</f>
        <v>-426</v>
      </c>
      <c r="N529">
        <f>I529*Return!D529*100</f>
        <v>-340.199999999999</v>
      </c>
      <c r="O529">
        <f>J529*Return!E529*100</f>
        <v>-265.599999999999</v>
      </c>
      <c r="P529">
        <f t="shared" si="107"/>
        <v>-1031.8</v>
      </c>
      <c r="Q529">
        <f>SUM($P$400:P529)</f>
        <v>17464.4</v>
      </c>
      <c r="R529">
        <f>B529*中国_中债国债到期收益率_1年!B528/365*100</f>
        <v>0</v>
      </c>
      <c r="S529">
        <f>C529*中国_中债国债到期收益率_1年!C528/365*100</f>
        <v>16.4342465753425</v>
      </c>
      <c r="T529">
        <f>D529*中国_中债国债到期收益率_1年!D528/365*100</f>
        <v>9.35095890410959</v>
      </c>
      <c r="U529">
        <f>E529*中国_中债国债到期收益率_1年!E528/365*100</f>
        <v>3.44246575342466</v>
      </c>
      <c r="V529">
        <f t="shared" si="108"/>
        <v>29.2276712328767</v>
      </c>
      <c r="W529">
        <f>SUM($V$400:V529)</f>
        <v>4391.08808219178</v>
      </c>
      <c r="X529">
        <f>MAX(F529-50,0)*中国_中债国债到期收益率_1年!H529*100/365</f>
        <v>0</v>
      </c>
      <c r="Y529">
        <f>SUM($X$400:X529)</f>
        <v>330.438356164384</v>
      </c>
      <c r="Z529">
        <v>-100</v>
      </c>
      <c r="AA529">
        <v>100</v>
      </c>
      <c r="AB529">
        <f>Z529*Return!F533*100</f>
        <v>-104</v>
      </c>
      <c r="AC529">
        <f>AA529*Return!G533*100</f>
        <v>121</v>
      </c>
      <c r="AD529">
        <f>SUM($AB$400:AB529)+SUM($AC$400:AC529)</f>
        <v>2108.30000000002</v>
      </c>
      <c r="AE529">
        <f t="shared" si="112"/>
        <v>23633.3497260274</v>
      </c>
      <c r="AF529">
        <f t="shared" si="113"/>
        <v>1.04726669945205</v>
      </c>
      <c r="AG529" s="5">
        <f>(AE529-AE528)/(500000+AE528)-中国_中债国债到期收益率_1年!H529%/252</f>
        <v>-0.00195285061332647</v>
      </c>
      <c r="AH529" s="5">
        <f>MIN((AF529-MAX($AF$401:AF529))/MAX($AF$401:AF529),0)</f>
        <v>-0.00360470433105842</v>
      </c>
    </row>
    <row r="530" spans="1:34">
      <c r="A530" s="9">
        <v>45482</v>
      </c>
      <c r="B530">
        <v>0</v>
      </c>
      <c r="C530">
        <v>30</v>
      </c>
      <c r="D530">
        <v>15</v>
      </c>
      <c r="E530">
        <v>5</v>
      </c>
      <c r="F530">
        <f t="shared" si="111"/>
        <v>50</v>
      </c>
      <c r="G530">
        <f t="shared" si="110"/>
        <v>0</v>
      </c>
      <c r="H530">
        <f t="shared" si="103"/>
        <v>150</v>
      </c>
      <c r="I530">
        <f t="shared" si="104"/>
        <v>135</v>
      </c>
      <c r="J530">
        <f t="shared" si="105"/>
        <v>80</v>
      </c>
      <c r="K530">
        <f t="shared" si="106"/>
        <v>365</v>
      </c>
      <c r="L530">
        <f>G530*Return!B530*100</f>
        <v>0</v>
      </c>
      <c r="M530">
        <f>H530*Return!C530*100</f>
        <v>-527.999999999999</v>
      </c>
      <c r="N530">
        <f>I530*Return!D530*100</f>
        <v>-202.500000000002</v>
      </c>
      <c r="O530">
        <f>J530*Return!E530*100</f>
        <v>-60.0000000000023</v>
      </c>
      <c r="P530">
        <f t="shared" si="107"/>
        <v>-790.500000000003</v>
      </c>
      <c r="Q530">
        <f>SUM($P$400:P530)</f>
        <v>16673.9</v>
      </c>
      <c r="R530">
        <f>B530*中国_中债国债到期收益率_1年!B529/365*100</f>
        <v>0</v>
      </c>
      <c r="S530">
        <f>C530*中国_中债国债到期收益率_1年!C529/365*100</f>
        <v>16.7235616438356</v>
      </c>
      <c r="T530">
        <f>D530*中国_中债国债到期收益率_1年!D529/365*100</f>
        <v>9.41260273972603</v>
      </c>
      <c r="U530">
        <f>E530*中国_中债国债到期收益率_1年!E529/365*100</f>
        <v>3.4527397260274</v>
      </c>
      <c r="V530">
        <f t="shared" si="108"/>
        <v>29.588904109589</v>
      </c>
      <c r="W530">
        <f>SUM($V$400:V530)</f>
        <v>4420.67698630137</v>
      </c>
      <c r="X530">
        <f>MAX(F530-50,0)*中国_中债国债到期收益率_1年!H530*100/365</f>
        <v>0</v>
      </c>
      <c r="Y530">
        <f>SUM($X$400:X530)</f>
        <v>330.438356164384</v>
      </c>
      <c r="Z530">
        <v>-100</v>
      </c>
      <c r="AA530">
        <v>100</v>
      </c>
      <c r="AB530">
        <f>Z530*Return!F534*100</f>
        <v>-110.999999999999</v>
      </c>
      <c r="AC530">
        <f>AA530*Return!G534*100</f>
        <v>166.999999999999</v>
      </c>
      <c r="AD530">
        <f>SUM($AB$400:AB530)+SUM($AC$400:AC530)</f>
        <v>2164.30000000002</v>
      </c>
      <c r="AE530">
        <f t="shared" si="112"/>
        <v>22928.438630137</v>
      </c>
      <c r="AF530">
        <f t="shared" si="113"/>
        <v>1.04585687726027</v>
      </c>
      <c r="AG530" s="5">
        <f>(AE530-AE529)/(500000+AE529)-中国_中债国债到期收益率_1年!H530%/252</f>
        <v>-0.00142039848203981</v>
      </c>
      <c r="AH530" s="5">
        <f>MIN((AF530-MAX($AF$401:AF530))/MAX($AF$401:AF530),0)</f>
        <v>-0.00494604383928005</v>
      </c>
    </row>
    <row r="531" spans="1:34">
      <c r="A531" s="9">
        <v>45483</v>
      </c>
      <c r="B531">
        <v>0</v>
      </c>
      <c r="C531">
        <v>30</v>
      </c>
      <c r="D531">
        <v>15</v>
      </c>
      <c r="E531">
        <v>5</v>
      </c>
      <c r="F531">
        <f t="shared" si="111"/>
        <v>50</v>
      </c>
      <c r="G531">
        <f t="shared" si="110"/>
        <v>0</v>
      </c>
      <c r="H531">
        <f t="shared" si="103"/>
        <v>150</v>
      </c>
      <c r="I531">
        <f t="shared" si="104"/>
        <v>135</v>
      </c>
      <c r="J531">
        <f t="shared" si="105"/>
        <v>80</v>
      </c>
      <c r="K531">
        <f t="shared" si="106"/>
        <v>365</v>
      </c>
      <c r="L531">
        <f>G531*Return!B531*100</f>
        <v>0</v>
      </c>
      <c r="M531">
        <f>H531*Return!C531*100</f>
        <v>409.499999999998</v>
      </c>
      <c r="N531">
        <f>I531*Return!D531*100</f>
        <v>278.099999999999</v>
      </c>
      <c r="O531">
        <f>J531*Return!E531*100</f>
        <v>150.400000000001</v>
      </c>
      <c r="P531">
        <f t="shared" si="107"/>
        <v>837.999999999999</v>
      </c>
      <c r="Q531">
        <f>SUM($P$400:P531)</f>
        <v>17511.9</v>
      </c>
      <c r="R531">
        <f>B531*中国_中债国债到期收益率_1年!B530/365*100</f>
        <v>0</v>
      </c>
      <c r="S531">
        <f>C531*中国_中债国债到期收益率_1年!C530/365*100</f>
        <v>16.4991780821918</v>
      </c>
      <c r="T531">
        <f>D531*中国_中债国债到期收益率_1年!D530/365*100</f>
        <v>9.32794520547945</v>
      </c>
      <c r="U531">
        <f>E531*中国_中债国债到期收益率_1年!E530/365*100</f>
        <v>3.42698630136986</v>
      </c>
      <c r="V531">
        <f t="shared" si="108"/>
        <v>29.2541095890411</v>
      </c>
      <c r="W531">
        <f>SUM($V$400:V531)</f>
        <v>4449.93109589041</v>
      </c>
      <c r="X531">
        <f>MAX(F531-50,0)*中国_中债国债到期收益率_1年!H531*100/365</f>
        <v>0</v>
      </c>
      <c r="Y531">
        <f>SUM($X$400:X531)</f>
        <v>330.438356164384</v>
      </c>
      <c r="Z531">
        <v>-100</v>
      </c>
      <c r="AA531">
        <v>100</v>
      </c>
      <c r="AB531">
        <f>Z531*Return!F535*100</f>
        <v>48.999999999999</v>
      </c>
      <c r="AC531">
        <f>AA531*Return!G535*100</f>
        <v>21.9999999999998</v>
      </c>
      <c r="AD531">
        <f>SUM($AB$400:AB531)+SUM($AC$400:AC531)</f>
        <v>2235.30000000002</v>
      </c>
      <c r="AE531">
        <f t="shared" si="112"/>
        <v>23866.692739726</v>
      </c>
      <c r="AF531">
        <f t="shared" si="113"/>
        <v>1.04773338547945</v>
      </c>
      <c r="AG531" s="5">
        <f>(AE531-AE530)/(500000+AE530)-中国_中债国债到期收益率_1年!H531%/252</f>
        <v>0.00172081771683664</v>
      </c>
      <c r="AH531" s="5">
        <f>MIN((AF531-MAX($AF$401:AF531))/MAX($AF$401:AF531),0)</f>
        <v>-0.00316068776632232</v>
      </c>
    </row>
    <row r="532" spans="1:34">
      <c r="A532" s="9">
        <v>45484</v>
      </c>
      <c r="B532">
        <v>0</v>
      </c>
      <c r="C532">
        <v>30</v>
      </c>
      <c r="D532">
        <v>15</v>
      </c>
      <c r="E532">
        <v>5</v>
      </c>
      <c r="F532">
        <f t="shared" si="111"/>
        <v>50</v>
      </c>
      <c r="G532">
        <f t="shared" si="110"/>
        <v>0</v>
      </c>
      <c r="H532">
        <f t="shared" si="103"/>
        <v>150</v>
      </c>
      <c r="I532">
        <f t="shared" si="104"/>
        <v>135</v>
      </c>
      <c r="J532">
        <f t="shared" si="105"/>
        <v>80</v>
      </c>
      <c r="K532">
        <f t="shared" si="106"/>
        <v>365</v>
      </c>
      <c r="L532">
        <f>G532*Return!B532*100</f>
        <v>0</v>
      </c>
      <c r="M532">
        <f>H532*Return!C532*100</f>
        <v>-85.5000000000006</v>
      </c>
      <c r="N532">
        <f>I532*Return!D532*100</f>
        <v>-12.1500000000017</v>
      </c>
      <c r="O532">
        <f>J532*Return!E532*100</f>
        <v>-40.8000000000008</v>
      </c>
      <c r="P532">
        <f t="shared" si="107"/>
        <v>-138.450000000003</v>
      </c>
      <c r="Q532">
        <f>SUM($P$400:P532)</f>
        <v>17373.45</v>
      </c>
      <c r="R532">
        <f>B532*中国_中债国债到期收益率_1年!B531/365*100</f>
        <v>0</v>
      </c>
      <c r="S532">
        <f>C532*中国_中债国债到期收益率_1年!C531/365*100</f>
        <v>16.5460273972603</v>
      </c>
      <c r="T532">
        <f>D532*中国_中债国债到期收益率_1年!D531/365*100</f>
        <v>9.33164383561644</v>
      </c>
      <c r="U532">
        <f>E532*中国_中债国债到期收益率_1年!E531/365*100</f>
        <v>3.43397260273973</v>
      </c>
      <c r="V532">
        <f t="shared" si="108"/>
        <v>29.3116438356164</v>
      </c>
      <c r="W532">
        <f>SUM($V$400:V532)</f>
        <v>4479.24273972603</v>
      </c>
      <c r="X532">
        <f>MAX(F532-50,0)*中国_中债国债到期收益率_1年!H532*100/365</f>
        <v>0</v>
      </c>
      <c r="Y532">
        <f>SUM($X$400:X532)</f>
        <v>330.438356164384</v>
      </c>
      <c r="Z532">
        <v>-100</v>
      </c>
      <c r="AA532">
        <v>100</v>
      </c>
      <c r="AB532">
        <f>Z532*Return!F536*100</f>
        <v>39.0000000000001</v>
      </c>
      <c r="AC532">
        <f>AA532*Return!G536*100</f>
        <v>-88.9999999999991</v>
      </c>
      <c r="AD532">
        <f>SUM($AB$400:AB532)+SUM($AC$400:AC532)</f>
        <v>2185.30000000002</v>
      </c>
      <c r="AE532">
        <f t="shared" si="112"/>
        <v>23707.5543835617</v>
      </c>
      <c r="AF532">
        <f t="shared" si="113"/>
        <v>1.04741510876712</v>
      </c>
      <c r="AG532" s="5">
        <f>(AE532-AE531)/(500000+AE531)-中国_中债国债到期收益率_1年!H532%/252</f>
        <v>-0.000376395482292</v>
      </c>
      <c r="AH532" s="5">
        <f>MIN((AF532-MAX($AF$401:AF532))/MAX($AF$401:AF532),0)</f>
        <v>-0.0034635040585346</v>
      </c>
    </row>
    <row r="533" spans="1:34">
      <c r="A533" s="9">
        <v>45485</v>
      </c>
      <c r="B533">
        <v>0</v>
      </c>
      <c r="C533">
        <v>30</v>
      </c>
      <c r="D533">
        <v>15</v>
      </c>
      <c r="E533">
        <v>5</v>
      </c>
      <c r="F533">
        <f t="shared" si="111"/>
        <v>50</v>
      </c>
      <c r="G533">
        <f t="shared" si="110"/>
        <v>0</v>
      </c>
      <c r="H533">
        <f t="shared" si="103"/>
        <v>150</v>
      </c>
      <c r="I533">
        <f t="shared" si="104"/>
        <v>135</v>
      </c>
      <c r="J533">
        <f t="shared" si="105"/>
        <v>80</v>
      </c>
      <c r="K533">
        <f t="shared" si="106"/>
        <v>365</v>
      </c>
      <c r="L533">
        <f>G533*Return!B533*100</f>
        <v>0</v>
      </c>
      <c r="M533">
        <f>H533*Return!C533*100</f>
        <v>100.499999999999</v>
      </c>
      <c r="N533">
        <f>I533*Return!D533*100</f>
        <v>79.6500000000002</v>
      </c>
      <c r="O533">
        <f>J533*Return!E533*100</f>
        <v>34.4000000000015</v>
      </c>
      <c r="P533">
        <f t="shared" si="107"/>
        <v>214.550000000001</v>
      </c>
      <c r="Q533">
        <f>SUM($P$400:P533)</f>
        <v>17588</v>
      </c>
      <c r="R533">
        <f>B533*中国_中债国债到期收益率_1年!B532/365*100</f>
        <v>0</v>
      </c>
      <c r="S533">
        <f>C533*中国_中债国债到期收益率_1年!C532/365*100</f>
        <v>16.4909589041096</v>
      </c>
      <c r="T533">
        <f>D533*中国_中债国债到期收益率_1年!D532/365*100</f>
        <v>9.30739726027397</v>
      </c>
      <c r="U533">
        <f>E533*中国_中债国债到期收益率_1年!E532/365*100</f>
        <v>3.42808219178082</v>
      </c>
      <c r="V533">
        <f t="shared" si="108"/>
        <v>29.2264383561644</v>
      </c>
      <c r="W533">
        <f>SUM($V$400:V533)</f>
        <v>4508.46917808219</v>
      </c>
      <c r="X533">
        <f>MAX(F533-50,0)*中国_中债国债到期收益率_1年!H533*100/365</f>
        <v>0</v>
      </c>
      <c r="Y533">
        <f>SUM($X$400:X533)</f>
        <v>330.438356164384</v>
      </c>
      <c r="Z533">
        <v>-100</v>
      </c>
      <c r="AA533">
        <v>100</v>
      </c>
      <c r="AB533">
        <f>Z533*Return!F537*100</f>
        <v>-19.0000000000001</v>
      </c>
      <c r="AC533">
        <f>AA533*Return!G537*100</f>
        <v>49.9999999999989</v>
      </c>
      <c r="AD533">
        <f>SUM($AB$400:AB533)+SUM($AC$400:AC533)</f>
        <v>2216.30000000002</v>
      </c>
      <c r="AE533">
        <f t="shared" si="112"/>
        <v>23982.3308219178</v>
      </c>
      <c r="AF533">
        <f t="shared" si="113"/>
        <v>1.04796466164384</v>
      </c>
      <c r="AG533" s="5">
        <f>(AE533-AE532)/(500000+AE532)-中国_中债国债到期收益率_1年!H533%/252</f>
        <v>0.000451659465455402</v>
      </c>
      <c r="AH533" s="5">
        <f>MIN((AF533-MAX($AF$401:AF533))/MAX($AF$401:AF533),0)</f>
        <v>-0.00294064593522753</v>
      </c>
    </row>
    <row r="534" spans="1:34">
      <c r="A534" s="9">
        <v>45488</v>
      </c>
      <c r="B534">
        <v>0</v>
      </c>
      <c r="C534">
        <v>30</v>
      </c>
      <c r="D534">
        <v>15</v>
      </c>
      <c r="E534">
        <v>5</v>
      </c>
      <c r="F534">
        <f t="shared" si="111"/>
        <v>50</v>
      </c>
      <c r="G534">
        <f t="shared" si="110"/>
        <v>0</v>
      </c>
      <c r="H534">
        <f t="shared" si="103"/>
        <v>150</v>
      </c>
      <c r="I534">
        <f t="shared" si="104"/>
        <v>135</v>
      </c>
      <c r="J534">
        <f t="shared" si="105"/>
        <v>80</v>
      </c>
      <c r="K534">
        <f t="shared" si="106"/>
        <v>365</v>
      </c>
      <c r="L534">
        <f>G534*Return!B534*100</f>
        <v>0</v>
      </c>
      <c r="M534">
        <f>H534*Return!C534*100</f>
        <v>72.0000000000054</v>
      </c>
      <c r="N534">
        <f>I534*Return!D534*100</f>
        <v>59.3999999999995</v>
      </c>
      <c r="O534">
        <f>J534*Return!E534*100</f>
        <v>83.1999999999979</v>
      </c>
      <c r="P534">
        <f t="shared" si="107"/>
        <v>214.600000000003</v>
      </c>
      <c r="Q534">
        <f>SUM($P$400:P534)</f>
        <v>17802.6</v>
      </c>
      <c r="R534">
        <f>B534*中国_中债国债到期收益率_1年!B533/365*100</f>
        <v>0</v>
      </c>
      <c r="S534">
        <f>C534*中国_中债国债到期收益率_1年!C533/365*100</f>
        <v>16.4515068493151</v>
      </c>
      <c r="T534">
        <f>D534*中国_中债国债到期收益率_1年!D533/365*100</f>
        <v>9.28931506849315</v>
      </c>
      <c r="U534">
        <f>E534*中国_中债国债到期收益率_1年!E533/365*100</f>
        <v>3.41383561643836</v>
      </c>
      <c r="V534">
        <f t="shared" si="108"/>
        <v>29.1546575342466</v>
      </c>
      <c r="W534">
        <f>SUM($V$400:V534)</f>
        <v>4537.62383561644</v>
      </c>
      <c r="X534">
        <f>MAX(F534-50,0)*中国_中债国债到期收益率_1年!H534*100/365</f>
        <v>0</v>
      </c>
      <c r="Y534">
        <f>SUM($X$400:X534)</f>
        <v>330.438356164384</v>
      </c>
      <c r="Z534">
        <v>-100</v>
      </c>
      <c r="AA534">
        <v>100</v>
      </c>
      <c r="AB534">
        <f>Z534*Return!F538*100</f>
        <v>-34.0000000000007</v>
      </c>
      <c r="AC534">
        <f>AA534*Return!G538*100</f>
        <v>-20</v>
      </c>
      <c r="AD534">
        <f>SUM($AB$400:AB534)+SUM($AC$400:AC534)</f>
        <v>2162.30000000002</v>
      </c>
      <c r="AE534">
        <f t="shared" si="112"/>
        <v>24172.0854794521</v>
      </c>
      <c r="AF534">
        <f t="shared" si="113"/>
        <v>1.0483441709589</v>
      </c>
      <c r="AG534" s="5">
        <f>(AE534-AE533)/(500000+AE533)-中国_中债国债到期收益率_1年!H534%/252</f>
        <v>0.000288726721892945</v>
      </c>
      <c r="AH534" s="5">
        <f>MIN((AF534-MAX($AF$401:AF534))/MAX($AF$401:AF534),0)</f>
        <v>-0.00257957143873622</v>
      </c>
    </row>
    <row r="535" spans="1:34">
      <c r="A535" s="9">
        <v>45489</v>
      </c>
      <c r="B535">
        <v>0</v>
      </c>
      <c r="C535">
        <v>30</v>
      </c>
      <c r="D535">
        <v>15</v>
      </c>
      <c r="E535">
        <v>5</v>
      </c>
      <c r="F535">
        <f t="shared" si="111"/>
        <v>50</v>
      </c>
      <c r="G535">
        <f t="shared" si="110"/>
        <v>0</v>
      </c>
      <c r="H535">
        <f t="shared" si="103"/>
        <v>150</v>
      </c>
      <c r="I535">
        <f t="shared" si="104"/>
        <v>135</v>
      </c>
      <c r="J535">
        <f t="shared" si="105"/>
        <v>80</v>
      </c>
      <c r="K535">
        <f t="shared" si="106"/>
        <v>365</v>
      </c>
      <c r="L535">
        <f>G535*Return!B535*100</f>
        <v>0</v>
      </c>
      <c r="M535">
        <f>H535*Return!C535*100</f>
        <v>187.499999999996</v>
      </c>
      <c r="N535">
        <f>I535*Return!D535*100</f>
        <v>85.0499999999996</v>
      </c>
      <c r="O535">
        <f>J535*Return!E535*100</f>
        <v>119.200000000003</v>
      </c>
      <c r="P535">
        <f t="shared" si="107"/>
        <v>391.749999999999</v>
      </c>
      <c r="Q535">
        <f>SUM($P$400:P535)</f>
        <v>18194.35</v>
      </c>
      <c r="R535">
        <f>B535*中国_中债国债到期收益率_1年!B534/365*100</f>
        <v>0</v>
      </c>
      <c r="S535">
        <f>C535*中国_中债国债到期收益率_1年!C534/365*100</f>
        <v>16.3487671232877</v>
      </c>
      <c r="T535">
        <f>D535*中国_中债国债到期收益率_1年!D534/365*100</f>
        <v>9.26342465753425</v>
      </c>
      <c r="U535">
        <f>E535*中国_中债国债到期收益率_1年!E534/365*100</f>
        <v>3.39342465753425</v>
      </c>
      <c r="V535">
        <f t="shared" si="108"/>
        <v>29.0056164383562</v>
      </c>
      <c r="W535">
        <f>SUM($V$400:V535)</f>
        <v>4566.62945205479</v>
      </c>
      <c r="X535">
        <f>MAX(F535-50,0)*中国_中债国债到期收益率_1年!H535*100/365</f>
        <v>0</v>
      </c>
      <c r="Y535">
        <f>SUM($X$400:X535)</f>
        <v>330.438356164384</v>
      </c>
      <c r="Z535">
        <v>-100</v>
      </c>
      <c r="AA535">
        <v>100</v>
      </c>
      <c r="AB535">
        <f>Z535*Return!F539*100</f>
        <v>-90.9999999999989</v>
      </c>
      <c r="AC535">
        <f>AA535*Return!G539*100</f>
        <v>131.000000000001</v>
      </c>
      <c r="AD535">
        <f>SUM($AB$400:AB535)+SUM($AC$400:AC535)</f>
        <v>2202.30000000002</v>
      </c>
      <c r="AE535">
        <f t="shared" si="112"/>
        <v>24632.8410958904</v>
      </c>
      <c r="AF535">
        <f t="shared" si="113"/>
        <v>1.04926568219178</v>
      </c>
      <c r="AG535" s="5">
        <f>(AE535-AE534)/(500000+AE534)-中国_中债国债到期收益率_1年!H535%/252</f>
        <v>0.000802825459991845</v>
      </c>
      <c r="AH535" s="5">
        <f>MIN((AF535-MAX($AF$401:AF535))/MAX($AF$401:AF535),0)</f>
        <v>-0.00170282298695693</v>
      </c>
    </row>
    <row r="536" spans="1:34">
      <c r="A536" s="9">
        <v>45490</v>
      </c>
      <c r="B536">
        <v>0</v>
      </c>
      <c r="C536">
        <v>30</v>
      </c>
      <c r="D536">
        <v>15</v>
      </c>
      <c r="E536">
        <v>5</v>
      </c>
      <c r="F536">
        <f t="shared" si="111"/>
        <v>50</v>
      </c>
      <c r="G536">
        <f t="shared" si="110"/>
        <v>0</v>
      </c>
      <c r="H536">
        <f t="shared" si="103"/>
        <v>150</v>
      </c>
      <c r="I536">
        <f t="shared" si="104"/>
        <v>135</v>
      </c>
      <c r="J536">
        <f t="shared" si="105"/>
        <v>80</v>
      </c>
      <c r="K536">
        <f t="shared" si="106"/>
        <v>365</v>
      </c>
      <c r="L536">
        <f>G536*Return!B536*100</f>
        <v>0</v>
      </c>
      <c r="M536">
        <f>H536*Return!C536*100</f>
        <v>75.0000000000017</v>
      </c>
      <c r="N536">
        <f>I536*Return!D536*100</f>
        <v>-97.1999999999953</v>
      </c>
      <c r="O536">
        <f>J536*Return!E536*100</f>
        <v>-23.2000000000028</v>
      </c>
      <c r="P536">
        <f t="shared" si="107"/>
        <v>-45.3999999999963</v>
      </c>
      <c r="Q536">
        <f>SUM($P$400:P536)</f>
        <v>18148.95</v>
      </c>
      <c r="R536">
        <f>B536*中国_中债国债到期收益率_1年!B535/365*100</f>
        <v>0</v>
      </c>
      <c r="S536">
        <f>C536*中国_中债国债到期收益率_1年!C535/365*100</f>
        <v>16.3076712328767</v>
      </c>
      <c r="T536">
        <f>D536*中国_中债国债到期收益率_1年!D535/365*100</f>
        <v>9.29301369863014</v>
      </c>
      <c r="U536">
        <f>E536*中国_中债国债到期收益率_1年!E535/365*100</f>
        <v>3.39739726027397</v>
      </c>
      <c r="V536">
        <f t="shared" si="108"/>
        <v>28.9980821917808</v>
      </c>
      <c r="W536">
        <f>SUM($V$400:V536)</f>
        <v>4595.62753424657</v>
      </c>
      <c r="X536">
        <f>MAX(F536-50,0)*中国_中债国债到期收益率_1年!H536*100/365</f>
        <v>0</v>
      </c>
      <c r="Y536">
        <f>SUM($X$400:X536)</f>
        <v>330.438356164384</v>
      </c>
      <c r="Z536">
        <v>-100</v>
      </c>
      <c r="AA536">
        <v>100</v>
      </c>
      <c r="AB536">
        <f>Z536*Return!F540*100</f>
        <v>-644</v>
      </c>
      <c r="AC536">
        <f>AA536*Return!G540*100</f>
        <v>505</v>
      </c>
      <c r="AD536">
        <f>SUM($AB$400:AB536)+SUM($AC$400:AC536)</f>
        <v>2063.30000000002</v>
      </c>
      <c r="AE536">
        <f t="shared" si="112"/>
        <v>24477.4391780822</v>
      </c>
      <c r="AF536">
        <f t="shared" si="113"/>
        <v>1.04895487835616</v>
      </c>
      <c r="AG536" s="5">
        <f>(AE536-AE535)/(500000+AE535)-中国_中债国债到期收益率_1年!H536%/252</f>
        <v>-0.00037160763348044</v>
      </c>
      <c r="AH536" s="5">
        <f>MIN((AF536-MAX($AF$401:AF536))/MAX($AF$401:AF536),0)</f>
        <v>-0.00199852940046766</v>
      </c>
    </row>
    <row r="537" spans="1:34">
      <c r="A537" s="9">
        <v>45491</v>
      </c>
      <c r="B537">
        <v>0</v>
      </c>
      <c r="C537">
        <v>30</v>
      </c>
      <c r="D537">
        <v>15</v>
      </c>
      <c r="E537">
        <v>5</v>
      </c>
      <c r="F537">
        <f t="shared" si="111"/>
        <v>50</v>
      </c>
      <c r="G537">
        <f t="shared" si="110"/>
        <v>0</v>
      </c>
      <c r="H537">
        <f t="shared" si="103"/>
        <v>150</v>
      </c>
      <c r="I537">
        <f t="shared" si="104"/>
        <v>135</v>
      </c>
      <c r="J537">
        <f t="shared" si="105"/>
        <v>80</v>
      </c>
      <c r="K537">
        <f t="shared" si="106"/>
        <v>365</v>
      </c>
      <c r="L537">
        <f>G537*Return!B537*100</f>
        <v>0</v>
      </c>
      <c r="M537">
        <f>H537*Return!C537*100</f>
        <v>393</v>
      </c>
      <c r="N537">
        <f>I537*Return!D537*100</f>
        <v>20.2500000000008</v>
      </c>
      <c r="O537">
        <f>J537*Return!E537*100</f>
        <v>-8.79999999999725</v>
      </c>
      <c r="P537">
        <f t="shared" si="107"/>
        <v>404.450000000004</v>
      </c>
      <c r="Q537">
        <f>SUM($P$400:P537)</f>
        <v>18553.4</v>
      </c>
      <c r="R537">
        <f>B537*中国_中债国债到期收益率_1年!B536/365*100</f>
        <v>0</v>
      </c>
      <c r="S537">
        <f>C537*中国_中债国债到期收益率_1年!C536/365*100</f>
        <v>16.0923287671233</v>
      </c>
      <c r="T537">
        <f>D537*中国_中债国债到期收益率_1年!D536/365*100</f>
        <v>9.28684931506849</v>
      </c>
      <c r="U537">
        <f>E537*中国_中债国债到期收益率_1年!E536/365*100</f>
        <v>3.39890410958904</v>
      </c>
      <c r="V537">
        <f t="shared" si="108"/>
        <v>28.7780821917808</v>
      </c>
      <c r="W537">
        <f>SUM($V$400:V537)</f>
        <v>4624.40561643835</v>
      </c>
      <c r="X537">
        <f>MAX(F537-50,0)*中国_中债国债到期收益率_1年!H537*100/365</f>
        <v>0</v>
      </c>
      <c r="Y537">
        <f>SUM($X$400:X537)</f>
        <v>330.438356164384</v>
      </c>
      <c r="Z537">
        <v>-100</v>
      </c>
      <c r="AA537">
        <v>100</v>
      </c>
      <c r="AB537">
        <f>Z537*Return!F541*100</f>
        <v>-103</v>
      </c>
      <c r="AC537">
        <f>AA537*Return!G541*100</f>
        <v>200</v>
      </c>
      <c r="AD537">
        <f>SUM($AB$400:AB537)+SUM($AC$400:AC537)</f>
        <v>2160.30000000002</v>
      </c>
      <c r="AE537">
        <f t="shared" si="112"/>
        <v>25007.667260274</v>
      </c>
      <c r="AF537">
        <f t="shared" si="113"/>
        <v>1.05001533452055</v>
      </c>
      <c r="AG537" s="5">
        <f>(AE537-AE536)/(500000+AE536)-中国_中债国债到期收益率_1年!H537%/252</f>
        <v>0.000935567693921128</v>
      </c>
      <c r="AH537" s="5">
        <f>MIN((AF537-MAX($AF$401:AF537))/MAX($AF$401:AF537),0)</f>
        <v>-0.000989585323464298</v>
      </c>
    </row>
    <row r="538" spans="1:34">
      <c r="A538" s="9">
        <v>45492</v>
      </c>
      <c r="B538">
        <v>0</v>
      </c>
      <c r="C538">
        <v>30</v>
      </c>
      <c r="D538">
        <v>15</v>
      </c>
      <c r="E538">
        <v>5</v>
      </c>
      <c r="F538">
        <f t="shared" si="111"/>
        <v>50</v>
      </c>
      <c r="G538">
        <f t="shared" si="110"/>
        <v>0</v>
      </c>
      <c r="H538">
        <f t="shared" si="103"/>
        <v>150</v>
      </c>
      <c r="I538">
        <f t="shared" si="104"/>
        <v>135</v>
      </c>
      <c r="J538">
        <f t="shared" si="105"/>
        <v>80</v>
      </c>
      <c r="K538">
        <f t="shared" si="106"/>
        <v>365</v>
      </c>
      <c r="L538">
        <f>G538*Return!B538*100</f>
        <v>0</v>
      </c>
      <c r="M538">
        <f>H538*Return!C538*100</f>
        <v>-42.000000000002</v>
      </c>
      <c r="N538">
        <f>I538*Return!D538*100</f>
        <v>-101.250000000004</v>
      </c>
      <c r="O538">
        <f>J538*Return!E538*100</f>
        <v>-71.200000000001</v>
      </c>
      <c r="P538">
        <f t="shared" si="107"/>
        <v>-214.450000000007</v>
      </c>
      <c r="Q538">
        <f>SUM($P$400:P538)</f>
        <v>18338.95</v>
      </c>
      <c r="R538">
        <f>B538*中国_中债国债到期收益率_1年!B537/365*100</f>
        <v>0</v>
      </c>
      <c r="S538">
        <f>C538*中国_中债国债到期收益率_1年!C537/365*100</f>
        <v>16.1153424657534</v>
      </c>
      <c r="T538">
        <f>D538*中国_中债国债到期收益率_1年!D537/365*100</f>
        <v>9.31767123287671</v>
      </c>
      <c r="U538">
        <f>E538*中国_中债国债到期收益率_1年!E537/365*100</f>
        <v>3.41109589041096</v>
      </c>
      <c r="V538">
        <f t="shared" si="108"/>
        <v>28.8441095890411</v>
      </c>
      <c r="W538">
        <f>SUM($V$400:V538)</f>
        <v>4653.24972602739</v>
      </c>
      <c r="X538">
        <f>MAX(F538-50,0)*中国_中债国债到期收益率_1年!H538*100/365</f>
        <v>0</v>
      </c>
      <c r="Y538">
        <f>SUM($X$400:X538)</f>
        <v>330.438356164384</v>
      </c>
      <c r="Z538">
        <v>-100</v>
      </c>
      <c r="AA538">
        <v>100</v>
      </c>
      <c r="AB538">
        <f>Z538*Return!F542*100</f>
        <v>-41.9999999999998</v>
      </c>
      <c r="AC538">
        <f>AA538*Return!G542*100</f>
        <v>77.9999999999981</v>
      </c>
      <c r="AD538">
        <f>SUM($AB$400:AB538)+SUM($AC$400:AC538)</f>
        <v>2196.30000000002</v>
      </c>
      <c r="AE538">
        <f t="shared" si="112"/>
        <v>24858.061369863</v>
      </c>
      <c r="AF538">
        <f t="shared" si="113"/>
        <v>1.04971612273973</v>
      </c>
      <c r="AG538" s="5">
        <f>(AE538-AE537)/(500000+AE537)-中国_中债国债到期收益率_1年!H538%/252</f>
        <v>-0.000360356264544984</v>
      </c>
      <c r="AH538" s="5">
        <f>MIN((AF538-MAX($AF$401:AF538))/MAX($AF$401:AF538),0)</f>
        <v>-0.00127426277093379</v>
      </c>
    </row>
    <row r="539" spans="1:34">
      <c r="A539" s="9">
        <v>45495</v>
      </c>
      <c r="B539">
        <v>0</v>
      </c>
      <c r="C539">
        <v>30</v>
      </c>
      <c r="D539">
        <v>15</v>
      </c>
      <c r="E539">
        <v>5</v>
      </c>
      <c r="F539">
        <f t="shared" si="111"/>
        <v>50</v>
      </c>
      <c r="G539">
        <f t="shared" si="110"/>
        <v>0</v>
      </c>
      <c r="H539">
        <f t="shared" si="103"/>
        <v>150</v>
      </c>
      <c r="I539">
        <f t="shared" si="104"/>
        <v>135</v>
      </c>
      <c r="J539">
        <f t="shared" si="105"/>
        <v>80</v>
      </c>
      <c r="K539">
        <f t="shared" si="106"/>
        <v>365</v>
      </c>
      <c r="L539">
        <f>G539*Return!B539*100</f>
        <v>0</v>
      </c>
      <c r="M539">
        <f>H539*Return!C539*100</f>
        <v>109.500000000001</v>
      </c>
      <c r="N539">
        <f>I539*Return!D539*100</f>
        <v>79.6500000000002</v>
      </c>
      <c r="O539">
        <f>J539*Return!E539*100</f>
        <v>47.2000000000001</v>
      </c>
      <c r="P539">
        <f t="shared" si="107"/>
        <v>236.350000000002</v>
      </c>
      <c r="Q539">
        <f>SUM($P$400:P539)</f>
        <v>18575.3</v>
      </c>
      <c r="R539">
        <f>B539*中国_中债国债到期收益率_1年!B538/365*100</f>
        <v>0</v>
      </c>
      <c r="S539">
        <f>C539*中国_中债国债到期收益率_1年!C538/365*100</f>
        <v>16.0553424657534</v>
      </c>
      <c r="T539">
        <f>D539*中国_中债国债到期收益率_1年!D538/365*100</f>
        <v>9.29342465753425</v>
      </c>
      <c r="U539">
        <f>E539*中国_中债国债到期收益率_1年!E538/365*100</f>
        <v>3.40301369863014</v>
      </c>
      <c r="V539">
        <f t="shared" si="108"/>
        <v>28.7517808219178</v>
      </c>
      <c r="W539">
        <f>SUM($V$400:V539)</f>
        <v>4682.00150684931</v>
      </c>
      <c r="X539">
        <f>MAX(F539-50,0)*中国_中债国债到期收益率_1年!H539*100/365</f>
        <v>0</v>
      </c>
      <c r="Y539">
        <f>SUM($X$400:X539)</f>
        <v>330.438356164384</v>
      </c>
      <c r="Z539">
        <v>-100</v>
      </c>
      <c r="AA539">
        <v>100</v>
      </c>
      <c r="AB539">
        <f>Z539*Return!F543*100</f>
        <v>-48.0000000000014</v>
      </c>
      <c r="AC539">
        <f>AA539*Return!G543*100</f>
        <v>213.000000000001</v>
      </c>
      <c r="AD539">
        <f>SUM($AB$400:AB539)+SUM($AC$400:AC539)</f>
        <v>2361.30000000002</v>
      </c>
      <c r="AE539">
        <f t="shared" si="112"/>
        <v>25288.1631506849</v>
      </c>
      <c r="AF539">
        <f t="shared" si="113"/>
        <v>1.05057632630137</v>
      </c>
      <c r="AG539" s="5">
        <f>(AE539-AE538)/(500000+AE538)-中国_中债国债到期收益率_1年!H539%/252</f>
        <v>0.000746050338316451</v>
      </c>
      <c r="AH539" s="5">
        <f>MIN((AF539-MAX($AF$401:AF539))/MAX($AF$401:AF539),0)</f>
        <v>-0.000455843945444495</v>
      </c>
    </row>
    <row r="540" spans="1:34">
      <c r="A540" s="9">
        <v>45496</v>
      </c>
      <c r="B540">
        <v>0</v>
      </c>
      <c r="C540">
        <v>30</v>
      </c>
      <c r="D540">
        <v>15</v>
      </c>
      <c r="E540">
        <v>5</v>
      </c>
      <c r="F540">
        <f t="shared" si="111"/>
        <v>50</v>
      </c>
      <c r="G540">
        <f t="shared" si="110"/>
        <v>0</v>
      </c>
      <c r="H540">
        <f t="shared" si="103"/>
        <v>150</v>
      </c>
      <c r="I540">
        <f t="shared" si="104"/>
        <v>135</v>
      </c>
      <c r="J540">
        <f t="shared" si="105"/>
        <v>80</v>
      </c>
      <c r="K540">
        <f t="shared" si="106"/>
        <v>365</v>
      </c>
      <c r="L540">
        <f>G540*Return!B540*100</f>
        <v>0</v>
      </c>
      <c r="M540">
        <f>H540*Return!C540*100</f>
        <v>589.500000000002</v>
      </c>
      <c r="N540">
        <f>I540*Return!D540*100</f>
        <v>206.549999999998</v>
      </c>
      <c r="O540">
        <f>J540*Return!E540*100</f>
        <v>103.999999999999</v>
      </c>
      <c r="P540">
        <f t="shared" si="107"/>
        <v>900.049999999999</v>
      </c>
      <c r="Q540">
        <f>SUM($P$400:P540)</f>
        <v>19475.35</v>
      </c>
      <c r="R540">
        <f>B540*中国_中债国债到期收益率_1年!B539/365*100</f>
        <v>0</v>
      </c>
      <c r="S540">
        <f>C540*中国_中债国债到期收益率_1年!C539/365*100</f>
        <v>15.7323287671233</v>
      </c>
      <c r="T540">
        <f>D540*中国_中债国债到期收益率_1年!D539/365*100</f>
        <v>9.23054794520548</v>
      </c>
      <c r="U540">
        <f>E540*中国_中债国债到期收益率_1年!E539/365*100</f>
        <v>3.38520547945205</v>
      </c>
      <c r="V540">
        <f t="shared" si="108"/>
        <v>28.3480821917808</v>
      </c>
      <c r="W540">
        <f>SUM($V$400:V540)</f>
        <v>4710.34958904109</v>
      </c>
      <c r="X540">
        <f>MAX(F540-50,0)*中国_中债国债到期收益率_1年!H540*100/365</f>
        <v>0</v>
      </c>
      <c r="Y540">
        <f>SUM($X$400:X540)</f>
        <v>330.438356164384</v>
      </c>
      <c r="Z540">
        <v>-100</v>
      </c>
      <c r="AA540">
        <v>100</v>
      </c>
      <c r="AB540">
        <f>Z540*Return!F544*100</f>
        <v>-18.0000000000002</v>
      </c>
      <c r="AC540">
        <f>AA540*Return!G544*100</f>
        <v>1.99999999999978</v>
      </c>
      <c r="AD540">
        <f>SUM($AB$400:AB540)+SUM($AC$400:AC540)</f>
        <v>2345.30000000002</v>
      </c>
      <c r="AE540">
        <f t="shared" si="112"/>
        <v>26200.5612328767</v>
      </c>
      <c r="AF540">
        <f t="shared" si="113"/>
        <v>1.05240112246575</v>
      </c>
      <c r="AG540" s="5">
        <f>(AE540-AE539)/(500000+AE539)-中国_中债国债到期收益率_1年!H540%/252</f>
        <v>0.00166353503084738</v>
      </c>
      <c r="AH540" s="5">
        <f>MIN((AF540-MAX($AF$401:AF540))/MAX($AF$401:AF540),0)</f>
        <v>0</v>
      </c>
    </row>
    <row r="541" spans="1:34">
      <c r="A541" s="9">
        <v>45497</v>
      </c>
      <c r="B541">
        <v>0</v>
      </c>
      <c r="C541">
        <v>30</v>
      </c>
      <c r="D541">
        <v>15</v>
      </c>
      <c r="E541">
        <v>5</v>
      </c>
      <c r="F541">
        <f t="shared" si="111"/>
        <v>50</v>
      </c>
      <c r="G541">
        <f t="shared" si="110"/>
        <v>0</v>
      </c>
      <c r="H541">
        <f t="shared" si="103"/>
        <v>150</v>
      </c>
      <c r="I541">
        <f t="shared" si="104"/>
        <v>135</v>
      </c>
      <c r="J541">
        <f t="shared" si="105"/>
        <v>80</v>
      </c>
      <c r="K541">
        <f t="shared" si="106"/>
        <v>365</v>
      </c>
      <c r="L541">
        <f>G541*Return!B541*100</f>
        <v>0</v>
      </c>
      <c r="M541">
        <f>H541*Return!C541*100</f>
        <v>334.5</v>
      </c>
      <c r="N541">
        <f>I541*Return!D541*100</f>
        <v>187.65</v>
      </c>
      <c r="O541">
        <f>J541*Return!E541*100</f>
        <v>16.7999999999999</v>
      </c>
      <c r="P541">
        <f t="shared" si="107"/>
        <v>538.95</v>
      </c>
      <c r="Q541">
        <f>SUM($P$400:P541)</f>
        <v>20014.3</v>
      </c>
      <c r="R541">
        <f>B541*中国_中债国债到期收益率_1年!B540/365*100</f>
        <v>0</v>
      </c>
      <c r="S541">
        <f>C541*中国_中债国债到期收益率_1年!C540/365*100</f>
        <v>15.5490410958904</v>
      </c>
      <c r="T541">
        <f>D541*中国_中债国债到期收益率_1年!D540/365*100</f>
        <v>9.17342465753425</v>
      </c>
      <c r="U541">
        <f>E541*中国_中债国债到期收益率_1年!E540/365*100</f>
        <v>3.38232876712329</v>
      </c>
      <c r="V541">
        <f t="shared" si="108"/>
        <v>28.1047945205479</v>
      </c>
      <c r="W541">
        <f>SUM($V$400:V541)</f>
        <v>4738.45438356164</v>
      </c>
      <c r="X541">
        <f>MAX(F541-50,0)*中国_中债国债到期收益率_1年!H541*100/365</f>
        <v>0</v>
      </c>
      <c r="Y541">
        <f>SUM($X$400:X541)</f>
        <v>330.438356164384</v>
      </c>
      <c r="Z541">
        <v>-100</v>
      </c>
      <c r="AA541">
        <v>100</v>
      </c>
      <c r="AB541">
        <f>Z541*Return!F545*100</f>
        <v>-7.99999999999912</v>
      </c>
      <c r="AC541">
        <f>AA541*Return!G545*100</f>
        <v>25.9999999999994</v>
      </c>
      <c r="AD541">
        <f>SUM($AB$400:AB541)+SUM($AC$400:AC541)</f>
        <v>2363.30000000002</v>
      </c>
      <c r="AE541">
        <f t="shared" si="112"/>
        <v>26785.6160273973</v>
      </c>
      <c r="AF541">
        <f t="shared" si="113"/>
        <v>1.05357123205479</v>
      </c>
      <c r="AG541" s="5">
        <f>(AE541-AE540)/(500000+AE540)-中国_中债国债到期收益率_1年!H541%/252</f>
        <v>0.00103843483202281</v>
      </c>
      <c r="AH541" s="5">
        <f>MIN((AF541-MAX($AF$401:AF541))/MAX($AF$401:AF541),0)</f>
        <v>0</v>
      </c>
    </row>
    <row r="542" spans="1:34">
      <c r="A542" s="9">
        <v>45498</v>
      </c>
      <c r="B542">
        <v>0</v>
      </c>
      <c r="C542">
        <v>30</v>
      </c>
      <c r="D542">
        <v>15</v>
      </c>
      <c r="E542">
        <v>5</v>
      </c>
      <c r="F542">
        <f t="shared" si="111"/>
        <v>50</v>
      </c>
      <c r="G542">
        <f t="shared" si="110"/>
        <v>0</v>
      </c>
      <c r="H542">
        <f t="shared" ref="H542:H605" si="114">5*C542</f>
        <v>150</v>
      </c>
      <c r="I542">
        <f t="shared" ref="I542:I605" si="115">9*D542</f>
        <v>135</v>
      </c>
      <c r="J542">
        <f t="shared" ref="J542:J605" si="116">16*E542</f>
        <v>80</v>
      </c>
      <c r="K542">
        <f t="shared" ref="K542:K605" si="117">SUM(G542:J542)</f>
        <v>365</v>
      </c>
      <c r="L542">
        <f>G542*Return!B542*100</f>
        <v>0</v>
      </c>
      <c r="M542">
        <f>H542*Return!C542*100</f>
        <v>-81.0000000000011</v>
      </c>
      <c r="N542">
        <f>I542*Return!D542*100</f>
        <v>-79.6500000000002</v>
      </c>
      <c r="O542">
        <f>J542*Return!E542*100</f>
        <v>12.0000000000005</v>
      </c>
      <c r="P542">
        <f t="shared" ref="P542:P605" si="118">SUM(L542:O542)</f>
        <v>-148.650000000001</v>
      </c>
      <c r="Q542">
        <f>SUM($P$400:P542)</f>
        <v>19865.65</v>
      </c>
      <c r="R542">
        <f>B542*中国_中债国债到期收益率_1年!B541/365*100</f>
        <v>0</v>
      </c>
      <c r="S542">
        <f>C542*中国_中债国债到期收益率_1年!C541/365*100</f>
        <v>15.5934246575342</v>
      </c>
      <c r="T542">
        <f>D542*中国_中债国债到期收益率_1年!D541/365*100</f>
        <v>9.19767123287671</v>
      </c>
      <c r="U542">
        <f>E542*中国_中债国债到期收益率_1年!E541/365*100</f>
        <v>3.38027397260274</v>
      </c>
      <c r="V542">
        <f t="shared" ref="V542:V605" si="119">SUM(R542:U542)</f>
        <v>28.1713698630137</v>
      </c>
      <c r="W542">
        <f>SUM($V$400:V542)</f>
        <v>4766.62575342466</v>
      </c>
      <c r="X542">
        <f>MAX(F542-50,0)*中国_中债国债到期收益率_1年!H542*100/365</f>
        <v>0</v>
      </c>
      <c r="Y542">
        <f>SUM($X$400:X542)</f>
        <v>330.438356164384</v>
      </c>
      <c r="Z542">
        <v>-100</v>
      </c>
      <c r="AA542">
        <v>100</v>
      </c>
      <c r="AB542">
        <f>Z542*Return!F546*100</f>
        <v>-103</v>
      </c>
      <c r="AC542">
        <f>AA542*Return!G546*100</f>
        <v>75.0000000000006</v>
      </c>
      <c r="AD542">
        <f>SUM($AB$400:AB542)+SUM($AC$400:AC542)</f>
        <v>2335.30000000002</v>
      </c>
      <c r="AE542">
        <f t="shared" si="112"/>
        <v>26637.1373972603</v>
      </c>
      <c r="AF542">
        <f t="shared" si="113"/>
        <v>1.05327427479452</v>
      </c>
      <c r="AG542" s="5">
        <f>(AE542-AE541)/(500000+AE541)-中国_中债国债到期收益率_1年!H542%/252</f>
        <v>-0.000361222870503529</v>
      </c>
      <c r="AH542" s="5">
        <f>MIN((AF542-MAX($AF$401:AF542))/MAX($AF$401:AF542),0)</f>
        <v>-0.00028185779113848</v>
      </c>
    </row>
    <row r="543" spans="1:34">
      <c r="A543" s="9">
        <v>45499</v>
      </c>
      <c r="B543">
        <v>0</v>
      </c>
      <c r="C543">
        <v>30</v>
      </c>
      <c r="D543">
        <v>15</v>
      </c>
      <c r="E543">
        <v>3</v>
      </c>
      <c r="F543">
        <f t="shared" si="111"/>
        <v>48</v>
      </c>
      <c r="G543">
        <f t="shared" si="110"/>
        <v>0</v>
      </c>
      <c r="H543">
        <f t="shared" si="114"/>
        <v>150</v>
      </c>
      <c r="I543">
        <f t="shared" si="115"/>
        <v>135</v>
      </c>
      <c r="J543">
        <f t="shared" si="116"/>
        <v>48</v>
      </c>
      <c r="K543">
        <f t="shared" si="117"/>
        <v>333</v>
      </c>
      <c r="L543">
        <f>G543*Return!B543*100</f>
        <v>0</v>
      </c>
      <c r="M543">
        <f>H543*Return!C543*100</f>
        <v>73.4999999999986</v>
      </c>
      <c r="N543">
        <f>I543*Return!D543*100</f>
        <v>287.550000000001</v>
      </c>
      <c r="O543">
        <f>J543*Return!E543*100</f>
        <v>153.119999999999</v>
      </c>
      <c r="P543">
        <f t="shared" si="118"/>
        <v>514.169999999999</v>
      </c>
      <c r="Q543">
        <f>SUM($P$400:P543)</f>
        <v>20379.82</v>
      </c>
      <c r="R543">
        <f>B543*中国_中债国债到期收益率_1年!B542/365*100</f>
        <v>0</v>
      </c>
      <c r="S543">
        <f>C543*中国_中债国债到期收益率_1年!C542/365*100</f>
        <v>15.5531506849315</v>
      </c>
      <c r="T543">
        <f>D543*中国_中债国债到期收益率_1年!D542/365*100</f>
        <v>9.11013698630137</v>
      </c>
      <c r="U543">
        <f>E543*中国_中债国债到期收益率_1年!E542/365*100</f>
        <v>2.00194520547945</v>
      </c>
      <c r="V543">
        <f t="shared" si="119"/>
        <v>26.6652328767123</v>
      </c>
      <c r="W543">
        <f>SUM($V$400:V543)</f>
        <v>4793.29098630137</v>
      </c>
      <c r="X543">
        <f>MAX(F543-50,0)*中国_中债国债到期收益率_1年!H543*100/365</f>
        <v>0</v>
      </c>
      <c r="Y543">
        <f>SUM($X$400:X543)</f>
        <v>330.438356164384</v>
      </c>
      <c r="Z543">
        <v>-100</v>
      </c>
      <c r="AA543">
        <v>100</v>
      </c>
      <c r="AB543">
        <f>Z543*Return!F547*100</f>
        <v>-214.000000000001</v>
      </c>
      <c r="AC543">
        <f>AA543*Return!G547*100</f>
        <v>216.000000000001</v>
      </c>
      <c r="AD543">
        <f>SUM($AB$400:AB543)+SUM($AC$400:AC543)</f>
        <v>2337.30000000002</v>
      </c>
      <c r="AE543">
        <f t="shared" si="112"/>
        <v>27179.972630137</v>
      </c>
      <c r="AF543">
        <f t="shared" si="113"/>
        <v>1.05435994526027</v>
      </c>
      <c r="AG543" s="5">
        <f>(AE543-AE542)/(500000+AE542)-中国_中债国债到期收益率_1年!H543%/252</f>
        <v>0.000951789348048771</v>
      </c>
      <c r="AH543" s="5">
        <f>MIN((AF543-MAX($AF$401:AF543))/MAX($AF$401:AF543),0)</f>
        <v>0</v>
      </c>
    </row>
    <row r="544" spans="1:34">
      <c r="A544" s="9">
        <v>45502</v>
      </c>
      <c r="B544">
        <v>0</v>
      </c>
      <c r="C544">
        <v>30</v>
      </c>
      <c r="D544">
        <v>15</v>
      </c>
      <c r="E544">
        <v>3</v>
      </c>
      <c r="F544">
        <f t="shared" si="111"/>
        <v>48</v>
      </c>
      <c r="G544">
        <f t="shared" si="110"/>
        <v>0</v>
      </c>
      <c r="H544">
        <f t="shared" si="114"/>
        <v>150</v>
      </c>
      <c r="I544">
        <f t="shared" si="115"/>
        <v>135</v>
      </c>
      <c r="J544">
        <f t="shared" si="116"/>
        <v>48</v>
      </c>
      <c r="K544">
        <f t="shared" si="117"/>
        <v>333</v>
      </c>
      <c r="L544">
        <f>G544*Return!B544*100</f>
        <v>0</v>
      </c>
      <c r="M544">
        <f>H544*Return!C544*100</f>
        <v>-79.4999999999979</v>
      </c>
      <c r="N544">
        <f>I544*Return!D544*100</f>
        <v>302.400000000003</v>
      </c>
      <c r="O544">
        <f>J544*Return!E544*100</f>
        <v>62.8800000000005</v>
      </c>
      <c r="P544">
        <f t="shared" si="118"/>
        <v>285.780000000005</v>
      </c>
      <c r="Q544">
        <f>SUM($P$400:P544)</f>
        <v>20665.6</v>
      </c>
      <c r="R544">
        <f>B544*中国_中债国债到期收益率_1年!B543/365*100</f>
        <v>0</v>
      </c>
      <c r="S544">
        <f>C544*中国_中债国债到期收益率_1年!C543/365*100</f>
        <v>15.5967123287671</v>
      </c>
      <c r="T544">
        <f>D544*中国_中债国债到期收益率_1年!D543/365*100</f>
        <v>9.01808219178082</v>
      </c>
      <c r="U544">
        <f>E544*中国_中债国债到期收益率_1年!E543/365*100</f>
        <v>1.99117808219178</v>
      </c>
      <c r="V544">
        <f t="shared" si="119"/>
        <v>26.6059726027397</v>
      </c>
      <c r="W544">
        <f>SUM($V$400:V544)</f>
        <v>4819.89695890411</v>
      </c>
      <c r="X544">
        <f>MAX(F544-50,0)*中国_中债国债到期收益率_1年!H544*100/365</f>
        <v>0</v>
      </c>
      <c r="Y544">
        <f>SUM($X$400:X544)</f>
        <v>330.438356164384</v>
      </c>
      <c r="Z544">
        <v>-100</v>
      </c>
      <c r="AA544">
        <v>100</v>
      </c>
      <c r="AB544">
        <f>Z544*Return!F548*100</f>
        <v>3.00000000000189</v>
      </c>
      <c r="AC544">
        <f>AA544*Return!G548*100</f>
        <v>87.9999999999992</v>
      </c>
      <c r="AD544">
        <f>SUM($AB$400:AB544)+SUM($AC$400:AC544)</f>
        <v>2428.30000000002</v>
      </c>
      <c r="AE544">
        <f t="shared" si="112"/>
        <v>27583.3586027398</v>
      </c>
      <c r="AF544">
        <f t="shared" si="113"/>
        <v>1.05516671720548</v>
      </c>
      <c r="AG544" s="5">
        <f>(AE544-AE543)/(500000+AE543)-中国_中债国债到期收益率_1年!H544%/252</f>
        <v>0.000687796014775503</v>
      </c>
      <c r="AH544" s="5">
        <f>MIN((AF544-MAX($AF$401:AF544))/MAX($AF$401:AF544),0)</f>
        <v>0</v>
      </c>
    </row>
    <row r="545" spans="1:34">
      <c r="A545" s="9">
        <v>45503</v>
      </c>
      <c r="B545">
        <v>0</v>
      </c>
      <c r="C545">
        <v>30</v>
      </c>
      <c r="D545">
        <v>15</v>
      </c>
      <c r="E545">
        <v>3</v>
      </c>
      <c r="F545">
        <f t="shared" si="111"/>
        <v>48</v>
      </c>
      <c r="G545">
        <f t="shared" si="110"/>
        <v>0</v>
      </c>
      <c r="H545">
        <f t="shared" si="114"/>
        <v>150</v>
      </c>
      <c r="I545">
        <f t="shared" si="115"/>
        <v>135</v>
      </c>
      <c r="J545">
        <f t="shared" si="116"/>
        <v>48</v>
      </c>
      <c r="K545">
        <f t="shared" si="117"/>
        <v>333</v>
      </c>
      <c r="L545">
        <f>G545*Return!B545*100</f>
        <v>0</v>
      </c>
      <c r="M545">
        <f>H545*Return!C545*100</f>
        <v>64.4999999999996</v>
      </c>
      <c r="N545">
        <f>I545*Return!D545*100</f>
        <v>499.499999999999</v>
      </c>
      <c r="O545">
        <f>J545*Return!E545*100</f>
        <v>156.48</v>
      </c>
      <c r="P545">
        <f t="shared" si="118"/>
        <v>720.479999999998</v>
      </c>
      <c r="Q545">
        <f>SUM($P$400:P545)</f>
        <v>21386.08</v>
      </c>
      <c r="R545">
        <f>B545*中国_中债国债到期收益率_1年!B544/365*100</f>
        <v>0</v>
      </c>
      <c r="S545">
        <f>C545*中国_中债国债到期收益率_1年!C544/365*100</f>
        <v>15.5613698630137</v>
      </c>
      <c r="T545">
        <f>D545*中国_中债国债到期收益率_1年!D544/365*100</f>
        <v>8.86602739726027</v>
      </c>
      <c r="U545">
        <f>E545*中国_中债国债到期收益率_1年!E544/365*100</f>
        <v>1.96438356164384</v>
      </c>
      <c r="V545">
        <f t="shared" si="119"/>
        <v>26.3917808219178</v>
      </c>
      <c r="W545">
        <f>SUM($V$400:V545)</f>
        <v>4846.28873972602</v>
      </c>
      <c r="X545">
        <f>MAX(F545-50,0)*中国_中债国债到期收益率_1年!H545*100/365</f>
        <v>0</v>
      </c>
      <c r="Y545">
        <f>SUM($X$400:X545)</f>
        <v>330.438356164384</v>
      </c>
      <c r="Z545">
        <v>-100</v>
      </c>
      <c r="AA545">
        <v>100</v>
      </c>
      <c r="AB545">
        <f>Z545*Return!F549*100</f>
        <v>-53.0000000000008</v>
      </c>
      <c r="AC545">
        <f>AA545*Return!G549*100</f>
        <v>89.0000000000013</v>
      </c>
      <c r="AD545">
        <f>SUM($AB$400:AB545)+SUM($AC$400:AC545)</f>
        <v>2464.30000000002</v>
      </c>
      <c r="AE545">
        <f t="shared" si="112"/>
        <v>28366.2303835617</v>
      </c>
      <c r="AF545">
        <f t="shared" si="113"/>
        <v>1.05673246076712</v>
      </c>
      <c r="AG545" s="5">
        <f>(AE545-AE544)/(500000+AE544)-中国_中债国债到期收益率_1年!H545%/252</f>
        <v>0.00140729532673381</v>
      </c>
      <c r="AH545" s="5">
        <f>MIN((AF545-MAX($AF$401:AF545))/MAX($AF$401:AF545),0)</f>
        <v>0</v>
      </c>
    </row>
    <row r="546" spans="1:34">
      <c r="A546" s="9">
        <v>45504</v>
      </c>
      <c r="B546">
        <v>0</v>
      </c>
      <c r="C546">
        <v>30</v>
      </c>
      <c r="D546">
        <v>15</v>
      </c>
      <c r="E546">
        <v>3</v>
      </c>
      <c r="F546">
        <f t="shared" si="111"/>
        <v>48</v>
      </c>
      <c r="G546">
        <f t="shared" si="110"/>
        <v>0</v>
      </c>
      <c r="H546">
        <f t="shared" si="114"/>
        <v>150</v>
      </c>
      <c r="I546">
        <f t="shared" si="115"/>
        <v>135</v>
      </c>
      <c r="J546">
        <f t="shared" si="116"/>
        <v>48</v>
      </c>
      <c r="K546">
        <f t="shared" si="117"/>
        <v>333</v>
      </c>
      <c r="L546">
        <f>G546*Return!B546*100</f>
        <v>0</v>
      </c>
      <c r="M546">
        <f>H546*Return!C546*100</f>
        <v>145.500000000001</v>
      </c>
      <c r="N546">
        <f>I546*Return!D546*100</f>
        <v>126.899999999998</v>
      </c>
      <c r="O546">
        <f>J546*Return!E546*100</f>
        <v>64.8000000000003</v>
      </c>
      <c r="P546">
        <f t="shared" si="118"/>
        <v>337.199999999999</v>
      </c>
      <c r="Q546">
        <f>SUM($P$400:P546)</f>
        <v>21723.28</v>
      </c>
      <c r="R546">
        <f>B546*中国_中债国债到期收益率_1年!B545/365*100</f>
        <v>0</v>
      </c>
      <c r="S546">
        <f>C546*中国_中债国债到期收益率_1年!C545/365*100</f>
        <v>15.4816438356164</v>
      </c>
      <c r="T546">
        <f>D546*中国_中债国债到期收益率_1年!D545/365*100</f>
        <v>8.82739726027397</v>
      </c>
      <c r="U546">
        <f>E546*中国_中债国债到期收益率_1年!E545/365*100</f>
        <v>1.95328767123288</v>
      </c>
      <c r="V546">
        <f t="shared" si="119"/>
        <v>26.2623287671233</v>
      </c>
      <c r="W546">
        <f>SUM($V$400:V546)</f>
        <v>4872.55106849315</v>
      </c>
      <c r="X546">
        <f>MAX(F546-50,0)*中国_中债国债到期收益率_1年!H546*100/365</f>
        <v>0</v>
      </c>
      <c r="Y546">
        <f>SUM($X$400:X546)</f>
        <v>330.438356164384</v>
      </c>
      <c r="Z546">
        <v>-100</v>
      </c>
      <c r="AA546">
        <v>100</v>
      </c>
      <c r="AB546">
        <f>Z546*Return!F550*100</f>
        <v>-13.0000000000008</v>
      </c>
      <c r="AC546">
        <f>AA546*Return!G550*100</f>
        <v>115.999999999998</v>
      </c>
      <c r="AD546">
        <f>SUM($AB$400:AB546)+SUM($AC$400:AC546)</f>
        <v>2567.30000000002</v>
      </c>
      <c r="AE546">
        <f t="shared" si="112"/>
        <v>28832.6927123288</v>
      </c>
      <c r="AF546">
        <f t="shared" si="113"/>
        <v>1.05766538542466</v>
      </c>
      <c r="AG546" s="5">
        <f>(AE546-AE545)/(500000+AE545)-中国_中债国债到期收益率_1年!H546%/252</f>
        <v>0.000807442201670626</v>
      </c>
      <c r="AH546" s="5">
        <f>MIN((AF546-MAX($AF$401:AF546))/MAX($AF$401:AF546),0)</f>
        <v>0</v>
      </c>
    </row>
    <row r="547" spans="1:34">
      <c r="A547" s="9">
        <v>45505</v>
      </c>
      <c r="B547">
        <v>0</v>
      </c>
      <c r="C547">
        <v>30</v>
      </c>
      <c r="D547">
        <v>15</v>
      </c>
      <c r="E547">
        <v>3</v>
      </c>
      <c r="F547">
        <f t="shared" si="111"/>
        <v>48</v>
      </c>
      <c r="G547">
        <f t="shared" si="110"/>
        <v>0</v>
      </c>
      <c r="H547">
        <f t="shared" si="114"/>
        <v>150</v>
      </c>
      <c r="I547">
        <f t="shared" si="115"/>
        <v>135</v>
      </c>
      <c r="J547">
        <f t="shared" si="116"/>
        <v>48</v>
      </c>
      <c r="K547">
        <f t="shared" si="117"/>
        <v>333</v>
      </c>
      <c r="L547">
        <f>G547*Return!B547*100</f>
        <v>0</v>
      </c>
      <c r="M547">
        <f>H547*Return!C547*100</f>
        <v>518.999999999999</v>
      </c>
      <c r="N547">
        <f>I547*Return!D547*100</f>
        <v>-18.8999999999979</v>
      </c>
      <c r="O547">
        <f>J547*Return!E547*100</f>
        <v>-28.799999999999</v>
      </c>
      <c r="P547">
        <f t="shared" si="118"/>
        <v>471.300000000003</v>
      </c>
      <c r="Q547">
        <f>SUM($P$400:P547)</f>
        <v>22194.58</v>
      </c>
      <c r="R547">
        <f>B547*中国_中债国债到期收益率_1年!B546/365*100</f>
        <v>0</v>
      </c>
      <c r="S547">
        <f>C547*中国_中债国债到期收益率_1年!C546/365*100</f>
        <v>15.1972602739726</v>
      </c>
      <c r="T547">
        <f>D547*中国_中债国债到期收益率_1年!D546/365*100</f>
        <v>8.83315068493151</v>
      </c>
      <c r="U547">
        <f>E547*中国_中债国债到期收益率_1年!E546/365*100</f>
        <v>1.95821917808219</v>
      </c>
      <c r="V547">
        <f t="shared" si="119"/>
        <v>25.9886301369863</v>
      </c>
      <c r="W547">
        <f>SUM($V$400:V547)</f>
        <v>4898.53969863013</v>
      </c>
      <c r="X547">
        <f>MAX(F547-50,0)*中国_中债国债到期收益率_1年!H547*100/365</f>
        <v>0</v>
      </c>
      <c r="Y547">
        <f>SUM($X$400:X547)</f>
        <v>330.438356164384</v>
      </c>
      <c r="Z547">
        <v>-100</v>
      </c>
      <c r="AA547">
        <v>100</v>
      </c>
      <c r="AB547">
        <f>Z547*Return!F551*100</f>
        <v>143</v>
      </c>
      <c r="AC547">
        <f>AA547*Return!G551*100</f>
        <v>-272.999999999999</v>
      </c>
      <c r="AD547">
        <f>SUM($AB$400:AB547)+SUM($AC$400:AC547)</f>
        <v>2437.30000000002</v>
      </c>
      <c r="AE547">
        <f t="shared" si="112"/>
        <v>29199.9813424658</v>
      </c>
      <c r="AF547">
        <f t="shared" si="113"/>
        <v>1.05839996268493</v>
      </c>
      <c r="AG547" s="5">
        <f>(AE547-AE546)/(500000+AE546)-中国_中债国债到期收益率_1年!H547%/252</f>
        <v>0.000621114389640812</v>
      </c>
      <c r="AH547" s="5">
        <f>MIN((AF547-MAX($AF$401:AF547))/MAX($AF$401:AF547),0)</f>
        <v>0</v>
      </c>
    </row>
    <row r="548" spans="1:34">
      <c r="A548" s="9">
        <v>45506</v>
      </c>
      <c r="B548">
        <v>0</v>
      </c>
      <c r="C548">
        <v>30</v>
      </c>
      <c r="D548">
        <v>15</v>
      </c>
      <c r="E548">
        <v>3</v>
      </c>
      <c r="F548">
        <f t="shared" si="111"/>
        <v>48</v>
      </c>
      <c r="G548">
        <f t="shared" si="110"/>
        <v>0</v>
      </c>
      <c r="H548">
        <f t="shared" si="114"/>
        <v>150</v>
      </c>
      <c r="I548">
        <f t="shared" si="115"/>
        <v>135</v>
      </c>
      <c r="J548">
        <f t="shared" si="116"/>
        <v>48</v>
      </c>
      <c r="K548">
        <f t="shared" si="117"/>
        <v>333</v>
      </c>
      <c r="L548">
        <f>G548*Return!B548*100</f>
        <v>0</v>
      </c>
      <c r="M548">
        <f>H548*Return!C548*100</f>
        <v>341.999999999999</v>
      </c>
      <c r="N548">
        <f>I548*Return!D548*100</f>
        <v>265.949999999998</v>
      </c>
      <c r="O548">
        <f>J548*Return!E548*100</f>
        <v>83.5199999999993</v>
      </c>
      <c r="P548">
        <f t="shared" si="118"/>
        <v>691.469999999996</v>
      </c>
      <c r="Q548">
        <f>SUM($P$400:P548)</f>
        <v>22886.05</v>
      </c>
      <c r="R548">
        <f>B548*中国_中债国债到期收益率_1年!B547/365*100</f>
        <v>0</v>
      </c>
      <c r="S548">
        <f>C548*中国_中债国债到期收益率_1年!C547/365*100</f>
        <v>15.0098630136986</v>
      </c>
      <c r="T548">
        <f>D548*中国_中债国债到期收益率_1年!D547/365*100</f>
        <v>8.75219178082192</v>
      </c>
      <c r="U548">
        <f>E548*中国_中债国债到期收益率_1年!E547/365*100</f>
        <v>1.94391780821918</v>
      </c>
      <c r="V548">
        <f t="shared" si="119"/>
        <v>25.7059726027397</v>
      </c>
      <c r="W548">
        <f>SUM($V$400:V548)</f>
        <v>4924.24567123287</v>
      </c>
      <c r="X548">
        <f>MAX(F548-50,0)*中国_中债国债到期收益率_1年!H548*100/365</f>
        <v>0</v>
      </c>
      <c r="Y548">
        <f>SUM($X$400:X548)</f>
        <v>330.438356164384</v>
      </c>
      <c r="Z548">
        <v>-100</v>
      </c>
      <c r="AA548">
        <v>100</v>
      </c>
      <c r="AB548">
        <f>Z548*Return!F552*100</f>
        <v>-22.9999999999997</v>
      </c>
      <c r="AC548">
        <f>AA548*Return!G552*100</f>
        <v>128.999999999999</v>
      </c>
      <c r="AD548">
        <f>SUM($AB$400:AB548)+SUM($AC$400:AC548)</f>
        <v>2543.30000000002</v>
      </c>
      <c r="AE548">
        <f t="shared" si="112"/>
        <v>30023.1573150685</v>
      </c>
      <c r="AF548">
        <f t="shared" si="113"/>
        <v>1.06004631463014</v>
      </c>
      <c r="AG548" s="5">
        <f>(AE548-AE547)/(500000+AE547)-中国_中债国债到期收益率_1年!H548%/252</f>
        <v>0.00148328798492956</v>
      </c>
      <c r="AH548" s="5">
        <f>MIN((AF548-MAX($AF$401:AF548))/MAX($AF$401:AF548),0)</f>
        <v>0</v>
      </c>
    </row>
    <row r="549" spans="1:34">
      <c r="A549" s="9">
        <v>45509</v>
      </c>
      <c r="B549">
        <v>0</v>
      </c>
      <c r="C549">
        <v>30</v>
      </c>
      <c r="D549">
        <v>15</v>
      </c>
      <c r="E549">
        <v>3</v>
      </c>
      <c r="F549">
        <f t="shared" si="111"/>
        <v>48</v>
      </c>
      <c r="G549">
        <f t="shared" si="110"/>
        <v>0</v>
      </c>
      <c r="H549">
        <f t="shared" si="114"/>
        <v>150</v>
      </c>
      <c r="I549">
        <f t="shared" si="115"/>
        <v>135</v>
      </c>
      <c r="J549">
        <f t="shared" si="116"/>
        <v>48</v>
      </c>
      <c r="K549">
        <f t="shared" si="117"/>
        <v>333</v>
      </c>
      <c r="L549">
        <f>G549*Return!B549*100</f>
        <v>0</v>
      </c>
      <c r="M549">
        <f>H549*Return!C549*100</f>
        <v>111.000000000001</v>
      </c>
      <c r="N549">
        <f>I549*Return!D549*100</f>
        <v>27.000000000003</v>
      </c>
      <c r="O549">
        <f>J549*Return!E549*100</f>
        <v>89.2800000000008</v>
      </c>
      <c r="P549">
        <f t="shared" si="118"/>
        <v>227.280000000005</v>
      </c>
      <c r="Q549">
        <f>SUM($P$400:P549)</f>
        <v>23113.33</v>
      </c>
      <c r="R549">
        <f>B549*中国_中债国债到期收益率_1年!B548/365*100</f>
        <v>0</v>
      </c>
      <c r="S549">
        <f>C549*中国_中债国债到期收益率_1年!C548/365*100</f>
        <v>14.9490410958904</v>
      </c>
      <c r="T549">
        <f>D549*中国_中债国债到期收益率_1年!D548/365*100</f>
        <v>8.74397260273973</v>
      </c>
      <c r="U549">
        <f>E549*中国_中债国债到期收益率_1年!E548/365*100</f>
        <v>1.9286301369863</v>
      </c>
      <c r="V549">
        <f t="shared" si="119"/>
        <v>25.6216438356164</v>
      </c>
      <c r="W549">
        <f>SUM($V$400:V549)</f>
        <v>4949.86731506849</v>
      </c>
      <c r="X549">
        <f>MAX(F549-50,0)*中国_中债国债到期收益率_1年!H549*100/365</f>
        <v>0</v>
      </c>
      <c r="Y549">
        <f>SUM($X$400:X549)</f>
        <v>330.438356164384</v>
      </c>
      <c r="Z549">
        <v>-100</v>
      </c>
      <c r="AA549">
        <v>100</v>
      </c>
      <c r="AB549">
        <f>Z549*Return!F553*100</f>
        <v>188.000000000002</v>
      </c>
      <c r="AC549">
        <f>AA549*Return!G553*100</f>
        <v>-259</v>
      </c>
      <c r="AD549">
        <f>SUM($AB$400:AB549)+SUM($AC$400:AC549)</f>
        <v>2472.30000000002</v>
      </c>
      <c r="AE549">
        <f t="shared" si="112"/>
        <v>30205.0589589041</v>
      </c>
      <c r="AF549">
        <f t="shared" si="113"/>
        <v>1.06041011791781</v>
      </c>
      <c r="AG549" s="5">
        <f>(AE549-AE548)/(500000+AE548)-中国_中债国债到期收益率_1年!H549%/252</f>
        <v>0.000271767082053967</v>
      </c>
      <c r="AH549" s="5">
        <f>MIN((AF549-MAX($AF$401:AF549))/MAX($AF$401:AF549),0)</f>
        <v>0</v>
      </c>
    </row>
    <row r="550" spans="1:34">
      <c r="A550" s="9">
        <v>45510</v>
      </c>
      <c r="B550">
        <v>0</v>
      </c>
      <c r="C550">
        <v>30</v>
      </c>
      <c r="D550">
        <v>15</v>
      </c>
      <c r="E550">
        <v>3</v>
      </c>
      <c r="F550">
        <f t="shared" si="111"/>
        <v>48</v>
      </c>
      <c r="G550">
        <f t="shared" si="110"/>
        <v>0</v>
      </c>
      <c r="H550">
        <f t="shared" si="114"/>
        <v>150</v>
      </c>
      <c r="I550">
        <f t="shared" si="115"/>
        <v>135</v>
      </c>
      <c r="J550">
        <f t="shared" si="116"/>
        <v>48</v>
      </c>
      <c r="K550">
        <f t="shared" si="117"/>
        <v>333</v>
      </c>
      <c r="L550">
        <f>G550*Return!B550*100</f>
        <v>0</v>
      </c>
      <c r="M550">
        <f>H550*Return!C550*100</f>
        <v>65.9999999999994</v>
      </c>
      <c r="N550">
        <f>I550*Return!D550*100</f>
        <v>-133.65</v>
      </c>
      <c r="O550">
        <f>J550*Return!E550*100</f>
        <v>43.1999999999995</v>
      </c>
      <c r="P550">
        <f t="shared" si="118"/>
        <v>-24.4500000000014</v>
      </c>
      <c r="Q550">
        <f>SUM($P$400:P550)</f>
        <v>23088.88</v>
      </c>
      <c r="R550">
        <f>B550*中国_中债国债到期收益率_1年!B549/365*100</f>
        <v>0</v>
      </c>
      <c r="S550">
        <f>C550*中国_中债国债到期收益率_1年!C549/365*100</f>
        <v>14.9128767123288</v>
      </c>
      <c r="T550">
        <f>D550*中国_中债国债到期收益率_1年!D549/365*100</f>
        <v>8.78465753424658</v>
      </c>
      <c r="U550">
        <f>E550*中国_中债国债到期收益率_1年!E549/365*100</f>
        <v>1.92123287671233</v>
      </c>
      <c r="V550">
        <f t="shared" si="119"/>
        <v>25.6187671232877</v>
      </c>
      <c r="W550">
        <f>SUM($V$400:V550)</f>
        <v>4975.48608219178</v>
      </c>
      <c r="X550">
        <f>MAX(F550-50,0)*中国_中债国债到期收益率_1年!H550*100/365</f>
        <v>0</v>
      </c>
      <c r="Y550">
        <f>SUM($X$400:X550)</f>
        <v>330.438356164384</v>
      </c>
      <c r="Z550">
        <v>-100</v>
      </c>
      <c r="AA550">
        <v>100</v>
      </c>
      <c r="AB550">
        <f>Z550*Return!F554*100</f>
        <v>144</v>
      </c>
      <c r="AC550">
        <f>AA550*Return!G554*100</f>
        <v>-195.999999999998</v>
      </c>
      <c r="AD550">
        <f>SUM($AB$400:AB550)+SUM($AC$400:AC550)</f>
        <v>2420.30000000002</v>
      </c>
      <c r="AE550">
        <f t="shared" si="112"/>
        <v>30154.2277260274</v>
      </c>
      <c r="AF550">
        <f t="shared" si="113"/>
        <v>1.06030845545205</v>
      </c>
      <c r="AG550" s="5">
        <f>(AE550-AE549)/(500000+AE549)-中国_中债国债到期收益率_1年!H550%/252</f>
        <v>-0.000168886766772565</v>
      </c>
      <c r="AH550" s="5">
        <f>MIN((AF550-MAX($AF$401:AF550))/MAX($AF$401:AF550),0)</f>
        <v>-9.5870893756762e-5</v>
      </c>
    </row>
    <row r="551" spans="1:34">
      <c r="A551" s="9">
        <v>45511</v>
      </c>
      <c r="B551">
        <v>0</v>
      </c>
      <c r="C551">
        <v>30</v>
      </c>
      <c r="D551">
        <v>15</v>
      </c>
      <c r="E551">
        <v>3</v>
      </c>
      <c r="F551">
        <f t="shared" si="111"/>
        <v>48</v>
      </c>
      <c r="G551">
        <f t="shared" si="110"/>
        <v>0</v>
      </c>
      <c r="H551">
        <f t="shared" si="114"/>
        <v>150</v>
      </c>
      <c r="I551">
        <f t="shared" si="115"/>
        <v>135</v>
      </c>
      <c r="J551">
        <f t="shared" si="116"/>
        <v>48</v>
      </c>
      <c r="K551">
        <f t="shared" si="117"/>
        <v>333</v>
      </c>
      <c r="L551">
        <f>G551*Return!B551*100</f>
        <v>0</v>
      </c>
      <c r="M551">
        <f>H551*Return!C551*100</f>
        <v>-38.999999999999</v>
      </c>
      <c r="N551">
        <f>I551*Return!D551*100</f>
        <v>-155.249999999998</v>
      </c>
      <c r="O551">
        <f>J551*Return!E551*100</f>
        <v>-84.0000000000003</v>
      </c>
      <c r="P551">
        <f t="shared" si="118"/>
        <v>-278.249999999997</v>
      </c>
      <c r="Q551">
        <f>SUM($P$400:P551)</f>
        <v>22810.63</v>
      </c>
      <c r="R551">
        <f>B551*中国_中债国债到期收益率_1年!B550/365*100</f>
        <v>0</v>
      </c>
      <c r="S551">
        <f>C551*中国_中债国债到期收益率_1年!C550/365*100</f>
        <v>14.9342465753425</v>
      </c>
      <c r="T551">
        <f>D551*中国_中债国债到期收益率_1年!D550/365*100</f>
        <v>8.83191780821918</v>
      </c>
      <c r="U551">
        <f>E551*中国_中债国债到期收益率_1年!E550/365*100</f>
        <v>1.93561643835616</v>
      </c>
      <c r="V551">
        <f t="shared" si="119"/>
        <v>25.7017808219178</v>
      </c>
      <c r="W551">
        <f>SUM($V$400:V551)</f>
        <v>5001.1878630137</v>
      </c>
      <c r="X551">
        <f>MAX(F551-50,0)*中国_中债国债到期收益率_1年!H551*100/365</f>
        <v>0</v>
      </c>
      <c r="Y551">
        <f>SUM($X$400:X551)</f>
        <v>330.438356164384</v>
      </c>
      <c r="Z551">
        <v>-100</v>
      </c>
      <c r="AA551">
        <v>100</v>
      </c>
      <c r="AB551">
        <f>Z551*Return!F555*100</f>
        <v>336.999999999998</v>
      </c>
      <c r="AC551">
        <f>AA551*Return!G555*100</f>
        <v>-333.000000000001</v>
      </c>
      <c r="AD551">
        <f>SUM($AB$400:AB551)+SUM($AC$400:AC551)</f>
        <v>2424.30000000002</v>
      </c>
      <c r="AE551">
        <f t="shared" si="112"/>
        <v>29905.6795068493</v>
      </c>
      <c r="AF551">
        <f t="shared" si="113"/>
        <v>1.0598113590137</v>
      </c>
      <c r="AG551" s="5">
        <f>(AE551-AE550)/(500000+AE550)-中国_中债国债到期收益率_1年!H551%/252</f>
        <v>-0.000541441526398803</v>
      </c>
      <c r="AH551" s="5">
        <f>MIN((AF551-MAX($AF$401:AF551))/MAX($AF$401:AF551),0)</f>
        <v>-0.000564648426106457</v>
      </c>
    </row>
    <row r="552" spans="1:34">
      <c r="A552" s="9">
        <v>45512</v>
      </c>
      <c r="B552">
        <v>0</v>
      </c>
      <c r="C552">
        <v>30</v>
      </c>
      <c r="D552">
        <v>15</v>
      </c>
      <c r="E552">
        <v>3</v>
      </c>
      <c r="F552">
        <f t="shared" si="111"/>
        <v>48</v>
      </c>
      <c r="G552">
        <f t="shared" si="110"/>
        <v>0</v>
      </c>
      <c r="H552">
        <f t="shared" si="114"/>
        <v>150</v>
      </c>
      <c r="I552">
        <f t="shared" si="115"/>
        <v>135</v>
      </c>
      <c r="J552">
        <f t="shared" si="116"/>
        <v>48</v>
      </c>
      <c r="K552">
        <f t="shared" si="117"/>
        <v>333</v>
      </c>
      <c r="L552">
        <f>G552*Return!B552*100</f>
        <v>0</v>
      </c>
      <c r="M552">
        <f>H552*Return!C552*100</f>
        <v>262.499999999998</v>
      </c>
      <c r="N552">
        <f>I552*Return!D552*100</f>
        <v>103.949999999998</v>
      </c>
      <c r="O552">
        <f>J552*Return!E552*100</f>
        <v>96.0000000000001</v>
      </c>
      <c r="P552">
        <f t="shared" si="118"/>
        <v>462.449999999995</v>
      </c>
      <c r="Q552">
        <f>SUM($P$400:P552)</f>
        <v>23273.08</v>
      </c>
      <c r="R552">
        <f>B552*中国_中债国债到期收益率_1年!B551/365*100</f>
        <v>0</v>
      </c>
      <c r="S552">
        <f>C552*中国_中债国债到期收益率_1年!C551/365*100</f>
        <v>14.7904109589041</v>
      </c>
      <c r="T552">
        <f>D552*中国_中债国债到期收益率_1年!D551/365*100</f>
        <v>8.80027397260274</v>
      </c>
      <c r="U552">
        <f>E552*中国_中债国债到期收益率_1年!E551/365*100</f>
        <v>1.91917808219178</v>
      </c>
      <c r="V552">
        <f t="shared" si="119"/>
        <v>25.5098630136986</v>
      </c>
      <c r="W552">
        <f>SUM($V$400:V552)</f>
        <v>5026.6977260274</v>
      </c>
      <c r="X552">
        <f>MAX(F552-50,0)*中国_中债国债到期收益率_1年!H552*100/365</f>
        <v>0</v>
      </c>
      <c r="Y552">
        <f>SUM($X$400:X552)</f>
        <v>330.438356164384</v>
      </c>
      <c r="Z552">
        <v>-100</v>
      </c>
      <c r="AA552">
        <v>100</v>
      </c>
      <c r="AB552">
        <f>Z552*Return!F556*100</f>
        <v>-232.999999999999</v>
      </c>
      <c r="AC552">
        <f>AA552*Return!G556*100</f>
        <v>348.999999999999</v>
      </c>
      <c r="AD552">
        <f>SUM($AB$400:AB552)+SUM($AC$400:AC552)</f>
        <v>2540.30000000002</v>
      </c>
      <c r="AE552">
        <f t="shared" si="112"/>
        <v>30509.639369863</v>
      </c>
      <c r="AF552">
        <f t="shared" si="113"/>
        <v>1.06101927873973</v>
      </c>
      <c r="AG552" s="5">
        <f>(AE552-AE551)/(500000+AE551)-中国_中债国债到期收益率_1年!H552%/252</f>
        <v>0.00106633704643957</v>
      </c>
      <c r="AH552" s="5">
        <f>MIN((AF552-MAX($AF$401:AF552))/MAX($AF$401:AF552),0)</f>
        <v>0</v>
      </c>
    </row>
    <row r="553" spans="1:34">
      <c r="A553" s="9">
        <v>45513</v>
      </c>
      <c r="B553">
        <v>0</v>
      </c>
      <c r="C553">
        <v>30</v>
      </c>
      <c r="D553">
        <v>15</v>
      </c>
      <c r="E553">
        <v>3</v>
      </c>
      <c r="F553">
        <f t="shared" si="111"/>
        <v>48</v>
      </c>
      <c r="G553">
        <f t="shared" si="110"/>
        <v>0</v>
      </c>
      <c r="H553">
        <f t="shared" si="114"/>
        <v>150</v>
      </c>
      <c r="I553">
        <f t="shared" si="115"/>
        <v>135</v>
      </c>
      <c r="J553">
        <f t="shared" si="116"/>
        <v>48</v>
      </c>
      <c r="K553">
        <f t="shared" si="117"/>
        <v>333</v>
      </c>
      <c r="L553">
        <f>G553*Return!B553*100</f>
        <v>0</v>
      </c>
      <c r="M553">
        <f>H553*Return!C553*100</f>
        <v>-530.999999999998</v>
      </c>
      <c r="N553">
        <f>I553*Return!D553*100</f>
        <v>-534.600000000001</v>
      </c>
      <c r="O553">
        <f>J553*Return!E553*100</f>
        <v>-168.000000000001</v>
      </c>
      <c r="P553">
        <f t="shared" si="118"/>
        <v>-1233.6</v>
      </c>
      <c r="Q553">
        <f>SUM($P$400:P553)</f>
        <v>22039.48</v>
      </c>
      <c r="R553">
        <f>B553*中国_中债国债到期收益率_1年!B552/365*100</f>
        <v>0</v>
      </c>
      <c r="S553">
        <f>C553*中国_中债国债到期收益率_1年!C552/365*100</f>
        <v>15.0813698630137</v>
      </c>
      <c r="T553">
        <f>D553*中国_中债国债到期收益率_1年!D552/365*100</f>
        <v>8.96301369863014</v>
      </c>
      <c r="U553">
        <f>E553*中国_中债国债到期收益率_1年!E552/365*100</f>
        <v>1.94794520547945</v>
      </c>
      <c r="V553">
        <f t="shared" si="119"/>
        <v>25.9923287671233</v>
      </c>
      <c r="W553">
        <f>SUM($V$400:V553)</f>
        <v>5052.69005479452</v>
      </c>
      <c r="X553">
        <f>MAX(F553-50,0)*中国_中债国债到期收益率_1年!H553*100/365</f>
        <v>0</v>
      </c>
      <c r="Y553">
        <f>SUM($X$400:X553)</f>
        <v>330.438356164384</v>
      </c>
      <c r="Z553">
        <v>-100</v>
      </c>
      <c r="AA553">
        <v>100</v>
      </c>
      <c r="AB553">
        <f>Z553*Return!F557*100</f>
        <v>-289.000000000001</v>
      </c>
      <c r="AC553">
        <f>AA553*Return!G557*100</f>
        <v>356.000000000001</v>
      </c>
      <c r="AD553">
        <f>SUM($AB$400:AB553)+SUM($AC$400:AC553)</f>
        <v>2607.30000000002</v>
      </c>
      <c r="AE553">
        <f t="shared" si="112"/>
        <v>29369.0316986302</v>
      </c>
      <c r="AF553">
        <f t="shared" si="113"/>
        <v>1.05873806339726</v>
      </c>
      <c r="AG553" s="5">
        <f>(AE553-AE552)/(500000+AE552)-中国_中债国债到期收益率_1年!H553%/252</f>
        <v>-0.002223832042887</v>
      </c>
      <c r="AH553" s="5">
        <f>MIN((AF553-MAX($AF$401:AF553))/MAX($AF$401:AF553),0)</f>
        <v>-0.00215002251907755</v>
      </c>
    </row>
    <row r="554" spans="1:34">
      <c r="A554" s="9">
        <v>45516</v>
      </c>
      <c r="B554">
        <v>0</v>
      </c>
      <c r="C554">
        <v>30</v>
      </c>
      <c r="D554">
        <v>15</v>
      </c>
      <c r="E554">
        <v>3</v>
      </c>
      <c r="F554">
        <f t="shared" si="111"/>
        <v>48</v>
      </c>
      <c r="G554">
        <f t="shared" si="110"/>
        <v>0</v>
      </c>
      <c r="H554">
        <f t="shared" si="114"/>
        <v>150</v>
      </c>
      <c r="I554">
        <f t="shared" si="115"/>
        <v>135</v>
      </c>
      <c r="J554">
        <f t="shared" si="116"/>
        <v>48</v>
      </c>
      <c r="K554">
        <f t="shared" si="117"/>
        <v>333</v>
      </c>
      <c r="L554">
        <f>G554*Return!B554*100</f>
        <v>0</v>
      </c>
      <c r="M554">
        <f>H554*Return!C554*100</f>
        <v>-535.500000000001</v>
      </c>
      <c r="N554">
        <f>I554*Return!D554*100</f>
        <v>-237.599999999998</v>
      </c>
      <c r="O554">
        <f>J554*Return!E554*100</f>
        <v>-47.999999999999</v>
      </c>
      <c r="P554">
        <f t="shared" si="118"/>
        <v>-821.099999999998</v>
      </c>
      <c r="Q554">
        <f>SUM($P$400:P554)</f>
        <v>21218.38</v>
      </c>
      <c r="R554">
        <f>B554*中国_中债国债到期收益率_1年!B553/365*100</f>
        <v>0</v>
      </c>
      <c r="S554">
        <f>C554*中国_中债国债到期收益率_1年!C553/365*100</f>
        <v>15.3747945205479</v>
      </c>
      <c r="T554">
        <f>D554*中国_中债国债到期收益率_1年!D553/365*100</f>
        <v>9.03534246575343</v>
      </c>
      <c r="U554">
        <f>E554*中国_中债国债到期收益率_1年!E553/365*100</f>
        <v>1.95616438356164</v>
      </c>
      <c r="V554">
        <f t="shared" si="119"/>
        <v>26.366301369863</v>
      </c>
      <c r="W554">
        <f>SUM($V$400:V554)</f>
        <v>5079.05635616438</v>
      </c>
      <c r="X554">
        <f>MAX(F554-50,0)*中国_中债国债到期收益率_1年!H554*100/365</f>
        <v>0</v>
      </c>
      <c r="Y554">
        <f>SUM($X$400:X554)</f>
        <v>330.438356164384</v>
      </c>
      <c r="Z554">
        <v>-100</v>
      </c>
      <c r="AA554">
        <v>100</v>
      </c>
      <c r="AB554">
        <f>Z554*Return!F558*100</f>
        <v>135.000000000001</v>
      </c>
      <c r="AC554">
        <f>AA554*Return!G558*100</f>
        <v>-88.9999999999991</v>
      </c>
      <c r="AD554">
        <f>SUM($AB$400:AB554)+SUM($AC$400:AC554)</f>
        <v>2653.30000000002</v>
      </c>
      <c r="AE554">
        <f t="shared" si="112"/>
        <v>28620.298</v>
      </c>
      <c r="AF554">
        <f t="shared" si="113"/>
        <v>1.057240596</v>
      </c>
      <c r="AG554" s="5">
        <f>(AE554-AE553)/(500000+AE553)-中国_中债国债到期收益率_1年!H554%/252</f>
        <v>-0.00149057940677754</v>
      </c>
      <c r="AH554" s="5">
        <f>MIN((AF554-MAX($AF$401:AF554))/MAX($AF$401:AF554),0)</f>
        <v>-0.00356137048161316</v>
      </c>
    </row>
    <row r="555" spans="1:34">
      <c r="A555" s="9">
        <v>45517</v>
      </c>
      <c r="B555">
        <v>0</v>
      </c>
      <c r="C555">
        <v>30</v>
      </c>
      <c r="D555">
        <v>15</v>
      </c>
      <c r="E555">
        <v>3</v>
      </c>
      <c r="F555">
        <f t="shared" si="111"/>
        <v>48</v>
      </c>
      <c r="G555">
        <f t="shared" si="110"/>
        <v>0</v>
      </c>
      <c r="H555">
        <f t="shared" si="114"/>
        <v>150</v>
      </c>
      <c r="I555">
        <f t="shared" si="115"/>
        <v>135</v>
      </c>
      <c r="J555">
        <f t="shared" si="116"/>
        <v>48</v>
      </c>
      <c r="K555">
        <f t="shared" si="117"/>
        <v>333</v>
      </c>
      <c r="L555">
        <f>G555*Return!B555*100</f>
        <v>0</v>
      </c>
      <c r="M555">
        <f>H555*Return!C555*100</f>
        <v>-977.999999999999</v>
      </c>
      <c r="N555">
        <f>I555*Return!D555*100</f>
        <v>-704.7</v>
      </c>
      <c r="O555">
        <f>J555*Return!E555*100</f>
        <v>-264.000000000001</v>
      </c>
      <c r="P555">
        <f t="shared" si="118"/>
        <v>-1946.7</v>
      </c>
      <c r="Q555">
        <f>SUM($P$400:P555)</f>
        <v>19271.68</v>
      </c>
      <c r="R555">
        <f>B555*中国_中债国债到期收益率_1年!B554/365*100</f>
        <v>0</v>
      </c>
      <c r="S555">
        <f>C555*中国_中债国债到期收益率_1年!C554/365*100</f>
        <v>15.9106849315069</v>
      </c>
      <c r="T555">
        <f>D555*中国_中债国债到期收益率_1年!D554/365*100</f>
        <v>9.24986301369863</v>
      </c>
      <c r="U555">
        <f>E555*中国_中债国债到期收益率_1年!E554/365*100</f>
        <v>2.0013698630137</v>
      </c>
      <c r="V555">
        <f t="shared" si="119"/>
        <v>27.1619178082192</v>
      </c>
      <c r="W555">
        <f>SUM($V$400:V555)</f>
        <v>5106.2182739726</v>
      </c>
      <c r="X555">
        <f>MAX(F555-50,0)*中国_中债国债到期收益率_1年!H555*100/365</f>
        <v>0</v>
      </c>
      <c r="Y555">
        <f>SUM($X$400:X555)</f>
        <v>330.438356164384</v>
      </c>
      <c r="Z555">
        <v>-100</v>
      </c>
      <c r="AA555">
        <v>100</v>
      </c>
      <c r="AB555">
        <f>Z555*Return!F559*100</f>
        <v>-23.9999999999996</v>
      </c>
      <c r="AC555">
        <f>AA555*Return!G559*100</f>
        <v>40</v>
      </c>
      <c r="AD555">
        <f>SUM($AB$400:AB555)+SUM($AC$400:AC555)</f>
        <v>2669.30000000002</v>
      </c>
      <c r="AE555">
        <f t="shared" si="112"/>
        <v>26716.7599178083</v>
      </c>
      <c r="AF555">
        <f t="shared" si="113"/>
        <v>1.05343351983562</v>
      </c>
      <c r="AG555" s="5">
        <f>(AE555-AE554)/(500000+AE554)-中国_中债国债到期收益率_1年!H555%/252</f>
        <v>-0.00367833628722846</v>
      </c>
      <c r="AH555" s="5">
        <f>MIN((AF555-MAX($AF$401:AF555))/MAX($AF$401:AF555),0)</f>
        <v>-0.00714950148042556</v>
      </c>
    </row>
    <row r="556" spans="1:34">
      <c r="A556" s="9">
        <v>45518</v>
      </c>
      <c r="B556">
        <v>0</v>
      </c>
      <c r="C556">
        <v>30</v>
      </c>
      <c r="D556">
        <v>15</v>
      </c>
      <c r="E556">
        <v>3</v>
      </c>
      <c r="F556">
        <f t="shared" si="111"/>
        <v>48</v>
      </c>
      <c r="G556">
        <f t="shared" si="110"/>
        <v>0</v>
      </c>
      <c r="H556">
        <f t="shared" si="114"/>
        <v>150</v>
      </c>
      <c r="I556">
        <f t="shared" si="115"/>
        <v>135</v>
      </c>
      <c r="J556">
        <f t="shared" si="116"/>
        <v>48</v>
      </c>
      <c r="K556">
        <f t="shared" si="117"/>
        <v>333</v>
      </c>
      <c r="L556">
        <f>G556*Return!B556*100</f>
        <v>0</v>
      </c>
      <c r="M556">
        <f>H556*Return!C556*100</f>
        <v>520.499999999999</v>
      </c>
      <c r="N556">
        <f>I556*Return!D556*100</f>
        <v>341.550000000001</v>
      </c>
      <c r="O556">
        <f>J556*Return!E556*100</f>
        <v>131.999999999999</v>
      </c>
      <c r="P556">
        <f t="shared" si="118"/>
        <v>994.05</v>
      </c>
      <c r="Q556">
        <f>SUM($P$400:P556)</f>
        <v>20265.73</v>
      </c>
      <c r="R556">
        <f>B556*中国_中债国债到期收益率_1年!B555/365*100</f>
        <v>0</v>
      </c>
      <c r="S556">
        <f>C556*中国_中债国债到期收益率_1年!C555/365*100</f>
        <v>15.6254794520548</v>
      </c>
      <c r="T556">
        <f>D556*中国_中债国债到期收益率_1年!D555/365*100</f>
        <v>9.1458904109589</v>
      </c>
      <c r="U556">
        <f>E556*中国_中债国债到期收益率_1年!E555/365*100</f>
        <v>1.97876712328767</v>
      </c>
      <c r="V556">
        <f t="shared" si="119"/>
        <v>26.7501369863014</v>
      </c>
      <c r="W556">
        <f>SUM($V$400:V556)</f>
        <v>5132.9684109589</v>
      </c>
      <c r="X556">
        <f>MAX(F556-50,0)*中国_中债国债到期收益率_1年!H556*100/365</f>
        <v>0</v>
      </c>
      <c r="Y556">
        <f>SUM($X$400:X556)</f>
        <v>330.438356164384</v>
      </c>
      <c r="Z556">
        <v>-100</v>
      </c>
      <c r="AA556">
        <v>100</v>
      </c>
      <c r="AB556">
        <f>Z556*Return!F560*100</f>
        <v>5.99999999999934</v>
      </c>
      <c r="AC556">
        <f>AA556*Return!G560*100</f>
        <v>38.0000000000003</v>
      </c>
      <c r="AD556">
        <f>SUM($AB$400:AB556)+SUM($AC$400:AC556)</f>
        <v>2713.30000000002</v>
      </c>
      <c r="AE556">
        <f t="shared" si="112"/>
        <v>27781.5600547946</v>
      </c>
      <c r="AF556">
        <f t="shared" si="113"/>
        <v>1.05556312010959</v>
      </c>
      <c r="AG556" s="5">
        <f>(AE556-AE555)/(500000+AE555)-中国_中债国债到期收益率_1年!H556%/252</f>
        <v>0.00194538965570518</v>
      </c>
      <c r="AH556" s="5">
        <f>MIN((AF556-MAX($AF$401:AF556))/MAX($AF$401:AF556),0)</f>
        <v>-0.00514237463867549</v>
      </c>
    </row>
    <row r="557" spans="1:34">
      <c r="A557" s="9">
        <v>45519</v>
      </c>
      <c r="B557">
        <v>0</v>
      </c>
      <c r="C557">
        <v>30</v>
      </c>
      <c r="D557">
        <v>15</v>
      </c>
      <c r="E557">
        <v>3</v>
      </c>
      <c r="F557">
        <f t="shared" si="111"/>
        <v>48</v>
      </c>
      <c r="G557">
        <f t="shared" si="110"/>
        <v>0</v>
      </c>
      <c r="H557">
        <f t="shared" si="114"/>
        <v>150</v>
      </c>
      <c r="I557">
        <f t="shared" si="115"/>
        <v>135</v>
      </c>
      <c r="J557">
        <f t="shared" si="116"/>
        <v>48</v>
      </c>
      <c r="K557">
        <f t="shared" si="117"/>
        <v>333</v>
      </c>
      <c r="L557">
        <f>G557*Return!B557*100</f>
        <v>0</v>
      </c>
      <c r="M557">
        <f>H557*Return!C557*100</f>
        <v>229.500000000001</v>
      </c>
      <c r="N557">
        <f>I557*Return!D557*100</f>
        <v>390.149999999996</v>
      </c>
      <c r="O557">
        <f>J557*Return!E557*100</f>
        <v>155.52</v>
      </c>
      <c r="P557">
        <f t="shared" si="118"/>
        <v>775.169999999997</v>
      </c>
      <c r="Q557">
        <f>SUM($P$400:P557)</f>
        <v>21040.9</v>
      </c>
      <c r="R557">
        <f>B557*中国_中债国债到期收益率_1年!B556/365*100</f>
        <v>0</v>
      </c>
      <c r="S557">
        <f>C557*中国_中债国债到期收益率_1年!C556/365*100</f>
        <v>15.4997260273973</v>
      </c>
      <c r="T557">
        <f>D557*中国_中债国债到期收益率_1年!D556/365*100</f>
        <v>9.02712328767123</v>
      </c>
      <c r="U557">
        <f>E557*中国_中债国债到期收益率_1年!E556/365*100</f>
        <v>1.95213698630137</v>
      </c>
      <c r="V557">
        <f t="shared" si="119"/>
        <v>26.4789863013699</v>
      </c>
      <c r="W557">
        <f>SUM($V$400:V557)</f>
        <v>5159.44739726027</v>
      </c>
      <c r="X557">
        <f>MAX(F557-50,0)*中国_中债国债到期收益率_1年!H557*100/365</f>
        <v>0</v>
      </c>
      <c r="Y557">
        <f>SUM($X$400:X557)</f>
        <v>330.438356164384</v>
      </c>
      <c r="Z557">
        <v>-100</v>
      </c>
      <c r="AA557">
        <v>100</v>
      </c>
      <c r="AB557">
        <f>Z557*Return!F561*100</f>
        <v>55.0000000000006</v>
      </c>
      <c r="AC557">
        <f>AA557*Return!G561*100</f>
        <v>61.9999999999998</v>
      </c>
      <c r="AD557">
        <f>SUM($AB$400:AB557)+SUM($AC$400:AC557)</f>
        <v>2830.30000000002</v>
      </c>
      <c r="AE557">
        <f t="shared" si="112"/>
        <v>28700.2090410959</v>
      </c>
      <c r="AF557">
        <f t="shared" si="113"/>
        <v>1.05740041808219</v>
      </c>
      <c r="AG557" s="5">
        <f>(AE557-AE556)/(500000+AE556)-中国_中债国债到期收益率_1年!H557%/252</f>
        <v>0.00166518878014422</v>
      </c>
      <c r="AH557" s="5">
        <f>MIN((AF557-MAX($AF$401:AF557))/MAX($AF$401:AF557),0)</f>
        <v>-0.00341073977640889</v>
      </c>
    </row>
    <row r="558" spans="1:34">
      <c r="A558" s="9">
        <v>45520</v>
      </c>
      <c r="B558">
        <v>0</v>
      </c>
      <c r="C558">
        <v>30</v>
      </c>
      <c r="D558">
        <v>15</v>
      </c>
      <c r="E558">
        <v>3</v>
      </c>
      <c r="F558">
        <f t="shared" si="111"/>
        <v>48</v>
      </c>
      <c r="G558">
        <f t="shared" si="110"/>
        <v>0</v>
      </c>
      <c r="H558">
        <f t="shared" si="114"/>
        <v>150</v>
      </c>
      <c r="I558">
        <f t="shared" si="115"/>
        <v>135</v>
      </c>
      <c r="J558">
        <f t="shared" si="116"/>
        <v>48</v>
      </c>
      <c r="K558">
        <f t="shared" si="117"/>
        <v>333</v>
      </c>
      <c r="L558">
        <f>G558*Return!B558*100</f>
        <v>0</v>
      </c>
      <c r="M558">
        <f>H558*Return!C558*100</f>
        <v>-300</v>
      </c>
      <c r="N558">
        <f>I558*Return!D558*100</f>
        <v>-113.399999999999</v>
      </c>
      <c r="O558">
        <f>J558*Return!E558*100</f>
        <v>-71.5199999999996</v>
      </c>
      <c r="P558">
        <f t="shared" si="118"/>
        <v>-484.919999999999</v>
      </c>
      <c r="Q558">
        <f>SUM($P$400:P558)</f>
        <v>20555.98</v>
      </c>
      <c r="R558">
        <f>B558*中国_中债国债到期收益率_1年!B557/365*100</f>
        <v>0</v>
      </c>
      <c r="S558">
        <f>C558*中国_中债国债到期收益率_1年!C557/365*100</f>
        <v>15.6641095890411</v>
      </c>
      <c r="T558">
        <f>D558*中国_中债国债到期收益率_1年!D557/365*100</f>
        <v>9.06164383561644</v>
      </c>
      <c r="U558">
        <f>E558*中国_中债国债到期收益率_1年!E557/365*100</f>
        <v>1.96438356164384</v>
      </c>
      <c r="V558">
        <f t="shared" si="119"/>
        <v>26.6901369863014</v>
      </c>
      <c r="W558">
        <f>SUM($V$400:V558)</f>
        <v>5186.13753424657</v>
      </c>
      <c r="X558">
        <f>MAX(F558-50,0)*中国_中债国债到期收益率_1年!H558*100/365</f>
        <v>0</v>
      </c>
      <c r="Y558">
        <f>SUM($X$400:X558)</f>
        <v>330.438356164384</v>
      </c>
      <c r="Z558">
        <v>-100</v>
      </c>
      <c r="AA558">
        <v>100</v>
      </c>
      <c r="AB558">
        <f>Z558*Return!F562*100</f>
        <v>265</v>
      </c>
      <c r="AC558">
        <f>AA558*Return!G562*100</f>
        <v>-200</v>
      </c>
      <c r="AD558">
        <f>SUM($AB$400:AB558)+SUM($AC$400:AC558)</f>
        <v>2895.30000000002</v>
      </c>
      <c r="AE558">
        <f t="shared" si="112"/>
        <v>28306.9791780822</v>
      </c>
      <c r="AF558">
        <f t="shared" si="113"/>
        <v>1.05661395835616</v>
      </c>
      <c r="AG558" s="5">
        <f>(AE558-AE557)/(500000+AE557)-中国_中债国债到期收益率_1年!H558%/252</f>
        <v>-0.000817576702806677</v>
      </c>
      <c r="AH558" s="5">
        <f>MIN((AF558-MAX($AF$401:AF558))/MAX($AF$401:AF558),0)</f>
        <v>-0.00415197015910426</v>
      </c>
    </row>
    <row r="559" spans="1:34">
      <c r="A559" s="9">
        <v>45523</v>
      </c>
      <c r="B559">
        <v>0</v>
      </c>
      <c r="C559">
        <v>30</v>
      </c>
      <c r="D559">
        <v>15</v>
      </c>
      <c r="E559">
        <v>3</v>
      </c>
      <c r="F559">
        <f t="shared" si="111"/>
        <v>48</v>
      </c>
      <c r="G559">
        <f t="shared" si="110"/>
        <v>0</v>
      </c>
      <c r="H559">
        <f t="shared" si="114"/>
        <v>150</v>
      </c>
      <c r="I559">
        <f t="shared" si="115"/>
        <v>135</v>
      </c>
      <c r="J559">
        <f t="shared" si="116"/>
        <v>48</v>
      </c>
      <c r="K559">
        <f t="shared" si="117"/>
        <v>333</v>
      </c>
      <c r="L559">
        <f>G559*Return!B559*100</f>
        <v>0</v>
      </c>
      <c r="M559">
        <f>H559*Return!C559*100</f>
        <v>235.500000000001</v>
      </c>
      <c r="N559">
        <f>I559*Return!D559*100</f>
        <v>97.2000000000013</v>
      </c>
      <c r="O559">
        <f>J559*Return!E559*100</f>
        <v>0</v>
      </c>
      <c r="P559">
        <f t="shared" si="118"/>
        <v>332.700000000002</v>
      </c>
      <c r="Q559">
        <f>SUM($P$400:P559)</f>
        <v>20888.68</v>
      </c>
      <c r="R559">
        <f>B559*中国_中债国债到期收益率_1年!B558/365*100</f>
        <v>0</v>
      </c>
      <c r="S559">
        <f>C559*中国_中债国债到期收益率_1年!C558/365*100</f>
        <v>15.5350684931507</v>
      </c>
      <c r="T559">
        <f>D559*中国_中债国债到期收益率_1年!D558/365*100</f>
        <v>9.03205479452055</v>
      </c>
      <c r="U559">
        <f>E559*中国_中债国债到期收益率_1年!E558/365*100</f>
        <v>1.96438356164384</v>
      </c>
      <c r="V559">
        <f t="shared" si="119"/>
        <v>26.5315068493151</v>
      </c>
      <c r="W559">
        <f>SUM($V$400:V559)</f>
        <v>5212.66904109589</v>
      </c>
      <c r="X559">
        <f>MAX(F559-50,0)*中国_中债国债到期收益率_1年!H559*100/365</f>
        <v>0</v>
      </c>
      <c r="Y559">
        <f>SUM($X$400:X559)</f>
        <v>330.438356164384</v>
      </c>
      <c r="Z559">
        <v>-100</v>
      </c>
      <c r="AA559">
        <v>100</v>
      </c>
      <c r="AB559">
        <f>Z559*Return!F563*100</f>
        <v>-9.9999999999989</v>
      </c>
      <c r="AC559">
        <f>AA559*Return!G563*100</f>
        <v>150.999999999999</v>
      </c>
      <c r="AD559">
        <f>SUM($AB$400:AB559)+SUM($AC$400:AC559)</f>
        <v>3036.30000000002</v>
      </c>
      <c r="AE559">
        <f t="shared" si="112"/>
        <v>28807.2106849315</v>
      </c>
      <c r="AF559">
        <f t="shared" si="113"/>
        <v>1.05761442136986</v>
      </c>
      <c r="AG559" s="5">
        <f>(AE559-AE558)/(500000+AE558)-中国_中债国债到期收益率_1年!H559%/252</f>
        <v>0.000873444955498212</v>
      </c>
      <c r="AH559" s="5">
        <f>MIN((AF559-MAX($AF$401:AF559))/MAX($AF$401:AF559),0)</f>
        <v>-0.00320904382991734</v>
      </c>
    </row>
    <row r="560" spans="1:34">
      <c r="A560" s="9">
        <v>45524</v>
      </c>
      <c r="B560">
        <v>0</v>
      </c>
      <c r="C560">
        <v>30</v>
      </c>
      <c r="D560">
        <v>15</v>
      </c>
      <c r="E560">
        <v>3</v>
      </c>
      <c r="F560">
        <f t="shared" si="111"/>
        <v>48</v>
      </c>
      <c r="G560">
        <f t="shared" si="110"/>
        <v>0</v>
      </c>
      <c r="H560">
        <f t="shared" si="114"/>
        <v>150</v>
      </c>
      <c r="I560">
        <f t="shared" si="115"/>
        <v>135</v>
      </c>
      <c r="J560">
        <f t="shared" si="116"/>
        <v>48</v>
      </c>
      <c r="K560">
        <f t="shared" si="117"/>
        <v>333</v>
      </c>
      <c r="L560">
        <f>G560*Return!B560*100</f>
        <v>0</v>
      </c>
      <c r="M560">
        <f>H560*Return!C560*100</f>
        <v>100.499999999999</v>
      </c>
      <c r="N560">
        <f>I560*Return!D560*100</f>
        <v>218.7</v>
      </c>
      <c r="O560">
        <f>J560*Return!E560*100</f>
        <v>108</v>
      </c>
      <c r="P560">
        <f t="shared" si="118"/>
        <v>427.199999999999</v>
      </c>
      <c r="Q560">
        <f>SUM($P$400:P560)</f>
        <v>21315.88</v>
      </c>
      <c r="R560">
        <f>B560*中国_中债国债到期收益率_1年!B559/365*100</f>
        <v>0</v>
      </c>
      <c r="S560">
        <f>C560*中国_中债国债到期收益率_1年!C559/365*100</f>
        <v>15.48</v>
      </c>
      <c r="T560">
        <f>D560*中国_中债国债到期收益率_1年!D559/365*100</f>
        <v>8.96547945205479</v>
      </c>
      <c r="U560">
        <f>E560*中国_中债国债到期收益率_1年!E559/365*100</f>
        <v>1.9458904109589</v>
      </c>
      <c r="V560">
        <f t="shared" si="119"/>
        <v>26.3913698630137</v>
      </c>
      <c r="W560">
        <f>SUM($V$400:V560)</f>
        <v>5239.0604109589</v>
      </c>
      <c r="X560">
        <f>MAX(F560-50,0)*中国_中债国债到期收益率_1年!H560*100/365</f>
        <v>0</v>
      </c>
      <c r="Y560">
        <f>SUM($X$400:X560)</f>
        <v>330.438356164384</v>
      </c>
      <c r="Z560">
        <v>-100</v>
      </c>
      <c r="AA560">
        <v>100</v>
      </c>
      <c r="AB560">
        <f>Z560*Return!F564*100</f>
        <v>23.9999999999996</v>
      </c>
      <c r="AC560">
        <f>AA560*Return!G564*100</f>
        <v>-81.9999999999999</v>
      </c>
      <c r="AD560">
        <f>SUM($AB$400:AB560)+SUM($AC$400:AC560)</f>
        <v>2978.30000000002</v>
      </c>
      <c r="AE560">
        <f t="shared" si="112"/>
        <v>29202.8020547945</v>
      </c>
      <c r="AF560">
        <f t="shared" si="113"/>
        <v>1.05840560410959</v>
      </c>
      <c r="AG560" s="5">
        <f>(AE560-AE559)/(500000+AE559)-中国_中债国债到期收益率_1年!H560%/252</f>
        <v>0.000674272881024981</v>
      </c>
      <c r="AH560" s="5">
        <f>MIN((AF560-MAX($AF$401:AF560))/MAX($AF$401:AF560),0)</f>
        <v>-0.00246336205430836</v>
      </c>
    </row>
    <row r="561" spans="1:34">
      <c r="A561" s="9">
        <v>45525</v>
      </c>
      <c r="B561">
        <v>0</v>
      </c>
      <c r="C561">
        <v>30</v>
      </c>
      <c r="D561">
        <v>15</v>
      </c>
      <c r="E561">
        <v>3</v>
      </c>
      <c r="F561">
        <f t="shared" si="111"/>
        <v>48</v>
      </c>
      <c r="G561">
        <f t="shared" si="110"/>
        <v>0</v>
      </c>
      <c r="H561">
        <f t="shared" si="114"/>
        <v>150</v>
      </c>
      <c r="I561">
        <f t="shared" si="115"/>
        <v>135</v>
      </c>
      <c r="J561">
        <f t="shared" si="116"/>
        <v>48</v>
      </c>
      <c r="K561">
        <f t="shared" si="117"/>
        <v>333</v>
      </c>
      <c r="L561">
        <f>G561*Return!B561*100</f>
        <v>0</v>
      </c>
      <c r="M561">
        <f>H561*Return!C561*100</f>
        <v>-37.4999999999992</v>
      </c>
      <c r="N561">
        <f>I561*Return!D561*100</f>
        <v>143.100000000002</v>
      </c>
      <c r="O561">
        <f>J561*Return!E561*100</f>
        <v>36.0000000000014</v>
      </c>
      <c r="P561">
        <f t="shared" si="118"/>
        <v>141.600000000004</v>
      </c>
      <c r="Q561">
        <f>SUM($P$400:P561)</f>
        <v>21457.48</v>
      </c>
      <c r="R561">
        <f>B561*中国_中债国债到期收益率_1年!B560/365*100</f>
        <v>0</v>
      </c>
      <c r="S561">
        <f>C561*中国_中债国债到期收益率_1年!C560/365*100</f>
        <v>15.5005479452055</v>
      </c>
      <c r="T561">
        <f>D561*中国_中债国债到期收益率_1年!D560/365*100</f>
        <v>8.92191780821918</v>
      </c>
      <c r="U561">
        <f>E561*中国_中债国债到期收益率_1年!E560/365*100</f>
        <v>1.93972602739726</v>
      </c>
      <c r="V561">
        <f t="shared" si="119"/>
        <v>26.3621917808219</v>
      </c>
      <c r="W561">
        <f>SUM($V$400:V561)</f>
        <v>5265.42260273973</v>
      </c>
      <c r="X561">
        <f>MAX(F561-50,0)*中国_中债国债到期收益率_1年!H561*100/365</f>
        <v>0</v>
      </c>
      <c r="Y561">
        <f>SUM($X$400:X561)</f>
        <v>330.438356164384</v>
      </c>
      <c r="Z561">
        <v>-100</v>
      </c>
      <c r="AA561">
        <v>100</v>
      </c>
      <c r="AB561">
        <f>Z561*Return!F565*100</f>
        <v>-256.000000000001</v>
      </c>
      <c r="AC561">
        <f>AA561*Return!G565*100</f>
        <v>95.0000000000006</v>
      </c>
      <c r="AD561">
        <f>SUM($AB$400:AB561)+SUM($AC$400:AC561)</f>
        <v>2817.30000000002</v>
      </c>
      <c r="AE561">
        <f t="shared" si="112"/>
        <v>29209.7642465754</v>
      </c>
      <c r="AF561">
        <f t="shared" si="113"/>
        <v>1.05841952849315</v>
      </c>
      <c r="AG561" s="5">
        <f>(AE561-AE560)/(500000+AE560)-中国_中债国债到期收益率_1年!H561%/252</f>
        <v>-6.14471751379554e-5</v>
      </c>
      <c r="AH561" s="5">
        <f>MIN((AF561-MAX($AF$401:AF561))/MAX($AF$401:AF561),0)</f>
        <v>-0.00245023846283293</v>
      </c>
    </row>
    <row r="562" spans="1:34">
      <c r="A562" s="9">
        <v>45526</v>
      </c>
      <c r="B562">
        <v>0</v>
      </c>
      <c r="C562">
        <v>30</v>
      </c>
      <c r="D562">
        <v>15</v>
      </c>
      <c r="E562">
        <v>3</v>
      </c>
      <c r="F562">
        <f t="shared" si="111"/>
        <v>48</v>
      </c>
      <c r="G562">
        <f t="shared" si="110"/>
        <v>0</v>
      </c>
      <c r="H562">
        <f t="shared" si="114"/>
        <v>150</v>
      </c>
      <c r="I562">
        <f t="shared" si="115"/>
        <v>135</v>
      </c>
      <c r="J562">
        <f t="shared" si="116"/>
        <v>48</v>
      </c>
      <c r="K562">
        <f t="shared" si="117"/>
        <v>333</v>
      </c>
      <c r="L562">
        <f>G562*Return!B562*100</f>
        <v>0</v>
      </c>
      <c r="M562">
        <f>H562*Return!C562*100</f>
        <v>146.999999999997</v>
      </c>
      <c r="N562">
        <f>I562*Return!D562*100</f>
        <v>54</v>
      </c>
      <c r="O562">
        <f>J562*Return!E562*100</f>
        <v>23.5199999999985</v>
      </c>
      <c r="P562">
        <f t="shared" si="118"/>
        <v>224.519999999996</v>
      </c>
      <c r="Q562">
        <f>SUM($P$400:P562)</f>
        <v>21682</v>
      </c>
      <c r="R562">
        <f>B562*中国_中债国债到期收益率_1年!B561/365*100</f>
        <v>0</v>
      </c>
      <c r="S562">
        <f>C562*中国_中债国债到期收益率_1年!C561/365*100</f>
        <v>15.42</v>
      </c>
      <c r="T562">
        <f>D562*中国_中债国债到期收益率_1年!D561/365*100</f>
        <v>8.90547945205479</v>
      </c>
      <c r="U562">
        <f>E562*中国_中债国债到期收益率_1年!E561/365*100</f>
        <v>1.93569863013699</v>
      </c>
      <c r="V562">
        <f t="shared" si="119"/>
        <v>26.2611780821918</v>
      </c>
      <c r="W562">
        <f>SUM($V$400:V562)</f>
        <v>5291.68378082192</v>
      </c>
      <c r="X562">
        <f>MAX(F562-50,0)*中国_中债国债到期收益率_1年!H562*100/365</f>
        <v>0</v>
      </c>
      <c r="Y562">
        <f>SUM($X$400:X562)</f>
        <v>330.438356164384</v>
      </c>
      <c r="Z562">
        <v>-100</v>
      </c>
      <c r="AA562">
        <v>100</v>
      </c>
      <c r="AB562">
        <f>Z562*Return!F566*100</f>
        <v>92.000000000001</v>
      </c>
      <c r="AC562">
        <f>AA562*Return!G566*100</f>
        <v>-200</v>
      </c>
      <c r="AD562">
        <f>SUM($AB$400:AB562)+SUM($AC$400:AC562)</f>
        <v>2709.30000000002</v>
      </c>
      <c r="AE562">
        <f t="shared" si="112"/>
        <v>29352.5454246576</v>
      </c>
      <c r="AF562">
        <f t="shared" si="113"/>
        <v>1.05870509084932</v>
      </c>
      <c r="AG562" s="5">
        <f>(AE562-AE561)/(500000+AE561)-中国_中债国债到期收益率_1年!H562%/252</f>
        <v>0.00019400707422787</v>
      </c>
      <c r="AH562" s="5">
        <f>MIN((AF562-MAX($AF$401:AF562))/MAX($AF$401:AF562),0)</f>
        <v>-0.00218109881392515</v>
      </c>
    </row>
    <row r="563" spans="1:34">
      <c r="A563" s="9">
        <v>45527</v>
      </c>
      <c r="B563">
        <v>0</v>
      </c>
      <c r="C563">
        <v>30</v>
      </c>
      <c r="D563">
        <v>15</v>
      </c>
      <c r="E563">
        <v>3</v>
      </c>
      <c r="F563">
        <f t="shared" si="111"/>
        <v>48</v>
      </c>
      <c r="G563">
        <f t="shared" si="110"/>
        <v>0</v>
      </c>
      <c r="H563">
        <f t="shared" si="114"/>
        <v>150</v>
      </c>
      <c r="I563">
        <f t="shared" si="115"/>
        <v>135</v>
      </c>
      <c r="J563">
        <f t="shared" si="116"/>
        <v>48</v>
      </c>
      <c r="K563">
        <f t="shared" si="117"/>
        <v>333</v>
      </c>
      <c r="L563">
        <f>G563*Return!B563*100</f>
        <v>0</v>
      </c>
      <c r="M563">
        <f>H563*Return!C563*100</f>
        <v>52.5000000000009</v>
      </c>
      <c r="N563">
        <f>I563*Return!D563*100</f>
        <v>118.799999999999</v>
      </c>
      <c r="O563">
        <f>J563*Return!E563*100</f>
        <v>36.0000000000014</v>
      </c>
      <c r="P563">
        <f t="shared" si="118"/>
        <v>207.300000000001</v>
      </c>
      <c r="Q563">
        <f>SUM($P$400:P563)</f>
        <v>21889.3</v>
      </c>
      <c r="R563">
        <f>B563*中国_中债国债到期收益率_1年!B562/365*100</f>
        <v>0</v>
      </c>
      <c r="S563">
        <f>C563*中国_中债国债到期收益率_1年!C562/365*100</f>
        <v>15.3912328767123</v>
      </c>
      <c r="T563">
        <f>D563*中国_中债国债到期收益率_1年!D562/365*100</f>
        <v>8.86931506849315</v>
      </c>
      <c r="U563">
        <f>E563*中国_中债国债到期收益率_1年!E562/365*100</f>
        <v>1.92953424657534</v>
      </c>
      <c r="V563">
        <f t="shared" si="119"/>
        <v>26.1900821917808</v>
      </c>
      <c r="W563">
        <f>SUM($V$400:V563)</f>
        <v>5317.8738630137</v>
      </c>
      <c r="X563">
        <f>MAX(F563-50,0)*中国_中债国债到期收益率_1年!H563*100/365</f>
        <v>0</v>
      </c>
      <c r="Y563">
        <f>SUM($X$400:X563)</f>
        <v>330.438356164384</v>
      </c>
      <c r="Z563">
        <v>-100</v>
      </c>
      <c r="AA563">
        <v>100</v>
      </c>
      <c r="AB563">
        <f>Z563*Return!F567*100</f>
        <v>-46.0000000000016</v>
      </c>
      <c r="AC563">
        <f>AA563*Return!G567*100</f>
        <v>22.9999999999997</v>
      </c>
      <c r="AD563">
        <f>SUM($AB$400:AB563)+SUM($AC$400:AC563)</f>
        <v>2686.30000000002</v>
      </c>
      <c r="AE563">
        <f t="shared" si="112"/>
        <v>29563.0355068493</v>
      </c>
      <c r="AF563">
        <f t="shared" si="113"/>
        <v>1.0591260710137</v>
      </c>
      <c r="AG563" s="5">
        <f>(AE563-AE562)/(500000+AE562)-中国_中债国债到期收益率_1年!H563%/252</f>
        <v>0.000321446380401798</v>
      </c>
      <c r="AH563" s="5">
        <f>MIN((AF563-MAX($AF$401:AF563))/MAX($AF$401:AF563),0)</f>
        <v>-0.0017843292426092</v>
      </c>
    </row>
    <row r="564" spans="1:34">
      <c r="A564" s="9">
        <v>45530</v>
      </c>
      <c r="B564">
        <v>0</v>
      </c>
      <c r="C564">
        <v>30</v>
      </c>
      <c r="D564">
        <v>15</v>
      </c>
      <c r="E564">
        <v>3</v>
      </c>
      <c r="F564">
        <f t="shared" si="111"/>
        <v>48</v>
      </c>
      <c r="G564">
        <f t="shared" si="110"/>
        <v>0</v>
      </c>
      <c r="H564">
        <f t="shared" si="114"/>
        <v>150</v>
      </c>
      <c r="I564">
        <f t="shared" si="115"/>
        <v>135</v>
      </c>
      <c r="J564">
        <f t="shared" si="116"/>
        <v>48</v>
      </c>
      <c r="K564">
        <f t="shared" si="117"/>
        <v>333</v>
      </c>
      <c r="L564">
        <f>G564*Return!B564*100</f>
        <v>0</v>
      </c>
      <c r="M564">
        <f>H564*Return!C564*100</f>
        <v>358.500000000001</v>
      </c>
      <c r="N564">
        <f>I564*Return!D564*100</f>
        <v>47.2499999999978</v>
      </c>
      <c r="O564">
        <f>J564*Return!E564*100</f>
        <v>35.9999999999992</v>
      </c>
      <c r="P564">
        <f t="shared" si="118"/>
        <v>441.749999999997</v>
      </c>
      <c r="Q564">
        <f>SUM($P$400:P564)</f>
        <v>22331.05</v>
      </c>
      <c r="R564">
        <f>B564*中国_中债国债到期收益率_1年!B563/365*100</f>
        <v>0</v>
      </c>
      <c r="S564">
        <f>C564*中国_中债国债到期收益率_1年!C563/365*100</f>
        <v>15.1947945205479</v>
      </c>
      <c r="T564">
        <f>D564*中国_中债国债到期收益率_1年!D563/365*100</f>
        <v>8.85493150684932</v>
      </c>
      <c r="U564">
        <f>E564*中国_中债国债到期收益率_1年!E563/365*100</f>
        <v>1.9233698630137</v>
      </c>
      <c r="V564">
        <f t="shared" si="119"/>
        <v>25.973095890411</v>
      </c>
      <c r="W564">
        <f>SUM($V$400:V564)</f>
        <v>5343.84695890411</v>
      </c>
      <c r="X564">
        <f>MAX(F564-50,0)*中国_中债国债到期收益率_1年!H564*100/365</f>
        <v>0</v>
      </c>
      <c r="Y564">
        <f>SUM($X$400:X564)</f>
        <v>330.438356164384</v>
      </c>
      <c r="Z564">
        <v>-30</v>
      </c>
      <c r="AA564">
        <v>30</v>
      </c>
      <c r="AB564">
        <f>Z564*Return!F568*100</f>
        <v>-20.6999999999997</v>
      </c>
      <c r="AC564">
        <f>AA564*Return!G568*100</f>
        <v>20.3999999999997</v>
      </c>
      <c r="AD564">
        <f>SUM($AB$400:AB564)+SUM($AC$400:AC564)</f>
        <v>2686.00000000002</v>
      </c>
      <c r="AE564">
        <f t="shared" si="112"/>
        <v>30030.4586027398</v>
      </c>
      <c r="AF564">
        <f t="shared" si="113"/>
        <v>1.06006091720548</v>
      </c>
      <c r="AG564" s="5">
        <f>(AE564-AE563)/(500000+AE563)-中国_中债国债到期收益率_1年!H564%/252</f>
        <v>0.000801308880696151</v>
      </c>
      <c r="AH564" s="5">
        <f>MIN((AF564-MAX($AF$401:AF564))/MAX($AF$401:AF564),0)</f>
        <v>-0.000903246108199742</v>
      </c>
    </row>
    <row r="565" spans="1:34">
      <c r="A565" s="9">
        <v>45531</v>
      </c>
      <c r="B565">
        <v>0</v>
      </c>
      <c r="C565">
        <v>30</v>
      </c>
      <c r="D565">
        <v>15</v>
      </c>
      <c r="E565">
        <v>3</v>
      </c>
      <c r="F565">
        <f t="shared" si="111"/>
        <v>48</v>
      </c>
      <c r="G565">
        <f t="shared" si="110"/>
        <v>0</v>
      </c>
      <c r="H565">
        <f t="shared" si="114"/>
        <v>150</v>
      </c>
      <c r="I565">
        <f t="shared" si="115"/>
        <v>135</v>
      </c>
      <c r="J565">
        <f t="shared" si="116"/>
        <v>48</v>
      </c>
      <c r="K565">
        <f t="shared" si="117"/>
        <v>333</v>
      </c>
      <c r="L565">
        <f>G565*Return!B565*100</f>
        <v>0</v>
      </c>
      <c r="M565">
        <f>H565*Return!C565*100</f>
        <v>60.0000000000001</v>
      </c>
      <c r="N565">
        <f>I565*Return!D565*100</f>
        <v>-109.349999999997</v>
      </c>
      <c r="O565">
        <f>J565*Return!E565*100</f>
        <v>-35.5200000000004</v>
      </c>
      <c r="P565">
        <f t="shared" si="118"/>
        <v>-84.8699999999972</v>
      </c>
      <c r="Q565">
        <f>SUM($P$400:P565)</f>
        <v>22246.18</v>
      </c>
      <c r="R565">
        <f>B565*中国_中债国债到期收益率_1年!B564/365*100</f>
        <v>0</v>
      </c>
      <c r="S565">
        <f>C565*中国_中债国债到期收益率_1年!C564/365*100</f>
        <v>15.1619178082192</v>
      </c>
      <c r="T565">
        <f>D565*中国_中债国债到期收益率_1年!D564/365*100</f>
        <v>8.88821917808219</v>
      </c>
      <c r="U565">
        <f>E565*中国_中债国债到期收益率_1年!E564/365*100</f>
        <v>1.92945205479452</v>
      </c>
      <c r="V565">
        <f t="shared" si="119"/>
        <v>25.9795890410959</v>
      </c>
      <c r="W565">
        <f>SUM($V$400:V565)</f>
        <v>5369.8265479452</v>
      </c>
      <c r="X565">
        <f>MAX(F565-50,0)*中国_中债国债到期收益率_1年!H565*100/365</f>
        <v>0</v>
      </c>
      <c r="Y565">
        <f>SUM($X$400:X565)</f>
        <v>330.438356164384</v>
      </c>
      <c r="Z565">
        <v>-30</v>
      </c>
      <c r="AA565">
        <v>30</v>
      </c>
      <c r="AB565">
        <f>Z565*Return!F569*100</f>
        <v>-6.89999999999991</v>
      </c>
      <c r="AC565">
        <f>AA565*Return!G569*100</f>
        <v>-44.9999999999997</v>
      </c>
      <c r="AD565">
        <f>SUM($AB$400:AB565)+SUM($AC$400:AC565)</f>
        <v>2634.10000000002</v>
      </c>
      <c r="AE565">
        <f t="shared" si="112"/>
        <v>29919.6681917809</v>
      </c>
      <c r="AF565">
        <f t="shared" si="113"/>
        <v>1.05983933638356</v>
      </c>
      <c r="AG565" s="5">
        <f>(AE565-AE564)/(500000+AE564)-中国_中债国债到期收益率_1年!H565%/252</f>
        <v>-0.000288391578051528</v>
      </c>
      <c r="AH565" s="5">
        <f>MIN((AF565-MAX($AF$401:AF565))/MAX($AF$401:AF565),0)</f>
        <v>-0.00111208380451485</v>
      </c>
    </row>
    <row r="566" spans="1:34">
      <c r="A566" s="9">
        <v>45532</v>
      </c>
      <c r="B566">
        <v>0</v>
      </c>
      <c r="C566">
        <v>30</v>
      </c>
      <c r="D566">
        <v>15</v>
      </c>
      <c r="E566">
        <v>3</v>
      </c>
      <c r="F566">
        <f t="shared" si="111"/>
        <v>48</v>
      </c>
      <c r="G566">
        <f t="shared" si="110"/>
        <v>0</v>
      </c>
      <c r="H566">
        <f t="shared" si="114"/>
        <v>150</v>
      </c>
      <c r="I566">
        <f t="shared" si="115"/>
        <v>135</v>
      </c>
      <c r="J566">
        <f t="shared" si="116"/>
        <v>48</v>
      </c>
      <c r="K566">
        <f t="shared" si="117"/>
        <v>333</v>
      </c>
      <c r="L566">
        <f>G566*Return!B566*100</f>
        <v>0</v>
      </c>
      <c r="M566">
        <f>H566*Return!C566*100</f>
        <v>-316.499999999998</v>
      </c>
      <c r="N566">
        <f>I566*Return!D566*100</f>
        <v>-371.250000000004</v>
      </c>
      <c r="O566">
        <f>J566*Return!E566*100</f>
        <v>-167.999999999999</v>
      </c>
      <c r="P566">
        <f t="shared" si="118"/>
        <v>-855.750000000001</v>
      </c>
      <c r="Q566">
        <f>SUM($P$400:P566)</f>
        <v>21390.43</v>
      </c>
      <c r="R566">
        <f>B566*中国_中债国债到期收益率_1年!B565/365*100</f>
        <v>0</v>
      </c>
      <c r="S566">
        <f>C566*中国_中债国债到期收益率_1年!C565/365*100</f>
        <v>15.3353424657534</v>
      </c>
      <c r="T566">
        <f>D566*中国_中债国债到期收益率_1年!D565/365*100</f>
        <v>9.00123287671233</v>
      </c>
      <c r="U566">
        <f>E566*中国_中债国债到期收益率_1年!E565/365*100</f>
        <v>1.95821917808219</v>
      </c>
      <c r="V566">
        <f t="shared" si="119"/>
        <v>26.2947945205479</v>
      </c>
      <c r="W566">
        <f>SUM($V$400:V566)</f>
        <v>5396.12134246575</v>
      </c>
      <c r="X566">
        <f>MAX(F566-50,0)*中国_中债国债到期收益率_1年!H566*100/365</f>
        <v>0</v>
      </c>
      <c r="Y566">
        <f>SUM($X$400:X566)</f>
        <v>330.438356164384</v>
      </c>
      <c r="Z566">
        <v>-30</v>
      </c>
      <c r="AA566">
        <v>30</v>
      </c>
      <c r="AB566">
        <f>Z566*Return!F570*100</f>
        <v>-108.3</v>
      </c>
      <c r="AC566">
        <f>AA566*Return!G570*100</f>
        <v>138</v>
      </c>
      <c r="AD566">
        <f>SUM($AB$400:AB566)+SUM($AC$400:AC566)</f>
        <v>2663.80000000002</v>
      </c>
      <c r="AE566">
        <f t="shared" si="112"/>
        <v>29119.9129863014</v>
      </c>
      <c r="AF566">
        <f t="shared" si="113"/>
        <v>1.0582398259726</v>
      </c>
      <c r="AG566" s="5">
        <f>(AE566-AE565)/(500000+AE565)-中国_中债国债到期收益率_1年!H566%/252</f>
        <v>-0.00158459765994674</v>
      </c>
      <c r="AH566" s="5">
        <f>MIN((AF566-MAX($AF$401:AF566))/MAX($AF$401:AF566),0)</f>
        <v>-0.00261960628125875</v>
      </c>
    </row>
    <row r="567" spans="1:34">
      <c r="A567" s="9">
        <v>45533</v>
      </c>
      <c r="B567">
        <v>0</v>
      </c>
      <c r="C567">
        <v>30</v>
      </c>
      <c r="D567">
        <v>15</v>
      </c>
      <c r="E567">
        <v>3</v>
      </c>
      <c r="F567">
        <f t="shared" si="111"/>
        <v>48</v>
      </c>
      <c r="G567">
        <f t="shared" si="110"/>
        <v>0</v>
      </c>
      <c r="H567">
        <f t="shared" si="114"/>
        <v>150</v>
      </c>
      <c r="I567">
        <f t="shared" si="115"/>
        <v>135</v>
      </c>
      <c r="J567">
        <f t="shared" si="116"/>
        <v>48</v>
      </c>
      <c r="K567">
        <f t="shared" si="117"/>
        <v>333</v>
      </c>
      <c r="L567">
        <f>G567*Return!B567*100</f>
        <v>0</v>
      </c>
      <c r="M567">
        <f>H567*Return!C567*100</f>
        <v>158.999999999999</v>
      </c>
      <c r="N567">
        <f>I567*Return!D567*100</f>
        <v>310.500000000002</v>
      </c>
      <c r="O567">
        <f>J567*Return!E567*100</f>
        <v>131.999999999999</v>
      </c>
      <c r="P567">
        <f t="shared" si="118"/>
        <v>601.5</v>
      </c>
      <c r="Q567">
        <f>SUM($P$400:P567)</f>
        <v>21991.93</v>
      </c>
      <c r="R567">
        <f>B567*中国_中债国债到期收益率_1年!B566/365*100</f>
        <v>0</v>
      </c>
      <c r="S567">
        <f>C567*中国_中债国债到期收益率_1年!C566/365*100</f>
        <v>15.2482191780822</v>
      </c>
      <c r="T567">
        <f>D567*中国_中债国债到期收益率_1年!D566/365*100</f>
        <v>8.90671232876712</v>
      </c>
      <c r="U567">
        <f>E567*中国_中债国债到期收益率_1年!E566/365*100</f>
        <v>1.93561643835616</v>
      </c>
      <c r="V567">
        <f t="shared" si="119"/>
        <v>26.0905479452055</v>
      </c>
      <c r="W567">
        <f>SUM($V$400:V567)</f>
        <v>5422.21189041096</v>
      </c>
      <c r="X567">
        <f>MAX(F567-50,0)*中国_中债国债到期收益率_1年!H567*100/365</f>
        <v>0</v>
      </c>
      <c r="Y567">
        <f>SUM($X$400:X567)</f>
        <v>330.438356164384</v>
      </c>
      <c r="Z567">
        <v>-30</v>
      </c>
      <c r="AA567">
        <v>30</v>
      </c>
      <c r="AB567">
        <f>Z567*Return!F571*100</f>
        <v>-20.9999999999997</v>
      </c>
      <c r="AC567">
        <f>AA567*Return!G571*100</f>
        <v>60.6</v>
      </c>
      <c r="AD567">
        <f>SUM($AB$400:AB567)+SUM($AC$400:AC567)</f>
        <v>2703.40000000002</v>
      </c>
      <c r="AE567">
        <f t="shared" si="112"/>
        <v>29787.1035342466</v>
      </c>
      <c r="AF567">
        <f t="shared" si="113"/>
        <v>1.05957420706849</v>
      </c>
      <c r="AG567" s="5">
        <f>(AE567-AE566)/(500000+AE566)-中国_中债国债到期收益率_1年!H567%/252</f>
        <v>0.00118554711485227</v>
      </c>
      <c r="AH567" s="5">
        <f>MIN((AF567-MAX($AF$401:AF567))/MAX($AF$401:AF567),0)</f>
        <v>-0.00136196551767591</v>
      </c>
    </row>
    <row r="568" spans="1:34">
      <c r="A568" s="9">
        <v>45534</v>
      </c>
      <c r="B568">
        <v>0</v>
      </c>
      <c r="C568">
        <v>30</v>
      </c>
      <c r="D568">
        <v>15</v>
      </c>
      <c r="E568">
        <v>3</v>
      </c>
      <c r="F568">
        <f t="shared" si="111"/>
        <v>48</v>
      </c>
      <c r="G568">
        <f t="shared" si="110"/>
        <v>0</v>
      </c>
      <c r="H568">
        <f t="shared" si="114"/>
        <v>150</v>
      </c>
      <c r="I568">
        <f t="shared" si="115"/>
        <v>135</v>
      </c>
      <c r="J568">
        <f t="shared" si="116"/>
        <v>48</v>
      </c>
      <c r="K568">
        <f t="shared" si="117"/>
        <v>333</v>
      </c>
      <c r="L568">
        <f>G568*Return!B568*100</f>
        <v>0</v>
      </c>
      <c r="M568">
        <f>H568*Return!C568*100</f>
        <v>-178.5</v>
      </c>
      <c r="N568">
        <f>I568*Return!D568*100</f>
        <v>-40.5000000000015</v>
      </c>
      <c r="O568">
        <f>J568*Return!E568*100</f>
        <v>-48.0000000000011</v>
      </c>
      <c r="P568">
        <f t="shared" si="118"/>
        <v>-267.000000000003</v>
      </c>
      <c r="Q568">
        <f>SUM($P$400:P568)</f>
        <v>21724.93</v>
      </c>
      <c r="R568">
        <f>B568*中国_中债国债到期收益率_1年!B567/365*100</f>
        <v>0</v>
      </c>
      <c r="S568">
        <f>C568*中国_中债国债到期收益率_1年!C567/365*100</f>
        <v>15.3460273972603</v>
      </c>
      <c r="T568">
        <f>D568*中国_中债国债到期收益率_1年!D567/365*100</f>
        <v>8.91904109589041</v>
      </c>
      <c r="U568">
        <f>E568*中国_中债国债到期收益率_1年!E567/365*100</f>
        <v>1.94383561643836</v>
      </c>
      <c r="V568">
        <f t="shared" si="119"/>
        <v>26.208904109589</v>
      </c>
      <c r="W568">
        <f>SUM($V$400:V568)</f>
        <v>5448.42079452055</v>
      </c>
      <c r="X568">
        <f>MAX(F568-50,0)*中国_中债国债到期收益率_1年!H568*100/365</f>
        <v>0</v>
      </c>
      <c r="Y568">
        <f>SUM($X$400:X568)</f>
        <v>330.438356164384</v>
      </c>
      <c r="Z568">
        <v>-30</v>
      </c>
      <c r="AA568">
        <v>30</v>
      </c>
      <c r="AB568">
        <f>Z568*Return!F572*100</f>
        <v>-10.5000000000002</v>
      </c>
      <c r="AC568">
        <f>AA568*Return!G572*100</f>
        <v>66.9</v>
      </c>
      <c r="AD568">
        <f>SUM($AB$400:AB568)+SUM($AC$400:AC568)</f>
        <v>2759.80000000002</v>
      </c>
      <c r="AE568">
        <f t="shared" si="112"/>
        <v>29602.7124383562</v>
      </c>
      <c r="AF568">
        <f t="shared" si="113"/>
        <v>1.05920542487671</v>
      </c>
      <c r="AG568" s="5">
        <f>(AE568-AE567)/(500000+AE567)-中国_中债国债到期收益率_1年!H568%/252</f>
        <v>-0.000422253885019007</v>
      </c>
      <c r="AH568" s="5">
        <f>MIN((AF568-MAX($AF$401:AF568))/MAX($AF$401:AF568),0)</f>
        <v>-0.00170953902474626</v>
      </c>
    </row>
    <row r="569" spans="1:34">
      <c r="A569" s="9">
        <v>45537</v>
      </c>
      <c r="B569">
        <v>10</v>
      </c>
      <c r="C569">
        <v>40</v>
      </c>
      <c r="D569">
        <v>15</v>
      </c>
      <c r="E569">
        <v>3</v>
      </c>
      <c r="F569">
        <f t="shared" si="111"/>
        <v>68</v>
      </c>
      <c r="G569">
        <f t="shared" si="110"/>
        <v>10</v>
      </c>
      <c r="H569">
        <f t="shared" si="114"/>
        <v>200</v>
      </c>
      <c r="I569">
        <f t="shared" si="115"/>
        <v>135</v>
      </c>
      <c r="J569">
        <f t="shared" si="116"/>
        <v>48</v>
      </c>
      <c r="K569">
        <f t="shared" si="117"/>
        <v>393</v>
      </c>
      <c r="L569">
        <f>G569*Return!B569*100</f>
        <v>1.20000000000009</v>
      </c>
      <c r="M569">
        <f>H569*Return!C569*100</f>
        <v>297.999999999998</v>
      </c>
      <c r="N569">
        <f>I569*Return!D569*100</f>
        <v>-1.34999999999685</v>
      </c>
      <c r="O569">
        <f>J569*Return!E569*100</f>
        <v>-0.479999999998881</v>
      </c>
      <c r="P569">
        <f t="shared" si="118"/>
        <v>297.370000000003</v>
      </c>
      <c r="Q569">
        <f>SUM($P$400:P569)</f>
        <v>22022.3</v>
      </c>
      <c r="R569">
        <f>B569*中国_中债国债到期收益率_1年!B568/365*100</f>
        <v>4.08219178082192</v>
      </c>
      <c r="S569">
        <f>C569*中国_中债国债到期收益率_1年!C568/365*100</f>
        <v>20.2980821917808</v>
      </c>
      <c r="T569">
        <f>D569*中国_中债国债到期收益率_1年!D568/365*100</f>
        <v>8.91945205479452</v>
      </c>
      <c r="U569">
        <f>E569*中国_中债国债到期收益率_1年!E568/365*100</f>
        <v>1.94391780821918</v>
      </c>
      <c r="V569">
        <f t="shared" si="119"/>
        <v>35.2436438356164</v>
      </c>
      <c r="W569">
        <f>SUM($V$400:V569)</f>
        <v>5483.66443835616</v>
      </c>
      <c r="X569">
        <f>MAX(F569-50,0)*中国_中债国债到期收益率_1年!H569*100/365</f>
        <v>9.12328767123288</v>
      </c>
      <c r="Y569">
        <f>SUM($X$400:X569)</f>
        <v>339.561643835617</v>
      </c>
      <c r="Z569">
        <v>-30</v>
      </c>
      <c r="AA569">
        <v>30</v>
      </c>
      <c r="AB569">
        <f>Z569*Return!F573*100</f>
        <v>-24</v>
      </c>
      <c r="AC569">
        <f>AA569*Return!G573*100</f>
        <v>56.9999999999997</v>
      </c>
      <c r="AD569">
        <f>SUM($AB$400:AB569)+SUM($AC$400:AC569)</f>
        <v>2792.80000000002</v>
      </c>
      <c r="AE569">
        <f t="shared" si="112"/>
        <v>29959.2027945206</v>
      </c>
      <c r="AF569">
        <f t="shared" si="113"/>
        <v>1.05991840558904</v>
      </c>
      <c r="AG569" s="5">
        <f>(AE569-AE568)/(500000+AE568)-中国_中债国债到期收益率_1年!H569%/252</f>
        <v>0.000599715191214343</v>
      </c>
      <c r="AH569" s="5">
        <f>MIN((AF569-MAX($AF$401:AF569))/MAX($AF$401:AF569),0)</f>
        <v>-0.00103756187351523</v>
      </c>
    </row>
    <row r="570" spans="1:34">
      <c r="A570" s="9">
        <v>45538</v>
      </c>
      <c r="B570">
        <v>10</v>
      </c>
      <c r="C570">
        <v>40</v>
      </c>
      <c r="D570">
        <v>15</v>
      </c>
      <c r="E570">
        <v>3</v>
      </c>
      <c r="F570">
        <f t="shared" si="111"/>
        <v>68</v>
      </c>
      <c r="G570">
        <f t="shared" si="110"/>
        <v>10</v>
      </c>
      <c r="H570">
        <f t="shared" si="114"/>
        <v>200</v>
      </c>
      <c r="I570">
        <f t="shared" si="115"/>
        <v>135</v>
      </c>
      <c r="J570">
        <f t="shared" si="116"/>
        <v>48</v>
      </c>
      <c r="K570">
        <f t="shared" si="117"/>
        <v>393</v>
      </c>
      <c r="L570">
        <f>G570*Return!B570*100</f>
        <v>24.9999999999999</v>
      </c>
      <c r="M570">
        <f>H570*Return!C570*100</f>
        <v>874.000000000001</v>
      </c>
      <c r="N570">
        <f>I570*Return!D570*100</f>
        <v>333.449999999996</v>
      </c>
      <c r="O570">
        <f>J570*Return!E570*100</f>
        <v>108.480000000001</v>
      </c>
      <c r="P570">
        <f t="shared" si="118"/>
        <v>1340.93</v>
      </c>
      <c r="Q570">
        <f>SUM($P$400:P570)</f>
        <v>23363.23</v>
      </c>
      <c r="R570">
        <f>B570*中国_中债国债到期收益率_1年!B569/365*100</f>
        <v>4.01369863013699</v>
      </c>
      <c r="S570">
        <f>C570*中国_中债国债到期收益率_1年!C569/365*100</f>
        <v>19.8191780821918</v>
      </c>
      <c r="T570">
        <f>D570*中国_中债国债到期收益率_1年!D569/365*100</f>
        <v>8.81794520547945</v>
      </c>
      <c r="U570">
        <f>E570*中国_中债国债到期收益率_1年!E569/365*100</f>
        <v>1.92534246575342</v>
      </c>
      <c r="V570">
        <f t="shared" si="119"/>
        <v>34.5761643835616</v>
      </c>
      <c r="W570">
        <f>SUM($V$400:V570)</f>
        <v>5518.24060273972</v>
      </c>
      <c r="X570">
        <f>MAX(F570-50,0)*中国_中债国债到期收益率_1年!H570*100/365</f>
        <v>9.17260273972603</v>
      </c>
      <c r="Y570">
        <f>SUM($X$400:X570)</f>
        <v>348.734246575343</v>
      </c>
      <c r="Z570">
        <v>-30</v>
      </c>
      <c r="AA570">
        <v>30</v>
      </c>
      <c r="AB570">
        <f>Z570*Return!F574*100</f>
        <v>-10.2000000000002</v>
      </c>
      <c r="AC570">
        <f>AA570*Return!G574*100</f>
        <v>-13.7999999999998</v>
      </c>
      <c r="AD570">
        <f>SUM($AB$400:AB570)+SUM($AC$400:AC570)</f>
        <v>2768.80000000002</v>
      </c>
      <c r="AE570">
        <f t="shared" si="112"/>
        <v>31301.5363561644</v>
      </c>
      <c r="AF570">
        <f t="shared" si="113"/>
        <v>1.06260307271233</v>
      </c>
      <c r="AG570" s="5">
        <f>(AE570-AE569)/(500000+AE569)-中国_中债国债到期收益率_1年!H570%/252</f>
        <v>0.00245909028162001</v>
      </c>
      <c r="AH570" s="5">
        <f>MIN((AF570-MAX($AF$401:AF570))/MAX($AF$401:AF570),0)</f>
        <v>0</v>
      </c>
    </row>
    <row r="571" spans="1:34">
      <c r="A571" s="9">
        <v>45539</v>
      </c>
      <c r="B571">
        <v>10</v>
      </c>
      <c r="C571">
        <v>40</v>
      </c>
      <c r="D571">
        <v>15</v>
      </c>
      <c r="E571">
        <v>3</v>
      </c>
      <c r="F571">
        <f t="shared" si="111"/>
        <v>68</v>
      </c>
      <c r="G571">
        <f t="shared" si="110"/>
        <v>10</v>
      </c>
      <c r="H571">
        <f t="shared" si="114"/>
        <v>200</v>
      </c>
      <c r="I571">
        <f t="shared" si="115"/>
        <v>135</v>
      </c>
      <c r="J571">
        <f t="shared" si="116"/>
        <v>48</v>
      </c>
      <c r="K571">
        <f t="shared" si="117"/>
        <v>393</v>
      </c>
      <c r="L571">
        <f>G571*Return!B571*100</f>
        <v>35.0000000000001</v>
      </c>
      <c r="M571">
        <f>H571*Return!C571*100</f>
        <v>463.999999999998</v>
      </c>
      <c r="N571">
        <f>I571*Return!D571*100</f>
        <v>33.7499999999993</v>
      </c>
      <c r="O571">
        <f>J571*Return!E571*100</f>
        <v>16.7999999999992</v>
      </c>
      <c r="P571">
        <f t="shared" si="118"/>
        <v>549.549999999996</v>
      </c>
      <c r="Q571">
        <f>SUM($P$400:P571)</f>
        <v>23912.78</v>
      </c>
      <c r="R571">
        <f>B571*中国_中债国债到期收益率_1年!B570/365*100</f>
        <v>3.91780821917808</v>
      </c>
      <c r="S571">
        <f>C571*中国_中债国债到期收益率_1年!C570/365*100</f>
        <v>19.5649315068493</v>
      </c>
      <c r="T571">
        <f>D571*中国_中债国债到期收益率_1年!D570/365*100</f>
        <v>8.80767123287671</v>
      </c>
      <c r="U571">
        <f>E571*中国_中债国债到期收益率_1年!E570/365*100</f>
        <v>1.92246575342466</v>
      </c>
      <c r="V571">
        <f t="shared" si="119"/>
        <v>34.2128767123288</v>
      </c>
      <c r="W571">
        <f>SUM($V$400:V571)</f>
        <v>5552.45347945205</v>
      </c>
      <c r="X571">
        <f>MAX(F571-50,0)*中国_中债国债到期收益率_1年!H571*100/365</f>
        <v>9.36986301369863</v>
      </c>
      <c r="Y571">
        <f>SUM($X$400:X571)</f>
        <v>358.104109589041</v>
      </c>
      <c r="Z571">
        <v>-30</v>
      </c>
      <c r="AA571">
        <v>30</v>
      </c>
      <c r="AB571">
        <f>Z571*Return!F575*100</f>
        <v>19.1999999999999</v>
      </c>
      <c r="AC571">
        <f>AA571*Return!G575*100</f>
        <v>33.3000000000003</v>
      </c>
      <c r="AD571">
        <f>SUM($AB$400:AB571)+SUM($AC$400:AC571)</f>
        <v>2821.30000000002</v>
      </c>
      <c r="AE571">
        <f t="shared" si="112"/>
        <v>31928.429369863</v>
      </c>
      <c r="AF571">
        <f t="shared" si="113"/>
        <v>1.06385685873973</v>
      </c>
      <c r="AG571" s="5">
        <f>(AE571-AE570)/(500000+AE570)-中国_中债国债到期收益率_1年!H571%/252</f>
        <v>0.00110452261921472</v>
      </c>
      <c r="AH571" s="5">
        <f>MIN((AF571-MAX($AF$401:AF571))/MAX($AF$401:AF571),0)</f>
        <v>0</v>
      </c>
    </row>
    <row r="572" spans="1:34">
      <c r="A572" s="9">
        <v>45540</v>
      </c>
      <c r="B572">
        <v>10</v>
      </c>
      <c r="C572">
        <v>40</v>
      </c>
      <c r="D572">
        <v>15</v>
      </c>
      <c r="E572">
        <v>3</v>
      </c>
      <c r="F572">
        <f t="shared" si="111"/>
        <v>68</v>
      </c>
      <c r="G572">
        <f t="shared" si="110"/>
        <v>10</v>
      </c>
      <c r="H572">
        <f t="shared" si="114"/>
        <v>200</v>
      </c>
      <c r="I572">
        <f t="shared" si="115"/>
        <v>135</v>
      </c>
      <c r="J572">
        <f t="shared" si="116"/>
        <v>48</v>
      </c>
      <c r="K572">
        <f t="shared" si="117"/>
        <v>393</v>
      </c>
      <c r="L572">
        <f>G572*Return!B572*100</f>
        <v>-25.0000000000001</v>
      </c>
      <c r="M572">
        <f>H572*Return!C572*100</f>
        <v>206.000000000004</v>
      </c>
      <c r="N572">
        <f>I572*Return!D572*100</f>
        <v>129.600000000004</v>
      </c>
      <c r="O572">
        <f>J572*Return!E572*100</f>
        <v>79.2000000000009</v>
      </c>
      <c r="P572">
        <f t="shared" si="118"/>
        <v>389.800000000008</v>
      </c>
      <c r="Q572">
        <f>SUM($P$400:P572)</f>
        <v>24302.58</v>
      </c>
      <c r="R572">
        <f>B572*中国_中债国债到期收益率_1年!B571/365*100</f>
        <v>3.98630136986301</v>
      </c>
      <c r="S572">
        <f>C572*中国_中债国债到期收益率_1年!C571/365*100</f>
        <v>19.4520547945205</v>
      </c>
      <c r="T572">
        <f>D572*中国_中债国债到期收益率_1年!D571/365*100</f>
        <v>8.76821917808219</v>
      </c>
      <c r="U572">
        <f>E572*中国_中债国债到期收益率_1年!E571/365*100</f>
        <v>1.90890410958904</v>
      </c>
      <c r="V572">
        <f t="shared" si="119"/>
        <v>34.1154794520548</v>
      </c>
      <c r="W572">
        <f>SUM($V$400:V572)</f>
        <v>5586.56895890411</v>
      </c>
      <c r="X572">
        <f>MAX(F572-50,0)*中国_中债国债到期收益率_1年!H572*100/365</f>
        <v>9.32054794520548</v>
      </c>
      <c r="Y572">
        <f>SUM($X$400:X572)</f>
        <v>367.424657534247</v>
      </c>
      <c r="Z572">
        <v>-50</v>
      </c>
      <c r="AA572">
        <v>50</v>
      </c>
      <c r="AB572">
        <f>Z572*Return!F576*100</f>
        <v>-26.4999999999993</v>
      </c>
      <c r="AC572">
        <f>AA572*Return!G576*100</f>
        <v>108.499999999999</v>
      </c>
      <c r="AD572">
        <f>SUM($AB$400:AB572)+SUM($AC$400:AC572)</f>
        <v>2903.30000000002</v>
      </c>
      <c r="AE572">
        <f t="shared" si="112"/>
        <v>32425.0243013699</v>
      </c>
      <c r="AF572">
        <f t="shared" si="113"/>
        <v>1.06485004860274</v>
      </c>
      <c r="AG572" s="5">
        <f>(AE572-AE571)/(500000+AE571)-中国_中债国债到期收益率_1年!H572%/252</f>
        <v>0.000858574714356097</v>
      </c>
      <c r="AH572" s="5">
        <f>MIN((AF572-MAX($AF$401:AF572))/MAX($AF$401:AF572),0)</f>
        <v>0</v>
      </c>
    </row>
    <row r="573" spans="1:34">
      <c r="A573" s="9">
        <v>45541</v>
      </c>
      <c r="B573">
        <v>10</v>
      </c>
      <c r="C573">
        <v>40</v>
      </c>
      <c r="D573">
        <v>15</v>
      </c>
      <c r="E573">
        <v>3</v>
      </c>
      <c r="F573">
        <f t="shared" si="111"/>
        <v>68</v>
      </c>
      <c r="G573">
        <f t="shared" ref="G573:G620" si="120">B573</f>
        <v>10</v>
      </c>
      <c r="H573">
        <f t="shared" si="114"/>
        <v>200</v>
      </c>
      <c r="I573">
        <f t="shared" si="115"/>
        <v>135</v>
      </c>
      <c r="J573">
        <f t="shared" si="116"/>
        <v>48</v>
      </c>
      <c r="K573">
        <f t="shared" si="117"/>
        <v>393</v>
      </c>
      <c r="L573">
        <f>G573*Return!B573*100</f>
        <v>7.50000000000006</v>
      </c>
      <c r="M573">
        <f>H573*Return!C573*100</f>
        <v>-22.000000000002</v>
      </c>
      <c r="N573">
        <f>I573*Return!D573*100</f>
        <v>-2.6999999999997</v>
      </c>
      <c r="O573">
        <f>J573*Return!E573*100</f>
        <v>47.999999999999</v>
      </c>
      <c r="P573">
        <f t="shared" si="118"/>
        <v>30.7999999999973</v>
      </c>
      <c r="Q573">
        <f>SUM($P$400:P573)</f>
        <v>24333.38</v>
      </c>
      <c r="R573">
        <f>B573*中国_中债国债到期收益率_1年!B572/365*100</f>
        <v>3.96575342465753</v>
      </c>
      <c r="S573">
        <f>C573*中国_中债国债到期收益率_1年!C572/365*100</f>
        <v>19.4641095890411</v>
      </c>
      <c r="T573">
        <f>D573*中国_中债国债到期收益率_1年!D572/365*100</f>
        <v>8.76904109589041</v>
      </c>
      <c r="U573">
        <f>E573*中国_中债国债到期收益率_1年!E572/365*100</f>
        <v>1.90068493150685</v>
      </c>
      <c r="V573">
        <f t="shared" si="119"/>
        <v>34.0995890410959</v>
      </c>
      <c r="W573">
        <f>SUM($V$400:V573)</f>
        <v>5620.6685479452</v>
      </c>
      <c r="X573">
        <f>MAX(F573-50,0)*中国_中债国债到期收益率_1年!H573*100/365</f>
        <v>9.36986301369863</v>
      </c>
      <c r="Y573">
        <f>SUM($X$400:X573)</f>
        <v>376.794520547945</v>
      </c>
      <c r="Z573">
        <v>-50</v>
      </c>
      <c r="AA573">
        <v>50</v>
      </c>
      <c r="AB573">
        <f>Z573*Return!F577*100</f>
        <v>9.00000000000012</v>
      </c>
      <c r="AC573">
        <f>AA573*Return!G577*100</f>
        <v>45.0000000000006</v>
      </c>
      <c r="AD573">
        <f>SUM($AB$400:AB573)+SUM($AC$400:AC573)</f>
        <v>2957.30000000002</v>
      </c>
      <c r="AE573">
        <f t="shared" si="112"/>
        <v>32534.5540273973</v>
      </c>
      <c r="AF573">
        <f t="shared" si="113"/>
        <v>1.06506910805479</v>
      </c>
      <c r="AG573" s="5">
        <f>(AE573-AE572)/(500000+AE572)-中国_中债国债到期收益率_1年!H573%/252</f>
        <v>0.000130321766006949</v>
      </c>
      <c r="AH573" s="5">
        <f>MIN((AF573-MAX($AF$401:AF573))/MAX($AF$401:AF573),0)</f>
        <v>0</v>
      </c>
    </row>
    <row r="574" spans="1:34">
      <c r="A574" s="9">
        <v>45544</v>
      </c>
      <c r="B574">
        <v>50</v>
      </c>
      <c r="C574">
        <v>30</v>
      </c>
      <c r="D574">
        <v>15</v>
      </c>
      <c r="E574">
        <v>3</v>
      </c>
      <c r="F574">
        <f t="shared" si="111"/>
        <v>98</v>
      </c>
      <c r="G574">
        <f t="shared" si="120"/>
        <v>50</v>
      </c>
      <c r="H574">
        <f t="shared" si="114"/>
        <v>150</v>
      </c>
      <c r="I574">
        <f t="shared" si="115"/>
        <v>135</v>
      </c>
      <c r="J574">
        <f t="shared" si="116"/>
        <v>48</v>
      </c>
      <c r="K574">
        <f t="shared" si="117"/>
        <v>383</v>
      </c>
      <c r="L574">
        <f>G574*Return!B574*100</f>
        <v>61.4999999999999</v>
      </c>
      <c r="M574">
        <f>H574*Return!C574*100</f>
        <v>-43.4999999999985</v>
      </c>
      <c r="N574">
        <f>I574*Return!D574*100</f>
        <v>-67.4999999999986</v>
      </c>
      <c r="O574">
        <f>J574*Return!E574*100</f>
        <v>16.7999999999992</v>
      </c>
      <c r="P574">
        <f t="shared" si="118"/>
        <v>-32.699999999998</v>
      </c>
      <c r="Q574">
        <f>SUM($P$400:P574)</f>
        <v>24300.68</v>
      </c>
      <c r="R574">
        <f>B574*中国_中债国债到期收益率_1年!B573/365*100</f>
        <v>19.6602739726027</v>
      </c>
      <c r="S574">
        <f>C574*中国_中债国债到期收益率_1年!C573/365*100</f>
        <v>14.6219178082192</v>
      </c>
      <c r="T574">
        <f>D574*中国_中债国债到期收益率_1年!D573/365*100</f>
        <v>8.78958904109589</v>
      </c>
      <c r="U574">
        <f>E574*中国_中债国债到期收益率_1年!E573/365*100</f>
        <v>1.89780821917808</v>
      </c>
      <c r="V574">
        <f t="shared" si="119"/>
        <v>44.9695890410959</v>
      </c>
      <c r="W574">
        <f>SUM($V$400:V574)</f>
        <v>5665.6381369863</v>
      </c>
      <c r="X574">
        <f>MAX(F574-50,0)*中国_中债国债到期收益率_1年!H574*100/365</f>
        <v>25.3808219178082</v>
      </c>
      <c r="Y574">
        <f>SUM($X$400:X574)</f>
        <v>402.175342465754</v>
      </c>
      <c r="Z574">
        <v>-50</v>
      </c>
      <c r="AA574">
        <v>50</v>
      </c>
      <c r="AD574">
        <f>SUM($AB$400:AB574)+SUM($AC$400:AC574)</f>
        <v>2957.30000000002</v>
      </c>
      <c r="AE574">
        <f t="shared" si="112"/>
        <v>32521.4427945206</v>
      </c>
      <c r="AF574">
        <f t="shared" si="113"/>
        <v>1.06504288558904</v>
      </c>
      <c r="AG574" s="5">
        <f>(AE574-AE573)/(500000+AE573)-中国_中债国债到期收益率_1年!H574%/252</f>
        <v>-0.000101207737533769</v>
      </c>
      <c r="AH574" s="5">
        <f>MIN((AF574-MAX($AF$401:AF574))/MAX($AF$401:AF574),0)</f>
        <v>-2.46204359462887e-5</v>
      </c>
    </row>
    <row r="575" spans="1:34">
      <c r="A575" s="9">
        <v>45545</v>
      </c>
      <c r="B575">
        <v>50</v>
      </c>
      <c r="C575">
        <v>30</v>
      </c>
      <c r="D575">
        <v>15</v>
      </c>
      <c r="E575">
        <v>0</v>
      </c>
      <c r="F575">
        <f t="shared" si="111"/>
        <v>95</v>
      </c>
      <c r="G575">
        <f t="shared" si="120"/>
        <v>50</v>
      </c>
      <c r="H575">
        <f t="shared" si="114"/>
        <v>150</v>
      </c>
      <c r="I575">
        <f t="shared" si="115"/>
        <v>135</v>
      </c>
      <c r="J575">
        <f t="shared" si="116"/>
        <v>0</v>
      </c>
      <c r="K575">
        <f t="shared" si="117"/>
        <v>335</v>
      </c>
      <c r="L575">
        <f>G575*Return!B575*100</f>
        <v>100</v>
      </c>
      <c r="M575">
        <f>H575*Return!C575*100</f>
        <v>134.999999999998</v>
      </c>
      <c r="N575">
        <f>I575*Return!D575*100</f>
        <v>163.349999999997</v>
      </c>
      <c r="O575">
        <f>J575*Return!E575*100</f>
        <v>0</v>
      </c>
      <c r="P575">
        <f t="shared" si="118"/>
        <v>398.349999999996</v>
      </c>
      <c r="Q575">
        <f>SUM($P$400:P575)</f>
        <v>24699.03</v>
      </c>
      <c r="R575">
        <f>B575*中国_中债国债到期收益率_1年!B574/365*100</f>
        <v>19.386301369863</v>
      </c>
      <c r="S575">
        <f>C575*中国_中债国债到期收益率_1年!C574/365*100</f>
        <v>14.5479452054795</v>
      </c>
      <c r="T575">
        <f>D575*中国_中债国债到期收益率_1年!D574/365*100</f>
        <v>8.73986301369863</v>
      </c>
      <c r="U575">
        <f>E575*中国_中债国债到期收益率_1年!E574/365*100</f>
        <v>0</v>
      </c>
      <c r="V575">
        <f t="shared" si="119"/>
        <v>42.6741095890411</v>
      </c>
      <c r="W575">
        <f>SUM($V$400:V575)</f>
        <v>5708.31224657534</v>
      </c>
      <c r="X575">
        <f>MAX(F575-50,0)*中国_中债国债到期收益率_1年!H575*100/365</f>
        <v>24.041095890411</v>
      </c>
      <c r="Y575">
        <f>SUM($X$400:X575)</f>
        <v>426.216438356165</v>
      </c>
      <c r="Z575">
        <v>-50</v>
      </c>
      <c r="AA575">
        <v>50</v>
      </c>
      <c r="AD575">
        <f>SUM($AB$400:AB575)+SUM($AC$400:AC575)</f>
        <v>2957.30000000002</v>
      </c>
      <c r="AE575">
        <f t="shared" si="112"/>
        <v>32938.4258082192</v>
      </c>
      <c r="AF575">
        <f t="shared" si="113"/>
        <v>1.06587685161644</v>
      </c>
      <c r="AG575" s="5">
        <f>(AE575-AE574)/(500000+AE574)-中国_中债国债到期收益率_1年!H575%/252</f>
        <v>0.000705654208626693</v>
      </c>
      <c r="AH575" s="5">
        <f>MIN((AF575-MAX($AF$401:AF575))/MAX($AF$401:AF575),0)</f>
        <v>0</v>
      </c>
    </row>
    <row r="576" spans="1:34">
      <c r="A576" s="9">
        <v>45546</v>
      </c>
      <c r="B576">
        <v>50</v>
      </c>
      <c r="C576">
        <v>30</v>
      </c>
      <c r="D576">
        <v>15</v>
      </c>
      <c r="E576">
        <v>0</v>
      </c>
      <c r="F576">
        <f t="shared" si="111"/>
        <v>95</v>
      </c>
      <c r="G576">
        <f t="shared" si="120"/>
        <v>50</v>
      </c>
      <c r="H576">
        <f t="shared" si="114"/>
        <v>150</v>
      </c>
      <c r="I576">
        <f t="shared" si="115"/>
        <v>135</v>
      </c>
      <c r="J576">
        <f t="shared" si="116"/>
        <v>0</v>
      </c>
      <c r="K576">
        <f t="shared" si="117"/>
        <v>335</v>
      </c>
      <c r="L576">
        <f>G576*Return!B576*100</f>
        <v>300</v>
      </c>
      <c r="M576">
        <f>H576*Return!C576*100</f>
        <v>304.5</v>
      </c>
      <c r="N576">
        <f>I576*Return!D576*100</f>
        <v>167.4</v>
      </c>
      <c r="O576">
        <f>J576*Return!E576*100</f>
        <v>0</v>
      </c>
      <c r="P576">
        <f t="shared" si="118"/>
        <v>771.9</v>
      </c>
      <c r="Q576">
        <f>SUM($P$400:P576)</f>
        <v>25470.93</v>
      </c>
      <c r="R576">
        <f>B576*中国_中债国债到期收益率_1年!B575/365*100</f>
        <v>18.5643835616438</v>
      </c>
      <c r="S576">
        <f>C576*中国_中债国债到期收益率_1年!C575/365*100</f>
        <v>14.381095890411</v>
      </c>
      <c r="T576">
        <f>D576*中国_中债国债到期收益率_1年!D575/365*100</f>
        <v>8.68890410958904</v>
      </c>
      <c r="U576">
        <f>E576*中国_中债国债到期收益率_1年!E575/365*100</f>
        <v>0</v>
      </c>
      <c r="V576">
        <f t="shared" si="119"/>
        <v>41.6343835616438</v>
      </c>
      <c r="W576">
        <f>SUM($V$400:V576)</f>
        <v>5749.94663013698</v>
      </c>
      <c r="X576">
        <f>MAX(F576-50,0)*中国_中债国债到期收益率_1年!H576*100/365</f>
        <v>23.9178082191781</v>
      </c>
      <c r="Y576">
        <f>SUM($X$400:X576)</f>
        <v>450.134246575343</v>
      </c>
      <c r="Z576">
        <v>-50</v>
      </c>
      <c r="AA576">
        <v>50</v>
      </c>
      <c r="AD576">
        <f>SUM($AB$400:AB576)+SUM($AC$400:AC576)</f>
        <v>2957.30000000002</v>
      </c>
      <c r="AE576">
        <f t="shared" si="112"/>
        <v>33728.0423835617</v>
      </c>
      <c r="AF576">
        <f t="shared" si="113"/>
        <v>1.06745608476712</v>
      </c>
      <c r="AG576" s="5">
        <f>(AE576-AE575)/(500000+AE575)-中国_中债国债到期收益率_1年!H576%/252</f>
        <v>0.00140464402573347</v>
      </c>
      <c r="AH576" s="5">
        <f>MIN((AF576-MAX($AF$401:AF576))/MAX($AF$401:AF576),0)</f>
        <v>0</v>
      </c>
    </row>
    <row r="577" spans="1:34">
      <c r="A577" s="9">
        <v>45547</v>
      </c>
      <c r="B577">
        <v>50</v>
      </c>
      <c r="C577">
        <v>30</v>
      </c>
      <c r="D577">
        <v>10</v>
      </c>
      <c r="E577">
        <v>0</v>
      </c>
      <c r="F577">
        <f t="shared" si="111"/>
        <v>90</v>
      </c>
      <c r="G577">
        <f t="shared" si="120"/>
        <v>50</v>
      </c>
      <c r="H577">
        <f t="shared" si="114"/>
        <v>150</v>
      </c>
      <c r="I577">
        <f t="shared" si="115"/>
        <v>90</v>
      </c>
      <c r="J577">
        <f t="shared" si="116"/>
        <v>0</v>
      </c>
      <c r="K577">
        <f t="shared" si="117"/>
        <v>290</v>
      </c>
      <c r="L577">
        <f>G577*Return!B577*100</f>
        <v>133.5</v>
      </c>
      <c r="M577">
        <f>H577*Return!C577*100</f>
        <v>483</v>
      </c>
      <c r="N577">
        <f>I577*Return!D577*100</f>
        <v>89.1000000000002</v>
      </c>
      <c r="O577">
        <f>J577*Return!E577*100</f>
        <v>0</v>
      </c>
      <c r="P577">
        <f t="shared" si="118"/>
        <v>705.6</v>
      </c>
      <c r="Q577">
        <f>SUM($P$400:P577)</f>
        <v>26176.53</v>
      </c>
      <c r="R577">
        <f>B577*中国_中债国债到期收益率_1年!B576/365*100</f>
        <v>18.1986301369863</v>
      </c>
      <c r="S577">
        <f>C577*中国_中债国债到期收益率_1年!C576/365*100</f>
        <v>14.1164383561644</v>
      </c>
      <c r="T577">
        <f>D577*中国_中债国债到期收益率_1年!D576/365*100</f>
        <v>5.76547945205479</v>
      </c>
      <c r="U577">
        <f>E577*中国_中债国债到期收益率_1年!E576/365*100</f>
        <v>0</v>
      </c>
      <c r="V577">
        <f t="shared" si="119"/>
        <v>38.0805479452055</v>
      </c>
      <c r="W577">
        <f>SUM($V$400:V577)</f>
        <v>5788.02717808219</v>
      </c>
      <c r="X577">
        <f>MAX(F577-50,0)*中国_中债国债到期收益率_1年!H577*100/365</f>
        <v>20.8219178082192</v>
      </c>
      <c r="Y577">
        <f>SUM($X$400:X577)</f>
        <v>470.956164383562</v>
      </c>
      <c r="Z577">
        <v>-50</v>
      </c>
      <c r="AA577">
        <v>50</v>
      </c>
      <c r="AD577">
        <f>SUM($AB$400:AB577)+SUM($AC$400:AC577)</f>
        <v>2957.30000000002</v>
      </c>
      <c r="AE577">
        <f t="shared" si="112"/>
        <v>34450.9010136987</v>
      </c>
      <c r="AF577">
        <f t="shared" si="113"/>
        <v>1.0689018020274</v>
      </c>
      <c r="AG577" s="5">
        <f>(AE577-AE576)/(500000+AE576)-中国_中债国债到期收益率_1年!H577%/252</f>
        <v>0.00127896077385689</v>
      </c>
      <c r="AH577" s="5">
        <f>MIN((AF577-MAX($AF$401:AF577))/MAX($AF$401:AF577),0)</f>
        <v>0</v>
      </c>
    </row>
    <row r="578" spans="1:34">
      <c r="A578" s="9">
        <v>45548</v>
      </c>
      <c r="B578">
        <v>50</v>
      </c>
      <c r="C578">
        <v>30</v>
      </c>
      <c r="D578">
        <v>10</v>
      </c>
      <c r="E578">
        <v>0</v>
      </c>
      <c r="F578">
        <f t="shared" si="111"/>
        <v>90</v>
      </c>
      <c r="G578">
        <f t="shared" si="120"/>
        <v>50</v>
      </c>
      <c r="H578">
        <f t="shared" si="114"/>
        <v>150</v>
      </c>
      <c r="I578">
        <f t="shared" si="115"/>
        <v>90</v>
      </c>
      <c r="J578">
        <f t="shared" si="116"/>
        <v>0</v>
      </c>
      <c r="K578">
        <f t="shared" si="117"/>
        <v>290</v>
      </c>
      <c r="L578">
        <f>G578*Return!B578*100</f>
        <v>12.4999999999997</v>
      </c>
      <c r="M578">
        <f>H578*Return!C578*100</f>
        <v>-85.5000000000006</v>
      </c>
      <c r="N578">
        <f>I578*Return!D578*100</f>
        <v>41.3999999999994</v>
      </c>
      <c r="O578">
        <f>J578*Return!E578*100</f>
        <v>0</v>
      </c>
      <c r="P578">
        <f t="shared" si="118"/>
        <v>-31.6000000000014</v>
      </c>
      <c r="Q578">
        <f>SUM($P$400:P578)</f>
        <v>26144.93</v>
      </c>
      <c r="R578">
        <f>B578*中国_中债国债到期收益率_1年!B577/365*100</f>
        <v>18.1643835616438</v>
      </c>
      <c r="S578">
        <f>C578*中国_中债国债到期收益率_1年!C577/365*100</f>
        <v>14.1632876712329</v>
      </c>
      <c r="T578">
        <f>D578*中国_中债国债到期收益率_1年!D577/365*100</f>
        <v>5.75287671232877</v>
      </c>
      <c r="U578">
        <f>E578*中国_中债国债到期收益率_1年!E577/365*100</f>
        <v>0</v>
      </c>
      <c r="V578">
        <f t="shared" si="119"/>
        <v>38.0805479452055</v>
      </c>
      <c r="W578">
        <f>SUM($V$400:V578)</f>
        <v>5826.1077260274</v>
      </c>
      <c r="X578">
        <f>MAX(F578-50,0)*中国_中债国债到期收益率_1年!H578*100/365</f>
        <v>21.3698630136986</v>
      </c>
      <c r="Y578">
        <f>SUM($X$400:X578)</f>
        <v>492.32602739726</v>
      </c>
      <c r="Z578">
        <v>-50</v>
      </c>
      <c r="AA578">
        <v>50</v>
      </c>
      <c r="AB578">
        <f>Z578*Return!F582*100</f>
        <v>46.9999999999993</v>
      </c>
      <c r="AC578">
        <f>AA578*Return!G582*100</f>
        <v>-46.0000000000005</v>
      </c>
      <c r="AD578">
        <f>SUM($AB$400:AB578)+SUM($AC$400:AC578)</f>
        <v>2958.30000000002</v>
      </c>
      <c r="AE578">
        <f t="shared" si="112"/>
        <v>34437.0116986302</v>
      </c>
      <c r="AF578">
        <f t="shared" si="113"/>
        <v>1.06887402339726</v>
      </c>
      <c r="AG578" s="5">
        <f>(AE578-AE577)/(500000+AE577)-中国_中债国债到期收益率_1年!H578%/252</f>
        <v>-0.00010336896183544</v>
      </c>
      <c r="AH578" s="5">
        <f>MIN((AF578-MAX($AF$401:AF578))/MAX($AF$401:AF578),0)</f>
        <v>-2.59880094545111e-5</v>
      </c>
    </row>
    <row r="579" spans="1:34">
      <c r="A579" s="9">
        <v>45549</v>
      </c>
      <c r="B579">
        <v>50</v>
      </c>
      <c r="C579">
        <v>30</v>
      </c>
      <c r="D579">
        <v>0</v>
      </c>
      <c r="E579">
        <v>0</v>
      </c>
      <c r="F579">
        <f t="shared" ref="F579:F620" si="121">SUM(B579:E579)</f>
        <v>80</v>
      </c>
      <c r="G579">
        <f t="shared" si="120"/>
        <v>50</v>
      </c>
      <c r="H579">
        <f t="shared" si="114"/>
        <v>150</v>
      </c>
      <c r="I579">
        <f t="shared" si="115"/>
        <v>0</v>
      </c>
      <c r="J579">
        <f t="shared" si="116"/>
        <v>0</v>
      </c>
      <c r="K579">
        <f t="shared" si="117"/>
        <v>200</v>
      </c>
      <c r="L579">
        <f>G579*Return!B579*100</f>
        <v>0</v>
      </c>
      <c r="M579">
        <f>H579*Return!C579*100</f>
        <v>40.5000000000022</v>
      </c>
      <c r="N579">
        <f>I579*Return!D579*100</f>
        <v>0</v>
      </c>
      <c r="O579">
        <f>J579*Return!E579*100</f>
        <v>0</v>
      </c>
      <c r="P579">
        <f t="shared" si="118"/>
        <v>40.5000000000022</v>
      </c>
      <c r="Q579">
        <f>SUM($P$400:P579)</f>
        <v>26185.43</v>
      </c>
      <c r="R579">
        <f>B579*中国_中债国债到期收益率_1年!B578/365*100</f>
        <v>18.1643835616438</v>
      </c>
      <c r="S579">
        <f>C579*中国_中债国债到期收益率_1年!C578/365*100</f>
        <v>14.141095890411</v>
      </c>
      <c r="T579">
        <f>D579*中国_中债国债到期收益率_1年!D578/365*100</f>
        <v>0</v>
      </c>
      <c r="U579">
        <f>E579*中国_中债国债到期收益率_1年!E578/365*100</f>
        <v>0</v>
      </c>
      <c r="V579">
        <f t="shared" si="119"/>
        <v>32.3054794520548</v>
      </c>
      <c r="W579">
        <f>SUM($V$400:V579)</f>
        <v>5858.41320547945</v>
      </c>
      <c r="X579">
        <f>MAX(F579-50,0)*中国_中债国债到期收益率_1年!H579*100/365</f>
        <v>14.7945205479452</v>
      </c>
      <c r="Y579">
        <f>SUM($X$400:X579)</f>
        <v>507.120547945206</v>
      </c>
      <c r="Z579">
        <v>-50</v>
      </c>
      <c r="AA579">
        <v>50</v>
      </c>
      <c r="AB579">
        <f>Z579*Return!F583*100</f>
        <v>0</v>
      </c>
      <c r="AC579">
        <f>AA579*Return!G583*100</f>
        <v>17.5000000000003</v>
      </c>
      <c r="AD579">
        <f>SUM($AB$400:AB579)+SUM($AC$400:AC579)</f>
        <v>2975.80000000002</v>
      </c>
      <c r="AE579">
        <f t="shared" si="112"/>
        <v>34512.5226575343</v>
      </c>
      <c r="AF579">
        <f t="shared" si="113"/>
        <v>1.06902504531507</v>
      </c>
      <c r="AG579" s="5">
        <f>(AE579-AE578)/(500000+AE578)-中国_中债国债到期收益率_1年!H579%/252</f>
        <v>6.98620900548392e-5</v>
      </c>
      <c r="AH579" s="5">
        <f>MIN((AF579-MAX($AF$401:AF579))/MAX($AF$401:AF579),0)</f>
        <v>0</v>
      </c>
    </row>
    <row r="580" spans="1:34">
      <c r="A580" s="9">
        <v>45553</v>
      </c>
      <c r="B580">
        <v>50</v>
      </c>
      <c r="C580">
        <v>30</v>
      </c>
      <c r="D580">
        <v>0</v>
      </c>
      <c r="E580">
        <v>0</v>
      </c>
      <c r="F580">
        <f t="shared" si="121"/>
        <v>80</v>
      </c>
      <c r="G580">
        <f t="shared" si="120"/>
        <v>50</v>
      </c>
      <c r="H580">
        <f t="shared" si="114"/>
        <v>150</v>
      </c>
      <c r="I580">
        <f t="shared" si="115"/>
        <v>0</v>
      </c>
      <c r="J580">
        <f t="shared" si="116"/>
        <v>0</v>
      </c>
      <c r="K580">
        <f t="shared" si="117"/>
        <v>200</v>
      </c>
      <c r="L580">
        <f>G580*Return!B580*100</f>
        <v>-24.9999999999995</v>
      </c>
      <c r="M580">
        <f>H580*Return!C580*100</f>
        <v>293.999999999998</v>
      </c>
      <c r="N580">
        <f>I580*Return!D580*100</f>
        <v>0</v>
      </c>
      <c r="O580">
        <f>J580*Return!E580*100</f>
        <v>0</v>
      </c>
      <c r="P580">
        <f t="shared" si="118"/>
        <v>268.999999999998</v>
      </c>
      <c r="Q580">
        <f>SUM($P$400:P580)</f>
        <v>26454.43</v>
      </c>
      <c r="R580">
        <f>B580*中国_中债国债到期收益率_1年!B579/365*100</f>
        <v>18.2328767123288</v>
      </c>
      <c r="S580">
        <f>C580*中国_中债国债到期收益率_1年!C579/365*100</f>
        <v>13.98</v>
      </c>
      <c r="T580">
        <f>D580*中国_中债国债到期收益率_1年!D579/365*100</f>
        <v>0</v>
      </c>
      <c r="U580">
        <f>E580*中国_中债国债到期收益率_1年!E579/365*100</f>
        <v>0</v>
      </c>
      <c r="V580">
        <f t="shared" si="119"/>
        <v>32.2128767123288</v>
      </c>
      <c r="W580">
        <f>SUM($V$400:V580)</f>
        <v>5890.62608219178</v>
      </c>
      <c r="X580">
        <f>MAX(F580-50,0)*中国_中债国债到期收益率_1年!H580*100/365</f>
        <v>15.6164383561644</v>
      </c>
      <c r="Y580">
        <f>SUM($X$400:X580)</f>
        <v>522.73698630137</v>
      </c>
      <c r="Z580">
        <v>-30</v>
      </c>
      <c r="AA580">
        <v>30</v>
      </c>
      <c r="AB580">
        <f>Z580*Return!F584*100</f>
        <v>21.6000000000003</v>
      </c>
      <c r="AC580">
        <f>AA580*Return!G584*100</f>
        <v>-2.10000000000043</v>
      </c>
      <c r="AD580">
        <f>SUM($AB$400:AB580)+SUM($AC$400:AC580)</f>
        <v>2995.30000000002</v>
      </c>
      <c r="AE580">
        <f t="shared" ref="AE580:AE622" si="122">Q580+W580+AD580-Y580</f>
        <v>34817.6190958904</v>
      </c>
      <c r="AF580">
        <f t="shared" ref="AF580:AF622" si="123">AE580/$AI$1+1</f>
        <v>1.06963523819178</v>
      </c>
      <c r="AG580" s="5">
        <f>(AE580-AE579)/(500000+AE579)-中国_中债国债到期收益率_1年!H580%/252</f>
        <v>0.000495396982836632</v>
      </c>
      <c r="AH580" s="5">
        <f>MIN((AF580-MAX($AF$401:AF580))/MAX($AF$401:AF580),0)</f>
        <v>0</v>
      </c>
    </row>
    <row r="581" spans="1:34">
      <c r="A581" s="9">
        <v>45554</v>
      </c>
      <c r="B581">
        <v>50</v>
      </c>
      <c r="C581">
        <v>30</v>
      </c>
      <c r="D581">
        <v>0</v>
      </c>
      <c r="E581">
        <v>0</v>
      </c>
      <c r="F581">
        <f t="shared" si="121"/>
        <v>80</v>
      </c>
      <c r="G581">
        <f t="shared" si="120"/>
        <v>50</v>
      </c>
      <c r="H581">
        <f t="shared" si="114"/>
        <v>150</v>
      </c>
      <c r="I581">
        <f t="shared" si="115"/>
        <v>0</v>
      </c>
      <c r="J581">
        <f t="shared" si="116"/>
        <v>0</v>
      </c>
      <c r="K581">
        <f t="shared" si="117"/>
        <v>200</v>
      </c>
      <c r="L581">
        <f>G581*Return!B581*100</f>
        <v>-175.000000000001</v>
      </c>
      <c r="M581">
        <f>H581*Return!C581*100</f>
        <v>-311.999999999999</v>
      </c>
      <c r="N581">
        <f>I581*Return!D581*100</f>
        <v>0</v>
      </c>
      <c r="O581">
        <f>J581*Return!E581*100</f>
        <v>0</v>
      </c>
      <c r="P581">
        <f t="shared" si="118"/>
        <v>-487</v>
      </c>
      <c r="Q581">
        <f>SUM($P$400:P581)</f>
        <v>25967.43</v>
      </c>
      <c r="R581">
        <f>B581*中国_中债国债到期收益率_1年!B580/365*100</f>
        <v>18.7123287671233</v>
      </c>
      <c r="S581">
        <f>C581*中国_中债国债到期收益率_1年!C580/365*100</f>
        <v>14.1509589041096</v>
      </c>
      <c r="T581">
        <f>D581*中国_中债国债到期收益率_1年!D580/365*100</f>
        <v>0</v>
      </c>
      <c r="U581">
        <f>E581*中国_中债国债到期收益率_1年!E580/365*100</f>
        <v>0</v>
      </c>
      <c r="V581">
        <f t="shared" si="119"/>
        <v>32.8632876712329</v>
      </c>
      <c r="W581">
        <f>SUM($V$400:V581)</f>
        <v>5923.48936986301</v>
      </c>
      <c r="X581">
        <f>MAX(F581-50,0)*中国_中债国债到期收益率_1年!H581*100/365</f>
        <v>16.4383561643836</v>
      </c>
      <c r="Y581">
        <f>SUM($X$400:X581)</f>
        <v>539.175342465753</v>
      </c>
      <c r="Z581">
        <v>-30</v>
      </c>
      <c r="AA581">
        <v>30</v>
      </c>
      <c r="AB581">
        <f>Z581*Return!F585*100</f>
        <v>-179.4</v>
      </c>
      <c r="AC581">
        <f>AA581*Return!G585*100</f>
        <v>29.7000000000001</v>
      </c>
      <c r="AD581">
        <f>SUM($AB$400:AB581)+SUM($AC$400:AC581)</f>
        <v>2845.60000000002</v>
      </c>
      <c r="AE581">
        <f t="shared" si="122"/>
        <v>34197.3440273973</v>
      </c>
      <c r="AF581">
        <f t="shared" si="123"/>
        <v>1.06839468805479</v>
      </c>
      <c r="AG581" s="5">
        <f>(AE581-AE580)/(500000+AE580)-中国_中债国债到期收益率_1年!H581%/252</f>
        <v>-0.001239153101199</v>
      </c>
      <c r="AH581" s="5">
        <f>MIN((AF581-MAX($AF$401:AF581))/MAX($AF$401:AF581),0)</f>
        <v>-0.00115978802183394</v>
      </c>
    </row>
    <row r="582" spans="1:34">
      <c r="A582" s="9">
        <v>45555</v>
      </c>
      <c r="B582">
        <v>50</v>
      </c>
      <c r="C582">
        <v>30</v>
      </c>
      <c r="D582">
        <v>0</v>
      </c>
      <c r="E582">
        <v>0</v>
      </c>
      <c r="F582">
        <f t="shared" si="121"/>
        <v>80</v>
      </c>
      <c r="G582">
        <f t="shared" si="120"/>
        <v>50</v>
      </c>
      <c r="H582">
        <f t="shared" si="114"/>
        <v>150</v>
      </c>
      <c r="I582">
        <f t="shared" si="115"/>
        <v>0</v>
      </c>
      <c r="J582">
        <f t="shared" si="116"/>
        <v>0</v>
      </c>
      <c r="K582">
        <f t="shared" si="117"/>
        <v>200</v>
      </c>
      <c r="L582">
        <f>G582*Return!B582*100</f>
        <v>-125</v>
      </c>
      <c r="M582">
        <f>H582*Return!C582*100</f>
        <v>-291.000000000001</v>
      </c>
      <c r="N582">
        <f>I582*Return!D582*100</f>
        <v>0</v>
      </c>
      <c r="O582">
        <f>J582*Return!E582*100</f>
        <v>0</v>
      </c>
      <c r="P582">
        <f t="shared" si="118"/>
        <v>-416.000000000001</v>
      </c>
      <c r="Q582">
        <f>SUM($P$400:P582)</f>
        <v>25551.43</v>
      </c>
      <c r="R582">
        <f>B582*中国_中债国债到期收益率_1年!B581/365*100</f>
        <v>19.0547945205479</v>
      </c>
      <c r="S582">
        <f>C582*中国_中债国债到期收益率_1年!C581/365*100</f>
        <v>14.3104109589041</v>
      </c>
      <c r="T582">
        <f>D582*中国_中债国债到期收益率_1年!D581/365*100</f>
        <v>0</v>
      </c>
      <c r="U582">
        <f>E582*中国_中债国债到期收益率_1年!E581/365*100</f>
        <v>0</v>
      </c>
      <c r="V582">
        <f t="shared" si="119"/>
        <v>33.3652054794521</v>
      </c>
      <c r="W582">
        <f>SUM($V$400:V582)</f>
        <v>5956.85457534246</v>
      </c>
      <c r="X582">
        <f>MAX(F582-50,0)*中国_中债国债到期收益率_1年!H582*100/365</f>
        <v>16.4383561643836</v>
      </c>
      <c r="Y582">
        <f>SUM($X$400:X582)</f>
        <v>555.613698630137</v>
      </c>
      <c r="Z582">
        <v>-30</v>
      </c>
      <c r="AA582">
        <v>30</v>
      </c>
      <c r="AB582">
        <f>Z582*Return!F586*100</f>
        <v>-126</v>
      </c>
      <c r="AC582">
        <f>AA582*Return!G586*100</f>
        <v>29.4000000000001</v>
      </c>
      <c r="AD582">
        <f>SUM($AB$400:AB582)+SUM($AC$400:AC582)</f>
        <v>2749.00000000002</v>
      </c>
      <c r="AE582">
        <f t="shared" si="122"/>
        <v>33701.6708767123</v>
      </c>
      <c r="AF582">
        <f t="shared" si="123"/>
        <v>1.06740334175342</v>
      </c>
      <c r="AG582" s="5">
        <f>(AE582-AE581)/(500000+AE581)-中国_中债国债到期收益率_1年!H582%/252</f>
        <v>-0.0010072490462676</v>
      </c>
      <c r="AH582" s="5">
        <f>MIN((AF582-MAX($AF$401:AF582))/MAX($AF$401:AF582),0)</f>
        <v>-0.0020865958400259</v>
      </c>
    </row>
    <row r="583" spans="1:34">
      <c r="A583" s="9">
        <v>45558</v>
      </c>
      <c r="B583">
        <v>50</v>
      </c>
      <c r="C583">
        <v>30</v>
      </c>
      <c r="D583">
        <v>0</v>
      </c>
      <c r="E583">
        <v>0</v>
      </c>
      <c r="F583">
        <f t="shared" si="121"/>
        <v>80</v>
      </c>
      <c r="G583">
        <f t="shared" si="120"/>
        <v>50</v>
      </c>
      <c r="H583">
        <f t="shared" si="114"/>
        <v>150</v>
      </c>
      <c r="I583">
        <f t="shared" si="115"/>
        <v>0</v>
      </c>
      <c r="J583">
        <f t="shared" si="116"/>
        <v>0</v>
      </c>
      <c r="K583">
        <f t="shared" si="117"/>
        <v>200</v>
      </c>
      <c r="L583">
        <f>G583*Return!B583*100</f>
        <v>0</v>
      </c>
      <c r="M583">
        <f>H583*Return!C583*100</f>
        <v>195.000000000002</v>
      </c>
      <c r="N583">
        <f>I583*Return!D583*100</f>
        <v>0</v>
      </c>
      <c r="O583">
        <f>J583*Return!E583*100</f>
        <v>0</v>
      </c>
      <c r="P583">
        <f t="shared" si="118"/>
        <v>195.000000000002</v>
      </c>
      <c r="Q583">
        <f>SUM($P$400:P583)</f>
        <v>25746.43</v>
      </c>
      <c r="R583">
        <f>B583*中国_中债国债到期收益率_1年!B582/365*100</f>
        <v>19.0547945205479</v>
      </c>
      <c r="S583">
        <f>C583*中国_中债国债到期收益率_1年!C582/365*100</f>
        <v>14.2035616438356</v>
      </c>
      <c r="T583">
        <f>D583*中国_中债国债到期收益率_1年!D582/365*100</f>
        <v>0</v>
      </c>
      <c r="U583">
        <f>E583*中国_中债国债到期收益率_1年!E582/365*100</f>
        <v>0</v>
      </c>
      <c r="V583">
        <f t="shared" si="119"/>
        <v>33.2583561643836</v>
      </c>
      <c r="W583">
        <f>SUM($V$400:V583)</f>
        <v>5990.11293150685</v>
      </c>
      <c r="X583">
        <f>MAX(F583-50,0)*中国_中债国债到期收益率_1年!H583*100/365</f>
        <v>16.4383561643836</v>
      </c>
      <c r="Y583">
        <f>SUM($X$400:X583)</f>
        <v>572.052054794521</v>
      </c>
      <c r="Z583">
        <v>-30</v>
      </c>
      <c r="AA583">
        <v>30</v>
      </c>
      <c r="AB583">
        <f>Z583*Return!F587*100</f>
        <v>-39.5999999999996</v>
      </c>
      <c r="AC583">
        <f>AA583*Return!G587*100</f>
        <v>19.8000000000005</v>
      </c>
      <c r="AD583">
        <f>SUM($AB$400:AB583)+SUM($AC$400:AC583)</f>
        <v>2729.20000000002</v>
      </c>
      <c r="AE583">
        <f t="shared" si="122"/>
        <v>33893.6908767124</v>
      </c>
      <c r="AF583">
        <f t="shared" si="123"/>
        <v>1.06778738175342</v>
      </c>
      <c r="AG583" s="5">
        <f>(AE583-AE582)/(500000+AE582)-中国_中债国债到期收益率_1年!H583%/252</f>
        <v>0.000280423938504347</v>
      </c>
      <c r="AH583" s="5">
        <f>MIN((AF583-MAX($AF$401:AF583))/MAX($AF$401:AF583),0)</f>
        <v>-0.00172755755642453</v>
      </c>
    </row>
    <row r="584" spans="1:34">
      <c r="A584" s="9">
        <v>45559</v>
      </c>
      <c r="B584">
        <v>50</v>
      </c>
      <c r="C584">
        <v>30</v>
      </c>
      <c r="D584">
        <v>0</v>
      </c>
      <c r="E584">
        <v>0</v>
      </c>
      <c r="F584">
        <f t="shared" si="121"/>
        <v>80</v>
      </c>
      <c r="G584">
        <f t="shared" si="120"/>
        <v>50</v>
      </c>
      <c r="H584">
        <f t="shared" si="114"/>
        <v>150</v>
      </c>
      <c r="I584">
        <f t="shared" si="115"/>
        <v>0</v>
      </c>
      <c r="J584">
        <f t="shared" si="116"/>
        <v>0</v>
      </c>
      <c r="K584">
        <f t="shared" si="117"/>
        <v>200</v>
      </c>
      <c r="L584">
        <f>G584*Return!B584*100</f>
        <v>15.5000000000005</v>
      </c>
      <c r="M584">
        <f>H584*Return!C584*100</f>
        <v>-49.5000000000012</v>
      </c>
      <c r="N584">
        <f>I584*Return!D584*100</f>
        <v>0</v>
      </c>
      <c r="O584">
        <f>J584*Return!E584*100</f>
        <v>0</v>
      </c>
      <c r="P584">
        <f t="shared" si="118"/>
        <v>-34.0000000000007</v>
      </c>
      <c r="Q584">
        <f>SUM($P$400:P584)</f>
        <v>25712.43</v>
      </c>
      <c r="R584">
        <f>B584*中国_中债国债到期收益率_1年!B583/365*100</f>
        <v>19.0123287671233</v>
      </c>
      <c r="S584">
        <f>C584*中国_中债国债到期收益率_1年!C583/365*100</f>
        <v>14.2306849315068</v>
      </c>
      <c r="T584">
        <f>D584*中国_中债国债到期收益率_1年!D583/365*100</f>
        <v>0</v>
      </c>
      <c r="U584">
        <f>E584*中国_中债国债到期收益率_1年!E583/365*100</f>
        <v>0</v>
      </c>
      <c r="V584">
        <f t="shared" si="119"/>
        <v>33.2430136986301</v>
      </c>
      <c r="W584">
        <f>SUM($V$400:V584)</f>
        <v>6023.35594520548</v>
      </c>
      <c r="X584">
        <f>MAX(F584-50,0)*中国_中债国债到期收益率_1年!H584*100/365</f>
        <v>16.8493150684931</v>
      </c>
      <c r="Y584">
        <f>SUM($X$400:X584)</f>
        <v>588.901369863014</v>
      </c>
      <c r="Z584">
        <v>-30</v>
      </c>
      <c r="AA584">
        <v>30</v>
      </c>
      <c r="AB584">
        <f>Z584*Return!F588*100</f>
        <v>2.39999999999974</v>
      </c>
      <c r="AC584">
        <f>AA584*Return!G588*100</f>
        <v>-257.7</v>
      </c>
      <c r="AD584">
        <f>SUM($AB$400:AB584)+SUM($AC$400:AC584)</f>
        <v>2473.90000000002</v>
      </c>
      <c r="AE584">
        <f t="shared" si="122"/>
        <v>33620.7845753425</v>
      </c>
      <c r="AF584">
        <f t="shared" si="123"/>
        <v>1.06724156915068</v>
      </c>
      <c r="AG584" s="5">
        <f>(AE584-AE583)/(500000+AE583)-中国_中债国债到期收益率_1年!H584%/252</f>
        <v>-0.000592511458373062</v>
      </c>
      <c r="AH584" s="5">
        <f>MIN((AF584-MAX($AF$401:AF584))/MAX($AF$401:AF584),0)</f>
        <v>-0.00223783674623739</v>
      </c>
    </row>
    <row r="585" spans="1:34">
      <c r="A585" s="9">
        <v>45560</v>
      </c>
      <c r="B585">
        <v>50</v>
      </c>
      <c r="C585">
        <v>30</v>
      </c>
      <c r="D585">
        <v>0</v>
      </c>
      <c r="E585">
        <v>0</v>
      </c>
      <c r="F585">
        <f t="shared" si="121"/>
        <v>80</v>
      </c>
      <c r="G585">
        <f t="shared" si="120"/>
        <v>50</v>
      </c>
      <c r="H585">
        <f t="shared" si="114"/>
        <v>150</v>
      </c>
      <c r="I585">
        <f t="shared" si="115"/>
        <v>0</v>
      </c>
      <c r="J585">
        <f t="shared" si="116"/>
        <v>0</v>
      </c>
      <c r="K585">
        <f t="shared" si="117"/>
        <v>200</v>
      </c>
      <c r="L585">
        <f>G585*Return!B585*100</f>
        <v>-150</v>
      </c>
      <c r="M585">
        <f>H585*Return!C585*100</f>
        <v>-310.499999999999</v>
      </c>
      <c r="N585">
        <f>I585*Return!D585*100</f>
        <v>0</v>
      </c>
      <c r="O585">
        <f>J585*Return!E585*100</f>
        <v>0</v>
      </c>
      <c r="P585">
        <f t="shared" si="118"/>
        <v>-460.499999999999</v>
      </c>
      <c r="Q585">
        <f>SUM($P$400:P585)</f>
        <v>25251.93</v>
      </c>
      <c r="R585">
        <f>B585*中国_中债国债到期收益率_1年!B584/365*100</f>
        <v>19.4232876712329</v>
      </c>
      <c r="S585">
        <f>C585*中国_中债国债到期收益率_1年!C584/365*100</f>
        <v>14.4008219178082</v>
      </c>
      <c r="T585">
        <f>D585*中国_中债国债到期收益率_1年!D584/365*100</f>
        <v>0</v>
      </c>
      <c r="U585">
        <f>E585*中国_中债国债到期收益率_1年!E584/365*100</f>
        <v>0</v>
      </c>
      <c r="V585">
        <f t="shared" si="119"/>
        <v>33.8241095890411</v>
      </c>
      <c r="W585">
        <f>SUM($V$400:V585)</f>
        <v>6057.18005479452</v>
      </c>
      <c r="X585">
        <f>MAX(F585-50,0)*中国_中债国债到期收益率_1年!H585*100/365</f>
        <v>16.4383561643836</v>
      </c>
      <c r="Y585">
        <f>SUM($X$400:X585)</f>
        <v>605.339726027397</v>
      </c>
      <c r="Z585">
        <v>-30</v>
      </c>
      <c r="AA585">
        <v>30</v>
      </c>
      <c r="AB585">
        <f>Z585*Return!F589*100</f>
        <v>144.3</v>
      </c>
      <c r="AC585">
        <f>AA585*Return!G589*100</f>
        <v>-381</v>
      </c>
      <c r="AD585">
        <f>SUM($AB$400:AB585)+SUM($AC$400:AC585)</f>
        <v>2237.20000000002</v>
      </c>
      <c r="AE585">
        <f t="shared" si="122"/>
        <v>32940.9703287671</v>
      </c>
      <c r="AF585">
        <f t="shared" si="123"/>
        <v>1.06588194065753</v>
      </c>
      <c r="AG585" s="5">
        <f>(AE585-AE584)/(500000+AE584)-中国_中债国债到期收益率_1年!H585%/252</f>
        <v>-0.00135333016135929</v>
      </c>
      <c r="AH585" s="5">
        <f>MIN((AF585-MAX($AF$401:AF585))/MAX($AF$401:AF585),0)</f>
        <v>-0.00350895090235754</v>
      </c>
    </row>
    <row r="586" spans="1:34">
      <c r="A586" s="9">
        <v>45561</v>
      </c>
      <c r="B586">
        <v>30</v>
      </c>
      <c r="C586">
        <v>30</v>
      </c>
      <c r="D586">
        <v>0</v>
      </c>
      <c r="E586">
        <v>0</v>
      </c>
      <c r="F586">
        <f t="shared" si="121"/>
        <v>60</v>
      </c>
      <c r="G586">
        <f t="shared" si="120"/>
        <v>30</v>
      </c>
      <c r="H586">
        <f t="shared" si="114"/>
        <v>150</v>
      </c>
      <c r="I586">
        <f t="shared" si="115"/>
        <v>0</v>
      </c>
      <c r="J586">
        <f t="shared" si="116"/>
        <v>0</v>
      </c>
      <c r="K586">
        <f t="shared" si="117"/>
        <v>180</v>
      </c>
      <c r="L586">
        <f>G586*Return!B586*100</f>
        <v>90.0000000000001</v>
      </c>
      <c r="M586">
        <f>H586*Return!C586*100</f>
        <v>789</v>
      </c>
      <c r="N586">
        <f>I586*Return!D586*100</f>
        <v>0</v>
      </c>
      <c r="O586">
        <f>J586*Return!E586*100</f>
        <v>0</v>
      </c>
      <c r="P586">
        <f t="shared" si="118"/>
        <v>879</v>
      </c>
      <c r="Q586">
        <f>SUM($P$400:P586)</f>
        <v>26130.93</v>
      </c>
      <c r="R586">
        <f>B586*中国_中债国债到期收益率_1年!B585/365*100</f>
        <v>11.407397260274</v>
      </c>
      <c r="S586">
        <f>C586*中国_中债国债到期收益率_1年!C585/365*100</f>
        <v>13.9684931506849</v>
      </c>
      <c r="T586">
        <f>D586*中国_中债国债到期收益率_1年!D585/365*100</f>
        <v>0</v>
      </c>
      <c r="U586">
        <f>E586*中国_中债国债到期收益率_1年!E585/365*100</f>
        <v>0</v>
      </c>
      <c r="V586">
        <f t="shared" si="119"/>
        <v>25.3758904109589</v>
      </c>
      <c r="W586">
        <f>SUM($V$400:V586)</f>
        <v>6082.55594520548</v>
      </c>
      <c r="X586">
        <f>MAX(F586-50,0)*中国_中债国债到期收益率_1年!H586*100/365</f>
        <v>5.61643835616438</v>
      </c>
      <c r="Y586">
        <f>SUM($X$400:X586)</f>
        <v>610.956164383562</v>
      </c>
      <c r="Z586">
        <v>-50</v>
      </c>
      <c r="AA586">
        <v>50</v>
      </c>
      <c r="AB586">
        <f>Z586*Return!F590*100</f>
        <v>-90.5</v>
      </c>
      <c r="AC586">
        <f>AA586*Return!G590*100</f>
        <v>249.5</v>
      </c>
      <c r="AD586">
        <f>SUM($AB$400:AB586)+SUM($AC$400:AC586)</f>
        <v>2396.20000000002</v>
      </c>
      <c r="AE586">
        <f t="shared" si="122"/>
        <v>33998.7297808219</v>
      </c>
      <c r="AF586">
        <f t="shared" si="123"/>
        <v>1.06799745956164</v>
      </c>
      <c r="AG586" s="5">
        <f>(AE586-AE585)/(500000+AE585)-中国_中债国债到期收益率_1年!H586%/252</f>
        <v>0.00190340991510147</v>
      </c>
      <c r="AH586" s="5">
        <f>MIN((AF586-MAX($AF$401:AF586))/MAX($AF$401:AF586),0)</f>
        <v>-0.00153115620321708</v>
      </c>
    </row>
    <row r="587" spans="1:34">
      <c r="A587" s="9">
        <v>45562</v>
      </c>
      <c r="B587">
        <v>30</v>
      </c>
      <c r="C587">
        <v>30</v>
      </c>
      <c r="D587">
        <v>0</v>
      </c>
      <c r="E587">
        <v>0</v>
      </c>
      <c r="F587">
        <f t="shared" si="121"/>
        <v>60</v>
      </c>
      <c r="G587">
        <f t="shared" si="120"/>
        <v>30</v>
      </c>
      <c r="H587">
        <f t="shared" si="114"/>
        <v>150</v>
      </c>
      <c r="I587">
        <f t="shared" si="115"/>
        <v>0</v>
      </c>
      <c r="J587">
        <f t="shared" si="116"/>
        <v>0</v>
      </c>
      <c r="K587">
        <f t="shared" si="117"/>
        <v>180</v>
      </c>
      <c r="L587">
        <f>G587*Return!B587*100</f>
        <v>-45.0000000000004</v>
      </c>
      <c r="M587">
        <f>H587*Return!C587*100</f>
        <v>-481.5</v>
      </c>
      <c r="N587">
        <f>I587*Return!D587*100</f>
        <v>0</v>
      </c>
      <c r="O587">
        <f>J587*Return!E587*100</f>
        <v>0</v>
      </c>
      <c r="P587">
        <f t="shared" si="118"/>
        <v>-526.500000000001</v>
      </c>
      <c r="Q587">
        <f>SUM($P$400:P587)</f>
        <v>25604.43</v>
      </c>
      <c r="R587">
        <f>B587*中国_中债国债到期收益率_1年!B586/365*100</f>
        <v>11.5306849315068</v>
      </c>
      <c r="S587">
        <f>C587*中国_中债国债到期收益率_1年!C586/365*100</f>
        <v>14.2323287671233</v>
      </c>
      <c r="T587">
        <f>D587*中国_中债国债到期收益率_1年!D586/365*100</f>
        <v>0</v>
      </c>
      <c r="U587">
        <f>E587*中国_中债国债到期收益率_1年!E586/365*100</f>
        <v>0</v>
      </c>
      <c r="V587">
        <f t="shared" si="119"/>
        <v>25.7630136986301</v>
      </c>
      <c r="W587">
        <f>SUM($V$400:V587)</f>
        <v>6108.31895890411</v>
      </c>
      <c r="X587">
        <f>MAX(F587-50,0)*中国_中债国债到期收益率_1年!H587*100/365</f>
        <v>5.20547945205479</v>
      </c>
      <c r="Y587">
        <f>SUM($X$400:X587)</f>
        <v>616.161643835616</v>
      </c>
      <c r="Z587">
        <v>-50</v>
      </c>
      <c r="AA587">
        <v>50</v>
      </c>
      <c r="AB587">
        <f>Z587*Return!F591*100</f>
        <v>112</v>
      </c>
      <c r="AC587">
        <f>AA587*Return!G591*100</f>
        <v>-0.99999999999989</v>
      </c>
      <c r="AD587">
        <f>SUM($AB$400:AB587)+SUM($AC$400:AC587)</f>
        <v>2507.20000000002</v>
      </c>
      <c r="AE587">
        <f t="shared" si="122"/>
        <v>33603.7873150685</v>
      </c>
      <c r="AF587">
        <f t="shared" si="123"/>
        <v>1.06720757463014</v>
      </c>
      <c r="AG587" s="5">
        <f>(AE587-AE586)/(500000+AE586)-中国_中债国债到期收益率_1年!H587%/252</f>
        <v>-0.000814991217157871</v>
      </c>
      <c r="AH587" s="5">
        <f>MIN((AF587-MAX($AF$401:AF587))/MAX($AF$401:AF587),0)</f>
        <v>-0.00226961816043736</v>
      </c>
    </row>
    <row r="588" spans="1:34">
      <c r="A588" s="9">
        <v>45564</v>
      </c>
      <c r="B588">
        <v>30</v>
      </c>
      <c r="C588">
        <v>30</v>
      </c>
      <c r="D588">
        <v>0</v>
      </c>
      <c r="E588">
        <v>0</v>
      </c>
      <c r="F588">
        <f t="shared" si="121"/>
        <v>60</v>
      </c>
      <c r="G588">
        <f t="shared" si="120"/>
        <v>30</v>
      </c>
      <c r="H588">
        <f t="shared" si="114"/>
        <v>150</v>
      </c>
      <c r="I588">
        <f t="shared" si="115"/>
        <v>0</v>
      </c>
      <c r="J588">
        <f t="shared" si="116"/>
        <v>0</v>
      </c>
      <c r="K588">
        <f t="shared" si="117"/>
        <v>180</v>
      </c>
      <c r="L588">
        <f>G588*Return!B588*100</f>
        <v>-105</v>
      </c>
      <c r="M588">
        <f>H588*Return!C588*100</f>
        <v>-1494</v>
      </c>
      <c r="N588">
        <f>I588*Return!D588*100</f>
        <v>0</v>
      </c>
      <c r="O588">
        <f>J588*Return!E588*100</f>
        <v>0</v>
      </c>
      <c r="P588">
        <f t="shared" si="118"/>
        <v>-1599</v>
      </c>
      <c r="Q588">
        <f>SUM($P$400:P588)</f>
        <v>24005.43</v>
      </c>
      <c r="R588">
        <f>B588*中国_中债国债到期收益率_1年!B587/365*100</f>
        <v>11.8183561643836</v>
      </c>
      <c r="S588">
        <f>C588*中国_中债国债到期收益率_1年!C587/365*100</f>
        <v>15.0509589041096</v>
      </c>
      <c r="T588">
        <f>D588*中国_中债国债到期收益率_1年!D587/365*100</f>
        <v>0</v>
      </c>
      <c r="U588">
        <f>E588*中国_中债国债到期收益率_1年!E587/365*100</f>
        <v>0</v>
      </c>
      <c r="V588">
        <f t="shared" si="119"/>
        <v>26.8693150684932</v>
      </c>
      <c r="W588">
        <f>SUM($V$400:V588)</f>
        <v>6135.1882739726</v>
      </c>
      <c r="X588">
        <f>MAX(F588-50,0)*中国_中债国债到期收益率_1年!H588*100/365</f>
        <v>4.93150684931507</v>
      </c>
      <c r="Y588">
        <f>SUM($X$400:X588)</f>
        <v>621.093150684932</v>
      </c>
      <c r="Z588">
        <v>-50</v>
      </c>
      <c r="AA588">
        <v>50</v>
      </c>
      <c r="AB588">
        <f>Z588*Return!F592*100</f>
        <v>235.5</v>
      </c>
      <c r="AC588">
        <f>AA588*Return!G592*100</f>
        <v>-29.0000000000001</v>
      </c>
      <c r="AD588">
        <f>SUM($AB$400:AB588)+SUM($AC$400:AC588)</f>
        <v>2713.70000000002</v>
      </c>
      <c r="AE588">
        <f t="shared" si="122"/>
        <v>32233.2251232877</v>
      </c>
      <c r="AF588">
        <f t="shared" si="123"/>
        <v>1.06446645024658</v>
      </c>
      <c r="AG588" s="5">
        <f>(AE588-AE587)/(500000+AE587)-中国_中债国债到期收益率_1年!H588%/252</f>
        <v>-0.00263993019072381</v>
      </c>
      <c r="AH588" s="5">
        <f>MIN((AF588-MAX($AF$401:AF588))/MAX($AF$401:AF588),0)</f>
        <v>-0.00483229026181225</v>
      </c>
    </row>
    <row r="589" spans="1:34">
      <c r="A589" s="9">
        <v>45565</v>
      </c>
      <c r="B589">
        <v>30</v>
      </c>
      <c r="C589">
        <v>30</v>
      </c>
      <c r="D589">
        <v>0</v>
      </c>
      <c r="E589">
        <v>0</v>
      </c>
      <c r="F589">
        <f t="shared" si="121"/>
        <v>60</v>
      </c>
      <c r="G589">
        <f t="shared" si="120"/>
        <v>30</v>
      </c>
      <c r="H589">
        <f t="shared" si="114"/>
        <v>150</v>
      </c>
      <c r="I589">
        <f t="shared" si="115"/>
        <v>0</v>
      </c>
      <c r="J589">
        <f t="shared" si="116"/>
        <v>0</v>
      </c>
      <c r="K589">
        <f t="shared" si="117"/>
        <v>180</v>
      </c>
      <c r="L589">
        <f>G589*Return!B589*100</f>
        <v>0</v>
      </c>
      <c r="M589">
        <f>H589*Return!C589*100</f>
        <v>-1500</v>
      </c>
      <c r="N589">
        <f>I589*Return!D589*100</f>
        <v>0</v>
      </c>
      <c r="O589">
        <f>J589*Return!E589*100</f>
        <v>0</v>
      </c>
      <c r="P589">
        <f t="shared" si="118"/>
        <v>-1500</v>
      </c>
      <c r="Q589">
        <f>SUM($P$400:P589)</f>
        <v>22505.43</v>
      </c>
      <c r="R589">
        <f>B589*中国_中债国债到期收益率_1年!B588/365*100</f>
        <v>11.8183561643836</v>
      </c>
      <c r="S589">
        <f>C589*中国_中债国债到期收益率_1年!C588/365*100</f>
        <v>15.8728767123288</v>
      </c>
      <c r="T589">
        <f>D589*中国_中债国债到期收益率_1年!D588/365*100</f>
        <v>0</v>
      </c>
      <c r="U589">
        <f>E589*中国_中债国债到期收益率_1年!E588/365*100</f>
        <v>0</v>
      </c>
      <c r="V589">
        <f t="shared" si="119"/>
        <v>27.6912328767123</v>
      </c>
      <c r="W589">
        <f>SUM($V$400:V589)</f>
        <v>6162.87950684931</v>
      </c>
      <c r="X589">
        <f>MAX(F589-50,0)*中国_中债国债到期收益率_1年!H589*100/365</f>
        <v>6.57534246575342</v>
      </c>
      <c r="Y589">
        <f>SUM($X$400:X589)</f>
        <v>627.668493150685</v>
      </c>
      <c r="Z589">
        <v>-50</v>
      </c>
      <c r="AA589">
        <v>50</v>
      </c>
      <c r="AB589">
        <f>Z589*Return!F593*100</f>
        <v>-120.5</v>
      </c>
      <c r="AC589">
        <f>AA589*Return!G593*100</f>
        <v>256.999999999999</v>
      </c>
      <c r="AD589">
        <f>SUM($AB$400:AB589)+SUM($AC$400:AC589)</f>
        <v>2850.20000000002</v>
      </c>
      <c r="AE589">
        <f t="shared" si="122"/>
        <v>30890.8410136986</v>
      </c>
      <c r="AF589">
        <f t="shared" si="123"/>
        <v>1.0617816820274</v>
      </c>
      <c r="AG589" s="5">
        <f>(AE589-AE588)/(500000+AE588)-中国_中债国债到期收益率_1年!H589%/252</f>
        <v>-0.00261741079364131</v>
      </c>
      <c r="AH589" s="5">
        <f>MIN((AF589-MAX($AF$401:AF589))/MAX($AF$401:AF589),0)</f>
        <v>-0.00734227508964644</v>
      </c>
    </row>
    <row r="590" spans="1:34">
      <c r="A590" s="9">
        <v>45573</v>
      </c>
      <c r="B590">
        <v>10</v>
      </c>
      <c r="C590">
        <v>30</v>
      </c>
      <c r="D590">
        <v>0</v>
      </c>
      <c r="E590">
        <v>0</v>
      </c>
      <c r="F590">
        <f t="shared" si="121"/>
        <v>40</v>
      </c>
      <c r="G590">
        <f t="shared" si="120"/>
        <v>10</v>
      </c>
      <c r="H590">
        <f t="shared" si="114"/>
        <v>150</v>
      </c>
      <c r="I590">
        <f t="shared" si="115"/>
        <v>0</v>
      </c>
      <c r="J590">
        <f t="shared" si="116"/>
        <v>0</v>
      </c>
      <c r="K590">
        <f t="shared" si="117"/>
        <v>160</v>
      </c>
      <c r="L590">
        <f>G590*Return!B590*100</f>
        <v>70.0000000000001</v>
      </c>
      <c r="M590">
        <f>H590*Return!C590*100</f>
        <v>1386</v>
      </c>
      <c r="N590">
        <f>I590*Return!D590*100</f>
        <v>0</v>
      </c>
      <c r="O590">
        <f>J590*Return!E590*100</f>
        <v>0</v>
      </c>
      <c r="P590">
        <f t="shared" si="118"/>
        <v>1456</v>
      </c>
      <c r="Q590">
        <f>SUM($P$400:P590)</f>
        <v>23961.43</v>
      </c>
      <c r="R590">
        <f>B590*中国_中债国债到期收益率_1年!B589/365*100</f>
        <v>3.74767123287671</v>
      </c>
      <c r="S590">
        <f>C590*中国_中债国债到期收益率_1年!C589/365*100</f>
        <v>15.1134246575342</v>
      </c>
      <c r="T590">
        <f>D590*中国_中债国债到期收益率_1年!D589/365*100</f>
        <v>0</v>
      </c>
      <c r="U590">
        <f>E590*中国_中债国债到期收益率_1年!E589/365*100</f>
        <v>0</v>
      </c>
      <c r="V590">
        <f t="shared" si="119"/>
        <v>18.861095890411</v>
      </c>
      <c r="W590">
        <f>SUM($V$400:V590)</f>
        <v>6181.74060273972</v>
      </c>
      <c r="X590">
        <f>MAX(F590-50,0)*中国_中债国债到期收益率_1年!H590*100/365</f>
        <v>0</v>
      </c>
      <c r="Y590">
        <f>SUM($X$400:X590)</f>
        <v>627.668493150685</v>
      </c>
      <c r="Z590">
        <v>-50</v>
      </c>
      <c r="AA590">
        <v>50</v>
      </c>
      <c r="AB590">
        <f>Z590*Return!F594*100</f>
        <v>-167.999999999999</v>
      </c>
      <c r="AC590">
        <f>AA590*Return!G594*100</f>
        <v>135.500000000001</v>
      </c>
      <c r="AD590">
        <f>SUM($AB$400:AB590)+SUM($AC$400:AC590)</f>
        <v>2817.70000000002</v>
      </c>
      <c r="AE590">
        <f t="shared" si="122"/>
        <v>32333.2021095891</v>
      </c>
      <c r="AF590">
        <f t="shared" si="123"/>
        <v>1.06466640421918</v>
      </c>
      <c r="AG590" s="5">
        <f>(AE590-AE589)/(500000+AE589)-中国_中债国债到期收益率_1年!H590%/252</f>
        <v>0.00264147260323435</v>
      </c>
      <c r="AH590" s="5">
        <f>MIN((AF590-MAX($AF$401:AF590))/MAX($AF$401:AF590),0)</f>
        <v>-0.00464535366374303</v>
      </c>
    </row>
    <row r="591" spans="1:34">
      <c r="A591" s="9">
        <v>45574</v>
      </c>
      <c r="B591">
        <v>10</v>
      </c>
      <c r="C591">
        <v>30</v>
      </c>
      <c r="D591">
        <v>0</v>
      </c>
      <c r="E591">
        <v>0</v>
      </c>
      <c r="F591">
        <f t="shared" si="121"/>
        <v>40</v>
      </c>
      <c r="G591">
        <f t="shared" si="120"/>
        <v>10</v>
      </c>
      <c r="H591">
        <f t="shared" si="114"/>
        <v>150</v>
      </c>
      <c r="I591">
        <f t="shared" si="115"/>
        <v>0</v>
      </c>
      <c r="J591">
        <f t="shared" si="116"/>
        <v>0</v>
      </c>
      <c r="K591">
        <f t="shared" si="117"/>
        <v>160</v>
      </c>
      <c r="L591">
        <f>G591*Return!B591*100</f>
        <v>-5.00000000000012</v>
      </c>
      <c r="M591">
        <f>H591*Return!C591*100</f>
        <v>-1077</v>
      </c>
      <c r="N591">
        <f>I591*Return!D591*100</f>
        <v>0</v>
      </c>
      <c r="O591">
        <f>J591*Return!E591*100</f>
        <v>0</v>
      </c>
      <c r="P591">
        <f t="shared" si="118"/>
        <v>-1082</v>
      </c>
      <c r="Q591">
        <f>SUM($P$400:P591)</f>
        <v>22879.43</v>
      </c>
      <c r="R591">
        <f>B591*中国_中债国债到期收益率_1年!B590/365*100</f>
        <v>3.7613698630137</v>
      </c>
      <c r="S591">
        <f>C591*中国_中债国债到期收益率_1年!C590/365*100</f>
        <v>15.7035616438356</v>
      </c>
      <c r="T591">
        <f>D591*中国_中债国债到期收益率_1年!D590/365*100</f>
        <v>0</v>
      </c>
      <c r="U591">
        <f>E591*中国_中债国债到期收益率_1年!E590/365*100</f>
        <v>0</v>
      </c>
      <c r="V591">
        <f t="shared" si="119"/>
        <v>19.4649315068493</v>
      </c>
      <c r="W591">
        <f>SUM($V$400:V591)</f>
        <v>6201.20553424657</v>
      </c>
      <c r="X591">
        <f>MAX(F591-50,0)*中国_中债国债到期收益率_1年!H591*100/365</f>
        <v>0</v>
      </c>
      <c r="Y591">
        <f>SUM($X$400:X591)</f>
        <v>627.668493150685</v>
      </c>
      <c r="Z591">
        <v>-100</v>
      </c>
      <c r="AA591">
        <v>100</v>
      </c>
      <c r="AB591">
        <f>Z591*Return!F595*100</f>
        <v>87.9999999999992</v>
      </c>
      <c r="AC591">
        <f>AA591*Return!G595*100</f>
        <v>-129.000000000001</v>
      </c>
      <c r="AD591">
        <f>SUM($AB$400:AB591)+SUM($AC$400:AC591)</f>
        <v>2776.70000000002</v>
      </c>
      <c r="AE591">
        <f t="shared" si="122"/>
        <v>31229.6670410959</v>
      </c>
      <c r="AF591">
        <f t="shared" si="123"/>
        <v>1.06245933408219</v>
      </c>
      <c r="AG591" s="5">
        <f>(AE591-AE590)/(500000+AE590)-中国_中债国债到期收益率_1年!H591%/252</f>
        <v>-0.00215436487420525</v>
      </c>
      <c r="AH591" s="5">
        <f>MIN((AF591-MAX($AF$401:AF591))/MAX($AF$401:AF591),0)</f>
        <v>-0.00670873944067138</v>
      </c>
    </row>
    <row r="592" spans="1:34">
      <c r="A592" s="9">
        <v>45575</v>
      </c>
      <c r="B592">
        <v>10</v>
      </c>
      <c r="C592">
        <v>30</v>
      </c>
      <c r="D592">
        <v>10</v>
      </c>
      <c r="E592">
        <v>10</v>
      </c>
      <c r="F592">
        <f t="shared" si="121"/>
        <v>60</v>
      </c>
      <c r="G592">
        <f t="shared" si="120"/>
        <v>10</v>
      </c>
      <c r="H592">
        <f t="shared" si="114"/>
        <v>150</v>
      </c>
      <c r="I592">
        <f t="shared" si="115"/>
        <v>90</v>
      </c>
      <c r="J592">
        <f t="shared" si="116"/>
        <v>160</v>
      </c>
      <c r="K592">
        <f t="shared" si="117"/>
        <v>410</v>
      </c>
      <c r="L592">
        <f>G592*Return!B592*100</f>
        <v>-54.9999999999999</v>
      </c>
      <c r="M592">
        <f>H592*Return!C592*100</f>
        <v>330</v>
      </c>
      <c r="N592">
        <f>I592*Return!D592*100</f>
        <v>151.199999999999</v>
      </c>
      <c r="O592">
        <f>J592*Return!E592*100</f>
        <v>358.399999999996</v>
      </c>
      <c r="P592">
        <f t="shared" si="118"/>
        <v>784.599999999996</v>
      </c>
      <c r="Q592">
        <f>SUM($P$400:P592)</f>
        <v>23664.03</v>
      </c>
      <c r="R592">
        <f>B592*中国_中债国债到期收益率_1年!B591/365*100</f>
        <v>3.91205479452055</v>
      </c>
      <c r="S592">
        <f>C592*中国_中债国债到期收益率_1年!C591/365*100</f>
        <v>15.5227397260274</v>
      </c>
      <c r="T592">
        <f>D592*中国_中债国债到期收益率_1年!D591/365*100</f>
        <v>5.96164383561644</v>
      </c>
      <c r="U592">
        <f>E592*中国_中债国债到期收益率_1年!E591/365*100</f>
        <v>6.45917808219178</v>
      </c>
      <c r="V592">
        <f t="shared" si="119"/>
        <v>31.8556164383562</v>
      </c>
      <c r="W592">
        <f>SUM($V$400:V592)</f>
        <v>6233.06115068493</v>
      </c>
      <c r="X592">
        <f>MAX(F592-50,0)*中国_中债国债到期收益率_1年!H592*100/365</f>
        <v>5.75342465753425</v>
      </c>
      <c r="Y592">
        <f>SUM($X$400:X592)</f>
        <v>633.421917808219</v>
      </c>
      <c r="Z592">
        <v>-100</v>
      </c>
      <c r="AA592">
        <v>100</v>
      </c>
      <c r="AB592">
        <f>Z592*Return!F596*100</f>
        <v>-76.0000000000005</v>
      </c>
      <c r="AC592">
        <f>AA592*Return!G596*100</f>
        <v>111.000000000001</v>
      </c>
      <c r="AD592">
        <f>SUM($AB$400:AB592)+SUM($AC$400:AC592)</f>
        <v>2811.70000000002</v>
      </c>
      <c r="AE592">
        <f t="shared" si="122"/>
        <v>32075.3692328767</v>
      </c>
      <c r="AF592">
        <f t="shared" si="123"/>
        <v>1.06415073846575</v>
      </c>
      <c r="AG592" s="5">
        <f>(AE592-AE591)/(500000+AE591)-中国_中债国债到期收益率_1年!H592%/252</f>
        <v>0.00150863760550995</v>
      </c>
      <c r="AH592" s="5">
        <f>MIN((AF592-MAX($AF$401:AF592))/MAX($AF$401:AF592),0)</f>
        <v>-0.00512744862005392</v>
      </c>
    </row>
    <row r="593" spans="1:34">
      <c r="A593" s="9">
        <v>45576</v>
      </c>
      <c r="B593">
        <v>0</v>
      </c>
      <c r="C593">
        <v>30</v>
      </c>
      <c r="D593">
        <v>10</v>
      </c>
      <c r="E593">
        <v>10</v>
      </c>
      <c r="F593">
        <f t="shared" si="121"/>
        <v>50</v>
      </c>
      <c r="G593">
        <f t="shared" si="120"/>
        <v>0</v>
      </c>
      <c r="H593">
        <f t="shared" si="114"/>
        <v>150</v>
      </c>
      <c r="I593">
        <f t="shared" si="115"/>
        <v>90</v>
      </c>
      <c r="J593">
        <f t="shared" si="116"/>
        <v>160</v>
      </c>
      <c r="K593">
        <f t="shared" si="117"/>
        <v>400</v>
      </c>
      <c r="L593">
        <f>G593*Return!B593*100</f>
        <v>0</v>
      </c>
      <c r="M593">
        <f>H593*Return!C593*100</f>
        <v>840.000000000001</v>
      </c>
      <c r="N593">
        <f>I593*Return!D593*100</f>
        <v>287.100000000002</v>
      </c>
      <c r="O593">
        <f>J593*Return!E593*100</f>
        <v>1081.6</v>
      </c>
      <c r="P593">
        <f t="shared" si="118"/>
        <v>2208.7</v>
      </c>
      <c r="Q593">
        <f>SUM($P$400:P593)</f>
        <v>25872.73</v>
      </c>
      <c r="R593">
        <f>B593*中国_中债国债到期收益率_1年!B592/365*100</f>
        <v>0</v>
      </c>
      <c r="S593">
        <f>C593*中国_中债国债到期收益率_1年!C592/365*100</f>
        <v>15.0624657534247</v>
      </c>
      <c r="T593">
        <f>D593*中国_中债国债到期收益率_1年!D592/365*100</f>
        <v>5.87424657534247</v>
      </c>
      <c r="U593">
        <f>E593*中国_中债国债到期收益率_1年!E592/365*100</f>
        <v>6.27397260273973</v>
      </c>
      <c r="V593">
        <f t="shared" si="119"/>
        <v>27.2106849315069</v>
      </c>
      <c r="W593">
        <f>SUM($V$400:V593)</f>
        <v>6260.27183561644</v>
      </c>
      <c r="X593">
        <f>MAX(F593-50,0)*中国_中债国债到期收益率_1年!H593*100/365</f>
        <v>0</v>
      </c>
      <c r="Y593">
        <f>SUM($X$400:X593)</f>
        <v>633.421917808219</v>
      </c>
      <c r="Z593">
        <v>-100</v>
      </c>
      <c r="AA593">
        <v>100</v>
      </c>
      <c r="AB593">
        <f>Z593*Return!F597*100</f>
        <v>105.000000000002</v>
      </c>
      <c r="AC593">
        <f>AA593*Return!G597*100</f>
        <v>70.9999999999988</v>
      </c>
      <c r="AD593">
        <f>SUM($AB$400:AB593)+SUM($AC$400:AC593)</f>
        <v>2987.70000000002</v>
      </c>
      <c r="AE593">
        <f t="shared" si="122"/>
        <v>34487.2799178082</v>
      </c>
      <c r="AF593">
        <f t="shared" si="123"/>
        <v>1.06897455983562</v>
      </c>
      <c r="AG593" s="5">
        <f>(AE593-AE592)/(500000+AE592)-中国_中债国债到期收益率_1年!H593%/252</f>
        <v>0.00445762767526538</v>
      </c>
      <c r="AH593" s="5">
        <f>MIN((AF593-MAX($AF$401:AF593))/MAX($AF$401:AF593),0)</f>
        <v>-0.000617666969612308</v>
      </c>
    </row>
    <row r="594" spans="1:34">
      <c r="A594" s="9">
        <v>45577</v>
      </c>
      <c r="B594">
        <v>0</v>
      </c>
      <c r="C594">
        <v>30</v>
      </c>
      <c r="D594">
        <v>10</v>
      </c>
      <c r="E594">
        <v>10</v>
      </c>
      <c r="F594">
        <f t="shared" si="121"/>
        <v>50</v>
      </c>
      <c r="G594">
        <f t="shared" si="120"/>
        <v>0</v>
      </c>
      <c r="H594">
        <f t="shared" si="114"/>
        <v>150</v>
      </c>
      <c r="I594">
        <f t="shared" si="115"/>
        <v>90</v>
      </c>
      <c r="J594">
        <f t="shared" si="116"/>
        <v>160</v>
      </c>
      <c r="K594">
        <f t="shared" si="117"/>
        <v>400</v>
      </c>
      <c r="L594">
        <f>G594*Return!B594*100</f>
        <v>0</v>
      </c>
      <c r="M594">
        <f>H594*Return!C594*100</f>
        <v>232.500000000001</v>
      </c>
      <c r="N594">
        <f>I594*Return!D594*100</f>
        <v>44.0999999999971</v>
      </c>
      <c r="O594">
        <f>J594*Return!E594*100</f>
        <v>-159.999999999997</v>
      </c>
      <c r="P594">
        <f t="shared" si="118"/>
        <v>116.600000000002</v>
      </c>
      <c r="Q594">
        <f>SUM($P$400:P594)</f>
        <v>25989.33</v>
      </c>
      <c r="R594">
        <f>B594*中国_中债国债到期收益率_1年!B593/365*100</f>
        <v>0</v>
      </c>
      <c r="S594">
        <f>C594*中国_中债国债到期收益率_1年!C593/365*100</f>
        <v>14.9350684931507</v>
      </c>
      <c r="T594">
        <f>D594*中国_中债国债到期收益率_1年!D593/365*100</f>
        <v>5.86082191780822</v>
      </c>
      <c r="U594">
        <f>E594*中国_中债国债到期收益率_1年!E593/365*100</f>
        <v>6.3013698630137</v>
      </c>
      <c r="V594">
        <f t="shared" si="119"/>
        <v>27.0972602739726</v>
      </c>
      <c r="W594">
        <f>SUM($V$400:V594)</f>
        <v>6287.36909589041</v>
      </c>
      <c r="X594">
        <f>MAX(F594-50,0)*中国_中债国债到期收益率_1年!H594*100/365</f>
        <v>0</v>
      </c>
      <c r="Y594">
        <f>SUM($X$400:X594)</f>
        <v>633.421917808219</v>
      </c>
      <c r="Z594">
        <v>-100</v>
      </c>
      <c r="AA594">
        <v>100</v>
      </c>
      <c r="AB594">
        <f>Z594*Return!F598*100</f>
        <v>134.999999999998</v>
      </c>
      <c r="AC594">
        <f>AA594*Return!G598*100</f>
        <v>113.000000000001</v>
      </c>
      <c r="AD594">
        <f>SUM($AB$400:AB594)+SUM($AC$400:AC594)</f>
        <v>3235.70000000002</v>
      </c>
      <c r="AE594">
        <f t="shared" si="122"/>
        <v>34878.9771780822</v>
      </c>
      <c r="AF594">
        <f t="shared" si="123"/>
        <v>1.06975795435616</v>
      </c>
      <c r="AG594" s="5">
        <f>(AE594-AE593)/(500000+AE593)-中国_中债国债到期收益率_1年!H594%/252</f>
        <v>0.000670545151977603</v>
      </c>
      <c r="AH594" s="5">
        <f>MIN((AF594-MAX($AF$401:AF594))/MAX($AF$401:AF594),0)</f>
        <v>0</v>
      </c>
    </row>
    <row r="595" spans="1:34">
      <c r="A595" s="9">
        <v>45579</v>
      </c>
      <c r="B595">
        <v>0</v>
      </c>
      <c r="C595">
        <v>30</v>
      </c>
      <c r="D595">
        <v>10</v>
      </c>
      <c r="E595">
        <v>10</v>
      </c>
      <c r="F595">
        <f t="shared" si="121"/>
        <v>50</v>
      </c>
      <c r="G595">
        <f t="shared" si="120"/>
        <v>0</v>
      </c>
      <c r="H595">
        <f t="shared" si="114"/>
        <v>150</v>
      </c>
      <c r="I595">
        <f t="shared" si="115"/>
        <v>90</v>
      </c>
      <c r="J595">
        <f t="shared" si="116"/>
        <v>160</v>
      </c>
      <c r="K595">
        <f t="shared" si="117"/>
        <v>400</v>
      </c>
      <c r="L595">
        <f>G595*Return!B595*100</f>
        <v>0</v>
      </c>
      <c r="M595">
        <f>H595*Return!C595*100</f>
        <v>73.4999999999986</v>
      </c>
      <c r="N595">
        <f>I595*Return!D595*100</f>
        <v>-44.0999999999971</v>
      </c>
      <c r="O595">
        <f>J595*Return!E595*100</f>
        <v>0</v>
      </c>
      <c r="P595">
        <f t="shared" si="118"/>
        <v>29.4000000000014</v>
      </c>
      <c r="Q595">
        <f>SUM($P$400:P595)</f>
        <v>26018.73</v>
      </c>
      <c r="R595">
        <f>B595*中国_中债国债到期收益率_1年!B594/365*100</f>
        <v>0</v>
      </c>
      <c r="S595">
        <f>C595*中国_中债国债到期收益率_1年!C594/365*100</f>
        <v>14.8947945205479</v>
      </c>
      <c r="T595">
        <f>D595*中国_中债国债到期收益率_1年!D594/365*100</f>
        <v>5.87424657534247</v>
      </c>
      <c r="U595">
        <f>E595*中国_中债国债到期收益率_1年!E594/365*100</f>
        <v>6.3013698630137</v>
      </c>
      <c r="V595">
        <f t="shared" si="119"/>
        <v>27.0704109589041</v>
      </c>
      <c r="W595">
        <f>SUM($V$400:V595)</f>
        <v>6314.43950684931</v>
      </c>
      <c r="X595">
        <f>MAX(F595-50,0)*中国_中债国债到期收益率_1年!H595*100/365</f>
        <v>0</v>
      </c>
      <c r="Y595">
        <f>SUM($X$400:X595)</f>
        <v>633.421917808219</v>
      </c>
      <c r="Z595">
        <v>-100</v>
      </c>
      <c r="AA595">
        <v>100</v>
      </c>
      <c r="AB595">
        <f>Z595*Return!F599*100</f>
        <v>90.0000000000012</v>
      </c>
      <c r="AC595">
        <f>AA595*Return!G599*100</f>
        <v>142</v>
      </c>
      <c r="AD595">
        <f>SUM($AB$400:AB595)+SUM($AC$400:AC595)</f>
        <v>3467.70000000002</v>
      </c>
      <c r="AE595">
        <f t="shared" si="122"/>
        <v>35167.4475890411</v>
      </c>
      <c r="AF595">
        <f t="shared" si="123"/>
        <v>1.07033489517808</v>
      </c>
      <c r="AG595" s="5">
        <f>(AE595-AE594)/(500000+AE594)-中国_中债国债到期收益率_1年!H595%/252</f>
        <v>0.000463128553472685</v>
      </c>
      <c r="AH595" s="5">
        <f>MIN((AF595-MAX($AF$401:AF595))/MAX($AF$401:AF595),0)</f>
        <v>0</v>
      </c>
    </row>
    <row r="596" spans="1:34">
      <c r="A596" s="9">
        <v>45580</v>
      </c>
      <c r="B596">
        <v>0</v>
      </c>
      <c r="C596">
        <v>40</v>
      </c>
      <c r="D596">
        <v>10</v>
      </c>
      <c r="E596">
        <v>10</v>
      </c>
      <c r="F596">
        <f t="shared" si="121"/>
        <v>60</v>
      </c>
      <c r="G596">
        <f t="shared" si="120"/>
        <v>0</v>
      </c>
      <c r="H596">
        <f t="shared" si="114"/>
        <v>200</v>
      </c>
      <c r="I596">
        <f t="shared" si="115"/>
        <v>90</v>
      </c>
      <c r="J596">
        <f t="shared" si="116"/>
        <v>160</v>
      </c>
      <c r="K596">
        <f t="shared" si="117"/>
        <v>450</v>
      </c>
      <c r="L596">
        <f>G596*Return!B596*100</f>
        <v>0</v>
      </c>
      <c r="M596">
        <f>H596*Return!C596*100</f>
        <v>-135.999999999998</v>
      </c>
      <c r="N596">
        <f>I596*Return!D596*100</f>
        <v>65.6999999999988</v>
      </c>
      <c r="O596">
        <f>J596*Return!E596*100</f>
        <v>-201.600000000006</v>
      </c>
      <c r="P596">
        <f t="shared" si="118"/>
        <v>-271.900000000006</v>
      </c>
      <c r="Q596">
        <f>SUM($P$400:P596)</f>
        <v>25746.83</v>
      </c>
      <c r="R596">
        <f>B596*中国_中债国债到期收益率_1年!B595/365*100</f>
        <v>0</v>
      </c>
      <c r="S596">
        <f>C596*中国_中债国债到期收益率_1年!C595/365*100</f>
        <v>19.9342465753425</v>
      </c>
      <c r="T596">
        <f>D596*中国_中债国债到期收益率_1年!D595/365*100</f>
        <v>5.85424657534247</v>
      </c>
      <c r="U596">
        <f>E596*中国_中债国债到期收益率_1年!E595/365*100</f>
        <v>6.3358904109589</v>
      </c>
      <c r="V596">
        <f t="shared" si="119"/>
        <v>32.1243835616438</v>
      </c>
      <c r="W596">
        <f>SUM($V$400:V596)</f>
        <v>6346.56389041096</v>
      </c>
      <c r="X596">
        <f>MAX(F596-50,0)*中国_中债国债到期收益率_1年!H596*100/365</f>
        <v>5.15068493150685</v>
      </c>
      <c r="Y596">
        <f>SUM($X$400:X596)</f>
        <v>638.572602739726</v>
      </c>
      <c r="Z596">
        <v>-100</v>
      </c>
      <c r="AA596">
        <v>100</v>
      </c>
      <c r="AB596">
        <f>Z596*Return!F600*100</f>
        <v>8.99999999999901</v>
      </c>
      <c r="AC596">
        <f>AA596*Return!G600*100</f>
        <v>-20.9999999999999</v>
      </c>
      <c r="AD596">
        <f>SUM($AB$400:AB596)+SUM($AC$400:AC596)</f>
        <v>3455.70000000002</v>
      </c>
      <c r="AE596">
        <f t="shared" si="122"/>
        <v>34910.5212876713</v>
      </c>
      <c r="AF596">
        <f t="shared" si="123"/>
        <v>1.06982104257534</v>
      </c>
      <c r="AG596" s="5">
        <f>(AE596-AE595)/(500000+AE595)-中国_中债国债到期收益率_1年!H596%/252</f>
        <v>-0.000554688991719542</v>
      </c>
      <c r="AH596" s="5">
        <f>MIN((AF596-MAX($AF$401:AF596))/MAX($AF$401:AF596),0)</f>
        <v>-0.000480085817116365</v>
      </c>
    </row>
    <row r="597" spans="1:34">
      <c r="A597" s="9">
        <v>45581</v>
      </c>
      <c r="B597">
        <v>0</v>
      </c>
      <c r="C597">
        <v>40</v>
      </c>
      <c r="D597">
        <v>10</v>
      </c>
      <c r="E597">
        <v>10</v>
      </c>
      <c r="F597">
        <f t="shared" si="121"/>
        <v>60</v>
      </c>
      <c r="G597">
        <f t="shared" si="120"/>
        <v>0</v>
      </c>
      <c r="H597">
        <f t="shared" si="114"/>
        <v>200</v>
      </c>
      <c r="I597">
        <f t="shared" si="115"/>
        <v>90</v>
      </c>
      <c r="J597">
        <f t="shared" si="116"/>
        <v>160</v>
      </c>
      <c r="K597">
        <f t="shared" si="117"/>
        <v>450</v>
      </c>
      <c r="L597">
        <f>G597*Return!B597*100</f>
        <v>0</v>
      </c>
      <c r="M597">
        <f>H597*Return!C597*100</f>
        <v>249.999999999999</v>
      </c>
      <c r="N597">
        <f>I597*Return!D597*100</f>
        <v>102.600000000001</v>
      </c>
      <c r="O597">
        <f>J597*Return!E597*100</f>
        <v>1.60000000000338</v>
      </c>
      <c r="P597">
        <f t="shared" si="118"/>
        <v>354.200000000003</v>
      </c>
      <c r="Q597">
        <f>SUM($P$400:P597)</f>
        <v>26101.03</v>
      </c>
      <c r="R597">
        <f>B597*中国_中债国债到期收益率_1年!B596/365*100</f>
        <v>0</v>
      </c>
      <c r="S597">
        <f>C597*中国_中债国债到期收益率_1年!C596/365*100</f>
        <v>19.7972602739726</v>
      </c>
      <c r="T597">
        <f>D597*中国_中债国债到期收益率_1年!D596/365*100</f>
        <v>5.82301369863014</v>
      </c>
      <c r="U597">
        <f>E597*中国_中债国债到期收益率_1年!E596/365*100</f>
        <v>6.33561643835616</v>
      </c>
      <c r="V597">
        <f t="shared" si="119"/>
        <v>31.9558904109589</v>
      </c>
      <c r="W597">
        <f>SUM($V$400:V597)</f>
        <v>6378.51978082192</v>
      </c>
      <c r="X597">
        <f>MAX(F597-50,0)*中国_中债国债到期收益率_1年!H597*100/365</f>
        <v>5.20547945205479</v>
      </c>
      <c r="Y597">
        <f>SUM($X$400:X597)</f>
        <v>643.778082191781</v>
      </c>
      <c r="Z597">
        <v>-100</v>
      </c>
      <c r="AA597">
        <v>100</v>
      </c>
      <c r="AB597">
        <f>Z597*Return!F601*100</f>
        <v>60.0000000000001</v>
      </c>
      <c r="AC597">
        <f>AA597*Return!G601*100</f>
        <v>-175.000000000001</v>
      </c>
      <c r="AD597">
        <f>SUM($AB$400:AB597)+SUM($AC$400:AC597)</f>
        <v>3340.70000000002</v>
      </c>
      <c r="AE597">
        <f t="shared" si="122"/>
        <v>35176.4716986302</v>
      </c>
      <c r="AF597">
        <f t="shared" si="123"/>
        <v>1.07035294339726</v>
      </c>
      <c r="AG597" s="5">
        <f>(AE597-AE596)/(500000+AE596)-中国_中债国债到期收益率_1年!H597%/252</f>
        <v>0.000421789900933945</v>
      </c>
      <c r="AH597" s="5">
        <f>MIN((AF597-MAX($AF$401:AF597))/MAX($AF$401:AF597),0)</f>
        <v>0</v>
      </c>
    </row>
    <row r="598" spans="1:34">
      <c r="A598" s="9">
        <v>45582</v>
      </c>
      <c r="B598">
        <v>0</v>
      </c>
      <c r="C598">
        <v>40</v>
      </c>
      <c r="D598">
        <v>10</v>
      </c>
      <c r="E598">
        <v>10</v>
      </c>
      <c r="F598">
        <f t="shared" si="121"/>
        <v>60</v>
      </c>
      <c r="G598">
        <f t="shared" si="120"/>
        <v>0</v>
      </c>
      <c r="H598">
        <f t="shared" si="114"/>
        <v>200</v>
      </c>
      <c r="I598">
        <f t="shared" si="115"/>
        <v>90</v>
      </c>
      <c r="J598">
        <f t="shared" si="116"/>
        <v>160</v>
      </c>
      <c r="K598">
        <f t="shared" si="117"/>
        <v>450</v>
      </c>
      <c r="L598">
        <f>G598*Return!B598*100</f>
        <v>0</v>
      </c>
      <c r="M598">
        <f>H598*Return!C598*100</f>
        <v>-299.999999999998</v>
      </c>
      <c r="N598">
        <f>I598*Return!D598*100</f>
        <v>-69.3000000000024</v>
      </c>
      <c r="O598">
        <f>J598*Return!E598*100</f>
        <v>-247.999999999998</v>
      </c>
      <c r="P598">
        <f t="shared" si="118"/>
        <v>-617.299999999998</v>
      </c>
      <c r="Q598">
        <f>SUM($P$400:P598)</f>
        <v>25483.73</v>
      </c>
      <c r="R598">
        <f>B598*中国_中债国债到期收益率_1年!B597/365*100</f>
        <v>0</v>
      </c>
      <c r="S598">
        <f>C598*中国_中债国债到期收益率_1年!C597/365*100</f>
        <v>19.9616438356164</v>
      </c>
      <c r="T598">
        <f>D598*中国_中债国债到期收益率_1年!D597/365*100</f>
        <v>5.8441095890411</v>
      </c>
      <c r="U598">
        <f>E598*中国_中债国债到期收益率_1年!E597/365*100</f>
        <v>6.37808219178082</v>
      </c>
      <c r="V598">
        <f t="shared" si="119"/>
        <v>32.1838356164384</v>
      </c>
      <c r="W598">
        <f>SUM($V$400:V598)</f>
        <v>6410.70361643835</v>
      </c>
      <c r="X598">
        <f>MAX(F598-50,0)*中国_中债国债到期收益率_1年!H598*100/365</f>
        <v>5.15068493150685</v>
      </c>
      <c r="Y598">
        <f>SUM($X$400:X598)</f>
        <v>648.928767123288</v>
      </c>
      <c r="Z598">
        <v>-100</v>
      </c>
      <c r="AA598">
        <v>100</v>
      </c>
      <c r="AB598">
        <f>Z598*Return!F602*100</f>
        <v>231.000000000001</v>
      </c>
      <c r="AC598">
        <f>AA598*Return!G602*100</f>
        <v>-221</v>
      </c>
      <c r="AD598">
        <f>SUM($AB$400:AB598)+SUM($AC$400:AC598)</f>
        <v>3350.70000000002</v>
      </c>
      <c r="AE598">
        <f t="shared" si="122"/>
        <v>34596.2048493151</v>
      </c>
      <c r="AF598">
        <f t="shared" si="123"/>
        <v>1.06919240969863</v>
      </c>
      <c r="AG598" s="5">
        <f>(AE598-AE597)/(500000+AE597)-中国_中债国债到期收益率_1年!H598%/252</f>
        <v>-0.001158856463006</v>
      </c>
      <c r="AH598" s="5">
        <f>MIN((AF598-MAX($AF$401:AF598))/MAX($AF$401:AF598),0)</f>
        <v>-0.00108425328840272</v>
      </c>
    </row>
    <row r="599" spans="1:34">
      <c r="A599" s="9">
        <v>45583</v>
      </c>
      <c r="B599">
        <v>0</v>
      </c>
      <c r="C599">
        <v>40</v>
      </c>
      <c r="D599">
        <v>10</v>
      </c>
      <c r="E599">
        <v>10</v>
      </c>
      <c r="F599">
        <f t="shared" si="121"/>
        <v>60</v>
      </c>
      <c r="G599">
        <f t="shared" si="120"/>
        <v>0</v>
      </c>
      <c r="H599">
        <f t="shared" si="114"/>
        <v>200</v>
      </c>
      <c r="I599">
        <f t="shared" si="115"/>
        <v>90</v>
      </c>
      <c r="J599">
        <f t="shared" si="116"/>
        <v>160</v>
      </c>
      <c r="K599">
        <f t="shared" si="117"/>
        <v>450</v>
      </c>
      <c r="L599">
        <f>G599*Return!B599*100</f>
        <v>0</v>
      </c>
      <c r="M599">
        <f>H599*Return!C599*100</f>
        <v>819.999999999999</v>
      </c>
      <c r="N599">
        <f>I599*Return!D599*100</f>
        <v>222.300000000001</v>
      </c>
      <c r="O599">
        <f>J599*Return!E599*100</f>
        <v>527.999999999999</v>
      </c>
      <c r="P599">
        <f t="shared" si="118"/>
        <v>1570.3</v>
      </c>
      <c r="Q599">
        <f>SUM($P$400:P599)</f>
        <v>27054.03</v>
      </c>
      <c r="R599">
        <f>B599*中国_中债国债到期收益率_1年!B598/365*100</f>
        <v>0</v>
      </c>
      <c r="S599">
        <f>C599*中国_中债国债到期收益率_1年!C598/365*100</f>
        <v>19.5123287671233</v>
      </c>
      <c r="T599">
        <f>D599*中国_中债国债到期收益率_1年!D598/365*100</f>
        <v>5.77643835616438</v>
      </c>
      <c r="U599">
        <f>E599*中国_中债国债到期收益率_1年!E598/365*100</f>
        <v>6.28767123287671</v>
      </c>
      <c r="V599">
        <f t="shared" si="119"/>
        <v>31.5764383561644</v>
      </c>
      <c r="W599">
        <f>SUM($V$400:V599)</f>
        <v>6442.28005479452</v>
      </c>
      <c r="X599">
        <f>MAX(F599-50,0)*中国_中债国债到期收益率_1年!H599*100/365</f>
        <v>5.06849315068493</v>
      </c>
      <c r="Y599">
        <f>SUM($X$400:X599)</f>
        <v>653.997260273973</v>
      </c>
      <c r="Z599">
        <v>-50</v>
      </c>
      <c r="AA599">
        <v>50</v>
      </c>
      <c r="AB599">
        <f>Z599*Return!F603*100</f>
        <v>89.5000000000001</v>
      </c>
      <c r="AC599">
        <f>AA599*Return!G603*100</f>
        <v>-163.5</v>
      </c>
      <c r="AD599">
        <f>SUM($AB$400:AB599)+SUM($AC$400:AC599)</f>
        <v>3276.70000000002</v>
      </c>
      <c r="AE599">
        <f t="shared" si="122"/>
        <v>36119.0127945206</v>
      </c>
      <c r="AF599">
        <f t="shared" si="123"/>
        <v>1.07223802558904</v>
      </c>
      <c r="AG599" s="5">
        <f>(AE599-AE598)/(500000+AE598)-中国_中债国债到期收益率_1年!H599%/252</f>
        <v>0.00277510723381299</v>
      </c>
      <c r="AH599" s="5">
        <f>MIN((AF599-MAX($AF$401:AF599))/MAX($AF$401:AF599),0)</f>
        <v>0</v>
      </c>
    </row>
    <row r="600" spans="1:34">
      <c r="A600" s="9">
        <v>45586</v>
      </c>
      <c r="B600">
        <v>0</v>
      </c>
      <c r="C600">
        <v>40</v>
      </c>
      <c r="D600">
        <v>10</v>
      </c>
      <c r="E600">
        <v>10</v>
      </c>
      <c r="F600">
        <f t="shared" si="121"/>
        <v>60</v>
      </c>
      <c r="G600">
        <f t="shared" si="120"/>
        <v>0</v>
      </c>
      <c r="H600">
        <f t="shared" si="114"/>
        <v>200</v>
      </c>
      <c r="I600">
        <f t="shared" si="115"/>
        <v>90</v>
      </c>
      <c r="J600">
        <f t="shared" si="116"/>
        <v>160</v>
      </c>
      <c r="K600">
        <f t="shared" si="117"/>
        <v>450</v>
      </c>
      <c r="L600">
        <f>G600*Return!B600*100</f>
        <v>0</v>
      </c>
      <c r="M600">
        <f>H600*Return!C600*100</f>
        <v>-154.000000000001</v>
      </c>
      <c r="N600">
        <f>I600*Return!D600*100</f>
        <v>-112.499999999998</v>
      </c>
      <c r="O600">
        <f>J600*Return!E600*100</f>
        <v>-160.000000000004</v>
      </c>
      <c r="P600">
        <f t="shared" si="118"/>
        <v>-426.500000000002</v>
      </c>
      <c r="Q600">
        <f>SUM($P$400:P600)</f>
        <v>26627.53</v>
      </c>
      <c r="R600">
        <f>B600*中国_中债国债到期收益率_1年!B599/365*100</f>
        <v>0</v>
      </c>
      <c r="S600">
        <f>C600*中国_中债国债到期收益率_1年!C599/365*100</f>
        <v>19.5967123287671</v>
      </c>
      <c r="T600">
        <f>D600*中国_中债国债到期收益率_1年!D599/365*100</f>
        <v>5.81068493150685</v>
      </c>
      <c r="U600">
        <f>E600*中国_中债国债到期收益率_1年!E599/365*100</f>
        <v>6.31506849315069</v>
      </c>
      <c r="V600">
        <f t="shared" si="119"/>
        <v>31.7224657534247</v>
      </c>
      <c r="W600">
        <f>SUM($V$400:V600)</f>
        <v>6474.00252054794</v>
      </c>
      <c r="X600">
        <f>MAX(F600-50,0)*中国_中债国债到期收益率_1年!H600*100/365</f>
        <v>5.26027397260274</v>
      </c>
      <c r="Y600">
        <f>SUM($X$400:X600)</f>
        <v>659.257534246575</v>
      </c>
      <c r="Z600">
        <v>-50</v>
      </c>
      <c r="AA600">
        <v>50</v>
      </c>
      <c r="AB600">
        <f>Z600*Return!F604*100</f>
        <v>-36.5000000000004</v>
      </c>
      <c r="AC600">
        <f>AA600*Return!G604*100</f>
        <v>-7.50000000000028</v>
      </c>
      <c r="AD600">
        <f>SUM($AB$400:AB600)+SUM($AC$400:AC600)</f>
        <v>3232.70000000002</v>
      </c>
      <c r="AE600">
        <f t="shared" si="122"/>
        <v>35674.9749863014</v>
      </c>
      <c r="AF600">
        <f t="shared" si="123"/>
        <v>1.0713499499726</v>
      </c>
      <c r="AG600" s="5">
        <f>(AE600-AE599)/(500000+AE599)-中国_中债国债到期收益率_1年!H600%/252</f>
        <v>-0.00090443532038028</v>
      </c>
      <c r="AH600" s="5">
        <f>MIN((AF600-MAX($AF$401:AF600))/MAX($AF$401:AF600),0)</f>
        <v>-0.000828244844189865</v>
      </c>
    </row>
    <row r="601" spans="1:34">
      <c r="A601" s="9">
        <v>45587</v>
      </c>
      <c r="B601">
        <v>0</v>
      </c>
      <c r="C601">
        <v>40</v>
      </c>
      <c r="D601">
        <v>10</v>
      </c>
      <c r="E601">
        <v>10</v>
      </c>
      <c r="F601">
        <f t="shared" si="121"/>
        <v>60</v>
      </c>
      <c r="G601">
        <f t="shared" si="120"/>
        <v>0</v>
      </c>
      <c r="H601">
        <f t="shared" si="114"/>
        <v>200</v>
      </c>
      <c r="I601">
        <f t="shared" si="115"/>
        <v>90</v>
      </c>
      <c r="J601">
        <f t="shared" si="116"/>
        <v>160</v>
      </c>
      <c r="K601">
        <f t="shared" si="117"/>
        <v>450</v>
      </c>
      <c r="L601">
        <f>G601*Return!B601*100</f>
        <v>0</v>
      </c>
      <c r="M601">
        <f>H601*Return!C601*100</f>
        <v>-112.000000000001</v>
      </c>
      <c r="N601">
        <f>I601*Return!D601*100</f>
        <v>-1.8000000000038</v>
      </c>
      <c r="O601">
        <f>J601*Return!E601*100</f>
        <v>-39.9999999999991</v>
      </c>
      <c r="P601">
        <f t="shared" si="118"/>
        <v>-153.800000000004</v>
      </c>
      <c r="Q601">
        <f>SUM($P$400:P601)</f>
        <v>26473.73</v>
      </c>
      <c r="R601">
        <f>B601*中国_中债国债到期收益率_1年!B600/365*100</f>
        <v>0</v>
      </c>
      <c r="S601">
        <f>C601*中国_中债国债到期收益率_1年!C600/365*100</f>
        <v>19.6580821917808</v>
      </c>
      <c r="T601">
        <f>D601*中国_中债国债到期收益率_1年!D600/365*100</f>
        <v>5.81123287671233</v>
      </c>
      <c r="U601">
        <f>E601*中国_中债国债到期收益率_1年!E600/365*100</f>
        <v>6.32191780821918</v>
      </c>
      <c r="V601">
        <f t="shared" si="119"/>
        <v>31.7912328767123</v>
      </c>
      <c r="W601">
        <f>SUM($V$400:V601)</f>
        <v>6505.79375342465</v>
      </c>
      <c r="X601">
        <f>MAX(F601-50,0)*中国_中债国债到期收益率_1年!H601*100/365</f>
        <v>5.26027397260274</v>
      </c>
      <c r="Y601">
        <f>SUM($X$400:X601)</f>
        <v>664.517808219178</v>
      </c>
      <c r="Z601">
        <v>-50</v>
      </c>
      <c r="AA601">
        <v>50</v>
      </c>
      <c r="AB601">
        <f>Z601*Return!F605*100</f>
        <v>9.00000000000012</v>
      </c>
      <c r="AC601">
        <f>AA601*Return!G605*100</f>
        <v>-48.5000000000002</v>
      </c>
      <c r="AD601">
        <f>SUM($AB$400:AB601)+SUM($AC$400:AC601)</f>
        <v>3193.20000000002</v>
      </c>
      <c r="AE601">
        <f t="shared" si="122"/>
        <v>35508.2059452055</v>
      </c>
      <c r="AF601">
        <f t="shared" si="123"/>
        <v>1.07101641189041</v>
      </c>
      <c r="AG601" s="5">
        <f>(AE601-AE600)/(500000+AE600)-中国_中债国债到期收益率_1年!H601%/252</f>
        <v>-0.000387515531276639</v>
      </c>
      <c r="AH601" s="5">
        <f>MIN((AF601-MAX($AF$401:AF601))/MAX($AF$401:AF601),0)</f>
        <v>-0.00113931204590413</v>
      </c>
    </row>
    <row r="602" spans="1:34">
      <c r="A602" s="9">
        <v>45588</v>
      </c>
      <c r="B602">
        <v>0</v>
      </c>
      <c r="C602">
        <v>40</v>
      </c>
      <c r="D602">
        <v>10</v>
      </c>
      <c r="E602">
        <v>10</v>
      </c>
      <c r="F602">
        <f t="shared" si="121"/>
        <v>60</v>
      </c>
      <c r="G602">
        <f t="shared" si="120"/>
        <v>0</v>
      </c>
      <c r="H602">
        <f t="shared" si="114"/>
        <v>200</v>
      </c>
      <c r="I602">
        <f t="shared" si="115"/>
        <v>90</v>
      </c>
      <c r="J602">
        <f t="shared" si="116"/>
        <v>160</v>
      </c>
      <c r="K602">
        <f t="shared" si="117"/>
        <v>450</v>
      </c>
      <c r="L602">
        <f>G602*Return!B602*100</f>
        <v>0</v>
      </c>
      <c r="M602">
        <f>H602*Return!C602*100</f>
        <v>-755.999999999997</v>
      </c>
      <c r="N602">
        <f>I602*Return!D602*100</f>
        <v>-222.299999999998</v>
      </c>
      <c r="O602">
        <f>J602*Return!E602*100</f>
        <v>-519.999999999996</v>
      </c>
      <c r="P602">
        <f t="shared" si="118"/>
        <v>-1498.29999999999</v>
      </c>
      <c r="Q602">
        <f>SUM($P$400:P602)</f>
        <v>24975.43</v>
      </c>
      <c r="R602">
        <f>B602*中国_中债国债到期收益率_1年!B601/365*100</f>
        <v>0</v>
      </c>
      <c r="S602">
        <f>C602*中国_中债国债到期收益率_1年!C601/365*100</f>
        <v>20.0723287671233</v>
      </c>
      <c r="T602">
        <f>D602*中国_中债国债到期收益率_1年!D601/365*100</f>
        <v>5.87890410958904</v>
      </c>
      <c r="U602">
        <f>E602*中国_中债国债到期收益率_1年!E601/365*100</f>
        <v>6.41095890410959</v>
      </c>
      <c r="V602">
        <f t="shared" si="119"/>
        <v>32.3621917808219</v>
      </c>
      <c r="W602">
        <f>SUM($V$400:V602)</f>
        <v>6538.15594520548</v>
      </c>
      <c r="X602">
        <f>MAX(F602-50,0)*中国_中债国债到期收益率_1年!H602*100/365</f>
        <v>5.20547945205479</v>
      </c>
      <c r="Y602">
        <f>SUM($X$400:X602)</f>
        <v>669.723287671233</v>
      </c>
      <c r="Z602">
        <v>-50</v>
      </c>
      <c r="AA602">
        <v>50</v>
      </c>
      <c r="AB602">
        <f>Z602*Return!F606*100</f>
        <v>-86.5000000000005</v>
      </c>
      <c r="AC602">
        <f>AA602*Return!G606*100</f>
        <v>51.500000000001</v>
      </c>
      <c r="AD602">
        <f>SUM($AB$400:AB602)+SUM($AC$400:AC602)</f>
        <v>3158.20000000002</v>
      </c>
      <c r="AE602">
        <f t="shared" si="122"/>
        <v>34002.0626575343</v>
      </c>
      <c r="AF602">
        <f t="shared" si="123"/>
        <v>1.06800412531507</v>
      </c>
      <c r="AG602" s="5">
        <f>(AE602-AE601)/(500000+AE601)-中国_中债国债到期收益率_1年!H602%/252</f>
        <v>-0.00288794623351052</v>
      </c>
      <c r="AH602" s="5">
        <f>MIN((AF602-MAX($AF$401:AF602))/MAX($AF$401:AF602),0)</f>
        <v>-0.0039486570825976</v>
      </c>
    </row>
    <row r="603" spans="1:34">
      <c r="A603" s="9">
        <v>45589</v>
      </c>
      <c r="B603">
        <v>0</v>
      </c>
      <c r="C603">
        <v>40</v>
      </c>
      <c r="D603">
        <v>5</v>
      </c>
      <c r="E603">
        <v>10</v>
      </c>
      <c r="F603">
        <f t="shared" si="121"/>
        <v>55</v>
      </c>
      <c r="G603">
        <f t="shared" si="120"/>
        <v>0</v>
      </c>
      <c r="H603">
        <f t="shared" si="114"/>
        <v>200</v>
      </c>
      <c r="I603">
        <f t="shared" si="115"/>
        <v>45</v>
      </c>
      <c r="J603">
        <f t="shared" si="116"/>
        <v>160</v>
      </c>
      <c r="K603">
        <f t="shared" si="117"/>
        <v>405</v>
      </c>
      <c r="L603">
        <f>G603*Return!B603*100</f>
        <v>0</v>
      </c>
      <c r="M603">
        <f>H603*Return!C603*100</f>
        <v>-254.000000000003</v>
      </c>
      <c r="N603">
        <f>I603*Return!D603*100</f>
        <v>-45.45</v>
      </c>
      <c r="O603">
        <f>J603*Return!E603*100</f>
        <v>-240.000000000002</v>
      </c>
      <c r="P603">
        <f t="shared" si="118"/>
        <v>-539.450000000005</v>
      </c>
      <c r="Q603">
        <f>SUM($P$400:P603)</f>
        <v>24435.98</v>
      </c>
      <c r="R603">
        <f>B603*中国_中债国债到期收益率_1年!B602/365*100</f>
        <v>0</v>
      </c>
      <c r="S603">
        <f>C603*中国_中债国债到期收益率_1年!C602/365*100</f>
        <v>20.2115068493151</v>
      </c>
      <c r="T603">
        <f>D603*中国_中债国债到期收益率_1年!D602/365*100</f>
        <v>2.95328767123288</v>
      </c>
      <c r="U603">
        <f>E603*中国_中债国债到期收益率_1年!E602/365*100</f>
        <v>6.45205479452055</v>
      </c>
      <c r="V603">
        <f t="shared" si="119"/>
        <v>29.6168493150685</v>
      </c>
      <c r="W603">
        <f>SUM($V$400:V603)</f>
        <v>6567.77279452055</v>
      </c>
      <c r="X603">
        <f>MAX(F603-50,0)*中国_中债国债到期收益率_1年!H603*100/365</f>
        <v>2.6027397260274</v>
      </c>
      <c r="Y603">
        <f>SUM($X$400:X603)</f>
        <v>672.32602739726</v>
      </c>
      <c r="Z603">
        <v>-50</v>
      </c>
      <c r="AA603">
        <v>50</v>
      </c>
      <c r="AB603">
        <f>Z603*Return!F607*100</f>
        <v>-39.0000000000001</v>
      </c>
      <c r="AC603">
        <f>AA603*Return!G607*100</f>
        <v>64.4999999999996</v>
      </c>
      <c r="AD603">
        <f>SUM($AB$400:AB603)+SUM($AC$400:AC603)</f>
        <v>3183.70000000002</v>
      </c>
      <c r="AE603">
        <f t="shared" si="122"/>
        <v>33515.1267671233</v>
      </c>
      <c r="AF603">
        <f t="shared" si="123"/>
        <v>1.06703025353425</v>
      </c>
      <c r="AG603" s="5">
        <f>(AE603-AE602)/(500000+AE602)-中国_中债国债到期收益率_1年!H603%/252</f>
        <v>-0.000987258266507507</v>
      </c>
      <c r="AH603" s="5">
        <f>MIN((AF603-MAX($AF$401:AF603))/MAX($AF$401:AF603),0)</f>
        <v>-0.00485691789557041</v>
      </c>
    </row>
    <row r="604" spans="1:34">
      <c r="A604" s="9">
        <v>45590</v>
      </c>
      <c r="B604">
        <v>0</v>
      </c>
      <c r="C604">
        <v>40</v>
      </c>
      <c r="D604">
        <v>5</v>
      </c>
      <c r="E604">
        <v>10</v>
      </c>
      <c r="F604">
        <f t="shared" si="121"/>
        <v>55</v>
      </c>
      <c r="G604">
        <f t="shared" si="120"/>
        <v>0</v>
      </c>
      <c r="H604">
        <f t="shared" si="114"/>
        <v>200</v>
      </c>
      <c r="I604">
        <f t="shared" si="115"/>
        <v>45</v>
      </c>
      <c r="J604">
        <f t="shared" si="116"/>
        <v>160</v>
      </c>
      <c r="K604">
        <f t="shared" si="117"/>
        <v>405</v>
      </c>
      <c r="L604">
        <f>G604*Return!B604*100</f>
        <v>0</v>
      </c>
      <c r="M604">
        <f>H604*Return!C604*100</f>
        <v>-156.000000000001</v>
      </c>
      <c r="N604">
        <f>I604*Return!D604*100</f>
        <v>-45.9000000000009</v>
      </c>
      <c r="O604">
        <f>J604*Return!E604*100</f>
        <v>0</v>
      </c>
      <c r="P604">
        <f t="shared" si="118"/>
        <v>-201.900000000002</v>
      </c>
      <c r="Q604">
        <f>SUM($P$400:P604)</f>
        <v>24234.08</v>
      </c>
      <c r="R604">
        <f>B604*中国_中债国债到期收益率_1年!B603/365*100</f>
        <v>0</v>
      </c>
      <c r="S604">
        <f>C604*中国_中债国债到期收益率_1年!C603/365*100</f>
        <v>20.2969863013699</v>
      </c>
      <c r="T604">
        <f>D604*中国_中债国债到期收益率_1年!D603/365*100</f>
        <v>2.9672602739726</v>
      </c>
      <c r="U604">
        <f>E604*中国_中债国债到期收益率_1年!E603/365*100</f>
        <v>6.45205479452055</v>
      </c>
      <c r="V604">
        <f t="shared" si="119"/>
        <v>29.716301369863</v>
      </c>
      <c r="W604">
        <f>SUM($V$400:V604)</f>
        <v>6597.48909589041</v>
      </c>
      <c r="X604">
        <f>MAX(F604-50,0)*中国_中债国债到期收益率_1年!H604*100/365</f>
        <v>2.73972602739726</v>
      </c>
      <c r="Y604">
        <f>SUM($X$400:X604)</f>
        <v>675.065753424657</v>
      </c>
      <c r="Z604">
        <v>-50</v>
      </c>
      <c r="AA604">
        <v>50</v>
      </c>
      <c r="AB604">
        <f>Z604*Return!F608*100</f>
        <v>25.5000000000005</v>
      </c>
      <c r="AC604">
        <f>AA604*Return!G608*100</f>
        <v>16.5000000000004</v>
      </c>
      <c r="AD604">
        <f>SUM($AB$400:AB604)+SUM($AC$400:AC604)</f>
        <v>3225.70000000002</v>
      </c>
      <c r="AE604">
        <f t="shared" si="122"/>
        <v>33382.2033424658</v>
      </c>
      <c r="AF604">
        <f t="shared" si="123"/>
        <v>1.06676440668493</v>
      </c>
      <c r="AG604" s="5">
        <f>(AE604-AE603)/(500000+AE603)-中国_中债国债到期收益率_1年!H604%/252</f>
        <v>-0.000328511575853358</v>
      </c>
      <c r="AH604" s="5">
        <f>MIN((AF604-MAX($AF$401:AF604))/MAX($AF$401:AF604),0)</f>
        <v>-0.0051048543079813</v>
      </c>
    </row>
    <row r="605" spans="1:34">
      <c r="A605" s="9">
        <v>45593</v>
      </c>
      <c r="B605">
        <v>0</v>
      </c>
      <c r="C605">
        <v>40</v>
      </c>
      <c r="D605">
        <v>5</v>
      </c>
      <c r="E605">
        <v>10</v>
      </c>
      <c r="F605">
        <f t="shared" si="121"/>
        <v>55</v>
      </c>
      <c r="G605">
        <f t="shared" si="120"/>
        <v>0</v>
      </c>
      <c r="H605">
        <f t="shared" si="114"/>
        <v>200</v>
      </c>
      <c r="I605">
        <f t="shared" si="115"/>
        <v>45</v>
      </c>
      <c r="J605">
        <f t="shared" si="116"/>
        <v>160</v>
      </c>
      <c r="K605">
        <f t="shared" si="117"/>
        <v>405</v>
      </c>
      <c r="L605">
        <f>G605*Return!B605*100</f>
        <v>0</v>
      </c>
      <c r="M605">
        <f>H605*Return!C605*100</f>
        <v>186.000000000002</v>
      </c>
      <c r="N605">
        <f>I605*Return!D605*100</f>
        <v>54.8999999999999</v>
      </c>
      <c r="O605">
        <f>J605*Return!E605*100</f>
        <v>-79.9999999999983</v>
      </c>
      <c r="P605">
        <f t="shared" si="118"/>
        <v>160.900000000003</v>
      </c>
      <c r="Q605">
        <f>SUM($P$400:P605)</f>
        <v>24394.98</v>
      </c>
      <c r="R605">
        <f>B605*中国_中债国债到期收益率_1年!B604/365*100</f>
        <v>0</v>
      </c>
      <c r="S605">
        <f>C605*中国_中债国债到期收益率_1年!C604/365*100</f>
        <v>20.1950684931507</v>
      </c>
      <c r="T605">
        <f>D605*中国_中债国债到期收益率_1年!D604/365*100</f>
        <v>2.95054794520548</v>
      </c>
      <c r="U605">
        <f>E605*中国_中债国债到期收益率_1年!E604/365*100</f>
        <v>6.46575342465753</v>
      </c>
      <c r="V605">
        <f t="shared" si="119"/>
        <v>29.6113698630137</v>
      </c>
      <c r="W605">
        <f>SUM($V$400:V605)</f>
        <v>6627.10046575342</v>
      </c>
      <c r="X605">
        <f>MAX(F605-50,0)*中国_中债国债到期收益率_1年!H605*100/365</f>
        <v>2.64383561643836</v>
      </c>
      <c r="Y605">
        <f>SUM($X$400:X605)</f>
        <v>677.709589041096</v>
      </c>
      <c r="Z605">
        <v>-50</v>
      </c>
      <c r="AA605">
        <v>50</v>
      </c>
      <c r="AB605">
        <f>Z605*Return!F609*100</f>
        <v>20.5</v>
      </c>
      <c r="AC605">
        <f>AA605*Return!G609*100</f>
        <v>-23.0000000000008</v>
      </c>
      <c r="AD605">
        <f>SUM($AB$400:AB605)+SUM($AC$400:AC605)</f>
        <v>3223.20000000002</v>
      </c>
      <c r="AE605">
        <f t="shared" si="122"/>
        <v>33567.5708767124</v>
      </c>
      <c r="AF605">
        <f t="shared" si="123"/>
        <v>1.06713514175342</v>
      </c>
      <c r="AG605" s="5">
        <f>(AE605-AE604)/(500000+AE604)-中国_中债国债到期收益率_1年!H605%/252</f>
        <v>0.000270944980301679</v>
      </c>
      <c r="AH605" s="5">
        <f>MIN((AF605-MAX($AF$401:AF605))/MAX($AF$401:AF605),0)</f>
        <v>-0.00475909612775867</v>
      </c>
    </row>
    <row r="606" spans="1:34">
      <c r="A606" s="9">
        <v>45594</v>
      </c>
      <c r="B606">
        <v>0</v>
      </c>
      <c r="C606">
        <v>40</v>
      </c>
      <c r="D606">
        <v>5</v>
      </c>
      <c r="E606">
        <v>10</v>
      </c>
      <c r="F606">
        <f t="shared" si="121"/>
        <v>55</v>
      </c>
      <c r="G606">
        <f t="shared" si="120"/>
        <v>0</v>
      </c>
      <c r="H606">
        <f t="shared" ref="H606:H620" si="124">5*C606</f>
        <v>200</v>
      </c>
      <c r="I606">
        <f t="shared" ref="I606:I620" si="125">9*D606</f>
        <v>45</v>
      </c>
      <c r="J606">
        <f t="shared" ref="J606:J620" si="126">16*E606</f>
        <v>160</v>
      </c>
      <c r="K606">
        <f t="shared" ref="K606:K620" si="127">SUM(G606:J606)</f>
        <v>405</v>
      </c>
      <c r="L606">
        <f>G606*Return!B606*100</f>
        <v>0</v>
      </c>
      <c r="M606">
        <f>H606*Return!C606*100</f>
        <v>184.000000000002</v>
      </c>
      <c r="N606">
        <f>I606*Return!D606*100</f>
        <v>-35.1000000000001</v>
      </c>
      <c r="O606">
        <f>J606*Return!E606*100</f>
        <v>-320</v>
      </c>
      <c r="P606">
        <f t="shared" ref="P606:P618" si="128">SUM(L606:O606)</f>
        <v>-171.099999999998</v>
      </c>
      <c r="Q606">
        <f>SUM($P$400:P606)</f>
        <v>24223.88</v>
      </c>
      <c r="R606">
        <f>B606*中国_中债国债到期收益率_1年!B605/365*100</f>
        <v>0</v>
      </c>
      <c r="S606">
        <f>C606*中国_中债国债到期收益率_1年!C605/365*100</f>
        <v>20.0942465753425</v>
      </c>
      <c r="T606">
        <f>D606*中国_中债国债到期收益率_1年!D605/365*100</f>
        <v>2.96123287671233</v>
      </c>
      <c r="U606">
        <f>E606*中国_中债国债到期收益率_1年!E605/365*100</f>
        <v>6.52054794520548</v>
      </c>
      <c r="V606">
        <f t="shared" ref="V606:V620" si="129">SUM(R606:U606)</f>
        <v>29.5760273972603</v>
      </c>
      <c r="W606">
        <f>SUM($V$400:V606)</f>
        <v>6656.67649315068</v>
      </c>
      <c r="X606">
        <f>MAX(F606-50,0)*中国_中债国债到期收益率_1年!H606*100/365</f>
        <v>2.6027397260274</v>
      </c>
      <c r="Y606">
        <f>SUM($X$400:X606)</f>
        <v>680.312328767123</v>
      </c>
      <c r="Z606">
        <v>-50</v>
      </c>
      <c r="AA606">
        <v>50</v>
      </c>
      <c r="AB606">
        <f>Z606*Return!F610*100</f>
        <v>-157.5</v>
      </c>
      <c r="AC606">
        <f>AA606*Return!G610*100</f>
        <v>89.5000000000001</v>
      </c>
      <c r="AD606">
        <f>SUM($AB$400:AB606)+SUM($AC$400:AC606)</f>
        <v>3155.20000000002</v>
      </c>
      <c r="AE606">
        <f t="shared" si="122"/>
        <v>33355.4441643836</v>
      </c>
      <c r="AF606">
        <f t="shared" si="123"/>
        <v>1.06671088832877</v>
      </c>
      <c r="AG606" s="5">
        <f>(AE606-AE605)/(500000+AE605)-中国_中债国债到期收益率_1年!H606%/252</f>
        <v>-0.000472959803184663</v>
      </c>
      <c r="AH606" s="5">
        <f>MIN((AF606-MAX($AF$401:AF606))/MAX($AF$401:AF606),0)</f>
        <v>-0.00515476706511831</v>
      </c>
    </row>
    <row r="607" spans="1:34">
      <c r="A607" s="9">
        <v>45595</v>
      </c>
      <c r="B607">
        <v>0</v>
      </c>
      <c r="C607">
        <v>50</v>
      </c>
      <c r="D607">
        <v>5</v>
      </c>
      <c r="E607">
        <v>5</v>
      </c>
      <c r="F607">
        <f t="shared" si="121"/>
        <v>60</v>
      </c>
      <c r="G607">
        <f t="shared" si="120"/>
        <v>0</v>
      </c>
      <c r="H607">
        <f t="shared" si="124"/>
        <v>250</v>
      </c>
      <c r="I607">
        <f t="shared" si="125"/>
        <v>45</v>
      </c>
      <c r="J607">
        <f t="shared" si="126"/>
        <v>80</v>
      </c>
      <c r="K607">
        <f t="shared" si="127"/>
        <v>375</v>
      </c>
      <c r="L607">
        <f>G607*Return!B607*100</f>
        <v>0</v>
      </c>
      <c r="M607">
        <f>H607*Return!C607*100</f>
        <v>112.499999999999</v>
      </c>
      <c r="N607">
        <f>I607*Return!D607*100</f>
        <v>8.55000000000006</v>
      </c>
      <c r="O607">
        <f>J607*Return!E607*100</f>
        <v>111.999999999998</v>
      </c>
      <c r="P607">
        <f t="shared" si="128"/>
        <v>233.049999999997</v>
      </c>
      <c r="Q607">
        <f>SUM($P$400:P607)</f>
        <v>24456.93</v>
      </c>
      <c r="R607">
        <f>B607*中国_中债国债到期收益率_1年!B606/365*100</f>
        <v>0</v>
      </c>
      <c r="S607">
        <f>C607*中国_中债国债到期收益率_1年!C606/365*100</f>
        <v>25.0561643835616</v>
      </c>
      <c r="T607">
        <f>D607*中国_中债国债到期收益率_1年!D606/365*100</f>
        <v>2.9586301369863</v>
      </c>
      <c r="U607">
        <f>E607*中国_中债国债到期收益率_1年!E606/365*100</f>
        <v>3.24109589041096</v>
      </c>
      <c r="V607">
        <f t="shared" si="129"/>
        <v>31.2558904109589</v>
      </c>
      <c r="W607">
        <f>SUM($V$400:V607)</f>
        <v>6687.93238356164</v>
      </c>
      <c r="X607">
        <f>MAX(F607-50,0)*中国_中债国债到期收益率_1年!H607*100/365</f>
        <v>5.20547945205479</v>
      </c>
      <c r="Y607">
        <f>SUM($X$400:X607)</f>
        <v>685.517808219178</v>
      </c>
      <c r="Z607">
        <v>-50</v>
      </c>
      <c r="AA607">
        <v>50</v>
      </c>
      <c r="AB607">
        <f>Z607*Return!F611*100</f>
        <v>-56.4999999999993</v>
      </c>
      <c r="AC607">
        <f>AA607*Return!G611*100</f>
        <v>40</v>
      </c>
      <c r="AD607">
        <f>SUM($AB$400:AB607)+SUM($AC$400:AC607)</f>
        <v>3138.70000000002</v>
      </c>
      <c r="AE607">
        <f t="shared" si="122"/>
        <v>33598.0445753425</v>
      </c>
      <c r="AF607">
        <f t="shared" si="123"/>
        <v>1.06719608915069</v>
      </c>
      <c r="AG607" s="5">
        <f>(AE607-AE606)/(500000+AE606)-中国_中债国债到期收益率_1年!H607%/252</f>
        <v>0.000379460087780447</v>
      </c>
      <c r="AH607" s="5">
        <f>MIN((AF607-MAX($AF$401:AF607))/MAX($AF$401:AF607),0)</f>
        <v>-0.00470225483337641</v>
      </c>
    </row>
    <row r="608" spans="1:34">
      <c r="A608" s="9">
        <v>45596</v>
      </c>
      <c r="B608">
        <v>0</v>
      </c>
      <c r="C608">
        <v>50</v>
      </c>
      <c r="D608">
        <v>5</v>
      </c>
      <c r="E608">
        <v>5</v>
      </c>
      <c r="F608">
        <f t="shared" si="121"/>
        <v>60</v>
      </c>
      <c r="G608">
        <f t="shared" si="120"/>
        <v>0</v>
      </c>
      <c r="H608">
        <f t="shared" si="124"/>
        <v>250</v>
      </c>
      <c r="I608">
        <f t="shared" si="125"/>
        <v>45</v>
      </c>
      <c r="J608">
        <f t="shared" si="126"/>
        <v>80</v>
      </c>
      <c r="K608">
        <f t="shared" si="127"/>
        <v>375</v>
      </c>
      <c r="L608">
        <f>G608*Return!B608*100</f>
        <v>0</v>
      </c>
      <c r="M608">
        <f>H608*Return!C608*100</f>
        <v>177.499999999997</v>
      </c>
      <c r="N608">
        <f>I608*Return!D608*100</f>
        <v>0.45000000000095</v>
      </c>
      <c r="O608">
        <f>J608*Return!E608*100</f>
        <v>48.0000000000018</v>
      </c>
      <c r="P608">
        <f t="shared" si="128"/>
        <v>225.95</v>
      </c>
      <c r="Q608">
        <f>SUM($P$400:P608)</f>
        <v>24682.88</v>
      </c>
      <c r="R608">
        <f>B608*中国_中债国债到期收益率_1年!B607/365*100</f>
        <v>0</v>
      </c>
      <c r="S608">
        <f>C608*中国_中债国债到期收益率_1年!C607/365*100</f>
        <v>24.958904109589</v>
      </c>
      <c r="T608">
        <f>D608*中国_中债国债到期收益率_1年!D607/365*100</f>
        <v>2.95849315068493</v>
      </c>
      <c r="U608">
        <f>E608*中国_中债国债到期收益率_1年!E607/365*100</f>
        <v>3.23287671232877</v>
      </c>
      <c r="V608">
        <f t="shared" si="129"/>
        <v>31.1502739726027</v>
      </c>
      <c r="W608">
        <f>SUM($V$400:V608)</f>
        <v>6719.08265753424</v>
      </c>
      <c r="X608">
        <f>MAX(F608-50,0)*中国_中债国债到期收益率_1年!H608*100/365</f>
        <v>5.12328767123288</v>
      </c>
      <c r="Y608">
        <f>SUM($X$400:X608)</f>
        <v>690.641095890411</v>
      </c>
      <c r="Z608">
        <v>-50</v>
      </c>
      <c r="AA608">
        <v>50</v>
      </c>
      <c r="AB608">
        <f>Z608*Return!F612*100</f>
        <v>-1.49999999999983</v>
      </c>
      <c r="AC608">
        <f>AA608*Return!G612*100</f>
        <v>19.5000000000001</v>
      </c>
      <c r="AD608">
        <f>SUM($AB$400:AB608)+SUM($AC$400:AC608)</f>
        <v>3156.70000000002</v>
      </c>
      <c r="AE608">
        <f t="shared" si="122"/>
        <v>33868.0215616439</v>
      </c>
      <c r="AF608">
        <f t="shared" si="123"/>
        <v>1.06773604312329</v>
      </c>
      <c r="AG608" s="5">
        <f>(AE608-AE607)/(500000+AE607)-中国_中债国债到期收益率_1年!H608%/252</f>
        <v>0.000431749377292292</v>
      </c>
      <c r="AH608" s="5">
        <f>MIN((AF608-MAX($AF$401:AF608))/MAX($AF$401:AF608),0)</f>
        <v>-0.00419867823963836</v>
      </c>
    </row>
    <row r="609" spans="1:34">
      <c r="A609" s="9">
        <v>45597</v>
      </c>
      <c r="B609">
        <v>0</v>
      </c>
      <c r="C609">
        <v>50</v>
      </c>
      <c r="D609">
        <v>5</v>
      </c>
      <c r="E609">
        <v>5</v>
      </c>
      <c r="F609">
        <f t="shared" si="121"/>
        <v>60</v>
      </c>
      <c r="G609">
        <f t="shared" si="120"/>
        <v>0</v>
      </c>
      <c r="H609">
        <f t="shared" si="124"/>
        <v>250</v>
      </c>
      <c r="I609">
        <f t="shared" si="125"/>
        <v>45</v>
      </c>
      <c r="J609">
        <f t="shared" si="126"/>
        <v>80</v>
      </c>
      <c r="K609">
        <f t="shared" si="127"/>
        <v>375</v>
      </c>
      <c r="L609">
        <f>G609*Return!B609*100</f>
        <v>0</v>
      </c>
      <c r="M609">
        <f>H609*Return!C609*100</f>
        <v>682.500000000003</v>
      </c>
      <c r="N609">
        <f>I609*Return!D609*100</f>
        <v>54.449999999999</v>
      </c>
      <c r="O609">
        <f>J609*Return!E609*100</f>
        <v>199.999999999999</v>
      </c>
      <c r="P609">
        <f t="shared" si="128"/>
        <v>936.950000000001</v>
      </c>
      <c r="Q609">
        <f>SUM($P$400:P609)</f>
        <v>25619.83</v>
      </c>
      <c r="R609">
        <f>B609*中国_中债国债到期收益率_1年!B608/365*100</f>
        <v>0</v>
      </c>
      <c r="S609">
        <f>C609*中国_中债国债到期收益率_1年!C608/365*100</f>
        <v>24.5849315068493</v>
      </c>
      <c r="T609">
        <f>D609*中国_中债国债到期收益率_1年!D608/365*100</f>
        <v>2.94191780821918</v>
      </c>
      <c r="U609">
        <f>E609*中国_中债国债到期收益率_1年!E608/365*100</f>
        <v>3.1986301369863</v>
      </c>
      <c r="V609">
        <f t="shared" si="129"/>
        <v>30.7254794520548</v>
      </c>
      <c r="W609">
        <f>SUM($V$400:V609)</f>
        <v>6749.8081369863</v>
      </c>
      <c r="X609">
        <f>MAX(F609-50,0)*中国_中债国债到期收益率_1年!H609*100/365</f>
        <v>4.9041095890411</v>
      </c>
      <c r="Y609">
        <f>SUM($X$400:X609)</f>
        <v>695.545205479452</v>
      </c>
      <c r="Z609">
        <v>-50</v>
      </c>
      <c r="AA609">
        <v>50</v>
      </c>
      <c r="AB609">
        <f>Z609*Return!F613*100</f>
        <v>-17.5000000000003</v>
      </c>
      <c r="AC609">
        <f>AA609*Return!G613*100</f>
        <v>98.0000000000003</v>
      </c>
      <c r="AD609">
        <f>SUM($AB$400:AB609)+SUM($AC$400:AC609)</f>
        <v>3237.20000000002</v>
      </c>
      <c r="AE609">
        <f t="shared" si="122"/>
        <v>34911.2929315069</v>
      </c>
      <c r="AF609">
        <f t="shared" si="123"/>
        <v>1.06982258586301</v>
      </c>
      <c r="AG609" s="5">
        <f>(AE609-AE608)/(500000+AE608)-中国_中债国债到期收益率_1年!H609%/252</f>
        <v>0.00188314293334179</v>
      </c>
      <c r="AH609" s="5">
        <f>MIN((AF609-MAX($AF$401:AF609))/MAX($AF$401:AF609),0)</f>
        <v>-0.0022527085109675</v>
      </c>
    </row>
    <row r="610" spans="1:34">
      <c r="A610" s="9">
        <v>45600</v>
      </c>
      <c r="B610">
        <v>0</v>
      </c>
      <c r="C610">
        <v>50</v>
      </c>
      <c r="D610">
        <v>5</v>
      </c>
      <c r="E610">
        <v>0</v>
      </c>
      <c r="F610">
        <f t="shared" si="121"/>
        <v>55</v>
      </c>
      <c r="G610">
        <f t="shared" si="120"/>
        <v>0</v>
      </c>
      <c r="H610">
        <f t="shared" si="124"/>
        <v>250</v>
      </c>
      <c r="I610">
        <f t="shared" si="125"/>
        <v>45</v>
      </c>
      <c r="J610">
        <f t="shared" si="126"/>
        <v>0</v>
      </c>
      <c r="K610">
        <f t="shared" si="127"/>
        <v>295</v>
      </c>
      <c r="L610">
        <f>G610*Return!B610*100</f>
        <v>0</v>
      </c>
      <c r="M610">
        <f>H610*Return!C610*100</f>
        <v>682.499999999997</v>
      </c>
      <c r="N610">
        <f>I610*Return!D610*100</f>
        <v>31.5000000000005</v>
      </c>
      <c r="O610">
        <f>J610*Return!E610*100</f>
        <v>0</v>
      </c>
      <c r="P610">
        <f t="shared" si="128"/>
        <v>713.999999999998</v>
      </c>
      <c r="Q610">
        <f>SUM($P$400:P610)</f>
        <v>26333.83</v>
      </c>
      <c r="R610">
        <f>B610*中国_中债国债到期收益率_1年!B609/365*100</f>
        <v>0</v>
      </c>
      <c r="S610">
        <f>C610*中国_中债国债到期收益率_1年!C609/365*100</f>
        <v>24.2109589041096</v>
      </c>
      <c r="T610">
        <f>D610*中国_中债国债到期收益率_1年!D609/365*100</f>
        <v>2.93232876712329</v>
      </c>
      <c r="U610">
        <f>E610*中国_中债国债到期收益率_1年!E609/365*100</f>
        <v>0</v>
      </c>
      <c r="V610">
        <f t="shared" si="129"/>
        <v>27.1432876712329</v>
      </c>
      <c r="W610">
        <f>SUM($V$400:V610)</f>
        <v>6776.95142465753</v>
      </c>
      <c r="X610">
        <f>MAX(F610-50,0)*中国_中债国债到期收益率_1年!H610*100/365</f>
        <v>2.43835616438356</v>
      </c>
      <c r="Y610">
        <f>SUM($X$400:X610)</f>
        <v>697.983561643835</v>
      </c>
      <c r="Z610">
        <v>-50</v>
      </c>
      <c r="AA610">
        <v>50</v>
      </c>
      <c r="AB610">
        <f>Z610*Return!F614*100</f>
        <v>-109.5</v>
      </c>
      <c r="AC610">
        <f>AA610*Return!G614*100</f>
        <v>74.9999999999995</v>
      </c>
      <c r="AD610">
        <f>SUM($AB$400:AB610)+SUM($AC$400:AC610)</f>
        <v>3202.70000000002</v>
      </c>
      <c r="AE610">
        <f t="shared" si="122"/>
        <v>35615.4978630137</v>
      </c>
      <c r="AF610">
        <f t="shared" si="123"/>
        <v>1.07123099572603</v>
      </c>
      <c r="AG610" s="5">
        <f>(AE610-AE609)/(500000+AE609)-中国_中债国债到期收益率_1年!H610%/252</f>
        <v>0.00124585426329603</v>
      </c>
      <c r="AH610" s="5">
        <f>MIN((AF610-MAX($AF$401:AF610))/MAX($AF$401:AF610),0)</f>
        <v>-0.000939184993425671</v>
      </c>
    </row>
    <row r="611" spans="1:34">
      <c r="A611" s="9">
        <v>45601</v>
      </c>
      <c r="B611">
        <v>0</v>
      </c>
      <c r="C611">
        <v>50</v>
      </c>
      <c r="D611">
        <v>5</v>
      </c>
      <c r="E611">
        <v>0</v>
      </c>
      <c r="F611">
        <f t="shared" si="121"/>
        <v>55</v>
      </c>
      <c r="G611">
        <f t="shared" si="120"/>
        <v>0</v>
      </c>
      <c r="H611">
        <f t="shared" si="124"/>
        <v>250</v>
      </c>
      <c r="I611">
        <f t="shared" si="125"/>
        <v>45</v>
      </c>
      <c r="J611">
        <f t="shared" si="126"/>
        <v>0</v>
      </c>
      <c r="K611">
        <f t="shared" si="127"/>
        <v>295</v>
      </c>
      <c r="L611">
        <f>G611*Return!B611*100</f>
        <v>0</v>
      </c>
      <c r="M611">
        <f>H611*Return!C611*100</f>
        <v>-279.999999999997</v>
      </c>
      <c r="N611">
        <f>I611*Return!D611*100</f>
        <v>58.9500000000005</v>
      </c>
      <c r="O611">
        <f>J611*Return!E611*100</f>
        <v>0</v>
      </c>
      <c r="P611">
        <f t="shared" si="128"/>
        <v>-221.049999999996</v>
      </c>
      <c r="Q611">
        <f>SUM($P$400:P611)</f>
        <v>26112.78</v>
      </c>
      <c r="R611">
        <f>B611*中国_中债国债到期收益率_1年!B610/365*100</f>
        <v>0</v>
      </c>
      <c r="S611">
        <f>C611*中国_中债国债到期收益率_1年!C610/365*100</f>
        <v>24.3643835616438</v>
      </c>
      <c r="T611">
        <f>D611*中国_中债国债到期收益率_1年!D610/365*100</f>
        <v>2.91438356164384</v>
      </c>
      <c r="U611">
        <f>E611*中国_中债国债到期收益率_1年!E610/365*100</f>
        <v>0</v>
      </c>
      <c r="V611">
        <f t="shared" si="129"/>
        <v>27.2787671232877</v>
      </c>
      <c r="W611">
        <f>SUM($V$400:V611)</f>
        <v>6804.23019178082</v>
      </c>
      <c r="X611">
        <f>MAX(F611-50,0)*中国_中债国债到期收益率_1年!H611*100/365</f>
        <v>2.45205479452055</v>
      </c>
      <c r="Y611">
        <f>SUM($X$400:X611)</f>
        <v>700.435616438356</v>
      </c>
      <c r="Z611">
        <v>-50</v>
      </c>
      <c r="AA611">
        <v>50</v>
      </c>
      <c r="AB611">
        <f>Z611*Return!F615*100</f>
        <v>19.5000000000001</v>
      </c>
      <c r="AC611">
        <f>AA611*Return!G615*100</f>
        <v>55.0000000000006</v>
      </c>
      <c r="AD611">
        <f>SUM($AB$400:AB611)+SUM($AC$400:AC611)</f>
        <v>3277.20000000002</v>
      </c>
      <c r="AE611">
        <f t="shared" si="122"/>
        <v>35493.7745753425</v>
      </c>
      <c r="AF611">
        <f t="shared" si="123"/>
        <v>1.07098754915069</v>
      </c>
      <c r="AG611" s="5">
        <f>(AE611-AE610)/(500000+AE610)-中国_中债国债到期收益率_1年!H611%/252</f>
        <v>-0.000298290457097573</v>
      </c>
      <c r="AH611" s="5">
        <f>MIN((AF611-MAX($AF$401:AF611))/MAX($AF$401:AF611),0)</f>
        <v>-0.00116623026652046</v>
      </c>
    </row>
    <row r="612" spans="1:34">
      <c r="A612" s="9">
        <v>45602</v>
      </c>
      <c r="B612">
        <v>0</v>
      </c>
      <c r="C612">
        <v>50</v>
      </c>
      <c r="D612">
        <v>5</v>
      </c>
      <c r="E612">
        <v>0</v>
      </c>
      <c r="F612">
        <f t="shared" si="121"/>
        <v>55</v>
      </c>
      <c r="G612">
        <f t="shared" si="120"/>
        <v>0</v>
      </c>
      <c r="H612">
        <f t="shared" si="124"/>
        <v>250</v>
      </c>
      <c r="I612">
        <f t="shared" si="125"/>
        <v>45</v>
      </c>
      <c r="J612">
        <f t="shared" si="126"/>
        <v>0</v>
      </c>
      <c r="K612">
        <f t="shared" si="127"/>
        <v>295</v>
      </c>
      <c r="L612">
        <f>G612*Return!B612*100</f>
        <v>0</v>
      </c>
      <c r="M612">
        <f>H612*Return!C612*100</f>
        <v>237.500000000002</v>
      </c>
      <c r="N612">
        <f>I612*Return!D612*100</f>
        <v>76.0500000000006</v>
      </c>
      <c r="O612">
        <f>J612*Return!E612*100</f>
        <v>0</v>
      </c>
      <c r="P612">
        <f t="shared" si="128"/>
        <v>313.550000000002</v>
      </c>
      <c r="Q612">
        <f>SUM($P$400:P612)</f>
        <v>26426.33</v>
      </c>
      <c r="R612">
        <f>B612*中国_中债国债到期收益率_1年!B611/365*100</f>
        <v>0</v>
      </c>
      <c r="S612">
        <f>C612*中国_中债国债到期收益率_1年!C611/365*100</f>
        <v>24.2342465753425</v>
      </c>
      <c r="T612">
        <f>D612*中国_中债国债到期收益率_1年!D611/365*100</f>
        <v>2.89123287671233</v>
      </c>
      <c r="U612">
        <f>E612*中国_中债国债到期收益率_1年!E611/365*100</f>
        <v>0</v>
      </c>
      <c r="V612">
        <f t="shared" si="129"/>
        <v>27.1254794520548</v>
      </c>
      <c r="W612">
        <f>SUM($V$400:V612)</f>
        <v>6831.35567123287</v>
      </c>
      <c r="X612">
        <f>MAX(F612-50,0)*中国_中债国债到期收益率_1年!H612*100/365</f>
        <v>2.45205479452055</v>
      </c>
      <c r="Y612">
        <f>SUM($X$400:X612)</f>
        <v>702.887671232877</v>
      </c>
      <c r="Z612">
        <v>-50</v>
      </c>
      <c r="AA612">
        <v>50</v>
      </c>
      <c r="AB612">
        <f>Z612*Return!F616*100</f>
        <v>53.4999999999997</v>
      </c>
      <c r="AC612">
        <f>AA612*Return!G616*100</f>
        <v>40</v>
      </c>
      <c r="AD612">
        <f>SUM($AB$400:AB612)+SUM($AC$400:AC612)</f>
        <v>3370.70000000002</v>
      </c>
      <c r="AE612">
        <f t="shared" si="122"/>
        <v>35925.498</v>
      </c>
      <c r="AF612">
        <f t="shared" si="123"/>
        <v>1.071850996</v>
      </c>
      <c r="AG612" s="5">
        <f>(AE612-AE611)/(500000+AE611)-中国_中债国债到期收益率_1年!H612%/252</f>
        <v>0.000735183835092231</v>
      </c>
      <c r="AH612" s="5">
        <f>MIN((AF612-MAX($AF$401:AF612))/MAX($AF$401:AF612),0)</f>
        <v>-0.000360954918408639</v>
      </c>
    </row>
    <row r="613" spans="1:34">
      <c r="A613" s="9">
        <v>45603</v>
      </c>
      <c r="B613">
        <v>0</v>
      </c>
      <c r="C613">
        <v>50</v>
      </c>
      <c r="D613">
        <v>5</v>
      </c>
      <c r="E613">
        <v>0</v>
      </c>
      <c r="F613">
        <f t="shared" si="121"/>
        <v>55</v>
      </c>
      <c r="G613">
        <f t="shared" si="120"/>
        <v>0</v>
      </c>
      <c r="H613">
        <f t="shared" si="124"/>
        <v>250</v>
      </c>
      <c r="I613">
        <f t="shared" si="125"/>
        <v>45</v>
      </c>
      <c r="J613">
        <f t="shared" si="126"/>
        <v>0</v>
      </c>
      <c r="K613">
        <f t="shared" si="127"/>
        <v>295</v>
      </c>
      <c r="L613">
        <f>G613*Return!B613*100</f>
        <v>0</v>
      </c>
      <c r="M613">
        <f>H613*Return!C613*100</f>
        <v>-142.500000000001</v>
      </c>
      <c r="N613">
        <f>I613*Return!D613*100</f>
        <v>-57.6000000000016</v>
      </c>
      <c r="O613">
        <f>J613*Return!E613*100</f>
        <v>0</v>
      </c>
      <c r="P613">
        <f t="shared" si="128"/>
        <v>-200.100000000003</v>
      </c>
      <c r="Q613">
        <f>SUM($P$400:P613)</f>
        <v>26226.23</v>
      </c>
      <c r="R613">
        <f>B613*中国_中债国债到期收益率_1年!B612/365*100</f>
        <v>0</v>
      </c>
      <c r="S613">
        <f>C613*中国_中债国债到期收益率_1年!C612/365*100</f>
        <v>24.3123287671233</v>
      </c>
      <c r="T613">
        <f>D613*中国_中债国债到期收益率_1年!D612/365*100</f>
        <v>2.90876712328767</v>
      </c>
      <c r="U613">
        <f>E613*中国_中债国债到期收益率_1年!E612/365*100</f>
        <v>0</v>
      </c>
      <c r="V613">
        <f t="shared" si="129"/>
        <v>27.221095890411</v>
      </c>
      <c r="W613">
        <f>SUM($V$400:V613)</f>
        <v>6858.57676712328</v>
      </c>
      <c r="X613">
        <f>MAX(F613-50,0)*中国_中债国债到期收益率_1年!H613*100/365</f>
        <v>2.46575342465753</v>
      </c>
      <c r="Y613">
        <f>SUM($X$400:X613)</f>
        <v>705.353424657534</v>
      </c>
      <c r="Z613">
        <v>-50</v>
      </c>
      <c r="AA613">
        <v>50</v>
      </c>
      <c r="AB613">
        <f>Z613*Return!F617*100</f>
        <v>-57.5000000000003</v>
      </c>
      <c r="AC613">
        <f>AA613*Return!G617*100</f>
        <v>124.5</v>
      </c>
      <c r="AD613">
        <f>SUM($AB$400:AB613)+SUM($AC$400:AC613)</f>
        <v>3437.70000000002</v>
      </c>
      <c r="AE613">
        <f t="shared" si="122"/>
        <v>35817.1533424658</v>
      </c>
      <c r="AF613">
        <f t="shared" si="123"/>
        <v>1.07163430668493</v>
      </c>
      <c r="AG613" s="5">
        <f>(AE613-AE612)/(500000+AE612)-中国_中债国债到期收益率_1年!H613%/252</f>
        <v>-0.000273592226523493</v>
      </c>
      <c r="AH613" s="5">
        <f>MIN((AF613-MAX($AF$401:AF613))/MAX($AF$401:AF613),0)</f>
        <v>-0.0005630456015378</v>
      </c>
    </row>
    <row r="614" spans="1:34">
      <c r="A614" s="9">
        <v>45604</v>
      </c>
      <c r="B614">
        <v>0</v>
      </c>
      <c r="C614">
        <v>50</v>
      </c>
      <c r="D614">
        <v>5</v>
      </c>
      <c r="E614">
        <v>0</v>
      </c>
      <c r="F614">
        <f t="shared" si="121"/>
        <v>55</v>
      </c>
      <c r="G614">
        <f t="shared" si="120"/>
        <v>0</v>
      </c>
      <c r="H614">
        <f t="shared" si="124"/>
        <v>250</v>
      </c>
      <c r="I614">
        <f t="shared" si="125"/>
        <v>45</v>
      </c>
      <c r="J614">
        <f t="shared" si="126"/>
        <v>0</v>
      </c>
      <c r="K614">
        <f t="shared" si="127"/>
        <v>295</v>
      </c>
      <c r="L614">
        <f>G614*Return!B614*100</f>
        <v>0</v>
      </c>
      <c r="M614">
        <f>H614*Return!C614*100</f>
        <v>489.999999999996</v>
      </c>
      <c r="N614">
        <f>I614*Return!D614*100</f>
        <v>53.5500000000011</v>
      </c>
      <c r="O614">
        <f>J614*Return!E614*100</f>
        <v>0</v>
      </c>
      <c r="P614">
        <f t="shared" si="128"/>
        <v>543.549999999997</v>
      </c>
      <c r="Q614">
        <f>SUM($P$400:P614)</f>
        <v>26769.78</v>
      </c>
      <c r="R614">
        <f>B614*中国_中债国债到期收益率_1年!B613/365*100</f>
        <v>0</v>
      </c>
      <c r="S614">
        <f>C614*中国_中债国债到期收益率_1年!C613/365*100</f>
        <v>24.0438356164384</v>
      </c>
      <c r="T614">
        <f>D614*中国_中债国债到期收益率_1年!D613/365*100</f>
        <v>2.89246575342466</v>
      </c>
      <c r="U614">
        <f>E614*中国_中债国债到期收益率_1年!E613/365*100</f>
        <v>0</v>
      </c>
      <c r="V614">
        <f t="shared" si="129"/>
        <v>26.936301369863</v>
      </c>
      <c r="W614">
        <f>SUM($V$400:V614)</f>
        <v>6885.51306849315</v>
      </c>
      <c r="X614">
        <f>MAX(F614-50,0)*中国_中债国债到期收益率_1年!H614*100/365</f>
        <v>2.46575342465753</v>
      </c>
      <c r="Y614">
        <f>SUM($X$400:X614)</f>
        <v>707.819178082192</v>
      </c>
      <c r="Z614">
        <v>-50</v>
      </c>
      <c r="AA614">
        <v>50</v>
      </c>
      <c r="AB614">
        <f>Z614*Return!F618*100</f>
        <v>30.5000000000011</v>
      </c>
      <c r="AC614">
        <f>AA614*Return!G618*100</f>
        <v>-9.50000000000006</v>
      </c>
      <c r="AD614">
        <f>SUM($AB$400:AB614)+SUM($AC$400:AC614)</f>
        <v>3458.70000000002</v>
      </c>
      <c r="AE614">
        <f t="shared" si="122"/>
        <v>36406.173890411</v>
      </c>
      <c r="AF614">
        <f t="shared" si="123"/>
        <v>1.07281234778082</v>
      </c>
      <c r="AG614" s="5">
        <f>(AE614-AE613)/(500000+AE613)-中国_中债国债到期收益率_1年!H614%/252</f>
        <v>0.00102786536545054</v>
      </c>
      <c r="AH614" s="5">
        <f>MIN((AF614-MAX($AF$401:AF614))/MAX($AF$401:AF614),0)</f>
        <v>0</v>
      </c>
    </row>
    <row r="615" spans="1:34">
      <c r="A615" s="9">
        <v>45607</v>
      </c>
      <c r="B615">
        <v>0</v>
      </c>
      <c r="C615">
        <v>50</v>
      </c>
      <c r="D615">
        <v>10</v>
      </c>
      <c r="E615">
        <v>0</v>
      </c>
      <c r="F615">
        <f t="shared" si="121"/>
        <v>60</v>
      </c>
      <c r="G615">
        <f t="shared" si="120"/>
        <v>0</v>
      </c>
      <c r="H615">
        <f t="shared" si="124"/>
        <v>250</v>
      </c>
      <c r="I615">
        <f t="shared" si="125"/>
        <v>90</v>
      </c>
      <c r="J615">
        <f t="shared" si="126"/>
        <v>0</v>
      </c>
      <c r="K615">
        <f t="shared" si="127"/>
        <v>340</v>
      </c>
      <c r="L615">
        <f>G615*Return!B615*100</f>
        <v>0</v>
      </c>
      <c r="M615">
        <f>H615*Return!C615*100</f>
        <v>312.500000000004</v>
      </c>
      <c r="N615">
        <f>I615*Return!D615*100</f>
        <v>43.1999999999992</v>
      </c>
      <c r="O615">
        <f>J615*Return!E615*100</f>
        <v>0</v>
      </c>
      <c r="P615">
        <f t="shared" si="128"/>
        <v>355.700000000004</v>
      </c>
      <c r="Q615">
        <f>SUM($P$400:P615)</f>
        <v>27125.48</v>
      </c>
      <c r="R615">
        <f>B615*中国_中债国债到期收益率_1年!B614/365*100</f>
        <v>0</v>
      </c>
      <c r="S615">
        <f>C615*中国_中债国债到期收益率_1年!C614/365*100</f>
        <v>23.872602739726</v>
      </c>
      <c r="T615">
        <f>D615*中国_中债国债到期收益率_1年!D614/365*100</f>
        <v>5.77178082191781</v>
      </c>
      <c r="U615">
        <f>E615*中国_中债国债到期收益率_1年!E614/365*100</f>
        <v>0</v>
      </c>
      <c r="V615">
        <f t="shared" si="129"/>
        <v>29.6443835616438</v>
      </c>
      <c r="W615">
        <f>SUM($V$400:V615)</f>
        <v>6915.15745205479</v>
      </c>
      <c r="X615">
        <f>MAX(F615-50,0)*中国_中债国债到期收益率_1年!H615*100/365</f>
        <v>5.15068493150685</v>
      </c>
      <c r="Y615">
        <f>SUM($X$400:X615)</f>
        <v>712.969863013699</v>
      </c>
      <c r="Z615">
        <v>-50</v>
      </c>
      <c r="AA615">
        <v>50</v>
      </c>
      <c r="AB615">
        <f>Z615*Return!F619*100</f>
        <v>-24.0000000000007</v>
      </c>
      <c r="AC615">
        <f>AA615*Return!G619*100</f>
        <v>-11.9999999999998</v>
      </c>
      <c r="AD615">
        <f>SUM($AB$400:AB615)+SUM($AC$400:AC615)</f>
        <v>3422.70000000002</v>
      </c>
      <c r="AE615">
        <f t="shared" si="122"/>
        <v>36750.3675890411</v>
      </c>
      <c r="AF615">
        <f t="shared" si="123"/>
        <v>1.07350073517808</v>
      </c>
      <c r="AG615" s="5">
        <f>(AE615-AE614)/(500000+AE614)-中国_中债国债到期收益率_1年!H615%/252</f>
        <v>0.000567063001857471</v>
      </c>
      <c r="AH615" s="5">
        <f>MIN((AF615-MAX($AF$401:AF615))/MAX($AF$401:AF615),0)</f>
        <v>0</v>
      </c>
    </row>
    <row r="616" spans="1:34">
      <c r="A616" s="9">
        <v>45608</v>
      </c>
      <c r="B616">
        <v>0</v>
      </c>
      <c r="C616">
        <v>50</v>
      </c>
      <c r="D616">
        <v>10</v>
      </c>
      <c r="E616">
        <v>0</v>
      </c>
      <c r="F616">
        <f t="shared" si="121"/>
        <v>60</v>
      </c>
      <c r="G616">
        <f t="shared" si="120"/>
        <v>0</v>
      </c>
      <c r="H616">
        <f t="shared" si="124"/>
        <v>250</v>
      </c>
      <c r="I616">
        <f t="shared" si="125"/>
        <v>90</v>
      </c>
      <c r="J616">
        <f t="shared" si="126"/>
        <v>0</v>
      </c>
      <c r="K616">
        <f t="shared" si="127"/>
        <v>340</v>
      </c>
      <c r="L616">
        <f>G616*Return!B616*100</f>
        <v>0</v>
      </c>
      <c r="M616">
        <f>H616*Return!C616*100</f>
        <v>45.0000000000006</v>
      </c>
      <c r="N616">
        <f>I616*Return!D616*100</f>
        <v>132.299999999999</v>
      </c>
      <c r="O616">
        <f>J616*Return!E616*100</f>
        <v>0</v>
      </c>
      <c r="P616">
        <f t="shared" si="128"/>
        <v>177.3</v>
      </c>
      <c r="Q616">
        <f>SUM($P$400:P616)</f>
        <v>27302.78</v>
      </c>
      <c r="R616">
        <f>B616*中国_中债国债到期收益率_1年!B615/365*100</f>
        <v>0</v>
      </c>
      <c r="S616">
        <f>C616*中国_中债国债到期收益率_1年!C615/365*100</f>
        <v>23.8479452054794</v>
      </c>
      <c r="T616">
        <f>D616*中国_中债国债到期收益率_1年!D615/365*100</f>
        <v>5.73150684931507</v>
      </c>
      <c r="U616">
        <f>E616*中国_中债国债到期收益率_1年!E615/365*100</f>
        <v>0</v>
      </c>
      <c r="V616">
        <f t="shared" si="129"/>
        <v>29.5794520547945</v>
      </c>
      <c r="W616">
        <f>SUM($V$400:V616)</f>
        <v>6944.73690410958</v>
      </c>
      <c r="X616">
        <f>MAX(F616-50,0)*中国_中债国债到期收益率_1年!H616*100/365</f>
        <v>5.20547945205479</v>
      </c>
      <c r="Y616">
        <f>SUM($X$400:X616)</f>
        <v>718.175342465753</v>
      </c>
      <c r="Z616">
        <v>-50</v>
      </c>
      <c r="AA616">
        <v>50</v>
      </c>
      <c r="AB616">
        <f>Z616*Return!F620*100</f>
        <v>-27.0000000000004</v>
      </c>
      <c r="AC616">
        <f>AA616*Return!G620*100</f>
        <v>49.5000000000001</v>
      </c>
      <c r="AD616">
        <f>SUM($AB$400:AB616)+SUM($AC$400:AC616)</f>
        <v>3445.20000000002</v>
      </c>
      <c r="AE616">
        <f t="shared" si="122"/>
        <v>36974.5415616439</v>
      </c>
      <c r="AF616">
        <f t="shared" si="123"/>
        <v>1.07394908312329</v>
      </c>
      <c r="AG616" s="5">
        <f>(AE616-AE615)/(500000+AE615)-中国_中债国债到期收益率_1年!H616%/252</f>
        <v>0.000342253512896687</v>
      </c>
      <c r="AH616" s="5">
        <f>MIN((AF616-MAX($AF$401:AF616))/MAX($AF$401:AF616),0)</f>
        <v>0</v>
      </c>
    </row>
    <row r="617" spans="1:34">
      <c r="A617" s="9">
        <v>45609</v>
      </c>
      <c r="B617">
        <v>0</v>
      </c>
      <c r="C617">
        <v>50</v>
      </c>
      <c r="D617">
        <v>10</v>
      </c>
      <c r="E617">
        <v>0</v>
      </c>
      <c r="F617">
        <f t="shared" si="121"/>
        <v>60</v>
      </c>
      <c r="G617">
        <f t="shared" si="120"/>
        <v>0</v>
      </c>
      <c r="H617">
        <f t="shared" si="124"/>
        <v>250</v>
      </c>
      <c r="I617">
        <f t="shared" si="125"/>
        <v>90</v>
      </c>
      <c r="J617">
        <f t="shared" si="126"/>
        <v>0</v>
      </c>
      <c r="K617">
        <f t="shared" si="127"/>
        <v>340</v>
      </c>
      <c r="L617">
        <f>G617*Return!B617*100</f>
        <v>0</v>
      </c>
      <c r="M617">
        <f>H617*Return!C617*100</f>
        <v>697.499999999995</v>
      </c>
      <c r="N617">
        <f>I617*Return!D617*100</f>
        <v>171.899999999999</v>
      </c>
      <c r="O617">
        <f>J617*Return!E617*100</f>
        <v>0</v>
      </c>
      <c r="P617">
        <f t="shared" si="128"/>
        <v>869.399999999994</v>
      </c>
      <c r="Q617">
        <f>SUM($P$400:P617)</f>
        <v>28172.18</v>
      </c>
      <c r="R617">
        <f>B617*中国_中债国债到期收益率_1年!B616/365*100</f>
        <v>0</v>
      </c>
      <c r="S617">
        <f>C617*中国_中债国债到期收益率_1年!C616/365*100</f>
        <v>23.4657534246575</v>
      </c>
      <c r="T617">
        <f>D617*中国_中债国债到期收益率_1年!D616/365*100</f>
        <v>5.67917808219178</v>
      </c>
      <c r="U617">
        <f>E617*中国_中债国债到期收益率_1年!E616/365*100</f>
        <v>0</v>
      </c>
      <c r="V617">
        <f t="shared" si="129"/>
        <v>29.1449315068493</v>
      </c>
      <c r="W617">
        <f>SUM($V$400:V617)</f>
        <v>6973.88183561643</v>
      </c>
      <c r="X617">
        <f>MAX(F617-50,0)*中国_中债国债到期收益率_1年!H617*100/365</f>
        <v>5.20547945205479</v>
      </c>
      <c r="Y617">
        <f>SUM($X$400:X617)</f>
        <v>723.380821917808</v>
      </c>
      <c r="Z617">
        <v>-50</v>
      </c>
      <c r="AA617">
        <v>50</v>
      </c>
      <c r="AB617">
        <f>Z617*Return!F621*100</f>
        <v>142.000000000001</v>
      </c>
      <c r="AC617">
        <f>AA617*Return!G621*100</f>
        <v>-150.5</v>
      </c>
      <c r="AD617">
        <f>SUM($AB$400:AB617)+SUM($AC$400:AC617)</f>
        <v>3436.70000000002</v>
      </c>
      <c r="AE617">
        <f t="shared" si="122"/>
        <v>37859.3810136987</v>
      </c>
      <c r="AF617">
        <f t="shared" si="123"/>
        <v>1.0757187620274</v>
      </c>
      <c r="AG617" s="5">
        <f>(AE617-AE616)/(500000+AE616)-中国_中债国债到期收益率_1年!H617%/252</f>
        <v>0.00157242701645885</v>
      </c>
      <c r="AH617" s="5">
        <f>MIN((AF617-MAX($AF$401:AF617))/MAX($AF$401:AF617),0)</f>
        <v>0</v>
      </c>
    </row>
    <row r="618" spans="1:34">
      <c r="A618" s="9">
        <v>45610</v>
      </c>
      <c r="B618">
        <v>0</v>
      </c>
      <c r="C618">
        <v>50</v>
      </c>
      <c r="D618">
        <v>10</v>
      </c>
      <c r="E618">
        <v>0</v>
      </c>
      <c r="F618">
        <f t="shared" si="121"/>
        <v>60</v>
      </c>
      <c r="G618">
        <f t="shared" si="120"/>
        <v>0</v>
      </c>
      <c r="H618">
        <f t="shared" si="124"/>
        <v>250</v>
      </c>
      <c r="I618">
        <f t="shared" si="125"/>
        <v>90</v>
      </c>
      <c r="J618">
        <f t="shared" si="126"/>
        <v>0</v>
      </c>
      <c r="K618">
        <f t="shared" si="127"/>
        <v>340</v>
      </c>
      <c r="L618">
        <f>G618*Return!B618*100</f>
        <v>0</v>
      </c>
      <c r="M618">
        <f>H618*Return!C618*100</f>
        <v>-139.999999999996</v>
      </c>
      <c r="N618">
        <f>I618*Return!D618*100</f>
        <v>-132.299999999999</v>
      </c>
      <c r="O618">
        <f>J618*Return!E618*100</f>
        <v>0</v>
      </c>
      <c r="P618">
        <f t="shared" si="128"/>
        <v>-272.299999999995</v>
      </c>
      <c r="Q618">
        <f>SUM($P$400:P618)</f>
        <v>27899.88</v>
      </c>
      <c r="R618">
        <f>B618*中国_中债国债到期收益率_1年!B617/365*100</f>
        <v>0</v>
      </c>
      <c r="S618">
        <f>C618*中国_中债国债到期收益率_1年!C617/365*100</f>
        <v>23.5424657534247</v>
      </c>
      <c r="T618">
        <f>D618*中国_中债国债到期收益率_1年!D617/365*100</f>
        <v>5.71945205479452</v>
      </c>
      <c r="U618">
        <f>E618*中国_中债国债到期收益率_1年!E617/365*100</f>
        <v>0</v>
      </c>
      <c r="V618">
        <f t="shared" si="129"/>
        <v>29.2619178082192</v>
      </c>
      <c r="W618">
        <f>SUM($V$400:V618)</f>
        <v>7003.14375342465</v>
      </c>
      <c r="X618">
        <f>MAX(F618-50,0)*中国_中债国债到期收益率_1年!H618*100/365</f>
        <v>5.17808219178082</v>
      </c>
      <c r="Y618">
        <f>SUM($X$400:X618)</f>
        <v>728.558904109589</v>
      </c>
      <c r="Z618">
        <v>-50</v>
      </c>
      <c r="AA618">
        <v>50</v>
      </c>
      <c r="AB618">
        <f>Z618*Return!F622*100</f>
        <v>-17.5000000000003</v>
      </c>
      <c r="AC618">
        <f>AA618*Return!G622*100</f>
        <v>18.5000000000002</v>
      </c>
      <c r="AD618">
        <f>SUM($AB$400:AB618)+SUM($AC$400:AC618)</f>
        <v>3437.70000000002</v>
      </c>
      <c r="AE618">
        <f t="shared" si="122"/>
        <v>37612.1648493151</v>
      </c>
      <c r="AF618">
        <f t="shared" si="123"/>
        <v>1.07522432969863</v>
      </c>
      <c r="AG618" s="5">
        <f>(AE618-AE617)/(500000+AE617)-中国_中债国债到期收益率_1年!H618%/252</f>
        <v>-0.000534629734295293</v>
      </c>
      <c r="AH618" s="5">
        <f>MIN((AF618-MAX($AF$401:AF618))/MAX($AF$401:AF618),0)</f>
        <v>-0.000459629734295396</v>
      </c>
    </row>
    <row r="619" spans="1:34">
      <c r="A619" s="9">
        <v>45611</v>
      </c>
      <c r="B619">
        <v>0</v>
      </c>
      <c r="C619">
        <v>50</v>
      </c>
      <c r="D619">
        <v>10</v>
      </c>
      <c r="E619">
        <v>0</v>
      </c>
      <c r="F619">
        <f t="shared" si="121"/>
        <v>60</v>
      </c>
      <c r="G619">
        <f t="shared" si="120"/>
        <v>0</v>
      </c>
      <c r="H619">
        <f t="shared" si="124"/>
        <v>250</v>
      </c>
      <c r="I619">
        <f t="shared" si="125"/>
        <v>90</v>
      </c>
      <c r="J619">
        <f t="shared" si="126"/>
        <v>0</v>
      </c>
      <c r="K619">
        <f t="shared" si="127"/>
        <v>340</v>
      </c>
      <c r="L619">
        <f>G619*Return!B619*100</f>
        <v>0</v>
      </c>
      <c r="M619">
        <f>H619*Return!C619*100</f>
        <v>302.5</v>
      </c>
      <c r="N619">
        <f>I619*Return!D619*100</f>
        <v>61.2000000000013</v>
      </c>
      <c r="O619">
        <f>J619*Return!E619*100</f>
        <v>0</v>
      </c>
      <c r="P619">
        <f t="shared" ref="P619:P622" si="130">SUM(L619:O619)</f>
        <v>363.700000000001</v>
      </c>
      <c r="Q619">
        <f>SUM($P$400:P619)</f>
        <v>28263.58</v>
      </c>
      <c r="R619">
        <f>B619*中国_中债国债到期收益率_1年!B618/365*100</f>
        <v>0</v>
      </c>
      <c r="S619">
        <f>C619*中国_中债国债到期收益率_1年!C618/365*100</f>
        <v>23.3767123287671</v>
      </c>
      <c r="T619">
        <f>D619*中国_中债国债到期收益率_1年!D618/365*100</f>
        <v>5.70082191780822</v>
      </c>
      <c r="U619">
        <f>E619*中国_中债国债到期收益率_1年!E618/365*100</f>
        <v>0</v>
      </c>
      <c r="V619">
        <f t="shared" si="129"/>
        <v>29.0775342465753</v>
      </c>
      <c r="W619">
        <f>SUM($V$400:V619)</f>
        <v>7032.22128767123</v>
      </c>
      <c r="X619">
        <f>MAX(F619-50,0)*中国_中债国债到期收益率_1年!H619*100/365</f>
        <v>5.06849315068493</v>
      </c>
      <c r="Y619">
        <f>SUM($X$400:X619)</f>
        <v>733.627397260274</v>
      </c>
      <c r="Z619">
        <v>-50</v>
      </c>
      <c r="AA619">
        <v>50</v>
      </c>
      <c r="AB619">
        <f>Z619*Return!F623*100</f>
        <v>0</v>
      </c>
      <c r="AC619">
        <f>AA619*Return!G623*100</f>
        <v>0</v>
      </c>
      <c r="AD619">
        <f>SUM($AB$400:AB619)+SUM($AC$400:AC619)</f>
        <v>3437.70000000002</v>
      </c>
      <c r="AE619">
        <f t="shared" si="122"/>
        <v>37999.873890411</v>
      </c>
      <c r="AF619">
        <f t="shared" si="123"/>
        <v>1.07599974778082</v>
      </c>
      <c r="AG619" s="5">
        <f>(AE619-AE618)/(500000+AE618)-中国_中债国债到期收益率_1年!H619%/252</f>
        <v>0.000647755955210608</v>
      </c>
      <c r="AH619" s="5">
        <f>MIN((AF619-MAX($AF$401:AF619))/MAX($AF$401:AF619),0)</f>
        <v>0</v>
      </c>
    </row>
    <row r="620" spans="1:34">
      <c r="A620" s="9">
        <v>45614</v>
      </c>
      <c r="B620">
        <v>0</v>
      </c>
      <c r="C620">
        <v>50</v>
      </c>
      <c r="D620">
        <v>10</v>
      </c>
      <c r="E620">
        <v>0</v>
      </c>
      <c r="F620">
        <f t="shared" si="121"/>
        <v>60</v>
      </c>
      <c r="G620">
        <f t="shared" si="120"/>
        <v>0</v>
      </c>
      <c r="H620">
        <f t="shared" si="124"/>
        <v>250</v>
      </c>
      <c r="I620">
        <f t="shared" si="125"/>
        <v>90</v>
      </c>
      <c r="J620">
        <f t="shared" si="126"/>
        <v>0</v>
      </c>
      <c r="K620">
        <f t="shared" si="127"/>
        <v>340</v>
      </c>
      <c r="L620">
        <f>G620*Return!B620*100</f>
        <v>0</v>
      </c>
      <c r="M620">
        <f>H620*Return!C620*100</f>
        <v>-85.0000000000017</v>
      </c>
      <c r="N620">
        <f>I620*Return!D620*100</f>
        <v>-126.000000000002</v>
      </c>
      <c r="O620">
        <f>J620*Return!E620*100</f>
        <v>0</v>
      </c>
      <c r="P620">
        <f t="shared" si="130"/>
        <v>-211.000000000004</v>
      </c>
      <c r="Q620">
        <f>SUM($P$400:P620)</f>
        <v>28052.58</v>
      </c>
      <c r="R620">
        <f>B620*中国_中债国债到期收益率_1年!B619/365*100</f>
        <v>0</v>
      </c>
      <c r="S620">
        <f>C620*中国_中债国债到期收益率_1年!C619/365*100</f>
        <v>23.4232876712329</v>
      </c>
      <c r="T620">
        <f>D620*中国_中债国债到期收益率_1年!D619/365*100</f>
        <v>5.73917808219178</v>
      </c>
      <c r="U620">
        <f>E620*中国_中债国债到期收益率_1年!E619/365*100</f>
        <v>0</v>
      </c>
      <c r="V620">
        <f t="shared" si="129"/>
        <v>29.1624657534247</v>
      </c>
      <c r="W620">
        <f>SUM($V$400:V620)</f>
        <v>7061.38375342465</v>
      </c>
      <c r="X620">
        <f>MAX(F620-50,0)*中国_中债国债到期收益率_1年!H620*100/365</f>
        <v>5.06849315068493</v>
      </c>
      <c r="Y620">
        <f>SUM($X$400:X620)</f>
        <v>738.695890410959</v>
      </c>
      <c r="Z620">
        <v>-50</v>
      </c>
      <c r="AA620">
        <v>50</v>
      </c>
      <c r="AB620">
        <f>Z620*Return!F624*100</f>
        <v>0</v>
      </c>
      <c r="AC620">
        <f>AA620*Return!G624*100</f>
        <v>0</v>
      </c>
      <c r="AD620">
        <f>SUM($AB$400:AB620)+SUM($AC$400:AC620)</f>
        <v>3437.70000000002</v>
      </c>
      <c r="AE620">
        <f t="shared" si="122"/>
        <v>37812.9678630137</v>
      </c>
      <c r="AF620">
        <f t="shared" si="123"/>
        <v>1.07562593572603</v>
      </c>
      <c r="AG620" s="5">
        <f>(AE620-AE619)/(500000+AE619)-中国_中债国债到期收益率_1年!H620%/252</f>
        <v>-0.000420821752704279</v>
      </c>
      <c r="AH620" s="5">
        <f>MIN((AF620-MAX($AF$401:AF620))/MAX($AF$401:AF620),0)</f>
        <v>-0.000347409054291751</v>
      </c>
    </row>
    <row r="621" spans="1:34">
      <c r="A621" s="9">
        <v>45615</v>
      </c>
      <c r="B621">
        <v>0</v>
      </c>
      <c r="C621">
        <v>50</v>
      </c>
      <c r="D621">
        <v>10</v>
      </c>
      <c r="E621">
        <v>0</v>
      </c>
      <c r="F621">
        <f t="shared" ref="F621:F622" si="131">SUM(B621:E621)</f>
        <v>60</v>
      </c>
      <c r="G621">
        <f t="shared" ref="G621:G622" si="132">B621</f>
        <v>0</v>
      </c>
      <c r="H621">
        <f t="shared" ref="H621:H622" si="133">5*C621</f>
        <v>250</v>
      </c>
      <c r="I621">
        <f t="shared" ref="I621:I622" si="134">9*D621</f>
        <v>90</v>
      </c>
      <c r="J621">
        <f t="shared" ref="J621:J622" si="135">16*E621</f>
        <v>0</v>
      </c>
      <c r="K621">
        <f t="shared" ref="K621:K622" si="136">SUM(G621:J621)</f>
        <v>340</v>
      </c>
      <c r="L621">
        <f>G621*Return!B621*100</f>
        <v>0</v>
      </c>
      <c r="M621">
        <f>H621*Return!C621*100</f>
        <v>-352.5</v>
      </c>
      <c r="N621">
        <f>I621*Return!D621*100</f>
        <v>-152.099999999997</v>
      </c>
      <c r="O621">
        <f>J621*Return!E621*100</f>
        <v>0</v>
      </c>
      <c r="P621">
        <f t="shared" si="130"/>
        <v>-504.599999999997</v>
      </c>
      <c r="Q621">
        <f>SUM($P$400:P621)</f>
        <v>27547.98</v>
      </c>
      <c r="R621">
        <f>B621*中国_中债国债到期收益率_1年!B620/365*100</f>
        <v>0</v>
      </c>
      <c r="S621">
        <f>C621*中国_中债国债到期收益率_1年!C620/365*100</f>
        <v>23.6164383561644</v>
      </c>
      <c r="T621">
        <f>D621*中国_中债国债到期收益率_1年!D620/365*100</f>
        <v>5.78547945205479</v>
      </c>
      <c r="U621">
        <f>E621*中国_中债国债到期收益率_1年!E620/365*100</f>
        <v>0</v>
      </c>
      <c r="V621">
        <f t="shared" ref="V621:V622" si="137">SUM(R621:U621)</f>
        <v>29.4019178082192</v>
      </c>
      <c r="W621">
        <f>SUM($V$400:V621)</f>
        <v>7090.78567123287</v>
      </c>
      <c r="X621">
        <f>MAX(F621-50,0)*中国_中债国债到期收益率_1年!H621*100/365</f>
        <v>5.04109589041096</v>
      </c>
      <c r="Y621">
        <f>SUM($X$400:X621)</f>
        <v>743.73698630137</v>
      </c>
      <c r="Z621">
        <v>-50</v>
      </c>
      <c r="AA621">
        <v>50</v>
      </c>
      <c r="AB621">
        <f>Z621*Return!F625*100</f>
        <v>0</v>
      </c>
      <c r="AC621">
        <f>AA621*Return!G625*100</f>
        <v>0</v>
      </c>
      <c r="AD621">
        <f>SUM($AB$400:AB621)+SUM($AC$400:AC621)</f>
        <v>3437.70000000002</v>
      </c>
      <c r="AE621">
        <f t="shared" si="122"/>
        <v>37332.7286849315</v>
      </c>
      <c r="AF621">
        <f t="shared" si="123"/>
        <v>1.07466545736986</v>
      </c>
      <c r="AG621" s="5">
        <f>(AE621-AE620)/(500000+AE620)-中国_中债国债到期收益率_1年!H621%/252</f>
        <v>-0.000965964178056584</v>
      </c>
      <c r="AH621" s="5">
        <f>MIN((AF621-MAX($AF$401:AF621))/MAX($AF$401:AF621),0)</f>
        <v>-0.0012400471410062</v>
      </c>
    </row>
    <row r="622" spans="1:34">
      <c r="A622" s="9">
        <v>45616</v>
      </c>
      <c r="B622">
        <v>0</v>
      </c>
      <c r="C622">
        <v>50</v>
      </c>
      <c r="D622">
        <v>10</v>
      </c>
      <c r="E622">
        <v>0</v>
      </c>
      <c r="F622">
        <f t="shared" si="131"/>
        <v>60</v>
      </c>
      <c r="G622">
        <f t="shared" si="132"/>
        <v>0</v>
      </c>
      <c r="H622">
        <f t="shared" si="133"/>
        <v>250</v>
      </c>
      <c r="I622">
        <f t="shared" si="134"/>
        <v>90</v>
      </c>
      <c r="J622">
        <f t="shared" si="135"/>
        <v>0</v>
      </c>
      <c r="K622">
        <f t="shared" si="136"/>
        <v>340</v>
      </c>
      <c r="L622">
        <f>G622*Return!B622*100</f>
        <v>0</v>
      </c>
      <c r="M622">
        <f>H622*Return!C622*100</f>
        <v>295.000000000001</v>
      </c>
      <c r="N622">
        <f>I622*Return!D622*100</f>
        <v>152.999999999999</v>
      </c>
      <c r="O622">
        <f>J622*Return!E622*100</f>
        <v>0</v>
      </c>
      <c r="P622">
        <f t="shared" si="130"/>
        <v>448</v>
      </c>
      <c r="Q622">
        <f>SUM($P$400:P622)</f>
        <v>27995.98</v>
      </c>
      <c r="R622">
        <f>B622*中国_中债国债到期收益率_1年!B621/365*100</f>
        <v>0</v>
      </c>
      <c r="S622">
        <f>C622*中国_中债国债到期收益率_1年!C621/365*100</f>
        <v>23.4547945205479</v>
      </c>
      <c r="T622">
        <f>D622*中国_中债国债到期收益率_1年!D621/365*100</f>
        <v>5.73890410958904</v>
      </c>
      <c r="U622">
        <f>E622*中国_中债国债到期收益率_1年!E621/365*100</f>
        <v>0</v>
      </c>
      <c r="V622">
        <f t="shared" si="137"/>
        <v>29.193698630137</v>
      </c>
      <c r="W622">
        <f>SUM($V$400:V622)</f>
        <v>7119.97936986301</v>
      </c>
      <c r="X622">
        <f>MAX(F622-50,0)*中国_中债国债到期收益率_1年!H622*100/365</f>
        <v>5.04109589041096</v>
      </c>
      <c r="Y622">
        <f>SUM($X$400:X622)</f>
        <v>748.778082191781</v>
      </c>
      <c r="Z622">
        <v>-50</v>
      </c>
      <c r="AA622">
        <v>50</v>
      </c>
      <c r="AB622">
        <f>Z622*Return!F626*100</f>
        <v>0</v>
      </c>
      <c r="AC622">
        <f>AA622*Return!G626*100</f>
        <v>0</v>
      </c>
      <c r="AD622">
        <f>SUM($AB$400:AB622)+SUM($AC$400:AC622)</f>
        <v>3437.70000000002</v>
      </c>
      <c r="AE622">
        <f t="shared" si="122"/>
        <v>37804.8812876713</v>
      </c>
      <c r="AF622">
        <f t="shared" si="123"/>
        <v>1.07560976257534</v>
      </c>
      <c r="AG622" s="5">
        <f>(AE622-AE621)/(500000+AE621)-中国_中债国债到期收益率_1年!H622%/252</f>
        <v>0.000805681026566749</v>
      </c>
      <c r="AH622" s="5">
        <f>MIN((AF622-MAX($AF$401:AF622))/MAX($AF$401:AF622),0)</f>
        <v>-0.000362439867001766</v>
      </c>
    </row>
  </sheetData>
  <conditionalFormatting sqref="AG$1:AG$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{2998a289-8af8-4cdd-a535-a4c4609d6176}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98a289-8af8-4cdd-a535-a4c4609d6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AG$1:AG$1048576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7:C44"/>
  <sheetViews>
    <sheetView tabSelected="1" topLeftCell="A33" workbookViewId="0">
      <selection activeCell="B43" sqref="B43"/>
    </sheetView>
  </sheetViews>
  <sheetFormatPr defaultColWidth="9" defaultRowHeight="14" outlineLevelCol="2"/>
  <cols>
    <col min="1" max="1" width="11.3636363636364" customWidth="1"/>
    <col min="2" max="2" width="12.4545454545455" customWidth="1"/>
  </cols>
  <sheetData>
    <row r="37" spans="1:1">
      <c r="A37" s="1">
        <f>DATE(2024,1,1)</f>
        <v>45292</v>
      </c>
    </row>
    <row r="38" spans="1:2">
      <c r="A38" s="2" t="s">
        <v>28</v>
      </c>
      <c r="B38" s="3">
        <v>50</v>
      </c>
    </row>
    <row r="39" spans="1:2">
      <c r="A39" s="2" t="s">
        <v>24</v>
      </c>
      <c r="B39" s="3">
        <f>PnL!AE620</f>
        <v>37812.9678630137</v>
      </c>
    </row>
    <row r="40" spans="1:2">
      <c r="A40" s="2" t="s">
        <v>29</v>
      </c>
      <c r="B40" s="4">
        <f>B39/B38/10000*365/(PnL!A622-A37)</f>
        <v>0.0851958843827161</v>
      </c>
    </row>
    <row r="41" spans="1:3">
      <c r="A41" s="2" t="s">
        <v>30</v>
      </c>
      <c r="B41" s="4">
        <f ca="1">STDEV.P(PnL!AG401:PnL!AG622)*SQRT(252)</f>
        <v>0.0226770394640434</v>
      </c>
      <c r="C41">
        <v>1.8</v>
      </c>
    </row>
    <row r="42" spans="1:2">
      <c r="A42" s="2" t="s">
        <v>31</v>
      </c>
      <c r="B42" s="4">
        <f ca="1">AVERAGE(中国_中债国债到期收益率_1年!H401:中国_中债国债到期收益率_1年!H622)/100</f>
        <v>0.0196939369369369</v>
      </c>
    </row>
    <row r="43" spans="1:3">
      <c r="A43" s="2" t="s">
        <v>32</v>
      </c>
      <c r="B43" s="3">
        <f ca="1">(B40-B42)/B41</f>
        <v>2.88846996759161</v>
      </c>
      <c r="C43">
        <v>3.55</v>
      </c>
    </row>
    <row r="44" spans="1:3">
      <c r="A44" s="2" t="s">
        <v>27</v>
      </c>
      <c r="B44" s="4">
        <f ca="1">MIN(PnL!AH401:PnL!AH622)</f>
        <v>-0.00761456610330454</v>
      </c>
      <c r="C44">
        <v>0.82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中国_中债国债到期收益率_1年</vt:lpstr>
      <vt:lpstr>Return</vt:lpstr>
      <vt:lpstr>PnL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CMBC</cp:lastModifiedBy>
  <dcterms:created xsi:type="dcterms:W3CDTF">2024-06-17T13:18:00Z</dcterms:created>
  <dcterms:modified xsi:type="dcterms:W3CDTF">2025-01-11T12:45:14Z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B68A0577922E47FCA556185FEA4F13C5_12</vt:lpwstr>
  </property>
  <property fmtid="{D5CDD505-2E9C-101B-9397-08002B2CF9AE}" pid="3" name="KSOProductBuildVer">
    <vt:lpwstr>2052-12.1.0.19302</vt:lpwstr>
  </property>
</Properties>
</file>